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4155" yWindow="510" windowWidth="20730" windowHeight="11760" tabRatio="913" activeTab="31"/>
  </bookViews>
  <sheets>
    <sheet name="01" sheetId="2" r:id="rId1"/>
    <sheet name="02" sheetId="3" r:id="rId2"/>
    <sheet name="03" sheetId="8" r:id="rId3"/>
    <sheet name="04" sheetId="9" r:id="rId4"/>
    <sheet name="05" sheetId="10" r:id="rId5"/>
    <sheet name="06" sheetId="11" r:id="rId6"/>
    <sheet name="07" sheetId="12" r:id="rId7"/>
    <sheet name="08" sheetId="13" r:id="rId8"/>
    <sheet name="09" sheetId="14" r:id="rId9"/>
    <sheet name="10" sheetId="15" r:id="rId10"/>
    <sheet name="11" sheetId="16" r:id="rId11"/>
    <sheet name="12" sheetId="17" r:id="rId12"/>
    <sheet name="13" sheetId="18" r:id="rId13"/>
    <sheet name="14" sheetId="19" r:id="rId14"/>
    <sheet name="15" sheetId="20" r:id="rId15"/>
    <sheet name="16" sheetId="21" r:id="rId16"/>
    <sheet name="17" sheetId="22" r:id="rId17"/>
    <sheet name="18" sheetId="23" r:id="rId18"/>
    <sheet name="19" sheetId="24" r:id="rId19"/>
    <sheet name="20" sheetId="25" r:id="rId20"/>
    <sheet name="21" sheetId="26" r:id="rId21"/>
    <sheet name="22" sheetId="27" r:id="rId22"/>
    <sheet name="23" sheetId="28" r:id="rId23"/>
    <sheet name="24" sheetId="29" r:id="rId24"/>
    <sheet name="25" sheetId="30" r:id="rId25"/>
    <sheet name="26" sheetId="31" r:id="rId26"/>
    <sheet name="27" sheetId="32" r:id="rId27"/>
    <sheet name="28" sheetId="33" r:id="rId28"/>
    <sheet name="29" sheetId="42" r:id="rId29"/>
    <sheet name="30" sheetId="40" r:id="rId30"/>
    <sheet name="31" sheetId="41" r:id="rId31"/>
    <sheet name="MONTHLY 31" sheetId="39" r:id="rId32"/>
  </sheets>
  <calcPr calcId="144525"/>
</workbook>
</file>

<file path=xl/calcChain.xml><?xml version="1.0" encoding="utf-8"?>
<calcChain xmlns="http://schemas.openxmlformats.org/spreadsheetml/2006/main">
  <c r="B2" i="16" l="1"/>
  <c r="Q46" i="39"/>
  <c r="P46" i="39"/>
  <c r="O46" i="39"/>
  <c r="N46" i="39"/>
  <c r="M46" i="39"/>
  <c r="L46" i="39"/>
  <c r="K46" i="39"/>
  <c r="J46" i="39"/>
  <c r="I46" i="39"/>
  <c r="H46" i="39"/>
  <c r="G46" i="39"/>
  <c r="F46" i="39"/>
  <c r="E46" i="39"/>
  <c r="D46" i="39"/>
  <c r="C46" i="39"/>
  <c r="B46" i="39"/>
  <c r="Q45" i="39"/>
  <c r="P45" i="39"/>
  <c r="O45" i="39"/>
  <c r="N45" i="39"/>
  <c r="M45" i="39"/>
  <c r="L45" i="39"/>
  <c r="K45" i="39"/>
  <c r="J45" i="39"/>
  <c r="I45" i="39"/>
  <c r="H45" i="39"/>
  <c r="G45" i="39"/>
  <c r="F45" i="39"/>
  <c r="E45" i="39"/>
  <c r="D45" i="39"/>
  <c r="C45" i="39"/>
  <c r="B45" i="39"/>
  <c r="Q44" i="39"/>
  <c r="P44" i="39"/>
  <c r="O44" i="39"/>
  <c r="N44" i="39"/>
  <c r="M44" i="39"/>
  <c r="L44" i="39"/>
  <c r="K44" i="39"/>
  <c r="J44" i="39"/>
  <c r="I44" i="39"/>
  <c r="H44" i="39"/>
  <c r="G44" i="39"/>
  <c r="F44" i="39"/>
  <c r="E44" i="39"/>
  <c r="D44" i="39"/>
  <c r="C44" i="39"/>
  <c r="B44" i="39"/>
  <c r="Q43" i="39"/>
  <c r="P43" i="39"/>
  <c r="O43" i="39"/>
  <c r="N43" i="39"/>
  <c r="M43" i="39"/>
  <c r="L43" i="39"/>
  <c r="K43" i="39"/>
  <c r="J43" i="39"/>
  <c r="I43" i="39"/>
  <c r="H43" i="39"/>
  <c r="G43" i="39"/>
  <c r="F43" i="39"/>
  <c r="E43" i="39"/>
  <c r="D43" i="39"/>
  <c r="C43" i="39"/>
  <c r="B43" i="39"/>
  <c r="Q42" i="39"/>
  <c r="P42" i="39"/>
  <c r="O42" i="39"/>
  <c r="N42" i="39"/>
  <c r="M42" i="39"/>
  <c r="L42" i="39"/>
  <c r="K42" i="39"/>
  <c r="J42" i="39"/>
  <c r="I42" i="39"/>
  <c r="H42" i="39"/>
  <c r="G42" i="39"/>
  <c r="F42" i="39"/>
  <c r="E42" i="39"/>
  <c r="D42" i="39"/>
  <c r="C42" i="39"/>
  <c r="B42" i="39"/>
  <c r="Q41" i="39"/>
  <c r="P41" i="39"/>
  <c r="O41" i="39"/>
  <c r="N41" i="39"/>
  <c r="M41" i="39"/>
  <c r="L41" i="39"/>
  <c r="K41" i="39"/>
  <c r="J41" i="39"/>
  <c r="I41" i="39"/>
  <c r="H41" i="39"/>
  <c r="G41" i="39"/>
  <c r="F41" i="39"/>
  <c r="E41" i="39"/>
  <c r="D41" i="39"/>
  <c r="C41" i="39"/>
  <c r="B41" i="39"/>
  <c r="Q40" i="39"/>
  <c r="P40" i="39"/>
  <c r="O40" i="39"/>
  <c r="N40" i="39"/>
  <c r="M40" i="39"/>
  <c r="L40" i="39"/>
  <c r="K40" i="39"/>
  <c r="J40" i="39"/>
  <c r="I40" i="39"/>
  <c r="H40" i="39"/>
  <c r="G40" i="39"/>
  <c r="F40" i="39"/>
  <c r="E40" i="39"/>
  <c r="D40" i="39"/>
  <c r="C40" i="39"/>
  <c r="B40" i="39"/>
  <c r="Q38" i="39"/>
  <c r="P38" i="39"/>
  <c r="O38" i="39"/>
  <c r="N38" i="39"/>
  <c r="K38" i="39"/>
  <c r="J38" i="39"/>
  <c r="I38" i="39"/>
  <c r="H38" i="39"/>
  <c r="G38" i="39"/>
  <c r="F38" i="39"/>
  <c r="E38" i="39"/>
  <c r="D38" i="39"/>
  <c r="C38" i="39"/>
  <c r="B38" i="39"/>
  <c r="A38" i="39"/>
  <c r="Q37" i="39"/>
  <c r="P37" i="39"/>
  <c r="O37" i="39"/>
  <c r="N37" i="39"/>
  <c r="K37" i="39"/>
  <c r="J37" i="39"/>
  <c r="I37" i="39"/>
  <c r="H37" i="39"/>
  <c r="G37" i="39"/>
  <c r="F37" i="39"/>
  <c r="E37" i="39"/>
  <c r="D37" i="39"/>
  <c r="C37" i="39"/>
  <c r="B37" i="39"/>
  <c r="A37" i="39"/>
  <c r="Q36" i="39"/>
  <c r="P36" i="39"/>
  <c r="O36" i="39"/>
  <c r="N36" i="39"/>
  <c r="K36" i="39"/>
  <c r="J36" i="39"/>
  <c r="I36" i="39"/>
  <c r="H36" i="39"/>
  <c r="G36" i="39"/>
  <c r="F36" i="39"/>
  <c r="E36" i="39"/>
  <c r="D36" i="39"/>
  <c r="C36" i="39"/>
  <c r="B36" i="39"/>
  <c r="A36" i="39"/>
  <c r="Q35" i="39"/>
  <c r="P35" i="39"/>
  <c r="O35" i="39"/>
  <c r="N35" i="39"/>
  <c r="K35" i="39"/>
  <c r="J35" i="39"/>
  <c r="I35" i="39"/>
  <c r="H35" i="39"/>
  <c r="G35" i="39"/>
  <c r="F35" i="39"/>
  <c r="E35" i="39"/>
  <c r="D35" i="39"/>
  <c r="C35" i="39"/>
  <c r="B35" i="39"/>
  <c r="A35" i="39"/>
  <c r="Q34" i="39"/>
  <c r="P34" i="39"/>
  <c r="O34" i="39"/>
  <c r="N34" i="39"/>
  <c r="K34" i="39"/>
  <c r="J34" i="39"/>
  <c r="I34" i="39"/>
  <c r="H34" i="39"/>
  <c r="G34" i="39"/>
  <c r="F34" i="39"/>
  <c r="E34" i="39"/>
  <c r="D34" i="39"/>
  <c r="C34" i="39"/>
  <c r="B34" i="39"/>
  <c r="A34" i="39"/>
  <c r="Q33" i="39"/>
  <c r="P33" i="39"/>
  <c r="O33" i="39"/>
  <c r="N33" i="39"/>
  <c r="K33" i="39"/>
  <c r="J33" i="39"/>
  <c r="I33" i="39"/>
  <c r="H33" i="39"/>
  <c r="G33" i="39"/>
  <c r="F33" i="39"/>
  <c r="E33" i="39"/>
  <c r="D33" i="39"/>
  <c r="C33" i="39"/>
  <c r="B33" i="39"/>
  <c r="A33" i="39"/>
  <c r="A32" i="39"/>
  <c r="A31" i="39"/>
  <c r="A30" i="39"/>
  <c r="A29" i="39"/>
  <c r="A28" i="39"/>
  <c r="Q27" i="39"/>
  <c r="P27" i="39"/>
  <c r="O27" i="39"/>
  <c r="N27" i="39"/>
  <c r="M27" i="39"/>
  <c r="L27" i="39"/>
  <c r="K27" i="39"/>
  <c r="J27" i="39"/>
  <c r="I27" i="39"/>
  <c r="H27" i="39"/>
  <c r="G27" i="39"/>
  <c r="F27" i="39"/>
  <c r="E27" i="39"/>
  <c r="D27" i="39"/>
  <c r="C27" i="39"/>
  <c r="B27" i="39"/>
  <c r="A27" i="39"/>
  <c r="Q26" i="39"/>
  <c r="P26" i="39"/>
  <c r="O26" i="39"/>
  <c r="N26" i="39"/>
  <c r="M26" i="39"/>
  <c r="L26" i="39"/>
  <c r="K26" i="39"/>
  <c r="J26" i="39"/>
  <c r="I26" i="39"/>
  <c r="H26" i="39"/>
  <c r="G26" i="39"/>
  <c r="F26" i="39"/>
  <c r="E26" i="39"/>
  <c r="D26" i="39"/>
  <c r="C26" i="39"/>
  <c r="B26" i="39"/>
  <c r="A26" i="39"/>
  <c r="Q25" i="39"/>
  <c r="P25" i="39"/>
  <c r="O25" i="39"/>
  <c r="N25" i="39"/>
  <c r="M25" i="39"/>
  <c r="L25" i="39"/>
  <c r="K25" i="39"/>
  <c r="J25" i="39"/>
  <c r="I25" i="39"/>
  <c r="H25" i="39"/>
  <c r="G25" i="39"/>
  <c r="F25" i="39"/>
  <c r="E25" i="39"/>
  <c r="D25" i="39"/>
  <c r="C25" i="39"/>
  <c r="B25" i="39"/>
  <c r="A25" i="39"/>
  <c r="Q24" i="39"/>
  <c r="P24" i="39"/>
  <c r="O24" i="39"/>
  <c r="N24" i="39"/>
  <c r="M24" i="39"/>
  <c r="L24" i="39"/>
  <c r="K24" i="39"/>
  <c r="J24" i="39"/>
  <c r="I24" i="39"/>
  <c r="H24" i="39"/>
  <c r="G24" i="39"/>
  <c r="F24" i="39"/>
  <c r="E24" i="39"/>
  <c r="D24" i="39"/>
  <c r="C24" i="39"/>
  <c r="B24" i="39"/>
  <c r="A24" i="39"/>
  <c r="Q23" i="39"/>
  <c r="P23" i="39"/>
  <c r="O23" i="39"/>
  <c r="N23" i="39"/>
  <c r="M23" i="39"/>
  <c r="L23" i="39"/>
  <c r="K23" i="39"/>
  <c r="J23" i="39"/>
  <c r="I23" i="39"/>
  <c r="H23" i="39"/>
  <c r="G23" i="39"/>
  <c r="F23" i="39"/>
  <c r="E23" i="39"/>
  <c r="D23" i="39"/>
  <c r="C23" i="39"/>
  <c r="B23" i="39"/>
  <c r="A23" i="39"/>
  <c r="Q22" i="39"/>
  <c r="P22" i="39"/>
  <c r="O22" i="39"/>
  <c r="N22" i="39"/>
  <c r="M22" i="39"/>
  <c r="L22" i="39"/>
  <c r="K22" i="39"/>
  <c r="J22" i="39"/>
  <c r="I22" i="39"/>
  <c r="H22" i="39"/>
  <c r="G22" i="39"/>
  <c r="F22" i="39"/>
  <c r="E22" i="39"/>
  <c r="D22" i="39"/>
  <c r="C22" i="39"/>
  <c r="B22" i="39"/>
  <c r="A22" i="39"/>
  <c r="Q21" i="39"/>
  <c r="P21" i="39"/>
  <c r="O21" i="39"/>
  <c r="N21" i="39"/>
  <c r="M21" i="39"/>
  <c r="L21" i="39"/>
  <c r="K21" i="39"/>
  <c r="J21" i="39"/>
  <c r="I21" i="39"/>
  <c r="H21" i="39"/>
  <c r="G21" i="39"/>
  <c r="F21" i="39"/>
  <c r="E21" i="39"/>
  <c r="D21" i="39"/>
  <c r="C21" i="39"/>
  <c r="B21" i="39"/>
  <c r="A21" i="39"/>
  <c r="Q20" i="39"/>
  <c r="P20" i="39"/>
  <c r="O20" i="39"/>
  <c r="N20" i="39"/>
  <c r="M20" i="39"/>
  <c r="L20" i="39"/>
  <c r="K20" i="39"/>
  <c r="J20" i="39"/>
  <c r="I20" i="39"/>
  <c r="H20" i="39"/>
  <c r="G20" i="39"/>
  <c r="F20" i="39"/>
  <c r="E20" i="39"/>
  <c r="D20" i="39"/>
  <c r="C20" i="39"/>
  <c r="B20" i="39"/>
  <c r="A20" i="39"/>
  <c r="A19" i="39"/>
  <c r="Q18" i="39"/>
  <c r="P18" i="39"/>
  <c r="O18" i="39"/>
  <c r="N18" i="39"/>
  <c r="M18" i="39"/>
  <c r="L18" i="39"/>
  <c r="K18" i="39"/>
  <c r="J18" i="39"/>
  <c r="I18" i="39"/>
  <c r="H18" i="39"/>
  <c r="G18" i="39"/>
  <c r="F18" i="39"/>
  <c r="E18" i="39"/>
  <c r="D18" i="39"/>
  <c r="C18" i="39"/>
  <c r="B18" i="39"/>
  <c r="A18" i="39"/>
  <c r="A17" i="39"/>
  <c r="Q16" i="39"/>
  <c r="P16" i="39"/>
  <c r="O16" i="39"/>
  <c r="N16" i="39"/>
  <c r="M16" i="39"/>
  <c r="L16" i="39"/>
  <c r="K16" i="39"/>
  <c r="J16" i="39"/>
  <c r="I16" i="39"/>
  <c r="H16" i="39"/>
  <c r="G16" i="39"/>
  <c r="F16" i="39"/>
  <c r="E16" i="39"/>
  <c r="D16" i="39"/>
  <c r="C16" i="39"/>
  <c r="B16" i="39"/>
  <c r="A16" i="39"/>
  <c r="Q15" i="39"/>
  <c r="P15" i="39"/>
  <c r="O15" i="39"/>
  <c r="N15" i="39"/>
  <c r="M15" i="39"/>
  <c r="L15" i="39"/>
  <c r="K15" i="39"/>
  <c r="J15" i="39"/>
  <c r="I15" i="39"/>
  <c r="H15" i="39"/>
  <c r="F15" i="39"/>
  <c r="E15" i="39"/>
  <c r="D15" i="39"/>
  <c r="C15" i="39"/>
  <c r="B15" i="39"/>
  <c r="A15" i="39"/>
  <c r="Q14" i="39"/>
  <c r="P14" i="39"/>
  <c r="O14" i="39"/>
  <c r="N14" i="39"/>
  <c r="M14" i="39"/>
  <c r="L14" i="39"/>
  <c r="K14" i="39"/>
  <c r="J14" i="39"/>
  <c r="I14" i="39"/>
  <c r="H14" i="39"/>
  <c r="G14" i="39"/>
  <c r="F14" i="39"/>
  <c r="E14" i="39"/>
  <c r="D14" i="39"/>
  <c r="C14" i="39"/>
  <c r="B14" i="39"/>
  <c r="A14" i="39"/>
  <c r="Q13" i="39"/>
  <c r="P13" i="39"/>
  <c r="O13" i="39"/>
  <c r="N13" i="39"/>
  <c r="M13" i="39"/>
  <c r="L13" i="39"/>
  <c r="K13" i="39"/>
  <c r="J13" i="39"/>
  <c r="I13" i="39"/>
  <c r="H13" i="39"/>
  <c r="F13" i="39"/>
  <c r="E13" i="39"/>
  <c r="D13" i="39"/>
  <c r="C13" i="39"/>
  <c r="B13" i="39"/>
  <c r="A13" i="39"/>
  <c r="Q12" i="39"/>
  <c r="P12" i="39"/>
  <c r="O12" i="39"/>
  <c r="N12" i="39"/>
  <c r="M12" i="39"/>
  <c r="L12" i="39"/>
  <c r="K12" i="39"/>
  <c r="J12" i="39"/>
  <c r="I12" i="39"/>
  <c r="H12" i="39"/>
  <c r="F12" i="39"/>
  <c r="E12" i="39"/>
  <c r="D12" i="39"/>
  <c r="C12" i="39"/>
  <c r="B12" i="39"/>
  <c r="A12" i="39"/>
  <c r="Q11" i="39"/>
  <c r="P11" i="39"/>
  <c r="O11" i="39"/>
  <c r="N11" i="39"/>
  <c r="M11" i="39"/>
  <c r="L11" i="39"/>
  <c r="K11" i="39"/>
  <c r="J11" i="39"/>
  <c r="I11" i="39"/>
  <c r="H11" i="39"/>
  <c r="G11" i="39"/>
  <c r="F11" i="39"/>
  <c r="E11" i="39"/>
  <c r="D11" i="39"/>
  <c r="C11" i="39"/>
  <c r="B11" i="39"/>
  <c r="A11" i="39"/>
  <c r="Q10" i="39"/>
  <c r="P10" i="39"/>
  <c r="O10" i="39"/>
  <c r="N10" i="39"/>
  <c r="M10" i="39"/>
  <c r="L10" i="39"/>
  <c r="K10" i="39"/>
  <c r="J10" i="39"/>
  <c r="I10" i="39"/>
  <c r="H10" i="39"/>
  <c r="G10" i="39"/>
  <c r="F10" i="39"/>
  <c r="E10" i="39"/>
  <c r="D10" i="39"/>
  <c r="C10" i="39"/>
  <c r="B10" i="39"/>
  <c r="A10" i="39"/>
  <c r="Q9" i="39"/>
  <c r="P9" i="39"/>
  <c r="O9" i="39"/>
  <c r="N9" i="39"/>
  <c r="M9" i="39"/>
  <c r="L9" i="39"/>
  <c r="K9" i="39"/>
  <c r="J9" i="39"/>
  <c r="I9" i="39"/>
  <c r="H9" i="39"/>
  <c r="G9" i="39"/>
  <c r="F9" i="39"/>
  <c r="E9" i="39"/>
  <c r="D9" i="39"/>
  <c r="C9" i="39"/>
  <c r="B9" i="39"/>
  <c r="A9" i="39"/>
  <c r="B2" i="39"/>
  <c r="Q40" i="41"/>
  <c r="P40" i="41"/>
  <c r="O40" i="41"/>
  <c r="N40" i="41"/>
  <c r="M40" i="41"/>
  <c r="L40" i="41"/>
  <c r="K40" i="41"/>
  <c r="J40" i="41"/>
  <c r="I40" i="41"/>
  <c r="H40" i="41"/>
  <c r="G40" i="41"/>
  <c r="F40" i="41"/>
  <c r="E40" i="41"/>
  <c r="D40" i="41"/>
  <c r="C40" i="41"/>
  <c r="B40" i="41"/>
  <c r="Q39" i="41"/>
  <c r="P39" i="41"/>
  <c r="O39" i="41"/>
  <c r="N39" i="41"/>
  <c r="M39" i="41"/>
  <c r="L39" i="41"/>
  <c r="K39" i="41"/>
  <c r="J39" i="41"/>
  <c r="I39" i="41"/>
  <c r="H39" i="41"/>
  <c r="G39" i="41"/>
  <c r="F39" i="41"/>
  <c r="E39" i="41"/>
  <c r="D39" i="41"/>
  <c r="C39" i="41"/>
  <c r="B39" i="41"/>
  <c r="Q38" i="41"/>
  <c r="P38" i="41"/>
  <c r="O38" i="41"/>
  <c r="N38" i="41"/>
  <c r="M38" i="41"/>
  <c r="L38" i="41"/>
  <c r="K38" i="41"/>
  <c r="J38" i="41"/>
  <c r="I38" i="41"/>
  <c r="H38" i="41"/>
  <c r="G38" i="41"/>
  <c r="F38" i="41"/>
  <c r="E38" i="41"/>
  <c r="D38" i="41"/>
  <c r="C38" i="41"/>
  <c r="B38" i="41"/>
  <c r="Q37" i="41"/>
  <c r="P37" i="41"/>
  <c r="O37" i="41"/>
  <c r="N37" i="41"/>
  <c r="M37" i="41"/>
  <c r="L37" i="41"/>
  <c r="K37" i="41"/>
  <c r="J37" i="41"/>
  <c r="I37" i="41"/>
  <c r="H37" i="41"/>
  <c r="G37" i="41"/>
  <c r="F37" i="41"/>
  <c r="E37" i="41"/>
  <c r="D37" i="41"/>
  <c r="C37" i="41"/>
  <c r="B37" i="41"/>
  <c r="Q36" i="41"/>
  <c r="P36" i="41"/>
  <c r="O36" i="41"/>
  <c r="N36" i="41"/>
  <c r="M36" i="41"/>
  <c r="L36" i="41"/>
  <c r="K36" i="41"/>
  <c r="J36" i="41"/>
  <c r="I36" i="41"/>
  <c r="H36" i="41"/>
  <c r="G36" i="41"/>
  <c r="F36" i="41"/>
  <c r="E36" i="41"/>
  <c r="D36" i="41"/>
  <c r="C36" i="41"/>
  <c r="B36" i="41"/>
  <c r="Q35" i="41"/>
  <c r="P35" i="41"/>
  <c r="O35" i="41"/>
  <c r="N35" i="41"/>
  <c r="M35" i="41"/>
  <c r="L35" i="41"/>
  <c r="K35" i="41"/>
  <c r="J35" i="41"/>
  <c r="I35" i="41"/>
  <c r="H35" i="41"/>
  <c r="G35" i="41"/>
  <c r="F35" i="41"/>
  <c r="E35" i="41"/>
  <c r="D35" i="41"/>
  <c r="C35" i="41"/>
  <c r="B35" i="41"/>
  <c r="Q34" i="41"/>
  <c r="P34" i="41"/>
  <c r="O34" i="41"/>
  <c r="N34" i="41"/>
  <c r="M34" i="41"/>
  <c r="L34" i="41"/>
  <c r="K34" i="41"/>
  <c r="J34" i="41"/>
  <c r="I34" i="41"/>
  <c r="H34" i="41"/>
  <c r="G34" i="41"/>
  <c r="F34" i="41"/>
  <c r="E34" i="41"/>
  <c r="D34" i="41"/>
  <c r="C34" i="41"/>
  <c r="B34" i="41"/>
  <c r="B2" i="41"/>
  <c r="Q40" i="40"/>
  <c r="P40" i="40"/>
  <c r="O40" i="40"/>
  <c r="N40" i="40"/>
  <c r="M40" i="40"/>
  <c r="L40" i="40"/>
  <c r="K40" i="40"/>
  <c r="J40" i="40"/>
  <c r="I40" i="40"/>
  <c r="H40" i="40"/>
  <c r="G40" i="40"/>
  <c r="F40" i="40"/>
  <c r="E40" i="40"/>
  <c r="D40" i="40"/>
  <c r="C40" i="40"/>
  <c r="B40" i="40"/>
  <c r="Q39" i="40"/>
  <c r="P39" i="40"/>
  <c r="O39" i="40"/>
  <c r="N39" i="40"/>
  <c r="M39" i="40"/>
  <c r="L39" i="40"/>
  <c r="K39" i="40"/>
  <c r="J39" i="40"/>
  <c r="I39" i="40"/>
  <c r="H39" i="40"/>
  <c r="G39" i="40"/>
  <c r="F39" i="40"/>
  <c r="E39" i="40"/>
  <c r="D39" i="40"/>
  <c r="C39" i="40"/>
  <c r="B39" i="40"/>
  <c r="Q38" i="40"/>
  <c r="P38" i="40"/>
  <c r="O38" i="40"/>
  <c r="N38" i="40"/>
  <c r="M38" i="40"/>
  <c r="L38" i="40"/>
  <c r="K38" i="40"/>
  <c r="J38" i="40"/>
  <c r="I38" i="40"/>
  <c r="H38" i="40"/>
  <c r="G38" i="40"/>
  <c r="F38" i="40"/>
  <c r="E38" i="40"/>
  <c r="D38" i="40"/>
  <c r="C38" i="40"/>
  <c r="B38" i="40"/>
  <c r="Q37" i="40"/>
  <c r="P37" i="40"/>
  <c r="O37" i="40"/>
  <c r="N37" i="40"/>
  <c r="M37" i="40"/>
  <c r="L37" i="40"/>
  <c r="K37" i="40"/>
  <c r="J37" i="40"/>
  <c r="I37" i="40"/>
  <c r="H37" i="40"/>
  <c r="G37" i="40"/>
  <c r="F37" i="40"/>
  <c r="E37" i="40"/>
  <c r="D37" i="40"/>
  <c r="C37" i="40"/>
  <c r="B37" i="40"/>
  <c r="Q36" i="40"/>
  <c r="P36" i="40"/>
  <c r="O36" i="40"/>
  <c r="N36" i="40"/>
  <c r="M36" i="40"/>
  <c r="L36" i="40"/>
  <c r="K36" i="40"/>
  <c r="J36" i="40"/>
  <c r="I36" i="40"/>
  <c r="H36" i="40"/>
  <c r="G36" i="40"/>
  <c r="F36" i="40"/>
  <c r="E36" i="40"/>
  <c r="D36" i="40"/>
  <c r="C36" i="40"/>
  <c r="B36" i="40"/>
  <c r="Q35" i="40"/>
  <c r="P35" i="40"/>
  <c r="O35" i="40"/>
  <c r="N35" i="40"/>
  <c r="M35" i="40"/>
  <c r="L35" i="40"/>
  <c r="K35" i="40"/>
  <c r="J35" i="40"/>
  <c r="I35" i="40"/>
  <c r="H35" i="40"/>
  <c r="G35" i="40"/>
  <c r="F35" i="40"/>
  <c r="E35" i="40"/>
  <c r="D35" i="40"/>
  <c r="C35" i="40"/>
  <c r="B35" i="40"/>
  <c r="Q34" i="40"/>
  <c r="P34" i="40"/>
  <c r="O34" i="40"/>
  <c r="N34" i="40"/>
  <c r="M34" i="40"/>
  <c r="L34" i="40"/>
  <c r="K34" i="40"/>
  <c r="J34" i="40"/>
  <c r="I34" i="40"/>
  <c r="H34" i="40"/>
  <c r="G34" i="40"/>
  <c r="F34" i="40"/>
  <c r="E34" i="40"/>
  <c r="D34" i="40"/>
  <c r="C34" i="40"/>
  <c r="B34" i="40"/>
  <c r="B2" i="40"/>
  <c r="Q40" i="42"/>
  <c r="P40" i="42"/>
  <c r="O40" i="42"/>
  <c r="N40" i="42"/>
  <c r="M40" i="42"/>
  <c r="L40" i="42"/>
  <c r="K40" i="42"/>
  <c r="J40" i="42"/>
  <c r="I40" i="42"/>
  <c r="H40" i="42"/>
  <c r="G40" i="42"/>
  <c r="F40" i="42"/>
  <c r="E40" i="42"/>
  <c r="D40" i="42"/>
  <c r="C40" i="42"/>
  <c r="B40" i="42"/>
  <c r="Q39" i="42"/>
  <c r="P39" i="42"/>
  <c r="O39" i="42"/>
  <c r="N39" i="42"/>
  <c r="M39" i="42"/>
  <c r="L39" i="42"/>
  <c r="K39" i="42"/>
  <c r="J39" i="42"/>
  <c r="I39" i="42"/>
  <c r="H39" i="42"/>
  <c r="G39" i="42"/>
  <c r="F39" i="42"/>
  <c r="E39" i="42"/>
  <c r="D39" i="42"/>
  <c r="C39" i="42"/>
  <c r="B39" i="42"/>
  <c r="Q38" i="42"/>
  <c r="P38" i="42"/>
  <c r="O38" i="42"/>
  <c r="N38" i="42"/>
  <c r="M38" i="42"/>
  <c r="L38" i="42"/>
  <c r="K38" i="42"/>
  <c r="J38" i="42"/>
  <c r="I38" i="42"/>
  <c r="H38" i="42"/>
  <c r="G38" i="42"/>
  <c r="F38" i="42"/>
  <c r="E38" i="42"/>
  <c r="D38" i="42"/>
  <c r="C38" i="42"/>
  <c r="B38" i="42"/>
  <c r="Q37" i="42"/>
  <c r="P37" i="42"/>
  <c r="O37" i="42"/>
  <c r="N37" i="42"/>
  <c r="M37" i="42"/>
  <c r="L37" i="42"/>
  <c r="K37" i="42"/>
  <c r="J37" i="42"/>
  <c r="I37" i="42"/>
  <c r="H37" i="42"/>
  <c r="G37" i="42"/>
  <c r="F37" i="42"/>
  <c r="E37" i="42"/>
  <c r="D37" i="42"/>
  <c r="C37" i="42"/>
  <c r="B37" i="42"/>
  <c r="Q36" i="42"/>
  <c r="P36" i="42"/>
  <c r="O36" i="42"/>
  <c r="N36" i="42"/>
  <c r="M36" i="42"/>
  <c r="L36" i="42"/>
  <c r="K36" i="42"/>
  <c r="J36" i="42"/>
  <c r="I36" i="42"/>
  <c r="H36" i="42"/>
  <c r="G36" i="42"/>
  <c r="F36" i="42"/>
  <c r="E36" i="42"/>
  <c r="D36" i="42"/>
  <c r="C36" i="42"/>
  <c r="B36" i="42"/>
  <c r="Q35" i="42"/>
  <c r="P35" i="42"/>
  <c r="O35" i="42"/>
  <c r="N35" i="42"/>
  <c r="M35" i="42"/>
  <c r="L35" i="42"/>
  <c r="K35" i="42"/>
  <c r="J35" i="42"/>
  <c r="I35" i="42"/>
  <c r="H35" i="42"/>
  <c r="G35" i="42"/>
  <c r="F35" i="42"/>
  <c r="E35" i="42"/>
  <c r="D35" i="42"/>
  <c r="C35" i="42"/>
  <c r="B35" i="42"/>
  <c r="Q34" i="42"/>
  <c r="P34" i="42"/>
  <c r="O34" i="42"/>
  <c r="N34" i="42"/>
  <c r="M34" i="42"/>
  <c r="L34" i="42"/>
  <c r="K34" i="42"/>
  <c r="J34" i="42"/>
  <c r="I34" i="42"/>
  <c r="H34" i="42"/>
  <c r="G34" i="42"/>
  <c r="F34" i="42"/>
  <c r="E34" i="42"/>
  <c r="D34" i="42"/>
  <c r="C34" i="42"/>
  <c r="B34" i="42"/>
  <c r="B2" i="42"/>
  <c r="Q40" i="33"/>
  <c r="P40" i="33"/>
  <c r="O40" i="33"/>
  <c r="N40" i="33"/>
  <c r="M40" i="33"/>
  <c r="L40" i="33"/>
  <c r="K40" i="33"/>
  <c r="J40" i="33"/>
  <c r="I40" i="33"/>
  <c r="H40" i="33"/>
  <c r="G40" i="33"/>
  <c r="F40" i="33"/>
  <c r="E40" i="33"/>
  <c r="D40" i="33"/>
  <c r="C40" i="33"/>
  <c r="B40" i="33"/>
  <c r="Q39" i="33"/>
  <c r="P39" i="33"/>
  <c r="O39" i="33"/>
  <c r="N39" i="33"/>
  <c r="M39" i="33"/>
  <c r="L39" i="33"/>
  <c r="K39" i="33"/>
  <c r="J39" i="33"/>
  <c r="I39" i="33"/>
  <c r="H39" i="33"/>
  <c r="G39" i="33"/>
  <c r="F39" i="33"/>
  <c r="E39" i="33"/>
  <c r="D39" i="33"/>
  <c r="C39" i="33"/>
  <c r="B39" i="33"/>
  <c r="Q38" i="33"/>
  <c r="P38" i="33"/>
  <c r="O38" i="33"/>
  <c r="N38" i="33"/>
  <c r="M38" i="33"/>
  <c r="L38" i="33"/>
  <c r="K38" i="33"/>
  <c r="J38" i="33"/>
  <c r="I38" i="33"/>
  <c r="H38" i="33"/>
  <c r="G38" i="33"/>
  <c r="F38" i="33"/>
  <c r="E38" i="33"/>
  <c r="D38" i="33"/>
  <c r="C38" i="33"/>
  <c r="B38" i="33"/>
  <c r="Q37" i="33"/>
  <c r="P37" i="33"/>
  <c r="O37" i="33"/>
  <c r="N37" i="33"/>
  <c r="M37" i="33"/>
  <c r="L37" i="33"/>
  <c r="K37" i="33"/>
  <c r="J37" i="33"/>
  <c r="I37" i="33"/>
  <c r="H37" i="33"/>
  <c r="G37" i="33"/>
  <c r="F37" i="33"/>
  <c r="E37" i="33"/>
  <c r="D37" i="33"/>
  <c r="C37" i="33"/>
  <c r="B37" i="33"/>
  <c r="Q36" i="33"/>
  <c r="P36" i="33"/>
  <c r="O36" i="33"/>
  <c r="N36" i="33"/>
  <c r="M36" i="33"/>
  <c r="L36" i="33"/>
  <c r="K36" i="33"/>
  <c r="J36" i="33"/>
  <c r="I36" i="33"/>
  <c r="H36" i="33"/>
  <c r="G36" i="33"/>
  <c r="F36" i="33"/>
  <c r="E36" i="33"/>
  <c r="D36" i="33"/>
  <c r="C36" i="33"/>
  <c r="B36" i="33"/>
  <c r="Q35" i="33"/>
  <c r="P35" i="33"/>
  <c r="O35" i="33"/>
  <c r="N35" i="33"/>
  <c r="M35" i="33"/>
  <c r="L35" i="33"/>
  <c r="K35" i="33"/>
  <c r="J35" i="33"/>
  <c r="I35" i="33"/>
  <c r="H35" i="33"/>
  <c r="G35" i="33"/>
  <c r="F35" i="33"/>
  <c r="E35" i="33"/>
  <c r="D35" i="33"/>
  <c r="C35" i="33"/>
  <c r="B35" i="33"/>
  <c r="Q34" i="33"/>
  <c r="P34" i="33"/>
  <c r="O34" i="33"/>
  <c r="N34" i="33"/>
  <c r="M34" i="33"/>
  <c r="L34" i="33"/>
  <c r="K34" i="33"/>
  <c r="J34" i="33"/>
  <c r="I34" i="33"/>
  <c r="H34" i="33"/>
  <c r="G34" i="33"/>
  <c r="F34" i="33"/>
  <c r="E34" i="33"/>
  <c r="D34" i="33"/>
  <c r="C34" i="33"/>
  <c r="B34" i="33"/>
  <c r="B2" i="33"/>
  <c r="Q40" i="32"/>
  <c r="P40" i="32"/>
  <c r="O40" i="32"/>
  <c r="N40" i="32"/>
  <c r="M40" i="32"/>
  <c r="L40" i="32"/>
  <c r="K40" i="32"/>
  <c r="J40" i="32"/>
  <c r="I40" i="32"/>
  <c r="H40" i="32"/>
  <c r="G40" i="32"/>
  <c r="F40" i="32"/>
  <c r="E40" i="32"/>
  <c r="D40" i="32"/>
  <c r="C40" i="32"/>
  <c r="B40" i="32"/>
  <c r="Q39" i="32"/>
  <c r="P39" i="32"/>
  <c r="O39" i="32"/>
  <c r="N39" i="32"/>
  <c r="M39" i="32"/>
  <c r="L39" i="32"/>
  <c r="K39" i="32"/>
  <c r="J39" i="32"/>
  <c r="I39" i="32"/>
  <c r="H39" i="32"/>
  <c r="G39" i="32"/>
  <c r="F39" i="32"/>
  <c r="E39" i="32"/>
  <c r="D39" i="32"/>
  <c r="C39" i="32"/>
  <c r="B39" i="32"/>
  <c r="Q38" i="32"/>
  <c r="P38" i="32"/>
  <c r="O38" i="32"/>
  <c r="N38" i="32"/>
  <c r="M38" i="32"/>
  <c r="L38" i="32"/>
  <c r="K38" i="32"/>
  <c r="J38" i="32"/>
  <c r="I38" i="32"/>
  <c r="H38" i="32"/>
  <c r="G38" i="32"/>
  <c r="F38" i="32"/>
  <c r="E38" i="32"/>
  <c r="D38" i="32"/>
  <c r="C38" i="32"/>
  <c r="B38" i="32"/>
  <c r="Q37" i="32"/>
  <c r="P37" i="32"/>
  <c r="O37" i="32"/>
  <c r="N37" i="32"/>
  <c r="M37" i="32"/>
  <c r="L37" i="32"/>
  <c r="K37" i="32"/>
  <c r="J37" i="32"/>
  <c r="I37" i="32"/>
  <c r="H37" i="32"/>
  <c r="G37" i="32"/>
  <c r="F37" i="32"/>
  <c r="E37" i="32"/>
  <c r="D37" i="32"/>
  <c r="C37" i="32"/>
  <c r="B37" i="32"/>
  <c r="Q36" i="32"/>
  <c r="P36" i="32"/>
  <c r="O36" i="32"/>
  <c r="N36" i="32"/>
  <c r="M36" i="32"/>
  <c r="L36" i="32"/>
  <c r="K36" i="32"/>
  <c r="J36" i="32"/>
  <c r="I36" i="32"/>
  <c r="H36" i="32"/>
  <c r="G36" i="32"/>
  <c r="F36" i="32"/>
  <c r="E36" i="32"/>
  <c r="D36" i="32"/>
  <c r="C36" i="32"/>
  <c r="B36" i="32"/>
  <c r="Q35" i="32"/>
  <c r="P35" i="32"/>
  <c r="O35" i="32"/>
  <c r="N35" i="32"/>
  <c r="M35" i="32"/>
  <c r="L35" i="32"/>
  <c r="K35" i="32"/>
  <c r="J35" i="32"/>
  <c r="I35" i="32"/>
  <c r="H35" i="32"/>
  <c r="G35" i="32"/>
  <c r="F35" i="32"/>
  <c r="E35" i="32"/>
  <c r="D35" i="32"/>
  <c r="C35" i="32"/>
  <c r="B35" i="32"/>
  <c r="Q34" i="32"/>
  <c r="P34" i="32"/>
  <c r="O34" i="32"/>
  <c r="N34" i="32"/>
  <c r="M34" i="32"/>
  <c r="L34" i="32"/>
  <c r="K34" i="32"/>
  <c r="J34" i="32"/>
  <c r="I34" i="32"/>
  <c r="H34" i="32"/>
  <c r="G34" i="32"/>
  <c r="F34" i="32"/>
  <c r="E34" i="32"/>
  <c r="D34" i="32"/>
  <c r="C34" i="32"/>
  <c r="B34" i="32"/>
  <c r="B2" i="32"/>
  <c r="Q40" i="31"/>
  <c r="P40" i="31"/>
  <c r="O40" i="31"/>
  <c r="N40" i="31"/>
  <c r="M40" i="31"/>
  <c r="L40" i="31"/>
  <c r="K40" i="31"/>
  <c r="J40" i="31"/>
  <c r="I40" i="31"/>
  <c r="H40" i="31"/>
  <c r="G40" i="31"/>
  <c r="F40" i="31"/>
  <c r="E40" i="31"/>
  <c r="D40" i="31"/>
  <c r="C40" i="31"/>
  <c r="B40" i="31"/>
  <c r="Q39" i="31"/>
  <c r="P39" i="31"/>
  <c r="O39" i="31"/>
  <c r="N39" i="31"/>
  <c r="M39" i="31"/>
  <c r="L39" i="31"/>
  <c r="K39" i="31"/>
  <c r="J39" i="31"/>
  <c r="I39" i="31"/>
  <c r="H39" i="31"/>
  <c r="G39" i="31"/>
  <c r="F39" i="31"/>
  <c r="E39" i="31"/>
  <c r="D39" i="31"/>
  <c r="C39" i="31"/>
  <c r="B39" i="31"/>
  <c r="Q38" i="31"/>
  <c r="P38" i="31"/>
  <c r="O38" i="31"/>
  <c r="N38" i="31"/>
  <c r="M38" i="31"/>
  <c r="L38" i="31"/>
  <c r="K38" i="31"/>
  <c r="J38" i="31"/>
  <c r="I38" i="31"/>
  <c r="H38" i="31"/>
  <c r="G38" i="31"/>
  <c r="F38" i="31"/>
  <c r="E38" i="31"/>
  <c r="D38" i="31"/>
  <c r="C38" i="31"/>
  <c r="B38" i="31"/>
  <c r="Q37" i="31"/>
  <c r="P37" i="31"/>
  <c r="O37" i="31"/>
  <c r="N37" i="31"/>
  <c r="M37" i="31"/>
  <c r="L37" i="31"/>
  <c r="K37" i="31"/>
  <c r="J37" i="31"/>
  <c r="I37" i="31"/>
  <c r="H37" i="31"/>
  <c r="G37" i="31"/>
  <c r="F37" i="31"/>
  <c r="E37" i="31"/>
  <c r="D37" i="31"/>
  <c r="C37" i="31"/>
  <c r="B37" i="31"/>
  <c r="Q36" i="31"/>
  <c r="P36" i="31"/>
  <c r="O36" i="31"/>
  <c r="N36" i="31"/>
  <c r="M36" i="31"/>
  <c r="L36" i="31"/>
  <c r="K36" i="31"/>
  <c r="J36" i="31"/>
  <c r="I36" i="31"/>
  <c r="H36" i="31"/>
  <c r="G36" i="31"/>
  <c r="F36" i="31"/>
  <c r="E36" i="31"/>
  <c r="D36" i="31"/>
  <c r="C36" i="31"/>
  <c r="B36" i="31"/>
  <c r="Q35" i="31"/>
  <c r="P35" i="31"/>
  <c r="O35" i="31"/>
  <c r="N35" i="31"/>
  <c r="M35" i="31"/>
  <c r="L35" i="31"/>
  <c r="K35" i="31"/>
  <c r="J35" i="31"/>
  <c r="I35" i="31"/>
  <c r="H35" i="31"/>
  <c r="G35" i="31"/>
  <c r="F35" i="31"/>
  <c r="E35" i="31"/>
  <c r="D35" i="31"/>
  <c r="C35" i="31"/>
  <c r="B35" i="31"/>
  <c r="Q34" i="31"/>
  <c r="P34" i="31"/>
  <c r="O34" i="31"/>
  <c r="N34" i="31"/>
  <c r="M34" i="31"/>
  <c r="L34" i="31"/>
  <c r="K34" i="31"/>
  <c r="J34" i="31"/>
  <c r="I34" i="31"/>
  <c r="H34" i="31"/>
  <c r="G34" i="31"/>
  <c r="F34" i="31"/>
  <c r="E34" i="31"/>
  <c r="D34" i="31"/>
  <c r="C34" i="31"/>
  <c r="B34" i="31"/>
  <c r="B2" i="31"/>
  <c r="Q40" i="30"/>
  <c r="P40" i="30"/>
  <c r="O40" i="30"/>
  <c r="N40" i="30"/>
  <c r="M40" i="30"/>
  <c r="L40" i="30"/>
  <c r="K40" i="30"/>
  <c r="J40" i="30"/>
  <c r="I40" i="30"/>
  <c r="H40" i="30"/>
  <c r="G40" i="30"/>
  <c r="F40" i="30"/>
  <c r="E40" i="30"/>
  <c r="D40" i="30"/>
  <c r="C40" i="30"/>
  <c r="B40" i="30"/>
  <c r="Q39" i="30"/>
  <c r="P39" i="30"/>
  <c r="O39" i="30"/>
  <c r="N39" i="30"/>
  <c r="M39" i="30"/>
  <c r="L39" i="30"/>
  <c r="K39" i="30"/>
  <c r="J39" i="30"/>
  <c r="I39" i="30"/>
  <c r="H39" i="30"/>
  <c r="G39" i="30"/>
  <c r="F39" i="30"/>
  <c r="E39" i="30"/>
  <c r="D39" i="30"/>
  <c r="C39" i="30"/>
  <c r="B39" i="30"/>
  <c r="Q38" i="30"/>
  <c r="P38" i="30"/>
  <c r="O38" i="30"/>
  <c r="N38" i="30"/>
  <c r="M38" i="30"/>
  <c r="L38" i="30"/>
  <c r="K38" i="30"/>
  <c r="J38" i="30"/>
  <c r="I38" i="30"/>
  <c r="H38" i="30"/>
  <c r="G38" i="30"/>
  <c r="F38" i="30"/>
  <c r="E38" i="30"/>
  <c r="D38" i="30"/>
  <c r="C38" i="30"/>
  <c r="B38" i="30"/>
  <c r="Q37" i="30"/>
  <c r="P37" i="30"/>
  <c r="O37" i="30"/>
  <c r="N37" i="30"/>
  <c r="M37" i="30"/>
  <c r="L37" i="30"/>
  <c r="K37" i="30"/>
  <c r="J37" i="30"/>
  <c r="I37" i="30"/>
  <c r="H37" i="30"/>
  <c r="G37" i="30"/>
  <c r="F37" i="30"/>
  <c r="E37" i="30"/>
  <c r="D37" i="30"/>
  <c r="C37" i="30"/>
  <c r="B37" i="30"/>
  <c r="Q36" i="30"/>
  <c r="P36" i="30"/>
  <c r="O36" i="30"/>
  <c r="N36" i="30"/>
  <c r="M36" i="30"/>
  <c r="L36" i="30"/>
  <c r="K36" i="30"/>
  <c r="J36" i="30"/>
  <c r="I36" i="30"/>
  <c r="H36" i="30"/>
  <c r="G36" i="30"/>
  <c r="F36" i="30"/>
  <c r="E36" i="30"/>
  <c r="D36" i="30"/>
  <c r="C36" i="30"/>
  <c r="B36" i="30"/>
  <c r="Q35" i="30"/>
  <c r="P35" i="30"/>
  <c r="O35" i="30"/>
  <c r="N35" i="30"/>
  <c r="M35" i="30"/>
  <c r="L35" i="30"/>
  <c r="K35" i="30"/>
  <c r="J35" i="30"/>
  <c r="I35" i="30"/>
  <c r="H35" i="30"/>
  <c r="G35" i="30"/>
  <c r="F35" i="30"/>
  <c r="E35" i="30"/>
  <c r="D35" i="30"/>
  <c r="C35" i="30"/>
  <c r="B35" i="30"/>
  <c r="Q34" i="30"/>
  <c r="P34" i="30"/>
  <c r="O34" i="30"/>
  <c r="N34" i="30"/>
  <c r="M34" i="30"/>
  <c r="L34" i="30"/>
  <c r="K34" i="30"/>
  <c r="J34" i="30"/>
  <c r="I34" i="30"/>
  <c r="H34" i="30"/>
  <c r="G34" i="30"/>
  <c r="F34" i="30"/>
  <c r="E34" i="30"/>
  <c r="D34" i="30"/>
  <c r="C34" i="30"/>
  <c r="B34" i="30"/>
  <c r="B2" i="30"/>
  <c r="Q40" i="29"/>
  <c r="P40" i="29"/>
  <c r="O40" i="29"/>
  <c r="N40" i="29"/>
  <c r="M40" i="29"/>
  <c r="L40" i="29"/>
  <c r="K40" i="29"/>
  <c r="J40" i="29"/>
  <c r="I40" i="29"/>
  <c r="H40" i="29"/>
  <c r="G40" i="29"/>
  <c r="F40" i="29"/>
  <c r="E40" i="29"/>
  <c r="D40" i="29"/>
  <c r="C40" i="29"/>
  <c r="B40" i="29"/>
  <c r="Q39" i="29"/>
  <c r="P39" i="29"/>
  <c r="O39" i="29"/>
  <c r="N39" i="29"/>
  <c r="M39" i="29"/>
  <c r="L39" i="29"/>
  <c r="K39" i="29"/>
  <c r="J39" i="29"/>
  <c r="I39" i="29"/>
  <c r="H39" i="29"/>
  <c r="G39" i="29"/>
  <c r="F39" i="29"/>
  <c r="E39" i="29"/>
  <c r="D39" i="29"/>
  <c r="C39" i="29"/>
  <c r="B39" i="29"/>
  <c r="Q38" i="29"/>
  <c r="P38" i="29"/>
  <c r="O38" i="29"/>
  <c r="N38" i="29"/>
  <c r="M38" i="29"/>
  <c r="L38" i="29"/>
  <c r="K38" i="29"/>
  <c r="J38" i="29"/>
  <c r="I38" i="29"/>
  <c r="H38" i="29"/>
  <c r="G38" i="29"/>
  <c r="F38" i="29"/>
  <c r="E38" i="29"/>
  <c r="D38" i="29"/>
  <c r="C38" i="29"/>
  <c r="B38" i="29"/>
  <c r="Q37" i="29"/>
  <c r="P37" i="29"/>
  <c r="O37" i="29"/>
  <c r="N37" i="29"/>
  <c r="M37" i="29"/>
  <c r="L37" i="29"/>
  <c r="K37" i="29"/>
  <c r="J37" i="29"/>
  <c r="I37" i="29"/>
  <c r="H37" i="29"/>
  <c r="G37" i="29"/>
  <c r="F37" i="29"/>
  <c r="E37" i="29"/>
  <c r="D37" i="29"/>
  <c r="C37" i="29"/>
  <c r="B37" i="29"/>
  <c r="Q36" i="29"/>
  <c r="P36" i="29"/>
  <c r="O36" i="29"/>
  <c r="N36" i="29"/>
  <c r="M36" i="29"/>
  <c r="L36" i="29"/>
  <c r="K36" i="29"/>
  <c r="J36" i="29"/>
  <c r="I36" i="29"/>
  <c r="H36" i="29"/>
  <c r="G36" i="29"/>
  <c r="F36" i="29"/>
  <c r="E36" i="29"/>
  <c r="D36" i="29"/>
  <c r="C36" i="29"/>
  <c r="B36" i="29"/>
  <c r="Q35" i="29"/>
  <c r="P35" i="29"/>
  <c r="O35" i="29"/>
  <c r="N35" i="29"/>
  <c r="M35" i="29"/>
  <c r="L35" i="29"/>
  <c r="K35" i="29"/>
  <c r="J35" i="29"/>
  <c r="I35" i="29"/>
  <c r="H35" i="29"/>
  <c r="G35" i="29"/>
  <c r="F35" i="29"/>
  <c r="E35" i="29"/>
  <c r="D35" i="29"/>
  <c r="C35" i="29"/>
  <c r="B35" i="29"/>
  <c r="Q34" i="29"/>
  <c r="P34" i="29"/>
  <c r="O34" i="29"/>
  <c r="N34" i="29"/>
  <c r="M34" i="29"/>
  <c r="L34" i="29"/>
  <c r="K34" i="29"/>
  <c r="J34" i="29"/>
  <c r="I34" i="29"/>
  <c r="H34" i="29"/>
  <c r="G34" i="29"/>
  <c r="F34" i="29"/>
  <c r="E34" i="29"/>
  <c r="D34" i="29"/>
  <c r="C34" i="29"/>
  <c r="B34" i="29"/>
  <c r="B2" i="29"/>
  <c r="Q40" i="28"/>
  <c r="P40" i="28"/>
  <c r="O40" i="28"/>
  <c r="N40" i="28"/>
  <c r="M40" i="28"/>
  <c r="L40" i="28"/>
  <c r="K40" i="28"/>
  <c r="J40" i="28"/>
  <c r="I40" i="28"/>
  <c r="H40" i="28"/>
  <c r="G40" i="28"/>
  <c r="F40" i="28"/>
  <c r="E40" i="28"/>
  <c r="D40" i="28"/>
  <c r="C40" i="28"/>
  <c r="B40" i="28"/>
  <c r="Q39" i="28"/>
  <c r="P39" i="28"/>
  <c r="O39" i="28"/>
  <c r="N39" i="28"/>
  <c r="M39" i="28"/>
  <c r="L39" i="28"/>
  <c r="K39" i="28"/>
  <c r="J39" i="28"/>
  <c r="I39" i="28"/>
  <c r="H39" i="28"/>
  <c r="G39" i="28"/>
  <c r="F39" i="28"/>
  <c r="E39" i="28"/>
  <c r="D39" i="28"/>
  <c r="C39" i="28"/>
  <c r="B39" i="28"/>
  <c r="Q38" i="28"/>
  <c r="P38" i="28"/>
  <c r="O38" i="28"/>
  <c r="N38" i="28"/>
  <c r="M38" i="28"/>
  <c r="L38" i="28"/>
  <c r="K38" i="28"/>
  <c r="J38" i="28"/>
  <c r="I38" i="28"/>
  <c r="H38" i="28"/>
  <c r="G38" i="28"/>
  <c r="F38" i="28"/>
  <c r="E38" i="28"/>
  <c r="D38" i="28"/>
  <c r="C38" i="28"/>
  <c r="B38" i="28"/>
  <c r="Q37" i="28"/>
  <c r="P37" i="28"/>
  <c r="O37" i="28"/>
  <c r="N37" i="28"/>
  <c r="M37" i="28"/>
  <c r="L37" i="28"/>
  <c r="K37" i="28"/>
  <c r="J37" i="28"/>
  <c r="I37" i="28"/>
  <c r="H37" i="28"/>
  <c r="G37" i="28"/>
  <c r="F37" i="28"/>
  <c r="E37" i="28"/>
  <c r="D37" i="28"/>
  <c r="C37" i="28"/>
  <c r="B37" i="28"/>
  <c r="Q36" i="28"/>
  <c r="P36" i="28"/>
  <c r="O36" i="28"/>
  <c r="N36" i="28"/>
  <c r="M36" i="28"/>
  <c r="L36" i="28"/>
  <c r="K36" i="28"/>
  <c r="J36" i="28"/>
  <c r="I36" i="28"/>
  <c r="H36" i="28"/>
  <c r="G36" i="28"/>
  <c r="F36" i="28"/>
  <c r="E36" i="28"/>
  <c r="D36" i="28"/>
  <c r="C36" i="28"/>
  <c r="B36" i="28"/>
  <c r="Q35" i="28"/>
  <c r="P35" i="28"/>
  <c r="O35" i="28"/>
  <c r="N35" i="28"/>
  <c r="M35" i="28"/>
  <c r="L35" i="28"/>
  <c r="K35" i="28"/>
  <c r="J35" i="28"/>
  <c r="I35" i="28"/>
  <c r="H35" i="28"/>
  <c r="G35" i="28"/>
  <c r="F35" i="28"/>
  <c r="E35" i="28"/>
  <c r="D35" i="28"/>
  <c r="C35" i="28"/>
  <c r="B35" i="28"/>
  <c r="Q34" i="28"/>
  <c r="P34" i="28"/>
  <c r="O34" i="28"/>
  <c r="N34" i="28"/>
  <c r="M34" i="28"/>
  <c r="L34" i="28"/>
  <c r="K34" i="28"/>
  <c r="J34" i="28"/>
  <c r="I34" i="28"/>
  <c r="H34" i="28"/>
  <c r="G34" i="28"/>
  <c r="F34" i="28"/>
  <c r="E34" i="28"/>
  <c r="D34" i="28"/>
  <c r="C34" i="28"/>
  <c r="B34" i="28"/>
  <c r="B2" i="28"/>
  <c r="Q40" i="27"/>
  <c r="P40" i="27"/>
  <c r="O40" i="27"/>
  <c r="N40" i="27"/>
  <c r="M40" i="27"/>
  <c r="L40" i="27"/>
  <c r="K40" i="27"/>
  <c r="J40" i="27"/>
  <c r="I40" i="27"/>
  <c r="H40" i="27"/>
  <c r="G40" i="27"/>
  <c r="F40" i="27"/>
  <c r="E40" i="27"/>
  <c r="D40" i="27"/>
  <c r="C40" i="27"/>
  <c r="B40" i="27"/>
  <c r="Q39" i="27"/>
  <c r="P39" i="27"/>
  <c r="O39" i="27"/>
  <c r="N39" i="27"/>
  <c r="M39" i="27"/>
  <c r="L39" i="27"/>
  <c r="K39" i="27"/>
  <c r="J39" i="27"/>
  <c r="I39" i="27"/>
  <c r="H39" i="27"/>
  <c r="G39" i="27"/>
  <c r="F39" i="27"/>
  <c r="E39" i="27"/>
  <c r="D39" i="27"/>
  <c r="C39" i="27"/>
  <c r="B39" i="27"/>
  <c r="Q38" i="27"/>
  <c r="P38" i="27"/>
  <c r="O38" i="27"/>
  <c r="N38" i="27"/>
  <c r="M38" i="27"/>
  <c r="L38" i="27"/>
  <c r="K38" i="27"/>
  <c r="J38" i="27"/>
  <c r="I38" i="27"/>
  <c r="H38" i="27"/>
  <c r="G38" i="27"/>
  <c r="F38" i="27"/>
  <c r="E38" i="27"/>
  <c r="D38" i="27"/>
  <c r="C38" i="27"/>
  <c r="B38" i="27"/>
  <c r="Q37" i="27"/>
  <c r="P37" i="27"/>
  <c r="O37" i="27"/>
  <c r="N37" i="27"/>
  <c r="M37" i="27"/>
  <c r="L37" i="27"/>
  <c r="K37" i="27"/>
  <c r="J37" i="27"/>
  <c r="I37" i="27"/>
  <c r="H37" i="27"/>
  <c r="G37" i="27"/>
  <c r="F37" i="27"/>
  <c r="E37" i="27"/>
  <c r="D37" i="27"/>
  <c r="C37" i="27"/>
  <c r="B37" i="27"/>
  <c r="Q36" i="27"/>
  <c r="P36" i="27"/>
  <c r="O36" i="27"/>
  <c r="N36" i="27"/>
  <c r="M36" i="27"/>
  <c r="L36" i="27"/>
  <c r="K36" i="27"/>
  <c r="J36" i="27"/>
  <c r="I36" i="27"/>
  <c r="H36" i="27"/>
  <c r="G36" i="27"/>
  <c r="F36" i="27"/>
  <c r="E36" i="27"/>
  <c r="D36" i="27"/>
  <c r="C36" i="27"/>
  <c r="B36" i="27"/>
  <c r="Q35" i="27"/>
  <c r="P35" i="27"/>
  <c r="O35" i="27"/>
  <c r="N35" i="27"/>
  <c r="M35" i="27"/>
  <c r="L35" i="27"/>
  <c r="K35" i="27"/>
  <c r="J35" i="27"/>
  <c r="I35" i="27"/>
  <c r="H35" i="27"/>
  <c r="G35" i="27"/>
  <c r="F35" i="27"/>
  <c r="E35" i="27"/>
  <c r="D35" i="27"/>
  <c r="C35" i="27"/>
  <c r="B35" i="27"/>
  <c r="Q34" i="27"/>
  <c r="P34" i="27"/>
  <c r="O34" i="27"/>
  <c r="N34" i="27"/>
  <c r="M34" i="27"/>
  <c r="L34" i="27"/>
  <c r="K34" i="27"/>
  <c r="J34" i="27"/>
  <c r="I34" i="27"/>
  <c r="H34" i="27"/>
  <c r="G34" i="27"/>
  <c r="F34" i="27"/>
  <c r="E34" i="27"/>
  <c r="D34" i="27"/>
  <c r="C34" i="27"/>
  <c r="B34" i="27"/>
  <c r="B2" i="27"/>
  <c r="Q40" i="26"/>
  <c r="P40" i="26"/>
  <c r="O40" i="26"/>
  <c r="N40" i="26"/>
  <c r="M40" i="26"/>
  <c r="L40" i="26"/>
  <c r="K40" i="26"/>
  <c r="J40" i="26"/>
  <c r="I40" i="26"/>
  <c r="H40" i="26"/>
  <c r="G40" i="26"/>
  <c r="F40" i="26"/>
  <c r="E40" i="26"/>
  <c r="D40" i="26"/>
  <c r="C40" i="26"/>
  <c r="B40" i="26"/>
  <c r="Q39" i="26"/>
  <c r="P39" i="26"/>
  <c r="O39" i="26"/>
  <c r="N39" i="26"/>
  <c r="M39" i="26"/>
  <c r="L39" i="26"/>
  <c r="K39" i="26"/>
  <c r="J39" i="26"/>
  <c r="I39" i="26"/>
  <c r="H39" i="26"/>
  <c r="G39" i="26"/>
  <c r="F39" i="26"/>
  <c r="E39" i="26"/>
  <c r="D39" i="26"/>
  <c r="C39" i="26"/>
  <c r="B39" i="26"/>
  <c r="Q38" i="26"/>
  <c r="P38" i="26"/>
  <c r="O38" i="26"/>
  <c r="N38" i="26"/>
  <c r="M38" i="26"/>
  <c r="L38" i="26"/>
  <c r="K38" i="26"/>
  <c r="J38" i="26"/>
  <c r="I38" i="26"/>
  <c r="H38" i="26"/>
  <c r="G38" i="26"/>
  <c r="F38" i="26"/>
  <c r="E38" i="26"/>
  <c r="D38" i="26"/>
  <c r="C38" i="26"/>
  <c r="B38" i="26"/>
  <c r="Q37" i="26"/>
  <c r="P37" i="26"/>
  <c r="O37" i="26"/>
  <c r="N37" i="26"/>
  <c r="M37" i="26"/>
  <c r="L37" i="26"/>
  <c r="K37" i="26"/>
  <c r="J37" i="26"/>
  <c r="I37" i="26"/>
  <c r="H37" i="26"/>
  <c r="G37" i="26"/>
  <c r="F37" i="26"/>
  <c r="E37" i="26"/>
  <c r="D37" i="26"/>
  <c r="C37" i="26"/>
  <c r="B37" i="26"/>
  <c r="Q36" i="26"/>
  <c r="P36" i="26"/>
  <c r="O36" i="26"/>
  <c r="N36" i="26"/>
  <c r="M36" i="26"/>
  <c r="L36" i="26"/>
  <c r="K36" i="26"/>
  <c r="J36" i="26"/>
  <c r="I36" i="26"/>
  <c r="H36" i="26"/>
  <c r="G36" i="26"/>
  <c r="F36" i="26"/>
  <c r="E36" i="26"/>
  <c r="D36" i="26"/>
  <c r="C36" i="26"/>
  <c r="B36" i="26"/>
  <c r="Q35" i="26"/>
  <c r="P35" i="26"/>
  <c r="O35" i="26"/>
  <c r="N35" i="26"/>
  <c r="M35" i="26"/>
  <c r="L35" i="26"/>
  <c r="K35" i="26"/>
  <c r="J35" i="26"/>
  <c r="I35" i="26"/>
  <c r="H35" i="26"/>
  <c r="G35" i="26"/>
  <c r="F35" i="26"/>
  <c r="E35" i="26"/>
  <c r="D35" i="26"/>
  <c r="C35" i="26"/>
  <c r="B35" i="26"/>
  <c r="Q34" i="26"/>
  <c r="P34" i="26"/>
  <c r="O34" i="26"/>
  <c r="N34" i="26"/>
  <c r="M34" i="26"/>
  <c r="L34" i="26"/>
  <c r="K34" i="26"/>
  <c r="J34" i="26"/>
  <c r="I34" i="26"/>
  <c r="H34" i="26"/>
  <c r="G34" i="26"/>
  <c r="F34" i="26"/>
  <c r="E34" i="26"/>
  <c r="D34" i="26"/>
  <c r="C34" i="26"/>
  <c r="B34" i="26"/>
  <c r="B2" i="26"/>
  <c r="Q40" i="25"/>
  <c r="P40" i="25"/>
  <c r="O40" i="25"/>
  <c r="N40" i="25"/>
  <c r="M40" i="25"/>
  <c r="L40" i="25"/>
  <c r="K40" i="25"/>
  <c r="J40" i="25"/>
  <c r="I40" i="25"/>
  <c r="H40" i="25"/>
  <c r="G40" i="25"/>
  <c r="F40" i="25"/>
  <c r="E40" i="25"/>
  <c r="D40" i="25"/>
  <c r="C40" i="25"/>
  <c r="B40" i="25"/>
  <c r="Q39" i="25"/>
  <c r="P39" i="25"/>
  <c r="O39" i="25"/>
  <c r="N39" i="25"/>
  <c r="M39" i="25"/>
  <c r="L39" i="25"/>
  <c r="K39" i="25"/>
  <c r="J39" i="25"/>
  <c r="I39" i="25"/>
  <c r="H39" i="25"/>
  <c r="G39" i="25"/>
  <c r="F39" i="25"/>
  <c r="E39" i="25"/>
  <c r="D39" i="25"/>
  <c r="C39" i="25"/>
  <c r="B39" i="25"/>
  <c r="Q38" i="25"/>
  <c r="P38" i="25"/>
  <c r="O38" i="25"/>
  <c r="N38" i="25"/>
  <c r="M38" i="25"/>
  <c r="L38" i="25"/>
  <c r="K38" i="25"/>
  <c r="J38" i="25"/>
  <c r="I38" i="25"/>
  <c r="H38" i="25"/>
  <c r="G38" i="25"/>
  <c r="F38" i="25"/>
  <c r="E38" i="25"/>
  <c r="D38" i="25"/>
  <c r="C38" i="25"/>
  <c r="B38" i="25"/>
  <c r="Q37" i="25"/>
  <c r="P37" i="25"/>
  <c r="O37" i="25"/>
  <c r="N37" i="25"/>
  <c r="M37" i="25"/>
  <c r="L37" i="25"/>
  <c r="K37" i="25"/>
  <c r="J37" i="25"/>
  <c r="I37" i="25"/>
  <c r="H37" i="25"/>
  <c r="G37" i="25"/>
  <c r="F37" i="25"/>
  <c r="E37" i="25"/>
  <c r="D37" i="25"/>
  <c r="C37" i="25"/>
  <c r="B37" i="25"/>
  <c r="Q36" i="25"/>
  <c r="P36" i="25"/>
  <c r="O36" i="25"/>
  <c r="N36" i="25"/>
  <c r="M36" i="25"/>
  <c r="L36" i="25"/>
  <c r="K36" i="25"/>
  <c r="J36" i="25"/>
  <c r="I36" i="25"/>
  <c r="H36" i="25"/>
  <c r="G36" i="25"/>
  <c r="F36" i="25"/>
  <c r="E36" i="25"/>
  <c r="D36" i="25"/>
  <c r="C36" i="25"/>
  <c r="B36" i="25"/>
  <c r="Q35" i="25"/>
  <c r="P35" i="25"/>
  <c r="O35" i="25"/>
  <c r="N35" i="25"/>
  <c r="M35" i="25"/>
  <c r="L35" i="25"/>
  <c r="K35" i="25"/>
  <c r="J35" i="25"/>
  <c r="I35" i="25"/>
  <c r="H35" i="25"/>
  <c r="G35" i="25"/>
  <c r="F35" i="25"/>
  <c r="E35" i="25"/>
  <c r="D35" i="25"/>
  <c r="C35" i="25"/>
  <c r="B35" i="25"/>
  <c r="Q34" i="25"/>
  <c r="P34" i="25"/>
  <c r="O34" i="25"/>
  <c r="N34" i="25"/>
  <c r="M34" i="25"/>
  <c r="L34" i="25"/>
  <c r="K34" i="25"/>
  <c r="J34" i="25"/>
  <c r="I34" i="25"/>
  <c r="H34" i="25"/>
  <c r="G34" i="25"/>
  <c r="F34" i="25"/>
  <c r="E34" i="25"/>
  <c r="D34" i="25"/>
  <c r="C34" i="25"/>
  <c r="B34" i="25"/>
  <c r="B2" i="25"/>
  <c r="Q40" i="24"/>
  <c r="P40" i="24"/>
  <c r="O40" i="24"/>
  <c r="N40" i="24"/>
  <c r="M40" i="24"/>
  <c r="L40" i="24"/>
  <c r="K40" i="24"/>
  <c r="J40" i="24"/>
  <c r="I40" i="24"/>
  <c r="H40" i="24"/>
  <c r="G40" i="24"/>
  <c r="F40" i="24"/>
  <c r="E40" i="24"/>
  <c r="D40" i="24"/>
  <c r="C40" i="24"/>
  <c r="B40" i="24"/>
  <c r="Q39" i="24"/>
  <c r="P39" i="24"/>
  <c r="O39" i="24"/>
  <c r="N39" i="24"/>
  <c r="M39" i="24"/>
  <c r="L39" i="24"/>
  <c r="K39" i="24"/>
  <c r="J39" i="24"/>
  <c r="I39" i="24"/>
  <c r="H39" i="24"/>
  <c r="G39" i="24"/>
  <c r="F39" i="24"/>
  <c r="E39" i="24"/>
  <c r="D39" i="24"/>
  <c r="C39" i="24"/>
  <c r="B39" i="24"/>
  <c r="Q38" i="24"/>
  <c r="P38" i="24"/>
  <c r="O38" i="24"/>
  <c r="N38" i="24"/>
  <c r="M38" i="24"/>
  <c r="L38" i="24"/>
  <c r="K38" i="24"/>
  <c r="J38" i="24"/>
  <c r="I38" i="24"/>
  <c r="H38" i="24"/>
  <c r="G38" i="24"/>
  <c r="F38" i="24"/>
  <c r="E38" i="24"/>
  <c r="D38" i="24"/>
  <c r="C38" i="24"/>
  <c r="B38" i="24"/>
  <c r="Q37" i="24"/>
  <c r="P37" i="24"/>
  <c r="O37" i="24"/>
  <c r="N37" i="24"/>
  <c r="M37" i="24"/>
  <c r="L37" i="24"/>
  <c r="K37" i="24"/>
  <c r="J37" i="24"/>
  <c r="I37" i="24"/>
  <c r="H37" i="24"/>
  <c r="G37" i="24"/>
  <c r="F37" i="24"/>
  <c r="E37" i="24"/>
  <c r="D37" i="24"/>
  <c r="C37" i="24"/>
  <c r="B37" i="24"/>
  <c r="Q36" i="24"/>
  <c r="P36" i="24"/>
  <c r="O36" i="24"/>
  <c r="N36" i="24"/>
  <c r="M36" i="24"/>
  <c r="L36" i="24"/>
  <c r="K36" i="24"/>
  <c r="J36" i="24"/>
  <c r="I36" i="24"/>
  <c r="H36" i="24"/>
  <c r="G36" i="24"/>
  <c r="F36" i="24"/>
  <c r="E36" i="24"/>
  <c r="D36" i="24"/>
  <c r="C36" i="24"/>
  <c r="B36" i="24"/>
  <c r="Q35" i="24"/>
  <c r="P35" i="24"/>
  <c r="O35" i="24"/>
  <c r="N35" i="24"/>
  <c r="M35" i="24"/>
  <c r="L35" i="24"/>
  <c r="K35" i="24"/>
  <c r="J35" i="24"/>
  <c r="I35" i="24"/>
  <c r="H35" i="24"/>
  <c r="G35" i="24"/>
  <c r="F35" i="24"/>
  <c r="E35" i="24"/>
  <c r="D35" i="24"/>
  <c r="C35" i="24"/>
  <c r="B35" i="24"/>
  <c r="Q34" i="24"/>
  <c r="P34" i="24"/>
  <c r="O34" i="24"/>
  <c r="N34" i="24"/>
  <c r="M34" i="24"/>
  <c r="L34" i="24"/>
  <c r="K34" i="24"/>
  <c r="J34" i="24"/>
  <c r="I34" i="24"/>
  <c r="H34" i="24"/>
  <c r="G34" i="24"/>
  <c r="F34" i="24"/>
  <c r="E34" i="24"/>
  <c r="D34" i="24"/>
  <c r="C34" i="24"/>
  <c r="B34" i="24"/>
  <c r="B2" i="24"/>
  <c r="Q40" i="23"/>
  <c r="P40" i="23"/>
  <c r="O40" i="23"/>
  <c r="N40" i="23"/>
  <c r="M40" i="23"/>
  <c r="L40" i="23"/>
  <c r="K40" i="23"/>
  <c r="J40" i="23"/>
  <c r="I40" i="23"/>
  <c r="H40" i="23"/>
  <c r="G40" i="23"/>
  <c r="F40" i="23"/>
  <c r="E40" i="23"/>
  <c r="D40" i="23"/>
  <c r="C40" i="23"/>
  <c r="B40" i="23"/>
  <c r="Q39" i="23"/>
  <c r="P39" i="23"/>
  <c r="O39" i="23"/>
  <c r="N39" i="23"/>
  <c r="M39" i="23"/>
  <c r="L39" i="23"/>
  <c r="K39" i="23"/>
  <c r="J39" i="23"/>
  <c r="I39" i="23"/>
  <c r="H39" i="23"/>
  <c r="G39" i="23"/>
  <c r="F39" i="23"/>
  <c r="E39" i="23"/>
  <c r="D39" i="23"/>
  <c r="C39" i="23"/>
  <c r="B39" i="23"/>
  <c r="Q38" i="23"/>
  <c r="P38" i="23"/>
  <c r="O38" i="23"/>
  <c r="N38" i="23"/>
  <c r="M38" i="23"/>
  <c r="L38" i="23"/>
  <c r="K38" i="23"/>
  <c r="J38" i="23"/>
  <c r="I38" i="23"/>
  <c r="H38" i="23"/>
  <c r="G38" i="23"/>
  <c r="F38" i="23"/>
  <c r="E38" i="23"/>
  <c r="D38" i="23"/>
  <c r="C38" i="23"/>
  <c r="B38" i="23"/>
  <c r="Q37" i="23"/>
  <c r="P37" i="23"/>
  <c r="O37" i="23"/>
  <c r="N37" i="23"/>
  <c r="M37" i="23"/>
  <c r="L37" i="23"/>
  <c r="K37" i="23"/>
  <c r="J37" i="23"/>
  <c r="I37" i="23"/>
  <c r="H37" i="23"/>
  <c r="G37" i="23"/>
  <c r="F37" i="23"/>
  <c r="E37" i="23"/>
  <c r="D37" i="23"/>
  <c r="C37" i="23"/>
  <c r="B37" i="23"/>
  <c r="Q36" i="23"/>
  <c r="P36" i="23"/>
  <c r="O36" i="23"/>
  <c r="N36" i="23"/>
  <c r="M36" i="23"/>
  <c r="L36" i="23"/>
  <c r="K36" i="23"/>
  <c r="J36" i="23"/>
  <c r="I36" i="23"/>
  <c r="H36" i="23"/>
  <c r="G36" i="23"/>
  <c r="F36" i="23"/>
  <c r="E36" i="23"/>
  <c r="D36" i="23"/>
  <c r="C36" i="23"/>
  <c r="B36" i="23"/>
  <c r="Q35" i="23"/>
  <c r="P35" i="23"/>
  <c r="O35" i="23"/>
  <c r="N35" i="23"/>
  <c r="M35" i="23"/>
  <c r="L35" i="23"/>
  <c r="K35" i="23"/>
  <c r="J35" i="23"/>
  <c r="I35" i="23"/>
  <c r="H35" i="23"/>
  <c r="G35" i="23"/>
  <c r="F35" i="23"/>
  <c r="E35" i="23"/>
  <c r="D35" i="23"/>
  <c r="C35" i="23"/>
  <c r="B35" i="23"/>
  <c r="Q34" i="23"/>
  <c r="P34" i="23"/>
  <c r="O34" i="23"/>
  <c r="N34" i="23"/>
  <c r="M34" i="23"/>
  <c r="L34" i="23"/>
  <c r="K34" i="23"/>
  <c r="J34" i="23"/>
  <c r="I34" i="23"/>
  <c r="H34" i="23"/>
  <c r="G34" i="23"/>
  <c r="F34" i="23"/>
  <c r="E34" i="23"/>
  <c r="D34" i="23"/>
  <c r="C34" i="23"/>
  <c r="B34" i="23"/>
  <c r="B2" i="23"/>
  <c r="Q40" i="22"/>
  <c r="P40" i="22"/>
  <c r="O40" i="22"/>
  <c r="N40" i="22"/>
  <c r="M40" i="22"/>
  <c r="L40" i="22"/>
  <c r="K40" i="22"/>
  <c r="J40" i="22"/>
  <c r="I40" i="22"/>
  <c r="H40" i="22"/>
  <c r="G40" i="22"/>
  <c r="F40" i="22"/>
  <c r="E40" i="22"/>
  <c r="D40" i="22"/>
  <c r="C40" i="22"/>
  <c r="B40" i="22"/>
  <c r="Q39" i="22"/>
  <c r="P39" i="22"/>
  <c r="O39" i="22"/>
  <c r="N39" i="22"/>
  <c r="M39" i="22"/>
  <c r="L39" i="22"/>
  <c r="K39" i="22"/>
  <c r="J39" i="22"/>
  <c r="I39" i="22"/>
  <c r="H39" i="22"/>
  <c r="G39" i="22"/>
  <c r="F39" i="22"/>
  <c r="E39" i="22"/>
  <c r="D39" i="22"/>
  <c r="C39" i="22"/>
  <c r="B39" i="22"/>
  <c r="Q38" i="22"/>
  <c r="P38" i="22"/>
  <c r="O38" i="22"/>
  <c r="N38" i="22"/>
  <c r="M38" i="22"/>
  <c r="L38" i="22"/>
  <c r="K38" i="22"/>
  <c r="J38" i="22"/>
  <c r="I38" i="22"/>
  <c r="H38" i="22"/>
  <c r="G38" i="22"/>
  <c r="F38" i="22"/>
  <c r="E38" i="22"/>
  <c r="D38" i="22"/>
  <c r="C38" i="22"/>
  <c r="B38" i="22"/>
  <c r="Q37" i="22"/>
  <c r="P37" i="22"/>
  <c r="O37" i="22"/>
  <c r="N37" i="22"/>
  <c r="M37" i="22"/>
  <c r="L37" i="22"/>
  <c r="K37" i="22"/>
  <c r="J37" i="22"/>
  <c r="I37" i="22"/>
  <c r="H37" i="22"/>
  <c r="G37" i="22"/>
  <c r="F37" i="22"/>
  <c r="E37" i="22"/>
  <c r="D37" i="22"/>
  <c r="C37" i="22"/>
  <c r="B37" i="22"/>
  <c r="Q36" i="22"/>
  <c r="P36" i="22"/>
  <c r="O36" i="22"/>
  <c r="N36" i="22"/>
  <c r="M36" i="22"/>
  <c r="L36" i="22"/>
  <c r="K36" i="22"/>
  <c r="J36" i="22"/>
  <c r="I36" i="22"/>
  <c r="H36" i="22"/>
  <c r="G36" i="22"/>
  <c r="F36" i="22"/>
  <c r="E36" i="22"/>
  <c r="D36" i="22"/>
  <c r="C36" i="22"/>
  <c r="B36" i="22"/>
  <c r="Q35" i="22"/>
  <c r="P35" i="22"/>
  <c r="O35" i="22"/>
  <c r="N35" i="22"/>
  <c r="M35" i="22"/>
  <c r="L35" i="22"/>
  <c r="K35" i="22"/>
  <c r="J35" i="22"/>
  <c r="I35" i="22"/>
  <c r="H35" i="22"/>
  <c r="G35" i="22"/>
  <c r="F35" i="22"/>
  <c r="E35" i="22"/>
  <c r="D35" i="22"/>
  <c r="C35" i="22"/>
  <c r="B35" i="22"/>
  <c r="Q34" i="22"/>
  <c r="P34" i="22"/>
  <c r="O34" i="22"/>
  <c r="N34" i="22"/>
  <c r="M34" i="22"/>
  <c r="L34" i="22"/>
  <c r="K34" i="22"/>
  <c r="J34" i="22"/>
  <c r="I34" i="22"/>
  <c r="H34" i="22"/>
  <c r="G34" i="22"/>
  <c r="F34" i="22"/>
  <c r="E34" i="22"/>
  <c r="D34" i="22"/>
  <c r="C34" i="22"/>
  <c r="B34" i="22"/>
  <c r="B2" i="22"/>
  <c r="Q40" i="21"/>
  <c r="P40" i="21"/>
  <c r="O40" i="21"/>
  <c r="N40" i="21"/>
  <c r="M40" i="21"/>
  <c r="L40" i="21"/>
  <c r="K40" i="21"/>
  <c r="J40" i="21"/>
  <c r="I40" i="21"/>
  <c r="H40" i="21"/>
  <c r="G40" i="21"/>
  <c r="F40" i="21"/>
  <c r="E40" i="21"/>
  <c r="D40" i="21"/>
  <c r="C40" i="21"/>
  <c r="B40" i="21"/>
  <c r="Q39" i="21"/>
  <c r="P39" i="21"/>
  <c r="O39" i="21"/>
  <c r="N39" i="21"/>
  <c r="M39" i="21"/>
  <c r="L39" i="21"/>
  <c r="K39" i="21"/>
  <c r="J39" i="21"/>
  <c r="I39" i="21"/>
  <c r="H39" i="21"/>
  <c r="G39" i="21"/>
  <c r="F39" i="21"/>
  <c r="E39" i="21"/>
  <c r="D39" i="21"/>
  <c r="C39" i="21"/>
  <c r="B39" i="21"/>
  <c r="Q38" i="21"/>
  <c r="P38" i="21"/>
  <c r="O38" i="21"/>
  <c r="N38" i="21"/>
  <c r="M38" i="21"/>
  <c r="L38" i="21"/>
  <c r="K38" i="21"/>
  <c r="J38" i="21"/>
  <c r="I38" i="21"/>
  <c r="H38" i="21"/>
  <c r="G38" i="21"/>
  <c r="F38" i="21"/>
  <c r="E38" i="21"/>
  <c r="D38" i="21"/>
  <c r="C38" i="21"/>
  <c r="B38" i="21"/>
  <c r="Q37" i="21"/>
  <c r="P37" i="21"/>
  <c r="O37" i="21"/>
  <c r="N37" i="21"/>
  <c r="M37" i="21"/>
  <c r="L37" i="21"/>
  <c r="K37" i="21"/>
  <c r="J37" i="21"/>
  <c r="I37" i="21"/>
  <c r="H37" i="21"/>
  <c r="G37" i="21"/>
  <c r="F37" i="21"/>
  <c r="E37" i="21"/>
  <c r="D37" i="21"/>
  <c r="C37" i="21"/>
  <c r="B37" i="21"/>
  <c r="Q36" i="21"/>
  <c r="P36" i="21"/>
  <c r="O36" i="21"/>
  <c r="N36" i="21"/>
  <c r="M36" i="21"/>
  <c r="L36" i="21"/>
  <c r="K36" i="21"/>
  <c r="J36" i="21"/>
  <c r="I36" i="21"/>
  <c r="H36" i="21"/>
  <c r="G36" i="21"/>
  <c r="F36" i="21"/>
  <c r="E36" i="21"/>
  <c r="D36" i="21"/>
  <c r="C36" i="21"/>
  <c r="B36" i="21"/>
  <c r="Q35" i="21"/>
  <c r="P35" i="21"/>
  <c r="O35" i="21"/>
  <c r="N35" i="21"/>
  <c r="M35" i="21"/>
  <c r="L35" i="21"/>
  <c r="K35" i="21"/>
  <c r="J35" i="21"/>
  <c r="I35" i="21"/>
  <c r="H35" i="21"/>
  <c r="G35" i="21"/>
  <c r="F35" i="21"/>
  <c r="E35" i="21"/>
  <c r="D35" i="21"/>
  <c r="C35" i="21"/>
  <c r="B35" i="21"/>
  <c r="Q34" i="21"/>
  <c r="P34" i="21"/>
  <c r="O34" i="21"/>
  <c r="N34" i="21"/>
  <c r="M34" i="21"/>
  <c r="L34" i="21"/>
  <c r="K34" i="21"/>
  <c r="J34" i="21"/>
  <c r="I34" i="21"/>
  <c r="H34" i="21"/>
  <c r="G34" i="21"/>
  <c r="F34" i="21"/>
  <c r="E34" i="21"/>
  <c r="D34" i="21"/>
  <c r="C34" i="21"/>
  <c r="B34" i="21"/>
  <c r="B2" i="21"/>
  <c r="Q40" i="20"/>
  <c r="P40" i="20"/>
  <c r="O40" i="20"/>
  <c r="N40" i="20"/>
  <c r="M40" i="20"/>
  <c r="L40" i="20"/>
  <c r="K40" i="20"/>
  <c r="J40" i="20"/>
  <c r="I40" i="20"/>
  <c r="H40" i="20"/>
  <c r="G40" i="20"/>
  <c r="F40" i="20"/>
  <c r="E40" i="20"/>
  <c r="D40" i="20"/>
  <c r="C40" i="20"/>
  <c r="B40" i="20"/>
  <c r="Q39" i="20"/>
  <c r="P39" i="20"/>
  <c r="O39" i="20"/>
  <c r="N39" i="20"/>
  <c r="M39" i="20"/>
  <c r="L39" i="20"/>
  <c r="K39" i="20"/>
  <c r="J39" i="20"/>
  <c r="I39" i="20"/>
  <c r="H39" i="20"/>
  <c r="G39" i="20"/>
  <c r="F39" i="20"/>
  <c r="E39" i="20"/>
  <c r="D39" i="20"/>
  <c r="C39" i="20"/>
  <c r="B39" i="20"/>
  <c r="Q38" i="20"/>
  <c r="P38" i="20"/>
  <c r="O38" i="20"/>
  <c r="N38" i="20"/>
  <c r="M38" i="20"/>
  <c r="L38" i="20"/>
  <c r="K38" i="20"/>
  <c r="J38" i="20"/>
  <c r="I38" i="20"/>
  <c r="H38" i="20"/>
  <c r="G38" i="20"/>
  <c r="F38" i="20"/>
  <c r="E38" i="20"/>
  <c r="D38" i="20"/>
  <c r="C38" i="20"/>
  <c r="B38" i="20"/>
  <c r="Q37" i="20"/>
  <c r="P37" i="20"/>
  <c r="O37" i="20"/>
  <c r="N37" i="20"/>
  <c r="M37" i="20"/>
  <c r="L37" i="20"/>
  <c r="K37" i="20"/>
  <c r="J37" i="20"/>
  <c r="I37" i="20"/>
  <c r="H37" i="20"/>
  <c r="G37" i="20"/>
  <c r="F37" i="20"/>
  <c r="E37" i="20"/>
  <c r="D37" i="20"/>
  <c r="C37" i="20"/>
  <c r="B37" i="20"/>
  <c r="Q36" i="20"/>
  <c r="P36" i="20"/>
  <c r="O36" i="20"/>
  <c r="N36" i="20"/>
  <c r="M36" i="20"/>
  <c r="L36" i="20"/>
  <c r="K36" i="20"/>
  <c r="J36" i="20"/>
  <c r="I36" i="20"/>
  <c r="H36" i="20"/>
  <c r="G36" i="20"/>
  <c r="F36" i="20"/>
  <c r="E36" i="20"/>
  <c r="D36" i="20"/>
  <c r="C36" i="20"/>
  <c r="B36" i="20"/>
  <c r="Q35" i="20"/>
  <c r="P35" i="20"/>
  <c r="O35" i="20"/>
  <c r="N35" i="20"/>
  <c r="M35" i="20"/>
  <c r="L35" i="20"/>
  <c r="K35" i="20"/>
  <c r="J35" i="20"/>
  <c r="I35" i="20"/>
  <c r="H35" i="20"/>
  <c r="G35" i="20"/>
  <c r="F35" i="20"/>
  <c r="E35" i="20"/>
  <c r="D35" i="20"/>
  <c r="C35" i="20"/>
  <c r="B35" i="20"/>
  <c r="Q34" i="20"/>
  <c r="P34" i="20"/>
  <c r="O34" i="20"/>
  <c r="N34" i="20"/>
  <c r="M34" i="20"/>
  <c r="L34" i="20"/>
  <c r="K34" i="20"/>
  <c r="J34" i="20"/>
  <c r="I34" i="20"/>
  <c r="H34" i="20"/>
  <c r="G34" i="20"/>
  <c r="F34" i="20"/>
  <c r="E34" i="20"/>
  <c r="D34" i="20"/>
  <c r="C34" i="20"/>
  <c r="B34" i="20"/>
  <c r="B2" i="20"/>
  <c r="Q40" i="19"/>
  <c r="P40" i="19"/>
  <c r="O40" i="19"/>
  <c r="N40" i="19"/>
  <c r="M40" i="19"/>
  <c r="L40" i="19"/>
  <c r="K40" i="19"/>
  <c r="J40" i="19"/>
  <c r="I40" i="19"/>
  <c r="H40" i="19"/>
  <c r="G40" i="19"/>
  <c r="F40" i="19"/>
  <c r="E40" i="19"/>
  <c r="D40" i="19"/>
  <c r="C40" i="19"/>
  <c r="B40" i="19"/>
  <c r="Q39" i="19"/>
  <c r="P39" i="19"/>
  <c r="O39" i="19"/>
  <c r="N39" i="19"/>
  <c r="M39" i="19"/>
  <c r="L39" i="19"/>
  <c r="K39" i="19"/>
  <c r="J39" i="19"/>
  <c r="I39" i="19"/>
  <c r="H39" i="19"/>
  <c r="G39" i="19"/>
  <c r="F39" i="19"/>
  <c r="E39" i="19"/>
  <c r="D39" i="19"/>
  <c r="C39" i="19"/>
  <c r="B39" i="19"/>
  <c r="Q38" i="19"/>
  <c r="P38" i="19"/>
  <c r="O38" i="19"/>
  <c r="N38" i="19"/>
  <c r="M38" i="19"/>
  <c r="L38" i="19"/>
  <c r="K38" i="19"/>
  <c r="J38" i="19"/>
  <c r="I38" i="19"/>
  <c r="H38" i="19"/>
  <c r="G38" i="19"/>
  <c r="F38" i="19"/>
  <c r="E38" i="19"/>
  <c r="D38" i="19"/>
  <c r="C38" i="19"/>
  <c r="B38" i="19"/>
  <c r="Q37" i="19"/>
  <c r="P37" i="19"/>
  <c r="O37" i="19"/>
  <c r="N37" i="19"/>
  <c r="M37" i="19"/>
  <c r="L37" i="19"/>
  <c r="K37" i="19"/>
  <c r="J37" i="19"/>
  <c r="I37" i="19"/>
  <c r="H37" i="19"/>
  <c r="G37" i="19"/>
  <c r="F37" i="19"/>
  <c r="E37" i="19"/>
  <c r="D37" i="19"/>
  <c r="C37" i="19"/>
  <c r="B37" i="19"/>
  <c r="Q36" i="19"/>
  <c r="P36" i="19"/>
  <c r="O36" i="19"/>
  <c r="N36" i="19"/>
  <c r="M36" i="19"/>
  <c r="L36" i="19"/>
  <c r="K36" i="19"/>
  <c r="J36" i="19"/>
  <c r="I36" i="19"/>
  <c r="H36" i="19"/>
  <c r="G36" i="19"/>
  <c r="F36" i="19"/>
  <c r="E36" i="19"/>
  <c r="D36" i="19"/>
  <c r="C36" i="19"/>
  <c r="B36" i="19"/>
  <c r="Q35" i="19"/>
  <c r="P35" i="19"/>
  <c r="O35" i="19"/>
  <c r="N35" i="19"/>
  <c r="M35" i="19"/>
  <c r="L35" i="19"/>
  <c r="K35" i="19"/>
  <c r="J35" i="19"/>
  <c r="I35" i="19"/>
  <c r="H35" i="19"/>
  <c r="G35" i="19"/>
  <c r="F35" i="19"/>
  <c r="E35" i="19"/>
  <c r="D35" i="19"/>
  <c r="C35" i="19"/>
  <c r="B35" i="19"/>
  <c r="Q34" i="19"/>
  <c r="P34" i="19"/>
  <c r="O34" i="19"/>
  <c r="N34" i="19"/>
  <c r="M34" i="19"/>
  <c r="L34" i="19"/>
  <c r="K34" i="19"/>
  <c r="J34" i="19"/>
  <c r="I34" i="19"/>
  <c r="H34" i="19"/>
  <c r="G34" i="19"/>
  <c r="F34" i="19"/>
  <c r="E34" i="19"/>
  <c r="D34" i="19"/>
  <c r="C34" i="19"/>
  <c r="B34" i="19"/>
  <c r="B2" i="19"/>
  <c r="Q40" i="18"/>
  <c r="P40" i="18"/>
  <c r="O40" i="18"/>
  <c r="N40" i="18"/>
  <c r="M40" i="18"/>
  <c r="L40" i="18"/>
  <c r="K40" i="18"/>
  <c r="J40" i="18"/>
  <c r="I40" i="18"/>
  <c r="H40" i="18"/>
  <c r="G40" i="18"/>
  <c r="F40" i="18"/>
  <c r="E40" i="18"/>
  <c r="D40" i="18"/>
  <c r="C40" i="18"/>
  <c r="B40" i="18"/>
  <c r="Q39" i="18"/>
  <c r="P39" i="18"/>
  <c r="O39" i="18"/>
  <c r="N39" i="18"/>
  <c r="M39" i="18"/>
  <c r="L39" i="18"/>
  <c r="K39" i="18"/>
  <c r="J39" i="18"/>
  <c r="I39" i="18"/>
  <c r="H39" i="18"/>
  <c r="G39" i="18"/>
  <c r="F39" i="18"/>
  <c r="E39" i="18"/>
  <c r="D39" i="18"/>
  <c r="C39" i="18"/>
  <c r="B39" i="18"/>
  <c r="Q38" i="18"/>
  <c r="P38" i="18"/>
  <c r="O38" i="18"/>
  <c r="N38" i="18"/>
  <c r="M38" i="18"/>
  <c r="L38" i="18"/>
  <c r="K38" i="18"/>
  <c r="J38" i="18"/>
  <c r="I38" i="18"/>
  <c r="H38" i="18"/>
  <c r="G38" i="18"/>
  <c r="F38" i="18"/>
  <c r="E38" i="18"/>
  <c r="D38" i="18"/>
  <c r="C38" i="18"/>
  <c r="B38" i="18"/>
  <c r="Q37" i="18"/>
  <c r="P37" i="18"/>
  <c r="O37" i="18"/>
  <c r="N37" i="18"/>
  <c r="M37" i="18"/>
  <c r="L37" i="18"/>
  <c r="K37" i="18"/>
  <c r="J37" i="18"/>
  <c r="I37" i="18"/>
  <c r="H37" i="18"/>
  <c r="G37" i="18"/>
  <c r="F37" i="18"/>
  <c r="E37" i="18"/>
  <c r="D37" i="18"/>
  <c r="C37" i="18"/>
  <c r="B37" i="18"/>
  <c r="Q36" i="18"/>
  <c r="P36" i="18"/>
  <c r="O36" i="18"/>
  <c r="N36" i="18"/>
  <c r="M36" i="18"/>
  <c r="L36" i="18"/>
  <c r="K36" i="18"/>
  <c r="J36" i="18"/>
  <c r="I36" i="18"/>
  <c r="H36" i="18"/>
  <c r="G36" i="18"/>
  <c r="F36" i="18"/>
  <c r="E36" i="18"/>
  <c r="D36" i="18"/>
  <c r="C36" i="18"/>
  <c r="B36" i="18"/>
  <c r="Q35" i="18"/>
  <c r="P35" i="18"/>
  <c r="O35" i="18"/>
  <c r="N35" i="18"/>
  <c r="M35" i="18"/>
  <c r="L35" i="18"/>
  <c r="K35" i="18"/>
  <c r="J35" i="18"/>
  <c r="I35" i="18"/>
  <c r="H35" i="18"/>
  <c r="G35" i="18"/>
  <c r="F35" i="18"/>
  <c r="E35" i="18"/>
  <c r="D35" i="18"/>
  <c r="C35" i="18"/>
  <c r="B35" i="18"/>
  <c r="Q34" i="18"/>
  <c r="P34" i="18"/>
  <c r="O34" i="18"/>
  <c r="N34" i="18"/>
  <c r="M34" i="18"/>
  <c r="L34" i="18"/>
  <c r="K34" i="18"/>
  <c r="J34" i="18"/>
  <c r="I34" i="18"/>
  <c r="H34" i="18"/>
  <c r="G34" i="18"/>
  <c r="F34" i="18"/>
  <c r="E34" i="18"/>
  <c r="D34" i="18"/>
  <c r="C34" i="18"/>
  <c r="B34" i="18"/>
  <c r="B2" i="18"/>
  <c r="Q40" i="17"/>
  <c r="P40" i="17"/>
  <c r="O40" i="17"/>
  <c r="N40" i="17"/>
  <c r="M40" i="17"/>
  <c r="L40" i="17"/>
  <c r="K40" i="17"/>
  <c r="J40" i="17"/>
  <c r="I40" i="17"/>
  <c r="H40" i="17"/>
  <c r="G40" i="17"/>
  <c r="F40" i="17"/>
  <c r="E40" i="17"/>
  <c r="D40" i="17"/>
  <c r="C40" i="17"/>
  <c r="B40" i="17"/>
  <c r="Q39" i="17"/>
  <c r="P39" i="17"/>
  <c r="O39" i="17"/>
  <c r="N39" i="17"/>
  <c r="M39" i="17"/>
  <c r="L39" i="17"/>
  <c r="K39" i="17"/>
  <c r="J39" i="17"/>
  <c r="I39" i="17"/>
  <c r="H39" i="17"/>
  <c r="G39" i="17"/>
  <c r="F39" i="17"/>
  <c r="E39" i="17"/>
  <c r="D39" i="17"/>
  <c r="C39" i="17"/>
  <c r="B39" i="17"/>
  <c r="Q38" i="17"/>
  <c r="P38" i="17"/>
  <c r="O38" i="17"/>
  <c r="N38" i="17"/>
  <c r="M38" i="17"/>
  <c r="L38" i="17"/>
  <c r="K38" i="17"/>
  <c r="J38" i="17"/>
  <c r="I38" i="17"/>
  <c r="H38" i="17"/>
  <c r="G38" i="17"/>
  <c r="F38" i="17"/>
  <c r="E38" i="17"/>
  <c r="D38" i="17"/>
  <c r="C38" i="17"/>
  <c r="B38" i="17"/>
  <c r="Q37" i="17"/>
  <c r="P37" i="17"/>
  <c r="O37" i="17"/>
  <c r="N37" i="17"/>
  <c r="M37" i="17"/>
  <c r="L37" i="17"/>
  <c r="K37" i="17"/>
  <c r="J37" i="17"/>
  <c r="I37" i="17"/>
  <c r="H37" i="17"/>
  <c r="G37" i="17"/>
  <c r="F37" i="17"/>
  <c r="E37" i="17"/>
  <c r="D37" i="17"/>
  <c r="C37" i="17"/>
  <c r="B37" i="17"/>
  <c r="Q36" i="17"/>
  <c r="P36" i="17"/>
  <c r="O36" i="17"/>
  <c r="N36" i="17"/>
  <c r="M36" i="17"/>
  <c r="L36" i="17"/>
  <c r="K36" i="17"/>
  <c r="J36" i="17"/>
  <c r="I36" i="17"/>
  <c r="H36" i="17"/>
  <c r="G36" i="17"/>
  <c r="F36" i="17"/>
  <c r="E36" i="17"/>
  <c r="D36" i="17"/>
  <c r="C36" i="17"/>
  <c r="B36" i="17"/>
  <c r="Q35" i="17"/>
  <c r="P35" i="17"/>
  <c r="O35" i="17"/>
  <c r="N35" i="17"/>
  <c r="M35" i="17"/>
  <c r="L35" i="17"/>
  <c r="K35" i="17"/>
  <c r="J35" i="17"/>
  <c r="I35" i="17"/>
  <c r="H35" i="17"/>
  <c r="G35" i="17"/>
  <c r="F35" i="17"/>
  <c r="E35" i="17"/>
  <c r="D35" i="17"/>
  <c r="C35" i="17"/>
  <c r="B35" i="17"/>
  <c r="Q34" i="17"/>
  <c r="P34" i="17"/>
  <c r="O34" i="17"/>
  <c r="N34" i="17"/>
  <c r="M34" i="17"/>
  <c r="L34" i="17"/>
  <c r="K34" i="17"/>
  <c r="J34" i="17"/>
  <c r="I34" i="17"/>
  <c r="H34" i="17"/>
  <c r="G34" i="17"/>
  <c r="F34" i="17"/>
  <c r="E34" i="17"/>
  <c r="D34" i="17"/>
  <c r="C34" i="17"/>
  <c r="B34" i="17"/>
  <c r="B2" i="17"/>
  <c r="Q40" i="16"/>
  <c r="P40" i="16"/>
  <c r="O40" i="16"/>
  <c r="N40" i="16"/>
  <c r="M40" i="16"/>
  <c r="L40" i="16"/>
  <c r="K40" i="16"/>
  <c r="J40" i="16"/>
  <c r="I40" i="16"/>
  <c r="H40" i="16"/>
  <c r="G40" i="16"/>
  <c r="F40" i="16"/>
  <c r="E40" i="16"/>
  <c r="D40" i="16"/>
  <c r="C40" i="16"/>
  <c r="B40" i="16"/>
  <c r="Q39" i="16"/>
  <c r="P39" i="16"/>
  <c r="O39" i="16"/>
  <c r="N39" i="16"/>
  <c r="M39" i="16"/>
  <c r="L39" i="16"/>
  <c r="K39" i="16"/>
  <c r="J39" i="16"/>
  <c r="I39" i="16"/>
  <c r="H39" i="16"/>
  <c r="G39" i="16"/>
  <c r="F39" i="16"/>
  <c r="E39" i="16"/>
  <c r="D39" i="16"/>
  <c r="C39" i="16"/>
  <c r="B39" i="16"/>
  <c r="Q38" i="16"/>
  <c r="P38" i="16"/>
  <c r="O38" i="16"/>
  <c r="N38" i="16"/>
  <c r="M38" i="16"/>
  <c r="L38" i="16"/>
  <c r="K38" i="16"/>
  <c r="J38" i="16"/>
  <c r="I38" i="16"/>
  <c r="H38" i="16"/>
  <c r="G38" i="16"/>
  <c r="F38" i="16"/>
  <c r="E38" i="16"/>
  <c r="D38" i="16"/>
  <c r="C38" i="16"/>
  <c r="B38" i="16"/>
  <c r="Q37" i="16"/>
  <c r="P37" i="16"/>
  <c r="O37" i="16"/>
  <c r="N37" i="16"/>
  <c r="M37" i="16"/>
  <c r="L37" i="16"/>
  <c r="K37" i="16"/>
  <c r="J37" i="16"/>
  <c r="I37" i="16"/>
  <c r="H37" i="16"/>
  <c r="G37" i="16"/>
  <c r="F37" i="16"/>
  <c r="E37" i="16"/>
  <c r="D37" i="16"/>
  <c r="C37" i="16"/>
  <c r="B37" i="16"/>
  <c r="Q36" i="16"/>
  <c r="P36" i="16"/>
  <c r="O36" i="16"/>
  <c r="N36" i="16"/>
  <c r="M36" i="16"/>
  <c r="L36" i="16"/>
  <c r="K36" i="16"/>
  <c r="J36" i="16"/>
  <c r="I36" i="16"/>
  <c r="H36" i="16"/>
  <c r="G36" i="16"/>
  <c r="F36" i="16"/>
  <c r="E36" i="16"/>
  <c r="D36" i="16"/>
  <c r="C36" i="16"/>
  <c r="B36" i="16"/>
  <c r="Q35" i="16"/>
  <c r="P35" i="16"/>
  <c r="O35" i="16"/>
  <c r="N35" i="16"/>
  <c r="M35" i="16"/>
  <c r="L35" i="16"/>
  <c r="K35" i="16"/>
  <c r="J35" i="16"/>
  <c r="I35" i="16"/>
  <c r="H35" i="16"/>
  <c r="G35" i="16"/>
  <c r="F35" i="16"/>
  <c r="E35" i="16"/>
  <c r="D35" i="16"/>
  <c r="C35" i="16"/>
  <c r="B35" i="16"/>
  <c r="Q34" i="16"/>
  <c r="P34" i="16"/>
  <c r="O34" i="16"/>
  <c r="N34" i="16"/>
  <c r="M34" i="16"/>
  <c r="L34" i="16"/>
  <c r="K34" i="16"/>
  <c r="J34" i="16"/>
  <c r="I34" i="16"/>
  <c r="H34" i="16"/>
  <c r="G34" i="16"/>
  <c r="F34" i="16"/>
  <c r="E34" i="16"/>
  <c r="D34" i="16"/>
  <c r="C34" i="16"/>
  <c r="B34" i="16"/>
  <c r="Q40" i="15"/>
  <c r="P40" i="15"/>
  <c r="O40" i="15"/>
  <c r="N40" i="15"/>
  <c r="M40" i="15"/>
  <c r="L40" i="15"/>
  <c r="K40" i="15"/>
  <c r="J40" i="15"/>
  <c r="I40" i="15"/>
  <c r="H40" i="15"/>
  <c r="G40" i="15"/>
  <c r="F40" i="15"/>
  <c r="E40" i="15"/>
  <c r="D40" i="15"/>
  <c r="C40" i="15"/>
  <c r="B40" i="15"/>
  <c r="Q39" i="15"/>
  <c r="P39" i="15"/>
  <c r="O39" i="15"/>
  <c r="N39" i="15"/>
  <c r="M39" i="15"/>
  <c r="L39" i="15"/>
  <c r="K39" i="15"/>
  <c r="J39" i="15"/>
  <c r="I39" i="15"/>
  <c r="H39" i="15"/>
  <c r="G39" i="15"/>
  <c r="F39" i="15"/>
  <c r="E39" i="15"/>
  <c r="D39" i="15"/>
  <c r="C39" i="15"/>
  <c r="B39" i="15"/>
  <c r="Q38" i="15"/>
  <c r="P38" i="15"/>
  <c r="O38" i="15"/>
  <c r="N38" i="15"/>
  <c r="M38" i="15"/>
  <c r="L38" i="15"/>
  <c r="K38" i="15"/>
  <c r="J38" i="15"/>
  <c r="I38" i="15"/>
  <c r="H38" i="15"/>
  <c r="G38" i="15"/>
  <c r="F38" i="15"/>
  <c r="E38" i="15"/>
  <c r="D38" i="15"/>
  <c r="C38" i="15"/>
  <c r="B38" i="15"/>
  <c r="Q37" i="15"/>
  <c r="P37" i="15"/>
  <c r="O37" i="15"/>
  <c r="N37" i="15"/>
  <c r="M37" i="15"/>
  <c r="L37" i="15"/>
  <c r="K37" i="15"/>
  <c r="J37" i="15"/>
  <c r="I37" i="15"/>
  <c r="H37" i="15"/>
  <c r="G37" i="15"/>
  <c r="F37" i="15"/>
  <c r="E37" i="15"/>
  <c r="D37" i="15"/>
  <c r="C37" i="15"/>
  <c r="B37" i="15"/>
  <c r="Q36" i="15"/>
  <c r="P36" i="15"/>
  <c r="O36" i="15"/>
  <c r="N36" i="15"/>
  <c r="M36" i="15"/>
  <c r="L36" i="15"/>
  <c r="K36" i="15"/>
  <c r="J36" i="15"/>
  <c r="I36" i="15"/>
  <c r="H36" i="15"/>
  <c r="G36" i="15"/>
  <c r="F36" i="15"/>
  <c r="E36" i="15"/>
  <c r="D36" i="15"/>
  <c r="C36" i="15"/>
  <c r="B36" i="15"/>
  <c r="Q35" i="15"/>
  <c r="P35" i="15"/>
  <c r="O35" i="15"/>
  <c r="N35" i="15"/>
  <c r="M35" i="15"/>
  <c r="L35" i="15"/>
  <c r="K35" i="15"/>
  <c r="J35" i="15"/>
  <c r="I35" i="15"/>
  <c r="H35" i="15"/>
  <c r="G35" i="15"/>
  <c r="F35" i="15"/>
  <c r="E35" i="15"/>
  <c r="D35" i="15"/>
  <c r="C35" i="15"/>
  <c r="B35" i="15"/>
  <c r="Q34" i="15"/>
  <c r="P34" i="15"/>
  <c r="O34" i="15"/>
  <c r="N34" i="15"/>
  <c r="M34" i="15"/>
  <c r="L34" i="15"/>
  <c r="K34" i="15"/>
  <c r="J34" i="15"/>
  <c r="I34" i="15"/>
  <c r="H34" i="15"/>
  <c r="G34" i="15"/>
  <c r="F34" i="15"/>
  <c r="E34" i="15"/>
  <c r="D34" i="15"/>
  <c r="C34" i="15"/>
  <c r="B34" i="15"/>
  <c r="B2" i="15"/>
  <c r="Q40" i="14"/>
  <c r="P40" i="14"/>
  <c r="O40" i="14"/>
  <c r="N40" i="14"/>
  <c r="M40" i="14"/>
  <c r="L40" i="14"/>
  <c r="K40" i="14"/>
  <c r="J40" i="14"/>
  <c r="I40" i="14"/>
  <c r="H40" i="14"/>
  <c r="G40" i="14"/>
  <c r="F40" i="14"/>
  <c r="E40" i="14"/>
  <c r="D40" i="14"/>
  <c r="C40" i="14"/>
  <c r="B40" i="14"/>
  <c r="Q39" i="14"/>
  <c r="P39" i="14"/>
  <c r="O39" i="14"/>
  <c r="N39" i="14"/>
  <c r="M39" i="14"/>
  <c r="L39" i="14"/>
  <c r="K39" i="14"/>
  <c r="J39" i="14"/>
  <c r="I39" i="14"/>
  <c r="H39" i="14"/>
  <c r="G39" i="14"/>
  <c r="F39" i="14"/>
  <c r="E39" i="14"/>
  <c r="D39" i="14"/>
  <c r="C39" i="14"/>
  <c r="B39" i="14"/>
  <c r="Q38" i="14"/>
  <c r="P38" i="14"/>
  <c r="O38" i="14"/>
  <c r="N38" i="14"/>
  <c r="M38" i="14"/>
  <c r="L38" i="14"/>
  <c r="K38" i="14"/>
  <c r="J38" i="14"/>
  <c r="I38" i="14"/>
  <c r="H38" i="14"/>
  <c r="G38" i="14"/>
  <c r="F38" i="14"/>
  <c r="E38" i="14"/>
  <c r="D38" i="14"/>
  <c r="C38" i="14"/>
  <c r="B38" i="14"/>
  <c r="Q37" i="14"/>
  <c r="P37" i="14"/>
  <c r="O37" i="14"/>
  <c r="N37" i="14"/>
  <c r="M37" i="14"/>
  <c r="L37" i="14"/>
  <c r="K37" i="14"/>
  <c r="J37" i="14"/>
  <c r="I37" i="14"/>
  <c r="H37" i="14"/>
  <c r="G37" i="14"/>
  <c r="F37" i="14"/>
  <c r="E37" i="14"/>
  <c r="D37" i="14"/>
  <c r="C37" i="14"/>
  <c r="B37" i="14"/>
  <c r="Q36" i="14"/>
  <c r="P36" i="14"/>
  <c r="O36" i="14"/>
  <c r="N36" i="14"/>
  <c r="M36" i="14"/>
  <c r="L36" i="14"/>
  <c r="K36" i="14"/>
  <c r="J36" i="14"/>
  <c r="I36" i="14"/>
  <c r="H36" i="14"/>
  <c r="G36" i="14"/>
  <c r="F36" i="14"/>
  <c r="E36" i="14"/>
  <c r="D36" i="14"/>
  <c r="C36" i="14"/>
  <c r="B36" i="14"/>
  <c r="Q35" i="14"/>
  <c r="P35" i="14"/>
  <c r="O35" i="14"/>
  <c r="N35" i="14"/>
  <c r="M35" i="14"/>
  <c r="L35" i="14"/>
  <c r="K35" i="14"/>
  <c r="J35" i="14"/>
  <c r="I35" i="14"/>
  <c r="H35" i="14"/>
  <c r="G35" i="14"/>
  <c r="F35" i="14"/>
  <c r="E35" i="14"/>
  <c r="D35" i="14"/>
  <c r="C35" i="14"/>
  <c r="B35" i="14"/>
  <c r="Q34" i="14"/>
  <c r="P34" i="14"/>
  <c r="O34" i="14"/>
  <c r="N34" i="14"/>
  <c r="M34" i="14"/>
  <c r="L34" i="14"/>
  <c r="K34" i="14"/>
  <c r="J34" i="14"/>
  <c r="I34" i="14"/>
  <c r="H34" i="14"/>
  <c r="G34" i="14"/>
  <c r="F34" i="14"/>
  <c r="E34" i="14"/>
  <c r="D34" i="14"/>
  <c r="C34" i="14"/>
  <c r="B34" i="14"/>
  <c r="B2" i="14"/>
  <c r="Q40" i="13"/>
  <c r="P40" i="13"/>
  <c r="O40" i="13"/>
  <c r="N40" i="13"/>
  <c r="M40" i="13"/>
  <c r="L40" i="13"/>
  <c r="K40" i="13"/>
  <c r="J40" i="13"/>
  <c r="I40" i="13"/>
  <c r="H40" i="13"/>
  <c r="G40" i="13"/>
  <c r="F40" i="13"/>
  <c r="E40" i="13"/>
  <c r="D40" i="13"/>
  <c r="C40" i="13"/>
  <c r="B40" i="13"/>
  <c r="Q39" i="13"/>
  <c r="P39" i="13"/>
  <c r="O39" i="13"/>
  <c r="N39" i="13"/>
  <c r="M39" i="13"/>
  <c r="L39" i="13"/>
  <c r="K39" i="13"/>
  <c r="J39" i="13"/>
  <c r="I39" i="13"/>
  <c r="H39" i="13"/>
  <c r="G39" i="13"/>
  <c r="F39" i="13"/>
  <c r="E39" i="13"/>
  <c r="D39" i="13"/>
  <c r="C39" i="13"/>
  <c r="B39" i="13"/>
  <c r="Q38" i="13"/>
  <c r="P38" i="13"/>
  <c r="O38" i="13"/>
  <c r="N38" i="13"/>
  <c r="M38" i="13"/>
  <c r="L38" i="13"/>
  <c r="K38" i="13"/>
  <c r="J38" i="13"/>
  <c r="I38" i="13"/>
  <c r="H38" i="13"/>
  <c r="G38" i="13"/>
  <c r="F38" i="13"/>
  <c r="E38" i="13"/>
  <c r="D38" i="13"/>
  <c r="C38" i="13"/>
  <c r="B38" i="13"/>
  <c r="Q37" i="13"/>
  <c r="P37" i="13"/>
  <c r="O37" i="13"/>
  <c r="N37" i="13"/>
  <c r="M37" i="13"/>
  <c r="L37" i="13"/>
  <c r="K37" i="13"/>
  <c r="J37" i="13"/>
  <c r="I37" i="13"/>
  <c r="H37" i="13"/>
  <c r="G37" i="13"/>
  <c r="F37" i="13"/>
  <c r="E37" i="13"/>
  <c r="D37" i="13"/>
  <c r="C37" i="13"/>
  <c r="B37" i="13"/>
  <c r="Q36" i="13"/>
  <c r="P36" i="13"/>
  <c r="O36" i="13"/>
  <c r="N36" i="13"/>
  <c r="M36" i="13"/>
  <c r="L36" i="13"/>
  <c r="K36" i="13"/>
  <c r="J36" i="13"/>
  <c r="I36" i="13"/>
  <c r="H36" i="13"/>
  <c r="G36" i="13"/>
  <c r="F36" i="13"/>
  <c r="E36" i="13"/>
  <c r="D36" i="13"/>
  <c r="C36" i="13"/>
  <c r="B36" i="13"/>
  <c r="Q35" i="13"/>
  <c r="P35" i="13"/>
  <c r="O35" i="13"/>
  <c r="N35" i="13"/>
  <c r="M35" i="13"/>
  <c r="L35" i="13"/>
  <c r="K35" i="13"/>
  <c r="J35" i="13"/>
  <c r="I35" i="13"/>
  <c r="H35" i="13"/>
  <c r="G35" i="13"/>
  <c r="F35" i="13"/>
  <c r="E35" i="13"/>
  <c r="D35" i="13"/>
  <c r="C35" i="13"/>
  <c r="B35" i="13"/>
  <c r="Q34" i="13"/>
  <c r="P34" i="13"/>
  <c r="O34" i="13"/>
  <c r="N34" i="13"/>
  <c r="M34" i="13"/>
  <c r="L34" i="13"/>
  <c r="K34" i="13"/>
  <c r="J34" i="13"/>
  <c r="I34" i="13"/>
  <c r="H34" i="13"/>
  <c r="G34" i="13"/>
  <c r="F34" i="13"/>
  <c r="E34" i="13"/>
  <c r="D34" i="13"/>
  <c r="C34" i="13"/>
  <c r="B34" i="13"/>
  <c r="B2" i="13"/>
  <c r="Q40" i="12"/>
  <c r="P40" i="12"/>
  <c r="O40" i="12"/>
  <c r="N40" i="12"/>
  <c r="M40" i="12"/>
  <c r="L40" i="12"/>
  <c r="K40" i="12"/>
  <c r="J40" i="12"/>
  <c r="I40" i="12"/>
  <c r="H40" i="12"/>
  <c r="G40" i="12"/>
  <c r="F40" i="12"/>
  <c r="E40" i="12"/>
  <c r="D40" i="12"/>
  <c r="C40" i="12"/>
  <c r="B40" i="12"/>
  <c r="Q39" i="12"/>
  <c r="P39" i="12"/>
  <c r="O39" i="12"/>
  <c r="N39" i="12"/>
  <c r="M39" i="12"/>
  <c r="L39" i="12"/>
  <c r="K39" i="12"/>
  <c r="J39" i="12"/>
  <c r="I39" i="12"/>
  <c r="H39" i="12"/>
  <c r="G39" i="12"/>
  <c r="F39" i="12"/>
  <c r="E39" i="12"/>
  <c r="D39" i="12"/>
  <c r="C39" i="12"/>
  <c r="B39" i="12"/>
  <c r="Q38" i="12"/>
  <c r="P38" i="12"/>
  <c r="O38" i="12"/>
  <c r="N38" i="12"/>
  <c r="M38" i="12"/>
  <c r="L38" i="12"/>
  <c r="K38" i="12"/>
  <c r="J38" i="12"/>
  <c r="I38" i="12"/>
  <c r="H38" i="12"/>
  <c r="G38" i="12"/>
  <c r="F38" i="12"/>
  <c r="E38" i="12"/>
  <c r="D38" i="12"/>
  <c r="C38" i="12"/>
  <c r="B38" i="12"/>
  <c r="Q37" i="12"/>
  <c r="P37" i="12"/>
  <c r="O37" i="12"/>
  <c r="N37" i="12"/>
  <c r="M37" i="12"/>
  <c r="L37" i="12"/>
  <c r="K37" i="12"/>
  <c r="J37" i="12"/>
  <c r="I37" i="12"/>
  <c r="H37" i="12"/>
  <c r="G37" i="12"/>
  <c r="F37" i="12"/>
  <c r="E37" i="12"/>
  <c r="D37" i="12"/>
  <c r="C37" i="12"/>
  <c r="B37" i="12"/>
  <c r="Q36" i="12"/>
  <c r="P36" i="12"/>
  <c r="O36" i="12"/>
  <c r="N36" i="12"/>
  <c r="M36" i="12"/>
  <c r="L36" i="12"/>
  <c r="K36" i="12"/>
  <c r="J36" i="12"/>
  <c r="I36" i="12"/>
  <c r="H36" i="12"/>
  <c r="G36" i="12"/>
  <c r="F36" i="12"/>
  <c r="E36" i="12"/>
  <c r="D36" i="12"/>
  <c r="C36" i="12"/>
  <c r="B36" i="12"/>
  <c r="Q35" i="12"/>
  <c r="P35" i="12"/>
  <c r="O35" i="12"/>
  <c r="N35" i="12"/>
  <c r="M35" i="12"/>
  <c r="L35" i="12"/>
  <c r="K35" i="12"/>
  <c r="J35" i="12"/>
  <c r="I35" i="12"/>
  <c r="H35" i="12"/>
  <c r="G35" i="12"/>
  <c r="F35" i="12"/>
  <c r="E35" i="12"/>
  <c r="D35" i="12"/>
  <c r="C35" i="12"/>
  <c r="B35" i="12"/>
  <c r="Q34" i="12"/>
  <c r="P34" i="12"/>
  <c r="O34" i="12"/>
  <c r="N34" i="12"/>
  <c r="M34" i="12"/>
  <c r="L34" i="12"/>
  <c r="K34" i="12"/>
  <c r="J34" i="12"/>
  <c r="I34" i="12"/>
  <c r="H34" i="12"/>
  <c r="G34" i="12"/>
  <c r="F34" i="12"/>
  <c r="E34" i="12"/>
  <c r="D34" i="12"/>
  <c r="C34" i="12"/>
  <c r="B34" i="12"/>
  <c r="B2" i="12"/>
  <c r="Q40" i="11"/>
  <c r="P40" i="11"/>
  <c r="O40" i="11"/>
  <c r="N40" i="11"/>
  <c r="M40" i="11"/>
  <c r="L40" i="11"/>
  <c r="K40" i="11"/>
  <c r="J40" i="11"/>
  <c r="I40" i="11"/>
  <c r="H40" i="11"/>
  <c r="G40" i="11"/>
  <c r="F40" i="11"/>
  <c r="E40" i="11"/>
  <c r="D40" i="11"/>
  <c r="C40" i="11"/>
  <c r="B40" i="11"/>
  <c r="Q39" i="11"/>
  <c r="P39" i="11"/>
  <c r="O39" i="11"/>
  <c r="N39" i="11"/>
  <c r="M39" i="11"/>
  <c r="L39" i="11"/>
  <c r="K39" i="11"/>
  <c r="J39" i="11"/>
  <c r="I39" i="11"/>
  <c r="H39" i="11"/>
  <c r="G39" i="11"/>
  <c r="F39" i="11"/>
  <c r="E39" i="11"/>
  <c r="D39" i="11"/>
  <c r="C39" i="11"/>
  <c r="B39" i="11"/>
  <c r="Q38" i="11"/>
  <c r="P38" i="11"/>
  <c r="O38" i="11"/>
  <c r="N38" i="11"/>
  <c r="M38" i="11"/>
  <c r="L38" i="11"/>
  <c r="K38" i="11"/>
  <c r="J38" i="11"/>
  <c r="I38" i="11"/>
  <c r="H38" i="11"/>
  <c r="G38" i="11"/>
  <c r="F38" i="11"/>
  <c r="E38" i="11"/>
  <c r="D38" i="11"/>
  <c r="C38" i="11"/>
  <c r="B38" i="11"/>
  <c r="Q37" i="11"/>
  <c r="P37" i="11"/>
  <c r="O37" i="11"/>
  <c r="N37" i="11"/>
  <c r="M37" i="11"/>
  <c r="L37" i="11"/>
  <c r="K37" i="11"/>
  <c r="J37" i="11"/>
  <c r="I37" i="11"/>
  <c r="H37" i="11"/>
  <c r="G37" i="11"/>
  <c r="F37" i="11"/>
  <c r="E37" i="11"/>
  <c r="D37" i="11"/>
  <c r="C37" i="11"/>
  <c r="B37" i="11"/>
  <c r="Q36" i="11"/>
  <c r="P36" i="11"/>
  <c r="O36" i="11"/>
  <c r="N36" i="11"/>
  <c r="M36" i="11"/>
  <c r="L36" i="11"/>
  <c r="K36" i="11"/>
  <c r="J36" i="11"/>
  <c r="I36" i="11"/>
  <c r="H36" i="11"/>
  <c r="G36" i="11"/>
  <c r="F36" i="11"/>
  <c r="E36" i="11"/>
  <c r="D36" i="11"/>
  <c r="C36" i="11"/>
  <c r="B36" i="11"/>
  <c r="Q35" i="11"/>
  <c r="P35" i="11"/>
  <c r="O35" i="11"/>
  <c r="N35" i="11"/>
  <c r="M35" i="11"/>
  <c r="L35" i="11"/>
  <c r="K35" i="11"/>
  <c r="J35" i="11"/>
  <c r="I35" i="11"/>
  <c r="H35" i="11"/>
  <c r="G35" i="11"/>
  <c r="F35" i="11"/>
  <c r="E35" i="11"/>
  <c r="D35" i="11"/>
  <c r="C35" i="11"/>
  <c r="B35" i="11"/>
  <c r="Q34" i="11"/>
  <c r="P34" i="11"/>
  <c r="O34" i="11"/>
  <c r="N34" i="11"/>
  <c r="M34" i="11"/>
  <c r="L34" i="11"/>
  <c r="K34" i="11"/>
  <c r="J34" i="11"/>
  <c r="I34" i="11"/>
  <c r="H34" i="11"/>
  <c r="G34" i="11"/>
  <c r="F34" i="11"/>
  <c r="E34" i="11"/>
  <c r="D34" i="11"/>
  <c r="C34" i="11"/>
  <c r="B34" i="11"/>
  <c r="B2" i="11"/>
  <c r="Q40" i="10"/>
  <c r="P40" i="10"/>
  <c r="O40" i="10"/>
  <c r="N40" i="10"/>
  <c r="M40" i="10"/>
  <c r="L40" i="10"/>
  <c r="K40" i="10"/>
  <c r="J40" i="10"/>
  <c r="I40" i="10"/>
  <c r="H40" i="10"/>
  <c r="G40" i="10"/>
  <c r="F40" i="10"/>
  <c r="E40" i="10"/>
  <c r="D40" i="10"/>
  <c r="C40" i="10"/>
  <c r="B40" i="10"/>
  <c r="Q39" i="10"/>
  <c r="P39" i="10"/>
  <c r="O39" i="10"/>
  <c r="N39" i="10"/>
  <c r="M39" i="10"/>
  <c r="L39" i="10"/>
  <c r="K39" i="10"/>
  <c r="J39" i="10"/>
  <c r="I39" i="10"/>
  <c r="H39" i="10"/>
  <c r="G39" i="10"/>
  <c r="F39" i="10"/>
  <c r="E39" i="10"/>
  <c r="D39" i="10"/>
  <c r="C39" i="10"/>
  <c r="B39" i="10"/>
  <c r="Q38" i="10"/>
  <c r="P38" i="10"/>
  <c r="O38" i="10"/>
  <c r="N38" i="10"/>
  <c r="M38" i="10"/>
  <c r="L38" i="10"/>
  <c r="K38" i="10"/>
  <c r="J38" i="10"/>
  <c r="I38" i="10"/>
  <c r="H38" i="10"/>
  <c r="G38" i="10"/>
  <c r="F38" i="10"/>
  <c r="E38" i="10"/>
  <c r="D38" i="10"/>
  <c r="C38" i="10"/>
  <c r="B38" i="10"/>
  <c r="Q37" i="10"/>
  <c r="P37" i="10"/>
  <c r="O37" i="10"/>
  <c r="N37" i="10"/>
  <c r="M37" i="10"/>
  <c r="L37" i="10"/>
  <c r="K37" i="10"/>
  <c r="J37" i="10"/>
  <c r="I37" i="10"/>
  <c r="H37" i="10"/>
  <c r="G37" i="10"/>
  <c r="F37" i="10"/>
  <c r="E37" i="10"/>
  <c r="D37" i="10"/>
  <c r="C37" i="10"/>
  <c r="B37" i="10"/>
  <c r="Q36" i="10"/>
  <c r="P36" i="10"/>
  <c r="O36" i="10"/>
  <c r="N36" i="10"/>
  <c r="M36" i="10"/>
  <c r="L36" i="10"/>
  <c r="K36" i="10"/>
  <c r="J36" i="10"/>
  <c r="I36" i="10"/>
  <c r="H36" i="10"/>
  <c r="G36" i="10"/>
  <c r="F36" i="10"/>
  <c r="E36" i="10"/>
  <c r="D36" i="10"/>
  <c r="C36" i="10"/>
  <c r="B36" i="10"/>
  <c r="Q35" i="10"/>
  <c r="P35" i="10"/>
  <c r="O35" i="10"/>
  <c r="N35" i="10"/>
  <c r="M35" i="10"/>
  <c r="L35" i="10"/>
  <c r="K35" i="10"/>
  <c r="J35" i="10"/>
  <c r="I35" i="10"/>
  <c r="H35" i="10"/>
  <c r="G35" i="10"/>
  <c r="F35" i="10"/>
  <c r="E35" i="10"/>
  <c r="D35" i="10"/>
  <c r="C35" i="10"/>
  <c r="B35" i="10"/>
  <c r="Q34" i="10"/>
  <c r="P34" i="10"/>
  <c r="O34" i="10"/>
  <c r="N34" i="10"/>
  <c r="M34" i="10"/>
  <c r="L34" i="10"/>
  <c r="K34" i="10"/>
  <c r="J34" i="10"/>
  <c r="I34" i="10"/>
  <c r="H34" i="10"/>
  <c r="G34" i="10"/>
  <c r="F34" i="10"/>
  <c r="E34" i="10"/>
  <c r="D34" i="10"/>
  <c r="C34" i="10"/>
  <c r="B34" i="10"/>
  <c r="B2" i="10"/>
  <c r="Q40" i="9"/>
  <c r="P40" i="9"/>
  <c r="O40" i="9"/>
  <c r="N40" i="9"/>
  <c r="M40" i="9"/>
  <c r="L40" i="9"/>
  <c r="K40" i="9"/>
  <c r="J40" i="9"/>
  <c r="I40" i="9"/>
  <c r="H40" i="9"/>
  <c r="G40" i="9"/>
  <c r="F40" i="9"/>
  <c r="E40" i="9"/>
  <c r="D40" i="9"/>
  <c r="C40" i="9"/>
  <c r="B40" i="9"/>
  <c r="Q39" i="9"/>
  <c r="P39" i="9"/>
  <c r="O39" i="9"/>
  <c r="N39" i="9"/>
  <c r="M39" i="9"/>
  <c r="L39" i="9"/>
  <c r="K39" i="9"/>
  <c r="J39" i="9"/>
  <c r="I39" i="9"/>
  <c r="H39" i="9"/>
  <c r="G39" i="9"/>
  <c r="F39" i="9"/>
  <c r="E39" i="9"/>
  <c r="D39" i="9"/>
  <c r="C39" i="9"/>
  <c r="B39" i="9"/>
  <c r="Q38" i="9"/>
  <c r="P38" i="9"/>
  <c r="O38" i="9"/>
  <c r="N38" i="9"/>
  <c r="M38" i="9"/>
  <c r="L38" i="9"/>
  <c r="K38" i="9"/>
  <c r="J38" i="9"/>
  <c r="I38" i="9"/>
  <c r="H38" i="9"/>
  <c r="G38" i="9"/>
  <c r="F38" i="9"/>
  <c r="E38" i="9"/>
  <c r="D38" i="9"/>
  <c r="C38" i="9"/>
  <c r="B38" i="9"/>
  <c r="Q37" i="9"/>
  <c r="P37" i="9"/>
  <c r="O37" i="9"/>
  <c r="N37" i="9"/>
  <c r="M37" i="9"/>
  <c r="L37" i="9"/>
  <c r="K37" i="9"/>
  <c r="J37" i="9"/>
  <c r="I37" i="9"/>
  <c r="H37" i="9"/>
  <c r="G37" i="9"/>
  <c r="F37" i="9"/>
  <c r="E37" i="9"/>
  <c r="D37" i="9"/>
  <c r="C37" i="9"/>
  <c r="B37" i="9"/>
  <c r="Q36" i="9"/>
  <c r="P36" i="9"/>
  <c r="O36" i="9"/>
  <c r="N36" i="9"/>
  <c r="M36" i="9"/>
  <c r="L36" i="9"/>
  <c r="K36" i="9"/>
  <c r="J36" i="9"/>
  <c r="I36" i="9"/>
  <c r="H36" i="9"/>
  <c r="G36" i="9"/>
  <c r="F36" i="9"/>
  <c r="E36" i="9"/>
  <c r="D36" i="9"/>
  <c r="C36" i="9"/>
  <c r="B36" i="9"/>
  <c r="Q35" i="9"/>
  <c r="P35" i="9"/>
  <c r="O35" i="9"/>
  <c r="N35" i="9"/>
  <c r="M35" i="9"/>
  <c r="L35" i="9"/>
  <c r="K35" i="9"/>
  <c r="J35" i="9"/>
  <c r="I35" i="9"/>
  <c r="H35" i="9"/>
  <c r="G35" i="9"/>
  <c r="F35" i="9"/>
  <c r="E35" i="9"/>
  <c r="D35" i="9"/>
  <c r="C35" i="9"/>
  <c r="B35" i="9"/>
  <c r="Q34" i="9"/>
  <c r="P34" i="9"/>
  <c r="O34" i="9"/>
  <c r="N34" i="9"/>
  <c r="M34" i="9"/>
  <c r="L34" i="9"/>
  <c r="K34" i="9"/>
  <c r="J34" i="9"/>
  <c r="I34" i="9"/>
  <c r="H34" i="9"/>
  <c r="G34" i="9"/>
  <c r="F34" i="9"/>
  <c r="E34" i="9"/>
  <c r="D34" i="9"/>
  <c r="C34" i="9"/>
  <c r="B34" i="9"/>
  <c r="B2" i="9"/>
  <c r="Q40" i="8"/>
  <c r="P40" i="8"/>
  <c r="O40" i="8"/>
  <c r="N40" i="8"/>
  <c r="M40" i="8"/>
  <c r="L40" i="8"/>
  <c r="K40" i="8"/>
  <c r="J40" i="8"/>
  <c r="I40" i="8"/>
  <c r="H40" i="8"/>
  <c r="G40" i="8"/>
  <c r="F40" i="8"/>
  <c r="E40" i="8"/>
  <c r="D40" i="8"/>
  <c r="C40" i="8"/>
  <c r="B40" i="8"/>
  <c r="Q39" i="8"/>
  <c r="P39" i="8"/>
  <c r="O39" i="8"/>
  <c r="N39" i="8"/>
  <c r="M39" i="8"/>
  <c r="L39" i="8"/>
  <c r="K39" i="8"/>
  <c r="J39" i="8"/>
  <c r="I39" i="8"/>
  <c r="H39" i="8"/>
  <c r="G39" i="8"/>
  <c r="F39" i="8"/>
  <c r="E39" i="8"/>
  <c r="D39" i="8"/>
  <c r="C39" i="8"/>
  <c r="B39" i="8"/>
  <c r="Q38" i="8"/>
  <c r="P38" i="8"/>
  <c r="O38" i="8"/>
  <c r="N38" i="8"/>
  <c r="M38" i="8"/>
  <c r="L38" i="8"/>
  <c r="K38" i="8"/>
  <c r="J38" i="8"/>
  <c r="I38" i="8"/>
  <c r="H38" i="8"/>
  <c r="G38" i="8"/>
  <c r="F38" i="8"/>
  <c r="E38" i="8"/>
  <c r="D38" i="8"/>
  <c r="C38" i="8"/>
  <c r="B38" i="8"/>
  <c r="Q37" i="8"/>
  <c r="P37" i="8"/>
  <c r="O37" i="8"/>
  <c r="N37" i="8"/>
  <c r="M37" i="8"/>
  <c r="L37" i="8"/>
  <c r="K37" i="8"/>
  <c r="J37" i="8"/>
  <c r="I37" i="8"/>
  <c r="H37" i="8"/>
  <c r="G37" i="8"/>
  <c r="F37" i="8"/>
  <c r="E37" i="8"/>
  <c r="D37" i="8"/>
  <c r="C37" i="8"/>
  <c r="B37" i="8"/>
  <c r="Q36" i="8"/>
  <c r="P36" i="8"/>
  <c r="O36" i="8"/>
  <c r="N36" i="8"/>
  <c r="M36" i="8"/>
  <c r="L36" i="8"/>
  <c r="K36" i="8"/>
  <c r="J36" i="8"/>
  <c r="I36" i="8"/>
  <c r="H36" i="8"/>
  <c r="G36" i="8"/>
  <c r="F36" i="8"/>
  <c r="E36" i="8"/>
  <c r="D36" i="8"/>
  <c r="C36" i="8"/>
  <c r="B36" i="8"/>
  <c r="Q35" i="8"/>
  <c r="P35" i="8"/>
  <c r="O35" i="8"/>
  <c r="N35" i="8"/>
  <c r="M35" i="8"/>
  <c r="L35" i="8"/>
  <c r="K35" i="8"/>
  <c r="J35" i="8"/>
  <c r="I35" i="8"/>
  <c r="H35" i="8"/>
  <c r="G35" i="8"/>
  <c r="F35" i="8"/>
  <c r="E35" i="8"/>
  <c r="D35" i="8"/>
  <c r="C35" i="8"/>
  <c r="B35" i="8"/>
  <c r="Q34" i="8"/>
  <c r="P34" i="8"/>
  <c r="O34" i="8"/>
  <c r="N34" i="8"/>
  <c r="M34" i="8"/>
  <c r="L34" i="8"/>
  <c r="K34" i="8"/>
  <c r="J34" i="8"/>
  <c r="I34" i="8"/>
  <c r="H34" i="8"/>
  <c r="G34" i="8"/>
  <c r="F34" i="8"/>
  <c r="E34" i="8"/>
  <c r="D34" i="8"/>
  <c r="C34" i="8"/>
  <c r="B34" i="8"/>
  <c r="B2" i="8"/>
  <c r="Q40" i="3"/>
  <c r="P40" i="3"/>
  <c r="O40" i="3"/>
  <c r="N40" i="3"/>
  <c r="M40" i="3"/>
  <c r="L40" i="3"/>
  <c r="K40" i="3"/>
  <c r="J40" i="3"/>
  <c r="I40" i="3"/>
  <c r="H40" i="3"/>
  <c r="G40" i="3"/>
  <c r="F40" i="3"/>
  <c r="E40" i="3"/>
  <c r="D40" i="3"/>
  <c r="C40" i="3"/>
  <c r="B40" i="3"/>
  <c r="Q39" i="3"/>
  <c r="P39" i="3"/>
  <c r="O39" i="3"/>
  <c r="N39" i="3"/>
  <c r="M39" i="3"/>
  <c r="L39" i="3"/>
  <c r="K39" i="3"/>
  <c r="J39" i="3"/>
  <c r="I39" i="3"/>
  <c r="H39" i="3"/>
  <c r="G39" i="3"/>
  <c r="F39" i="3"/>
  <c r="E39" i="3"/>
  <c r="D39" i="3"/>
  <c r="C39" i="3"/>
  <c r="B39" i="3"/>
  <c r="Q38" i="3"/>
  <c r="P38" i="3"/>
  <c r="O38" i="3"/>
  <c r="N38" i="3"/>
  <c r="M38" i="3"/>
  <c r="L38" i="3"/>
  <c r="K38" i="3"/>
  <c r="J38" i="3"/>
  <c r="I38" i="3"/>
  <c r="H38" i="3"/>
  <c r="G38" i="3"/>
  <c r="F38" i="3"/>
  <c r="E38" i="3"/>
  <c r="D38" i="3"/>
  <c r="C38" i="3"/>
  <c r="B38" i="3"/>
  <c r="Q37" i="3"/>
  <c r="P37" i="3"/>
  <c r="O37" i="3"/>
  <c r="N37" i="3"/>
  <c r="M37" i="3"/>
  <c r="L37" i="3"/>
  <c r="K37" i="3"/>
  <c r="J37" i="3"/>
  <c r="I37" i="3"/>
  <c r="H37" i="3"/>
  <c r="G37" i="3"/>
  <c r="F37" i="3"/>
  <c r="E37" i="3"/>
  <c r="D37" i="3"/>
  <c r="C37" i="3"/>
  <c r="B37" i="3"/>
  <c r="Q36" i="3"/>
  <c r="P36" i="3"/>
  <c r="O36" i="3"/>
  <c r="N36" i="3"/>
  <c r="M36" i="3"/>
  <c r="L36" i="3"/>
  <c r="K36" i="3"/>
  <c r="J36" i="3"/>
  <c r="I36" i="3"/>
  <c r="H36" i="3"/>
  <c r="G36" i="3"/>
  <c r="F36" i="3"/>
  <c r="E36" i="3"/>
  <c r="D36" i="3"/>
  <c r="C36" i="3"/>
  <c r="B36" i="3"/>
  <c r="Q35" i="3"/>
  <c r="P35" i="3"/>
  <c r="O35" i="3"/>
  <c r="N35" i="3"/>
  <c r="M35" i="3"/>
  <c r="L35" i="3"/>
  <c r="K35" i="3"/>
  <c r="J35" i="3"/>
  <c r="I35" i="3"/>
  <c r="H35" i="3"/>
  <c r="G35" i="3"/>
  <c r="F35" i="3"/>
  <c r="E35" i="3"/>
  <c r="D35" i="3"/>
  <c r="C35" i="3"/>
  <c r="B35" i="3"/>
  <c r="Q34" i="3"/>
  <c r="P34" i="3"/>
  <c r="O34" i="3"/>
  <c r="N34" i="3"/>
  <c r="M34" i="3"/>
  <c r="L34" i="3"/>
  <c r="K34" i="3"/>
  <c r="J34" i="3"/>
  <c r="I34" i="3"/>
  <c r="H34" i="3"/>
  <c r="G34" i="3"/>
  <c r="F34" i="3"/>
  <c r="E34" i="3"/>
  <c r="D34" i="3"/>
  <c r="C34" i="3"/>
  <c r="B34" i="3"/>
  <c r="B2" i="3"/>
  <c r="Q40" i="2"/>
  <c r="P40" i="2"/>
  <c r="O40" i="2"/>
  <c r="N40" i="2"/>
  <c r="M40" i="2"/>
  <c r="L40" i="2"/>
  <c r="K40" i="2"/>
  <c r="J40" i="2"/>
  <c r="I40" i="2"/>
  <c r="H40" i="2"/>
  <c r="G40" i="2"/>
  <c r="F40" i="2"/>
  <c r="E40" i="2"/>
  <c r="D40" i="2"/>
  <c r="C40" i="2"/>
  <c r="B40" i="2"/>
  <c r="Q39" i="2"/>
  <c r="P39" i="2"/>
  <c r="O39" i="2"/>
  <c r="N39" i="2"/>
  <c r="M39" i="2"/>
  <c r="L39" i="2"/>
  <c r="K39" i="2"/>
  <c r="J39" i="2"/>
  <c r="I39" i="2"/>
  <c r="H39" i="2"/>
  <c r="G39" i="2"/>
  <c r="F39" i="2"/>
  <c r="E39" i="2"/>
  <c r="D39" i="2"/>
  <c r="C39" i="2"/>
  <c r="B39" i="2"/>
  <c r="Q38" i="2"/>
  <c r="P38" i="2"/>
  <c r="O38" i="2"/>
  <c r="N38" i="2"/>
  <c r="M38" i="2"/>
  <c r="L38" i="2"/>
  <c r="K38" i="2"/>
  <c r="J38" i="2"/>
  <c r="I38" i="2"/>
  <c r="H38" i="2"/>
  <c r="G38" i="2"/>
  <c r="F38" i="2"/>
  <c r="E38" i="2"/>
  <c r="D38" i="2"/>
  <c r="C38" i="2"/>
  <c r="B38" i="2"/>
  <c r="Q37" i="2"/>
  <c r="P37" i="2"/>
  <c r="O37" i="2"/>
  <c r="N37" i="2"/>
  <c r="M37" i="2"/>
  <c r="L37" i="2"/>
  <c r="K37" i="2"/>
  <c r="J37" i="2"/>
  <c r="I37" i="2"/>
  <c r="H37" i="2"/>
  <c r="G37" i="2"/>
  <c r="F37" i="2"/>
  <c r="E37" i="2"/>
  <c r="D37" i="2"/>
  <c r="C37" i="2"/>
  <c r="B37" i="2"/>
  <c r="Q36" i="2"/>
  <c r="P36" i="2"/>
  <c r="O36" i="2"/>
  <c r="N36" i="2"/>
  <c r="M36" i="2"/>
  <c r="L36" i="2"/>
  <c r="K36" i="2"/>
  <c r="J36" i="2"/>
  <c r="I36" i="2"/>
  <c r="H36" i="2"/>
  <c r="G36" i="2"/>
  <c r="F36" i="2"/>
  <c r="E36" i="2"/>
  <c r="D36" i="2"/>
  <c r="C36" i="2"/>
  <c r="B36" i="2"/>
  <c r="Q35" i="2"/>
  <c r="P35" i="2"/>
  <c r="O35" i="2"/>
  <c r="N35" i="2"/>
  <c r="M35" i="2"/>
  <c r="L35" i="2"/>
  <c r="K35" i="2"/>
  <c r="J35" i="2"/>
  <c r="I35" i="2"/>
  <c r="H35" i="2"/>
  <c r="G35" i="2"/>
  <c r="F35" i="2"/>
  <c r="E35" i="2"/>
  <c r="D35" i="2"/>
  <c r="C35" i="2"/>
  <c r="B35" i="2"/>
  <c r="Q34" i="2"/>
  <c r="P34" i="2"/>
  <c r="O34" i="2"/>
  <c r="N34" i="2"/>
  <c r="M34" i="2"/>
  <c r="L34" i="2"/>
  <c r="K34" i="2"/>
  <c r="J34" i="2"/>
  <c r="I34" i="2"/>
  <c r="H34" i="2"/>
  <c r="G34" i="2"/>
  <c r="F34" i="2"/>
  <c r="E34" i="2"/>
  <c r="D34" i="2"/>
  <c r="C34" i="2"/>
  <c r="B34" i="2"/>
  <c r="B2" i="2"/>
</calcChain>
</file>

<file path=xl/sharedStrings.xml><?xml version="1.0" encoding="utf-8"?>
<sst xmlns="http://schemas.openxmlformats.org/spreadsheetml/2006/main" count="7221" uniqueCount="810">
  <si>
    <t>Date:</t>
  </si>
  <si>
    <t>Status</t>
  </si>
  <si>
    <t>Station:</t>
  </si>
  <si>
    <t>Power Off</t>
  </si>
  <si>
    <t>Pw.Off</t>
  </si>
  <si>
    <t>Link Fail</t>
  </si>
  <si>
    <t>Link F</t>
  </si>
  <si>
    <t>Maintenance</t>
  </si>
  <si>
    <t>Maint.</t>
  </si>
  <si>
    <t>Report Type:</t>
  </si>
  <si>
    <t>Mean</t>
  </si>
  <si>
    <t>Calibration</t>
  </si>
  <si>
    <t>Calib.</t>
  </si>
  <si>
    <t>Data Fail</t>
  </si>
  <si>
    <t>Data F</t>
  </si>
  <si>
    <t>Invalid</t>
  </si>
  <si>
    <t>Time Base:</t>
  </si>
  <si>
    <t>Zero Referrence</t>
  </si>
  <si>
    <t>Z.Ref</t>
  </si>
  <si>
    <t>Warm Up</t>
  </si>
  <si>
    <t>Wm. Up</t>
  </si>
  <si>
    <t>Date &amp; Time</t>
  </si>
  <si>
    <t>ug/m3</t>
  </si>
  <si>
    <t>mg/m3</t>
  </si>
  <si>
    <t>m/sec</t>
  </si>
  <si>
    <t>deg</t>
  </si>
  <si>
    <t>%</t>
  </si>
  <si>
    <t>degreC</t>
  </si>
  <si>
    <t>w/m2</t>
  </si>
  <si>
    <t>mm</t>
  </si>
  <si>
    <t>Min</t>
  </si>
  <si>
    <t>Max</t>
  </si>
  <si>
    <t>Avg</t>
  </si>
  <si>
    <t>Num</t>
  </si>
  <si>
    <t>DCR</t>
  </si>
  <si>
    <t>Done by</t>
  </si>
  <si>
    <t>Comment</t>
  </si>
  <si>
    <t>24 HRS</t>
  </si>
  <si>
    <t>Stdev</t>
  </si>
  <si>
    <t xml:space="preserve"> 01 Hour</t>
  </si>
  <si>
    <t>KK</t>
  </si>
  <si>
    <t>BHATAGAON ,RAIPUR</t>
  </si>
  <si>
    <t>RAHUL</t>
  </si>
  <si>
    <t>BHATAGAON RAIPUR</t>
  </si>
  <si>
    <t>NO2_BHATAGAON</t>
  </si>
  <si>
    <t>NOX_BHATAGAON</t>
  </si>
  <si>
    <t>SO2_BHATAGAON</t>
  </si>
  <si>
    <t>O3_BHATAGAON</t>
  </si>
  <si>
    <t>PM10_BHATAGAON</t>
  </si>
  <si>
    <t>PM2_5_BHATAGAON</t>
  </si>
  <si>
    <t>BENZ_BHATAGAON</t>
  </si>
  <si>
    <t>WS_BHATAGAON</t>
  </si>
  <si>
    <t>WD_BHATAGAON</t>
  </si>
  <si>
    <t>TEMP_BHATAGAON</t>
  </si>
  <si>
    <t>HUM BHATAGAON</t>
  </si>
  <si>
    <t>SR_BHATAGAON</t>
  </si>
  <si>
    <t>RG_BHATAGAON</t>
  </si>
  <si>
    <t>CO_BHATAGAON</t>
  </si>
  <si>
    <t>NH3_BHATAGAON</t>
  </si>
  <si>
    <t>NO_BHATAGAON</t>
  </si>
  <si>
    <t xml:space="preserve">BHATAGAON RAIPUR </t>
  </si>
  <si>
    <t>SR</t>
  </si>
  <si>
    <t>01-10-2022 01:00</t>
  </si>
  <si>
    <t>01-10-2022 02:00</t>
  </si>
  <si>
    <t>01-10-2022 03:00</t>
  </si>
  <si>
    <t>01-10-2022 04:00</t>
  </si>
  <si>
    <t>01-10-2022 05:00</t>
  </si>
  <si>
    <t>01-10-2022 06:00</t>
  </si>
  <si>
    <t>01-10-2022 07:00</t>
  </si>
  <si>
    <t>01-10-2022 08:00</t>
  </si>
  <si>
    <t>01-10-2022 09:00</t>
  </si>
  <si>
    <t>01-10-2022 10:00</t>
  </si>
  <si>
    <t>01-10-2022 11:00</t>
  </si>
  <si>
    <t>01-10-2022 12:00</t>
  </si>
  <si>
    <t>01-10-2022 13:00</t>
  </si>
  <si>
    <t>01-10-2022 14:00</t>
  </si>
  <si>
    <t>01-10-2022 15:00</t>
  </si>
  <si>
    <t>01-10-2022 16:00</t>
  </si>
  <si>
    <t>01-10-2022 17:00</t>
  </si>
  <si>
    <t>01-10-2022 18:00</t>
  </si>
  <si>
    <t>01-10-2022 19:00</t>
  </si>
  <si>
    <t>01-10-2022 20:00</t>
  </si>
  <si>
    <t>01-10-2022 21:00</t>
  </si>
  <si>
    <t>01-10-2022 22:00</t>
  </si>
  <si>
    <t>01-10-2022 23:00</t>
  </si>
  <si>
    <t>01-10-2022 24:00</t>
  </si>
  <si>
    <t>02-10-2022 01:00</t>
  </si>
  <si>
    <t>02-10-2022 02:00</t>
  </si>
  <si>
    <t>02-10-2022 03:00</t>
  </si>
  <si>
    <t>02-10-2022 04:00</t>
  </si>
  <si>
    <t>02-10-2022 05:00</t>
  </si>
  <si>
    <t>02-10-2022 06:00</t>
  </si>
  <si>
    <t>02-10-2022 07:00</t>
  </si>
  <si>
    <t>02-10-2022 08:00</t>
  </si>
  <si>
    <t>02-10-2022 09:00</t>
  </si>
  <si>
    <t>02-10-2022 10:00</t>
  </si>
  <si>
    <t>02-10-2022 11:00</t>
  </si>
  <si>
    <t>02-10-2022 12:00</t>
  </si>
  <si>
    <t>02-10-2022 13:00</t>
  </si>
  <si>
    <t>02-10-2022 14:00</t>
  </si>
  <si>
    <t>02-10-2022 15:00</t>
  </si>
  <si>
    <t>02-10-2022 16:00</t>
  </si>
  <si>
    <t>02-10-2022 17:00</t>
  </si>
  <si>
    <t>02-10-2022 18:00</t>
  </si>
  <si>
    <t>02-10-2022 19:00</t>
  </si>
  <si>
    <t>02-10-2022 20:00</t>
  </si>
  <si>
    <t>02-10-2022 21:00</t>
  </si>
  <si>
    <t>02-10-2022 22:00</t>
  </si>
  <si>
    <t>02-10-2022 23:00</t>
  </si>
  <si>
    <t>02-10-2022 24:00</t>
  </si>
  <si>
    <t>03-10-2022 01:00</t>
  </si>
  <si>
    <t>03-10-2022 02:00</t>
  </si>
  <si>
    <t>03-10-2022 03:00</t>
  </si>
  <si>
    <t>03-10-2022 04:00</t>
  </si>
  <si>
    <t>03-10-2022 05:00</t>
  </si>
  <si>
    <t>03-10-2022 06:00</t>
  </si>
  <si>
    <t>03-10-2022 07:00</t>
  </si>
  <si>
    <t>03-10-2022 08:00</t>
  </si>
  <si>
    <t>03-10-2022 09:00</t>
  </si>
  <si>
    <t>03-10-2022 10:00</t>
  </si>
  <si>
    <t>03-10-2022 11:00</t>
  </si>
  <si>
    <t>03-10-2022 12:00</t>
  </si>
  <si>
    <t>03-10-2022 13:00</t>
  </si>
  <si>
    <t>03-10-2022 14:00</t>
  </si>
  <si>
    <t>03-10-2022 15:00</t>
  </si>
  <si>
    <t>03-10-2022 16:00</t>
  </si>
  <si>
    <t>03-10-2022 17:00</t>
  </si>
  <si>
    <t>03-10-2022 18:00</t>
  </si>
  <si>
    <t>03-10-2022 19:00</t>
  </si>
  <si>
    <t>03-10-2022 20:00</t>
  </si>
  <si>
    <t>03-10-2022 21:00</t>
  </si>
  <si>
    <t>03-10-2022 22:00</t>
  </si>
  <si>
    <t>03-10-2022 23:00</t>
  </si>
  <si>
    <t>03-10-2022 24:00</t>
  </si>
  <si>
    <t>04-10-2022 01:00</t>
  </si>
  <si>
    <t>04-10-2022 02:00</t>
  </si>
  <si>
    <t>04-10-2022 03:00</t>
  </si>
  <si>
    <t>04-10-2022 04:00</t>
  </si>
  <si>
    <t>04-10-2022 05:00</t>
  </si>
  <si>
    <t>04-10-2022 06:00</t>
  </si>
  <si>
    <t>04-10-2022 07:00</t>
  </si>
  <si>
    <t>04-10-2022 08:00</t>
  </si>
  <si>
    <t>04-10-2022 09:00</t>
  </si>
  <si>
    <t>04-10-2022 10:00</t>
  </si>
  <si>
    <t>04-10-2022 11:00</t>
  </si>
  <si>
    <t>04-10-2022 12:00</t>
  </si>
  <si>
    <t>04-10-2022 13:00</t>
  </si>
  <si>
    <t>04-10-2022 14:00</t>
  </si>
  <si>
    <t>04-10-2022 15:00</t>
  </si>
  <si>
    <t>04-10-2022 16:00</t>
  </si>
  <si>
    <t>04-10-2022 17:00</t>
  </si>
  <si>
    <t>04-10-2022 18:00</t>
  </si>
  <si>
    <t>04-10-2022 19:00</t>
  </si>
  <si>
    <t>04-10-2022 20:00</t>
  </si>
  <si>
    <t>04-10-2022 21:00</t>
  </si>
  <si>
    <t>04-10-2022 22:00</t>
  </si>
  <si>
    <t>04-10-2022 23:00</t>
  </si>
  <si>
    <t>04-10-2022 24:00</t>
  </si>
  <si>
    <t>05-10-2022 01:00</t>
  </si>
  <si>
    <t>05-10-2022 02:00</t>
  </si>
  <si>
    <t>05-10-2022 03:00</t>
  </si>
  <si>
    <t>05-10-2022 04:00</t>
  </si>
  <si>
    <t>05-10-2022 05:00</t>
  </si>
  <si>
    <t>05-10-2022 06:00</t>
  </si>
  <si>
    <t>05-10-2022 07:00</t>
  </si>
  <si>
    <t>05-10-2022 08:00</t>
  </si>
  <si>
    <t>05-10-2022 09:00</t>
  </si>
  <si>
    <t>05-10-2022 10:00</t>
  </si>
  <si>
    <t>05-10-2022 11:00</t>
  </si>
  <si>
    <t>05-10-2022 12:00</t>
  </si>
  <si>
    <t>05-10-2022 13:00</t>
  </si>
  <si>
    <t>05-10-2022 14:00</t>
  </si>
  <si>
    <t>05-10-2022 15:00</t>
  </si>
  <si>
    <t>05-10-2022 16:00</t>
  </si>
  <si>
    <t>05-10-2022 17:00</t>
  </si>
  <si>
    <t>05-10-2022 18:00</t>
  </si>
  <si>
    <t>05-10-2022 19:00</t>
  </si>
  <si>
    <t>05-10-2022 20:00</t>
  </si>
  <si>
    <t>05-10-2022 21:00</t>
  </si>
  <si>
    <t>05-10-2022 22:00</t>
  </si>
  <si>
    <t>05-10-2022 23:00</t>
  </si>
  <si>
    <t>05-10-2022 24:00</t>
  </si>
  <si>
    <t>06-10-2022 01:00</t>
  </si>
  <si>
    <t>06-10-2022 02:00</t>
  </si>
  <si>
    <t>06-10-2022 03:00</t>
  </si>
  <si>
    <t>06-10-2022 04:00</t>
  </si>
  <si>
    <t>06-10-2022 05:00</t>
  </si>
  <si>
    <t>06-10-2022 06:00</t>
  </si>
  <si>
    <t>06-10-2022 07:00</t>
  </si>
  <si>
    <t>06-10-2022 08:00</t>
  </si>
  <si>
    <t>06-10-2022 09:00</t>
  </si>
  <si>
    <t>06-10-2022 10:00</t>
  </si>
  <si>
    <t>06-10-2022 11:00</t>
  </si>
  <si>
    <t>06-10-2022 12:00</t>
  </si>
  <si>
    <t>06-10-2022 13:00</t>
  </si>
  <si>
    <t>06-10-2022 14:00</t>
  </si>
  <si>
    <t>06-10-2022 15:00</t>
  </si>
  <si>
    <t>06-10-2022 16:00</t>
  </si>
  <si>
    <t>06-10-2022 17:00</t>
  </si>
  <si>
    <t>06-10-2022 18:00</t>
  </si>
  <si>
    <t>06-10-2022 19:00</t>
  </si>
  <si>
    <t>06-10-2022 20:00</t>
  </si>
  <si>
    <t>06-10-2022 21:00</t>
  </si>
  <si>
    <t>06-10-2022 22:00</t>
  </si>
  <si>
    <t>06-10-2022 23:00</t>
  </si>
  <si>
    <t>06-10-2022 24:00</t>
  </si>
  <si>
    <t>07-10-2022 01:00</t>
  </si>
  <si>
    <t>07-10-2022 02:00</t>
  </si>
  <si>
    <t>07-10-2022 03:00</t>
  </si>
  <si>
    <t>07-10-2022 04:00</t>
  </si>
  <si>
    <t>07-10-2022 05:00</t>
  </si>
  <si>
    <t>07-10-2022 06:00</t>
  </si>
  <si>
    <t>07-10-2022 07:00</t>
  </si>
  <si>
    <t>07-10-2022 08:00</t>
  </si>
  <si>
    <t>07-10-2022 09:00</t>
  </si>
  <si>
    <t>07-10-2022 10:00</t>
  </si>
  <si>
    <t>07-10-2022 11:00</t>
  </si>
  <si>
    <t>07-10-2022 12:00</t>
  </si>
  <si>
    <t>07-10-2022 13:00</t>
  </si>
  <si>
    <t>07-10-2022 14:00</t>
  </si>
  <si>
    <t>07-10-2022 15:00</t>
  </si>
  <si>
    <t>07-10-2022 16:00</t>
  </si>
  <si>
    <t>07-10-2022 17:00</t>
  </si>
  <si>
    <t>07-10-2022 18:00</t>
  </si>
  <si>
    <t>07-10-2022 19:00</t>
  </si>
  <si>
    <t>07-10-2022 20:00</t>
  </si>
  <si>
    <t>07-10-2022 21:00</t>
  </si>
  <si>
    <t>07-10-2022 22:00</t>
  </si>
  <si>
    <t>07-10-2022 23:00</t>
  </si>
  <si>
    <t>07-10-2022 24:00</t>
  </si>
  <si>
    <t>08-10-2022 01:00</t>
  </si>
  <si>
    <t>08-10-2022 02:00</t>
  </si>
  <si>
    <t>08-10-2022 03:00</t>
  </si>
  <si>
    <t>08-10-2022 04:00</t>
  </si>
  <si>
    <t>08-10-2022 05:00</t>
  </si>
  <si>
    <t>08-10-2022 06:00</t>
  </si>
  <si>
    <t>08-10-2022 07:00</t>
  </si>
  <si>
    <t>08-10-2022 08:00</t>
  </si>
  <si>
    <t>08-10-2022 09:00</t>
  </si>
  <si>
    <t>08-10-2022 10:00</t>
  </si>
  <si>
    <t>08-10-2022 11:00</t>
  </si>
  <si>
    <t>08-10-2022 12:00</t>
  </si>
  <si>
    <t>08-10-2022 13:00</t>
  </si>
  <si>
    <t>08-10-2022 14:00</t>
  </si>
  <si>
    <t>08-10-2022 15:00</t>
  </si>
  <si>
    <t>08-10-2022 16:00</t>
  </si>
  <si>
    <t>08-10-2022 17:00</t>
  </si>
  <si>
    <t>08-10-2022 18:00</t>
  </si>
  <si>
    <t>08-10-2022 19:00</t>
  </si>
  <si>
    <t>08-10-2022 20:00</t>
  </si>
  <si>
    <t>08-10-2022 21:00</t>
  </si>
  <si>
    <t>08-10-2022 22:00</t>
  </si>
  <si>
    <t>08-10-2022 23:00</t>
  </si>
  <si>
    <t>08-10-2022 24:00</t>
  </si>
  <si>
    <t>09-10-2022 01:00</t>
  </si>
  <si>
    <t>09-10-2022 02:00</t>
  </si>
  <si>
    <t>09-10-2022 03:00</t>
  </si>
  <si>
    <t>09-10-2022 04:00</t>
  </si>
  <si>
    <t>09-10-2022 05:00</t>
  </si>
  <si>
    <t>09-10-2022 06:00</t>
  </si>
  <si>
    <t>09-10-2022 07:00</t>
  </si>
  <si>
    <t>09-10-2022 08:00</t>
  </si>
  <si>
    <t>09-10-2022 09:00</t>
  </si>
  <si>
    <t>09-10-2022 10:00</t>
  </si>
  <si>
    <t>09-10-2022 11:00</t>
  </si>
  <si>
    <t>09-10-2022 12:00</t>
  </si>
  <si>
    <t>09-10-2022 13:00</t>
  </si>
  <si>
    <t>09-10-2022 14:00</t>
  </si>
  <si>
    <t>09-10-2022 15:00</t>
  </si>
  <si>
    <t>09-10-2022 16:00</t>
  </si>
  <si>
    <t>09-10-2022 17:00</t>
  </si>
  <si>
    <t>09-10-2022 18:00</t>
  </si>
  <si>
    <t>09-10-2022 19:00</t>
  </si>
  <si>
    <t>09-10-2022 20:00</t>
  </si>
  <si>
    <t>09-10-2022 21:00</t>
  </si>
  <si>
    <t>09-10-2022 22:00</t>
  </si>
  <si>
    <t>09-10-2022 23:00</t>
  </si>
  <si>
    <t>09-10-2022 24:00</t>
  </si>
  <si>
    <t>10-10-2022 01:00</t>
  </si>
  <si>
    <t>10-10-2022 02:00</t>
  </si>
  <si>
    <t>10-10-2022 03:00</t>
  </si>
  <si>
    <t>10-10-2022 04:00</t>
  </si>
  <si>
    <t>10-10-2022 05:00</t>
  </si>
  <si>
    <t>10-10-2022 06:00</t>
  </si>
  <si>
    <t>10-10-2022 07:00</t>
  </si>
  <si>
    <t>10-10-2022 08:00</t>
  </si>
  <si>
    <t>10-10-2022 09:00</t>
  </si>
  <si>
    <t>10-10-2022 10:00</t>
  </si>
  <si>
    <t>10-10-2022 11:00</t>
  </si>
  <si>
    <t>10-10-2022 12:00</t>
  </si>
  <si>
    <t>10-10-2022 13:00</t>
  </si>
  <si>
    <t>10-10-2022 14:00</t>
  </si>
  <si>
    <t>10-10-2022 15:00</t>
  </si>
  <si>
    <t>10-10-2022 16:00</t>
  </si>
  <si>
    <t>10-10-2022 17:00</t>
  </si>
  <si>
    <t>10-10-2022 18:00</t>
  </si>
  <si>
    <t>10-10-2022 19:00</t>
  </si>
  <si>
    <t>10-10-2022 20:00</t>
  </si>
  <si>
    <t>10-10-2022 21:00</t>
  </si>
  <si>
    <t>10-10-2022 22:00</t>
  </si>
  <si>
    <t>10-10-2022 23:00</t>
  </si>
  <si>
    <t>10-10-2022 24:00</t>
  </si>
  <si>
    <t>11-10-2022 01:00</t>
  </si>
  <si>
    <t>11-10-2022 02:00</t>
  </si>
  <si>
    <t>11-10-2022 03:00</t>
  </si>
  <si>
    <t>11-10-2022 04:00</t>
  </si>
  <si>
    <t>11-10-2022 05:00</t>
  </si>
  <si>
    <t>11-10-2022 06:00</t>
  </si>
  <si>
    <t>11-10-2022 07:00</t>
  </si>
  <si>
    <t>11-10-2022 08:00</t>
  </si>
  <si>
    <t>11-10-2022 09:00</t>
  </si>
  <si>
    <t>11-10-2022 10:00</t>
  </si>
  <si>
    <t>11-10-2022 11:00</t>
  </si>
  <si>
    <t>11-10-2022 12:00</t>
  </si>
  <si>
    <t>11-10-2022 13:00</t>
  </si>
  <si>
    <t>11-10-2022 14:00</t>
  </si>
  <si>
    <t>11-10-2022 15:00</t>
  </si>
  <si>
    <t>11-10-2022 16:00</t>
  </si>
  <si>
    <t>11-10-2022 17:00</t>
  </si>
  <si>
    <t>11-10-2022 18:00</t>
  </si>
  <si>
    <t>11-10-2022 19:00</t>
  </si>
  <si>
    <t>11-10-2022 20:00</t>
  </si>
  <si>
    <t>11-10-2022 21:00</t>
  </si>
  <si>
    <t>11-10-2022 22:00</t>
  </si>
  <si>
    <t>11-10-2022 23:00</t>
  </si>
  <si>
    <t>11-10-2022 24:00</t>
  </si>
  <si>
    <t>12-10-2022 01:00</t>
  </si>
  <si>
    <t>12-10-2022 02:00</t>
  </si>
  <si>
    <t>12-10-2022 03:00</t>
  </si>
  <si>
    <t>12-10-2022 04:00</t>
  </si>
  <si>
    <t>12-10-2022 05:00</t>
  </si>
  <si>
    <t>12-10-2022 06:00</t>
  </si>
  <si>
    <t>12-10-2022 07:00</t>
  </si>
  <si>
    <t>12-10-2022 08:00</t>
  </si>
  <si>
    <t>12-10-2022 09:00</t>
  </si>
  <si>
    <t>12-10-2022 10:00</t>
  </si>
  <si>
    <t>12-10-2022 11:00</t>
  </si>
  <si>
    <t>12-10-2022 12:00</t>
  </si>
  <si>
    <t>12-10-2022 13:00</t>
  </si>
  <si>
    <t>12-10-2022 14:00</t>
  </si>
  <si>
    <t>12-10-2022 15:00</t>
  </si>
  <si>
    <t>12-10-2022 16:00</t>
  </si>
  <si>
    <t>12-10-2022 17:00</t>
  </si>
  <si>
    <t>12-10-2022 18:00</t>
  </si>
  <si>
    <t>12-10-2022 19:00</t>
  </si>
  <si>
    <t>12-10-2022 20:00</t>
  </si>
  <si>
    <t>12-10-2022 21:00</t>
  </si>
  <si>
    <t>12-10-2022 22:00</t>
  </si>
  <si>
    <t>12-10-2022 23:00</t>
  </si>
  <si>
    <t>12-10-2022 24:00</t>
  </si>
  <si>
    <t>13-10-2022 01:00</t>
  </si>
  <si>
    <t>13-10-2022 02:00</t>
  </si>
  <si>
    <t>13-10-2022 03:00</t>
  </si>
  <si>
    <t>13-10-2022 04:00</t>
  </si>
  <si>
    <t>13-10-2022 05:00</t>
  </si>
  <si>
    <t>13-10-2022 06:00</t>
  </si>
  <si>
    <t>13-10-2022 07:00</t>
  </si>
  <si>
    <t>13-10-2022 08:00</t>
  </si>
  <si>
    <t>13-10-2022 09:00</t>
  </si>
  <si>
    <t>13-10-2022 10:00</t>
  </si>
  <si>
    <t>13-10-2022 11:00</t>
  </si>
  <si>
    <t>13-10-2022 12:00</t>
  </si>
  <si>
    <t>13-10-2022 13:00</t>
  </si>
  <si>
    <t>13-10-2022 14:00</t>
  </si>
  <si>
    <t>13-10-2022 15:00</t>
  </si>
  <si>
    <t>13-10-2022 16:00</t>
  </si>
  <si>
    <t>13-10-2022 17:00</t>
  </si>
  <si>
    <t>13-10-2022 18:00</t>
  </si>
  <si>
    <t>13-10-2022 19:00</t>
  </si>
  <si>
    <t>13-10-2022 20:00</t>
  </si>
  <si>
    <t>13-10-2022 21:00</t>
  </si>
  <si>
    <t>13-10-2022 22:00</t>
  </si>
  <si>
    <t>13-10-2022 23:00</t>
  </si>
  <si>
    <t>13-10-2022 24:00</t>
  </si>
  <si>
    <t>14-10-2022 01:00</t>
  </si>
  <si>
    <t>14-10-2022 02:00</t>
  </si>
  <si>
    <t>14-10-2022 03:00</t>
  </si>
  <si>
    <t>14-10-2022 04:00</t>
  </si>
  <si>
    <t>14-10-2022 05:00</t>
  </si>
  <si>
    <t>14-10-2022 06:00</t>
  </si>
  <si>
    <t>14-10-2022 07:00</t>
  </si>
  <si>
    <t>14-10-2022 08:00</t>
  </si>
  <si>
    <t>14-10-2022 09:00</t>
  </si>
  <si>
    <t>14-10-2022 10:00</t>
  </si>
  <si>
    <t>14-10-2022 11:00</t>
  </si>
  <si>
    <t>14-10-2022 12:00</t>
  </si>
  <si>
    <t>14-10-2022 13:00</t>
  </si>
  <si>
    <t>14-10-2022 14:00</t>
  </si>
  <si>
    <t>14-10-2022 15:00</t>
  </si>
  <si>
    <t>14-10-2022 16:00</t>
  </si>
  <si>
    <t>14-10-2022 17:00</t>
  </si>
  <si>
    <t>14-10-2022 18:00</t>
  </si>
  <si>
    <t>14-10-2022 19:00</t>
  </si>
  <si>
    <t>14-10-2022 20:00</t>
  </si>
  <si>
    <t>14-10-2022 21:00</t>
  </si>
  <si>
    <t>14-10-2022 22:00</t>
  </si>
  <si>
    <t>14-10-2022 23:00</t>
  </si>
  <si>
    <t>14-10-2022 24:00</t>
  </si>
  <si>
    <t>15-10-2022 01:00</t>
  </si>
  <si>
    <t>15-10-2022 02:00</t>
  </si>
  <si>
    <t>15-10-2022 03:00</t>
  </si>
  <si>
    <t>15-10-2022 04:00</t>
  </si>
  <si>
    <t>15-10-2022 05:00</t>
  </si>
  <si>
    <t>15-10-2022 06:00</t>
  </si>
  <si>
    <t>15-10-2022 07:00</t>
  </si>
  <si>
    <t>15-10-2022 08:00</t>
  </si>
  <si>
    <t>15-10-2022 09:00</t>
  </si>
  <si>
    <t>15-10-2022 10:00</t>
  </si>
  <si>
    <t>15-10-2022 11:00</t>
  </si>
  <si>
    <t>15-10-2022 12:00</t>
  </si>
  <si>
    <t>15-10-2022 13:00</t>
  </si>
  <si>
    <t>15-10-2022 14:00</t>
  </si>
  <si>
    <t>15-10-2022 15:00</t>
  </si>
  <si>
    <t>15-10-2022 16:00</t>
  </si>
  <si>
    <t>15-10-2022 17:00</t>
  </si>
  <si>
    <t>15-10-2022 18:00</t>
  </si>
  <si>
    <t>15-10-2022 19:00</t>
  </si>
  <si>
    <t>15-10-2022 20:00</t>
  </si>
  <si>
    <t>15-10-2022 21:00</t>
  </si>
  <si>
    <t>15-10-2022 22:00</t>
  </si>
  <si>
    <t>15-10-2022 23:00</t>
  </si>
  <si>
    <t>15-10-2022 24:00</t>
  </si>
  <si>
    <t>16-10-2022 01:00</t>
  </si>
  <si>
    <t>16-10-2022 02:00</t>
  </si>
  <si>
    <t>16-10-2022 03:00</t>
  </si>
  <si>
    <t>16-10-2022 04:00</t>
  </si>
  <si>
    <t>16-10-2022 05:00</t>
  </si>
  <si>
    <t>16-10-2022 06:00</t>
  </si>
  <si>
    <t>16-10-2022 07:00</t>
  </si>
  <si>
    <t>16-10-2022 08:00</t>
  </si>
  <si>
    <t>16-10-2022 09:00</t>
  </si>
  <si>
    <t>16-10-2022 10:00</t>
  </si>
  <si>
    <t>16-10-2022 11:00</t>
  </si>
  <si>
    <t>16-10-2022 12:00</t>
  </si>
  <si>
    <t>16-10-2022 13:00</t>
  </si>
  <si>
    <t>16-10-2022 14:00</t>
  </si>
  <si>
    <t>16-10-2022 15:00</t>
  </si>
  <si>
    <t>16-10-2022 16:00</t>
  </si>
  <si>
    <t>16-10-2022 17:00</t>
  </si>
  <si>
    <t>16-10-2022 18:00</t>
  </si>
  <si>
    <t>16-10-2022 19:00</t>
  </si>
  <si>
    <t>16-10-2022 20:00</t>
  </si>
  <si>
    <t>16-10-2022 21:00</t>
  </si>
  <si>
    <t>16-10-2022 22:00</t>
  </si>
  <si>
    <t>16-10-2022 23:00</t>
  </si>
  <si>
    <t>16-10-2022 24:00</t>
  </si>
  <si>
    <t>17-10-2022 01:00</t>
  </si>
  <si>
    <t>17-10-2022 02:00</t>
  </si>
  <si>
    <t>17-10-2022 03:00</t>
  </si>
  <si>
    <t>17-10-2022 04:00</t>
  </si>
  <si>
    <t>17-10-2022 05:00</t>
  </si>
  <si>
    <t>17-10-2022 06:00</t>
  </si>
  <si>
    <t>17-10-2022 07:00</t>
  </si>
  <si>
    <t>17-10-2022 08:00</t>
  </si>
  <si>
    <t>17-10-2022 09:00</t>
  </si>
  <si>
    <t>17-10-2022 10:00</t>
  </si>
  <si>
    <t>17-10-2022 11:00</t>
  </si>
  <si>
    <t>17-10-2022 12:00</t>
  </si>
  <si>
    <t>17-10-2022 13:00</t>
  </si>
  <si>
    <t>17-10-2022 14:00</t>
  </si>
  <si>
    <t>17-10-2022 15:00</t>
  </si>
  <si>
    <t>17-10-2022 16:00</t>
  </si>
  <si>
    <t>17-10-2022 17:00</t>
  </si>
  <si>
    <t>17-10-2022 18:00</t>
  </si>
  <si>
    <t>17-10-2022 19:00</t>
  </si>
  <si>
    <t>17-10-2022 20:00</t>
  </si>
  <si>
    <t>17-10-2022 21:00</t>
  </si>
  <si>
    <t>17-10-2022 22:00</t>
  </si>
  <si>
    <t>17-10-2022 23:00</t>
  </si>
  <si>
    <t>17-10-2022 24:00</t>
  </si>
  <si>
    <t>18-10-2022 01:00</t>
  </si>
  <si>
    <t>18-10-2022 02:00</t>
  </si>
  <si>
    <t>18-10-2022 03:00</t>
  </si>
  <si>
    <t>18-10-2022 04:00</t>
  </si>
  <si>
    <t>18-10-2022 05:00</t>
  </si>
  <si>
    <t>18-10-2022 06:00</t>
  </si>
  <si>
    <t>18-10-2022 07:00</t>
  </si>
  <si>
    <t>18-10-2022 08:00</t>
  </si>
  <si>
    <t>18-10-2022 09:00</t>
  </si>
  <si>
    <t>18-10-2022 10:00</t>
  </si>
  <si>
    <t>18-10-2022 11:00</t>
  </si>
  <si>
    <t>18-10-2022 12:00</t>
  </si>
  <si>
    <t>18-10-2022 13:00</t>
  </si>
  <si>
    <t>18-10-2022 14:00</t>
  </si>
  <si>
    <t>18-10-2022 15:00</t>
  </si>
  <si>
    <t>18-10-2022 16:00</t>
  </si>
  <si>
    <t>18-10-2022 17:00</t>
  </si>
  <si>
    <t>18-10-2022 18:00</t>
  </si>
  <si>
    <t>18-10-2022 19:00</t>
  </si>
  <si>
    <t>18-10-2022 20:00</t>
  </si>
  <si>
    <t>18-10-2022 21:00</t>
  </si>
  <si>
    <t>18-10-2022 22:00</t>
  </si>
  <si>
    <t>18-10-2022 23:00</t>
  </si>
  <si>
    <t>18-10-2022 24:00</t>
  </si>
  <si>
    <t>19-10-2022 01:00</t>
  </si>
  <si>
    <t>19-10-2022 02:00</t>
  </si>
  <si>
    <t>19-10-2022 03:00</t>
  </si>
  <si>
    <t>19-10-2022 04:00</t>
  </si>
  <si>
    <t>19-10-2022 05:00</t>
  </si>
  <si>
    <t>19-10-2022 06:00</t>
  </si>
  <si>
    <t>19-10-2022 07:00</t>
  </si>
  <si>
    <t>19-10-2022 08:00</t>
  </si>
  <si>
    <t>19-10-2022 09:00</t>
  </si>
  <si>
    <t>19-10-2022 10:00</t>
  </si>
  <si>
    <t>19-10-2022 11:00</t>
  </si>
  <si>
    <t>19-10-2022 12:00</t>
  </si>
  <si>
    <t>19-10-2022 13:00</t>
  </si>
  <si>
    <t>19-10-2022 14:00</t>
  </si>
  <si>
    <t>19-10-2022 15:00</t>
  </si>
  <si>
    <t>19-10-2022 16:00</t>
  </si>
  <si>
    <t>19-10-2022 17:00</t>
  </si>
  <si>
    <t>19-10-2022 18:00</t>
  </si>
  <si>
    <t>19-10-2022 19:00</t>
  </si>
  <si>
    <t>19-10-2022 20:00</t>
  </si>
  <si>
    <t>19-10-2022 21:00</t>
  </si>
  <si>
    <t>19-10-2022 22:00</t>
  </si>
  <si>
    <t>19-10-2022 23:00</t>
  </si>
  <si>
    <t>19-10-2022 24:00</t>
  </si>
  <si>
    <t>POWER ISSUE DUE TO NEW ROAD CONSTRACTION ON GARDEN</t>
  </si>
  <si>
    <t>20-10-2022 01:00</t>
  </si>
  <si>
    <t>20-10-2022 02:00</t>
  </si>
  <si>
    <t>20-10-2022 03:00</t>
  </si>
  <si>
    <t>20-10-2022 04:00</t>
  </si>
  <si>
    <t>20-10-2022 05:00</t>
  </si>
  <si>
    <t>20-10-2022 06:00</t>
  </si>
  <si>
    <t>20-10-2022 07:00</t>
  </si>
  <si>
    <t>20-10-2022 08:00</t>
  </si>
  <si>
    <t>20-10-2022 09:00</t>
  </si>
  <si>
    <t>20-10-2022 10:00</t>
  </si>
  <si>
    <t>20-10-2022 11:00</t>
  </si>
  <si>
    <t>20-10-2022 12:00</t>
  </si>
  <si>
    <t>20-10-2022 13:00</t>
  </si>
  <si>
    <t>20-10-2022 14:00</t>
  </si>
  <si>
    <t>20-10-2022 15:00</t>
  </si>
  <si>
    <t>20-10-2022 16:00</t>
  </si>
  <si>
    <t>20-10-2022 17:00</t>
  </si>
  <si>
    <t>20-10-2022 18:00</t>
  </si>
  <si>
    <t>20-10-2022 19:00</t>
  </si>
  <si>
    <t>20-10-2022 20:00</t>
  </si>
  <si>
    <t>20-10-2022 21:00</t>
  </si>
  <si>
    <t>20-10-2022 22:00</t>
  </si>
  <si>
    <t>20-10-2022 23:00</t>
  </si>
  <si>
    <t>20-10-2022 24:00</t>
  </si>
  <si>
    <t>21-10-2022 01:00</t>
  </si>
  <si>
    <t>21-10-2022 02:00</t>
  </si>
  <si>
    <t>21-10-2022 03:00</t>
  </si>
  <si>
    <t>21-10-2022 04:00</t>
  </si>
  <si>
    <t>21-10-2022 05:00</t>
  </si>
  <si>
    <t>21-10-2022 06:00</t>
  </si>
  <si>
    <t>21-10-2022 07:00</t>
  </si>
  <si>
    <t>21-10-2022 08:00</t>
  </si>
  <si>
    <t>21-10-2022 09:00</t>
  </si>
  <si>
    <t>21-10-2022 10:00</t>
  </si>
  <si>
    <t>21-10-2022 11:00</t>
  </si>
  <si>
    <t>21-10-2022 12:00</t>
  </si>
  <si>
    <t>21-10-2022 13:00</t>
  </si>
  <si>
    <t>21-10-2022 14:00</t>
  </si>
  <si>
    <t>21-10-2022 15:00</t>
  </si>
  <si>
    <t>21-10-2022 16:00</t>
  </si>
  <si>
    <t>21-10-2022 17:00</t>
  </si>
  <si>
    <t>21-10-2022 18:00</t>
  </si>
  <si>
    <t>21-10-2022 19:00</t>
  </si>
  <si>
    <t>21-10-2022 20:00</t>
  </si>
  <si>
    <t>21-10-2022 21:00</t>
  </si>
  <si>
    <t>21-10-2022 22:00</t>
  </si>
  <si>
    <t>21-10-2022 23:00</t>
  </si>
  <si>
    <t>21-10-2022 24:00</t>
  </si>
  <si>
    <t>22-10-2022 01:00</t>
  </si>
  <si>
    <t>22-10-2022 02:00</t>
  </si>
  <si>
    <t>22-10-2022 03:00</t>
  </si>
  <si>
    <t>22-10-2022 04:00</t>
  </si>
  <si>
    <t>22-10-2022 05:00</t>
  </si>
  <si>
    <t>22-10-2022 06:00</t>
  </si>
  <si>
    <t>22-10-2022 07:00</t>
  </si>
  <si>
    <t>22-10-2022 08:00</t>
  </si>
  <si>
    <t>22-10-2022 09:00</t>
  </si>
  <si>
    <t>22-10-2022 10:00</t>
  </si>
  <si>
    <t>22-10-2022 11:00</t>
  </si>
  <si>
    <t>22-10-2022 12:00</t>
  </si>
  <si>
    <t>22-10-2022 13:00</t>
  </si>
  <si>
    <t>22-10-2022 14:00</t>
  </si>
  <si>
    <t>22-10-2022 15:00</t>
  </si>
  <si>
    <t>22-10-2022 16:00</t>
  </si>
  <si>
    <t>22-10-2022 17:00</t>
  </si>
  <si>
    <t>22-10-2022 18:00</t>
  </si>
  <si>
    <t>22-10-2022 19:00</t>
  </si>
  <si>
    <t>22-10-2022 20:00</t>
  </si>
  <si>
    <t>22-10-2022 21:00</t>
  </si>
  <si>
    <t>22-10-2022 22:00</t>
  </si>
  <si>
    <t>22-10-2022 23:00</t>
  </si>
  <si>
    <t>22-10-2022 24:00</t>
  </si>
  <si>
    <t>23-10-2022 01:00</t>
  </si>
  <si>
    <t>23-10-2022 02:00</t>
  </si>
  <si>
    <t>23-10-2022 03:00</t>
  </si>
  <si>
    <t>23-10-2022 04:00</t>
  </si>
  <si>
    <t>23-10-2022 05:00</t>
  </si>
  <si>
    <t>23-10-2022 06:00</t>
  </si>
  <si>
    <t>23-10-2022 07:00</t>
  </si>
  <si>
    <t>23-10-2022 08:00</t>
  </si>
  <si>
    <t>23-10-2022 09:00</t>
  </si>
  <si>
    <t>23-10-2022 10:00</t>
  </si>
  <si>
    <t>23-10-2022 11:00</t>
  </si>
  <si>
    <t>23-10-2022 12:00</t>
  </si>
  <si>
    <t>23-10-2022 13:00</t>
  </si>
  <si>
    <t>23-10-2022 14:00</t>
  </si>
  <si>
    <t>23-10-2022 15:00</t>
  </si>
  <si>
    <t>23-10-2022 16:00</t>
  </si>
  <si>
    <t>23-10-2022 17:00</t>
  </si>
  <si>
    <t>23-10-2022 18:00</t>
  </si>
  <si>
    <t>23-10-2022 19:00</t>
  </si>
  <si>
    <t>23-10-2022 20:00</t>
  </si>
  <si>
    <t>23-10-2022 21:00</t>
  </si>
  <si>
    <t>23-10-2022 22:00</t>
  </si>
  <si>
    <t>23-10-2022 23:00</t>
  </si>
  <si>
    <t>23-10-2022 24:00</t>
  </si>
  <si>
    <t>24-10-2022 01:00</t>
  </si>
  <si>
    <t>24-10-2022 02:00</t>
  </si>
  <si>
    <t>24-10-2022 03:00</t>
  </si>
  <si>
    <t>24-10-2022 04:00</t>
  </si>
  <si>
    <t>24-10-2022 05:00</t>
  </si>
  <si>
    <t>24-10-2022 06:00</t>
  </si>
  <si>
    <t>24-10-2022 07:00</t>
  </si>
  <si>
    <t>24-10-2022 08:00</t>
  </si>
  <si>
    <t>24-10-2022 09:00</t>
  </si>
  <si>
    <t>24-10-2022 10:00</t>
  </si>
  <si>
    <t>24-10-2022 11:00</t>
  </si>
  <si>
    <t>24-10-2022 12:00</t>
  </si>
  <si>
    <t>24-10-2022 13:00</t>
  </si>
  <si>
    <t>24-10-2022 14:00</t>
  </si>
  <si>
    <t>24-10-2022 15:00</t>
  </si>
  <si>
    <t>24-10-2022 16:00</t>
  </si>
  <si>
    <t>24-10-2022 17:00</t>
  </si>
  <si>
    <t>24-10-2022 18:00</t>
  </si>
  <si>
    <t>24-10-2022 19:00</t>
  </si>
  <si>
    <t>24-10-2022 20:00</t>
  </si>
  <si>
    <t>24-10-2022 21:00</t>
  </si>
  <si>
    <t>24-10-2022 22:00</t>
  </si>
  <si>
    <t>24-10-2022 23:00</t>
  </si>
  <si>
    <t>24-10-2022 24:00</t>
  </si>
  <si>
    <t>25-10-2022 01:00</t>
  </si>
  <si>
    <t>25-10-2022 02:00</t>
  </si>
  <si>
    <t>25-10-2022 03:00</t>
  </si>
  <si>
    <t>25-10-2022 04:00</t>
  </si>
  <si>
    <t>25-10-2022 05:00</t>
  </si>
  <si>
    <t>25-10-2022 06:00</t>
  </si>
  <si>
    <t>25-10-2022 07:00</t>
  </si>
  <si>
    <t>25-10-2022 08:00</t>
  </si>
  <si>
    <t>25-10-2022 09:00</t>
  </si>
  <si>
    <t>25-10-2022 10:00</t>
  </si>
  <si>
    <t>25-10-2022 11:00</t>
  </si>
  <si>
    <t>25-10-2022 12:00</t>
  </si>
  <si>
    <t>25-10-2022 13:00</t>
  </si>
  <si>
    <t>25-10-2022 14:00</t>
  </si>
  <si>
    <t>25-10-2022 15:00</t>
  </si>
  <si>
    <t>25-10-2022 16:00</t>
  </si>
  <si>
    <t>25-10-2022 17:00</t>
  </si>
  <si>
    <t>25-10-2022 18:00</t>
  </si>
  <si>
    <t>25-10-2022 19:00</t>
  </si>
  <si>
    <t>25-10-2022 20:00</t>
  </si>
  <si>
    <t>25-10-2022 21:00</t>
  </si>
  <si>
    <t>25-10-2022 22:00</t>
  </si>
  <si>
    <t>25-10-2022 23:00</t>
  </si>
  <si>
    <t>25-10-2022 24:00</t>
  </si>
  <si>
    <t>26-10-2022 01:00</t>
  </si>
  <si>
    <t>26-10-2022 02:00</t>
  </si>
  <si>
    <t>26-10-2022 03:00</t>
  </si>
  <si>
    <t>26-10-2022 04:00</t>
  </si>
  <si>
    <t>26-10-2022 05:00</t>
  </si>
  <si>
    <t>26-10-2022 06:00</t>
  </si>
  <si>
    <t>26-10-2022 07:00</t>
  </si>
  <si>
    <t>26-10-2022 08:00</t>
  </si>
  <si>
    <t>26-10-2022 09:00</t>
  </si>
  <si>
    <t>26-10-2022 10:00</t>
  </si>
  <si>
    <t>26-10-2022 11:00</t>
  </si>
  <si>
    <t>26-10-2022 12:00</t>
  </si>
  <si>
    <t>26-10-2022 13:00</t>
  </si>
  <si>
    <t>26-10-2022 14:00</t>
  </si>
  <si>
    <t>26-10-2022 15:00</t>
  </si>
  <si>
    <t>26-10-2022 16:00</t>
  </si>
  <si>
    <t>26-10-2022 17:00</t>
  </si>
  <si>
    <t>26-10-2022 18:00</t>
  </si>
  <si>
    <t>26-10-2022 19:00</t>
  </si>
  <si>
    <t>26-10-2022 20:00</t>
  </si>
  <si>
    <t>26-10-2022 21:00</t>
  </si>
  <si>
    <t>26-10-2022 22:00</t>
  </si>
  <si>
    <t>26-10-2022 23:00</t>
  </si>
  <si>
    <t>26-10-2022 24:00</t>
  </si>
  <si>
    <t>27-10-2022 01:00</t>
  </si>
  <si>
    <t>27-10-2022 02:00</t>
  </si>
  <si>
    <t>27-10-2022 03:00</t>
  </si>
  <si>
    <t>27-10-2022 04:00</t>
  </si>
  <si>
    <t>27-10-2022 05:00</t>
  </si>
  <si>
    <t>27-10-2022 06:00</t>
  </si>
  <si>
    <t>27-10-2022 07:00</t>
  </si>
  <si>
    <t>27-10-2022 08:00</t>
  </si>
  <si>
    <t>27-10-2022 09:00</t>
  </si>
  <si>
    <t>27-10-2022 10:00</t>
  </si>
  <si>
    <t>27-10-2022 11:00</t>
  </si>
  <si>
    <t>27-10-2022 12:00</t>
  </si>
  <si>
    <t>27-10-2022 13:00</t>
  </si>
  <si>
    <t>27-10-2022 14:00</t>
  </si>
  <si>
    <t>27-10-2022 15:00</t>
  </si>
  <si>
    <t>27-10-2022 16:00</t>
  </si>
  <si>
    <t>27-10-2022 17:00</t>
  </si>
  <si>
    <t>27-10-2022 18:00</t>
  </si>
  <si>
    <t>27-10-2022 19:00</t>
  </si>
  <si>
    <t>27-10-2022 20:00</t>
  </si>
  <si>
    <t>27-10-2022 21:00</t>
  </si>
  <si>
    <t>27-10-2022 22:00</t>
  </si>
  <si>
    <t>27-10-2022 23:00</t>
  </si>
  <si>
    <t>27-10-2022 24:00</t>
  </si>
  <si>
    <t>T &amp; H SENSOR CONNECTOR ISSUE</t>
  </si>
  <si>
    <t>28-10-2022 01:00</t>
  </si>
  <si>
    <t>28-10-2022 02:00</t>
  </si>
  <si>
    <t>28-10-2022 03:00</t>
  </si>
  <si>
    <t>28-10-2022 04:00</t>
  </si>
  <si>
    <t>28-10-2022 05:00</t>
  </si>
  <si>
    <t>28-10-2022 06:00</t>
  </si>
  <si>
    <t>28-10-2022 07:00</t>
  </si>
  <si>
    <t>28-10-2022 08:00</t>
  </si>
  <si>
    <t>28-10-2022 09:00</t>
  </si>
  <si>
    <t>28-10-2022 10:00</t>
  </si>
  <si>
    <t>28-10-2022 11:00</t>
  </si>
  <si>
    <t>28-10-2022 12:00</t>
  </si>
  <si>
    <t>28-10-2022 13:00</t>
  </si>
  <si>
    <t>28-10-2022 14:00</t>
  </si>
  <si>
    <t>28-10-2022 15:00</t>
  </si>
  <si>
    <t>28-10-2022 16:00</t>
  </si>
  <si>
    <t>28-10-2022 17:00</t>
  </si>
  <si>
    <t>28-10-2022 18:00</t>
  </si>
  <si>
    <t>28-10-2022 19:00</t>
  </si>
  <si>
    <t>28-10-2022 20:00</t>
  </si>
  <si>
    <t>28-10-2022 21:00</t>
  </si>
  <si>
    <t>28-10-2022 22:00</t>
  </si>
  <si>
    <t>28-10-2022 23:00</t>
  </si>
  <si>
    <t>28-10-2022 24:00</t>
  </si>
  <si>
    <t>29-10-2022 01:00</t>
  </si>
  <si>
    <t>29-10-2022 02:00</t>
  </si>
  <si>
    <t>29-10-2022 03:00</t>
  </si>
  <si>
    <t>29-10-2022 04:00</t>
  </si>
  <si>
    <t>29-10-2022 05:00</t>
  </si>
  <si>
    <t>29-10-2022 06:00</t>
  </si>
  <si>
    <t>29-10-2022 07:00</t>
  </si>
  <si>
    <t>29-10-2022 08:00</t>
  </si>
  <si>
    <t>29-10-2022 09:00</t>
  </si>
  <si>
    <t>29-10-2022 10:00</t>
  </si>
  <si>
    <t>29-10-2022 11:00</t>
  </si>
  <si>
    <t>29-10-2022 12:00</t>
  </si>
  <si>
    <t>29-10-2022 13:00</t>
  </si>
  <si>
    <t>29-10-2022 14:00</t>
  </si>
  <si>
    <t>29-10-2022 15:00</t>
  </si>
  <si>
    <t>29-10-2022 16:00</t>
  </si>
  <si>
    <t>29-10-2022 17:00</t>
  </si>
  <si>
    <t>29-10-2022 18:00</t>
  </si>
  <si>
    <t>29-10-2022 19:00</t>
  </si>
  <si>
    <t>29-10-2022 20:00</t>
  </si>
  <si>
    <t>29-10-2022 21:00</t>
  </si>
  <si>
    <t>29-10-2022 22:00</t>
  </si>
  <si>
    <t>29-10-2022 23:00</t>
  </si>
  <si>
    <t>29-10-2022 24:00</t>
  </si>
  <si>
    <t>T&amp;H SENSOR CONNECTOER ISSUE</t>
  </si>
  <si>
    <t>30-10-2022 01:00</t>
  </si>
  <si>
    <t>30-10-2022 02:00</t>
  </si>
  <si>
    <t>30-10-2022 03:00</t>
  </si>
  <si>
    <t>30-10-2022 04:00</t>
  </si>
  <si>
    <t>30-10-2022 05:00</t>
  </si>
  <si>
    <t>30-10-2022 06:00</t>
  </si>
  <si>
    <t>30-10-2022 07:00</t>
  </si>
  <si>
    <t>30-10-2022 08:00</t>
  </si>
  <si>
    <t>30-10-2022 09:00</t>
  </si>
  <si>
    <t>30-10-2022 10:00</t>
  </si>
  <si>
    <t>30-10-2022 11:00</t>
  </si>
  <si>
    <t>30-10-2022 12:00</t>
  </si>
  <si>
    <t>30-10-2022 13:00</t>
  </si>
  <si>
    <t>30-10-2022 14:00</t>
  </si>
  <si>
    <t>30-10-2022 15:00</t>
  </si>
  <si>
    <t>30-10-2022 16:00</t>
  </si>
  <si>
    <t>30-10-2022 17:00</t>
  </si>
  <si>
    <t>30-10-2022 18:00</t>
  </si>
  <si>
    <t>30-10-2022 19:00</t>
  </si>
  <si>
    <t>30-10-2022 20:00</t>
  </si>
  <si>
    <t>30-10-2022 21:00</t>
  </si>
  <si>
    <t>30-10-2022 22:00</t>
  </si>
  <si>
    <t>30-10-2022 23:00</t>
  </si>
  <si>
    <t>30-10-2022 24:00</t>
  </si>
  <si>
    <t>T&amp;H SENSOR CONNECTOR ISSUE</t>
  </si>
  <si>
    <t>31-10-2022 01:00</t>
  </si>
  <si>
    <t>31-10-2022 02:00</t>
  </si>
  <si>
    <t>31-10-2022 03:00</t>
  </si>
  <si>
    <t>31-10-2022 04:00</t>
  </si>
  <si>
    <t>31-10-2022 05:00</t>
  </si>
  <si>
    <t>31-10-2022 06:00</t>
  </si>
  <si>
    <t>31-10-2022 07:00</t>
  </si>
  <si>
    <t>31-10-2022 08:00</t>
  </si>
  <si>
    <t>31-10-2022 09:00</t>
  </si>
  <si>
    <t>31-10-2022 10:00</t>
  </si>
  <si>
    <t>31-10-2022 11:00</t>
  </si>
  <si>
    <t>31-10-2022 12:00</t>
  </si>
  <si>
    <t>31-10-2022 13:00</t>
  </si>
  <si>
    <t>31-10-2022 14:00</t>
  </si>
  <si>
    <t>31-10-2022 15:00</t>
  </si>
  <si>
    <t>31-10-2022 16:00</t>
  </si>
  <si>
    <t>31-10-2022 17:00</t>
  </si>
  <si>
    <t>31-10-2022 18:00</t>
  </si>
  <si>
    <t>31-10-2022 19:00</t>
  </si>
  <si>
    <t>31-10-2022 20:00</t>
  </si>
  <si>
    <t>31-10-2022 21:00</t>
  </si>
  <si>
    <t>31-10-2022 22:00</t>
  </si>
  <si>
    <t>31-10-2022 23:00</t>
  </si>
  <si>
    <t>31-10-2022 24:00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</si>
</sst>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i/>
      <sz val="10"/>
      <name val="Arial"/>
      <family val="2"/>
    </font>
    <font>
      <sz val="10"/>
      <color indexed="12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b/>
      <sz val="10"/>
      <color rgb="FF00B050"/>
      <name val="Arial"/>
      <family val="2"/>
    </font>
    <font>
      <b/>
      <sz val="10"/>
      <color rgb="FFFF0000"/>
      <name val="Arial"/>
      <family val="2"/>
    </font>
    <font>
      <b/>
      <sz val="10"/>
      <color theme="5" tint="-0.24994659260841701"/>
      <name val="Arial"/>
      <family val="2"/>
    </font>
    <font>
      <b/>
      <sz val="11"/>
      <color theme="1"/>
      <name val="Arial"/>
      <family val="2"/>
    </font>
    <font>
      <sz val="11"/>
      <name val="Calibri"/>
      <family val="2"/>
      <scheme val="minor"/>
    </font>
    <font>
      <b/>
      <sz val="11"/>
      <color theme="0"/>
      <name val="Arial"/>
      <family val="2"/>
    </font>
    <font>
      <b/>
      <sz val="12"/>
      <color theme="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-0.24994659260841701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1">
    <xf numFmtId="0" fontId="0" fillId="0" borderId="0" xfId="0"/>
    <xf numFmtId="0" fontId="14" fillId="9" borderId="0" xfId="0" applyFont="1" applyFill="1" applyAlignment="1">
      <alignment horizontal="left"/>
    </xf>
    <xf numFmtId="0" fontId="3" fillId="0" borderId="0" xfId="0" applyFont="1" applyFill="1" applyAlignment="1">
      <alignment horizontal="center"/>
    </xf>
    <xf numFmtId="0" fontId="1" fillId="0" borderId="0" xfId="0" applyFont="1" applyAlignment="1">
      <alignment horizontal="right"/>
    </xf>
    <xf numFmtId="0" fontId="7" fillId="2" borderId="0" xfId="0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7" fillId="4" borderId="0" xfId="0" applyFont="1" applyFill="1" applyAlignment="1">
      <alignment horizontal="center"/>
    </xf>
    <xf numFmtId="0" fontId="7" fillId="5" borderId="0" xfId="0" applyFont="1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7" borderId="0" xfId="0" applyFont="1" applyFill="1" applyAlignment="1">
      <alignment horizontal="center"/>
    </xf>
    <xf numFmtId="0" fontId="9" fillId="8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Fill="1" applyAlignment="1">
      <alignment horizontal="center"/>
    </xf>
    <xf numFmtId="0" fontId="1" fillId="0" borderId="0" xfId="0" applyFont="1" applyFill="1" applyAlignment="1">
      <alignment horizontal="center"/>
    </xf>
    <xf numFmtId="2" fontId="1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0" fontId="11" fillId="0" borderId="0" xfId="0" applyFont="1" applyFill="1" applyAlignment="1">
      <alignment horizontal="center"/>
    </xf>
    <xf numFmtId="0" fontId="7" fillId="9" borderId="0" xfId="0" applyFont="1" applyFill="1" applyAlignment="1">
      <alignment horizontal="center"/>
    </xf>
    <xf numFmtId="0" fontId="7" fillId="0" borderId="0" xfId="0" applyFont="1" applyFill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Alignment="1">
      <alignment horizontal="center"/>
    </xf>
    <xf numFmtId="17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 wrapText="1"/>
    </xf>
    <xf numFmtId="2" fontId="0" fillId="0" borderId="1" xfId="0" applyNumberFormat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2" fontId="1" fillId="0" borderId="0" xfId="0" applyNumberFormat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2" fontId="4" fillId="0" borderId="1" xfId="0" applyNumberFormat="1" applyFont="1" applyFill="1" applyBorder="1" applyAlignment="1">
      <alignment horizontal="center"/>
    </xf>
    <xf numFmtId="1" fontId="1" fillId="0" borderId="0" xfId="0" applyNumberFormat="1" applyFont="1" applyFill="1" applyBorder="1" applyAlignment="1">
      <alignment horizontal="center"/>
    </xf>
    <xf numFmtId="1" fontId="1" fillId="0" borderId="0" xfId="0" applyNumberFormat="1" applyFont="1" applyBorder="1" applyAlignment="1">
      <alignment horizontal="center"/>
    </xf>
    <xf numFmtId="2" fontId="12" fillId="0" borderId="1" xfId="0" applyNumberFormat="1" applyFont="1" applyFill="1" applyBorder="1" applyAlignment="1">
      <alignment horizontal="center"/>
    </xf>
    <xf numFmtId="0" fontId="12" fillId="0" borderId="0" xfId="0" applyFont="1" applyFill="1"/>
    <xf numFmtId="2" fontId="12" fillId="0" borderId="0" xfId="0" applyNumberFormat="1" applyFont="1" applyFill="1"/>
    <xf numFmtId="14" fontId="4" fillId="0" borderId="1" xfId="0" applyNumberFormat="1" applyFont="1" applyFill="1" applyBorder="1" applyAlignment="1">
      <alignment horizontal="center"/>
    </xf>
    <xf numFmtId="17" fontId="5" fillId="0" borderId="0" xfId="0" applyNumberFormat="1" applyFont="1" applyAlignment="1">
      <alignment horizontal="center"/>
    </xf>
    <xf numFmtId="14" fontId="5" fillId="0" borderId="0" xfId="0" applyNumberFormat="1" applyFont="1" applyAlignment="1">
      <alignment horizontal="center"/>
    </xf>
    <xf numFmtId="0" fontId="1" fillId="0" borderId="0" xfId="0" applyFont="1" applyAlignment="1">
      <alignment horizontal="left" vertical="center"/>
    </xf>
    <xf numFmtId="0" fontId="13" fillId="9" borderId="0" xfId="0" applyFont="1" applyFill="1" applyAlignment="1">
      <alignment horizontal="center" vertical="center"/>
    </xf>
    <xf numFmtId="0" fontId="14" fillId="9" borderId="0" xfId="0" applyFont="1" applyFill="1" applyAlignment="1"/>
    <xf numFmtId="0" fontId="13" fillId="0" borderId="0" xfId="0" applyFont="1" applyFill="1" applyAlignment="1">
      <alignment vertical="center"/>
    </xf>
    <xf numFmtId="0" fontId="6" fillId="0" borderId="0" xfId="0" applyFont="1" applyBorder="1" applyAlignment="1">
      <alignment horizontal="center"/>
    </xf>
    <xf numFmtId="0" fontId="6" fillId="0" borderId="0" xfId="0" applyFont="1" applyBorder="1"/>
    <xf numFmtId="2" fontId="0" fillId="0" borderId="0" xfId="0" applyNumberFormat="1" applyBorder="1" applyAlignment="1">
      <alignment horizontal="center"/>
    </xf>
    <xf numFmtId="2" fontId="0" fillId="0" borderId="0" xfId="0" applyNumberFormat="1" applyFill="1" applyBorder="1" applyAlignment="1">
      <alignment horizontal="center"/>
    </xf>
    <xf numFmtId="2" fontId="12" fillId="0" borderId="0" xfId="0" applyNumberFormat="1" applyFont="1" applyFill="1" applyBorder="1" applyAlignment="1">
      <alignment horizontal="center"/>
    </xf>
    <xf numFmtId="2" fontId="4" fillId="0" borderId="0" xfId="0" applyNumberFormat="1" applyFont="1" applyFill="1" applyBorder="1" applyAlignment="1">
      <alignment horizontal="center"/>
    </xf>
    <xf numFmtId="0" fontId="0" fillId="0" borderId="0" xfId="0" applyBorder="1"/>
    <xf numFmtId="49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6" fillId="0" borderId="1" xfId="0" applyFont="1" applyBorder="1"/>
    <xf numFmtId="0" fontId="7" fillId="7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9" fillId="8" borderId="1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/>
    </xf>
    <xf numFmtId="0" fontId="8" fillId="6" borderId="1" xfId="0" applyFont="1" applyFill="1" applyBorder="1" applyAlignment="1">
      <alignment horizontal="center"/>
    </xf>
    <xf numFmtId="0" fontId="7" fillId="5" borderId="1" xfId="0" applyFont="1" applyFill="1" applyBorder="1" applyAlignment="1">
      <alignment horizontal="center"/>
    </xf>
    <xf numFmtId="49" fontId="0" fillId="0" borderId="0" xfId="0" applyNumberFormat="1"/>
    <xf numFmtId="0" fontId="7" fillId="2" borderId="1" xfId="0" applyFont="1" applyFill="1" applyBorder="1" applyAlignment="1"/>
    <xf numFmtId="4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0" fillId="10" borderId="1" xfId="0" applyNumberFormat="1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6" fillId="10" borderId="0" xfId="0" applyFont="1" applyFill="1" applyBorder="1" applyAlignment="1">
      <alignment horizontal="center"/>
    </xf>
    <xf numFmtId="0" fontId="0" fillId="10" borderId="0" xfId="0" applyFill="1" applyBorder="1"/>
    <xf numFmtId="0" fontId="1" fillId="0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1" fillId="0" borderId="1" xfId="0" applyFont="1" applyFill="1" applyBorder="1" applyAlignment="1">
      <alignment vertical="center"/>
    </xf>
    <xf numFmtId="0" fontId="6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0" fillId="0" borderId="1" xfId="0" applyFill="1" applyBorder="1" applyAlignment="1">
      <alignment vertical="center"/>
    </xf>
    <xf numFmtId="0" fontId="0" fillId="0" borderId="1" xfId="0" applyBorder="1" applyAlignment="1">
      <alignment vertical="center"/>
    </xf>
    <xf numFmtId="0" fontId="7" fillId="7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2" ySplit="8" topLeftCell="C24" activePane="bottomRight" state="frozen"/>
      <selection activeCell="U32" sqref="A9:U32"/>
      <selection pane="topRight" activeCell="U32" sqref="A9:U32"/>
      <selection pane="bottomLeft" activeCell="U32" sqref="A9:U32"/>
      <selection pane="bottomRight" activeCell="G42" sqref="G42"/>
    </sheetView>
  </sheetViews>
  <sheetFormatPr defaultColWidth="8.85546875" defaultRowHeight="15" x14ac:dyDescent="0.25"/>
  <cols>
    <col min="1" max="1" width="18.28515625" style="27" customWidth="1"/>
    <col min="2" max="2" width="14.28515625" style="21" customWidth="1"/>
    <col min="3" max="12" width="9.140625" style="21" customWidth="1"/>
    <col min="13" max="13" width="10" style="21" customWidth="1"/>
    <col min="14" max="19" width="9.140625" style="21" customWidth="1"/>
    <col min="20" max="20" width="11.42578125" style="21" customWidth="1"/>
    <col min="21" max="16384" width="8.85546875" style="21"/>
  </cols>
  <sheetData>
    <row r="1" spans="1:21" s="22" customFormat="1" ht="26.25" x14ac:dyDescent="0.25">
      <c r="A1" s="15" t="s">
        <v>2</v>
      </c>
      <c r="B1" s="24" t="s">
        <v>41</v>
      </c>
      <c r="C1" s="38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s="22" customFormat="1" x14ac:dyDescent="0.25">
      <c r="A2" s="15" t="s">
        <v>0</v>
      </c>
      <c r="B2" s="39">
        <f>$S$27</f>
        <v>0</v>
      </c>
      <c r="C2" s="12"/>
      <c r="D2" s="11" t="s">
        <v>3</v>
      </c>
      <c r="E2" s="11"/>
      <c r="F2" s="11"/>
      <c r="G2" s="4" t="s">
        <v>4</v>
      </c>
      <c r="H2" s="20"/>
      <c r="I2" s="20"/>
      <c r="J2" s="20"/>
      <c r="K2" s="13"/>
      <c r="L2" s="11" t="s">
        <v>5</v>
      </c>
      <c r="M2" s="13"/>
      <c r="N2" s="8" t="s">
        <v>6</v>
      </c>
      <c r="P2" s="40" t="s">
        <v>7</v>
      </c>
      <c r="Q2" s="13"/>
      <c r="R2" s="9" t="s">
        <v>8</v>
      </c>
      <c r="S2" s="12"/>
      <c r="T2" s="12"/>
      <c r="U2" s="12"/>
    </row>
    <row r="3" spans="1:21" s="22" customFormat="1" x14ac:dyDescent="0.25">
      <c r="A3" s="15" t="s">
        <v>9</v>
      </c>
      <c r="B3" s="13" t="s">
        <v>10</v>
      </c>
      <c r="C3" s="12"/>
      <c r="D3" s="11" t="s">
        <v>11</v>
      </c>
      <c r="E3" s="11"/>
      <c r="F3" s="11"/>
      <c r="G3" s="19" t="s">
        <v>12</v>
      </c>
      <c r="H3" s="20"/>
      <c r="I3" s="20"/>
      <c r="J3" s="20"/>
      <c r="K3" s="12"/>
      <c r="L3" s="11" t="s">
        <v>13</v>
      </c>
      <c r="M3" s="13"/>
      <c r="N3" s="6" t="s">
        <v>14</v>
      </c>
      <c r="O3" s="13"/>
      <c r="P3" s="40" t="s">
        <v>15</v>
      </c>
      <c r="Q3" s="13"/>
      <c r="R3" s="10" t="s">
        <v>15</v>
      </c>
      <c r="S3" s="12"/>
      <c r="T3" s="12"/>
      <c r="U3" s="12"/>
    </row>
    <row r="4" spans="1:21" s="22" customFormat="1" x14ac:dyDescent="0.25">
      <c r="A4" s="15" t="s">
        <v>16</v>
      </c>
      <c r="B4" s="13" t="s">
        <v>39</v>
      </c>
      <c r="C4" s="12"/>
      <c r="D4" s="11" t="s">
        <v>17</v>
      </c>
      <c r="E4" s="11"/>
      <c r="F4" s="11"/>
      <c r="G4" s="5" t="s">
        <v>18</v>
      </c>
      <c r="H4" s="20"/>
      <c r="I4" s="20"/>
      <c r="J4" s="20"/>
      <c r="K4" s="3"/>
      <c r="L4" s="11" t="s">
        <v>19</v>
      </c>
      <c r="M4" s="13"/>
      <c r="N4" s="7" t="s">
        <v>20</v>
      </c>
      <c r="O4" s="13"/>
      <c r="P4" s="13"/>
      <c r="Q4" s="13"/>
      <c r="R4" s="13"/>
      <c r="S4" s="12"/>
      <c r="T4" s="12"/>
      <c r="U4" s="12"/>
    </row>
    <row r="5" spans="1:21" s="22" customFormat="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s="22" customFormat="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s="22" customFormat="1" x14ac:dyDescent="0.25">
      <c r="A7" s="15" t="s">
        <v>21</v>
      </c>
      <c r="B7" s="45" t="s">
        <v>59</v>
      </c>
      <c r="C7" s="45" t="s">
        <v>44</v>
      </c>
      <c r="D7" s="45" t="s">
        <v>45</v>
      </c>
      <c r="E7" s="45" t="s">
        <v>46</v>
      </c>
      <c r="F7" s="45" t="s">
        <v>47</v>
      </c>
      <c r="G7" s="45" t="s">
        <v>48</v>
      </c>
      <c r="H7" s="45" t="s">
        <v>49</v>
      </c>
      <c r="I7" s="45" t="s">
        <v>50</v>
      </c>
      <c r="J7" s="45" t="s">
        <v>51</v>
      </c>
      <c r="K7" s="45" t="s">
        <v>52</v>
      </c>
      <c r="L7" s="45" t="s">
        <v>53</v>
      </c>
      <c r="M7" s="45" t="s">
        <v>54</v>
      </c>
      <c r="N7" s="45" t="s">
        <v>55</v>
      </c>
      <c r="O7" s="45" t="s">
        <v>56</v>
      </c>
      <c r="P7" s="45" t="s">
        <v>57</v>
      </c>
      <c r="Q7" s="45" t="s">
        <v>58</v>
      </c>
      <c r="R7" s="28"/>
      <c r="S7" s="30"/>
      <c r="T7" s="28"/>
      <c r="U7" s="28"/>
    </row>
    <row r="8" spans="1:21" s="22" customFormat="1" x14ac:dyDescent="0.25">
      <c r="A8" s="15"/>
      <c r="B8" s="30" t="s">
        <v>22</v>
      </c>
      <c r="C8" s="30" t="s">
        <v>22</v>
      </c>
      <c r="D8" s="30" t="s">
        <v>22</v>
      </c>
      <c r="E8" s="30" t="s">
        <v>22</v>
      </c>
      <c r="F8" s="30" t="s">
        <v>22</v>
      </c>
      <c r="G8" s="30" t="s">
        <v>23</v>
      </c>
      <c r="H8" s="30" t="s">
        <v>22</v>
      </c>
      <c r="I8" s="30" t="s">
        <v>22</v>
      </c>
      <c r="J8" s="30" t="s">
        <v>24</v>
      </c>
      <c r="K8" s="30" t="s">
        <v>25</v>
      </c>
      <c r="L8" s="28" t="s">
        <v>27</v>
      </c>
      <c r="M8" s="30" t="s">
        <v>26</v>
      </c>
      <c r="N8" s="30" t="s">
        <v>28</v>
      </c>
      <c r="O8" s="28" t="s">
        <v>29</v>
      </c>
      <c r="P8" s="30" t="s">
        <v>22</v>
      </c>
      <c r="Q8" s="30" t="s">
        <v>22</v>
      </c>
      <c r="R8" s="28"/>
      <c r="S8" s="30"/>
      <c r="T8" s="28"/>
      <c r="U8" s="28"/>
    </row>
    <row r="9" spans="1:21" s="12" customFormat="1" x14ac:dyDescent="0.25">
      <c r="A9" s="51" t="s">
        <v>62</v>
      </c>
      <c r="B9" s="52">
        <v>3.25</v>
      </c>
      <c r="C9" s="52">
        <v>25.38</v>
      </c>
      <c r="D9" s="52">
        <v>28.63</v>
      </c>
      <c r="E9" s="52">
        <v>6.1</v>
      </c>
      <c r="F9" s="52">
        <v>11.7</v>
      </c>
      <c r="G9" s="52">
        <v>32.630000000000003</v>
      </c>
      <c r="H9" s="52">
        <v>14.03</v>
      </c>
      <c r="I9" s="52">
        <v>0.66</v>
      </c>
      <c r="J9" s="52">
        <v>0.21</v>
      </c>
      <c r="K9" s="52">
        <v>272.88</v>
      </c>
      <c r="L9" s="52">
        <v>23.58</v>
      </c>
      <c r="M9" s="52">
        <v>78.02</v>
      </c>
      <c r="N9" s="52">
        <v>32</v>
      </c>
      <c r="O9" s="52">
        <v>0</v>
      </c>
      <c r="P9" s="52">
        <v>0.59</v>
      </c>
      <c r="Q9" s="52">
        <v>5.24</v>
      </c>
      <c r="R9" s="44"/>
      <c r="S9" s="44"/>
      <c r="T9" s="44"/>
      <c r="U9" s="44"/>
    </row>
    <row r="10" spans="1:21" s="12" customFormat="1" x14ac:dyDescent="0.25">
      <c r="A10" s="51" t="s">
        <v>63</v>
      </c>
      <c r="B10" s="52">
        <v>3.5</v>
      </c>
      <c r="C10" s="52">
        <v>23.14</v>
      </c>
      <c r="D10" s="52">
        <v>26.63</v>
      </c>
      <c r="E10" s="52">
        <v>6.18</v>
      </c>
      <c r="F10" s="52">
        <v>10.3</v>
      </c>
      <c r="G10" s="52">
        <v>30.83</v>
      </c>
      <c r="H10" s="52">
        <v>14.03</v>
      </c>
      <c r="I10" s="52">
        <v>0.73</v>
      </c>
      <c r="J10" s="52">
        <v>0.2</v>
      </c>
      <c r="K10" s="52">
        <v>304.35000000000002</v>
      </c>
      <c r="L10" s="52">
        <v>23.42</v>
      </c>
      <c r="M10" s="52">
        <v>85.46</v>
      </c>
      <c r="N10" s="52">
        <v>32.1</v>
      </c>
      <c r="O10" s="52">
        <v>0</v>
      </c>
      <c r="P10" s="52">
        <v>0.63</v>
      </c>
      <c r="Q10" s="56" t="s">
        <v>15</v>
      </c>
      <c r="R10" s="44"/>
      <c r="S10" s="44"/>
      <c r="T10" s="44"/>
      <c r="U10" s="44"/>
    </row>
    <row r="11" spans="1:21" s="12" customFormat="1" x14ac:dyDescent="0.25">
      <c r="A11" s="51" t="s">
        <v>64</v>
      </c>
      <c r="B11" s="52">
        <v>5.62</v>
      </c>
      <c r="C11" s="52">
        <v>30.05</v>
      </c>
      <c r="D11" s="52">
        <v>35.67</v>
      </c>
      <c r="E11" s="52">
        <v>5.51</v>
      </c>
      <c r="F11" s="52">
        <v>10.3</v>
      </c>
      <c r="G11" s="52">
        <v>22.98</v>
      </c>
      <c r="H11" s="52">
        <v>11.04</v>
      </c>
      <c r="I11" s="52">
        <v>0.69</v>
      </c>
      <c r="J11" s="52">
        <v>0.33</v>
      </c>
      <c r="K11" s="52">
        <v>307.16000000000003</v>
      </c>
      <c r="L11" s="52">
        <v>22.9</v>
      </c>
      <c r="M11" s="52">
        <v>86.56</v>
      </c>
      <c r="N11" s="52">
        <v>32.1</v>
      </c>
      <c r="O11" s="52">
        <v>0</v>
      </c>
      <c r="P11" s="52">
        <v>0.56999999999999995</v>
      </c>
      <c r="Q11" s="52">
        <v>0.09</v>
      </c>
      <c r="R11" s="44"/>
      <c r="S11" s="44"/>
      <c r="T11" s="44"/>
      <c r="U11" s="44"/>
    </row>
    <row r="12" spans="1:21" s="12" customFormat="1" x14ac:dyDescent="0.25">
      <c r="A12" s="51" t="s">
        <v>65</v>
      </c>
      <c r="B12" s="52">
        <v>4.42</v>
      </c>
      <c r="C12" s="52">
        <v>26.08</v>
      </c>
      <c r="D12" s="52">
        <v>29.8</v>
      </c>
      <c r="E12" s="52">
        <v>6.22</v>
      </c>
      <c r="F12" s="52">
        <v>8.4499999999999993</v>
      </c>
      <c r="G12" s="52">
        <v>37.76</v>
      </c>
      <c r="H12" s="52">
        <v>11.04</v>
      </c>
      <c r="I12" s="52">
        <v>0.77</v>
      </c>
      <c r="J12" s="52">
        <v>0.17</v>
      </c>
      <c r="K12" s="52">
        <v>285.08999999999997</v>
      </c>
      <c r="L12" s="52">
        <v>22.88</v>
      </c>
      <c r="M12" s="52">
        <v>85.59</v>
      </c>
      <c r="N12" s="52">
        <v>32.200000000000003</v>
      </c>
      <c r="O12" s="52">
        <v>0</v>
      </c>
      <c r="P12" s="52">
        <v>0.59</v>
      </c>
      <c r="Q12" s="52">
        <v>6.67</v>
      </c>
      <c r="R12" s="44"/>
      <c r="S12" s="44"/>
      <c r="T12" s="44"/>
      <c r="U12" s="44"/>
    </row>
    <row r="13" spans="1:21" s="12" customFormat="1" x14ac:dyDescent="0.25">
      <c r="A13" s="51" t="s">
        <v>66</v>
      </c>
      <c r="B13" s="52">
        <v>7.89</v>
      </c>
      <c r="C13" s="52">
        <v>30.96</v>
      </c>
      <c r="D13" s="52">
        <v>38.86</v>
      </c>
      <c r="E13" s="52">
        <v>5.72</v>
      </c>
      <c r="F13" s="52">
        <v>6.31</v>
      </c>
      <c r="G13" s="52">
        <v>44.65</v>
      </c>
      <c r="H13" s="52">
        <v>11.68</v>
      </c>
      <c r="I13" s="57" t="s">
        <v>14</v>
      </c>
      <c r="J13" s="52">
        <v>0.27</v>
      </c>
      <c r="K13" s="52">
        <v>352.04</v>
      </c>
      <c r="L13" s="52">
        <v>22.92</v>
      </c>
      <c r="M13" s="52">
        <v>87.28</v>
      </c>
      <c r="N13" s="52">
        <v>32.299999999999997</v>
      </c>
      <c r="O13" s="52">
        <v>0</v>
      </c>
      <c r="P13" s="52">
        <v>0.66</v>
      </c>
      <c r="Q13" s="52">
        <v>8.43</v>
      </c>
      <c r="R13" s="44"/>
      <c r="S13" s="44"/>
      <c r="T13" s="44"/>
      <c r="U13" s="44"/>
    </row>
    <row r="14" spans="1:21" s="12" customFormat="1" x14ac:dyDescent="0.25">
      <c r="A14" s="51" t="s">
        <v>67</v>
      </c>
      <c r="B14" s="52">
        <v>16.41</v>
      </c>
      <c r="C14" s="52">
        <v>43.63</v>
      </c>
      <c r="D14" s="52">
        <v>60.04</v>
      </c>
      <c r="E14" s="52">
        <v>6.05</v>
      </c>
      <c r="F14" s="52">
        <v>5.7</v>
      </c>
      <c r="G14" s="52">
        <v>67.02</v>
      </c>
      <c r="H14" s="52">
        <v>17.71</v>
      </c>
      <c r="I14" s="57" t="s">
        <v>14</v>
      </c>
      <c r="J14" s="52">
        <v>0.56999999999999995</v>
      </c>
      <c r="K14" s="52">
        <v>333.74</v>
      </c>
      <c r="L14" s="52">
        <v>22.98</v>
      </c>
      <c r="M14" s="52">
        <v>89.42</v>
      </c>
      <c r="N14" s="52">
        <v>36.700000000000003</v>
      </c>
      <c r="O14" s="52">
        <v>0</v>
      </c>
      <c r="P14" s="52">
        <v>0.78</v>
      </c>
      <c r="Q14" s="56" t="s">
        <v>15</v>
      </c>
      <c r="R14" s="44"/>
      <c r="S14" s="44"/>
      <c r="T14" s="44"/>
      <c r="U14" s="44"/>
    </row>
    <row r="15" spans="1:21" s="12" customFormat="1" x14ac:dyDescent="0.25">
      <c r="A15" s="51" t="s">
        <v>68</v>
      </c>
      <c r="B15" s="52">
        <v>24.94</v>
      </c>
      <c r="C15" s="52">
        <v>54.03</v>
      </c>
      <c r="D15" s="52">
        <v>78.97</v>
      </c>
      <c r="E15" s="52">
        <v>7.95</v>
      </c>
      <c r="F15" s="52">
        <v>5.7</v>
      </c>
      <c r="G15" s="52">
        <v>95.85</v>
      </c>
      <c r="H15" s="52">
        <v>22.82</v>
      </c>
      <c r="I15" s="57" t="s">
        <v>14</v>
      </c>
      <c r="J15" s="52">
        <v>0.65</v>
      </c>
      <c r="K15" s="52">
        <v>93.73</v>
      </c>
      <c r="L15" s="52">
        <v>23.76</v>
      </c>
      <c r="M15" s="52">
        <v>89.37</v>
      </c>
      <c r="N15" s="52">
        <v>135.19999999999999</v>
      </c>
      <c r="O15" s="52">
        <v>0</v>
      </c>
      <c r="P15" s="52">
        <v>0.95</v>
      </c>
      <c r="Q15" s="52">
        <v>23.23</v>
      </c>
      <c r="R15" s="44"/>
      <c r="S15" s="44"/>
      <c r="T15" s="44"/>
      <c r="U15" s="44"/>
    </row>
    <row r="16" spans="1:21" s="12" customFormat="1" x14ac:dyDescent="0.25">
      <c r="A16" s="51" t="s">
        <v>69</v>
      </c>
      <c r="B16" s="52">
        <v>15.69</v>
      </c>
      <c r="C16" s="52">
        <v>41.58</v>
      </c>
      <c r="D16" s="52">
        <v>57.26</v>
      </c>
      <c r="E16" s="52">
        <v>9.09</v>
      </c>
      <c r="F16" s="52">
        <v>6.51</v>
      </c>
      <c r="G16" s="52">
        <v>106.88</v>
      </c>
      <c r="H16" s="52">
        <v>28.7</v>
      </c>
      <c r="I16" s="57" t="s">
        <v>14</v>
      </c>
      <c r="J16" s="52">
        <v>0.7</v>
      </c>
      <c r="K16" s="52">
        <v>107.56</v>
      </c>
      <c r="L16" s="52">
        <v>25.58</v>
      </c>
      <c r="M16" s="52">
        <v>82.22</v>
      </c>
      <c r="N16" s="52">
        <v>287.3</v>
      </c>
      <c r="O16" s="52">
        <v>0</v>
      </c>
      <c r="P16" s="52">
        <v>0.87</v>
      </c>
      <c r="Q16" s="52">
        <v>40.9</v>
      </c>
      <c r="R16" s="44"/>
      <c r="S16" s="44"/>
      <c r="T16" s="44"/>
      <c r="U16" s="44"/>
    </row>
    <row r="17" spans="1:21" s="12" customFormat="1" x14ac:dyDescent="0.25">
      <c r="A17" s="51" t="s">
        <v>70</v>
      </c>
      <c r="B17" s="52">
        <v>16.239999999999998</v>
      </c>
      <c r="C17" s="52">
        <v>43.82</v>
      </c>
      <c r="D17" s="52">
        <v>60.05</v>
      </c>
      <c r="E17" s="52">
        <v>20.53</v>
      </c>
      <c r="F17" s="52">
        <v>9.24</v>
      </c>
      <c r="G17" s="52">
        <v>119.12</v>
      </c>
      <c r="H17" s="52">
        <v>28.7</v>
      </c>
      <c r="I17" s="57" t="s">
        <v>14</v>
      </c>
      <c r="J17" s="52">
        <v>0.78</v>
      </c>
      <c r="K17" s="52">
        <v>124.86</v>
      </c>
      <c r="L17" s="52">
        <v>28.02</v>
      </c>
      <c r="M17" s="52">
        <v>73.73</v>
      </c>
      <c r="N17" s="52">
        <v>581.6</v>
      </c>
      <c r="O17" s="52">
        <v>0</v>
      </c>
      <c r="P17" s="52">
        <v>0.92</v>
      </c>
      <c r="Q17" s="52">
        <v>38.58</v>
      </c>
      <c r="R17" s="44"/>
      <c r="S17" s="44"/>
      <c r="T17" s="44"/>
      <c r="U17" s="44"/>
    </row>
    <row r="18" spans="1:21" s="12" customFormat="1" x14ac:dyDescent="0.25">
      <c r="A18" s="51" t="s">
        <v>71</v>
      </c>
      <c r="B18" s="52">
        <v>15.23</v>
      </c>
      <c r="C18" s="52">
        <v>53.18</v>
      </c>
      <c r="D18" s="52">
        <v>67.87</v>
      </c>
      <c r="E18" s="52">
        <v>37.5</v>
      </c>
      <c r="F18" s="52">
        <v>12.52</v>
      </c>
      <c r="G18" s="52">
        <v>123.09</v>
      </c>
      <c r="H18" s="52">
        <v>31.89</v>
      </c>
      <c r="I18" s="57" t="s">
        <v>14</v>
      </c>
      <c r="J18" s="52">
        <v>0.83</v>
      </c>
      <c r="K18" s="52">
        <v>129.82</v>
      </c>
      <c r="L18" s="52">
        <v>31.67</v>
      </c>
      <c r="M18" s="52">
        <v>57.17</v>
      </c>
      <c r="N18" s="52">
        <v>746.4</v>
      </c>
      <c r="O18" s="52">
        <v>0</v>
      </c>
      <c r="P18" s="52">
        <v>1.1000000000000001</v>
      </c>
      <c r="Q18" s="52">
        <v>40.880000000000003</v>
      </c>
      <c r="R18" s="44"/>
      <c r="S18" s="44"/>
      <c r="T18" s="44"/>
      <c r="U18" s="44"/>
    </row>
    <row r="19" spans="1:21" s="12" customFormat="1" x14ac:dyDescent="0.25">
      <c r="A19" s="51" t="s">
        <v>72</v>
      </c>
      <c r="B19" s="52">
        <v>11.05</v>
      </c>
      <c r="C19" s="52">
        <v>48.01</v>
      </c>
      <c r="D19" s="52">
        <v>56.72</v>
      </c>
      <c r="E19" s="52">
        <v>29.49</v>
      </c>
      <c r="F19" s="52">
        <v>15.88</v>
      </c>
      <c r="G19" s="52">
        <v>123.86</v>
      </c>
      <c r="H19" s="52">
        <v>41.38</v>
      </c>
      <c r="I19" s="52">
        <v>0.5</v>
      </c>
      <c r="J19" s="52">
        <v>0.48</v>
      </c>
      <c r="K19" s="52">
        <v>92.41</v>
      </c>
      <c r="L19" s="52">
        <v>32.21</v>
      </c>
      <c r="M19" s="52">
        <v>59.31</v>
      </c>
      <c r="N19" s="52">
        <v>716</v>
      </c>
      <c r="O19" s="52">
        <v>0</v>
      </c>
      <c r="P19" s="52">
        <v>1.19</v>
      </c>
      <c r="Q19" s="52">
        <v>47.05</v>
      </c>
      <c r="R19" s="44"/>
      <c r="S19" s="44"/>
      <c r="T19" s="44"/>
      <c r="U19" s="44"/>
    </row>
    <row r="20" spans="1:21" s="12" customFormat="1" x14ac:dyDescent="0.25">
      <c r="A20" s="51" t="s">
        <v>73</v>
      </c>
      <c r="B20" s="52">
        <v>13.7</v>
      </c>
      <c r="C20" s="52">
        <v>61.43</v>
      </c>
      <c r="D20" s="52">
        <v>75.14</v>
      </c>
      <c r="E20" s="52">
        <v>17.239999999999998</v>
      </c>
      <c r="F20" s="52">
        <v>13.33</v>
      </c>
      <c r="G20" s="52">
        <v>152.93</v>
      </c>
      <c r="H20" s="52">
        <v>41.38</v>
      </c>
      <c r="I20" s="52">
        <v>1.33</v>
      </c>
      <c r="J20" s="52">
        <v>1.1200000000000001</v>
      </c>
      <c r="K20" s="52">
        <v>338.69</v>
      </c>
      <c r="L20" s="52">
        <v>31.24</v>
      </c>
      <c r="M20" s="52">
        <v>67.3</v>
      </c>
      <c r="N20" s="52">
        <v>173.9</v>
      </c>
      <c r="O20" s="52">
        <v>0</v>
      </c>
      <c r="P20" s="52">
        <v>1.36</v>
      </c>
      <c r="Q20" s="52">
        <v>43.51</v>
      </c>
      <c r="R20" s="44"/>
      <c r="S20" s="44"/>
      <c r="T20" s="44"/>
      <c r="U20" s="44"/>
    </row>
    <row r="21" spans="1:21" s="12" customFormat="1" x14ac:dyDescent="0.25">
      <c r="A21" s="51" t="s">
        <v>74</v>
      </c>
      <c r="B21" s="52">
        <v>8.3000000000000007</v>
      </c>
      <c r="C21" s="52">
        <v>52.74</v>
      </c>
      <c r="D21" s="52">
        <v>59.36</v>
      </c>
      <c r="E21" s="52">
        <v>16.100000000000001</v>
      </c>
      <c r="F21" s="52">
        <v>18.53</v>
      </c>
      <c r="G21" s="52">
        <v>152.93</v>
      </c>
      <c r="H21" s="52">
        <v>40.74</v>
      </c>
      <c r="I21" s="52">
        <v>1.1399999999999999</v>
      </c>
      <c r="J21" s="52">
        <v>1.03</v>
      </c>
      <c r="K21" s="52">
        <v>336</v>
      </c>
      <c r="L21" s="52">
        <v>30.2</v>
      </c>
      <c r="M21" s="52">
        <v>70.569999999999993</v>
      </c>
      <c r="N21" s="52">
        <v>399.9</v>
      </c>
      <c r="O21" s="52">
        <v>0</v>
      </c>
      <c r="P21" s="52">
        <v>1.25</v>
      </c>
      <c r="Q21" s="52">
        <v>18.850000000000001</v>
      </c>
      <c r="R21" s="44"/>
      <c r="S21" s="44"/>
      <c r="T21" s="44"/>
      <c r="U21" s="44"/>
    </row>
    <row r="22" spans="1:21" s="12" customFormat="1" x14ac:dyDescent="0.25">
      <c r="A22" s="51" t="s">
        <v>75</v>
      </c>
      <c r="B22" s="52">
        <v>6.49</v>
      </c>
      <c r="C22" s="52">
        <v>43.3</v>
      </c>
      <c r="D22" s="52">
        <v>49.79</v>
      </c>
      <c r="E22" s="52">
        <v>13.12</v>
      </c>
      <c r="F22" s="52">
        <v>16.920000000000002</v>
      </c>
      <c r="G22" s="52">
        <v>133.76</v>
      </c>
      <c r="H22" s="52">
        <v>40.74</v>
      </c>
      <c r="I22" s="52">
        <v>1.22</v>
      </c>
      <c r="J22" s="52">
        <v>1.88</v>
      </c>
      <c r="K22" s="52">
        <v>348.87</v>
      </c>
      <c r="L22" s="52">
        <v>33.049999999999997</v>
      </c>
      <c r="M22" s="52">
        <v>45.14</v>
      </c>
      <c r="N22" s="52">
        <v>749.5</v>
      </c>
      <c r="O22" s="52">
        <v>0</v>
      </c>
      <c r="P22" s="52">
        <v>1.21</v>
      </c>
      <c r="Q22" s="52">
        <v>11.53</v>
      </c>
      <c r="R22" s="44"/>
      <c r="S22" s="44"/>
      <c r="T22" s="44"/>
      <c r="U22" s="44"/>
    </row>
    <row r="23" spans="1:21" s="12" customFormat="1" x14ac:dyDescent="0.25">
      <c r="A23" s="51" t="s">
        <v>76</v>
      </c>
      <c r="B23" s="52">
        <v>5.68</v>
      </c>
      <c r="C23" s="52">
        <v>43.58</v>
      </c>
      <c r="D23" s="52">
        <v>48.77</v>
      </c>
      <c r="E23" s="52">
        <v>7.4</v>
      </c>
      <c r="F23" s="52">
        <v>10.36</v>
      </c>
      <c r="G23" s="52">
        <v>139.16</v>
      </c>
      <c r="H23" s="52">
        <v>35.89</v>
      </c>
      <c r="I23" s="52">
        <v>1.2</v>
      </c>
      <c r="J23" s="52">
        <v>2.11</v>
      </c>
      <c r="K23" s="52">
        <v>344.09</v>
      </c>
      <c r="L23" s="52">
        <v>32.72</v>
      </c>
      <c r="M23" s="52">
        <v>42.46</v>
      </c>
      <c r="N23" s="52">
        <v>678.4</v>
      </c>
      <c r="O23" s="52">
        <v>0</v>
      </c>
      <c r="P23" s="52">
        <v>1.1499999999999999</v>
      </c>
      <c r="Q23" s="52">
        <v>40.229999999999997</v>
      </c>
      <c r="R23" s="44"/>
      <c r="S23" s="44"/>
      <c r="T23" s="44"/>
      <c r="U23" s="44"/>
    </row>
    <row r="24" spans="1:21" s="12" customFormat="1" x14ac:dyDescent="0.25">
      <c r="A24" s="51" t="s">
        <v>77</v>
      </c>
      <c r="B24" s="52">
        <v>7.89</v>
      </c>
      <c r="C24" s="52">
        <v>40.1</v>
      </c>
      <c r="D24" s="52">
        <v>47.61</v>
      </c>
      <c r="E24" s="52">
        <v>6.56</v>
      </c>
      <c r="F24" s="52">
        <v>11.46</v>
      </c>
      <c r="G24" s="52">
        <v>139.16</v>
      </c>
      <c r="H24" s="52">
        <v>31.55</v>
      </c>
      <c r="I24" s="52">
        <v>1.01</v>
      </c>
      <c r="J24" s="52">
        <v>1.65</v>
      </c>
      <c r="K24" s="52">
        <v>342.66</v>
      </c>
      <c r="L24" s="52">
        <v>30.59</v>
      </c>
      <c r="M24" s="52">
        <v>49.62</v>
      </c>
      <c r="N24" s="52">
        <v>197.3</v>
      </c>
      <c r="O24" s="52">
        <v>0</v>
      </c>
      <c r="P24" s="52">
        <v>1.1000000000000001</v>
      </c>
      <c r="Q24" s="52">
        <v>33.520000000000003</v>
      </c>
      <c r="R24" s="44"/>
      <c r="S24" s="44"/>
      <c r="T24" s="44"/>
      <c r="U24" s="44"/>
    </row>
    <row r="25" spans="1:21" s="12" customFormat="1" x14ac:dyDescent="0.25">
      <c r="A25" s="51" t="s">
        <v>78</v>
      </c>
      <c r="B25" s="52">
        <v>11.7</v>
      </c>
      <c r="C25" s="52">
        <v>57.97</v>
      </c>
      <c r="D25" s="52">
        <v>69.66</v>
      </c>
      <c r="E25" s="52">
        <v>10.32</v>
      </c>
      <c r="F25" s="52">
        <v>15.42</v>
      </c>
      <c r="G25" s="52">
        <v>234.14</v>
      </c>
      <c r="H25" s="52">
        <v>29.92</v>
      </c>
      <c r="I25" s="52">
        <v>0.88</v>
      </c>
      <c r="J25" s="52">
        <v>0.91</v>
      </c>
      <c r="K25" s="52">
        <v>351.82</v>
      </c>
      <c r="L25" s="52">
        <v>29.94</v>
      </c>
      <c r="M25" s="52">
        <v>49.73</v>
      </c>
      <c r="N25" s="52">
        <v>157.4</v>
      </c>
      <c r="O25" s="52">
        <v>0</v>
      </c>
      <c r="P25" s="52">
        <v>1.2</v>
      </c>
      <c r="Q25" s="52">
        <v>26.78</v>
      </c>
      <c r="R25" s="44"/>
      <c r="S25" s="44"/>
      <c r="T25" s="44"/>
      <c r="U25" s="44"/>
    </row>
    <row r="26" spans="1:21" s="12" customFormat="1" x14ac:dyDescent="0.25">
      <c r="A26" s="51" t="s">
        <v>79</v>
      </c>
      <c r="B26" s="52">
        <v>28.43</v>
      </c>
      <c r="C26" s="52">
        <v>110.84</v>
      </c>
      <c r="D26" s="52">
        <v>139.27000000000001</v>
      </c>
      <c r="E26" s="52">
        <v>8.91</v>
      </c>
      <c r="F26" s="52">
        <v>13.67</v>
      </c>
      <c r="G26" s="52">
        <v>234.14</v>
      </c>
      <c r="H26" s="52">
        <v>32.29</v>
      </c>
      <c r="I26" s="52">
        <v>0.96</v>
      </c>
      <c r="J26" s="52">
        <v>0.5</v>
      </c>
      <c r="K26" s="52">
        <v>348.64</v>
      </c>
      <c r="L26" s="52">
        <v>28.45</v>
      </c>
      <c r="M26" s="52">
        <v>60.07</v>
      </c>
      <c r="N26" s="52">
        <v>52.7</v>
      </c>
      <c r="O26" s="52">
        <v>0</v>
      </c>
      <c r="P26" s="52">
        <v>2.12</v>
      </c>
      <c r="Q26" s="52">
        <v>42.23</v>
      </c>
      <c r="R26" s="44"/>
      <c r="S26" s="44"/>
      <c r="T26" s="44"/>
      <c r="U26" s="44"/>
    </row>
    <row r="27" spans="1:21" s="12" customFormat="1" x14ac:dyDescent="0.25">
      <c r="A27" s="51" t="s">
        <v>80</v>
      </c>
      <c r="B27" s="52">
        <v>47.46</v>
      </c>
      <c r="C27" s="52">
        <v>134.38999999999999</v>
      </c>
      <c r="D27" s="52">
        <v>181.85</v>
      </c>
      <c r="E27" s="52">
        <v>8.14</v>
      </c>
      <c r="F27" s="52">
        <v>5.43</v>
      </c>
      <c r="G27" s="52">
        <v>214.78</v>
      </c>
      <c r="H27" s="52">
        <v>33.83</v>
      </c>
      <c r="I27" s="52">
        <v>1.57</v>
      </c>
      <c r="J27" s="52">
        <v>0.12</v>
      </c>
      <c r="K27" s="52">
        <v>277.95999999999998</v>
      </c>
      <c r="L27" s="52">
        <v>26.64</v>
      </c>
      <c r="M27" s="52">
        <v>67</v>
      </c>
      <c r="N27" s="52">
        <v>31</v>
      </c>
      <c r="O27" s="52">
        <v>0</v>
      </c>
      <c r="P27" s="52">
        <v>2.4700000000000002</v>
      </c>
      <c r="Q27" s="52">
        <v>50.87</v>
      </c>
      <c r="R27" s="44"/>
      <c r="S27" s="51"/>
      <c r="T27" s="44"/>
      <c r="U27" s="44"/>
    </row>
    <row r="28" spans="1:21" s="12" customFormat="1" x14ac:dyDescent="0.25">
      <c r="A28" s="51" t="s">
        <v>81</v>
      </c>
      <c r="B28" s="52">
        <v>89.43</v>
      </c>
      <c r="C28" s="52">
        <v>157.91999999999999</v>
      </c>
      <c r="D28" s="52">
        <v>245.03</v>
      </c>
      <c r="E28" s="52">
        <v>8.69</v>
      </c>
      <c r="F28" s="52">
        <v>5.43</v>
      </c>
      <c r="G28" s="52">
        <v>214.78</v>
      </c>
      <c r="H28" s="52">
        <v>35.729999999999997</v>
      </c>
      <c r="I28" s="52">
        <v>2.02</v>
      </c>
      <c r="J28" s="52">
        <v>0.15</v>
      </c>
      <c r="K28" s="52">
        <v>279.39</v>
      </c>
      <c r="L28" s="52">
        <v>25.72</v>
      </c>
      <c r="M28" s="52">
        <v>77.069999999999993</v>
      </c>
      <c r="N28" s="52">
        <v>30.8</v>
      </c>
      <c r="O28" s="52">
        <v>0</v>
      </c>
      <c r="P28" s="52">
        <v>3.82</v>
      </c>
      <c r="Q28" s="52">
        <v>71.400000000000006</v>
      </c>
      <c r="R28" s="44"/>
      <c r="S28" s="44"/>
      <c r="T28" s="44"/>
      <c r="U28" s="44"/>
    </row>
    <row r="29" spans="1:21" s="12" customFormat="1" x14ac:dyDescent="0.25">
      <c r="A29" s="51" t="s">
        <v>82</v>
      </c>
      <c r="B29" s="52">
        <v>155.51</v>
      </c>
      <c r="C29" s="52">
        <v>226.03</v>
      </c>
      <c r="D29" s="52">
        <v>381.54</v>
      </c>
      <c r="E29" s="52">
        <v>8.25</v>
      </c>
      <c r="F29" s="52">
        <v>5.3</v>
      </c>
      <c r="G29" s="52">
        <v>287.91000000000003</v>
      </c>
      <c r="H29" s="52">
        <v>45.23</v>
      </c>
      <c r="I29" s="52">
        <v>2.71</v>
      </c>
      <c r="J29" s="52">
        <v>0.17</v>
      </c>
      <c r="K29" s="52">
        <v>356.39</v>
      </c>
      <c r="L29" s="52">
        <v>25.26</v>
      </c>
      <c r="M29" s="52">
        <v>77.72</v>
      </c>
      <c r="N29" s="52">
        <v>30.8</v>
      </c>
      <c r="O29" s="52">
        <v>0</v>
      </c>
      <c r="P29" s="52">
        <v>5.27</v>
      </c>
      <c r="Q29" s="52">
        <v>106.52</v>
      </c>
      <c r="R29" s="44"/>
      <c r="S29" s="44"/>
      <c r="T29" s="44"/>
      <c r="U29" s="44"/>
    </row>
    <row r="30" spans="1:21" s="12" customFormat="1" x14ac:dyDescent="0.25">
      <c r="A30" s="51" t="s">
        <v>83</v>
      </c>
      <c r="B30" s="52">
        <v>134.68</v>
      </c>
      <c r="C30" s="52">
        <v>207.52</v>
      </c>
      <c r="D30" s="52">
        <v>342.2</v>
      </c>
      <c r="E30" s="52">
        <v>8.2899999999999991</v>
      </c>
      <c r="F30" s="52">
        <v>5.34</v>
      </c>
      <c r="G30" s="52">
        <v>287.91000000000003</v>
      </c>
      <c r="H30" s="52">
        <v>51.42</v>
      </c>
      <c r="I30" s="52">
        <v>2.88</v>
      </c>
      <c r="J30" s="52">
        <v>0.17</v>
      </c>
      <c r="K30" s="52">
        <v>349.43</v>
      </c>
      <c r="L30" s="52">
        <v>24.94</v>
      </c>
      <c r="M30" s="52">
        <v>79.040000000000006</v>
      </c>
      <c r="N30" s="52">
        <v>31</v>
      </c>
      <c r="O30" s="52">
        <v>0</v>
      </c>
      <c r="P30" s="52">
        <v>4.8099999999999996</v>
      </c>
      <c r="Q30" s="52">
        <v>140.31</v>
      </c>
      <c r="R30" s="44"/>
      <c r="S30" s="44"/>
      <c r="T30" s="44"/>
      <c r="U30" s="44"/>
    </row>
    <row r="31" spans="1:21" s="12" customFormat="1" x14ac:dyDescent="0.25">
      <c r="A31" s="51" t="s">
        <v>84</v>
      </c>
      <c r="B31" s="52">
        <v>89.96</v>
      </c>
      <c r="C31" s="52">
        <v>134.30000000000001</v>
      </c>
      <c r="D31" s="52">
        <v>224.26</v>
      </c>
      <c r="E31" s="52">
        <v>7.87</v>
      </c>
      <c r="F31" s="52">
        <v>5.42</v>
      </c>
      <c r="G31" s="52">
        <v>275.89999999999998</v>
      </c>
      <c r="H31" s="52">
        <v>51.42</v>
      </c>
      <c r="I31" s="52">
        <v>2.91</v>
      </c>
      <c r="J31" s="52">
        <v>0.12</v>
      </c>
      <c r="K31" s="52">
        <v>336.75</v>
      </c>
      <c r="L31" s="52">
        <v>24.8</v>
      </c>
      <c r="M31" s="52">
        <v>83.92</v>
      </c>
      <c r="N31" s="52">
        <v>31</v>
      </c>
      <c r="O31" s="52">
        <v>0</v>
      </c>
      <c r="P31" s="52">
        <v>3.76</v>
      </c>
      <c r="Q31" s="52">
        <v>143.96</v>
      </c>
      <c r="R31" s="44"/>
      <c r="S31" s="44"/>
      <c r="T31" s="44"/>
      <c r="U31" s="44"/>
    </row>
    <row r="32" spans="1:21" s="12" customFormat="1" x14ac:dyDescent="0.25">
      <c r="A32" s="51" t="s">
        <v>85</v>
      </c>
      <c r="B32" s="52">
        <v>84.28</v>
      </c>
      <c r="C32" s="52">
        <v>124.93</v>
      </c>
      <c r="D32" s="52">
        <v>209.21</v>
      </c>
      <c r="E32" s="52">
        <v>6.91</v>
      </c>
      <c r="F32" s="52">
        <v>5.55</v>
      </c>
      <c r="G32" s="52">
        <v>243.97</v>
      </c>
      <c r="H32" s="52">
        <v>50.67</v>
      </c>
      <c r="I32" s="52">
        <v>2.1800000000000002</v>
      </c>
      <c r="J32" s="52">
        <v>0.14000000000000001</v>
      </c>
      <c r="K32" s="52">
        <v>317.77</v>
      </c>
      <c r="L32" s="52">
        <v>24.09</v>
      </c>
      <c r="M32" s="52">
        <v>86.45</v>
      </c>
      <c r="N32" s="52">
        <v>30.7</v>
      </c>
      <c r="O32" s="52">
        <v>0</v>
      </c>
      <c r="P32" s="52">
        <v>3.29</v>
      </c>
      <c r="Q32" s="52">
        <v>124.38</v>
      </c>
      <c r="R32" s="44"/>
      <c r="S32" s="44"/>
      <c r="T32" s="44"/>
      <c r="U32" s="44"/>
    </row>
    <row r="33" spans="1:21" s="22" customFormat="1" x14ac:dyDescent="0.25">
      <c r="A33" s="27"/>
      <c r="B33" s="21"/>
      <c r="C33" s="21"/>
      <c r="D33" s="21"/>
      <c r="E33" s="21"/>
      <c r="F33" s="21"/>
      <c r="G33" s="27"/>
      <c r="H33" s="27"/>
      <c r="I33" s="27"/>
      <c r="J33" s="21"/>
      <c r="K33" s="21"/>
      <c r="L33" s="27"/>
      <c r="M33" s="27"/>
      <c r="N33" s="27"/>
      <c r="O33" s="27"/>
      <c r="P33" s="27"/>
      <c r="Q33" s="21"/>
      <c r="R33" s="21"/>
      <c r="S33" s="21"/>
      <c r="T33" s="21"/>
      <c r="U33" s="21"/>
    </row>
    <row r="34" spans="1:21" s="22" customFormat="1" x14ac:dyDescent="0.25">
      <c r="A34" s="28" t="s">
        <v>30</v>
      </c>
      <c r="B34" s="29">
        <f t="shared" ref="B34:Q34" si="0">MIN(B9:B32)</f>
        <v>3.25</v>
      </c>
      <c r="C34" s="29">
        <f t="shared" si="0"/>
        <v>23.14</v>
      </c>
      <c r="D34" s="29">
        <f t="shared" si="0"/>
        <v>26.63</v>
      </c>
      <c r="E34" s="29">
        <f t="shared" si="0"/>
        <v>5.51</v>
      </c>
      <c r="F34" s="29">
        <f t="shared" si="0"/>
        <v>5.3</v>
      </c>
      <c r="G34" s="29">
        <f t="shared" si="0"/>
        <v>22.98</v>
      </c>
      <c r="H34" s="29">
        <f>MIN(H9:H32)</f>
        <v>11.04</v>
      </c>
      <c r="I34" s="29">
        <f t="shared" si="0"/>
        <v>0.5</v>
      </c>
      <c r="J34" s="29">
        <f t="shared" si="0"/>
        <v>0.12</v>
      </c>
      <c r="K34" s="29">
        <f t="shared" si="0"/>
        <v>92.41</v>
      </c>
      <c r="L34" s="29">
        <f t="shared" si="0"/>
        <v>22.88</v>
      </c>
      <c r="M34" s="29">
        <f t="shared" si="0"/>
        <v>42.46</v>
      </c>
      <c r="N34" s="29">
        <f t="shared" si="0"/>
        <v>30.7</v>
      </c>
      <c r="O34" s="29">
        <f t="shared" si="0"/>
        <v>0</v>
      </c>
      <c r="P34" s="29">
        <f t="shared" si="0"/>
        <v>0.56999999999999995</v>
      </c>
      <c r="Q34" s="29">
        <f t="shared" si="0"/>
        <v>0.09</v>
      </c>
      <c r="R34" s="29"/>
      <c r="S34" s="29"/>
      <c r="T34" s="29"/>
      <c r="U34" s="29"/>
    </row>
    <row r="35" spans="1:21" s="22" customFormat="1" x14ac:dyDescent="0.25">
      <c r="A35" s="28" t="s">
        <v>31</v>
      </c>
      <c r="B35" s="30">
        <f t="shared" ref="B35:Q35" si="1">MAX(B9:B32)</f>
        <v>155.51</v>
      </c>
      <c r="C35" s="30">
        <f t="shared" si="1"/>
        <v>226.03</v>
      </c>
      <c r="D35" s="30">
        <f t="shared" si="1"/>
        <v>381.54</v>
      </c>
      <c r="E35" s="30">
        <f t="shared" si="1"/>
        <v>37.5</v>
      </c>
      <c r="F35" s="30">
        <f t="shared" si="1"/>
        <v>18.53</v>
      </c>
      <c r="G35" s="30">
        <f>MAX(G9:G32)</f>
        <v>287.91000000000003</v>
      </c>
      <c r="H35" s="30">
        <f>MAX(H9:H32)</f>
        <v>51.42</v>
      </c>
      <c r="I35" s="30">
        <f t="shared" si="1"/>
        <v>2.91</v>
      </c>
      <c r="J35" s="30">
        <f t="shared" si="1"/>
        <v>2.11</v>
      </c>
      <c r="K35" s="30">
        <f t="shared" si="1"/>
        <v>356.39</v>
      </c>
      <c r="L35" s="30">
        <f t="shared" si="1"/>
        <v>33.049999999999997</v>
      </c>
      <c r="M35" s="30">
        <f t="shared" si="1"/>
        <v>89.42</v>
      </c>
      <c r="N35" s="30">
        <f t="shared" si="1"/>
        <v>749.5</v>
      </c>
      <c r="O35" s="30">
        <f t="shared" si="1"/>
        <v>0</v>
      </c>
      <c r="P35" s="30">
        <f t="shared" si="1"/>
        <v>5.27</v>
      </c>
      <c r="Q35" s="30">
        <f t="shared" si="1"/>
        <v>143.96</v>
      </c>
      <c r="R35" s="30"/>
      <c r="S35" s="30"/>
      <c r="T35" s="30"/>
      <c r="U35" s="30"/>
    </row>
    <row r="36" spans="1:21" s="22" customFormat="1" x14ac:dyDescent="0.25">
      <c r="A36" s="28" t="s">
        <v>32</v>
      </c>
      <c r="B36" s="29">
        <f t="shared" ref="B36:Q36" si="2">AVERAGE(B9:B32)</f>
        <v>33.65625</v>
      </c>
      <c r="C36" s="29">
        <f t="shared" si="2"/>
        <v>75.621250000000003</v>
      </c>
      <c r="D36" s="29">
        <f t="shared" si="2"/>
        <v>108.92458333333332</v>
      </c>
      <c r="E36" s="29">
        <f t="shared" si="2"/>
        <v>11.172499999999999</v>
      </c>
      <c r="F36" s="29">
        <f t="shared" si="2"/>
        <v>9.7820833333333344</v>
      </c>
      <c r="G36" s="29">
        <f t="shared" si="2"/>
        <v>146.50583333333336</v>
      </c>
      <c r="H36" s="29">
        <f>AVERAGE(H9:H32)</f>
        <v>31.40958333333333</v>
      </c>
      <c r="I36" s="29">
        <f t="shared" si="2"/>
        <v>1.4088888888888889</v>
      </c>
      <c r="J36" s="29">
        <f t="shared" si="2"/>
        <v>0.63583333333333325</v>
      </c>
      <c r="K36" s="29">
        <f t="shared" si="2"/>
        <v>280.50416666666678</v>
      </c>
      <c r="L36" s="29">
        <f t="shared" si="2"/>
        <v>26.981666666666669</v>
      </c>
      <c r="M36" s="29">
        <f t="shared" si="2"/>
        <v>72.092499999999987</v>
      </c>
      <c r="N36" s="29">
        <f t="shared" si="2"/>
        <v>219.09583333333333</v>
      </c>
      <c r="O36" s="29">
        <f t="shared" si="2"/>
        <v>0</v>
      </c>
      <c r="P36" s="29">
        <f t="shared" si="2"/>
        <v>1.7358333333333331</v>
      </c>
      <c r="Q36" s="29">
        <f t="shared" si="2"/>
        <v>48.416363636363627</v>
      </c>
      <c r="R36" s="29"/>
      <c r="S36" s="29"/>
      <c r="T36" s="29"/>
      <c r="U36" s="29"/>
    </row>
    <row r="37" spans="1:21" s="22" customFormat="1" x14ac:dyDescent="0.25">
      <c r="A37" s="28" t="s">
        <v>38</v>
      </c>
      <c r="B37" s="29">
        <f>STDEV(B9:B32)</f>
        <v>43.644880551670269</v>
      </c>
      <c r="C37" s="29">
        <f t="shared" ref="C37:Q37" si="3">STDEV(C9:C32)</f>
        <v>58.406860400537077</v>
      </c>
      <c r="D37" s="29">
        <f t="shared" si="3"/>
        <v>101.16402677267411</v>
      </c>
      <c r="E37" s="29">
        <f t="shared" si="3"/>
        <v>7.9719416924502227</v>
      </c>
      <c r="F37" s="29">
        <f t="shared" si="3"/>
        <v>4.231396089037144</v>
      </c>
      <c r="G37" s="29">
        <f t="shared" si="3"/>
        <v>85.297527000018221</v>
      </c>
      <c r="H37" s="29">
        <f>STDEV(H9:H32)</f>
        <v>12.993167595573713</v>
      </c>
      <c r="I37" s="29">
        <f t="shared" si="3"/>
        <v>0.79244141656832323</v>
      </c>
      <c r="J37" s="29">
        <f t="shared" si="3"/>
        <v>0.57438751247981834</v>
      </c>
      <c r="K37" s="29">
        <f t="shared" si="3"/>
        <v>93.310596533096202</v>
      </c>
      <c r="L37" s="29">
        <f t="shared" si="3"/>
        <v>3.5942183847258686</v>
      </c>
      <c r="M37" s="29">
        <f t="shared" si="3"/>
        <v>15.010385462709799</v>
      </c>
      <c r="N37" s="29">
        <f t="shared" si="3"/>
        <v>267.64904093293302</v>
      </c>
      <c r="O37" s="29">
        <f t="shared" si="3"/>
        <v>0</v>
      </c>
      <c r="P37" s="29">
        <f t="shared" si="3"/>
        <v>1.4016478397467271</v>
      </c>
      <c r="Q37" s="29">
        <f t="shared" si="3"/>
        <v>42.926037890822514</v>
      </c>
      <c r="R37" s="29"/>
      <c r="S37" s="29"/>
      <c r="T37" s="29"/>
      <c r="U37" s="29"/>
    </row>
    <row r="38" spans="1:21" s="22" customFormat="1" x14ac:dyDescent="0.25">
      <c r="A38" s="32" t="s">
        <v>33</v>
      </c>
      <c r="B38" s="33">
        <f t="shared" ref="B38:Q38" si="4">COUNT(B9:B32)</f>
        <v>24</v>
      </c>
      <c r="C38" s="33">
        <f t="shared" si="4"/>
        <v>24</v>
      </c>
      <c r="D38" s="33">
        <f t="shared" si="4"/>
        <v>24</v>
      </c>
      <c r="E38" s="33">
        <f t="shared" si="4"/>
        <v>24</v>
      </c>
      <c r="F38" s="33">
        <f t="shared" si="4"/>
        <v>24</v>
      </c>
      <c r="G38" s="33">
        <f>COUNT(G9:G32)</f>
        <v>24</v>
      </c>
      <c r="H38" s="33">
        <f>COUNT(H9:H32)</f>
        <v>24</v>
      </c>
      <c r="I38" s="33">
        <f>COUNT(I9:I32)+6</f>
        <v>24</v>
      </c>
      <c r="J38" s="33">
        <f t="shared" si="4"/>
        <v>24</v>
      </c>
      <c r="K38" s="33">
        <f t="shared" si="4"/>
        <v>24</v>
      </c>
      <c r="L38" s="33">
        <f t="shared" si="4"/>
        <v>24</v>
      </c>
      <c r="M38" s="33">
        <f t="shared" si="4"/>
        <v>24</v>
      </c>
      <c r="N38" s="33">
        <f t="shared" si="4"/>
        <v>24</v>
      </c>
      <c r="O38" s="33">
        <f t="shared" si="4"/>
        <v>24</v>
      </c>
      <c r="P38" s="33">
        <f t="shared" si="4"/>
        <v>24</v>
      </c>
      <c r="Q38" s="33">
        <f t="shared" si="4"/>
        <v>22</v>
      </c>
      <c r="R38" s="33"/>
      <c r="S38" s="33"/>
      <c r="T38" s="33"/>
      <c r="U38" s="33"/>
    </row>
    <row r="39" spans="1:21" s="22" customFormat="1" x14ac:dyDescent="0.25">
      <c r="A39" s="28" t="s">
        <v>34</v>
      </c>
      <c r="B39" s="30" t="str">
        <f>IF(B38&gt;=22,"&gt;90%",IF(B38&lt;=22,"&lt;90%"))</f>
        <v>&gt;90%</v>
      </c>
      <c r="C39" s="30" t="str">
        <f t="shared" ref="C39:P39" si="5">IF(C38&gt;=22,"&gt;90%",IF(C38&lt;=22,"&lt;90%"))</f>
        <v>&gt;90%</v>
      </c>
      <c r="D39" s="30" t="str">
        <f t="shared" si="5"/>
        <v>&gt;90%</v>
      </c>
      <c r="E39" s="30" t="str">
        <f t="shared" si="5"/>
        <v>&gt;90%</v>
      </c>
      <c r="F39" s="30" t="str">
        <f t="shared" si="5"/>
        <v>&gt;90%</v>
      </c>
      <c r="G39" s="30" t="str">
        <f t="shared" si="5"/>
        <v>&gt;90%</v>
      </c>
      <c r="H39" s="30" t="str">
        <f t="shared" si="5"/>
        <v>&gt;90%</v>
      </c>
      <c r="I39" s="30" t="str">
        <f t="shared" si="5"/>
        <v>&gt;90%</v>
      </c>
      <c r="J39" s="30" t="str">
        <f t="shared" si="5"/>
        <v>&gt;90%</v>
      </c>
      <c r="K39" s="30" t="str">
        <f t="shared" si="5"/>
        <v>&gt;90%</v>
      </c>
      <c r="L39" s="30" t="str">
        <f t="shared" si="5"/>
        <v>&gt;90%</v>
      </c>
      <c r="M39" s="30" t="str">
        <f t="shared" si="5"/>
        <v>&gt;90%</v>
      </c>
      <c r="N39" s="30" t="str">
        <f t="shared" si="5"/>
        <v>&gt;90%</v>
      </c>
      <c r="O39" s="30" t="str">
        <f t="shared" si="5"/>
        <v>&gt;90%</v>
      </c>
      <c r="P39" s="30" t="str">
        <f t="shared" si="5"/>
        <v>&gt;90%</v>
      </c>
      <c r="Q39" s="30" t="str">
        <f>IF(Q38&gt;=22,"&gt;90%",IF(Q38&lt;=22,"&lt;90%"))</f>
        <v>&gt;90%</v>
      </c>
      <c r="R39" s="30"/>
      <c r="S39" s="30"/>
      <c r="T39" s="30"/>
      <c r="U39" s="30"/>
    </row>
    <row r="40" spans="1:21" s="22" customFormat="1" x14ac:dyDescent="0.25">
      <c r="A40" s="28" t="s">
        <v>1</v>
      </c>
      <c r="B40" s="30" t="str">
        <f>IF(B38&gt;=22,"OK",IF(B38&lt;=22,"LESS"))</f>
        <v>OK</v>
      </c>
      <c r="C40" s="30" t="str">
        <f t="shared" ref="C40:Q40" si="6">IF(C38&gt;=22,"OK",IF(C38&lt;=22,"LESS"))</f>
        <v>OK</v>
      </c>
      <c r="D40" s="30" t="str">
        <f t="shared" si="6"/>
        <v>OK</v>
      </c>
      <c r="E40" s="30" t="str">
        <f t="shared" si="6"/>
        <v>OK</v>
      </c>
      <c r="F40" s="30" t="str">
        <f t="shared" si="6"/>
        <v>OK</v>
      </c>
      <c r="G40" s="30" t="str">
        <f t="shared" si="6"/>
        <v>OK</v>
      </c>
      <c r="H40" s="30" t="str">
        <f t="shared" si="6"/>
        <v>OK</v>
      </c>
      <c r="I40" s="30" t="str">
        <f t="shared" si="6"/>
        <v>OK</v>
      </c>
      <c r="J40" s="30" t="str">
        <f t="shared" si="6"/>
        <v>OK</v>
      </c>
      <c r="K40" s="30" t="str">
        <f t="shared" si="6"/>
        <v>OK</v>
      </c>
      <c r="L40" s="30" t="str">
        <f t="shared" si="6"/>
        <v>OK</v>
      </c>
      <c r="M40" s="30" t="str">
        <f t="shared" si="6"/>
        <v>OK</v>
      </c>
      <c r="N40" s="30" t="str">
        <f t="shared" si="6"/>
        <v>OK</v>
      </c>
      <c r="O40" s="30" t="str">
        <f t="shared" si="6"/>
        <v>OK</v>
      </c>
      <c r="P40" s="30" t="str">
        <f t="shared" si="6"/>
        <v>OK</v>
      </c>
      <c r="Q40" s="30" t="str">
        <f t="shared" si="6"/>
        <v>OK</v>
      </c>
      <c r="R40" s="30"/>
      <c r="S40" s="30"/>
      <c r="T40" s="30"/>
      <c r="U40" s="30"/>
    </row>
    <row r="41" spans="1:21" s="22" customFormat="1" x14ac:dyDescent="0.25">
      <c r="A41" s="14"/>
      <c r="L41" s="14"/>
      <c r="N41" s="17"/>
      <c r="O41" s="17"/>
      <c r="P41" s="17"/>
      <c r="Q41" s="17"/>
      <c r="R41" s="17"/>
      <c r="S41" s="17"/>
      <c r="T41" s="17"/>
      <c r="U41" s="17"/>
    </row>
    <row r="42" spans="1:21" s="22" customFormat="1" x14ac:dyDescent="0.25">
      <c r="A42" s="14"/>
    </row>
    <row r="43" spans="1:21" s="22" customFormat="1" x14ac:dyDescent="0.25">
      <c r="A43" s="15" t="s">
        <v>35</v>
      </c>
      <c r="B43" s="41" t="s">
        <v>42</v>
      </c>
      <c r="C43" s="43"/>
    </row>
    <row r="44" spans="1:21" s="22" customFormat="1" x14ac:dyDescent="0.25">
      <c r="A44" s="14"/>
      <c r="D44" s="2"/>
      <c r="E44" s="2"/>
      <c r="F44" s="2"/>
      <c r="G44" s="2"/>
      <c r="H44" s="2"/>
      <c r="I44" s="2"/>
    </row>
    <row r="45" spans="1:21" s="22" customFormat="1" ht="15.75" x14ac:dyDescent="0.25">
      <c r="A45" s="18" t="s">
        <v>36</v>
      </c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</row>
    <row r="46" spans="1:21" s="22" customFormat="1" x14ac:dyDescent="0.25"/>
    <row r="47" spans="1:21" s="22" customFormat="1" x14ac:dyDescent="0.25"/>
    <row r="48" spans="1:21" s="22" customFormat="1" x14ac:dyDescent="0.25"/>
    <row r="49" s="22" customFormat="1" x14ac:dyDescent="0.25"/>
    <row r="50" s="22" customFormat="1" x14ac:dyDescent="0.25"/>
    <row r="51" s="22" customFormat="1" x14ac:dyDescent="0.25"/>
    <row r="52" s="22" customFormat="1" x14ac:dyDescent="0.25"/>
    <row r="53" s="22" customFormat="1" x14ac:dyDescent="0.25"/>
    <row r="54" s="22" customFormat="1" x14ac:dyDescent="0.25"/>
    <row r="55" s="22" customFormat="1" x14ac:dyDescent="0.25"/>
    <row r="56" s="22" customFormat="1" x14ac:dyDescent="0.25"/>
    <row r="57" s="22" customFormat="1" x14ac:dyDescent="0.25"/>
    <row r="58" s="22" customFormat="1" x14ac:dyDescent="0.25"/>
    <row r="59" s="22" customFormat="1" x14ac:dyDescent="0.25"/>
    <row r="60" s="22" customFormat="1" x14ac:dyDescent="0.25"/>
    <row r="61" s="22" customFormat="1" x14ac:dyDescent="0.25"/>
    <row r="62" s="22" customFormat="1" x14ac:dyDescent="0.25"/>
    <row r="63" s="22" customFormat="1" x14ac:dyDescent="0.25"/>
    <row r="64" s="22" customFormat="1" x14ac:dyDescent="0.25"/>
    <row r="65" s="22" customFormat="1" x14ac:dyDescent="0.25"/>
    <row r="66" s="22" customFormat="1" x14ac:dyDescent="0.25"/>
    <row r="67" s="22" customFormat="1" x14ac:dyDescent="0.25"/>
    <row r="68" s="22" customFormat="1" x14ac:dyDescent="0.25"/>
    <row r="69" s="22" customFormat="1" x14ac:dyDescent="0.25"/>
    <row r="70" s="22" customFormat="1" x14ac:dyDescent="0.25"/>
    <row r="71" s="22" customFormat="1" x14ac:dyDescent="0.25"/>
    <row r="72" s="22" customFormat="1" x14ac:dyDescent="0.25"/>
    <row r="73" s="22" customFormat="1" x14ac:dyDescent="0.25"/>
    <row r="74" s="22" customFormat="1" x14ac:dyDescent="0.25"/>
    <row r="75" s="22" customFormat="1" x14ac:dyDescent="0.25"/>
    <row r="76" s="22" customFormat="1" x14ac:dyDescent="0.25"/>
    <row r="77" s="22" customFormat="1" x14ac:dyDescent="0.25"/>
    <row r="78" s="22" customFormat="1" x14ac:dyDescent="0.25"/>
    <row r="79" s="22" customFormat="1" x14ac:dyDescent="0.25"/>
    <row r="80" s="22" customFormat="1" x14ac:dyDescent="0.25"/>
    <row r="81" s="22" customFormat="1" x14ac:dyDescent="0.25"/>
    <row r="82" s="22" customFormat="1" x14ac:dyDescent="0.25"/>
    <row r="83" s="22" customFormat="1" x14ac:dyDescent="0.25"/>
    <row r="84" s="22" customFormat="1" x14ac:dyDescent="0.25"/>
    <row r="85" s="22" customFormat="1" x14ac:dyDescent="0.25"/>
    <row r="86" s="22" customFormat="1" x14ac:dyDescent="0.25"/>
    <row r="87" s="22" customFormat="1" x14ac:dyDescent="0.25"/>
    <row r="88" s="22" customFormat="1" x14ac:dyDescent="0.25"/>
    <row r="89" s="22" customFormat="1" x14ac:dyDescent="0.25"/>
    <row r="90" s="22" customFormat="1" x14ac:dyDescent="0.25"/>
    <row r="91" s="22" customFormat="1" x14ac:dyDescent="0.25"/>
    <row r="92" s="22" customFormat="1" x14ac:dyDescent="0.25"/>
    <row r="93" s="22" customFormat="1" x14ac:dyDescent="0.25"/>
    <row r="94" s="22" customFormat="1" x14ac:dyDescent="0.25"/>
    <row r="95" s="22" customFormat="1" x14ac:dyDescent="0.25"/>
    <row r="96" s="22" customFormat="1" x14ac:dyDescent="0.25"/>
    <row r="97" spans="1:1" s="22" customFormat="1" x14ac:dyDescent="0.25"/>
    <row r="98" spans="1:1" s="22" customFormat="1" x14ac:dyDescent="0.25"/>
    <row r="99" spans="1:1" s="22" customFormat="1" x14ac:dyDescent="0.25"/>
    <row r="100" spans="1:1" s="22" customFormat="1" x14ac:dyDescent="0.25"/>
    <row r="101" spans="1:1" s="22" customFormat="1" x14ac:dyDescent="0.25"/>
    <row r="102" spans="1:1" s="22" customFormat="1" x14ac:dyDescent="0.25"/>
    <row r="103" spans="1:1" s="22" customFormat="1" x14ac:dyDescent="0.25"/>
    <row r="104" spans="1:1" s="22" customFormat="1" x14ac:dyDescent="0.25"/>
    <row r="105" spans="1:1" s="22" customFormat="1" x14ac:dyDescent="0.25"/>
    <row r="106" spans="1:1" x14ac:dyDescent="0.25">
      <c r="A106" s="21"/>
    </row>
    <row r="107" spans="1:1" s="22" customFormat="1" x14ac:dyDescent="0.25"/>
    <row r="108" spans="1:1" s="22" customFormat="1" x14ac:dyDescent="0.25"/>
    <row r="109" spans="1:1" s="22" customFormat="1" x14ac:dyDescent="0.25"/>
    <row r="110" spans="1:1" s="22" customFormat="1" x14ac:dyDescent="0.25"/>
    <row r="111" spans="1:1" s="22" customFormat="1" x14ac:dyDescent="0.25"/>
    <row r="112" spans="1:1" s="22" customFormat="1" x14ac:dyDescent="0.25"/>
    <row r="113" spans="1:1" s="22" customFormat="1" x14ac:dyDescent="0.25"/>
    <row r="114" spans="1:1" s="22" customFormat="1" x14ac:dyDescent="0.25"/>
    <row r="115" spans="1:1" s="22" customFormat="1" x14ac:dyDescent="0.25"/>
    <row r="116" spans="1:1" s="22" customFormat="1" x14ac:dyDescent="0.25"/>
    <row r="117" spans="1:1" s="22" customFormat="1" x14ac:dyDescent="0.25"/>
    <row r="118" spans="1:1" x14ac:dyDescent="0.25">
      <c r="A118" s="21"/>
    </row>
    <row r="119" spans="1:1" x14ac:dyDescent="0.25">
      <c r="A119" s="2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2" ySplit="8" topLeftCell="C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38" sqref="G38"/>
    </sheetView>
  </sheetViews>
  <sheetFormatPr defaultColWidth="8.85546875" defaultRowHeight="15" x14ac:dyDescent="0.25"/>
  <cols>
    <col min="1" max="1" width="18.28515625" style="27" customWidth="1"/>
    <col min="2" max="2" width="13.85546875" style="21" customWidth="1"/>
    <col min="3" max="3" width="11" style="21" customWidth="1"/>
    <col min="4" max="12" width="9.140625" style="21" customWidth="1"/>
    <col min="13" max="13" width="10" style="21" customWidth="1"/>
    <col min="14" max="19" width="9.140625" style="21" customWidth="1"/>
    <col min="20" max="20" width="11.42578125" style="21" customWidth="1"/>
    <col min="21" max="16384" width="8.85546875" style="21"/>
  </cols>
  <sheetData>
    <row r="1" spans="1:21" s="22" customFormat="1" ht="26.25" x14ac:dyDescent="0.25">
      <c r="A1" s="15" t="s">
        <v>2</v>
      </c>
      <c r="B1" s="24" t="s">
        <v>43</v>
      </c>
      <c r="C1" s="38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s="22" customFormat="1" x14ac:dyDescent="0.25">
      <c r="A2" s="15" t="s">
        <v>0</v>
      </c>
      <c r="B2" s="39" t="str">
        <f>$A$9</f>
        <v>02-10-2022 01:00</v>
      </c>
      <c r="C2" s="12"/>
      <c r="D2" s="11" t="s">
        <v>3</v>
      </c>
      <c r="E2" s="11"/>
      <c r="F2" s="11"/>
      <c r="G2" s="4" t="s">
        <v>4</v>
      </c>
      <c r="H2" s="20"/>
      <c r="I2" s="20"/>
      <c r="J2" s="20"/>
      <c r="K2" s="13"/>
      <c r="L2" s="11" t="s">
        <v>5</v>
      </c>
      <c r="M2" s="13"/>
      <c r="N2" s="8" t="s">
        <v>6</v>
      </c>
      <c r="P2" s="40" t="s">
        <v>7</v>
      </c>
      <c r="Q2" s="13"/>
      <c r="R2" s="9" t="s">
        <v>8</v>
      </c>
      <c r="S2" s="12"/>
      <c r="T2" s="12"/>
      <c r="U2" s="12"/>
    </row>
    <row r="3" spans="1:21" s="22" customFormat="1" x14ac:dyDescent="0.25">
      <c r="A3" s="15" t="s">
        <v>9</v>
      </c>
      <c r="B3" s="13" t="s">
        <v>10</v>
      </c>
      <c r="C3" s="12"/>
      <c r="D3" s="11" t="s">
        <v>11</v>
      </c>
      <c r="E3" s="11"/>
      <c r="F3" s="11"/>
      <c r="G3" s="19" t="s">
        <v>12</v>
      </c>
      <c r="H3" s="20"/>
      <c r="I3" s="20"/>
      <c r="J3" s="20"/>
      <c r="K3" s="12"/>
      <c r="L3" s="11" t="s">
        <v>13</v>
      </c>
      <c r="M3" s="13"/>
      <c r="N3" s="6" t="s">
        <v>14</v>
      </c>
      <c r="O3" s="13"/>
      <c r="P3" s="40" t="s">
        <v>15</v>
      </c>
      <c r="Q3" s="13"/>
      <c r="R3" s="10" t="s">
        <v>15</v>
      </c>
      <c r="S3" s="12"/>
      <c r="T3" s="12"/>
      <c r="U3" s="12"/>
    </row>
    <row r="4" spans="1:21" s="22" customFormat="1" x14ac:dyDescent="0.25">
      <c r="A4" s="15" t="s">
        <v>16</v>
      </c>
      <c r="B4" s="13" t="s">
        <v>39</v>
      </c>
      <c r="C4" s="12"/>
      <c r="D4" s="11" t="s">
        <v>17</v>
      </c>
      <c r="E4" s="11"/>
      <c r="F4" s="11"/>
      <c r="G4" s="5" t="s">
        <v>18</v>
      </c>
      <c r="H4" s="20"/>
      <c r="I4" s="20"/>
      <c r="J4" s="20"/>
      <c r="K4" s="3"/>
      <c r="L4" s="11" t="s">
        <v>19</v>
      </c>
      <c r="M4" s="13"/>
      <c r="N4" s="7" t="s">
        <v>20</v>
      </c>
      <c r="O4" s="13"/>
      <c r="P4" s="13"/>
      <c r="Q4" s="13"/>
      <c r="R4" s="13"/>
      <c r="S4" s="12"/>
      <c r="T4" s="12"/>
      <c r="U4" s="12"/>
    </row>
    <row r="5" spans="1:21" s="22" customFormat="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s="22" customFormat="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s="22" customFormat="1" x14ac:dyDescent="0.25">
      <c r="A7" s="15" t="s">
        <v>21</v>
      </c>
      <c r="B7" s="45" t="s">
        <v>59</v>
      </c>
      <c r="C7" s="45" t="s">
        <v>44</v>
      </c>
      <c r="D7" s="45" t="s">
        <v>45</v>
      </c>
      <c r="E7" s="45" t="s">
        <v>46</v>
      </c>
      <c r="F7" s="45" t="s">
        <v>47</v>
      </c>
      <c r="G7" s="45" t="s">
        <v>48</v>
      </c>
      <c r="H7" s="53" t="s">
        <v>49</v>
      </c>
      <c r="I7" s="45" t="s">
        <v>50</v>
      </c>
      <c r="J7" s="45" t="s">
        <v>51</v>
      </c>
      <c r="K7" s="45" t="s">
        <v>52</v>
      </c>
      <c r="L7" s="45" t="s">
        <v>53</v>
      </c>
      <c r="M7" s="45" t="s">
        <v>54</v>
      </c>
      <c r="N7" s="45" t="s">
        <v>55</v>
      </c>
      <c r="O7" s="45" t="s">
        <v>56</v>
      </c>
      <c r="P7" s="45" t="s">
        <v>57</v>
      </c>
      <c r="Q7" s="45" t="s">
        <v>58</v>
      </c>
      <c r="R7" s="28"/>
      <c r="S7" s="30"/>
      <c r="T7" s="28"/>
      <c r="U7" s="28"/>
    </row>
    <row r="8" spans="1:21" s="22" customFormat="1" x14ac:dyDescent="0.25">
      <c r="A8" s="15"/>
      <c r="B8" s="30" t="s">
        <v>22</v>
      </c>
      <c r="C8" s="30" t="s">
        <v>22</v>
      </c>
      <c r="D8" s="30" t="s">
        <v>22</v>
      </c>
      <c r="E8" s="30" t="s">
        <v>22</v>
      </c>
      <c r="F8" s="30" t="s">
        <v>22</v>
      </c>
      <c r="G8" s="30" t="s">
        <v>23</v>
      </c>
      <c r="H8" s="30" t="s">
        <v>22</v>
      </c>
      <c r="I8" s="30" t="s">
        <v>22</v>
      </c>
      <c r="J8" s="30" t="s">
        <v>24</v>
      </c>
      <c r="K8" s="30" t="s">
        <v>25</v>
      </c>
      <c r="L8" s="28" t="s">
        <v>27</v>
      </c>
      <c r="M8" s="30" t="s">
        <v>26</v>
      </c>
      <c r="N8" s="30" t="s">
        <v>28</v>
      </c>
      <c r="O8" s="28" t="s">
        <v>29</v>
      </c>
      <c r="P8" s="30" t="s">
        <v>22</v>
      </c>
      <c r="Q8" s="30" t="s">
        <v>22</v>
      </c>
      <c r="R8" s="28"/>
      <c r="S8" s="30"/>
      <c r="T8" s="28"/>
      <c r="U8" s="28"/>
    </row>
    <row r="9" spans="1:21" s="12" customFormat="1" x14ac:dyDescent="0.25">
      <c r="A9" s="51" t="s">
        <v>86</v>
      </c>
      <c r="B9" s="52">
        <v>75.83</v>
      </c>
      <c r="C9" s="52">
        <v>112.06</v>
      </c>
      <c r="D9" s="52">
        <v>187.9</v>
      </c>
      <c r="E9" s="52">
        <v>5.35</v>
      </c>
      <c r="F9" s="52">
        <v>5.62</v>
      </c>
      <c r="G9" s="52">
        <v>167.66</v>
      </c>
      <c r="H9" s="52">
        <v>44.45</v>
      </c>
      <c r="I9" s="52">
        <v>2.0299999999999998</v>
      </c>
      <c r="J9" s="52">
        <v>0.43</v>
      </c>
      <c r="K9" s="52">
        <v>352.13</v>
      </c>
      <c r="L9" s="52">
        <v>23.87</v>
      </c>
      <c r="M9" s="52">
        <v>88.35</v>
      </c>
      <c r="N9" s="52">
        <v>30.5</v>
      </c>
      <c r="O9" s="52">
        <v>0</v>
      </c>
      <c r="P9" s="52">
        <v>3.06</v>
      </c>
      <c r="Q9" s="52">
        <v>122.95</v>
      </c>
      <c r="R9" s="44"/>
      <c r="S9" s="44"/>
      <c r="T9" s="44"/>
      <c r="U9" s="44"/>
    </row>
    <row r="10" spans="1:21" s="12" customFormat="1" x14ac:dyDescent="0.25">
      <c r="A10" s="51" t="s">
        <v>87</v>
      </c>
      <c r="B10" s="52">
        <v>67.42</v>
      </c>
      <c r="C10" s="52">
        <v>92.76</v>
      </c>
      <c r="D10" s="52">
        <v>160.16999999999999</v>
      </c>
      <c r="E10" s="52">
        <v>10.47</v>
      </c>
      <c r="F10" s="52">
        <v>6.3</v>
      </c>
      <c r="G10" s="52">
        <v>160.4</v>
      </c>
      <c r="H10" s="52">
        <v>41.79</v>
      </c>
      <c r="I10" s="52">
        <v>2.23</v>
      </c>
      <c r="J10" s="52">
        <v>0.85</v>
      </c>
      <c r="K10" s="52">
        <v>336.85</v>
      </c>
      <c r="L10" s="52">
        <v>23.86</v>
      </c>
      <c r="M10" s="52">
        <v>85.69</v>
      </c>
      <c r="N10" s="52">
        <v>30.5</v>
      </c>
      <c r="O10" s="52">
        <v>0</v>
      </c>
      <c r="P10" s="52">
        <v>2.77</v>
      </c>
      <c r="Q10" s="52">
        <v>122.56</v>
      </c>
      <c r="R10" s="44"/>
      <c r="S10" s="44"/>
      <c r="T10" s="44"/>
      <c r="U10" s="44"/>
    </row>
    <row r="11" spans="1:21" s="12" customFormat="1" x14ac:dyDescent="0.25">
      <c r="A11" s="51" t="s">
        <v>88</v>
      </c>
      <c r="B11" s="52">
        <v>59.12</v>
      </c>
      <c r="C11" s="52">
        <v>76.66</v>
      </c>
      <c r="D11" s="52">
        <v>135.59</v>
      </c>
      <c r="E11" s="52">
        <v>9.58</v>
      </c>
      <c r="F11" s="52">
        <v>6.7</v>
      </c>
      <c r="G11" s="52">
        <v>160.4</v>
      </c>
      <c r="H11" s="52">
        <v>38.44</v>
      </c>
      <c r="I11" s="52">
        <v>2.04</v>
      </c>
      <c r="J11" s="52">
        <v>0.81</v>
      </c>
      <c r="K11" s="52">
        <v>324.29000000000002</v>
      </c>
      <c r="L11" s="52">
        <v>23.43</v>
      </c>
      <c r="M11" s="52">
        <v>82.68</v>
      </c>
      <c r="N11" s="52">
        <v>30.3</v>
      </c>
      <c r="O11" s="52">
        <v>0</v>
      </c>
      <c r="P11" s="52">
        <v>2.5099999999999998</v>
      </c>
      <c r="Q11" s="52">
        <v>99.49</v>
      </c>
      <c r="R11" s="44"/>
      <c r="S11" s="44"/>
      <c r="T11" s="44"/>
      <c r="U11" s="44"/>
    </row>
    <row r="12" spans="1:21" s="12" customFormat="1" x14ac:dyDescent="0.25">
      <c r="A12" s="51" t="s">
        <v>89</v>
      </c>
      <c r="B12" s="52">
        <v>48.53</v>
      </c>
      <c r="C12" s="52">
        <v>70.239999999999995</v>
      </c>
      <c r="D12" s="52">
        <v>118.77</v>
      </c>
      <c r="E12" s="52">
        <v>7.01</v>
      </c>
      <c r="F12" s="52">
        <v>6.55</v>
      </c>
      <c r="G12" s="52">
        <v>126.19</v>
      </c>
      <c r="H12" s="52">
        <v>38.44</v>
      </c>
      <c r="I12" s="52">
        <v>1.95</v>
      </c>
      <c r="J12" s="52">
        <v>0.75</v>
      </c>
      <c r="K12" s="52">
        <v>321.94</v>
      </c>
      <c r="L12" s="52">
        <v>23.04</v>
      </c>
      <c r="M12" s="52">
        <v>82.78</v>
      </c>
      <c r="N12" s="52">
        <v>29.7</v>
      </c>
      <c r="O12" s="52">
        <v>0</v>
      </c>
      <c r="P12" s="52">
        <v>2.23</v>
      </c>
      <c r="Q12" s="52">
        <v>77.290000000000006</v>
      </c>
      <c r="R12" s="44"/>
      <c r="S12" s="44"/>
      <c r="T12" s="44"/>
      <c r="U12" s="44"/>
    </row>
    <row r="13" spans="1:21" s="12" customFormat="1" x14ac:dyDescent="0.25">
      <c r="A13" s="51" t="s">
        <v>90</v>
      </c>
      <c r="B13" s="52">
        <v>39.22</v>
      </c>
      <c r="C13" s="52">
        <v>59.83</v>
      </c>
      <c r="D13" s="52">
        <v>99.05</v>
      </c>
      <c r="E13" s="52">
        <v>8.41</v>
      </c>
      <c r="F13" s="52">
        <v>6.13</v>
      </c>
      <c r="G13" s="52">
        <v>121.44</v>
      </c>
      <c r="H13" s="52">
        <v>35.85</v>
      </c>
      <c r="I13" s="52">
        <v>1.58</v>
      </c>
      <c r="J13" s="52">
        <v>0.82</v>
      </c>
      <c r="K13" s="52">
        <v>321.36</v>
      </c>
      <c r="L13" s="52">
        <v>22.53</v>
      </c>
      <c r="M13" s="52">
        <v>84.9</v>
      </c>
      <c r="N13" s="52">
        <v>29.4</v>
      </c>
      <c r="O13" s="52">
        <v>0</v>
      </c>
      <c r="P13" s="52">
        <v>1.87</v>
      </c>
      <c r="Q13" s="52">
        <v>67.150000000000006</v>
      </c>
      <c r="R13" s="44"/>
      <c r="S13" s="44"/>
      <c r="T13" s="44"/>
      <c r="U13" s="44"/>
    </row>
    <row r="14" spans="1:21" s="12" customFormat="1" x14ac:dyDescent="0.25">
      <c r="A14" s="51" t="s">
        <v>91</v>
      </c>
      <c r="B14" s="52">
        <v>36.83</v>
      </c>
      <c r="C14" s="52">
        <v>57.97</v>
      </c>
      <c r="D14" s="52">
        <v>94.7</v>
      </c>
      <c r="E14" s="52">
        <v>10.67</v>
      </c>
      <c r="F14" s="52">
        <v>6.79</v>
      </c>
      <c r="G14" s="52">
        <v>121.44</v>
      </c>
      <c r="H14" s="52">
        <v>31.51</v>
      </c>
      <c r="I14" s="57" t="s">
        <v>14</v>
      </c>
      <c r="J14" s="52">
        <v>0.76</v>
      </c>
      <c r="K14" s="52">
        <v>348.45</v>
      </c>
      <c r="L14" s="52">
        <v>22.76</v>
      </c>
      <c r="M14" s="52">
        <v>83.92</v>
      </c>
      <c r="N14" s="52">
        <v>33.200000000000003</v>
      </c>
      <c r="O14" s="52">
        <v>0</v>
      </c>
      <c r="P14" s="52">
        <v>1.79</v>
      </c>
      <c r="Q14" s="52">
        <v>63.09</v>
      </c>
      <c r="R14" s="44"/>
      <c r="S14" s="44"/>
      <c r="T14" s="44"/>
      <c r="U14" s="44"/>
    </row>
    <row r="15" spans="1:21" s="12" customFormat="1" x14ac:dyDescent="0.25">
      <c r="A15" s="51" t="s">
        <v>92</v>
      </c>
      <c r="B15" s="52">
        <v>35.869999999999997</v>
      </c>
      <c r="C15" s="52">
        <v>57.73</v>
      </c>
      <c r="D15" s="52">
        <v>93.61</v>
      </c>
      <c r="E15" s="52">
        <v>8.31</v>
      </c>
      <c r="F15" s="52">
        <v>5.49</v>
      </c>
      <c r="G15" s="52">
        <v>186.32</v>
      </c>
      <c r="H15" s="52">
        <v>35.64</v>
      </c>
      <c r="I15" s="57" t="s">
        <v>14</v>
      </c>
      <c r="J15" s="52">
        <v>0.92</v>
      </c>
      <c r="K15" s="52">
        <v>326.93</v>
      </c>
      <c r="L15" s="52">
        <v>24.89</v>
      </c>
      <c r="M15" s="52">
        <v>82.51</v>
      </c>
      <c r="N15" s="52">
        <v>141.80000000000001</v>
      </c>
      <c r="O15" s="52">
        <v>0</v>
      </c>
      <c r="P15" s="52">
        <v>1.6</v>
      </c>
      <c r="Q15" s="52">
        <v>52.89</v>
      </c>
      <c r="R15" s="44"/>
      <c r="S15" s="44"/>
      <c r="T15" s="44"/>
      <c r="U15" s="44"/>
    </row>
    <row r="16" spans="1:21" s="12" customFormat="1" x14ac:dyDescent="0.25">
      <c r="A16" s="51" t="s">
        <v>93</v>
      </c>
      <c r="B16" s="52">
        <v>32.799999999999997</v>
      </c>
      <c r="C16" s="52">
        <v>60.22</v>
      </c>
      <c r="D16" s="52">
        <v>92.71</v>
      </c>
      <c r="E16" s="52">
        <v>8.06</v>
      </c>
      <c r="F16" s="52">
        <v>5.81</v>
      </c>
      <c r="G16" s="52">
        <v>186.32</v>
      </c>
      <c r="H16" s="52">
        <v>41.55</v>
      </c>
      <c r="I16" s="57" t="s">
        <v>14</v>
      </c>
      <c r="J16" s="52">
        <v>1.25</v>
      </c>
      <c r="K16" s="52">
        <v>344.61</v>
      </c>
      <c r="L16" s="52">
        <v>29.95</v>
      </c>
      <c r="M16" s="52">
        <v>66.650000000000006</v>
      </c>
      <c r="N16" s="52">
        <v>391.3</v>
      </c>
      <c r="O16" s="52">
        <v>0</v>
      </c>
      <c r="P16" s="52">
        <v>1.49</v>
      </c>
      <c r="Q16" s="52">
        <v>54.84</v>
      </c>
      <c r="R16" s="44"/>
      <c r="S16" s="44"/>
      <c r="T16" s="44"/>
      <c r="U16" s="44"/>
    </row>
    <row r="17" spans="1:21" s="12" customFormat="1" x14ac:dyDescent="0.25">
      <c r="A17" s="51" t="s">
        <v>94</v>
      </c>
      <c r="B17" s="52">
        <v>33.39</v>
      </c>
      <c r="C17" s="52">
        <v>60.04</v>
      </c>
      <c r="D17" s="52">
        <v>93.43</v>
      </c>
      <c r="E17" s="52">
        <v>8.83</v>
      </c>
      <c r="F17" s="52">
        <v>6.13</v>
      </c>
      <c r="G17" s="52">
        <v>198.57</v>
      </c>
      <c r="H17" s="52">
        <v>45.03</v>
      </c>
      <c r="I17" s="57" t="s">
        <v>14</v>
      </c>
      <c r="J17" s="52">
        <v>1.22</v>
      </c>
      <c r="K17" s="52">
        <v>334.96</v>
      </c>
      <c r="L17" s="52">
        <v>32.450000000000003</v>
      </c>
      <c r="M17" s="52">
        <v>50.23</v>
      </c>
      <c r="N17" s="52">
        <v>558.9</v>
      </c>
      <c r="O17" s="52">
        <v>0</v>
      </c>
      <c r="P17" s="52">
        <v>1.47</v>
      </c>
      <c r="Q17" s="52">
        <v>55.71</v>
      </c>
      <c r="R17" s="44"/>
      <c r="S17" s="44"/>
      <c r="T17" s="44"/>
      <c r="U17" s="44"/>
    </row>
    <row r="18" spans="1:21" s="12" customFormat="1" x14ac:dyDescent="0.25">
      <c r="A18" s="51" t="s">
        <v>95</v>
      </c>
      <c r="B18" s="52">
        <v>26.98</v>
      </c>
      <c r="C18" s="52">
        <v>57.45</v>
      </c>
      <c r="D18" s="52">
        <v>84.07</v>
      </c>
      <c r="E18" s="52">
        <v>9.4600000000000009</v>
      </c>
      <c r="F18" s="52">
        <v>7.66</v>
      </c>
      <c r="G18" s="52">
        <v>198.57</v>
      </c>
      <c r="H18" s="52">
        <v>45.03</v>
      </c>
      <c r="I18" s="57" t="s">
        <v>14</v>
      </c>
      <c r="J18" s="52">
        <v>1.92</v>
      </c>
      <c r="K18" s="52">
        <v>350.82</v>
      </c>
      <c r="L18" s="52">
        <v>32.729999999999997</v>
      </c>
      <c r="M18" s="52">
        <v>46.16</v>
      </c>
      <c r="N18" s="52">
        <v>767.9</v>
      </c>
      <c r="O18" s="52">
        <v>0</v>
      </c>
      <c r="P18" s="52">
        <v>1.37</v>
      </c>
      <c r="Q18" s="52">
        <v>48.32</v>
      </c>
      <c r="R18" s="44"/>
      <c r="S18" s="44"/>
      <c r="T18" s="44"/>
      <c r="U18" s="44"/>
    </row>
    <row r="19" spans="1:21" s="12" customFormat="1" x14ac:dyDescent="0.25">
      <c r="A19" s="51" t="s">
        <v>96</v>
      </c>
      <c r="B19" s="52">
        <v>15.76</v>
      </c>
      <c r="C19" s="52">
        <v>56.29</v>
      </c>
      <c r="D19" s="52">
        <v>69.8</v>
      </c>
      <c r="E19" s="52">
        <v>9.5299999999999994</v>
      </c>
      <c r="F19" s="52">
        <v>8.76</v>
      </c>
      <c r="G19" s="52">
        <v>155</v>
      </c>
      <c r="H19" s="52">
        <v>43.74</v>
      </c>
      <c r="I19" s="57" t="s">
        <v>14</v>
      </c>
      <c r="J19" s="52">
        <v>1.87</v>
      </c>
      <c r="K19" s="52">
        <v>348.93</v>
      </c>
      <c r="L19" s="52">
        <v>33.49</v>
      </c>
      <c r="M19" s="52">
        <v>45.53</v>
      </c>
      <c r="N19" s="52">
        <v>857.3</v>
      </c>
      <c r="O19" s="52">
        <v>0</v>
      </c>
      <c r="P19" s="52">
        <v>1.24</v>
      </c>
      <c r="Q19" s="52">
        <v>30.01</v>
      </c>
      <c r="R19" s="44"/>
      <c r="S19" s="44"/>
      <c r="T19" s="44"/>
      <c r="U19" s="44"/>
    </row>
    <row r="20" spans="1:21" s="12" customFormat="1" x14ac:dyDescent="0.25">
      <c r="A20" s="51" t="s">
        <v>97</v>
      </c>
      <c r="B20" s="52">
        <v>7.87</v>
      </c>
      <c r="C20" s="52">
        <v>54.29</v>
      </c>
      <c r="D20" s="52">
        <v>62.16</v>
      </c>
      <c r="E20" s="52">
        <v>9.85</v>
      </c>
      <c r="F20" s="52">
        <v>11.99</v>
      </c>
      <c r="G20" s="52">
        <v>149.06</v>
      </c>
      <c r="H20" s="52">
        <v>41.38</v>
      </c>
      <c r="I20" s="57" t="s">
        <v>14</v>
      </c>
      <c r="J20" s="52">
        <v>1.78</v>
      </c>
      <c r="K20" s="52">
        <v>348.13</v>
      </c>
      <c r="L20" s="52">
        <v>32.520000000000003</v>
      </c>
      <c r="M20" s="52">
        <v>43.72</v>
      </c>
      <c r="N20" s="52">
        <v>604.29999999999995</v>
      </c>
      <c r="O20" s="52">
        <v>0</v>
      </c>
      <c r="P20" s="52">
        <v>1.1299999999999999</v>
      </c>
      <c r="Q20" s="52">
        <v>28.82</v>
      </c>
      <c r="R20" s="44"/>
      <c r="S20" s="44"/>
      <c r="T20" s="44"/>
      <c r="U20" s="44"/>
    </row>
    <row r="21" spans="1:21" s="12" customFormat="1" x14ac:dyDescent="0.25">
      <c r="A21" s="51" t="s">
        <v>98</v>
      </c>
      <c r="B21" s="52">
        <v>4.57</v>
      </c>
      <c r="C21" s="52">
        <v>47.66</v>
      </c>
      <c r="D21" s="52">
        <v>52.22</v>
      </c>
      <c r="E21" s="52">
        <v>9.9</v>
      </c>
      <c r="F21" s="52">
        <v>11.53</v>
      </c>
      <c r="G21" s="52">
        <v>120.51</v>
      </c>
      <c r="H21" s="52">
        <v>37.42</v>
      </c>
      <c r="I21" s="57" t="s">
        <v>14</v>
      </c>
      <c r="J21" s="52">
        <v>2.04</v>
      </c>
      <c r="K21" s="52">
        <v>347.55</v>
      </c>
      <c r="L21" s="52">
        <v>33.75</v>
      </c>
      <c r="M21" s="52">
        <v>43.92</v>
      </c>
      <c r="N21" s="52">
        <v>881.2</v>
      </c>
      <c r="O21" s="52">
        <v>0</v>
      </c>
      <c r="P21" s="52">
        <v>1.08</v>
      </c>
      <c r="Q21" s="52">
        <v>27.72</v>
      </c>
      <c r="R21" s="44"/>
      <c r="S21" s="44"/>
      <c r="T21" s="44"/>
      <c r="U21" s="44"/>
    </row>
    <row r="22" spans="1:21" s="12" customFormat="1" x14ac:dyDescent="0.25">
      <c r="A22" s="51" t="s">
        <v>99</v>
      </c>
      <c r="B22" s="52">
        <v>5.07</v>
      </c>
      <c r="C22" s="52">
        <v>49.98</v>
      </c>
      <c r="D22" s="52">
        <v>55.05</v>
      </c>
      <c r="E22" s="52">
        <v>7.04</v>
      </c>
      <c r="F22" s="52">
        <v>10.52</v>
      </c>
      <c r="G22" s="52">
        <v>120.51</v>
      </c>
      <c r="H22" s="52">
        <v>36.07</v>
      </c>
      <c r="I22" s="52">
        <v>0.72</v>
      </c>
      <c r="J22" s="52">
        <v>1.98</v>
      </c>
      <c r="K22" s="52">
        <v>342.19</v>
      </c>
      <c r="L22" s="52">
        <v>33.76</v>
      </c>
      <c r="M22" s="52">
        <v>36.93</v>
      </c>
      <c r="N22" s="52">
        <v>861.8</v>
      </c>
      <c r="O22" s="52">
        <v>0</v>
      </c>
      <c r="P22" s="52">
        <v>0.9</v>
      </c>
      <c r="Q22" s="52">
        <v>13.57</v>
      </c>
      <c r="R22" s="44"/>
      <c r="S22" s="44"/>
      <c r="T22" s="44"/>
      <c r="U22" s="44"/>
    </row>
    <row r="23" spans="1:21" s="12" customFormat="1" x14ac:dyDescent="0.25">
      <c r="A23" s="51" t="s">
        <v>100</v>
      </c>
      <c r="B23" s="52">
        <v>2.68</v>
      </c>
      <c r="C23" s="52">
        <v>43.75</v>
      </c>
      <c r="D23" s="52">
        <v>46.1</v>
      </c>
      <c r="E23" s="52">
        <v>4.58</v>
      </c>
      <c r="F23" s="52">
        <v>12.26</v>
      </c>
      <c r="G23" s="52">
        <v>99.51</v>
      </c>
      <c r="H23" s="52">
        <v>29.06</v>
      </c>
      <c r="I23" s="52">
        <v>0.62</v>
      </c>
      <c r="J23" s="52">
        <v>2.36</v>
      </c>
      <c r="K23" s="52">
        <v>338.14</v>
      </c>
      <c r="L23" s="52">
        <v>32.94</v>
      </c>
      <c r="M23" s="52">
        <v>41.96</v>
      </c>
      <c r="N23" s="52">
        <v>756.2</v>
      </c>
      <c r="O23" s="52">
        <v>0</v>
      </c>
      <c r="P23" s="52">
        <v>0.82</v>
      </c>
      <c r="Q23" s="52">
        <v>37.1</v>
      </c>
      <c r="R23" s="44"/>
      <c r="S23" s="44"/>
      <c r="T23" s="44"/>
      <c r="U23" s="44"/>
    </row>
    <row r="24" spans="1:21" s="12" customFormat="1" x14ac:dyDescent="0.25">
      <c r="A24" s="51" t="s">
        <v>101</v>
      </c>
      <c r="B24" s="52">
        <v>2.2599999999999998</v>
      </c>
      <c r="C24" s="52">
        <v>36.380000000000003</v>
      </c>
      <c r="D24" s="52">
        <v>37.270000000000003</v>
      </c>
      <c r="E24" s="52">
        <v>3.82</v>
      </c>
      <c r="F24" s="52">
        <v>8.7200000000000006</v>
      </c>
      <c r="G24" s="52">
        <v>99.51</v>
      </c>
      <c r="H24" s="52">
        <v>29.06</v>
      </c>
      <c r="I24" s="52">
        <v>0.41</v>
      </c>
      <c r="J24" s="52">
        <v>2.06</v>
      </c>
      <c r="K24" s="52">
        <v>341.29</v>
      </c>
      <c r="L24" s="52">
        <v>31.33</v>
      </c>
      <c r="M24" s="52">
        <v>41.72</v>
      </c>
      <c r="N24" s="52">
        <v>500.9</v>
      </c>
      <c r="O24" s="52">
        <v>0</v>
      </c>
      <c r="P24" s="52">
        <v>0.64</v>
      </c>
      <c r="Q24" s="52">
        <v>25.36</v>
      </c>
      <c r="R24" s="44"/>
      <c r="S24" s="44"/>
      <c r="T24" s="44"/>
      <c r="U24" s="44"/>
    </row>
    <row r="25" spans="1:21" s="12" customFormat="1" x14ac:dyDescent="0.25">
      <c r="A25" s="51" t="s">
        <v>102</v>
      </c>
      <c r="B25" s="52">
        <v>3.75</v>
      </c>
      <c r="C25" s="52">
        <v>32</v>
      </c>
      <c r="D25" s="52">
        <v>35.75</v>
      </c>
      <c r="E25" s="52">
        <v>4.95</v>
      </c>
      <c r="F25" s="52">
        <v>9.59</v>
      </c>
      <c r="G25" s="52">
        <v>87.57</v>
      </c>
      <c r="H25" s="52">
        <v>23.15</v>
      </c>
      <c r="I25" s="52">
        <v>0.45</v>
      </c>
      <c r="J25" s="52">
        <v>1.45</v>
      </c>
      <c r="K25" s="52">
        <v>337.34</v>
      </c>
      <c r="L25" s="52">
        <v>30.13</v>
      </c>
      <c r="M25" s="52">
        <v>48.57</v>
      </c>
      <c r="N25" s="52">
        <v>148.9</v>
      </c>
      <c r="O25" s="52">
        <v>0</v>
      </c>
      <c r="P25" s="52">
        <v>0.72</v>
      </c>
      <c r="Q25" s="52">
        <v>17.440000000000001</v>
      </c>
      <c r="R25" s="44"/>
      <c r="S25" s="44"/>
      <c r="T25" s="44"/>
      <c r="U25" s="44"/>
    </row>
    <row r="26" spans="1:21" s="12" customFormat="1" x14ac:dyDescent="0.25">
      <c r="A26" s="51" t="s">
        <v>103</v>
      </c>
      <c r="B26" s="52">
        <v>10.19</v>
      </c>
      <c r="C26" s="52">
        <v>60.5</v>
      </c>
      <c r="D26" s="52">
        <v>70.69</v>
      </c>
      <c r="E26" s="52">
        <v>9.65</v>
      </c>
      <c r="F26" s="52">
        <v>15.08</v>
      </c>
      <c r="G26" s="52">
        <v>87.57</v>
      </c>
      <c r="H26" s="52">
        <v>24.58</v>
      </c>
      <c r="I26" s="52">
        <v>0.5</v>
      </c>
      <c r="J26" s="52">
        <v>1.06</v>
      </c>
      <c r="K26" s="52">
        <v>342.56</v>
      </c>
      <c r="L26" s="52">
        <v>28.86</v>
      </c>
      <c r="M26" s="52">
        <v>55.68</v>
      </c>
      <c r="N26" s="52">
        <v>69.7</v>
      </c>
      <c r="O26" s="52">
        <v>0</v>
      </c>
      <c r="P26" s="52">
        <v>1.1299999999999999</v>
      </c>
      <c r="Q26" s="52">
        <v>23.86</v>
      </c>
      <c r="R26" s="44"/>
      <c r="S26" s="44"/>
      <c r="T26" s="44"/>
      <c r="U26" s="44"/>
    </row>
    <row r="27" spans="1:21" s="12" customFormat="1" x14ac:dyDescent="0.25">
      <c r="A27" s="51" t="s">
        <v>104</v>
      </c>
      <c r="B27" s="52">
        <v>25.02</v>
      </c>
      <c r="C27" s="52">
        <v>93.69</v>
      </c>
      <c r="D27" s="52">
        <v>118.7</v>
      </c>
      <c r="E27" s="52">
        <v>14.32</v>
      </c>
      <c r="F27" s="52">
        <v>11.78</v>
      </c>
      <c r="G27" s="56" t="s">
        <v>15</v>
      </c>
      <c r="H27" s="52">
        <v>28.29</v>
      </c>
      <c r="I27" s="52">
        <v>0.78</v>
      </c>
      <c r="J27" s="52">
        <v>0.35</v>
      </c>
      <c r="K27" s="52">
        <v>355.47</v>
      </c>
      <c r="L27" s="52">
        <v>27.54</v>
      </c>
      <c r="M27" s="52">
        <v>61.92</v>
      </c>
      <c r="N27" s="52">
        <v>26</v>
      </c>
      <c r="O27" s="52">
        <v>0</v>
      </c>
      <c r="P27" s="52">
        <v>1.98</v>
      </c>
      <c r="Q27" s="52">
        <v>40.159999999999997</v>
      </c>
      <c r="R27" s="44"/>
      <c r="S27" s="44"/>
      <c r="T27" s="44"/>
      <c r="U27" s="44"/>
    </row>
    <row r="28" spans="1:21" s="12" customFormat="1" x14ac:dyDescent="0.25">
      <c r="A28" s="51" t="s">
        <v>105</v>
      </c>
      <c r="B28" s="52">
        <v>38.18</v>
      </c>
      <c r="C28" s="52">
        <v>117.77</v>
      </c>
      <c r="D28" s="52">
        <v>155.94999999999999</v>
      </c>
      <c r="E28" s="52">
        <v>13.05</v>
      </c>
      <c r="F28" s="52">
        <v>7.22</v>
      </c>
      <c r="G28" s="56" t="s">
        <v>15</v>
      </c>
      <c r="H28" s="52">
        <v>31.62</v>
      </c>
      <c r="I28" s="52">
        <v>1.1299999999999999</v>
      </c>
      <c r="J28" s="52">
        <v>0.13</v>
      </c>
      <c r="K28" s="52">
        <v>319.35000000000002</v>
      </c>
      <c r="L28" s="52">
        <v>26.64</v>
      </c>
      <c r="M28" s="52">
        <v>66.39</v>
      </c>
      <c r="N28" s="52">
        <v>25.5</v>
      </c>
      <c r="O28" s="52">
        <v>0</v>
      </c>
      <c r="P28" s="52">
        <v>2.1</v>
      </c>
      <c r="Q28" s="52">
        <v>48.51</v>
      </c>
      <c r="R28" s="44"/>
      <c r="S28" s="44"/>
      <c r="T28" s="44"/>
      <c r="U28" s="44"/>
    </row>
    <row r="29" spans="1:21" s="12" customFormat="1" x14ac:dyDescent="0.25">
      <c r="A29" s="51" t="s">
        <v>106</v>
      </c>
      <c r="B29" s="52">
        <v>30.28</v>
      </c>
      <c r="C29" s="52">
        <v>91.2</v>
      </c>
      <c r="D29" s="52">
        <v>121.47</v>
      </c>
      <c r="E29" s="52">
        <v>11.91</v>
      </c>
      <c r="F29" s="52">
        <v>6.96</v>
      </c>
      <c r="G29" s="56" t="s">
        <v>15</v>
      </c>
      <c r="H29" s="52">
        <v>38.74</v>
      </c>
      <c r="I29" s="52">
        <v>1.36</v>
      </c>
      <c r="J29" s="52">
        <v>0.28000000000000003</v>
      </c>
      <c r="K29" s="52">
        <v>190.98</v>
      </c>
      <c r="L29" s="52">
        <v>26.45</v>
      </c>
      <c r="M29" s="52">
        <v>74.64</v>
      </c>
      <c r="N29" s="52">
        <v>24.9</v>
      </c>
      <c r="O29" s="52">
        <v>0</v>
      </c>
      <c r="P29" s="52">
        <v>1.81</v>
      </c>
      <c r="Q29" s="52">
        <v>51.07</v>
      </c>
      <c r="R29" s="44"/>
      <c r="S29" s="44"/>
      <c r="T29" s="44"/>
      <c r="U29" s="44"/>
    </row>
    <row r="30" spans="1:21" s="12" customFormat="1" x14ac:dyDescent="0.25">
      <c r="A30" s="51" t="s">
        <v>107</v>
      </c>
      <c r="B30" s="52">
        <v>58.71</v>
      </c>
      <c r="C30" s="52">
        <v>114.47</v>
      </c>
      <c r="D30" s="52">
        <v>171.08</v>
      </c>
      <c r="E30" s="52">
        <v>6.83</v>
      </c>
      <c r="F30" s="52">
        <v>6.33</v>
      </c>
      <c r="G30" s="52">
        <v>177.29</v>
      </c>
      <c r="H30" s="52">
        <v>38.74</v>
      </c>
      <c r="I30" s="52">
        <v>1.1100000000000001</v>
      </c>
      <c r="J30" s="52">
        <v>0.16</v>
      </c>
      <c r="K30" s="52">
        <v>318.45999999999998</v>
      </c>
      <c r="L30" s="52">
        <v>26.26</v>
      </c>
      <c r="M30" s="52">
        <v>79.290000000000006</v>
      </c>
      <c r="N30" s="52">
        <v>25</v>
      </c>
      <c r="O30" s="52">
        <v>0</v>
      </c>
      <c r="P30" s="52">
        <v>2.69</v>
      </c>
      <c r="Q30" s="52">
        <v>66.37</v>
      </c>
      <c r="R30" s="44"/>
      <c r="S30" s="44"/>
      <c r="T30" s="44"/>
      <c r="U30" s="44"/>
    </row>
    <row r="31" spans="1:21" s="12" customFormat="1" x14ac:dyDescent="0.25">
      <c r="A31" s="51" t="s">
        <v>108</v>
      </c>
      <c r="B31" s="52">
        <v>72.08</v>
      </c>
      <c r="C31" s="52">
        <v>123.89</v>
      </c>
      <c r="D31" s="52">
        <v>195.97</v>
      </c>
      <c r="E31" s="52">
        <v>6.48</v>
      </c>
      <c r="F31" s="52">
        <v>6.27</v>
      </c>
      <c r="G31" s="52">
        <v>236.35</v>
      </c>
      <c r="H31" s="52">
        <v>39.04</v>
      </c>
      <c r="I31" s="52">
        <v>1.69</v>
      </c>
      <c r="J31" s="52">
        <v>0.18</v>
      </c>
      <c r="K31" s="52">
        <v>329.56</v>
      </c>
      <c r="L31" s="52">
        <v>25.13</v>
      </c>
      <c r="M31" s="52">
        <v>84.2</v>
      </c>
      <c r="N31" s="52">
        <v>24.9</v>
      </c>
      <c r="O31" s="52">
        <v>0</v>
      </c>
      <c r="P31" s="52">
        <v>2.85</v>
      </c>
      <c r="Q31" s="52">
        <v>88.65</v>
      </c>
      <c r="R31" s="44"/>
      <c r="S31" s="44"/>
      <c r="T31" s="44"/>
      <c r="U31" s="44"/>
    </row>
    <row r="32" spans="1:21" s="12" customFormat="1" x14ac:dyDescent="0.25">
      <c r="A32" s="51" t="s">
        <v>109</v>
      </c>
      <c r="B32" s="52">
        <v>40.15</v>
      </c>
      <c r="C32" s="52">
        <v>83.43</v>
      </c>
      <c r="D32" s="52">
        <v>123.59</v>
      </c>
      <c r="E32" s="52">
        <v>13.7</v>
      </c>
      <c r="F32" s="52">
        <v>10.55</v>
      </c>
      <c r="G32" s="56" t="s">
        <v>15</v>
      </c>
      <c r="H32" s="52">
        <v>39.04</v>
      </c>
      <c r="I32" s="52">
        <v>1.68</v>
      </c>
      <c r="J32" s="52">
        <v>0.81</v>
      </c>
      <c r="K32" s="52">
        <v>352.74</v>
      </c>
      <c r="L32" s="52">
        <v>25.89</v>
      </c>
      <c r="M32" s="52">
        <v>66.66</v>
      </c>
      <c r="N32" s="52">
        <v>24.4</v>
      </c>
      <c r="O32" s="52">
        <v>0</v>
      </c>
      <c r="P32" s="52">
        <v>2.13</v>
      </c>
      <c r="Q32" s="52">
        <v>91.47</v>
      </c>
      <c r="R32" s="44"/>
      <c r="S32" s="44"/>
      <c r="T32" s="44"/>
      <c r="U32" s="44"/>
    </row>
    <row r="33" spans="1:21" s="22" customFormat="1" x14ac:dyDescent="0.25">
      <c r="A33" s="27"/>
      <c r="B33" s="21"/>
      <c r="C33" s="21"/>
      <c r="D33" s="21"/>
      <c r="E33" s="21"/>
      <c r="F33" s="21"/>
      <c r="G33" s="27"/>
      <c r="H33" s="27"/>
      <c r="I33" s="27"/>
      <c r="J33" s="21"/>
      <c r="K33" s="21"/>
      <c r="L33" s="27"/>
      <c r="M33" s="27"/>
      <c r="N33" s="27"/>
      <c r="O33" s="27"/>
      <c r="P33" s="27"/>
      <c r="Q33" s="21"/>
      <c r="R33" s="21"/>
      <c r="S33" s="21"/>
      <c r="T33" s="21"/>
      <c r="U33" s="21"/>
    </row>
    <row r="34" spans="1:21" s="22" customFormat="1" x14ac:dyDescent="0.25">
      <c r="A34" s="28" t="s">
        <v>30</v>
      </c>
      <c r="B34" s="29">
        <f t="shared" ref="B34:Q34" si="0">MIN(B9:B32)</f>
        <v>2.2599999999999998</v>
      </c>
      <c r="C34" s="29">
        <f t="shared" si="0"/>
        <v>32</v>
      </c>
      <c r="D34" s="29">
        <f t="shared" si="0"/>
        <v>35.75</v>
      </c>
      <c r="E34" s="29">
        <f t="shared" si="0"/>
        <v>3.82</v>
      </c>
      <c r="F34" s="29">
        <f t="shared" si="0"/>
        <v>5.49</v>
      </c>
      <c r="G34" s="29">
        <f t="shared" si="0"/>
        <v>87.57</v>
      </c>
      <c r="H34" s="29">
        <f t="shared" si="0"/>
        <v>23.15</v>
      </c>
      <c r="I34" s="29">
        <f t="shared" si="0"/>
        <v>0.41</v>
      </c>
      <c r="J34" s="29">
        <f t="shared" si="0"/>
        <v>0.13</v>
      </c>
      <c r="K34" s="29">
        <f t="shared" si="0"/>
        <v>190.98</v>
      </c>
      <c r="L34" s="29">
        <f t="shared" si="0"/>
        <v>22.53</v>
      </c>
      <c r="M34" s="29">
        <f t="shared" si="0"/>
        <v>36.93</v>
      </c>
      <c r="N34" s="29">
        <f t="shared" si="0"/>
        <v>24.4</v>
      </c>
      <c r="O34" s="29">
        <f t="shared" si="0"/>
        <v>0</v>
      </c>
      <c r="P34" s="29">
        <f t="shared" si="0"/>
        <v>0.64</v>
      </c>
      <c r="Q34" s="29">
        <f t="shared" si="0"/>
        <v>13.57</v>
      </c>
      <c r="R34" s="29"/>
      <c r="S34" s="29"/>
      <c r="T34" s="29"/>
      <c r="U34" s="29"/>
    </row>
    <row r="35" spans="1:21" s="22" customFormat="1" x14ac:dyDescent="0.25">
      <c r="A35" s="28" t="s">
        <v>31</v>
      </c>
      <c r="B35" s="30">
        <f t="shared" ref="B35:Q35" si="1">MAX(B9:B32)</f>
        <v>75.83</v>
      </c>
      <c r="C35" s="30">
        <f t="shared" si="1"/>
        <v>123.89</v>
      </c>
      <c r="D35" s="30">
        <f t="shared" si="1"/>
        <v>195.97</v>
      </c>
      <c r="E35" s="30">
        <f t="shared" si="1"/>
        <v>14.32</v>
      </c>
      <c r="F35" s="30">
        <f t="shared" si="1"/>
        <v>15.08</v>
      </c>
      <c r="G35" s="30">
        <f t="shared" si="1"/>
        <v>236.35</v>
      </c>
      <c r="H35" s="30">
        <f t="shared" si="1"/>
        <v>45.03</v>
      </c>
      <c r="I35" s="30">
        <f t="shared" si="1"/>
        <v>2.23</v>
      </c>
      <c r="J35" s="30">
        <f t="shared" si="1"/>
        <v>2.36</v>
      </c>
      <c r="K35" s="30">
        <f t="shared" si="1"/>
        <v>355.47</v>
      </c>
      <c r="L35" s="30">
        <f t="shared" si="1"/>
        <v>33.76</v>
      </c>
      <c r="M35" s="30">
        <f t="shared" si="1"/>
        <v>88.35</v>
      </c>
      <c r="N35" s="30">
        <f t="shared" si="1"/>
        <v>881.2</v>
      </c>
      <c r="O35" s="30">
        <f t="shared" si="1"/>
        <v>0</v>
      </c>
      <c r="P35" s="30">
        <f t="shared" si="1"/>
        <v>3.06</v>
      </c>
      <c r="Q35" s="30">
        <f t="shared" si="1"/>
        <v>122.95</v>
      </c>
      <c r="R35" s="30"/>
      <c r="S35" s="30"/>
      <c r="T35" s="30"/>
      <c r="U35" s="30"/>
    </row>
    <row r="36" spans="1:21" s="22" customFormat="1" x14ac:dyDescent="0.25">
      <c r="A36" s="28" t="s">
        <v>32</v>
      </c>
      <c r="B36" s="29">
        <f t="shared" ref="B36:Q36" si="2">AVERAGE(B9:B32)</f>
        <v>32.19</v>
      </c>
      <c r="C36" s="29">
        <f t="shared" si="2"/>
        <v>71.260833333333338</v>
      </c>
      <c r="D36" s="29">
        <f t="shared" si="2"/>
        <v>103.15833333333335</v>
      </c>
      <c r="E36" s="29">
        <f t="shared" si="2"/>
        <v>8.8233333333333324</v>
      </c>
      <c r="F36" s="29">
        <f t="shared" si="2"/>
        <v>8.3641666666666694</v>
      </c>
      <c r="G36" s="29">
        <f t="shared" si="2"/>
        <v>148.00950000000006</v>
      </c>
      <c r="H36" s="29">
        <f t="shared" si="2"/>
        <v>36.569166666666661</v>
      </c>
      <c r="I36" s="29">
        <f t="shared" si="2"/>
        <v>1.2674999999999998</v>
      </c>
      <c r="J36" s="29">
        <f t="shared" si="2"/>
        <v>1.0933333333333333</v>
      </c>
      <c r="K36" s="29">
        <f t="shared" si="2"/>
        <v>332.29291666666671</v>
      </c>
      <c r="L36" s="29">
        <f t="shared" si="2"/>
        <v>28.091666666666665</v>
      </c>
      <c r="M36" s="29">
        <f t="shared" si="2"/>
        <v>64.375000000000014</v>
      </c>
      <c r="N36" s="29">
        <f t="shared" si="2"/>
        <v>286.43749999999994</v>
      </c>
      <c r="O36" s="29">
        <f t="shared" si="2"/>
        <v>0</v>
      </c>
      <c r="P36" s="29">
        <f t="shared" si="2"/>
        <v>1.7241666666666668</v>
      </c>
      <c r="Q36" s="29">
        <f t="shared" si="2"/>
        <v>56.433333333333344</v>
      </c>
      <c r="R36" s="29"/>
      <c r="S36" s="29"/>
      <c r="T36" s="29"/>
      <c r="U36" s="29"/>
    </row>
    <row r="37" spans="1:21" s="22" customFormat="1" x14ac:dyDescent="0.25">
      <c r="A37" s="28" t="s">
        <v>38</v>
      </c>
      <c r="B37" s="29">
        <f>STDEV(B9:B32)</f>
        <v>22.954906646084083</v>
      </c>
      <c r="C37" s="29">
        <f t="shared" ref="C37:Q37" si="3">STDEV(C9:C32)</f>
        <v>26.447112757131048</v>
      </c>
      <c r="D37" s="29">
        <f t="shared" si="3"/>
        <v>46.802630701486322</v>
      </c>
      <c r="E37" s="29">
        <f t="shared" si="3"/>
        <v>2.7892583815130103</v>
      </c>
      <c r="F37" s="29">
        <f t="shared" si="3"/>
        <v>2.6680556618055613</v>
      </c>
      <c r="G37" s="29">
        <f t="shared" si="3"/>
        <v>41.589062387401071</v>
      </c>
      <c r="H37" s="29">
        <f t="shared" si="3"/>
        <v>6.3180961060906382</v>
      </c>
      <c r="I37" s="29">
        <f t="shared" si="3"/>
        <v>0.63341929241222206</v>
      </c>
      <c r="J37" s="29">
        <f t="shared" si="3"/>
        <v>0.69122239966388688</v>
      </c>
      <c r="K37" s="29">
        <f t="shared" si="3"/>
        <v>32.230299608634091</v>
      </c>
      <c r="L37" s="29">
        <f t="shared" si="3"/>
        <v>4.012316545086045</v>
      </c>
      <c r="M37" s="29">
        <f t="shared" si="3"/>
        <v>17.9404783999031</v>
      </c>
      <c r="N37" s="29">
        <f t="shared" si="3"/>
        <v>335.22768876573633</v>
      </c>
      <c r="O37" s="29">
        <f t="shared" si="3"/>
        <v>0</v>
      </c>
      <c r="P37" s="29">
        <f t="shared" si="3"/>
        <v>0.71178231080226639</v>
      </c>
      <c r="Q37" s="29">
        <f t="shared" si="3"/>
        <v>30.991238546832317</v>
      </c>
      <c r="R37" s="29"/>
      <c r="S37" s="29"/>
      <c r="T37" s="29"/>
      <c r="U37" s="29"/>
    </row>
    <row r="38" spans="1:21" s="22" customFormat="1" x14ac:dyDescent="0.25">
      <c r="A38" s="32" t="s">
        <v>33</v>
      </c>
      <c r="B38" s="33">
        <f t="shared" ref="B38:Q38" si="4">COUNT(B9:B32)</f>
        <v>24</v>
      </c>
      <c r="C38" s="33">
        <f t="shared" si="4"/>
        <v>24</v>
      </c>
      <c r="D38" s="33">
        <f t="shared" si="4"/>
        <v>24</v>
      </c>
      <c r="E38" s="33">
        <f t="shared" si="4"/>
        <v>24</v>
      </c>
      <c r="F38" s="33">
        <f t="shared" si="4"/>
        <v>24</v>
      </c>
      <c r="G38" s="33">
        <f t="shared" si="4"/>
        <v>20</v>
      </c>
      <c r="H38" s="33">
        <f t="shared" si="4"/>
        <v>24</v>
      </c>
      <c r="I38" s="33">
        <f>COUNT(I9:I32)+8</f>
        <v>24</v>
      </c>
      <c r="J38" s="33">
        <f t="shared" si="4"/>
        <v>24</v>
      </c>
      <c r="K38" s="33">
        <f t="shared" si="4"/>
        <v>24</v>
      </c>
      <c r="L38" s="33">
        <f t="shared" si="4"/>
        <v>24</v>
      </c>
      <c r="M38" s="33">
        <f t="shared" si="4"/>
        <v>24</v>
      </c>
      <c r="N38" s="33">
        <f t="shared" si="4"/>
        <v>24</v>
      </c>
      <c r="O38" s="33">
        <f t="shared" si="4"/>
        <v>24</v>
      </c>
      <c r="P38" s="33">
        <f t="shared" si="4"/>
        <v>24</v>
      </c>
      <c r="Q38" s="33">
        <f t="shared" si="4"/>
        <v>24</v>
      </c>
      <c r="R38" s="33"/>
      <c r="S38" s="33"/>
      <c r="T38" s="33"/>
      <c r="U38" s="33"/>
    </row>
    <row r="39" spans="1:21" s="22" customFormat="1" x14ac:dyDescent="0.25">
      <c r="A39" s="28" t="s">
        <v>34</v>
      </c>
      <c r="B39" s="30" t="str">
        <f>IF(B38&gt;=22,"&gt;90%",IF(B38&lt;=22,"&lt;90%"))</f>
        <v>&gt;90%</v>
      </c>
      <c r="C39" s="30" t="str">
        <f t="shared" ref="C39:P39" si="5">IF(C38&gt;=22,"&gt;90%",IF(C38&lt;=22,"&lt;90%"))</f>
        <v>&gt;90%</v>
      </c>
      <c r="D39" s="30" t="str">
        <f t="shared" si="5"/>
        <v>&gt;90%</v>
      </c>
      <c r="E39" s="30" t="str">
        <f t="shared" si="5"/>
        <v>&gt;90%</v>
      </c>
      <c r="F39" s="30" t="str">
        <f t="shared" si="5"/>
        <v>&gt;90%</v>
      </c>
      <c r="G39" s="30" t="str">
        <f t="shared" si="5"/>
        <v>&lt;90%</v>
      </c>
      <c r="H39" s="30" t="str">
        <f t="shared" si="5"/>
        <v>&gt;90%</v>
      </c>
      <c r="I39" s="30" t="str">
        <f t="shared" si="5"/>
        <v>&gt;90%</v>
      </c>
      <c r="J39" s="30" t="str">
        <f t="shared" si="5"/>
        <v>&gt;90%</v>
      </c>
      <c r="K39" s="30" t="str">
        <f t="shared" si="5"/>
        <v>&gt;90%</v>
      </c>
      <c r="L39" s="30" t="str">
        <f t="shared" si="5"/>
        <v>&gt;90%</v>
      </c>
      <c r="M39" s="30" t="str">
        <f t="shared" si="5"/>
        <v>&gt;90%</v>
      </c>
      <c r="N39" s="30" t="str">
        <f t="shared" si="5"/>
        <v>&gt;90%</v>
      </c>
      <c r="O39" s="30" t="str">
        <f t="shared" si="5"/>
        <v>&gt;90%</v>
      </c>
      <c r="P39" s="30" t="str">
        <f t="shared" si="5"/>
        <v>&gt;90%</v>
      </c>
      <c r="Q39" s="30" t="str">
        <f>IF(Q38&gt;=22,"&gt;90%",IF(Q38&lt;=22,"&lt;90%"))</f>
        <v>&gt;90%</v>
      </c>
      <c r="R39" s="30"/>
      <c r="S39" s="30"/>
      <c r="T39" s="30"/>
      <c r="U39" s="30"/>
    </row>
    <row r="40" spans="1:21" s="22" customFormat="1" x14ac:dyDescent="0.25">
      <c r="A40" s="28" t="s">
        <v>1</v>
      </c>
      <c r="B40" s="30" t="str">
        <f>IF(B38&gt;=22,"OK",IF(B38&lt;=22,"LESS"))</f>
        <v>OK</v>
      </c>
      <c r="C40" s="30" t="str">
        <f t="shared" ref="C40:Q40" si="6">IF(C38&gt;=22,"OK",IF(C38&lt;=22,"LESS"))</f>
        <v>OK</v>
      </c>
      <c r="D40" s="30" t="str">
        <f t="shared" si="6"/>
        <v>OK</v>
      </c>
      <c r="E40" s="30" t="str">
        <f t="shared" si="6"/>
        <v>OK</v>
      </c>
      <c r="F40" s="30" t="str">
        <f t="shared" si="6"/>
        <v>OK</v>
      </c>
      <c r="G40" s="30" t="str">
        <f t="shared" si="6"/>
        <v>LESS</v>
      </c>
      <c r="H40" s="30" t="str">
        <f t="shared" si="6"/>
        <v>OK</v>
      </c>
      <c r="I40" s="30" t="str">
        <f t="shared" si="6"/>
        <v>OK</v>
      </c>
      <c r="J40" s="30" t="str">
        <f t="shared" si="6"/>
        <v>OK</v>
      </c>
      <c r="K40" s="30" t="str">
        <f t="shared" si="6"/>
        <v>OK</v>
      </c>
      <c r="L40" s="30" t="str">
        <f t="shared" si="6"/>
        <v>OK</v>
      </c>
      <c r="M40" s="30" t="str">
        <f t="shared" si="6"/>
        <v>OK</v>
      </c>
      <c r="N40" s="30" t="str">
        <f t="shared" si="6"/>
        <v>OK</v>
      </c>
      <c r="O40" s="30" t="str">
        <f t="shared" si="6"/>
        <v>OK</v>
      </c>
      <c r="P40" s="30" t="str">
        <f t="shared" si="6"/>
        <v>OK</v>
      </c>
      <c r="Q40" s="30" t="str">
        <f t="shared" si="6"/>
        <v>OK</v>
      </c>
      <c r="R40" s="30"/>
      <c r="S40" s="30"/>
      <c r="T40" s="30"/>
      <c r="U40" s="30"/>
    </row>
    <row r="41" spans="1:21" s="22" customFormat="1" x14ac:dyDescent="0.25">
      <c r="A41" s="14"/>
      <c r="L41" s="14"/>
      <c r="N41" s="17"/>
      <c r="O41" s="17"/>
      <c r="P41" s="17"/>
      <c r="Q41" s="17"/>
      <c r="R41" s="17"/>
      <c r="S41" s="17"/>
      <c r="T41" s="17"/>
      <c r="U41" s="17"/>
    </row>
    <row r="42" spans="1:21" s="22" customFormat="1" x14ac:dyDescent="0.25">
      <c r="A42" s="14"/>
    </row>
    <row r="43" spans="1:21" s="22" customFormat="1" x14ac:dyDescent="0.25">
      <c r="A43" s="15" t="s">
        <v>35</v>
      </c>
      <c r="B43" s="41" t="s">
        <v>42</v>
      </c>
      <c r="C43" s="43"/>
    </row>
    <row r="44" spans="1:21" s="22" customFormat="1" x14ac:dyDescent="0.25">
      <c r="A44" s="14"/>
      <c r="D44" s="2"/>
      <c r="E44" s="2"/>
      <c r="F44" s="2"/>
      <c r="G44" s="2"/>
      <c r="H44" s="2"/>
      <c r="I44" s="2"/>
    </row>
    <row r="45" spans="1:21" s="22" customFormat="1" ht="15.75" x14ac:dyDescent="0.25">
      <c r="A45" s="18" t="s">
        <v>36</v>
      </c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</row>
    <row r="46" spans="1:21" s="22" customFormat="1" x14ac:dyDescent="0.25"/>
    <row r="47" spans="1:21" s="22" customFormat="1" x14ac:dyDescent="0.25"/>
    <row r="48" spans="1:21" s="22" customFormat="1" x14ac:dyDescent="0.25"/>
    <row r="49" s="22" customFormat="1" x14ac:dyDescent="0.25"/>
    <row r="50" s="22" customFormat="1" x14ac:dyDescent="0.25"/>
    <row r="51" s="22" customFormat="1" x14ac:dyDescent="0.25"/>
    <row r="52" s="22" customFormat="1" x14ac:dyDescent="0.25"/>
    <row r="53" s="22" customFormat="1" x14ac:dyDescent="0.25"/>
    <row r="54" s="22" customFormat="1" x14ac:dyDescent="0.25"/>
    <row r="55" s="22" customFormat="1" x14ac:dyDescent="0.25"/>
    <row r="56" s="22" customFormat="1" x14ac:dyDescent="0.25"/>
    <row r="57" s="22" customFormat="1" x14ac:dyDescent="0.25"/>
    <row r="58" s="22" customFormat="1" x14ac:dyDescent="0.25"/>
    <row r="59" s="22" customFormat="1" x14ac:dyDescent="0.25"/>
    <row r="60" s="22" customFormat="1" x14ac:dyDescent="0.25"/>
    <row r="61" s="22" customFormat="1" x14ac:dyDescent="0.25"/>
    <row r="62" s="22" customFormat="1" x14ac:dyDescent="0.25"/>
    <row r="63" s="22" customFormat="1" x14ac:dyDescent="0.25"/>
    <row r="64" s="22" customFormat="1" x14ac:dyDescent="0.25"/>
    <row r="65" s="22" customFormat="1" x14ac:dyDescent="0.25"/>
    <row r="66" s="22" customFormat="1" x14ac:dyDescent="0.25"/>
    <row r="67" s="22" customFormat="1" x14ac:dyDescent="0.25"/>
    <row r="68" s="22" customFormat="1" x14ac:dyDescent="0.25"/>
    <row r="69" s="22" customFormat="1" x14ac:dyDescent="0.25"/>
    <row r="70" s="22" customFormat="1" x14ac:dyDescent="0.25"/>
    <row r="71" s="22" customFormat="1" x14ac:dyDescent="0.25"/>
    <row r="72" s="22" customFormat="1" x14ac:dyDescent="0.25"/>
    <row r="73" s="22" customFormat="1" x14ac:dyDescent="0.25"/>
    <row r="74" s="22" customFormat="1" x14ac:dyDescent="0.25"/>
    <row r="75" s="22" customFormat="1" x14ac:dyDescent="0.25"/>
    <row r="76" s="22" customFormat="1" x14ac:dyDescent="0.25"/>
    <row r="77" s="22" customFormat="1" x14ac:dyDescent="0.25"/>
    <row r="78" s="22" customFormat="1" x14ac:dyDescent="0.25"/>
    <row r="79" s="22" customFormat="1" x14ac:dyDescent="0.25"/>
    <row r="80" s="22" customFormat="1" x14ac:dyDescent="0.25"/>
    <row r="81" s="22" customFormat="1" x14ac:dyDescent="0.25"/>
    <row r="82" s="22" customFormat="1" x14ac:dyDescent="0.25"/>
    <row r="83" s="22" customFormat="1" x14ac:dyDescent="0.25"/>
    <row r="84" s="22" customFormat="1" x14ac:dyDescent="0.25"/>
    <row r="85" s="22" customFormat="1" x14ac:dyDescent="0.25"/>
    <row r="86" s="22" customFormat="1" x14ac:dyDescent="0.25"/>
    <row r="87" s="22" customFormat="1" x14ac:dyDescent="0.25"/>
    <row r="88" s="22" customFormat="1" x14ac:dyDescent="0.25"/>
    <row r="89" s="22" customFormat="1" x14ac:dyDescent="0.25"/>
    <row r="90" s="22" customFormat="1" x14ac:dyDescent="0.25"/>
    <row r="91" s="22" customFormat="1" x14ac:dyDescent="0.25"/>
    <row r="92" s="22" customFormat="1" x14ac:dyDescent="0.25"/>
    <row r="93" s="22" customFormat="1" x14ac:dyDescent="0.25"/>
    <row r="94" s="22" customFormat="1" x14ac:dyDescent="0.25"/>
    <row r="95" s="22" customFormat="1" x14ac:dyDescent="0.25"/>
    <row r="96" s="22" customFormat="1" x14ac:dyDescent="0.25"/>
    <row r="97" spans="1:1" s="22" customFormat="1" x14ac:dyDescent="0.25"/>
    <row r="98" spans="1:1" s="22" customFormat="1" x14ac:dyDescent="0.25"/>
    <row r="99" spans="1:1" s="22" customFormat="1" x14ac:dyDescent="0.25"/>
    <row r="100" spans="1:1" s="22" customFormat="1" x14ac:dyDescent="0.25"/>
    <row r="101" spans="1:1" s="22" customFormat="1" x14ac:dyDescent="0.25"/>
    <row r="102" spans="1:1" s="22" customFormat="1" x14ac:dyDescent="0.25"/>
    <row r="103" spans="1:1" s="22" customFormat="1" x14ac:dyDescent="0.25"/>
    <row r="104" spans="1:1" s="22" customFormat="1" x14ac:dyDescent="0.25"/>
    <row r="105" spans="1:1" s="22" customFormat="1" x14ac:dyDescent="0.25"/>
    <row r="106" spans="1:1" x14ac:dyDescent="0.25">
      <c r="A106" s="21"/>
    </row>
    <row r="107" spans="1:1" s="22" customFormat="1" x14ac:dyDescent="0.25"/>
    <row r="108" spans="1:1" s="22" customFormat="1" x14ac:dyDescent="0.25"/>
    <row r="109" spans="1:1" s="22" customFormat="1" x14ac:dyDescent="0.25"/>
    <row r="110" spans="1:1" s="22" customFormat="1" x14ac:dyDescent="0.25"/>
    <row r="111" spans="1:1" s="22" customFormat="1" x14ac:dyDescent="0.25"/>
    <row r="112" spans="1:1" s="22" customFormat="1" x14ac:dyDescent="0.25"/>
    <row r="113" spans="1:1" s="22" customFormat="1" x14ac:dyDescent="0.25"/>
    <row r="114" spans="1:1" s="22" customFormat="1" x14ac:dyDescent="0.25"/>
    <row r="115" spans="1:1" s="22" customFormat="1" x14ac:dyDescent="0.25"/>
    <row r="116" spans="1:1" s="22" customFormat="1" x14ac:dyDescent="0.25"/>
    <row r="117" spans="1:1" s="22" customFormat="1" x14ac:dyDescent="0.25"/>
    <row r="118" spans="1:1" x14ac:dyDescent="0.25">
      <c r="A118" s="21"/>
    </row>
    <row r="119" spans="1:1" x14ac:dyDescent="0.25">
      <c r="A119" s="21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2" ySplit="8" topLeftCell="C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B45" sqref="B45"/>
    </sheetView>
  </sheetViews>
  <sheetFormatPr defaultColWidth="8.85546875" defaultRowHeight="15" x14ac:dyDescent="0.25"/>
  <cols>
    <col min="1" max="1" width="18.28515625" style="27" customWidth="1"/>
    <col min="2" max="2" width="13.28515625" style="21" customWidth="1"/>
    <col min="3" max="12" width="9.140625" style="21" customWidth="1"/>
    <col min="13" max="13" width="10" style="21" customWidth="1"/>
    <col min="14" max="19" width="9.140625" style="21" customWidth="1"/>
    <col min="20" max="20" width="11.42578125" style="21" customWidth="1"/>
    <col min="21" max="16384" width="8.85546875" style="21"/>
  </cols>
  <sheetData>
    <row r="1" spans="1:21" s="22" customFormat="1" ht="26.25" x14ac:dyDescent="0.25">
      <c r="A1" s="15" t="s">
        <v>2</v>
      </c>
      <c r="B1" s="24" t="s">
        <v>43</v>
      </c>
      <c r="C1" s="38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s="22" customFormat="1" x14ac:dyDescent="0.25">
      <c r="A2" s="15" t="s">
        <v>0</v>
      </c>
      <c r="B2" s="39" t="str">
        <f>$A$9</f>
        <v>03-10-2022 01:00</v>
      </c>
      <c r="C2" s="12"/>
      <c r="D2" s="11" t="s">
        <v>3</v>
      </c>
      <c r="E2" s="11"/>
      <c r="F2" s="11"/>
      <c r="G2" s="4" t="s">
        <v>4</v>
      </c>
      <c r="H2" s="20"/>
      <c r="I2" s="20"/>
      <c r="J2" s="20"/>
      <c r="K2" s="13"/>
      <c r="L2" s="11" t="s">
        <v>5</v>
      </c>
      <c r="M2" s="13"/>
      <c r="N2" s="8" t="s">
        <v>6</v>
      </c>
      <c r="P2" s="40" t="s">
        <v>7</v>
      </c>
      <c r="Q2" s="13"/>
      <c r="R2" s="9" t="s">
        <v>8</v>
      </c>
      <c r="S2" s="12"/>
      <c r="T2" s="12"/>
      <c r="U2" s="12"/>
    </row>
    <row r="3" spans="1:21" s="22" customFormat="1" x14ac:dyDescent="0.25">
      <c r="A3" s="15" t="s">
        <v>9</v>
      </c>
      <c r="B3" s="13" t="s">
        <v>10</v>
      </c>
      <c r="C3" s="12"/>
      <c r="D3" s="11" t="s">
        <v>11</v>
      </c>
      <c r="E3" s="11"/>
      <c r="F3" s="11"/>
      <c r="G3" s="19" t="s">
        <v>12</v>
      </c>
      <c r="H3" s="20"/>
      <c r="I3" s="20"/>
      <c r="J3" s="20"/>
      <c r="K3" s="12"/>
      <c r="L3" s="11" t="s">
        <v>13</v>
      </c>
      <c r="M3" s="13"/>
      <c r="N3" s="6" t="s">
        <v>14</v>
      </c>
      <c r="O3" s="13"/>
      <c r="P3" s="40" t="s">
        <v>15</v>
      </c>
      <c r="Q3" s="13"/>
      <c r="R3" s="10" t="s">
        <v>15</v>
      </c>
      <c r="S3" s="12"/>
      <c r="T3" s="12"/>
      <c r="U3" s="12"/>
    </row>
    <row r="4" spans="1:21" s="22" customFormat="1" x14ac:dyDescent="0.25">
      <c r="A4" s="15" t="s">
        <v>16</v>
      </c>
      <c r="B4" s="13" t="s">
        <v>39</v>
      </c>
      <c r="C4" s="12"/>
      <c r="D4" s="11" t="s">
        <v>17</v>
      </c>
      <c r="E4" s="11"/>
      <c r="F4" s="11"/>
      <c r="G4" s="5" t="s">
        <v>18</v>
      </c>
      <c r="H4" s="20"/>
      <c r="I4" s="20"/>
      <c r="J4" s="20"/>
      <c r="K4" s="3"/>
      <c r="L4" s="11" t="s">
        <v>19</v>
      </c>
      <c r="M4" s="13"/>
      <c r="N4" s="7" t="s">
        <v>20</v>
      </c>
      <c r="O4" s="13"/>
      <c r="P4" s="13"/>
      <c r="Q4" s="13"/>
      <c r="R4" s="13"/>
      <c r="S4" s="12"/>
      <c r="T4" s="12"/>
      <c r="U4" s="12"/>
    </row>
    <row r="5" spans="1:21" s="22" customFormat="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s="22" customFormat="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s="22" customFormat="1" x14ac:dyDescent="0.25">
      <c r="A7" s="15" t="s">
        <v>21</v>
      </c>
      <c r="B7" s="45" t="s">
        <v>59</v>
      </c>
      <c r="C7" s="45" t="s">
        <v>44</v>
      </c>
      <c r="D7" s="45" t="s">
        <v>45</v>
      </c>
      <c r="E7" s="45" t="s">
        <v>46</v>
      </c>
      <c r="F7" s="45" t="s">
        <v>47</v>
      </c>
      <c r="G7" s="45" t="s">
        <v>48</v>
      </c>
      <c r="H7" s="45" t="s">
        <v>49</v>
      </c>
      <c r="I7" s="45" t="s">
        <v>50</v>
      </c>
      <c r="J7" s="45" t="s">
        <v>51</v>
      </c>
      <c r="K7" s="45" t="s">
        <v>52</v>
      </c>
      <c r="L7" s="45" t="s">
        <v>53</v>
      </c>
      <c r="M7" s="45" t="s">
        <v>54</v>
      </c>
      <c r="N7" s="45" t="s">
        <v>55</v>
      </c>
      <c r="O7" s="45" t="s">
        <v>56</v>
      </c>
      <c r="P7" s="45" t="s">
        <v>57</v>
      </c>
      <c r="Q7" s="45" t="s">
        <v>58</v>
      </c>
      <c r="R7" s="28"/>
      <c r="S7" s="30"/>
      <c r="T7" s="28"/>
      <c r="U7" s="28"/>
    </row>
    <row r="8" spans="1:21" s="22" customFormat="1" x14ac:dyDescent="0.25">
      <c r="A8" s="15"/>
      <c r="B8" s="30" t="s">
        <v>22</v>
      </c>
      <c r="C8" s="30" t="s">
        <v>22</v>
      </c>
      <c r="D8" s="30" t="s">
        <v>22</v>
      </c>
      <c r="E8" s="30" t="s">
        <v>22</v>
      </c>
      <c r="F8" s="30" t="s">
        <v>22</v>
      </c>
      <c r="G8" s="30" t="s">
        <v>23</v>
      </c>
      <c r="H8" s="30" t="s">
        <v>22</v>
      </c>
      <c r="I8" s="30" t="s">
        <v>22</v>
      </c>
      <c r="J8" s="30" t="s">
        <v>24</v>
      </c>
      <c r="K8" s="30" t="s">
        <v>25</v>
      </c>
      <c r="L8" s="28" t="s">
        <v>27</v>
      </c>
      <c r="M8" s="30" t="s">
        <v>26</v>
      </c>
      <c r="N8" s="30" t="s">
        <v>28</v>
      </c>
      <c r="O8" s="28" t="s">
        <v>29</v>
      </c>
      <c r="P8" s="30" t="s">
        <v>22</v>
      </c>
      <c r="Q8" s="30" t="s">
        <v>22</v>
      </c>
      <c r="R8" s="28"/>
      <c r="S8" s="30"/>
      <c r="T8" s="28"/>
      <c r="U8" s="28"/>
    </row>
    <row r="9" spans="1:21" s="12" customFormat="1" x14ac:dyDescent="0.25">
      <c r="A9" s="51" t="s">
        <v>110</v>
      </c>
      <c r="B9" s="52">
        <v>33.07</v>
      </c>
      <c r="C9" s="52">
        <v>70.709999999999994</v>
      </c>
      <c r="D9" s="52">
        <v>102.76</v>
      </c>
      <c r="E9" s="52">
        <v>15.25</v>
      </c>
      <c r="F9" s="52">
        <v>8.1199999999999992</v>
      </c>
      <c r="G9" s="52">
        <v>193.17</v>
      </c>
      <c r="H9" s="52">
        <v>41.79</v>
      </c>
      <c r="I9" s="52">
        <v>1.44</v>
      </c>
      <c r="J9" s="52">
        <v>0.85</v>
      </c>
      <c r="K9" s="52">
        <v>329.59</v>
      </c>
      <c r="L9" s="52">
        <v>25.49</v>
      </c>
      <c r="M9" s="52">
        <v>79.959999999999994</v>
      </c>
      <c r="N9" s="52">
        <v>24.4</v>
      </c>
      <c r="O9" s="52">
        <v>0</v>
      </c>
      <c r="P9" s="52">
        <v>2.08</v>
      </c>
      <c r="Q9" s="52">
        <v>85.68</v>
      </c>
      <c r="R9" s="44"/>
      <c r="S9" s="44"/>
      <c r="T9" s="44"/>
      <c r="U9" s="44"/>
    </row>
    <row r="10" spans="1:21" s="12" customFormat="1" x14ac:dyDescent="0.25">
      <c r="A10" s="51" t="s">
        <v>111</v>
      </c>
      <c r="B10" s="52">
        <v>28.48</v>
      </c>
      <c r="C10" s="52">
        <v>55.52</v>
      </c>
      <c r="D10" s="52">
        <v>84</v>
      </c>
      <c r="E10" s="52">
        <v>8</v>
      </c>
      <c r="F10" s="52">
        <v>6.87</v>
      </c>
      <c r="G10" s="52">
        <v>193.17</v>
      </c>
      <c r="H10" s="52">
        <v>41.79</v>
      </c>
      <c r="I10" s="52">
        <v>1.44</v>
      </c>
      <c r="J10" s="52">
        <v>1.32</v>
      </c>
      <c r="K10" s="52">
        <v>333.56</v>
      </c>
      <c r="L10" s="52">
        <v>24.6</v>
      </c>
      <c r="M10" s="52">
        <v>81.040000000000006</v>
      </c>
      <c r="N10" s="52">
        <v>23.9</v>
      </c>
      <c r="O10" s="52">
        <v>0</v>
      </c>
      <c r="P10" s="52">
        <v>1.9</v>
      </c>
      <c r="Q10" s="52">
        <v>72.81</v>
      </c>
      <c r="R10" s="44"/>
      <c r="S10" s="44"/>
      <c r="T10" s="44"/>
      <c r="U10" s="44"/>
    </row>
    <row r="11" spans="1:21" s="12" customFormat="1" x14ac:dyDescent="0.25">
      <c r="A11" s="51" t="s">
        <v>112</v>
      </c>
      <c r="B11" s="52">
        <v>23.77</v>
      </c>
      <c r="C11" s="52">
        <v>48.03</v>
      </c>
      <c r="D11" s="52">
        <v>68.930000000000007</v>
      </c>
      <c r="E11" s="52">
        <v>9.1</v>
      </c>
      <c r="F11" s="52">
        <v>8.19</v>
      </c>
      <c r="G11" s="52">
        <v>190.85</v>
      </c>
      <c r="H11" s="52">
        <v>35.17</v>
      </c>
      <c r="I11" s="52">
        <v>1.31</v>
      </c>
      <c r="J11" s="52">
        <v>1.03</v>
      </c>
      <c r="K11" s="52">
        <v>351.52</v>
      </c>
      <c r="L11" s="52">
        <v>24.22</v>
      </c>
      <c r="M11" s="52">
        <v>74.36</v>
      </c>
      <c r="N11" s="52">
        <v>23.9</v>
      </c>
      <c r="O11" s="52">
        <v>0</v>
      </c>
      <c r="P11" s="52">
        <v>1.7</v>
      </c>
      <c r="Q11" s="52">
        <v>59.9</v>
      </c>
      <c r="R11" s="44"/>
      <c r="S11" s="44"/>
      <c r="T11" s="44"/>
      <c r="U11" s="44"/>
    </row>
    <row r="12" spans="1:21" s="12" customFormat="1" x14ac:dyDescent="0.25">
      <c r="A12" s="51" t="s">
        <v>113</v>
      </c>
      <c r="B12" s="52">
        <v>17.52</v>
      </c>
      <c r="C12" s="52">
        <v>39.97</v>
      </c>
      <c r="D12" s="52">
        <v>57.49</v>
      </c>
      <c r="E12" s="52">
        <v>9.26</v>
      </c>
      <c r="F12" s="52">
        <v>7.26</v>
      </c>
      <c r="G12" s="52">
        <v>152.74</v>
      </c>
      <c r="H12" s="52">
        <v>35.17</v>
      </c>
      <c r="I12" s="52">
        <v>1.1499999999999999</v>
      </c>
      <c r="J12" s="52">
        <v>1.1100000000000001</v>
      </c>
      <c r="K12" s="52">
        <v>352.09</v>
      </c>
      <c r="L12" s="52">
        <v>23.78</v>
      </c>
      <c r="M12" s="52">
        <v>74.52</v>
      </c>
      <c r="N12" s="52">
        <v>23.7</v>
      </c>
      <c r="O12" s="52">
        <v>0</v>
      </c>
      <c r="P12" s="52">
        <v>1.51</v>
      </c>
      <c r="Q12" s="52">
        <v>57.29</v>
      </c>
      <c r="R12" s="44"/>
      <c r="S12" s="44"/>
      <c r="T12" s="44"/>
      <c r="U12" s="44"/>
    </row>
    <row r="13" spans="1:21" s="12" customFormat="1" x14ac:dyDescent="0.25">
      <c r="A13" s="51" t="s">
        <v>114</v>
      </c>
      <c r="B13" s="52">
        <v>12.98</v>
      </c>
      <c r="C13" s="52">
        <v>41.15</v>
      </c>
      <c r="D13" s="52">
        <v>53.55</v>
      </c>
      <c r="E13" s="52">
        <v>17.41</v>
      </c>
      <c r="F13" s="52">
        <v>6.02</v>
      </c>
      <c r="G13" s="52">
        <v>223.69</v>
      </c>
      <c r="H13" s="52">
        <v>34.590000000000003</v>
      </c>
      <c r="I13" s="52">
        <v>1.06</v>
      </c>
      <c r="J13" s="52">
        <v>1.01</v>
      </c>
      <c r="K13" s="52">
        <v>348.06</v>
      </c>
      <c r="L13" s="52">
        <v>23.66</v>
      </c>
      <c r="M13" s="52">
        <v>80.290000000000006</v>
      </c>
      <c r="N13" s="52">
        <v>23.7</v>
      </c>
      <c r="O13" s="52">
        <v>0</v>
      </c>
      <c r="P13" s="52">
        <v>1.33</v>
      </c>
      <c r="Q13" s="52">
        <v>47.96</v>
      </c>
      <c r="R13" s="44"/>
      <c r="S13" s="44"/>
      <c r="T13" s="44"/>
      <c r="U13" s="44"/>
    </row>
    <row r="14" spans="1:21" s="12" customFormat="1" x14ac:dyDescent="0.25">
      <c r="A14" s="51" t="s">
        <v>115</v>
      </c>
      <c r="B14" s="52">
        <v>12.5</v>
      </c>
      <c r="C14" s="52">
        <v>36.06</v>
      </c>
      <c r="D14" s="52">
        <v>48.56</v>
      </c>
      <c r="E14" s="52">
        <v>8.51</v>
      </c>
      <c r="F14" s="52">
        <v>5.31</v>
      </c>
      <c r="G14" s="52">
        <v>223.69</v>
      </c>
      <c r="H14" s="52">
        <v>39.18</v>
      </c>
      <c r="I14" s="52">
        <v>0.96</v>
      </c>
      <c r="J14" s="52">
        <v>1.04</v>
      </c>
      <c r="K14" s="52">
        <v>331.74</v>
      </c>
      <c r="L14" s="52">
        <v>22.85</v>
      </c>
      <c r="M14" s="52">
        <v>84.68</v>
      </c>
      <c r="N14" s="52">
        <v>27.1</v>
      </c>
      <c r="O14" s="52">
        <v>0</v>
      </c>
      <c r="P14" s="52">
        <v>1.31</v>
      </c>
      <c r="Q14" s="52">
        <v>47.24</v>
      </c>
      <c r="R14" s="44"/>
      <c r="S14" s="44"/>
      <c r="T14" s="44"/>
      <c r="U14" s="44"/>
    </row>
    <row r="15" spans="1:21" s="12" customFormat="1" x14ac:dyDescent="0.25">
      <c r="A15" s="51" t="s">
        <v>116</v>
      </c>
      <c r="B15" s="52">
        <v>12.59</v>
      </c>
      <c r="C15" s="52">
        <v>34.49</v>
      </c>
      <c r="D15" s="52">
        <v>47.04</v>
      </c>
      <c r="E15" s="52">
        <v>7.49</v>
      </c>
      <c r="F15" s="52">
        <v>5.76</v>
      </c>
      <c r="G15" s="52">
        <v>457.08</v>
      </c>
      <c r="H15" s="52">
        <v>39.18</v>
      </c>
      <c r="I15" s="52">
        <v>0.92</v>
      </c>
      <c r="J15" s="52">
        <v>1.49</v>
      </c>
      <c r="K15" s="52">
        <v>340.84</v>
      </c>
      <c r="L15" s="52">
        <v>24.22</v>
      </c>
      <c r="M15" s="52">
        <v>84.38</v>
      </c>
      <c r="N15" s="52">
        <v>136</v>
      </c>
      <c r="O15" s="52">
        <v>0</v>
      </c>
      <c r="P15" s="52">
        <v>1.24</v>
      </c>
      <c r="Q15" s="52">
        <v>45.2</v>
      </c>
      <c r="R15" s="44"/>
      <c r="S15" s="44"/>
      <c r="T15" s="44"/>
      <c r="U15" s="44"/>
    </row>
    <row r="16" spans="1:21" s="12" customFormat="1" x14ac:dyDescent="0.25">
      <c r="A16" s="51" t="s">
        <v>117</v>
      </c>
      <c r="B16" s="52">
        <v>12.11</v>
      </c>
      <c r="C16" s="52">
        <v>40.06</v>
      </c>
      <c r="D16" s="52">
        <v>51.34</v>
      </c>
      <c r="E16" s="52">
        <v>7.68</v>
      </c>
      <c r="F16" s="52">
        <v>5.87</v>
      </c>
      <c r="G16" s="52">
        <v>457.08</v>
      </c>
      <c r="H16" s="52">
        <v>38.31</v>
      </c>
      <c r="I16" s="52">
        <v>0.87</v>
      </c>
      <c r="J16" s="52">
        <v>1.51</v>
      </c>
      <c r="K16" s="52">
        <v>344.94</v>
      </c>
      <c r="L16" s="52">
        <v>27.54</v>
      </c>
      <c r="M16" s="52">
        <v>65.73</v>
      </c>
      <c r="N16" s="52">
        <v>306.60000000000002</v>
      </c>
      <c r="O16" s="52">
        <v>0</v>
      </c>
      <c r="P16" s="52">
        <v>1.1200000000000001</v>
      </c>
      <c r="Q16" s="52">
        <v>42.16</v>
      </c>
      <c r="R16" s="44"/>
      <c r="S16" s="44"/>
      <c r="T16" s="44"/>
      <c r="U16" s="44"/>
    </row>
    <row r="17" spans="1:21" s="12" customFormat="1" x14ac:dyDescent="0.25">
      <c r="A17" s="51" t="s">
        <v>118</v>
      </c>
      <c r="B17" s="52">
        <v>11.24</v>
      </c>
      <c r="C17" s="52">
        <v>45.29</v>
      </c>
      <c r="D17" s="52">
        <v>55.22</v>
      </c>
      <c r="E17" s="52">
        <v>6.3</v>
      </c>
      <c r="F17" s="52">
        <v>6.46</v>
      </c>
      <c r="G17" s="52">
        <v>166.25</v>
      </c>
      <c r="H17" s="52">
        <v>38.31</v>
      </c>
      <c r="I17" s="52">
        <v>0.79</v>
      </c>
      <c r="J17" s="52">
        <v>2.17</v>
      </c>
      <c r="K17" s="52">
        <v>348.18</v>
      </c>
      <c r="L17" s="52">
        <v>30.68</v>
      </c>
      <c r="M17" s="52">
        <v>53.65</v>
      </c>
      <c r="N17" s="52">
        <v>542</v>
      </c>
      <c r="O17" s="52">
        <v>0</v>
      </c>
      <c r="P17" s="52">
        <v>1.1200000000000001</v>
      </c>
      <c r="Q17" s="52">
        <v>41.21</v>
      </c>
      <c r="R17" s="44"/>
      <c r="S17" s="44"/>
      <c r="T17" s="44"/>
      <c r="U17" s="44"/>
    </row>
    <row r="18" spans="1:21" s="12" customFormat="1" x14ac:dyDescent="0.25">
      <c r="A18" s="51" t="s">
        <v>119</v>
      </c>
      <c r="B18" s="52">
        <v>8.02</v>
      </c>
      <c r="C18" s="52">
        <v>49.08</v>
      </c>
      <c r="D18" s="52">
        <v>55.95</v>
      </c>
      <c r="E18" s="52">
        <v>13.9</v>
      </c>
      <c r="F18" s="52">
        <v>11.82</v>
      </c>
      <c r="G18" s="52">
        <v>166.25</v>
      </c>
      <c r="H18" s="52">
        <v>39.11</v>
      </c>
      <c r="I18" s="52">
        <v>0.73</v>
      </c>
      <c r="J18" s="52">
        <v>1.83</v>
      </c>
      <c r="K18" s="52">
        <v>348.68</v>
      </c>
      <c r="L18" s="52">
        <v>32.1</v>
      </c>
      <c r="M18" s="52">
        <v>48.27</v>
      </c>
      <c r="N18" s="52">
        <v>723.2</v>
      </c>
      <c r="O18" s="52">
        <v>0</v>
      </c>
      <c r="P18" s="52">
        <v>1.1100000000000001</v>
      </c>
      <c r="Q18" s="52">
        <v>40.450000000000003</v>
      </c>
      <c r="R18" s="44"/>
      <c r="S18" s="44"/>
      <c r="T18" s="44"/>
      <c r="U18" s="44"/>
    </row>
    <row r="19" spans="1:21" s="12" customFormat="1" x14ac:dyDescent="0.25">
      <c r="A19" s="51" t="s">
        <v>120</v>
      </c>
      <c r="B19" s="52">
        <v>5.76</v>
      </c>
      <c r="C19" s="52">
        <v>49.04</v>
      </c>
      <c r="D19" s="52">
        <v>54.8</v>
      </c>
      <c r="E19" s="52">
        <v>13.24</v>
      </c>
      <c r="F19" s="52">
        <v>11.06</v>
      </c>
      <c r="G19" s="52">
        <v>145.96</v>
      </c>
      <c r="H19" s="52">
        <v>39.71</v>
      </c>
      <c r="I19" s="52">
        <v>0.72</v>
      </c>
      <c r="J19" s="52">
        <v>1.53</v>
      </c>
      <c r="K19" s="52">
        <v>356.19</v>
      </c>
      <c r="L19" s="52">
        <v>32.67</v>
      </c>
      <c r="M19" s="52">
        <v>46.8</v>
      </c>
      <c r="N19" s="52">
        <v>762.1</v>
      </c>
      <c r="O19" s="52">
        <v>0</v>
      </c>
      <c r="P19" s="52">
        <v>1.18</v>
      </c>
      <c r="Q19" s="52">
        <v>38.32</v>
      </c>
      <c r="R19" s="44"/>
      <c r="S19" s="44"/>
      <c r="T19" s="44"/>
      <c r="U19" s="44"/>
    </row>
    <row r="20" spans="1:21" s="12" customFormat="1" x14ac:dyDescent="0.25">
      <c r="A20" s="51" t="s">
        <v>121</v>
      </c>
      <c r="B20" s="52">
        <v>5.79</v>
      </c>
      <c r="C20" s="52">
        <v>44.29</v>
      </c>
      <c r="D20" s="52">
        <v>49.61</v>
      </c>
      <c r="E20" s="52">
        <v>11.58</v>
      </c>
      <c r="F20" s="52">
        <v>12.99</v>
      </c>
      <c r="G20" s="52">
        <v>129.69999999999999</v>
      </c>
      <c r="H20" s="52">
        <v>39.71</v>
      </c>
      <c r="I20" s="52">
        <v>0.69</v>
      </c>
      <c r="J20" s="52">
        <v>0.76</v>
      </c>
      <c r="K20" s="52">
        <v>27.65</v>
      </c>
      <c r="L20" s="52">
        <v>31.86</v>
      </c>
      <c r="M20" s="52">
        <v>47.83</v>
      </c>
      <c r="N20" s="52">
        <v>975.9</v>
      </c>
      <c r="O20" s="52">
        <v>0</v>
      </c>
      <c r="P20" s="52">
        <v>1.1399999999999999</v>
      </c>
      <c r="Q20" s="52">
        <v>46.31</v>
      </c>
      <c r="R20" s="44"/>
      <c r="S20" s="44"/>
      <c r="T20" s="44"/>
      <c r="U20" s="44"/>
    </row>
    <row r="21" spans="1:21" s="12" customFormat="1" x14ac:dyDescent="0.25">
      <c r="A21" s="51" t="s">
        <v>122</v>
      </c>
      <c r="B21" s="52">
        <v>5.59</v>
      </c>
      <c r="C21" s="52">
        <v>43.98</v>
      </c>
      <c r="D21" s="52">
        <v>48.74</v>
      </c>
      <c r="E21" s="52">
        <v>9.76</v>
      </c>
      <c r="F21" s="52">
        <v>11.59</v>
      </c>
      <c r="G21" s="56" t="s">
        <v>15</v>
      </c>
      <c r="H21" s="52">
        <v>35.08</v>
      </c>
      <c r="I21" s="52">
        <v>0.78</v>
      </c>
      <c r="J21" s="52">
        <v>1.67</v>
      </c>
      <c r="K21" s="52">
        <v>348.99</v>
      </c>
      <c r="L21" s="52">
        <v>32.979999999999997</v>
      </c>
      <c r="M21" s="52">
        <v>51.54</v>
      </c>
      <c r="N21" s="52">
        <v>716.7</v>
      </c>
      <c r="O21" s="52">
        <v>0</v>
      </c>
      <c r="P21" s="52">
        <v>1.1100000000000001</v>
      </c>
      <c r="Q21" s="52">
        <v>49.25</v>
      </c>
      <c r="R21" s="44"/>
      <c r="S21" s="44"/>
      <c r="T21" s="44"/>
      <c r="U21" s="44"/>
    </row>
    <row r="22" spans="1:21" s="12" customFormat="1" x14ac:dyDescent="0.25">
      <c r="A22" s="51" t="s">
        <v>123</v>
      </c>
      <c r="B22" s="52">
        <v>3.22</v>
      </c>
      <c r="C22" s="52">
        <v>40.9</v>
      </c>
      <c r="D22" s="52">
        <v>43.52</v>
      </c>
      <c r="E22" s="52">
        <v>7.5</v>
      </c>
      <c r="F22" s="52">
        <v>9.3699999999999992</v>
      </c>
      <c r="G22" s="56" t="s">
        <v>15</v>
      </c>
      <c r="H22" s="52">
        <v>34.909999999999997</v>
      </c>
      <c r="I22" s="52">
        <v>0.79</v>
      </c>
      <c r="J22" s="52">
        <v>1.71</v>
      </c>
      <c r="K22" s="52">
        <v>330.96</v>
      </c>
      <c r="L22" s="52">
        <v>33.08</v>
      </c>
      <c r="M22" s="52">
        <v>47.5</v>
      </c>
      <c r="N22" s="52">
        <v>632.79999999999995</v>
      </c>
      <c r="O22" s="52">
        <v>0</v>
      </c>
      <c r="P22" s="52">
        <v>1.08</v>
      </c>
      <c r="Q22" s="52">
        <v>43.43</v>
      </c>
      <c r="R22" s="44"/>
      <c r="S22" s="44"/>
      <c r="T22" s="44"/>
      <c r="U22" s="44"/>
    </row>
    <row r="23" spans="1:21" s="12" customFormat="1" x14ac:dyDescent="0.25">
      <c r="A23" s="51" t="s">
        <v>124</v>
      </c>
      <c r="B23" s="52">
        <v>2.73</v>
      </c>
      <c r="C23" s="52">
        <v>40.9</v>
      </c>
      <c r="D23" s="52">
        <v>43.64</v>
      </c>
      <c r="E23" s="52">
        <v>7.47</v>
      </c>
      <c r="F23" s="52">
        <v>11.91</v>
      </c>
      <c r="G23" s="56" t="s">
        <v>15</v>
      </c>
      <c r="H23" s="52">
        <v>34.47</v>
      </c>
      <c r="I23" s="52">
        <v>0.73</v>
      </c>
      <c r="J23" s="52">
        <v>1.48</v>
      </c>
      <c r="K23" s="52">
        <v>337.03</v>
      </c>
      <c r="L23" s="52">
        <v>32.86</v>
      </c>
      <c r="M23" s="52">
        <v>62.53</v>
      </c>
      <c r="N23" s="52">
        <v>456.5</v>
      </c>
      <c r="O23" s="52">
        <v>0</v>
      </c>
      <c r="P23" s="52">
        <v>1.04</v>
      </c>
      <c r="Q23" s="52">
        <v>33.090000000000003</v>
      </c>
      <c r="R23" s="44"/>
      <c r="S23" s="44"/>
      <c r="T23" s="44"/>
      <c r="U23" s="44"/>
    </row>
    <row r="24" spans="1:21" s="12" customFormat="1" x14ac:dyDescent="0.25">
      <c r="A24" s="51" t="s">
        <v>125</v>
      </c>
      <c r="B24" s="52">
        <v>2.15</v>
      </c>
      <c r="C24" s="52">
        <v>35.770000000000003</v>
      </c>
      <c r="D24" s="52">
        <v>37.92</v>
      </c>
      <c r="E24" s="52">
        <v>6.19</v>
      </c>
      <c r="F24" s="52">
        <v>9.9499999999999993</v>
      </c>
      <c r="G24" s="56" t="s">
        <v>15</v>
      </c>
      <c r="H24" s="52">
        <v>7.8</v>
      </c>
      <c r="I24" s="52">
        <v>0.63</v>
      </c>
      <c r="J24" s="52">
        <v>2.85</v>
      </c>
      <c r="K24" s="52">
        <v>166.55</v>
      </c>
      <c r="L24" s="52">
        <v>23.49</v>
      </c>
      <c r="M24" s="52">
        <v>87.32</v>
      </c>
      <c r="N24" s="52">
        <v>39.200000000000003</v>
      </c>
      <c r="O24" s="52">
        <v>2.4</v>
      </c>
      <c r="P24" s="52">
        <v>0.98</v>
      </c>
      <c r="Q24" s="52">
        <v>53.41</v>
      </c>
      <c r="R24" s="44"/>
      <c r="S24" s="44"/>
      <c r="T24" s="44"/>
      <c r="U24" s="44"/>
    </row>
    <row r="25" spans="1:21" s="12" customFormat="1" x14ac:dyDescent="0.25">
      <c r="A25" s="51" t="s">
        <v>126</v>
      </c>
      <c r="B25" s="52">
        <v>1.22</v>
      </c>
      <c r="C25" s="52">
        <v>30.41</v>
      </c>
      <c r="D25" s="52">
        <v>31.39</v>
      </c>
      <c r="E25" s="52">
        <v>5.53</v>
      </c>
      <c r="F25" s="52">
        <v>7.77</v>
      </c>
      <c r="G25" s="56" t="s">
        <v>15</v>
      </c>
      <c r="H25" s="52">
        <v>6.95</v>
      </c>
      <c r="I25" s="52">
        <v>0.62</v>
      </c>
      <c r="J25" s="52">
        <v>0.65</v>
      </c>
      <c r="K25" s="52">
        <v>205.8</v>
      </c>
      <c r="L25" s="52">
        <v>22.91</v>
      </c>
      <c r="M25" s="52">
        <v>89.02</v>
      </c>
      <c r="N25" s="52">
        <v>67.7</v>
      </c>
      <c r="O25" s="52">
        <v>0.2</v>
      </c>
      <c r="P25" s="52">
        <v>0.84</v>
      </c>
      <c r="Q25" s="52">
        <v>54.18</v>
      </c>
      <c r="R25" s="44"/>
      <c r="S25" s="44"/>
      <c r="T25" s="44"/>
      <c r="U25" s="44"/>
    </row>
    <row r="26" spans="1:21" s="12" customFormat="1" x14ac:dyDescent="0.25">
      <c r="A26" s="51" t="s">
        <v>127</v>
      </c>
      <c r="B26" s="52">
        <v>1.54</v>
      </c>
      <c r="C26" s="52">
        <v>29.53</v>
      </c>
      <c r="D26" s="52">
        <v>31.07</v>
      </c>
      <c r="E26" s="52">
        <v>5.68</v>
      </c>
      <c r="F26" s="52">
        <v>10.49</v>
      </c>
      <c r="G26" s="56" t="s">
        <v>15</v>
      </c>
      <c r="H26" s="52">
        <v>8.43</v>
      </c>
      <c r="I26" s="52">
        <v>0.64</v>
      </c>
      <c r="J26" s="52">
        <v>0.28999999999999998</v>
      </c>
      <c r="K26" s="52">
        <v>190.72</v>
      </c>
      <c r="L26" s="52">
        <v>23.08</v>
      </c>
      <c r="M26" s="52">
        <v>88.1</v>
      </c>
      <c r="N26" s="52">
        <v>60</v>
      </c>
      <c r="O26" s="52">
        <v>0</v>
      </c>
      <c r="P26" s="52">
        <v>0.79</v>
      </c>
      <c r="Q26" s="52">
        <v>50.42</v>
      </c>
      <c r="R26" s="44"/>
      <c r="S26" s="44"/>
      <c r="T26" s="44"/>
      <c r="U26" s="44"/>
    </row>
    <row r="27" spans="1:21" s="12" customFormat="1" x14ac:dyDescent="0.25">
      <c r="A27" s="51" t="s">
        <v>128</v>
      </c>
      <c r="B27" s="52">
        <v>1.92</v>
      </c>
      <c r="C27" s="52">
        <v>33.21</v>
      </c>
      <c r="D27" s="52">
        <v>35.130000000000003</v>
      </c>
      <c r="E27" s="52">
        <v>5.85</v>
      </c>
      <c r="F27" s="52">
        <v>9.16</v>
      </c>
      <c r="G27" s="52">
        <v>42.87</v>
      </c>
      <c r="H27" s="52">
        <v>12.02</v>
      </c>
      <c r="I27" s="52">
        <v>0.63</v>
      </c>
      <c r="J27" s="52">
        <v>0.5</v>
      </c>
      <c r="K27" s="52">
        <v>182.44</v>
      </c>
      <c r="L27" s="52">
        <v>23.16</v>
      </c>
      <c r="M27" s="52">
        <v>88.31</v>
      </c>
      <c r="N27" s="52">
        <v>23.6</v>
      </c>
      <c r="O27" s="52">
        <v>0</v>
      </c>
      <c r="P27" s="52">
        <v>0.82</v>
      </c>
      <c r="Q27" s="52">
        <v>42.4</v>
      </c>
      <c r="R27" s="44"/>
      <c r="S27" s="44"/>
      <c r="T27" s="44"/>
      <c r="U27" s="44"/>
    </row>
    <row r="28" spans="1:21" s="12" customFormat="1" x14ac:dyDescent="0.25">
      <c r="A28" s="51" t="s">
        <v>129</v>
      </c>
      <c r="B28" s="52">
        <v>12.98</v>
      </c>
      <c r="C28" s="52">
        <v>62.03</v>
      </c>
      <c r="D28" s="52">
        <v>75.010000000000005</v>
      </c>
      <c r="E28" s="52">
        <v>5.58</v>
      </c>
      <c r="F28" s="52">
        <v>11.41</v>
      </c>
      <c r="G28" s="52">
        <v>75.599999999999994</v>
      </c>
      <c r="H28" s="52">
        <v>15.83</v>
      </c>
      <c r="I28" s="52">
        <v>0.63</v>
      </c>
      <c r="J28" s="52">
        <v>0.23</v>
      </c>
      <c r="K28" s="52">
        <v>297.91000000000003</v>
      </c>
      <c r="L28" s="52">
        <v>23.43</v>
      </c>
      <c r="M28" s="52">
        <v>88.06</v>
      </c>
      <c r="N28" s="52">
        <v>23.8</v>
      </c>
      <c r="O28" s="52">
        <v>0</v>
      </c>
      <c r="P28" s="52">
        <v>1.23</v>
      </c>
      <c r="Q28" s="52">
        <v>49.89</v>
      </c>
      <c r="R28" s="44"/>
      <c r="S28" s="44"/>
      <c r="T28" s="44"/>
      <c r="U28" s="44"/>
    </row>
    <row r="29" spans="1:21" s="12" customFormat="1" x14ac:dyDescent="0.25">
      <c r="A29" s="51" t="s">
        <v>130</v>
      </c>
      <c r="B29" s="52">
        <v>15.94</v>
      </c>
      <c r="C29" s="52">
        <v>70.430000000000007</v>
      </c>
      <c r="D29" s="52">
        <v>84.63</v>
      </c>
      <c r="E29" s="52">
        <v>5.73</v>
      </c>
      <c r="F29" s="52">
        <v>6.28</v>
      </c>
      <c r="G29" s="52">
        <v>134.56</v>
      </c>
      <c r="H29" s="52">
        <v>22.14</v>
      </c>
      <c r="I29" s="52">
        <v>1.23</v>
      </c>
      <c r="J29" s="52">
        <v>0.2</v>
      </c>
      <c r="K29" s="52">
        <v>354.2</v>
      </c>
      <c r="L29" s="52">
        <v>23.85</v>
      </c>
      <c r="M29" s="52">
        <v>88.99</v>
      </c>
      <c r="N29" s="52">
        <v>23.3</v>
      </c>
      <c r="O29" s="52">
        <v>0</v>
      </c>
      <c r="P29" s="52">
        <v>1.96</v>
      </c>
      <c r="Q29" s="52">
        <v>60.13</v>
      </c>
      <c r="R29" s="44"/>
      <c r="S29" s="44"/>
      <c r="T29" s="44"/>
      <c r="U29" s="44"/>
    </row>
    <row r="30" spans="1:21" s="12" customFormat="1" x14ac:dyDescent="0.25">
      <c r="A30" s="51" t="s">
        <v>131</v>
      </c>
      <c r="B30" s="52">
        <v>29.74</v>
      </c>
      <c r="C30" s="52">
        <v>76.2</v>
      </c>
      <c r="D30" s="52">
        <v>105.95</v>
      </c>
      <c r="E30" s="52">
        <v>10.18</v>
      </c>
      <c r="F30" s="52">
        <v>5.79</v>
      </c>
      <c r="G30" s="52">
        <v>181.9</v>
      </c>
      <c r="H30" s="52">
        <v>32.14</v>
      </c>
      <c r="I30" s="52">
        <v>1.44</v>
      </c>
      <c r="J30" s="52">
        <v>0.47</v>
      </c>
      <c r="K30" s="52">
        <v>343.06</v>
      </c>
      <c r="L30" s="52">
        <v>24.11</v>
      </c>
      <c r="M30" s="52">
        <v>88.15</v>
      </c>
      <c r="N30" s="52">
        <v>23.5</v>
      </c>
      <c r="O30" s="52">
        <v>0</v>
      </c>
      <c r="P30" s="52">
        <v>2.38</v>
      </c>
      <c r="Q30" s="52">
        <v>69.680000000000007</v>
      </c>
      <c r="R30" s="44"/>
      <c r="S30" s="44"/>
      <c r="T30" s="44"/>
      <c r="U30" s="44"/>
    </row>
    <row r="31" spans="1:21" s="12" customFormat="1" x14ac:dyDescent="0.25">
      <c r="A31" s="51" t="s">
        <v>132</v>
      </c>
      <c r="B31" s="52">
        <v>23.96</v>
      </c>
      <c r="C31" s="52">
        <v>58.42</v>
      </c>
      <c r="D31" s="52">
        <v>82.02</v>
      </c>
      <c r="E31" s="52">
        <v>7.91</v>
      </c>
      <c r="F31" s="52">
        <v>7.69</v>
      </c>
      <c r="G31" s="52">
        <v>251.61</v>
      </c>
      <c r="H31" s="52">
        <v>38.86</v>
      </c>
      <c r="I31" s="52">
        <v>1.47</v>
      </c>
      <c r="J31" s="52">
        <v>0.62</v>
      </c>
      <c r="K31" s="52">
        <v>75.95</v>
      </c>
      <c r="L31" s="52">
        <v>24.17</v>
      </c>
      <c r="M31" s="52">
        <v>83.42</v>
      </c>
      <c r="N31" s="52">
        <v>23.7</v>
      </c>
      <c r="O31" s="52">
        <v>0</v>
      </c>
      <c r="P31" s="52">
        <v>2.09</v>
      </c>
      <c r="Q31" s="52">
        <v>80.459999999999994</v>
      </c>
      <c r="R31" s="44"/>
      <c r="S31" s="44"/>
      <c r="T31" s="44"/>
      <c r="U31" s="44"/>
    </row>
    <row r="32" spans="1:21" s="12" customFormat="1" x14ac:dyDescent="0.25">
      <c r="A32" s="51" t="s">
        <v>133</v>
      </c>
      <c r="B32" s="52">
        <v>20.49</v>
      </c>
      <c r="C32" s="52">
        <v>52.61</v>
      </c>
      <c r="D32" s="52">
        <v>73.099999999999994</v>
      </c>
      <c r="E32" s="52">
        <v>7.52</v>
      </c>
      <c r="F32" s="52">
        <v>8.85</v>
      </c>
      <c r="G32" s="52">
        <v>44.06</v>
      </c>
      <c r="H32" s="52">
        <v>34.79</v>
      </c>
      <c r="I32" s="52">
        <v>1.1499999999999999</v>
      </c>
      <c r="J32" s="52">
        <v>0.95</v>
      </c>
      <c r="K32" s="52">
        <v>354.8</v>
      </c>
      <c r="L32" s="52">
        <v>23.64</v>
      </c>
      <c r="M32" s="52">
        <v>82.15</v>
      </c>
      <c r="N32" s="52">
        <v>23.2</v>
      </c>
      <c r="O32" s="52">
        <v>0</v>
      </c>
      <c r="P32" s="52">
        <v>1.78</v>
      </c>
      <c r="Q32" s="52">
        <v>87.28</v>
      </c>
      <c r="R32" s="44"/>
      <c r="S32" s="44"/>
      <c r="T32" s="44"/>
      <c r="U32" s="44"/>
    </row>
    <row r="33" spans="1:21" s="22" customFormat="1" x14ac:dyDescent="0.25">
      <c r="A33" s="27"/>
      <c r="B33" s="21"/>
      <c r="C33" s="21"/>
      <c r="D33" s="21"/>
      <c r="E33" s="21"/>
      <c r="F33" s="21"/>
      <c r="G33" s="27"/>
      <c r="H33" s="27"/>
      <c r="I33" s="27"/>
      <c r="J33" s="21"/>
      <c r="K33" s="21"/>
      <c r="L33" s="27"/>
      <c r="M33" s="27"/>
      <c r="N33" s="27"/>
      <c r="O33" s="27"/>
      <c r="P33" s="27"/>
      <c r="Q33" s="21"/>
      <c r="R33" s="21"/>
      <c r="S33" s="21"/>
      <c r="T33" s="21"/>
      <c r="U33" s="21"/>
    </row>
    <row r="34" spans="1:21" s="22" customFormat="1" x14ac:dyDescent="0.25">
      <c r="A34" s="28" t="s">
        <v>30</v>
      </c>
      <c r="B34" s="29">
        <f t="shared" ref="B34:Q34" si="0">MIN(B9:B32)</f>
        <v>1.22</v>
      </c>
      <c r="C34" s="29">
        <f t="shared" si="0"/>
        <v>29.53</v>
      </c>
      <c r="D34" s="29">
        <f t="shared" si="0"/>
        <v>31.07</v>
      </c>
      <c r="E34" s="29">
        <f t="shared" si="0"/>
        <v>5.53</v>
      </c>
      <c r="F34" s="29">
        <f t="shared" si="0"/>
        <v>5.31</v>
      </c>
      <c r="G34" s="29">
        <f t="shared" si="0"/>
        <v>42.87</v>
      </c>
      <c r="H34" s="29">
        <f t="shared" si="0"/>
        <v>6.95</v>
      </c>
      <c r="I34" s="29">
        <f t="shared" si="0"/>
        <v>0.62</v>
      </c>
      <c r="J34" s="29">
        <f t="shared" si="0"/>
        <v>0.2</v>
      </c>
      <c r="K34" s="29">
        <f t="shared" si="0"/>
        <v>27.65</v>
      </c>
      <c r="L34" s="29">
        <f t="shared" si="0"/>
        <v>22.85</v>
      </c>
      <c r="M34" s="29">
        <f t="shared" si="0"/>
        <v>46.8</v>
      </c>
      <c r="N34" s="29">
        <f t="shared" si="0"/>
        <v>23.2</v>
      </c>
      <c r="O34" s="29">
        <f t="shared" si="0"/>
        <v>0</v>
      </c>
      <c r="P34" s="29">
        <f t="shared" si="0"/>
        <v>0.79</v>
      </c>
      <c r="Q34" s="29">
        <f t="shared" si="0"/>
        <v>33.090000000000003</v>
      </c>
      <c r="R34" s="29"/>
      <c r="S34" s="29"/>
      <c r="T34" s="29"/>
      <c r="U34" s="29"/>
    </row>
    <row r="35" spans="1:21" s="22" customFormat="1" x14ac:dyDescent="0.25">
      <c r="A35" s="28" t="s">
        <v>31</v>
      </c>
      <c r="B35" s="30">
        <f t="shared" ref="B35:Q35" si="1">MAX(B9:B32)</f>
        <v>33.07</v>
      </c>
      <c r="C35" s="30">
        <f t="shared" si="1"/>
        <v>76.2</v>
      </c>
      <c r="D35" s="30">
        <f t="shared" si="1"/>
        <v>105.95</v>
      </c>
      <c r="E35" s="30">
        <f t="shared" si="1"/>
        <v>17.41</v>
      </c>
      <c r="F35" s="30">
        <f t="shared" si="1"/>
        <v>12.99</v>
      </c>
      <c r="G35" s="30">
        <f t="shared" si="1"/>
        <v>457.08</v>
      </c>
      <c r="H35" s="30">
        <f t="shared" si="1"/>
        <v>41.79</v>
      </c>
      <c r="I35" s="30">
        <f t="shared" si="1"/>
        <v>1.47</v>
      </c>
      <c r="J35" s="30">
        <f t="shared" si="1"/>
        <v>2.85</v>
      </c>
      <c r="K35" s="30">
        <f t="shared" si="1"/>
        <v>356.19</v>
      </c>
      <c r="L35" s="30">
        <f t="shared" si="1"/>
        <v>33.08</v>
      </c>
      <c r="M35" s="30">
        <f t="shared" si="1"/>
        <v>89.02</v>
      </c>
      <c r="N35" s="30">
        <f t="shared" si="1"/>
        <v>975.9</v>
      </c>
      <c r="O35" s="30">
        <f t="shared" si="1"/>
        <v>2.4</v>
      </c>
      <c r="P35" s="30">
        <f t="shared" si="1"/>
        <v>2.38</v>
      </c>
      <c r="Q35" s="30">
        <f t="shared" si="1"/>
        <v>87.28</v>
      </c>
      <c r="R35" s="30"/>
      <c r="S35" s="30"/>
      <c r="T35" s="30"/>
      <c r="U35" s="30"/>
    </row>
    <row r="36" spans="1:21" s="22" customFormat="1" x14ac:dyDescent="0.25">
      <c r="A36" s="28" t="s">
        <v>32</v>
      </c>
      <c r="B36" s="29">
        <f t="shared" ref="B36:Q36" si="2">AVERAGE(B9:B32)</f>
        <v>12.721249999999998</v>
      </c>
      <c r="C36" s="29">
        <f t="shared" si="2"/>
        <v>47.00333333333333</v>
      </c>
      <c r="D36" s="29">
        <f t="shared" si="2"/>
        <v>59.223750000000003</v>
      </c>
      <c r="E36" s="29">
        <f t="shared" si="2"/>
        <v>8.8591666666666669</v>
      </c>
      <c r="F36" s="29">
        <f t="shared" si="2"/>
        <v>8.5829166666666659</v>
      </c>
      <c r="G36" s="29">
        <f t="shared" si="2"/>
        <v>190.5683333333333</v>
      </c>
      <c r="H36" s="29">
        <f t="shared" si="2"/>
        <v>31.06</v>
      </c>
      <c r="I36" s="29">
        <f t="shared" si="2"/>
        <v>0.95083333333333331</v>
      </c>
      <c r="J36" s="29">
        <f t="shared" si="2"/>
        <v>1.13625</v>
      </c>
      <c r="K36" s="29">
        <f t="shared" si="2"/>
        <v>291.72708333333333</v>
      </c>
      <c r="L36" s="29">
        <f t="shared" si="2"/>
        <v>26.434583333333332</v>
      </c>
      <c r="M36" s="29">
        <f t="shared" si="2"/>
        <v>73.608333333333334</v>
      </c>
      <c r="N36" s="29">
        <f t="shared" si="2"/>
        <v>237.77083333333334</v>
      </c>
      <c r="O36" s="29">
        <f t="shared" si="2"/>
        <v>0.10833333333333334</v>
      </c>
      <c r="P36" s="29">
        <f t="shared" si="2"/>
        <v>1.3683333333333332</v>
      </c>
      <c r="Q36" s="29">
        <f t="shared" si="2"/>
        <v>54.08958333333333</v>
      </c>
      <c r="R36" s="29"/>
      <c r="S36" s="29"/>
      <c r="T36" s="29"/>
      <c r="U36" s="29"/>
    </row>
    <row r="37" spans="1:21" s="22" customFormat="1" x14ac:dyDescent="0.25">
      <c r="A37" s="28" t="s">
        <v>38</v>
      </c>
      <c r="B37" s="29">
        <f>STDEV(B9:B32)</f>
        <v>9.650896922723998</v>
      </c>
      <c r="C37" s="29">
        <f t="shared" ref="C37:Q37" si="3">STDEV(C9:C32)</f>
        <v>12.9080405230588</v>
      </c>
      <c r="D37" s="29">
        <f t="shared" si="3"/>
        <v>20.948233465523675</v>
      </c>
      <c r="E37" s="29">
        <f t="shared" si="3"/>
        <v>3.2557600016594916</v>
      </c>
      <c r="F37" s="29">
        <f t="shared" si="3"/>
        <v>2.3535550892152584</v>
      </c>
      <c r="G37" s="29">
        <f t="shared" si="3"/>
        <v>112.72261938310444</v>
      </c>
      <c r="H37" s="29">
        <f t="shared" si="3"/>
        <v>11.712052506415935</v>
      </c>
      <c r="I37" s="29">
        <f t="shared" si="3"/>
        <v>0.30272554174233157</v>
      </c>
      <c r="J37" s="29">
        <f t="shared" si="3"/>
        <v>0.65054366895496851</v>
      </c>
      <c r="K37" s="29">
        <f t="shared" si="3"/>
        <v>95.536680343851074</v>
      </c>
      <c r="L37" s="29">
        <f t="shared" si="3"/>
        <v>3.9930798608796443</v>
      </c>
      <c r="M37" s="29">
        <f t="shared" si="3"/>
        <v>15.927916610035126</v>
      </c>
      <c r="N37" s="29">
        <f t="shared" si="3"/>
        <v>312.40586126991457</v>
      </c>
      <c r="O37" s="29">
        <f t="shared" si="3"/>
        <v>0.48982398494957763</v>
      </c>
      <c r="P37" s="29">
        <f t="shared" si="3"/>
        <v>0.44837548964026264</v>
      </c>
      <c r="Q37" s="29">
        <f t="shared" si="3"/>
        <v>15.010378577378814</v>
      </c>
      <c r="R37" s="29"/>
      <c r="S37" s="29"/>
      <c r="T37" s="29"/>
      <c r="U37" s="29"/>
    </row>
    <row r="38" spans="1:21" s="22" customFormat="1" x14ac:dyDescent="0.25">
      <c r="A38" s="32" t="s">
        <v>33</v>
      </c>
      <c r="B38" s="33">
        <f>COUNT(B9:B32)</f>
        <v>24</v>
      </c>
      <c r="C38" s="33">
        <f t="shared" ref="C38:Q38" si="4">COUNT(C9:C32)</f>
        <v>24</v>
      </c>
      <c r="D38" s="33">
        <f t="shared" si="4"/>
        <v>24</v>
      </c>
      <c r="E38" s="33">
        <f t="shared" si="4"/>
        <v>24</v>
      </c>
      <c r="F38" s="33">
        <f t="shared" si="4"/>
        <v>24</v>
      </c>
      <c r="G38" s="33">
        <f t="shared" si="4"/>
        <v>18</v>
      </c>
      <c r="H38" s="33">
        <f t="shared" si="4"/>
        <v>24</v>
      </c>
      <c r="I38" s="33">
        <f t="shared" si="4"/>
        <v>24</v>
      </c>
      <c r="J38" s="33">
        <f t="shared" si="4"/>
        <v>24</v>
      </c>
      <c r="K38" s="33">
        <f t="shared" si="4"/>
        <v>24</v>
      </c>
      <c r="L38" s="33">
        <f t="shared" si="4"/>
        <v>24</v>
      </c>
      <c r="M38" s="33">
        <f t="shared" si="4"/>
        <v>24</v>
      </c>
      <c r="N38" s="33">
        <f t="shared" si="4"/>
        <v>24</v>
      </c>
      <c r="O38" s="33">
        <f t="shared" si="4"/>
        <v>24</v>
      </c>
      <c r="P38" s="33">
        <f t="shared" si="4"/>
        <v>24</v>
      </c>
      <c r="Q38" s="33">
        <f t="shared" si="4"/>
        <v>24</v>
      </c>
      <c r="R38" s="33"/>
      <c r="S38" s="33"/>
      <c r="T38" s="33"/>
      <c r="U38" s="33"/>
    </row>
    <row r="39" spans="1:21" s="22" customFormat="1" x14ac:dyDescent="0.25">
      <c r="A39" s="28" t="s">
        <v>34</v>
      </c>
      <c r="B39" s="30" t="str">
        <f>IF(B38&gt;=22,"&gt;90%",IF(B38&lt;=22,"&lt;90%"))</f>
        <v>&gt;90%</v>
      </c>
      <c r="C39" s="30" t="str">
        <f t="shared" ref="C39:P39" si="5">IF(C38&gt;=22,"&gt;90%",IF(C38&lt;=22,"&lt;90%"))</f>
        <v>&gt;90%</v>
      </c>
      <c r="D39" s="30" t="str">
        <f t="shared" si="5"/>
        <v>&gt;90%</v>
      </c>
      <c r="E39" s="30" t="str">
        <f t="shared" si="5"/>
        <v>&gt;90%</v>
      </c>
      <c r="F39" s="30" t="str">
        <f t="shared" si="5"/>
        <v>&gt;90%</v>
      </c>
      <c r="G39" s="30" t="str">
        <f t="shared" si="5"/>
        <v>&lt;90%</v>
      </c>
      <c r="H39" s="30" t="str">
        <f t="shared" si="5"/>
        <v>&gt;90%</v>
      </c>
      <c r="I39" s="30" t="str">
        <f t="shared" si="5"/>
        <v>&gt;90%</v>
      </c>
      <c r="J39" s="30" t="str">
        <f t="shared" si="5"/>
        <v>&gt;90%</v>
      </c>
      <c r="K39" s="30" t="str">
        <f t="shared" si="5"/>
        <v>&gt;90%</v>
      </c>
      <c r="L39" s="30" t="str">
        <f t="shared" si="5"/>
        <v>&gt;90%</v>
      </c>
      <c r="M39" s="30" t="str">
        <f t="shared" si="5"/>
        <v>&gt;90%</v>
      </c>
      <c r="N39" s="30" t="str">
        <f t="shared" si="5"/>
        <v>&gt;90%</v>
      </c>
      <c r="O39" s="30" t="str">
        <f t="shared" si="5"/>
        <v>&gt;90%</v>
      </c>
      <c r="P39" s="30" t="str">
        <f t="shared" si="5"/>
        <v>&gt;90%</v>
      </c>
      <c r="Q39" s="30" t="str">
        <f>IF(Q38&gt;=22,"&gt;90%",IF(Q38&lt;=22,"&lt;90%"))</f>
        <v>&gt;90%</v>
      </c>
      <c r="R39" s="30"/>
      <c r="S39" s="30"/>
      <c r="T39" s="30"/>
      <c r="U39" s="30"/>
    </row>
    <row r="40" spans="1:21" s="22" customFormat="1" x14ac:dyDescent="0.25">
      <c r="A40" s="28" t="s">
        <v>1</v>
      </c>
      <c r="B40" s="30" t="str">
        <f>IF(B38&gt;=22,"OK",IF(B38&lt;=22,"LESS"))</f>
        <v>OK</v>
      </c>
      <c r="C40" s="30" t="str">
        <f t="shared" ref="C40:Q40" si="6">IF(C38&gt;=22,"OK",IF(C38&lt;=22,"LESS"))</f>
        <v>OK</v>
      </c>
      <c r="D40" s="30" t="str">
        <f t="shared" si="6"/>
        <v>OK</v>
      </c>
      <c r="E40" s="30" t="str">
        <f t="shared" si="6"/>
        <v>OK</v>
      </c>
      <c r="F40" s="30" t="str">
        <f t="shared" si="6"/>
        <v>OK</v>
      </c>
      <c r="G40" s="30" t="str">
        <f t="shared" si="6"/>
        <v>LESS</v>
      </c>
      <c r="H40" s="30" t="str">
        <f t="shared" si="6"/>
        <v>OK</v>
      </c>
      <c r="I40" s="30" t="str">
        <f t="shared" si="6"/>
        <v>OK</v>
      </c>
      <c r="J40" s="30" t="str">
        <f t="shared" si="6"/>
        <v>OK</v>
      </c>
      <c r="K40" s="30" t="str">
        <f t="shared" si="6"/>
        <v>OK</v>
      </c>
      <c r="L40" s="30" t="str">
        <f t="shared" si="6"/>
        <v>OK</v>
      </c>
      <c r="M40" s="30" t="str">
        <f t="shared" si="6"/>
        <v>OK</v>
      </c>
      <c r="N40" s="30" t="str">
        <f t="shared" si="6"/>
        <v>OK</v>
      </c>
      <c r="O40" s="30" t="str">
        <f t="shared" si="6"/>
        <v>OK</v>
      </c>
      <c r="P40" s="30" t="str">
        <f t="shared" si="6"/>
        <v>OK</v>
      </c>
      <c r="Q40" s="30" t="str">
        <f t="shared" si="6"/>
        <v>OK</v>
      </c>
      <c r="R40" s="30"/>
      <c r="S40" s="30"/>
      <c r="T40" s="30"/>
      <c r="U40" s="30"/>
    </row>
    <row r="41" spans="1:21" s="22" customFormat="1" x14ac:dyDescent="0.25">
      <c r="A41" s="14"/>
      <c r="L41" s="14"/>
      <c r="N41" s="17"/>
      <c r="O41" s="17"/>
      <c r="P41" s="17"/>
      <c r="Q41" s="17"/>
      <c r="R41" s="17"/>
      <c r="S41" s="17"/>
      <c r="T41" s="17"/>
      <c r="U41" s="17"/>
    </row>
    <row r="42" spans="1:21" s="22" customFormat="1" x14ac:dyDescent="0.25">
      <c r="A42" s="14"/>
    </row>
    <row r="43" spans="1:21" s="22" customFormat="1" x14ac:dyDescent="0.25">
      <c r="A43" s="15" t="s">
        <v>35</v>
      </c>
      <c r="B43" s="41" t="s">
        <v>42</v>
      </c>
      <c r="C43" s="43"/>
    </row>
    <row r="44" spans="1:21" s="22" customFormat="1" x14ac:dyDescent="0.25">
      <c r="A44" s="14"/>
      <c r="D44" s="2"/>
      <c r="E44" s="2"/>
      <c r="F44" s="2"/>
      <c r="G44" s="2"/>
      <c r="H44" s="2"/>
      <c r="I44" s="2"/>
    </row>
    <row r="45" spans="1:21" s="22" customFormat="1" ht="15.75" x14ac:dyDescent="0.25">
      <c r="A45" s="18" t="s">
        <v>36</v>
      </c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</row>
    <row r="46" spans="1:21" s="22" customFormat="1" x14ac:dyDescent="0.25"/>
    <row r="47" spans="1:21" s="22" customFormat="1" x14ac:dyDescent="0.25"/>
    <row r="48" spans="1:21" s="22" customFormat="1" x14ac:dyDescent="0.25"/>
    <row r="49" s="22" customFormat="1" x14ac:dyDescent="0.25"/>
    <row r="50" s="22" customFormat="1" x14ac:dyDescent="0.25"/>
    <row r="51" s="22" customFormat="1" x14ac:dyDescent="0.25"/>
    <row r="52" s="22" customFormat="1" x14ac:dyDescent="0.25"/>
    <row r="53" s="22" customFormat="1" x14ac:dyDescent="0.25"/>
    <row r="54" s="22" customFormat="1" x14ac:dyDescent="0.25"/>
    <row r="55" s="22" customFormat="1" x14ac:dyDescent="0.25"/>
    <row r="56" s="22" customFormat="1" x14ac:dyDescent="0.25"/>
    <row r="57" s="22" customFormat="1" x14ac:dyDescent="0.25"/>
    <row r="58" s="22" customFormat="1" x14ac:dyDescent="0.25"/>
    <row r="59" s="22" customFormat="1" x14ac:dyDescent="0.25"/>
    <row r="60" s="22" customFormat="1" x14ac:dyDescent="0.25"/>
    <row r="61" s="22" customFormat="1" x14ac:dyDescent="0.25"/>
    <row r="62" s="22" customFormat="1" x14ac:dyDescent="0.25"/>
    <row r="63" s="22" customFormat="1" x14ac:dyDescent="0.25"/>
    <row r="64" s="22" customFormat="1" x14ac:dyDescent="0.25"/>
    <row r="65" s="22" customFormat="1" x14ac:dyDescent="0.25"/>
    <row r="66" s="22" customFormat="1" x14ac:dyDescent="0.25"/>
    <row r="67" s="22" customFormat="1" x14ac:dyDescent="0.25"/>
    <row r="68" s="22" customFormat="1" x14ac:dyDescent="0.25"/>
    <row r="69" s="22" customFormat="1" x14ac:dyDescent="0.25"/>
    <row r="70" s="22" customFormat="1" x14ac:dyDescent="0.25"/>
    <row r="71" s="22" customFormat="1" x14ac:dyDescent="0.25"/>
    <row r="72" s="22" customFormat="1" x14ac:dyDescent="0.25"/>
    <row r="73" s="22" customFormat="1" x14ac:dyDescent="0.25"/>
    <row r="74" s="22" customFormat="1" x14ac:dyDescent="0.25"/>
    <row r="75" s="22" customFormat="1" x14ac:dyDescent="0.25"/>
    <row r="76" s="22" customFormat="1" x14ac:dyDescent="0.25"/>
    <row r="77" s="22" customFormat="1" x14ac:dyDescent="0.25"/>
    <row r="78" s="22" customFormat="1" x14ac:dyDescent="0.25"/>
    <row r="79" s="22" customFormat="1" x14ac:dyDescent="0.25"/>
    <row r="80" s="22" customFormat="1" x14ac:dyDescent="0.25"/>
    <row r="81" s="22" customFormat="1" x14ac:dyDescent="0.25"/>
    <row r="82" s="22" customFormat="1" x14ac:dyDescent="0.25"/>
    <row r="83" s="22" customFormat="1" x14ac:dyDescent="0.25"/>
    <row r="84" s="22" customFormat="1" x14ac:dyDescent="0.25"/>
    <row r="85" s="22" customFormat="1" x14ac:dyDescent="0.25"/>
    <row r="86" s="22" customFormat="1" x14ac:dyDescent="0.25"/>
    <row r="87" s="22" customFormat="1" x14ac:dyDescent="0.25"/>
    <row r="88" s="22" customFormat="1" x14ac:dyDescent="0.25"/>
    <row r="89" s="22" customFormat="1" x14ac:dyDescent="0.25"/>
    <row r="90" s="22" customFormat="1" x14ac:dyDescent="0.25"/>
    <row r="91" s="22" customFormat="1" x14ac:dyDescent="0.25"/>
    <row r="92" s="22" customFormat="1" x14ac:dyDescent="0.25"/>
    <row r="93" s="22" customFormat="1" x14ac:dyDescent="0.25"/>
    <row r="94" s="22" customFormat="1" x14ac:dyDescent="0.25"/>
    <row r="95" s="22" customFormat="1" x14ac:dyDescent="0.25"/>
    <row r="96" s="22" customFormat="1" x14ac:dyDescent="0.25"/>
    <row r="97" spans="1:1" s="22" customFormat="1" x14ac:dyDescent="0.25"/>
    <row r="98" spans="1:1" s="22" customFormat="1" x14ac:dyDescent="0.25"/>
    <row r="99" spans="1:1" s="22" customFormat="1" x14ac:dyDescent="0.25"/>
    <row r="100" spans="1:1" s="22" customFormat="1" x14ac:dyDescent="0.25"/>
    <row r="101" spans="1:1" s="22" customFormat="1" x14ac:dyDescent="0.25"/>
    <row r="102" spans="1:1" s="22" customFormat="1" x14ac:dyDescent="0.25"/>
    <row r="103" spans="1:1" s="22" customFormat="1" x14ac:dyDescent="0.25"/>
    <row r="104" spans="1:1" s="22" customFormat="1" x14ac:dyDescent="0.25"/>
    <row r="105" spans="1:1" s="22" customFormat="1" x14ac:dyDescent="0.25"/>
    <row r="106" spans="1:1" x14ac:dyDescent="0.25">
      <c r="A106" s="21"/>
    </row>
    <row r="107" spans="1:1" s="22" customFormat="1" x14ac:dyDescent="0.25"/>
    <row r="108" spans="1:1" s="22" customFormat="1" x14ac:dyDescent="0.25"/>
    <row r="109" spans="1:1" s="22" customFormat="1" x14ac:dyDescent="0.25"/>
    <row r="110" spans="1:1" s="22" customFormat="1" x14ac:dyDescent="0.25"/>
    <row r="111" spans="1:1" s="22" customFormat="1" x14ac:dyDescent="0.25"/>
    <row r="112" spans="1:1" s="22" customFormat="1" x14ac:dyDescent="0.25"/>
    <row r="113" spans="1:1" s="22" customFormat="1" x14ac:dyDescent="0.25"/>
    <row r="114" spans="1:1" s="22" customFormat="1" x14ac:dyDescent="0.25"/>
    <row r="115" spans="1:1" s="22" customFormat="1" x14ac:dyDescent="0.25"/>
    <row r="116" spans="1:1" s="22" customFormat="1" x14ac:dyDescent="0.25"/>
    <row r="117" spans="1:1" s="22" customFormat="1" x14ac:dyDescent="0.25"/>
    <row r="118" spans="1:1" x14ac:dyDescent="0.25">
      <c r="A118" s="21"/>
    </row>
    <row r="119" spans="1:1" x14ac:dyDescent="0.25">
      <c r="A119" s="21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2" ySplit="8" topLeftCell="C21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R2" sqref="R2"/>
    </sheetView>
  </sheetViews>
  <sheetFormatPr defaultColWidth="8.85546875" defaultRowHeight="15" x14ac:dyDescent="0.25"/>
  <cols>
    <col min="1" max="1" width="15.140625" style="27" customWidth="1"/>
    <col min="2" max="2" width="9" style="21" customWidth="1"/>
    <col min="3" max="3" width="10.140625" style="21" customWidth="1"/>
    <col min="4" max="12" width="9.140625" style="21" customWidth="1"/>
    <col min="13" max="13" width="10" style="21" customWidth="1"/>
    <col min="14" max="19" width="9.140625" style="21" customWidth="1"/>
    <col min="20" max="20" width="11.42578125" style="21" customWidth="1"/>
    <col min="21" max="16384" width="8.85546875" style="21"/>
  </cols>
  <sheetData>
    <row r="1" spans="1:21" s="22" customFormat="1" ht="39" x14ac:dyDescent="0.25">
      <c r="A1" s="15" t="s">
        <v>2</v>
      </c>
      <c r="B1" s="24" t="s">
        <v>43</v>
      </c>
      <c r="C1" s="38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s="22" customFormat="1" x14ac:dyDescent="0.25">
      <c r="A2" s="15" t="s">
        <v>0</v>
      </c>
      <c r="B2" s="39" t="str">
        <f>$A$9</f>
        <v>04-10-2022 01:00</v>
      </c>
      <c r="C2" s="12"/>
      <c r="D2" s="11" t="s">
        <v>3</v>
      </c>
      <c r="E2" s="11"/>
      <c r="F2" s="11"/>
      <c r="G2" s="4" t="s">
        <v>4</v>
      </c>
      <c r="H2" s="20"/>
      <c r="I2" s="20"/>
      <c r="J2" s="20"/>
      <c r="K2" s="13"/>
      <c r="L2" s="11" t="s">
        <v>5</v>
      </c>
      <c r="M2" s="13"/>
      <c r="N2" s="8" t="s">
        <v>6</v>
      </c>
      <c r="P2" s="40" t="s">
        <v>7</v>
      </c>
      <c r="Q2" s="13"/>
      <c r="R2" s="9" t="s">
        <v>8</v>
      </c>
      <c r="S2" s="12"/>
      <c r="T2" s="12"/>
      <c r="U2" s="12"/>
    </row>
    <row r="3" spans="1:21" s="22" customFormat="1" x14ac:dyDescent="0.25">
      <c r="A3" s="15" t="s">
        <v>9</v>
      </c>
      <c r="B3" s="13" t="s">
        <v>10</v>
      </c>
      <c r="C3" s="12"/>
      <c r="D3" s="11" t="s">
        <v>11</v>
      </c>
      <c r="E3" s="11"/>
      <c r="F3" s="11"/>
      <c r="G3" s="19" t="s">
        <v>12</v>
      </c>
      <c r="H3" s="20"/>
      <c r="I3" s="20"/>
      <c r="J3" s="20"/>
      <c r="K3" s="12"/>
      <c r="L3" s="11" t="s">
        <v>13</v>
      </c>
      <c r="M3" s="13"/>
      <c r="N3" s="6" t="s">
        <v>14</v>
      </c>
      <c r="O3" s="13"/>
      <c r="P3" s="40" t="s">
        <v>15</v>
      </c>
      <c r="Q3" s="13"/>
      <c r="R3" s="10" t="s">
        <v>15</v>
      </c>
      <c r="S3" s="12"/>
      <c r="T3" s="12"/>
      <c r="U3" s="12"/>
    </row>
    <row r="4" spans="1:21" s="22" customFormat="1" x14ac:dyDescent="0.25">
      <c r="A4" s="15" t="s">
        <v>16</v>
      </c>
      <c r="B4" s="13" t="s">
        <v>39</v>
      </c>
      <c r="C4" s="12"/>
      <c r="D4" s="11" t="s">
        <v>17</v>
      </c>
      <c r="E4" s="11"/>
      <c r="F4" s="11"/>
      <c r="G4" s="5" t="s">
        <v>18</v>
      </c>
      <c r="H4" s="20"/>
      <c r="I4" s="20"/>
      <c r="J4" s="20"/>
      <c r="K4" s="3"/>
      <c r="L4" s="11" t="s">
        <v>19</v>
      </c>
      <c r="M4" s="13"/>
      <c r="N4" s="7" t="s">
        <v>20</v>
      </c>
      <c r="O4" s="13"/>
      <c r="P4" s="13"/>
      <c r="Q4" s="13"/>
      <c r="R4" s="13"/>
      <c r="S4" s="12"/>
      <c r="T4" s="12"/>
      <c r="U4" s="12"/>
    </row>
    <row r="5" spans="1:21" s="22" customFormat="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s="22" customFormat="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s="22" customFormat="1" x14ac:dyDescent="0.25">
      <c r="A7" s="15" t="s">
        <v>21</v>
      </c>
      <c r="B7" s="45" t="s">
        <v>59</v>
      </c>
      <c r="C7" s="45" t="s">
        <v>44</v>
      </c>
      <c r="D7" s="45" t="s">
        <v>45</v>
      </c>
      <c r="E7" s="45" t="s">
        <v>46</v>
      </c>
      <c r="F7" s="45" t="s">
        <v>47</v>
      </c>
      <c r="G7" s="45" t="s">
        <v>48</v>
      </c>
      <c r="H7" s="45" t="s">
        <v>49</v>
      </c>
      <c r="I7" s="45" t="s">
        <v>50</v>
      </c>
      <c r="J7" s="45" t="s">
        <v>51</v>
      </c>
      <c r="K7" s="45" t="s">
        <v>52</v>
      </c>
      <c r="L7" s="45" t="s">
        <v>53</v>
      </c>
      <c r="M7" s="45" t="s">
        <v>54</v>
      </c>
      <c r="N7" s="45" t="s">
        <v>55</v>
      </c>
      <c r="O7" s="45" t="s">
        <v>56</v>
      </c>
      <c r="P7" s="45" t="s">
        <v>57</v>
      </c>
      <c r="Q7" s="45" t="s">
        <v>58</v>
      </c>
      <c r="R7" s="28"/>
      <c r="S7" s="30"/>
      <c r="T7" s="28"/>
      <c r="U7" s="28"/>
    </row>
    <row r="8" spans="1:21" s="22" customFormat="1" x14ac:dyDescent="0.25">
      <c r="A8" s="15"/>
      <c r="B8" s="30" t="s">
        <v>22</v>
      </c>
      <c r="C8" s="30" t="s">
        <v>22</v>
      </c>
      <c r="D8" s="30" t="s">
        <v>22</v>
      </c>
      <c r="E8" s="30" t="s">
        <v>22</v>
      </c>
      <c r="F8" s="30" t="s">
        <v>22</v>
      </c>
      <c r="G8" s="30" t="s">
        <v>23</v>
      </c>
      <c r="H8" s="30" t="s">
        <v>22</v>
      </c>
      <c r="I8" s="30" t="s">
        <v>22</v>
      </c>
      <c r="J8" s="30" t="s">
        <v>24</v>
      </c>
      <c r="K8" s="30" t="s">
        <v>25</v>
      </c>
      <c r="L8" s="28" t="s">
        <v>27</v>
      </c>
      <c r="M8" s="30" t="s">
        <v>26</v>
      </c>
      <c r="N8" s="30" t="s">
        <v>28</v>
      </c>
      <c r="O8" s="28" t="s">
        <v>29</v>
      </c>
      <c r="P8" s="30" t="s">
        <v>22</v>
      </c>
      <c r="Q8" s="30" t="s">
        <v>22</v>
      </c>
      <c r="R8" s="28"/>
      <c r="S8" s="30"/>
      <c r="T8" s="28"/>
      <c r="U8" s="28"/>
    </row>
    <row r="9" spans="1:21" s="12" customFormat="1" x14ac:dyDescent="0.25">
      <c r="A9" s="51" t="s">
        <v>134</v>
      </c>
      <c r="B9" s="52">
        <v>16.059999999999999</v>
      </c>
      <c r="C9" s="52">
        <v>47.17</v>
      </c>
      <c r="D9" s="52">
        <v>63.22</v>
      </c>
      <c r="E9" s="52">
        <v>8.2100000000000009</v>
      </c>
      <c r="F9" s="52">
        <v>8.35</v>
      </c>
      <c r="G9" s="54" t="s">
        <v>8</v>
      </c>
      <c r="H9" s="52">
        <v>31.8</v>
      </c>
      <c r="I9" s="52">
        <v>1.1200000000000001</v>
      </c>
      <c r="J9" s="52">
        <v>0.7</v>
      </c>
      <c r="K9" s="52">
        <v>357.29</v>
      </c>
      <c r="L9" s="52">
        <v>23.33</v>
      </c>
      <c r="M9" s="52">
        <v>81.040000000000006</v>
      </c>
      <c r="N9" s="52">
        <v>22.8</v>
      </c>
      <c r="O9" s="52">
        <v>0</v>
      </c>
      <c r="P9" s="52">
        <v>1.64</v>
      </c>
      <c r="Q9" s="52">
        <v>85.68</v>
      </c>
      <c r="R9" s="44"/>
      <c r="S9" s="44"/>
      <c r="T9" s="44"/>
      <c r="U9" s="44"/>
    </row>
    <row r="10" spans="1:21" s="12" customFormat="1" x14ac:dyDescent="0.25">
      <c r="A10" s="51" t="s">
        <v>135</v>
      </c>
      <c r="B10" s="52">
        <v>12.54</v>
      </c>
      <c r="C10" s="52">
        <v>37.42</v>
      </c>
      <c r="D10" s="52">
        <v>49.96</v>
      </c>
      <c r="E10" s="52">
        <v>6.87</v>
      </c>
      <c r="F10" s="52">
        <v>8.4</v>
      </c>
      <c r="G10" s="54" t="s">
        <v>8</v>
      </c>
      <c r="H10" s="52">
        <v>29.66</v>
      </c>
      <c r="I10" s="52">
        <v>1.0900000000000001</v>
      </c>
      <c r="J10" s="52">
        <v>0.7</v>
      </c>
      <c r="K10" s="52">
        <v>357.28</v>
      </c>
      <c r="L10" s="52">
        <v>23.15</v>
      </c>
      <c r="M10" s="52">
        <v>82.86</v>
      </c>
      <c r="N10" s="52">
        <v>23</v>
      </c>
      <c r="O10" s="52">
        <v>0</v>
      </c>
      <c r="P10" s="52">
        <v>1.49</v>
      </c>
      <c r="Q10" s="52">
        <v>71.260000000000005</v>
      </c>
      <c r="R10" s="44"/>
      <c r="S10" s="44"/>
      <c r="T10" s="44"/>
      <c r="U10" s="44"/>
    </row>
    <row r="11" spans="1:21" s="12" customFormat="1" x14ac:dyDescent="0.25">
      <c r="A11" s="51" t="s">
        <v>136</v>
      </c>
      <c r="B11" s="52">
        <v>9.27</v>
      </c>
      <c r="C11" s="52">
        <v>37.25</v>
      </c>
      <c r="D11" s="52">
        <v>45.11</v>
      </c>
      <c r="E11" s="52">
        <v>9.43</v>
      </c>
      <c r="F11" s="52">
        <v>6.75</v>
      </c>
      <c r="G11" s="54" t="s">
        <v>8</v>
      </c>
      <c r="H11" s="52">
        <v>32.64</v>
      </c>
      <c r="I11" s="52">
        <v>1.02</v>
      </c>
      <c r="J11" s="52">
        <v>0.99</v>
      </c>
      <c r="K11" s="52">
        <v>354.93</v>
      </c>
      <c r="L11" s="52">
        <v>23.18</v>
      </c>
      <c r="M11" s="52">
        <v>83.39</v>
      </c>
      <c r="N11" s="52">
        <v>22.6</v>
      </c>
      <c r="O11" s="52">
        <v>0</v>
      </c>
      <c r="P11" s="52">
        <v>1.46</v>
      </c>
      <c r="Q11" s="52">
        <v>66.58</v>
      </c>
      <c r="R11" s="44"/>
      <c r="S11" s="44"/>
      <c r="T11" s="44"/>
      <c r="U11" s="44"/>
    </row>
    <row r="12" spans="1:21" s="12" customFormat="1" x14ac:dyDescent="0.25">
      <c r="A12" s="51" t="s">
        <v>137</v>
      </c>
      <c r="B12" s="52">
        <v>7.54</v>
      </c>
      <c r="C12" s="52">
        <v>34.74</v>
      </c>
      <c r="D12" s="52">
        <v>42.28</v>
      </c>
      <c r="E12" s="52">
        <v>8.7200000000000006</v>
      </c>
      <c r="F12" s="52">
        <v>8.2799999999999994</v>
      </c>
      <c r="G12" s="54" t="s">
        <v>8</v>
      </c>
      <c r="H12" s="52">
        <v>29.95</v>
      </c>
      <c r="I12" s="52">
        <v>0.9</v>
      </c>
      <c r="J12" s="52">
        <v>0.98</v>
      </c>
      <c r="K12" s="52">
        <v>354.89</v>
      </c>
      <c r="L12" s="52">
        <v>23.3</v>
      </c>
      <c r="M12" s="52">
        <v>80.849999999999994</v>
      </c>
      <c r="N12" s="52">
        <v>22.7</v>
      </c>
      <c r="O12" s="52">
        <v>0</v>
      </c>
      <c r="P12" s="52">
        <v>1.4</v>
      </c>
      <c r="Q12" s="52">
        <v>67.62</v>
      </c>
      <c r="R12" s="44"/>
      <c r="S12" s="44"/>
      <c r="T12" s="44"/>
      <c r="U12" s="44"/>
    </row>
    <row r="13" spans="1:21" s="12" customFormat="1" x14ac:dyDescent="0.25">
      <c r="A13" s="51" t="s">
        <v>138</v>
      </c>
      <c r="B13" s="52">
        <v>8.02</v>
      </c>
      <c r="C13" s="52">
        <v>31.82</v>
      </c>
      <c r="D13" s="52">
        <v>37.69</v>
      </c>
      <c r="E13" s="52">
        <v>8.18</v>
      </c>
      <c r="F13" s="52">
        <v>7.08</v>
      </c>
      <c r="G13" s="54" t="s">
        <v>8</v>
      </c>
      <c r="H13" s="52">
        <v>27.7</v>
      </c>
      <c r="I13" s="52">
        <v>0.85</v>
      </c>
      <c r="J13" s="52">
        <v>1.38</v>
      </c>
      <c r="K13" s="52">
        <v>353.36</v>
      </c>
      <c r="L13" s="52">
        <v>23.17</v>
      </c>
      <c r="M13" s="52">
        <v>84.36</v>
      </c>
      <c r="N13" s="52">
        <v>22.7</v>
      </c>
      <c r="O13" s="52">
        <v>0</v>
      </c>
      <c r="P13" s="52">
        <v>1.23</v>
      </c>
      <c r="Q13" s="52">
        <v>65.66</v>
      </c>
      <c r="R13" s="44"/>
      <c r="S13" s="44"/>
      <c r="T13" s="44"/>
      <c r="U13" s="44"/>
    </row>
    <row r="14" spans="1:21" s="12" customFormat="1" x14ac:dyDescent="0.25">
      <c r="A14" s="51" t="s">
        <v>139</v>
      </c>
      <c r="B14" s="52">
        <v>6.88</v>
      </c>
      <c r="C14" s="52">
        <v>29.16</v>
      </c>
      <c r="D14" s="52">
        <v>35.22</v>
      </c>
      <c r="E14" s="52">
        <v>6.8</v>
      </c>
      <c r="F14" s="52">
        <v>6.66</v>
      </c>
      <c r="G14" s="54" t="s">
        <v>8</v>
      </c>
      <c r="H14" s="52">
        <v>27.41</v>
      </c>
      <c r="I14" s="52">
        <v>0.82</v>
      </c>
      <c r="J14" s="52">
        <v>0.53</v>
      </c>
      <c r="K14" s="52">
        <v>62.18</v>
      </c>
      <c r="L14" s="52">
        <v>22.82</v>
      </c>
      <c r="M14" s="52">
        <v>85.84</v>
      </c>
      <c r="N14" s="52">
        <v>24.9</v>
      </c>
      <c r="O14" s="52">
        <v>0</v>
      </c>
      <c r="P14" s="52">
        <v>1.08</v>
      </c>
      <c r="Q14" s="52">
        <v>60.76</v>
      </c>
      <c r="R14" s="44"/>
      <c r="S14" s="44"/>
      <c r="T14" s="44"/>
      <c r="U14" s="44"/>
    </row>
    <row r="15" spans="1:21" s="12" customFormat="1" x14ac:dyDescent="0.25">
      <c r="A15" s="51" t="s">
        <v>140</v>
      </c>
      <c r="B15" s="52">
        <v>9.64</v>
      </c>
      <c r="C15" s="52">
        <v>34.200000000000003</v>
      </c>
      <c r="D15" s="52">
        <v>42.37</v>
      </c>
      <c r="E15" s="52">
        <v>6.88</v>
      </c>
      <c r="F15" s="52">
        <v>6.67</v>
      </c>
      <c r="G15" s="54" t="s">
        <v>8</v>
      </c>
      <c r="H15" s="52">
        <v>22.01</v>
      </c>
      <c r="I15" s="52">
        <v>0.81</v>
      </c>
      <c r="J15" s="52">
        <v>0.59</v>
      </c>
      <c r="K15" s="52">
        <v>353.63</v>
      </c>
      <c r="L15" s="52">
        <v>23.14</v>
      </c>
      <c r="M15" s="52">
        <v>86.21</v>
      </c>
      <c r="N15" s="52">
        <v>94.5</v>
      </c>
      <c r="O15" s="52">
        <v>0</v>
      </c>
      <c r="P15" s="52">
        <v>0.97</v>
      </c>
      <c r="Q15" s="52">
        <v>72.84</v>
      </c>
      <c r="R15" s="44"/>
      <c r="S15" s="44"/>
      <c r="T15" s="44"/>
      <c r="U15" s="44"/>
    </row>
    <row r="16" spans="1:21" s="12" customFormat="1" x14ac:dyDescent="0.25">
      <c r="A16" s="51" t="s">
        <v>141</v>
      </c>
      <c r="B16" s="52">
        <v>12.49</v>
      </c>
      <c r="C16" s="52">
        <v>36.47</v>
      </c>
      <c r="D16" s="52">
        <v>48.96</v>
      </c>
      <c r="E16" s="52">
        <v>7.28</v>
      </c>
      <c r="F16" s="52">
        <v>6.36</v>
      </c>
      <c r="G16" s="54" t="s">
        <v>8</v>
      </c>
      <c r="H16" s="52">
        <v>23.38</v>
      </c>
      <c r="I16" s="52">
        <v>0.82</v>
      </c>
      <c r="J16" s="52">
        <v>0.91</v>
      </c>
      <c r="K16" s="52">
        <v>358.77</v>
      </c>
      <c r="L16" s="52">
        <v>24.44</v>
      </c>
      <c r="M16" s="52">
        <v>83.25</v>
      </c>
      <c r="N16" s="52">
        <v>177.5</v>
      </c>
      <c r="O16" s="52">
        <v>0</v>
      </c>
      <c r="P16" s="52">
        <v>0.95</v>
      </c>
      <c r="Q16" s="52">
        <v>75.150000000000006</v>
      </c>
      <c r="R16" s="44"/>
      <c r="S16" s="44"/>
      <c r="T16" s="44"/>
      <c r="U16" s="44"/>
    </row>
    <row r="17" spans="1:21" s="12" customFormat="1" x14ac:dyDescent="0.25">
      <c r="A17" s="51" t="s">
        <v>142</v>
      </c>
      <c r="B17" s="52">
        <v>16.190000000000001</v>
      </c>
      <c r="C17" s="52">
        <v>39.65</v>
      </c>
      <c r="D17" s="52">
        <v>55.84</v>
      </c>
      <c r="E17" s="52">
        <v>6.99</v>
      </c>
      <c r="F17" s="52">
        <v>6.38</v>
      </c>
      <c r="G17" s="54" t="s">
        <v>8</v>
      </c>
      <c r="H17" s="52">
        <v>22.28</v>
      </c>
      <c r="I17" s="52">
        <v>0.83</v>
      </c>
      <c r="J17" s="52">
        <v>1.2</v>
      </c>
      <c r="K17" s="52">
        <v>351.61</v>
      </c>
      <c r="L17" s="52">
        <v>24.77</v>
      </c>
      <c r="M17" s="52">
        <v>78.760000000000005</v>
      </c>
      <c r="N17" s="52">
        <v>239.6</v>
      </c>
      <c r="O17" s="52">
        <v>0</v>
      </c>
      <c r="P17" s="52">
        <v>0.95</v>
      </c>
      <c r="Q17" s="52">
        <v>72.09</v>
      </c>
      <c r="R17" s="44"/>
      <c r="S17" s="44"/>
      <c r="T17" s="44"/>
      <c r="U17" s="44"/>
    </row>
    <row r="18" spans="1:21" s="12" customFormat="1" x14ac:dyDescent="0.25">
      <c r="A18" s="51" t="s">
        <v>143</v>
      </c>
      <c r="B18" s="52">
        <v>17.850000000000001</v>
      </c>
      <c r="C18" s="52">
        <v>43.08</v>
      </c>
      <c r="D18" s="52">
        <v>58.32</v>
      </c>
      <c r="E18" s="52">
        <v>7.13</v>
      </c>
      <c r="F18" s="52">
        <v>6.6</v>
      </c>
      <c r="G18" s="54" t="s">
        <v>8</v>
      </c>
      <c r="H18" s="52">
        <v>19.559999999999999</v>
      </c>
      <c r="I18" s="52">
        <v>0.74</v>
      </c>
      <c r="J18" s="52">
        <v>1.07</v>
      </c>
      <c r="K18" s="52">
        <v>100.98</v>
      </c>
      <c r="L18" s="52">
        <v>25.26</v>
      </c>
      <c r="M18" s="52">
        <v>76.7</v>
      </c>
      <c r="N18" s="52">
        <v>278.5</v>
      </c>
      <c r="O18" s="52">
        <v>0</v>
      </c>
      <c r="P18" s="52">
        <v>0.94</v>
      </c>
      <c r="Q18" s="52">
        <v>85.22</v>
      </c>
      <c r="R18" s="44"/>
      <c r="S18" s="44"/>
      <c r="T18" s="44"/>
      <c r="U18" s="44"/>
    </row>
    <row r="19" spans="1:21" s="12" customFormat="1" x14ac:dyDescent="0.25">
      <c r="A19" s="51" t="s">
        <v>144</v>
      </c>
      <c r="B19" s="52">
        <v>16.48</v>
      </c>
      <c r="C19" s="52">
        <v>42.32</v>
      </c>
      <c r="D19" s="52">
        <v>57.19</v>
      </c>
      <c r="E19" s="52">
        <v>7.83</v>
      </c>
      <c r="F19" s="52">
        <v>9</v>
      </c>
      <c r="G19" s="54" t="s">
        <v>8</v>
      </c>
      <c r="H19" s="54" t="s">
        <v>8</v>
      </c>
      <c r="I19" s="52">
        <v>0.81</v>
      </c>
      <c r="J19" s="52">
        <v>1.29</v>
      </c>
      <c r="K19" s="52">
        <v>107.4</v>
      </c>
      <c r="L19" s="52">
        <v>25.02</v>
      </c>
      <c r="M19" s="52">
        <v>76.08</v>
      </c>
      <c r="N19" s="52">
        <v>281.10000000000002</v>
      </c>
      <c r="O19" s="52">
        <v>0</v>
      </c>
      <c r="P19" s="52">
        <v>0.88</v>
      </c>
      <c r="Q19" s="52">
        <v>70.95</v>
      </c>
      <c r="R19" s="44"/>
      <c r="S19" s="44"/>
      <c r="T19" s="44"/>
      <c r="U19" s="44"/>
    </row>
    <row r="20" spans="1:21" s="12" customFormat="1" x14ac:dyDescent="0.25">
      <c r="A20" s="51" t="s">
        <v>145</v>
      </c>
      <c r="B20" s="52">
        <v>16.670000000000002</v>
      </c>
      <c r="C20" s="52">
        <v>51.84</v>
      </c>
      <c r="D20" s="52">
        <v>68.5</v>
      </c>
      <c r="E20" s="52">
        <v>8.59</v>
      </c>
      <c r="F20" s="52">
        <v>10.17</v>
      </c>
      <c r="G20" s="54" t="s">
        <v>8</v>
      </c>
      <c r="H20" s="54" t="s">
        <v>8</v>
      </c>
      <c r="I20" s="52">
        <v>0.77</v>
      </c>
      <c r="J20" s="52">
        <v>1.1399999999999999</v>
      </c>
      <c r="K20" s="52">
        <v>102.76</v>
      </c>
      <c r="L20" s="52">
        <v>26.39</v>
      </c>
      <c r="M20" s="52">
        <v>72.56</v>
      </c>
      <c r="N20" s="52">
        <v>550.1</v>
      </c>
      <c r="O20" s="52">
        <v>0</v>
      </c>
      <c r="P20" s="52">
        <v>0.92</v>
      </c>
      <c r="Q20" s="52">
        <v>69.989999999999995</v>
      </c>
      <c r="R20" s="44"/>
      <c r="S20" s="44"/>
      <c r="T20" s="44"/>
      <c r="U20" s="44"/>
    </row>
    <row r="21" spans="1:21" s="12" customFormat="1" x14ac:dyDescent="0.25">
      <c r="A21" s="51" t="s">
        <v>146</v>
      </c>
      <c r="B21" s="52">
        <v>11.65</v>
      </c>
      <c r="C21" s="52">
        <v>39.119999999999997</v>
      </c>
      <c r="D21" s="52">
        <v>50.77</v>
      </c>
      <c r="E21" s="52">
        <v>9.5</v>
      </c>
      <c r="F21" s="52">
        <v>11.18</v>
      </c>
      <c r="G21" s="54" t="s">
        <v>8</v>
      </c>
      <c r="H21" s="52">
        <v>18.100000000000001</v>
      </c>
      <c r="I21" s="52">
        <v>0.7</v>
      </c>
      <c r="J21" s="52">
        <v>1.27</v>
      </c>
      <c r="K21" s="52">
        <v>101.74</v>
      </c>
      <c r="L21" s="52">
        <v>27.12</v>
      </c>
      <c r="M21" s="52">
        <v>67.540000000000006</v>
      </c>
      <c r="N21" s="52">
        <v>498.8</v>
      </c>
      <c r="O21" s="52">
        <v>0</v>
      </c>
      <c r="P21" s="52">
        <v>0.81</v>
      </c>
      <c r="Q21" s="52">
        <v>48.09</v>
      </c>
      <c r="R21" s="44"/>
      <c r="S21" s="44"/>
      <c r="T21" s="44"/>
      <c r="U21" s="44"/>
    </row>
    <row r="22" spans="1:21" s="12" customFormat="1" x14ac:dyDescent="0.25">
      <c r="A22" s="51" t="s">
        <v>147</v>
      </c>
      <c r="B22" s="52">
        <v>5.04</v>
      </c>
      <c r="C22" s="52">
        <v>33.5</v>
      </c>
      <c r="D22" s="52">
        <v>37.29</v>
      </c>
      <c r="E22" s="52">
        <v>6.82</v>
      </c>
      <c r="F22" s="52">
        <v>11.08</v>
      </c>
      <c r="G22" s="54" t="s">
        <v>8</v>
      </c>
      <c r="H22" s="52">
        <v>20.62</v>
      </c>
      <c r="I22" s="52">
        <v>0.68</v>
      </c>
      <c r="J22" s="52">
        <v>1.31</v>
      </c>
      <c r="K22" s="52">
        <v>102.57</v>
      </c>
      <c r="L22" s="52">
        <v>26.22</v>
      </c>
      <c r="M22" s="52">
        <v>80.44</v>
      </c>
      <c r="N22" s="52">
        <v>347.7</v>
      </c>
      <c r="O22" s="52">
        <v>0.6</v>
      </c>
      <c r="P22" s="52">
        <v>0.7</v>
      </c>
      <c r="Q22" s="52">
        <v>54.44</v>
      </c>
      <c r="R22" s="44"/>
      <c r="S22" s="44"/>
      <c r="T22" s="44"/>
      <c r="U22" s="44"/>
    </row>
    <row r="23" spans="1:21" s="12" customFormat="1" x14ac:dyDescent="0.25">
      <c r="A23" s="51" t="s">
        <v>148</v>
      </c>
      <c r="B23" s="52">
        <v>9.74</v>
      </c>
      <c r="C23" s="52">
        <v>43.06</v>
      </c>
      <c r="D23" s="52">
        <v>52.81</v>
      </c>
      <c r="E23" s="52">
        <v>6.61</v>
      </c>
      <c r="F23" s="52">
        <v>12.59</v>
      </c>
      <c r="G23" s="54" t="s">
        <v>8</v>
      </c>
      <c r="H23" s="52">
        <v>20.6</v>
      </c>
      <c r="I23" s="52">
        <v>0.63</v>
      </c>
      <c r="J23" s="52">
        <v>0.85</v>
      </c>
      <c r="K23" s="52">
        <v>99.96</v>
      </c>
      <c r="L23" s="52">
        <v>26.75</v>
      </c>
      <c r="M23" s="52">
        <v>71.03</v>
      </c>
      <c r="N23" s="52">
        <v>219.4</v>
      </c>
      <c r="O23" s="52">
        <v>0</v>
      </c>
      <c r="P23" s="52">
        <v>0.84</v>
      </c>
      <c r="Q23" s="52">
        <v>53.76</v>
      </c>
      <c r="R23" s="44"/>
      <c r="S23" s="44"/>
      <c r="T23" s="44"/>
      <c r="U23" s="44"/>
    </row>
    <row r="24" spans="1:21" s="12" customFormat="1" x14ac:dyDescent="0.25">
      <c r="A24" s="51" t="s">
        <v>149</v>
      </c>
      <c r="B24" s="52">
        <v>6.94</v>
      </c>
      <c r="C24" s="52">
        <v>36.299999999999997</v>
      </c>
      <c r="D24" s="52">
        <v>43.24</v>
      </c>
      <c r="E24" s="52">
        <v>6.17</v>
      </c>
      <c r="F24" s="52">
        <v>11.6</v>
      </c>
      <c r="G24" s="54" t="s">
        <v>8</v>
      </c>
      <c r="H24" s="52">
        <v>18.239999999999998</v>
      </c>
      <c r="I24" s="52">
        <v>0.62</v>
      </c>
      <c r="J24" s="52">
        <v>0.92</v>
      </c>
      <c r="K24" s="52">
        <v>94.23</v>
      </c>
      <c r="L24" s="52">
        <v>26.38</v>
      </c>
      <c r="M24" s="52">
        <v>70.87</v>
      </c>
      <c r="N24" s="52">
        <v>225.8</v>
      </c>
      <c r="O24" s="52">
        <v>0</v>
      </c>
      <c r="P24" s="52">
        <v>0.77</v>
      </c>
      <c r="Q24" s="52">
        <v>46.26</v>
      </c>
      <c r="R24" s="44"/>
      <c r="S24" s="44"/>
      <c r="T24" s="44"/>
      <c r="U24" s="44"/>
    </row>
    <row r="25" spans="1:21" s="12" customFormat="1" x14ac:dyDescent="0.25">
      <c r="A25" s="51" t="s">
        <v>150</v>
      </c>
      <c r="B25" s="52">
        <v>5.36</v>
      </c>
      <c r="C25" s="52">
        <v>31.81</v>
      </c>
      <c r="D25" s="52">
        <v>37.159999999999997</v>
      </c>
      <c r="E25" s="52">
        <v>6.55</v>
      </c>
      <c r="F25" s="52">
        <v>10</v>
      </c>
      <c r="G25" s="54" t="s">
        <v>8</v>
      </c>
      <c r="H25" s="52">
        <v>16.16</v>
      </c>
      <c r="I25" s="52">
        <v>0.61</v>
      </c>
      <c r="J25" s="52">
        <v>1.97</v>
      </c>
      <c r="K25" s="52">
        <v>105.83</v>
      </c>
      <c r="L25" s="52">
        <v>25.69</v>
      </c>
      <c r="M25" s="52">
        <v>77.62</v>
      </c>
      <c r="N25" s="52">
        <v>113.5</v>
      </c>
      <c r="O25" s="52">
        <v>0</v>
      </c>
      <c r="P25" s="52">
        <v>0.72</v>
      </c>
      <c r="Q25" s="52">
        <v>35.869999999999997</v>
      </c>
      <c r="R25" s="44"/>
      <c r="S25" s="44"/>
      <c r="T25" s="44"/>
      <c r="U25" s="44"/>
    </row>
    <row r="26" spans="1:21" s="12" customFormat="1" x14ac:dyDescent="0.25">
      <c r="A26" s="51" t="s">
        <v>151</v>
      </c>
      <c r="B26" s="52">
        <v>5.91</v>
      </c>
      <c r="C26" s="52">
        <v>31.46</v>
      </c>
      <c r="D26" s="52">
        <v>37.369999999999997</v>
      </c>
      <c r="E26" s="52">
        <v>5.76</v>
      </c>
      <c r="F26" s="52">
        <v>9.1199999999999992</v>
      </c>
      <c r="G26" s="54" t="s">
        <v>8</v>
      </c>
      <c r="H26" s="52">
        <v>16.16</v>
      </c>
      <c r="I26" s="52">
        <v>0.57999999999999996</v>
      </c>
      <c r="J26" s="52">
        <v>0.97</v>
      </c>
      <c r="K26" s="52">
        <v>94.74</v>
      </c>
      <c r="L26" s="52">
        <v>24.36</v>
      </c>
      <c r="M26" s="52">
        <v>87.58</v>
      </c>
      <c r="N26" s="52">
        <v>34.700000000000003</v>
      </c>
      <c r="O26" s="52">
        <v>0.2</v>
      </c>
      <c r="P26" s="52">
        <v>0.73</v>
      </c>
      <c r="Q26" s="52">
        <v>39.14</v>
      </c>
      <c r="R26" s="44"/>
      <c r="S26" s="44"/>
      <c r="T26" s="44"/>
      <c r="U26" s="44"/>
    </row>
    <row r="27" spans="1:21" s="12" customFormat="1" x14ac:dyDescent="0.25">
      <c r="A27" s="51" t="s">
        <v>152</v>
      </c>
      <c r="B27" s="52">
        <v>13.41</v>
      </c>
      <c r="C27" s="52">
        <v>45.13</v>
      </c>
      <c r="D27" s="52">
        <v>58.54</v>
      </c>
      <c r="E27" s="52">
        <v>6.73</v>
      </c>
      <c r="F27" s="52">
        <v>7.7</v>
      </c>
      <c r="G27" s="54" t="s">
        <v>8</v>
      </c>
      <c r="H27" s="52">
        <v>14.48</v>
      </c>
      <c r="I27" s="52">
        <v>0.53</v>
      </c>
      <c r="J27" s="52">
        <v>0.67</v>
      </c>
      <c r="K27" s="52">
        <v>356.48</v>
      </c>
      <c r="L27" s="52">
        <v>23.9</v>
      </c>
      <c r="M27" s="52">
        <v>87.26</v>
      </c>
      <c r="N27" s="52">
        <v>22.6</v>
      </c>
      <c r="O27" s="52">
        <v>0</v>
      </c>
      <c r="P27" s="52">
        <v>1.17</v>
      </c>
      <c r="Q27" s="52">
        <v>28.99</v>
      </c>
      <c r="R27" s="44"/>
      <c r="S27" s="44"/>
      <c r="T27" s="44"/>
      <c r="U27" s="44"/>
    </row>
    <row r="28" spans="1:21" s="12" customFormat="1" x14ac:dyDescent="0.25">
      <c r="A28" s="51" t="s">
        <v>153</v>
      </c>
      <c r="B28" s="52">
        <v>21.5</v>
      </c>
      <c r="C28" s="52">
        <v>54.01</v>
      </c>
      <c r="D28" s="52">
        <v>75.52</v>
      </c>
      <c r="E28" s="52">
        <v>6.38</v>
      </c>
      <c r="F28" s="52">
        <v>6.57</v>
      </c>
      <c r="G28" s="54" t="s">
        <v>8</v>
      </c>
      <c r="H28" s="52">
        <v>14.46</v>
      </c>
      <c r="I28" s="52">
        <v>0.8</v>
      </c>
      <c r="J28" s="52">
        <v>0.84</v>
      </c>
      <c r="K28" s="52">
        <v>103.21</v>
      </c>
      <c r="L28" s="52">
        <v>23.99</v>
      </c>
      <c r="M28" s="52">
        <v>87.29</v>
      </c>
      <c r="N28" s="52">
        <v>23</v>
      </c>
      <c r="O28" s="52">
        <v>0</v>
      </c>
      <c r="P28" s="52">
        <v>1.26</v>
      </c>
      <c r="Q28" s="52">
        <v>18.71</v>
      </c>
      <c r="R28" s="44"/>
      <c r="S28" s="44"/>
      <c r="T28" s="44"/>
      <c r="U28" s="44"/>
    </row>
    <row r="29" spans="1:21" s="12" customFormat="1" x14ac:dyDescent="0.25">
      <c r="A29" s="51" t="s">
        <v>154</v>
      </c>
      <c r="B29" s="52">
        <v>16.14</v>
      </c>
      <c r="C29" s="52">
        <v>41.65</v>
      </c>
      <c r="D29" s="52">
        <v>57.15</v>
      </c>
      <c r="E29" s="52">
        <v>5.7</v>
      </c>
      <c r="F29" s="52">
        <v>6.52</v>
      </c>
      <c r="G29" s="54" t="s">
        <v>8</v>
      </c>
      <c r="H29" s="52">
        <v>12.4</v>
      </c>
      <c r="I29" s="52">
        <v>0.79</v>
      </c>
      <c r="J29" s="52">
        <v>0.54</v>
      </c>
      <c r="K29" s="52">
        <v>352.28</v>
      </c>
      <c r="L29" s="52">
        <v>23.78</v>
      </c>
      <c r="M29" s="52">
        <v>87.74</v>
      </c>
      <c r="N29" s="52">
        <v>22.7</v>
      </c>
      <c r="O29" s="52">
        <v>0</v>
      </c>
      <c r="P29" s="52">
        <v>1.22</v>
      </c>
      <c r="Q29" s="52">
        <v>33.619999999999997</v>
      </c>
      <c r="R29" s="44"/>
      <c r="S29" s="44"/>
      <c r="T29" s="44"/>
      <c r="U29" s="44"/>
    </row>
    <row r="30" spans="1:21" s="12" customFormat="1" x14ac:dyDescent="0.25">
      <c r="A30" s="51" t="s">
        <v>155</v>
      </c>
      <c r="B30" s="52">
        <v>16.89</v>
      </c>
      <c r="C30" s="52">
        <v>45.11</v>
      </c>
      <c r="D30" s="52">
        <v>62</v>
      </c>
      <c r="E30" s="52">
        <v>6.04</v>
      </c>
      <c r="F30" s="52">
        <v>6.55</v>
      </c>
      <c r="G30" s="54" t="s">
        <v>8</v>
      </c>
      <c r="H30" s="52">
        <v>12.62</v>
      </c>
      <c r="I30" s="52">
        <v>0.76</v>
      </c>
      <c r="J30" s="52">
        <v>0.82</v>
      </c>
      <c r="K30" s="52">
        <v>353.14</v>
      </c>
      <c r="L30" s="52">
        <v>23.76</v>
      </c>
      <c r="M30" s="52">
        <v>87.81</v>
      </c>
      <c r="N30" s="52">
        <v>22.8</v>
      </c>
      <c r="O30" s="52">
        <v>0</v>
      </c>
      <c r="P30" s="52">
        <v>1.32</v>
      </c>
      <c r="Q30" s="52">
        <v>43.27</v>
      </c>
      <c r="R30" s="44"/>
      <c r="S30" s="44"/>
      <c r="T30" s="44"/>
      <c r="U30" s="44"/>
    </row>
    <row r="31" spans="1:21" s="12" customFormat="1" x14ac:dyDescent="0.25">
      <c r="A31" s="51" t="s">
        <v>156</v>
      </c>
      <c r="B31" s="52">
        <v>15.11</v>
      </c>
      <c r="C31" s="52">
        <v>35.549999999999997</v>
      </c>
      <c r="D31" s="52">
        <v>50.65</v>
      </c>
      <c r="E31" s="52">
        <v>6.6</v>
      </c>
      <c r="F31" s="52">
        <v>6.84</v>
      </c>
      <c r="G31" s="54" t="s">
        <v>8</v>
      </c>
      <c r="H31" s="52">
        <v>13.21</v>
      </c>
      <c r="I31" s="52">
        <v>0.94</v>
      </c>
      <c r="J31" s="52">
        <v>0.59</v>
      </c>
      <c r="K31" s="52">
        <v>93.18</v>
      </c>
      <c r="L31" s="52">
        <v>23.71</v>
      </c>
      <c r="M31" s="52">
        <v>88.66</v>
      </c>
      <c r="N31" s="52">
        <v>22.8</v>
      </c>
      <c r="O31" s="52">
        <v>0</v>
      </c>
      <c r="P31" s="52">
        <v>1.1599999999999999</v>
      </c>
      <c r="Q31" s="52">
        <v>43.05</v>
      </c>
      <c r="R31" s="44"/>
      <c r="S31" s="44"/>
      <c r="T31" s="44"/>
      <c r="U31" s="44"/>
    </row>
    <row r="32" spans="1:21" s="12" customFormat="1" x14ac:dyDescent="0.25">
      <c r="A32" s="51" t="s">
        <v>157</v>
      </c>
      <c r="B32" s="52">
        <v>12.44</v>
      </c>
      <c r="C32" s="52">
        <v>28.11</v>
      </c>
      <c r="D32" s="52">
        <v>40.56</v>
      </c>
      <c r="E32" s="52">
        <v>6.28</v>
      </c>
      <c r="F32" s="52">
        <v>6.32</v>
      </c>
      <c r="G32" s="54" t="s">
        <v>8</v>
      </c>
      <c r="H32" s="52">
        <v>13.21</v>
      </c>
      <c r="I32" s="52">
        <v>0.84</v>
      </c>
      <c r="J32" s="52">
        <v>1.18</v>
      </c>
      <c r="K32" s="52">
        <v>105.65</v>
      </c>
      <c r="L32" s="52">
        <v>23.57</v>
      </c>
      <c r="M32" s="52">
        <v>89.58</v>
      </c>
      <c r="N32" s="52">
        <v>22.6</v>
      </c>
      <c r="O32" s="52">
        <v>0</v>
      </c>
      <c r="P32" s="52">
        <v>1.07</v>
      </c>
      <c r="Q32" s="52">
        <v>31.78</v>
      </c>
      <c r="R32" s="44"/>
      <c r="S32" s="44"/>
      <c r="T32" s="44"/>
      <c r="U32" s="44"/>
    </row>
    <row r="33" spans="1:21" s="22" customFormat="1" x14ac:dyDescent="0.25">
      <c r="A33" s="27"/>
      <c r="B33" s="21"/>
      <c r="C33" s="21"/>
      <c r="D33" s="21"/>
      <c r="E33" s="21"/>
      <c r="F33" s="21"/>
      <c r="G33" s="27"/>
      <c r="H33" s="27"/>
      <c r="I33" s="27"/>
      <c r="J33" s="21"/>
      <c r="K33" s="21"/>
      <c r="L33" s="27"/>
      <c r="M33" s="27"/>
      <c r="N33" s="27"/>
      <c r="O33" s="27"/>
      <c r="P33" s="27"/>
      <c r="Q33" s="21"/>
      <c r="R33" s="21"/>
      <c r="S33" s="21"/>
      <c r="T33" s="21"/>
      <c r="U33" s="21"/>
    </row>
    <row r="34" spans="1:21" s="22" customFormat="1" x14ac:dyDescent="0.25">
      <c r="A34" s="28" t="s">
        <v>30</v>
      </c>
      <c r="B34" s="29">
        <f t="shared" ref="B34:Q34" si="0">MIN(B9:B32)</f>
        <v>5.04</v>
      </c>
      <c r="C34" s="29">
        <f t="shared" si="0"/>
        <v>28.11</v>
      </c>
      <c r="D34" s="29">
        <f t="shared" si="0"/>
        <v>35.22</v>
      </c>
      <c r="E34" s="29">
        <f t="shared" si="0"/>
        <v>5.7</v>
      </c>
      <c r="F34" s="29">
        <f t="shared" si="0"/>
        <v>6.32</v>
      </c>
      <c r="G34" s="29">
        <f t="shared" si="0"/>
        <v>0</v>
      </c>
      <c r="H34" s="29">
        <f t="shared" si="0"/>
        <v>12.4</v>
      </c>
      <c r="I34" s="29">
        <f t="shared" si="0"/>
        <v>0.53</v>
      </c>
      <c r="J34" s="29">
        <f t="shared" si="0"/>
        <v>0.53</v>
      </c>
      <c r="K34" s="29">
        <f t="shared" si="0"/>
        <v>62.18</v>
      </c>
      <c r="L34" s="29">
        <f t="shared" si="0"/>
        <v>22.82</v>
      </c>
      <c r="M34" s="29">
        <f t="shared" si="0"/>
        <v>67.540000000000006</v>
      </c>
      <c r="N34" s="29">
        <f t="shared" si="0"/>
        <v>22.6</v>
      </c>
      <c r="O34" s="29">
        <f t="shared" si="0"/>
        <v>0</v>
      </c>
      <c r="P34" s="29">
        <f t="shared" si="0"/>
        <v>0.7</v>
      </c>
      <c r="Q34" s="29">
        <f t="shared" si="0"/>
        <v>18.71</v>
      </c>
      <c r="R34" s="29"/>
      <c r="S34" s="29"/>
      <c r="T34" s="29"/>
      <c r="U34" s="29"/>
    </row>
    <row r="35" spans="1:21" s="22" customFormat="1" x14ac:dyDescent="0.25">
      <c r="A35" s="28" t="s">
        <v>31</v>
      </c>
      <c r="B35" s="30">
        <f t="shared" ref="B35:Q35" si="1">MAX(B9:B32)</f>
        <v>21.5</v>
      </c>
      <c r="C35" s="30">
        <f t="shared" si="1"/>
        <v>54.01</v>
      </c>
      <c r="D35" s="30">
        <f t="shared" si="1"/>
        <v>75.52</v>
      </c>
      <c r="E35" s="30">
        <f t="shared" si="1"/>
        <v>9.5</v>
      </c>
      <c r="F35" s="30">
        <f t="shared" si="1"/>
        <v>12.59</v>
      </c>
      <c r="G35" s="30">
        <f t="shared" si="1"/>
        <v>0</v>
      </c>
      <c r="H35" s="30">
        <f t="shared" si="1"/>
        <v>32.64</v>
      </c>
      <c r="I35" s="30">
        <f t="shared" si="1"/>
        <v>1.1200000000000001</v>
      </c>
      <c r="J35" s="30">
        <f t="shared" si="1"/>
        <v>1.97</v>
      </c>
      <c r="K35" s="30">
        <f t="shared" si="1"/>
        <v>358.77</v>
      </c>
      <c r="L35" s="30">
        <f t="shared" si="1"/>
        <v>27.12</v>
      </c>
      <c r="M35" s="30">
        <f t="shared" si="1"/>
        <v>89.58</v>
      </c>
      <c r="N35" s="30">
        <f t="shared" si="1"/>
        <v>550.1</v>
      </c>
      <c r="O35" s="30">
        <f t="shared" si="1"/>
        <v>0.6</v>
      </c>
      <c r="P35" s="30">
        <f t="shared" si="1"/>
        <v>1.64</v>
      </c>
      <c r="Q35" s="30">
        <f t="shared" si="1"/>
        <v>85.68</v>
      </c>
      <c r="R35" s="30"/>
      <c r="S35" s="30"/>
      <c r="T35" s="30"/>
      <c r="U35" s="30"/>
    </row>
    <row r="36" spans="1:21" s="22" customFormat="1" x14ac:dyDescent="0.25">
      <c r="A36" s="28" t="s">
        <v>32</v>
      </c>
      <c r="B36" s="29">
        <f t="shared" ref="B36:Q36" si="2">AVERAGE(B9:B32)</f>
        <v>12.073333333333332</v>
      </c>
      <c r="C36" s="29">
        <f t="shared" si="2"/>
        <v>38.747083333333329</v>
      </c>
      <c r="D36" s="29">
        <f t="shared" si="2"/>
        <v>50.321666666666665</v>
      </c>
      <c r="E36" s="29">
        <f t="shared" si="2"/>
        <v>7.1687499999999984</v>
      </c>
      <c r="F36" s="29">
        <f t="shared" si="2"/>
        <v>8.1987500000000004</v>
      </c>
      <c r="G36" s="29" t="e">
        <f t="shared" si="2"/>
        <v>#DIV/0!</v>
      </c>
      <c r="H36" s="29">
        <f t="shared" si="2"/>
        <v>20.756818181818183</v>
      </c>
      <c r="I36" s="29">
        <f t="shared" si="2"/>
        <v>0.7941666666666668</v>
      </c>
      <c r="J36" s="29">
        <f t="shared" si="2"/>
        <v>0.97541666666666671</v>
      </c>
      <c r="K36" s="29">
        <f t="shared" si="2"/>
        <v>215.75375</v>
      </c>
      <c r="L36" s="29">
        <f t="shared" si="2"/>
        <v>24.466666666666669</v>
      </c>
      <c r="M36" s="29">
        <f t="shared" si="2"/>
        <v>81.471666666666664</v>
      </c>
      <c r="N36" s="29">
        <f t="shared" si="2"/>
        <v>139.01666666666668</v>
      </c>
      <c r="O36" s="29">
        <f t="shared" si="2"/>
        <v>3.3333333333333333E-2</v>
      </c>
      <c r="P36" s="29">
        <f t="shared" si="2"/>
        <v>1.07</v>
      </c>
      <c r="Q36" s="29">
        <f t="shared" si="2"/>
        <v>55.865833333333335</v>
      </c>
      <c r="R36" s="29"/>
      <c r="S36" s="29"/>
      <c r="T36" s="29"/>
      <c r="U36" s="29"/>
    </row>
    <row r="37" spans="1:21" s="22" customFormat="1" x14ac:dyDescent="0.25">
      <c r="A37" s="28" t="s">
        <v>38</v>
      </c>
      <c r="B37" s="29">
        <f>STDEV(B9:B32)</f>
        <v>4.6115240022348853</v>
      </c>
      <c r="C37" s="29">
        <f t="shared" ref="C37:Q37" si="3">STDEV(C9:C32)</f>
        <v>6.7887627605360823</v>
      </c>
      <c r="D37" s="29">
        <f t="shared" si="3"/>
        <v>10.897403227441346</v>
      </c>
      <c r="E37" s="29">
        <f t="shared" si="3"/>
        <v>1.084091735649884</v>
      </c>
      <c r="F37" s="29">
        <f t="shared" si="3"/>
        <v>1.9543292244121162</v>
      </c>
      <c r="G37" s="29" t="e">
        <f t="shared" si="3"/>
        <v>#DIV/0!</v>
      </c>
      <c r="H37" s="29">
        <f t="shared" si="3"/>
        <v>6.6056219824397875</v>
      </c>
      <c r="I37" s="29">
        <f t="shared" si="3"/>
        <v>0.1502148220170805</v>
      </c>
      <c r="J37" s="29">
        <f t="shared" si="3"/>
        <v>0.33458578111978432</v>
      </c>
      <c r="K37" s="29">
        <f t="shared" si="3"/>
        <v>131.00913625002744</v>
      </c>
      <c r="L37" s="29">
        <f t="shared" si="3"/>
        <v>1.3239455744319597</v>
      </c>
      <c r="M37" s="29">
        <f t="shared" si="3"/>
        <v>6.3615596027790327</v>
      </c>
      <c r="N37" s="29">
        <f t="shared" si="3"/>
        <v>159.13347874652592</v>
      </c>
      <c r="O37" s="29">
        <f t="shared" si="3"/>
        <v>0.12740441145412124</v>
      </c>
      <c r="P37" s="29">
        <f t="shared" si="3"/>
        <v>0.2659682884006711</v>
      </c>
      <c r="Q37" s="29">
        <f t="shared" si="3"/>
        <v>18.708490264342934</v>
      </c>
      <c r="R37" s="29"/>
      <c r="S37" s="29"/>
      <c r="T37" s="29"/>
      <c r="U37" s="29"/>
    </row>
    <row r="38" spans="1:21" s="22" customFormat="1" x14ac:dyDescent="0.25">
      <c r="A38" s="32" t="s">
        <v>33</v>
      </c>
      <c r="B38" s="33">
        <f t="shared" ref="B38:Q38" si="4">COUNT(B9:B32)</f>
        <v>24</v>
      </c>
      <c r="C38" s="33">
        <f t="shared" si="4"/>
        <v>24</v>
      </c>
      <c r="D38" s="33">
        <f t="shared" si="4"/>
        <v>24</v>
      </c>
      <c r="E38" s="33">
        <f t="shared" si="4"/>
        <v>24</v>
      </c>
      <c r="F38" s="33">
        <f t="shared" si="4"/>
        <v>24</v>
      </c>
      <c r="G38" s="33">
        <f>COUNT(G9:G32)+24</f>
        <v>24</v>
      </c>
      <c r="H38" s="33">
        <f>COUNT(H9:H32)+2</f>
        <v>24</v>
      </c>
      <c r="I38" s="33">
        <f t="shared" si="4"/>
        <v>24</v>
      </c>
      <c r="J38" s="33">
        <f t="shared" si="4"/>
        <v>24</v>
      </c>
      <c r="K38" s="33">
        <f t="shared" si="4"/>
        <v>24</v>
      </c>
      <c r="L38" s="33">
        <f t="shared" si="4"/>
        <v>24</v>
      </c>
      <c r="M38" s="33">
        <f t="shared" si="4"/>
        <v>24</v>
      </c>
      <c r="N38" s="33">
        <f t="shared" si="4"/>
        <v>24</v>
      </c>
      <c r="O38" s="33">
        <f t="shared" si="4"/>
        <v>24</v>
      </c>
      <c r="P38" s="33">
        <f t="shared" si="4"/>
        <v>24</v>
      </c>
      <c r="Q38" s="33">
        <f t="shared" si="4"/>
        <v>24</v>
      </c>
      <c r="R38" s="33"/>
      <c r="S38" s="33"/>
      <c r="T38" s="33"/>
      <c r="U38" s="33"/>
    </row>
    <row r="39" spans="1:21" s="22" customFormat="1" x14ac:dyDescent="0.25">
      <c r="A39" s="28" t="s">
        <v>34</v>
      </c>
      <c r="B39" s="30" t="str">
        <f>IF(B38&gt;=22,"&gt;90%",IF(B38&lt;=22,"&lt;90%"))</f>
        <v>&gt;90%</v>
      </c>
      <c r="C39" s="30" t="str">
        <f t="shared" ref="C39:P39" si="5">IF(C38&gt;=22,"&gt;90%",IF(C38&lt;=22,"&lt;90%"))</f>
        <v>&gt;90%</v>
      </c>
      <c r="D39" s="30" t="str">
        <f t="shared" si="5"/>
        <v>&gt;90%</v>
      </c>
      <c r="E39" s="30" t="str">
        <f t="shared" si="5"/>
        <v>&gt;90%</v>
      </c>
      <c r="F39" s="30" t="str">
        <f t="shared" si="5"/>
        <v>&gt;90%</v>
      </c>
      <c r="G39" s="30" t="str">
        <f t="shared" si="5"/>
        <v>&gt;90%</v>
      </c>
      <c r="H39" s="30" t="str">
        <f t="shared" si="5"/>
        <v>&gt;90%</v>
      </c>
      <c r="I39" s="30" t="str">
        <f t="shared" si="5"/>
        <v>&gt;90%</v>
      </c>
      <c r="J39" s="30" t="str">
        <f t="shared" si="5"/>
        <v>&gt;90%</v>
      </c>
      <c r="K39" s="30" t="str">
        <f t="shared" si="5"/>
        <v>&gt;90%</v>
      </c>
      <c r="L39" s="30" t="str">
        <f t="shared" si="5"/>
        <v>&gt;90%</v>
      </c>
      <c r="M39" s="30" t="str">
        <f t="shared" si="5"/>
        <v>&gt;90%</v>
      </c>
      <c r="N39" s="30" t="str">
        <f t="shared" si="5"/>
        <v>&gt;90%</v>
      </c>
      <c r="O39" s="30" t="str">
        <f t="shared" si="5"/>
        <v>&gt;90%</v>
      </c>
      <c r="P39" s="30" t="str">
        <f t="shared" si="5"/>
        <v>&gt;90%</v>
      </c>
      <c r="Q39" s="30" t="str">
        <f>IF(Q38&gt;=22,"&gt;90%",IF(Q38&lt;=22,"&lt;90%"))</f>
        <v>&gt;90%</v>
      </c>
      <c r="R39" s="30"/>
      <c r="S39" s="30"/>
      <c r="T39" s="30"/>
      <c r="U39" s="30"/>
    </row>
    <row r="40" spans="1:21" s="22" customFormat="1" x14ac:dyDescent="0.25">
      <c r="A40" s="28" t="s">
        <v>1</v>
      </c>
      <c r="B40" s="30" t="str">
        <f>IF(B38&gt;=22,"OK",IF(B38&lt;=22,"LESS"))</f>
        <v>OK</v>
      </c>
      <c r="C40" s="30" t="str">
        <f t="shared" ref="C40:Q40" si="6">IF(C38&gt;=22,"OK",IF(C38&lt;=22,"LESS"))</f>
        <v>OK</v>
      </c>
      <c r="D40" s="30" t="str">
        <f t="shared" si="6"/>
        <v>OK</v>
      </c>
      <c r="E40" s="30" t="str">
        <f t="shared" si="6"/>
        <v>OK</v>
      </c>
      <c r="F40" s="30" t="str">
        <f t="shared" si="6"/>
        <v>OK</v>
      </c>
      <c r="G40" s="30" t="str">
        <f t="shared" si="6"/>
        <v>OK</v>
      </c>
      <c r="H40" s="30" t="str">
        <f t="shared" si="6"/>
        <v>OK</v>
      </c>
      <c r="I40" s="30" t="str">
        <f t="shared" si="6"/>
        <v>OK</v>
      </c>
      <c r="J40" s="30" t="str">
        <f t="shared" si="6"/>
        <v>OK</v>
      </c>
      <c r="K40" s="30" t="str">
        <f t="shared" si="6"/>
        <v>OK</v>
      </c>
      <c r="L40" s="30" t="str">
        <f t="shared" si="6"/>
        <v>OK</v>
      </c>
      <c r="M40" s="30" t="str">
        <f t="shared" si="6"/>
        <v>OK</v>
      </c>
      <c r="N40" s="30" t="str">
        <f t="shared" si="6"/>
        <v>OK</v>
      </c>
      <c r="O40" s="30" t="str">
        <f t="shared" si="6"/>
        <v>OK</v>
      </c>
      <c r="P40" s="30" t="str">
        <f t="shared" si="6"/>
        <v>OK</v>
      </c>
      <c r="Q40" s="30" t="str">
        <f t="shared" si="6"/>
        <v>OK</v>
      </c>
      <c r="R40" s="30"/>
      <c r="S40" s="30"/>
      <c r="T40" s="30"/>
      <c r="U40" s="30"/>
    </row>
    <row r="41" spans="1:21" s="22" customFormat="1" x14ac:dyDescent="0.25">
      <c r="A41" s="14"/>
      <c r="L41" s="14"/>
      <c r="N41" s="17"/>
      <c r="O41" s="17"/>
      <c r="P41" s="17"/>
      <c r="Q41" s="17"/>
      <c r="R41" s="17"/>
      <c r="S41" s="17"/>
      <c r="T41" s="17"/>
      <c r="U41" s="17"/>
    </row>
    <row r="42" spans="1:21" s="22" customFormat="1" x14ac:dyDescent="0.25">
      <c r="A42" s="14"/>
    </row>
    <row r="43" spans="1:21" s="22" customFormat="1" x14ac:dyDescent="0.25">
      <c r="A43" s="15" t="s">
        <v>35</v>
      </c>
      <c r="B43" s="41" t="s">
        <v>42</v>
      </c>
      <c r="C43" s="43"/>
    </row>
    <row r="44" spans="1:21" s="22" customFormat="1" x14ac:dyDescent="0.25">
      <c r="A44" s="14"/>
      <c r="D44" s="2"/>
      <c r="E44" s="2"/>
      <c r="F44" s="2"/>
      <c r="G44" s="2"/>
      <c r="H44" s="2"/>
      <c r="I44" s="2"/>
    </row>
    <row r="45" spans="1:21" s="22" customFormat="1" ht="15.75" x14ac:dyDescent="0.25">
      <c r="A45" s="18" t="s">
        <v>36</v>
      </c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</row>
    <row r="46" spans="1:21" s="22" customFormat="1" x14ac:dyDescent="0.25"/>
    <row r="47" spans="1:21" s="22" customFormat="1" x14ac:dyDescent="0.25"/>
    <row r="48" spans="1:21" s="22" customFormat="1" x14ac:dyDescent="0.25"/>
    <row r="49" s="22" customFormat="1" x14ac:dyDescent="0.25"/>
    <row r="50" s="22" customFormat="1" x14ac:dyDescent="0.25"/>
    <row r="51" s="22" customFormat="1" x14ac:dyDescent="0.25"/>
    <row r="52" s="22" customFormat="1" x14ac:dyDescent="0.25"/>
    <row r="53" s="22" customFormat="1" x14ac:dyDescent="0.25"/>
    <row r="54" s="22" customFormat="1" x14ac:dyDescent="0.25"/>
    <row r="55" s="22" customFormat="1" x14ac:dyDescent="0.25"/>
    <row r="56" s="22" customFormat="1" x14ac:dyDescent="0.25"/>
    <row r="57" s="22" customFormat="1" x14ac:dyDescent="0.25"/>
    <row r="58" s="22" customFormat="1" x14ac:dyDescent="0.25"/>
    <row r="59" s="22" customFormat="1" x14ac:dyDescent="0.25"/>
    <row r="60" s="22" customFormat="1" x14ac:dyDescent="0.25"/>
    <row r="61" s="22" customFormat="1" x14ac:dyDescent="0.25"/>
    <row r="62" s="22" customFormat="1" x14ac:dyDescent="0.25"/>
    <row r="63" s="22" customFormat="1" x14ac:dyDescent="0.25"/>
    <row r="64" s="22" customFormat="1" x14ac:dyDescent="0.25"/>
    <row r="65" s="22" customFormat="1" x14ac:dyDescent="0.25"/>
    <row r="66" s="22" customFormat="1" x14ac:dyDescent="0.25"/>
    <row r="67" s="22" customFormat="1" x14ac:dyDescent="0.25"/>
    <row r="68" s="22" customFormat="1" x14ac:dyDescent="0.25"/>
    <row r="69" s="22" customFormat="1" x14ac:dyDescent="0.25"/>
    <row r="70" s="22" customFormat="1" x14ac:dyDescent="0.25"/>
    <row r="71" s="22" customFormat="1" x14ac:dyDescent="0.25"/>
    <row r="72" s="22" customFormat="1" x14ac:dyDescent="0.25"/>
    <row r="73" s="22" customFormat="1" x14ac:dyDescent="0.25"/>
    <row r="74" s="22" customFormat="1" x14ac:dyDescent="0.25"/>
    <row r="75" s="22" customFormat="1" x14ac:dyDescent="0.25"/>
    <row r="76" s="22" customFormat="1" x14ac:dyDescent="0.25"/>
    <row r="77" s="22" customFormat="1" x14ac:dyDescent="0.25"/>
    <row r="78" s="22" customFormat="1" x14ac:dyDescent="0.25"/>
    <row r="79" s="22" customFormat="1" x14ac:dyDescent="0.25"/>
    <row r="80" s="22" customFormat="1" x14ac:dyDescent="0.25"/>
    <row r="81" s="22" customFormat="1" x14ac:dyDescent="0.25"/>
    <row r="82" s="22" customFormat="1" x14ac:dyDescent="0.25"/>
    <row r="83" s="22" customFormat="1" x14ac:dyDescent="0.25"/>
    <row r="84" s="22" customFormat="1" x14ac:dyDescent="0.25"/>
    <row r="85" s="22" customFormat="1" x14ac:dyDescent="0.25"/>
    <row r="86" s="22" customFormat="1" x14ac:dyDescent="0.25"/>
    <row r="87" s="22" customFormat="1" x14ac:dyDescent="0.25"/>
    <row r="88" s="22" customFormat="1" x14ac:dyDescent="0.25"/>
    <row r="89" s="22" customFormat="1" x14ac:dyDescent="0.25"/>
    <row r="90" s="22" customFormat="1" x14ac:dyDescent="0.25"/>
    <row r="91" s="22" customFormat="1" x14ac:dyDescent="0.25"/>
    <row r="92" s="22" customFormat="1" x14ac:dyDescent="0.25"/>
    <row r="93" s="22" customFormat="1" x14ac:dyDescent="0.25"/>
    <row r="94" s="22" customFormat="1" x14ac:dyDescent="0.25"/>
    <row r="95" s="22" customFormat="1" x14ac:dyDescent="0.25"/>
    <row r="96" s="22" customFormat="1" x14ac:dyDescent="0.25"/>
    <row r="97" spans="1:1" s="22" customFormat="1" x14ac:dyDescent="0.25"/>
    <row r="98" spans="1:1" s="22" customFormat="1" x14ac:dyDescent="0.25"/>
    <row r="99" spans="1:1" s="22" customFormat="1" x14ac:dyDescent="0.25"/>
    <row r="100" spans="1:1" s="22" customFormat="1" x14ac:dyDescent="0.25"/>
    <row r="101" spans="1:1" s="22" customFormat="1" x14ac:dyDescent="0.25"/>
    <row r="102" spans="1:1" s="22" customFormat="1" x14ac:dyDescent="0.25"/>
    <row r="103" spans="1:1" s="22" customFormat="1" x14ac:dyDescent="0.25"/>
    <row r="104" spans="1:1" s="22" customFormat="1" x14ac:dyDescent="0.25"/>
    <row r="105" spans="1:1" s="22" customFormat="1" x14ac:dyDescent="0.25"/>
    <row r="106" spans="1:1" x14ac:dyDescent="0.25">
      <c r="A106" s="21"/>
    </row>
    <row r="107" spans="1:1" s="22" customFormat="1" x14ac:dyDescent="0.25"/>
    <row r="108" spans="1:1" s="22" customFormat="1" x14ac:dyDescent="0.25"/>
    <row r="109" spans="1:1" s="22" customFormat="1" x14ac:dyDescent="0.25"/>
    <row r="110" spans="1:1" s="22" customFormat="1" x14ac:dyDescent="0.25"/>
    <row r="111" spans="1:1" s="22" customFormat="1" x14ac:dyDescent="0.25"/>
    <row r="112" spans="1:1" s="22" customFormat="1" x14ac:dyDescent="0.25"/>
    <row r="113" spans="1:1" s="22" customFormat="1" x14ac:dyDescent="0.25"/>
    <row r="114" spans="1:1" s="22" customFormat="1" x14ac:dyDescent="0.25"/>
    <row r="115" spans="1:1" s="22" customFormat="1" x14ac:dyDescent="0.25"/>
    <row r="116" spans="1:1" s="22" customFormat="1" x14ac:dyDescent="0.25"/>
    <row r="117" spans="1:1" s="22" customFormat="1" x14ac:dyDescent="0.25"/>
    <row r="118" spans="1:1" x14ac:dyDescent="0.25">
      <c r="A118" s="21"/>
    </row>
    <row r="119" spans="1:1" x14ac:dyDescent="0.25">
      <c r="A119" s="21"/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2" ySplit="8" topLeftCell="C15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H39" sqref="H39"/>
    </sheetView>
  </sheetViews>
  <sheetFormatPr defaultColWidth="8.85546875" defaultRowHeight="15" x14ac:dyDescent="0.25"/>
  <cols>
    <col min="1" max="1" width="18.28515625" style="27" customWidth="1"/>
    <col min="2" max="2" width="13.42578125" style="21" customWidth="1"/>
    <col min="3" max="12" width="9.140625" style="21" customWidth="1"/>
    <col min="13" max="13" width="10" style="21" customWidth="1"/>
    <col min="14" max="19" width="9.140625" style="21" customWidth="1"/>
    <col min="20" max="20" width="11.42578125" style="21" customWidth="1"/>
    <col min="21" max="16384" width="8.85546875" style="21"/>
  </cols>
  <sheetData>
    <row r="1" spans="1:21" s="22" customFormat="1" ht="26.25" x14ac:dyDescent="0.25">
      <c r="A1" s="15" t="s">
        <v>2</v>
      </c>
      <c r="B1" s="24" t="s">
        <v>43</v>
      </c>
      <c r="C1" s="38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s="22" customFormat="1" x14ac:dyDescent="0.25">
      <c r="A2" s="15" t="s">
        <v>0</v>
      </c>
      <c r="B2" s="39" t="str">
        <f>$A$9</f>
        <v>05-10-2022 01:00</v>
      </c>
      <c r="C2" s="12"/>
      <c r="D2" s="11" t="s">
        <v>3</v>
      </c>
      <c r="E2" s="11"/>
      <c r="F2" s="11"/>
      <c r="G2" s="4" t="s">
        <v>4</v>
      </c>
      <c r="H2" s="20"/>
      <c r="I2" s="20"/>
      <c r="J2" s="20"/>
      <c r="K2" s="13"/>
      <c r="L2" s="11" t="s">
        <v>5</v>
      </c>
      <c r="M2" s="13"/>
      <c r="N2" s="8" t="s">
        <v>6</v>
      </c>
      <c r="P2" s="40" t="s">
        <v>7</v>
      </c>
      <c r="Q2" s="13"/>
      <c r="R2" s="9" t="s">
        <v>8</v>
      </c>
      <c r="S2" s="12"/>
      <c r="T2" s="12"/>
      <c r="U2" s="12"/>
    </row>
    <row r="3" spans="1:21" s="22" customFormat="1" x14ac:dyDescent="0.25">
      <c r="A3" s="15" t="s">
        <v>9</v>
      </c>
      <c r="B3" s="13" t="s">
        <v>10</v>
      </c>
      <c r="C3" s="12"/>
      <c r="D3" s="11" t="s">
        <v>11</v>
      </c>
      <c r="E3" s="11"/>
      <c r="F3" s="11"/>
      <c r="G3" s="19" t="s">
        <v>12</v>
      </c>
      <c r="H3" s="20"/>
      <c r="I3" s="20"/>
      <c r="J3" s="20"/>
      <c r="K3" s="12"/>
      <c r="L3" s="11" t="s">
        <v>13</v>
      </c>
      <c r="M3" s="13"/>
      <c r="N3" s="6" t="s">
        <v>14</v>
      </c>
      <c r="O3" s="13"/>
      <c r="P3" s="40" t="s">
        <v>15</v>
      </c>
      <c r="Q3" s="13"/>
      <c r="R3" s="10" t="s">
        <v>15</v>
      </c>
      <c r="S3" s="12"/>
      <c r="T3" s="12"/>
      <c r="U3" s="12"/>
    </row>
    <row r="4" spans="1:21" s="22" customFormat="1" x14ac:dyDescent="0.25">
      <c r="A4" s="15" t="s">
        <v>16</v>
      </c>
      <c r="B4" s="13" t="s">
        <v>39</v>
      </c>
      <c r="C4" s="12"/>
      <c r="D4" s="11" t="s">
        <v>17</v>
      </c>
      <c r="E4" s="11"/>
      <c r="F4" s="11"/>
      <c r="G4" s="5" t="s">
        <v>18</v>
      </c>
      <c r="H4" s="20"/>
      <c r="I4" s="20"/>
      <c r="J4" s="20"/>
      <c r="K4" s="3"/>
      <c r="L4" s="11" t="s">
        <v>19</v>
      </c>
      <c r="M4" s="13"/>
      <c r="N4" s="7" t="s">
        <v>20</v>
      </c>
      <c r="O4" s="13"/>
      <c r="P4" s="13"/>
      <c r="Q4" s="13"/>
      <c r="R4" s="13"/>
      <c r="S4" s="12"/>
      <c r="T4" s="12"/>
      <c r="U4" s="12"/>
    </row>
    <row r="5" spans="1:21" s="22" customFormat="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s="22" customFormat="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s="22" customFormat="1" x14ac:dyDescent="0.25">
      <c r="A7" s="15" t="s">
        <v>21</v>
      </c>
      <c r="B7" s="45" t="s">
        <v>59</v>
      </c>
      <c r="C7" s="45" t="s">
        <v>44</v>
      </c>
      <c r="D7" s="45" t="s">
        <v>45</v>
      </c>
      <c r="E7" s="45" t="s">
        <v>46</v>
      </c>
      <c r="F7" s="45" t="s">
        <v>47</v>
      </c>
      <c r="G7" s="45" t="s">
        <v>48</v>
      </c>
      <c r="H7" s="45" t="s">
        <v>49</v>
      </c>
      <c r="I7" s="45" t="s">
        <v>50</v>
      </c>
      <c r="J7" s="45" t="s">
        <v>51</v>
      </c>
      <c r="K7" s="45" t="s">
        <v>52</v>
      </c>
      <c r="L7" s="45" t="s">
        <v>53</v>
      </c>
      <c r="M7" s="45" t="s">
        <v>54</v>
      </c>
      <c r="N7" s="45" t="s">
        <v>55</v>
      </c>
      <c r="O7" s="45" t="s">
        <v>56</v>
      </c>
      <c r="P7" s="45" t="s">
        <v>57</v>
      </c>
      <c r="Q7" s="45" t="s">
        <v>58</v>
      </c>
      <c r="R7" s="28"/>
      <c r="S7" s="30"/>
      <c r="T7" s="28"/>
      <c r="U7" s="28"/>
    </row>
    <row r="8" spans="1:21" s="22" customFormat="1" x14ac:dyDescent="0.25">
      <c r="A8" s="15"/>
      <c r="B8" s="30" t="s">
        <v>22</v>
      </c>
      <c r="C8" s="30" t="s">
        <v>22</v>
      </c>
      <c r="D8" s="30" t="s">
        <v>22</v>
      </c>
      <c r="E8" s="30" t="s">
        <v>22</v>
      </c>
      <c r="F8" s="30" t="s">
        <v>22</v>
      </c>
      <c r="G8" s="30" t="s">
        <v>23</v>
      </c>
      <c r="H8" s="30" t="s">
        <v>22</v>
      </c>
      <c r="I8" s="30" t="s">
        <v>22</v>
      </c>
      <c r="J8" s="30" t="s">
        <v>24</v>
      </c>
      <c r="K8" s="30" t="s">
        <v>25</v>
      </c>
      <c r="L8" s="28" t="s">
        <v>27</v>
      </c>
      <c r="M8" s="30" t="s">
        <v>26</v>
      </c>
      <c r="N8" s="30" t="s">
        <v>28</v>
      </c>
      <c r="O8" s="28" t="s">
        <v>29</v>
      </c>
      <c r="P8" s="30" t="s">
        <v>22</v>
      </c>
      <c r="Q8" s="30" t="s">
        <v>22</v>
      </c>
      <c r="R8" s="28"/>
      <c r="S8" s="30"/>
      <c r="T8" s="28"/>
      <c r="U8" s="28"/>
    </row>
    <row r="9" spans="1:21" s="12" customFormat="1" x14ac:dyDescent="0.25">
      <c r="A9" s="51" t="s">
        <v>158</v>
      </c>
      <c r="B9" s="52">
        <v>10.32</v>
      </c>
      <c r="C9" s="52">
        <v>28.8</v>
      </c>
      <c r="D9" s="52">
        <v>38.6</v>
      </c>
      <c r="E9" s="52">
        <v>5.61</v>
      </c>
      <c r="F9" s="52">
        <v>5.89</v>
      </c>
      <c r="G9" s="54" t="s">
        <v>8</v>
      </c>
      <c r="H9" s="52">
        <v>12.87</v>
      </c>
      <c r="I9" s="52">
        <v>0.88</v>
      </c>
      <c r="J9" s="52">
        <v>1.66</v>
      </c>
      <c r="K9" s="52">
        <v>112.2</v>
      </c>
      <c r="L9" s="52">
        <v>23.42</v>
      </c>
      <c r="M9" s="52">
        <v>89.31</v>
      </c>
      <c r="N9" s="52">
        <v>22.6</v>
      </c>
      <c r="O9" s="52">
        <v>0</v>
      </c>
      <c r="P9" s="52">
        <v>0.98</v>
      </c>
      <c r="Q9" s="52">
        <v>54.13</v>
      </c>
      <c r="R9" s="44"/>
      <c r="S9" s="44"/>
      <c r="T9" s="44"/>
      <c r="U9" s="44"/>
    </row>
    <row r="10" spans="1:21" s="12" customFormat="1" x14ac:dyDescent="0.25">
      <c r="A10" s="51" t="s">
        <v>159</v>
      </c>
      <c r="B10" s="52">
        <v>7.74</v>
      </c>
      <c r="C10" s="52">
        <v>24.51</v>
      </c>
      <c r="D10" s="52">
        <v>32.24</v>
      </c>
      <c r="E10" s="52">
        <v>5.67</v>
      </c>
      <c r="F10" s="52">
        <v>6.96</v>
      </c>
      <c r="G10" s="54" t="s">
        <v>8</v>
      </c>
      <c r="H10" s="52">
        <v>12.26</v>
      </c>
      <c r="I10" s="52">
        <v>0.8</v>
      </c>
      <c r="J10" s="52">
        <v>1.01</v>
      </c>
      <c r="K10" s="52">
        <v>101.3</v>
      </c>
      <c r="L10" s="52">
        <v>23.19</v>
      </c>
      <c r="M10" s="52">
        <v>88.95</v>
      </c>
      <c r="N10" s="52">
        <v>22.3</v>
      </c>
      <c r="O10" s="52">
        <v>0</v>
      </c>
      <c r="P10" s="52">
        <v>0.82</v>
      </c>
      <c r="Q10" s="52">
        <v>53.51</v>
      </c>
      <c r="R10" s="44"/>
      <c r="S10" s="44"/>
      <c r="T10" s="44"/>
      <c r="U10" s="44"/>
    </row>
    <row r="11" spans="1:21" s="12" customFormat="1" x14ac:dyDescent="0.25">
      <c r="A11" s="51" t="s">
        <v>160</v>
      </c>
      <c r="B11" s="52">
        <v>6.44</v>
      </c>
      <c r="C11" s="52">
        <v>19.36</v>
      </c>
      <c r="D11" s="52">
        <v>25.81</v>
      </c>
      <c r="E11" s="52">
        <v>5.41</v>
      </c>
      <c r="F11" s="52">
        <v>6.74</v>
      </c>
      <c r="G11" s="54" t="s">
        <v>8</v>
      </c>
      <c r="H11" s="52">
        <v>8.94</v>
      </c>
      <c r="I11" s="52">
        <v>0.68</v>
      </c>
      <c r="J11" s="52">
        <v>0.81</v>
      </c>
      <c r="K11" s="52">
        <v>96.61</v>
      </c>
      <c r="L11" s="52">
        <v>23.14</v>
      </c>
      <c r="M11" s="52">
        <v>89.3</v>
      </c>
      <c r="N11" s="52">
        <v>22.6</v>
      </c>
      <c r="O11" s="52">
        <v>0</v>
      </c>
      <c r="P11" s="52">
        <v>0.73</v>
      </c>
      <c r="Q11" s="52">
        <v>39.71</v>
      </c>
      <c r="R11" s="44"/>
      <c r="S11" s="44"/>
      <c r="T11" s="44"/>
      <c r="U11" s="44"/>
    </row>
    <row r="12" spans="1:21" s="12" customFormat="1" x14ac:dyDescent="0.25">
      <c r="A12" s="51" t="s">
        <v>161</v>
      </c>
      <c r="B12" s="52">
        <v>5.69</v>
      </c>
      <c r="C12" s="52">
        <v>18.48</v>
      </c>
      <c r="D12" s="52">
        <v>23.21</v>
      </c>
      <c r="E12" s="52">
        <v>5.36</v>
      </c>
      <c r="F12" s="52">
        <v>7.08</v>
      </c>
      <c r="G12" s="54" t="s">
        <v>8</v>
      </c>
      <c r="H12" s="52">
        <v>10.09</v>
      </c>
      <c r="I12" s="52">
        <v>0.71</v>
      </c>
      <c r="J12" s="52">
        <v>0.76</v>
      </c>
      <c r="K12" s="52">
        <v>100.74</v>
      </c>
      <c r="L12" s="52">
        <v>22.96</v>
      </c>
      <c r="M12" s="52">
        <v>89.47</v>
      </c>
      <c r="N12" s="52">
        <v>22.5</v>
      </c>
      <c r="O12" s="52">
        <v>0</v>
      </c>
      <c r="P12" s="52">
        <v>0.7</v>
      </c>
      <c r="Q12" s="52">
        <v>28.56</v>
      </c>
      <c r="R12" s="44"/>
      <c r="S12" s="44"/>
      <c r="T12" s="44"/>
      <c r="U12" s="44"/>
    </row>
    <row r="13" spans="1:21" s="12" customFormat="1" x14ac:dyDescent="0.25">
      <c r="A13" s="51" t="s">
        <v>162</v>
      </c>
      <c r="B13" s="52">
        <v>5.05</v>
      </c>
      <c r="C13" s="52">
        <v>18.89</v>
      </c>
      <c r="D13" s="52">
        <v>23.93</v>
      </c>
      <c r="E13" s="52">
        <v>5.77</v>
      </c>
      <c r="F13" s="52">
        <v>6.2</v>
      </c>
      <c r="G13" s="54" t="s">
        <v>8</v>
      </c>
      <c r="H13" s="52">
        <v>10.09</v>
      </c>
      <c r="I13" s="52">
        <v>0.63</v>
      </c>
      <c r="J13" s="52">
        <v>2.0099999999999998</v>
      </c>
      <c r="K13" s="52">
        <v>110.6</v>
      </c>
      <c r="L13" s="52">
        <v>23.01</v>
      </c>
      <c r="M13" s="52">
        <v>88.88</v>
      </c>
      <c r="N13" s="52">
        <v>22.8</v>
      </c>
      <c r="O13" s="52">
        <v>0</v>
      </c>
      <c r="P13" s="52">
        <v>0.62</v>
      </c>
      <c r="Q13" s="52">
        <v>44.64</v>
      </c>
      <c r="R13" s="44"/>
      <c r="S13" s="44"/>
      <c r="T13" s="44"/>
      <c r="U13" s="44"/>
    </row>
    <row r="14" spans="1:21" s="12" customFormat="1" x14ac:dyDescent="0.25">
      <c r="A14" s="51" t="s">
        <v>163</v>
      </c>
      <c r="B14" s="52">
        <v>4.21</v>
      </c>
      <c r="C14" s="52">
        <v>17.77</v>
      </c>
      <c r="D14" s="52">
        <v>21.88</v>
      </c>
      <c r="E14" s="52">
        <v>5.9</v>
      </c>
      <c r="F14" s="52">
        <v>5.53</v>
      </c>
      <c r="G14" s="54" t="s">
        <v>8</v>
      </c>
      <c r="H14" s="52">
        <v>9.07</v>
      </c>
      <c r="I14" s="52">
        <v>0.62</v>
      </c>
      <c r="J14" s="52">
        <v>1.93</v>
      </c>
      <c r="K14" s="52">
        <v>108.67</v>
      </c>
      <c r="L14" s="52">
        <v>22.78</v>
      </c>
      <c r="M14" s="52">
        <v>89.01</v>
      </c>
      <c r="N14" s="52">
        <v>24.8</v>
      </c>
      <c r="O14" s="52">
        <v>0</v>
      </c>
      <c r="P14" s="52">
        <v>0.53</v>
      </c>
      <c r="Q14" s="52">
        <v>45.36</v>
      </c>
      <c r="R14" s="44"/>
      <c r="S14" s="44"/>
      <c r="T14" s="44"/>
      <c r="U14" s="44"/>
    </row>
    <row r="15" spans="1:21" s="12" customFormat="1" x14ac:dyDescent="0.25">
      <c r="A15" s="51" t="s">
        <v>164</v>
      </c>
      <c r="B15" s="52">
        <v>3.6</v>
      </c>
      <c r="C15" s="52">
        <v>14.76</v>
      </c>
      <c r="D15" s="52">
        <v>18.329999999999998</v>
      </c>
      <c r="E15" s="52">
        <v>5.52</v>
      </c>
      <c r="F15" s="52">
        <v>5.67</v>
      </c>
      <c r="G15" s="54" t="s">
        <v>8</v>
      </c>
      <c r="H15" s="52">
        <v>11.37</v>
      </c>
      <c r="I15" s="52">
        <v>0.53</v>
      </c>
      <c r="J15" s="52">
        <v>1.69</v>
      </c>
      <c r="K15" s="52">
        <v>109.97</v>
      </c>
      <c r="L15" s="52">
        <v>22.84</v>
      </c>
      <c r="M15" s="52">
        <v>88.98</v>
      </c>
      <c r="N15" s="52">
        <v>134.30000000000001</v>
      </c>
      <c r="O15" s="52">
        <v>0</v>
      </c>
      <c r="P15" s="52">
        <v>0.47</v>
      </c>
      <c r="Q15" s="52">
        <v>27.96</v>
      </c>
      <c r="R15" s="44"/>
      <c r="S15" s="44"/>
      <c r="T15" s="44"/>
      <c r="U15" s="44"/>
    </row>
    <row r="16" spans="1:21" s="12" customFormat="1" x14ac:dyDescent="0.25">
      <c r="A16" s="51" t="s">
        <v>165</v>
      </c>
      <c r="B16" s="52">
        <v>3.52</v>
      </c>
      <c r="C16" s="52">
        <v>15.92</v>
      </c>
      <c r="D16" s="52">
        <v>19.38</v>
      </c>
      <c r="E16" s="52">
        <v>5.52</v>
      </c>
      <c r="F16" s="52">
        <v>5.58</v>
      </c>
      <c r="G16" s="54" t="s">
        <v>8</v>
      </c>
      <c r="H16" s="52">
        <v>11.37</v>
      </c>
      <c r="I16" s="52">
        <v>0.48</v>
      </c>
      <c r="J16" s="52">
        <v>1.84</v>
      </c>
      <c r="K16" s="52">
        <v>104.9</v>
      </c>
      <c r="L16" s="52">
        <v>23.94</v>
      </c>
      <c r="M16" s="52">
        <v>86.56</v>
      </c>
      <c r="N16" s="52">
        <v>298.2</v>
      </c>
      <c r="O16" s="52">
        <v>0</v>
      </c>
      <c r="P16" s="52">
        <v>0.41</v>
      </c>
      <c r="Q16" s="52">
        <v>26.35</v>
      </c>
      <c r="R16" s="44"/>
      <c r="S16" s="44"/>
      <c r="T16" s="44"/>
      <c r="U16" s="44"/>
    </row>
    <row r="17" spans="1:21" s="12" customFormat="1" x14ac:dyDescent="0.25">
      <c r="A17" s="51" t="s">
        <v>166</v>
      </c>
      <c r="B17" s="52">
        <v>3.29</v>
      </c>
      <c r="C17" s="52">
        <v>16.16</v>
      </c>
      <c r="D17" s="52">
        <v>19.329999999999998</v>
      </c>
      <c r="E17" s="52">
        <v>5.1100000000000003</v>
      </c>
      <c r="F17" s="52">
        <v>5.5</v>
      </c>
      <c r="G17" s="54" t="s">
        <v>8</v>
      </c>
      <c r="H17" s="52">
        <v>8.41</v>
      </c>
      <c r="I17" s="52">
        <v>0.45</v>
      </c>
      <c r="J17" s="52">
        <v>2.42</v>
      </c>
      <c r="K17" s="52">
        <v>106.06</v>
      </c>
      <c r="L17" s="52">
        <v>24.87</v>
      </c>
      <c r="M17" s="52">
        <v>80.33</v>
      </c>
      <c r="N17" s="52">
        <v>512.6</v>
      </c>
      <c r="O17" s="52">
        <v>0</v>
      </c>
      <c r="P17" s="52">
        <v>0.37</v>
      </c>
      <c r="Q17" s="52">
        <v>25.82</v>
      </c>
      <c r="R17" s="44"/>
      <c r="S17" s="44"/>
      <c r="T17" s="44"/>
      <c r="U17" s="44"/>
    </row>
    <row r="18" spans="1:21" s="12" customFormat="1" x14ac:dyDescent="0.25">
      <c r="A18" s="51" t="s">
        <v>167</v>
      </c>
      <c r="B18" s="52">
        <v>2.4900000000000002</v>
      </c>
      <c r="C18" s="52">
        <v>16.12</v>
      </c>
      <c r="D18" s="52">
        <v>18.600000000000001</v>
      </c>
      <c r="E18" s="52">
        <v>4.99</v>
      </c>
      <c r="F18" s="52">
        <v>5.93</v>
      </c>
      <c r="G18" s="54" t="s">
        <v>8</v>
      </c>
      <c r="H18" s="52">
        <v>8.2799999999999994</v>
      </c>
      <c r="I18" s="52">
        <v>0.41</v>
      </c>
      <c r="J18" s="52">
        <v>2.37</v>
      </c>
      <c r="K18" s="52">
        <v>100.01</v>
      </c>
      <c r="L18" s="52">
        <v>26.11</v>
      </c>
      <c r="M18" s="52">
        <v>72.510000000000005</v>
      </c>
      <c r="N18" s="52">
        <v>742.4</v>
      </c>
      <c r="O18" s="52">
        <v>0</v>
      </c>
      <c r="P18" s="52">
        <v>0.34</v>
      </c>
      <c r="Q18" s="52">
        <v>18.64</v>
      </c>
      <c r="R18" s="44"/>
      <c r="S18" s="44"/>
      <c r="T18" s="44"/>
      <c r="U18" s="44"/>
    </row>
    <row r="19" spans="1:21" s="12" customFormat="1" x14ac:dyDescent="0.25">
      <c r="A19" s="51" t="s">
        <v>168</v>
      </c>
      <c r="B19" s="52">
        <v>5.05</v>
      </c>
      <c r="C19" s="52">
        <v>19.46</v>
      </c>
      <c r="D19" s="52">
        <v>24.51</v>
      </c>
      <c r="E19" s="52">
        <v>9.33</v>
      </c>
      <c r="F19" s="52">
        <v>7.26</v>
      </c>
      <c r="G19" s="54" t="s">
        <v>8</v>
      </c>
      <c r="H19" s="52">
        <v>8.26</v>
      </c>
      <c r="I19" s="52">
        <v>0.36</v>
      </c>
      <c r="J19" s="52">
        <v>2.2200000000000002</v>
      </c>
      <c r="K19" s="52">
        <v>100.81</v>
      </c>
      <c r="L19" s="52">
        <v>26.65</v>
      </c>
      <c r="M19" s="52">
        <v>69.260000000000005</v>
      </c>
      <c r="N19" s="52">
        <v>754.9</v>
      </c>
      <c r="O19" s="52">
        <v>0</v>
      </c>
      <c r="P19" s="52">
        <v>0.33</v>
      </c>
      <c r="Q19" s="52">
        <v>9.74</v>
      </c>
      <c r="R19" s="44"/>
      <c r="S19" s="44"/>
      <c r="T19" s="44"/>
      <c r="U19" s="44"/>
    </row>
    <row r="20" spans="1:21" s="12" customFormat="1" x14ac:dyDescent="0.25">
      <c r="A20" s="51" t="s">
        <v>169</v>
      </c>
      <c r="B20" s="52">
        <v>3.96</v>
      </c>
      <c r="C20" s="52">
        <v>16.38</v>
      </c>
      <c r="D20" s="52">
        <v>19.78</v>
      </c>
      <c r="E20" s="52">
        <v>3.72</v>
      </c>
      <c r="F20" s="52">
        <v>7.36</v>
      </c>
      <c r="G20" s="54" t="s">
        <v>8</v>
      </c>
      <c r="H20" s="52">
        <v>6.21</v>
      </c>
      <c r="I20" s="52">
        <v>0.28999999999999998</v>
      </c>
      <c r="J20" s="52">
        <v>1.85</v>
      </c>
      <c r="K20" s="52">
        <v>104.76</v>
      </c>
      <c r="L20" s="52">
        <v>27.36</v>
      </c>
      <c r="M20" s="52">
        <v>66.099999999999994</v>
      </c>
      <c r="N20" s="52">
        <v>768.3</v>
      </c>
      <c r="O20" s="52">
        <v>0</v>
      </c>
      <c r="P20" s="52">
        <v>0.33</v>
      </c>
      <c r="Q20" s="52">
        <v>8.73</v>
      </c>
      <c r="R20" s="44"/>
      <c r="S20" s="44"/>
      <c r="T20" s="44"/>
      <c r="U20" s="44"/>
    </row>
    <row r="21" spans="1:21" s="12" customFormat="1" x14ac:dyDescent="0.25">
      <c r="A21" s="51" t="s">
        <v>170</v>
      </c>
      <c r="B21" s="52">
        <v>2.85</v>
      </c>
      <c r="C21" s="52">
        <v>15.74</v>
      </c>
      <c r="D21" s="52">
        <v>18.5</v>
      </c>
      <c r="E21" s="52">
        <v>3.76</v>
      </c>
      <c r="F21" s="52">
        <v>7.72</v>
      </c>
      <c r="G21" s="54" t="s">
        <v>8</v>
      </c>
      <c r="H21" s="52">
        <v>4.45</v>
      </c>
      <c r="I21" s="52">
        <v>0.3</v>
      </c>
      <c r="J21" s="52">
        <v>1.83</v>
      </c>
      <c r="K21" s="52">
        <v>103.6</v>
      </c>
      <c r="L21" s="52">
        <v>27.56</v>
      </c>
      <c r="M21" s="52">
        <v>67.12</v>
      </c>
      <c r="N21" s="52">
        <v>678.6</v>
      </c>
      <c r="O21" s="52">
        <v>0</v>
      </c>
      <c r="P21" s="52">
        <v>0.33</v>
      </c>
      <c r="Q21" s="52">
        <v>19.829999999999998</v>
      </c>
      <c r="R21" s="44"/>
      <c r="S21" s="44"/>
      <c r="T21" s="44"/>
      <c r="U21" s="44"/>
    </row>
    <row r="22" spans="1:21" s="12" customFormat="1" x14ac:dyDescent="0.25">
      <c r="A22" s="51" t="s">
        <v>171</v>
      </c>
      <c r="B22" s="52">
        <v>2.33</v>
      </c>
      <c r="C22" s="52">
        <v>15.9</v>
      </c>
      <c r="D22" s="52">
        <v>18.23</v>
      </c>
      <c r="E22" s="52">
        <v>3.82</v>
      </c>
      <c r="F22" s="52">
        <v>8.83</v>
      </c>
      <c r="G22" s="54" t="s">
        <v>8</v>
      </c>
      <c r="H22" s="54" t="s">
        <v>8</v>
      </c>
      <c r="I22" s="52">
        <v>0.31</v>
      </c>
      <c r="J22" s="52">
        <v>2.2200000000000002</v>
      </c>
      <c r="K22" s="52">
        <v>104.9</v>
      </c>
      <c r="L22" s="52">
        <v>27.96</v>
      </c>
      <c r="M22" s="52">
        <v>63.1</v>
      </c>
      <c r="N22" s="52">
        <v>805.2</v>
      </c>
      <c r="O22" s="52">
        <v>0</v>
      </c>
      <c r="P22" s="52">
        <v>0.33</v>
      </c>
      <c r="Q22" s="52">
        <v>3.68</v>
      </c>
      <c r="R22" s="44"/>
      <c r="S22" s="44"/>
      <c r="T22" s="44"/>
      <c r="U22" s="44"/>
    </row>
    <row r="23" spans="1:21" s="12" customFormat="1" x14ac:dyDescent="0.25">
      <c r="A23" s="51" t="s">
        <v>172</v>
      </c>
      <c r="B23" s="52">
        <v>2.88</v>
      </c>
      <c r="C23" s="52">
        <v>14.48</v>
      </c>
      <c r="D23" s="52">
        <v>16.36</v>
      </c>
      <c r="E23" s="52">
        <v>3.97</v>
      </c>
      <c r="F23" s="52">
        <v>9.35</v>
      </c>
      <c r="G23" s="54" t="s">
        <v>8</v>
      </c>
      <c r="H23" s="54" t="s">
        <v>8</v>
      </c>
      <c r="I23" s="52">
        <v>0.28999999999999998</v>
      </c>
      <c r="J23" s="52">
        <v>1.37</v>
      </c>
      <c r="K23" s="52">
        <v>100.85</v>
      </c>
      <c r="L23" s="52">
        <v>28.76</v>
      </c>
      <c r="M23" s="52">
        <v>60.34</v>
      </c>
      <c r="N23" s="52">
        <v>612.4</v>
      </c>
      <c r="O23" s="52">
        <v>0</v>
      </c>
      <c r="P23" s="52">
        <v>0.38</v>
      </c>
      <c r="Q23" s="52">
        <v>19.48</v>
      </c>
      <c r="R23" s="44"/>
      <c r="S23" s="44"/>
      <c r="T23" s="44"/>
      <c r="U23" s="44"/>
    </row>
    <row r="24" spans="1:21" s="12" customFormat="1" x14ac:dyDescent="0.25">
      <c r="A24" s="51" t="s">
        <v>173</v>
      </c>
      <c r="B24" s="52">
        <v>3.64</v>
      </c>
      <c r="C24" s="52">
        <v>15.13</v>
      </c>
      <c r="D24" s="52">
        <v>17.510000000000002</v>
      </c>
      <c r="E24" s="52">
        <v>4.2699999999999996</v>
      </c>
      <c r="F24" s="52">
        <v>10.53</v>
      </c>
      <c r="G24" s="54" t="s">
        <v>8</v>
      </c>
      <c r="H24" s="52">
        <v>12.89</v>
      </c>
      <c r="I24" s="52">
        <v>0.33</v>
      </c>
      <c r="J24" s="52">
        <v>1.67</v>
      </c>
      <c r="K24" s="52">
        <v>101.94</v>
      </c>
      <c r="L24" s="52">
        <v>27.66</v>
      </c>
      <c r="M24" s="52">
        <v>61.81</v>
      </c>
      <c r="N24" s="52">
        <v>155</v>
      </c>
      <c r="O24" s="52">
        <v>0</v>
      </c>
      <c r="P24" s="52">
        <v>0.41</v>
      </c>
      <c r="Q24" s="52">
        <v>30.82</v>
      </c>
      <c r="R24" s="44"/>
      <c r="S24" s="44"/>
      <c r="T24" s="44"/>
      <c r="U24" s="44"/>
    </row>
    <row r="25" spans="1:21" s="12" customFormat="1" x14ac:dyDescent="0.25">
      <c r="A25" s="51" t="s">
        <v>174</v>
      </c>
      <c r="B25" s="52">
        <v>3.62</v>
      </c>
      <c r="C25" s="52">
        <v>17.73</v>
      </c>
      <c r="D25" s="52">
        <v>21.34</v>
      </c>
      <c r="E25" s="52">
        <v>2.5</v>
      </c>
      <c r="F25" s="52">
        <v>10.9</v>
      </c>
      <c r="G25" s="54" t="s">
        <v>8</v>
      </c>
      <c r="H25" s="52">
        <v>23.2</v>
      </c>
      <c r="I25" s="52">
        <v>0.32</v>
      </c>
      <c r="J25" s="52">
        <v>2.59</v>
      </c>
      <c r="K25" s="52">
        <v>102.93</v>
      </c>
      <c r="L25" s="52">
        <v>26.82</v>
      </c>
      <c r="M25" s="52">
        <v>74.349999999999994</v>
      </c>
      <c r="N25" s="52">
        <v>255.1</v>
      </c>
      <c r="O25" s="52">
        <v>0.4</v>
      </c>
      <c r="P25" s="52">
        <v>0.44</v>
      </c>
      <c r="Q25" s="52">
        <v>33.200000000000003</v>
      </c>
      <c r="R25" s="44"/>
      <c r="S25" s="44"/>
      <c r="T25" s="44"/>
      <c r="U25" s="44"/>
    </row>
    <row r="26" spans="1:21" s="12" customFormat="1" x14ac:dyDescent="0.25">
      <c r="A26" s="51" t="s">
        <v>175</v>
      </c>
      <c r="B26" s="52">
        <v>4.05</v>
      </c>
      <c r="C26" s="52">
        <v>23.62</v>
      </c>
      <c r="D26" s="52">
        <v>27.43</v>
      </c>
      <c r="E26" s="52">
        <v>2.75</v>
      </c>
      <c r="F26" s="52">
        <v>6.99</v>
      </c>
      <c r="G26" s="54" t="s">
        <v>8</v>
      </c>
      <c r="H26" s="52">
        <v>16.309999999999999</v>
      </c>
      <c r="I26" s="52">
        <v>0.34</v>
      </c>
      <c r="J26" s="52">
        <v>0.51</v>
      </c>
      <c r="K26" s="52">
        <v>85.51</v>
      </c>
      <c r="L26" s="52">
        <v>26.1</v>
      </c>
      <c r="M26" s="52">
        <v>78.66</v>
      </c>
      <c r="N26" s="52">
        <v>92.6</v>
      </c>
      <c r="O26" s="52">
        <v>0</v>
      </c>
      <c r="P26" s="52">
        <v>0.71</v>
      </c>
      <c r="Q26" s="52">
        <v>2.4700000000000002</v>
      </c>
      <c r="R26" s="44"/>
      <c r="S26" s="44"/>
      <c r="T26" s="44"/>
      <c r="U26" s="44"/>
    </row>
    <row r="27" spans="1:21" s="12" customFormat="1" x14ac:dyDescent="0.25">
      <c r="A27" s="51" t="s">
        <v>176</v>
      </c>
      <c r="B27" s="52">
        <v>16.190000000000001</v>
      </c>
      <c r="C27" s="52">
        <v>45.25</v>
      </c>
      <c r="D27" s="52">
        <v>59.01</v>
      </c>
      <c r="E27" s="52">
        <v>3.38</v>
      </c>
      <c r="F27" s="52">
        <v>6.63</v>
      </c>
      <c r="G27" s="54" t="s">
        <v>8</v>
      </c>
      <c r="H27" s="52">
        <v>12.97</v>
      </c>
      <c r="I27" s="52">
        <v>0.65</v>
      </c>
      <c r="J27" s="52">
        <v>0.63</v>
      </c>
      <c r="K27" s="52">
        <v>86.98</v>
      </c>
      <c r="L27" s="52">
        <v>25.54</v>
      </c>
      <c r="M27" s="52">
        <v>80.56</v>
      </c>
      <c r="N27" s="52">
        <v>22.2</v>
      </c>
      <c r="O27" s="52">
        <v>0</v>
      </c>
      <c r="P27" s="52">
        <v>1.31</v>
      </c>
      <c r="Q27" s="52">
        <v>10.94</v>
      </c>
      <c r="R27" s="44"/>
      <c r="S27" s="44"/>
      <c r="T27" s="44"/>
      <c r="U27" s="44"/>
    </row>
    <row r="28" spans="1:21" s="12" customFormat="1" x14ac:dyDescent="0.25">
      <c r="A28" s="51" t="s">
        <v>177</v>
      </c>
      <c r="B28" s="52">
        <v>15.36</v>
      </c>
      <c r="C28" s="52">
        <v>40.880000000000003</v>
      </c>
      <c r="D28" s="52">
        <v>56.24</v>
      </c>
      <c r="E28" s="52">
        <v>3.63</v>
      </c>
      <c r="F28" s="52">
        <v>6.26</v>
      </c>
      <c r="G28" s="54" t="s">
        <v>8</v>
      </c>
      <c r="H28" s="52">
        <v>14.1</v>
      </c>
      <c r="I28" s="52">
        <v>0.87</v>
      </c>
      <c r="J28" s="52">
        <v>0.46</v>
      </c>
      <c r="K28" s="52">
        <v>83.94</v>
      </c>
      <c r="L28" s="52">
        <v>25.32</v>
      </c>
      <c r="M28" s="52">
        <v>81.05</v>
      </c>
      <c r="N28" s="52">
        <v>21.7</v>
      </c>
      <c r="O28" s="52">
        <v>0</v>
      </c>
      <c r="P28" s="52">
        <v>1.39</v>
      </c>
      <c r="Q28" s="52">
        <v>18.940000000000001</v>
      </c>
      <c r="R28" s="44"/>
      <c r="S28" s="44"/>
      <c r="T28" s="44"/>
      <c r="U28" s="44"/>
    </row>
    <row r="29" spans="1:21" s="12" customFormat="1" x14ac:dyDescent="0.25">
      <c r="A29" s="51" t="s">
        <v>178</v>
      </c>
      <c r="B29" s="52">
        <v>12.81</v>
      </c>
      <c r="C29" s="52">
        <v>31.67</v>
      </c>
      <c r="D29" s="52">
        <v>44.48</v>
      </c>
      <c r="E29" s="52">
        <v>4.8099999999999996</v>
      </c>
      <c r="F29" s="52">
        <v>5.97</v>
      </c>
      <c r="G29" s="54" t="s">
        <v>8</v>
      </c>
      <c r="H29" s="52">
        <v>13.85</v>
      </c>
      <c r="I29" s="52">
        <v>0.88</v>
      </c>
      <c r="J29" s="52">
        <v>1.25</v>
      </c>
      <c r="K29" s="52">
        <v>108.57</v>
      </c>
      <c r="L29" s="52">
        <v>25.15</v>
      </c>
      <c r="M29" s="52">
        <v>81.760000000000005</v>
      </c>
      <c r="N29" s="52">
        <v>21.5</v>
      </c>
      <c r="O29" s="52">
        <v>0</v>
      </c>
      <c r="P29" s="52">
        <v>1.18</v>
      </c>
      <c r="Q29" s="52">
        <v>20.89</v>
      </c>
      <c r="R29" s="44"/>
      <c r="S29" s="44"/>
      <c r="T29" s="44"/>
      <c r="U29" s="44"/>
    </row>
    <row r="30" spans="1:21" s="12" customFormat="1" x14ac:dyDescent="0.25">
      <c r="A30" s="51" t="s">
        <v>179</v>
      </c>
      <c r="B30" s="52">
        <v>10.08</v>
      </c>
      <c r="C30" s="52">
        <v>22.84</v>
      </c>
      <c r="D30" s="52">
        <v>32.92</v>
      </c>
      <c r="E30" s="52">
        <v>4.7300000000000004</v>
      </c>
      <c r="F30" s="52">
        <v>5.62</v>
      </c>
      <c r="G30" s="54" t="s">
        <v>8</v>
      </c>
      <c r="H30" s="52">
        <v>11.03</v>
      </c>
      <c r="I30" s="52">
        <v>0.84</v>
      </c>
      <c r="J30" s="52">
        <v>1.87</v>
      </c>
      <c r="K30" s="52">
        <v>110.85</v>
      </c>
      <c r="L30" s="52">
        <v>24.88</v>
      </c>
      <c r="M30" s="52">
        <v>82.44</v>
      </c>
      <c r="N30" s="52">
        <v>21.7</v>
      </c>
      <c r="O30" s="52">
        <v>0</v>
      </c>
      <c r="P30" s="52">
        <v>1.1000000000000001</v>
      </c>
      <c r="Q30" s="52">
        <v>28.72</v>
      </c>
      <c r="R30" s="44"/>
      <c r="S30" s="44"/>
      <c r="T30" s="44"/>
      <c r="U30" s="44"/>
    </row>
    <row r="31" spans="1:21" s="12" customFormat="1" x14ac:dyDescent="0.25">
      <c r="A31" s="51" t="s">
        <v>180</v>
      </c>
      <c r="B31" s="52">
        <v>8.3800000000000008</v>
      </c>
      <c r="C31" s="52">
        <v>19.84</v>
      </c>
      <c r="D31" s="52">
        <v>28.22</v>
      </c>
      <c r="E31" s="52">
        <v>4.97</v>
      </c>
      <c r="F31" s="52">
        <v>5.54</v>
      </c>
      <c r="G31" s="54" t="s">
        <v>8</v>
      </c>
      <c r="H31" s="52">
        <v>10.66</v>
      </c>
      <c r="I31" s="52">
        <v>0.81</v>
      </c>
      <c r="J31" s="52">
        <v>2</v>
      </c>
      <c r="K31" s="52">
        <v>104.13</v>
      </c>
      <c r="L31" s="52">
        <v>24.63</v>
      </c>
      <c r="M31" s="52">
        <v>80.959999999999994</v>
      </c>
      <c r="N31" s="52">
        <v>21.9</v>
      </c>
      <c r="O31" s="52">
        <v>0</v>
      </c>
      <c r="P31" s="52">
        <v>0.97</v>
      </c>
      <c r="Q31" s="52">
        <v>38.49</v>
      </c>
      <c r="R31" s="44"/>
      <c r="S31" s="44"/>
      <c r="T31" s="44"/>
      <c r="U31" s="44"/>
    </row>
    <row r="32" spans="1:21" s="12" customFormat="1" x14ac:dyDescent="0.25">
      <c r="A32" s="51" t="s">
        <v>181</v>
      </c>
      <c r="B32" s="52">
        <v>6.73</v>
      </c>
      <c r="C32" s="52">
        <v>17.309999999999999</v>
      </c>
      <c r="D32" s="52">
        <v>24.03</v>
      </c>
      <c r="E32" s="52">
        <v>4.82</v>
      </c>
      <c r="F32" s="52">
        <v>5.75</v>
      </c>
      <c r="G32" s="54" t="s">
        <v>8</v>
      </c>
      <c r="H32" s="52">
        <v>10.95</v>
      </c>
      <c r="I32" s="52">
        <v>0.68</v>
      </c>
      <c r="J32" s="52">
        <v>1.83</v>
      </c>
      <c r="K32" s="52">
        <v>105.33</v>
      </c>
      <c r="L32" s="52">
        <v>24.4</v>
      </c>
      <c r="M32" s="52">
        <v>81.150000000000006</v>
      </c>
      <c r="N32" s="52">
        <v>21.9</v>
      </c>
      <c r="O32" s="52">
        <v>0</v>
      </c>
      <c r="P32" s="52">
        <v>0.8</v>
      </c>
      <c r="Q32" s="52">
        <v>39.380000000000003</v>
      </c>
      <c r="R32" s="44"/>
      <c r="S32" s="44"/>
      <c r="T32" s="44"/>
      <c r="U32" s="44"/>
    </row>
    <row r="33" spans="1:21" s="22" customFormat="1" x14ac:dyDescent="0.25">
      <c r="A33" s="27"/>
      <c r="B33" s="21"/>
      <c r="C33" s="21"/>
      <c r="D33" s="21"/>
      <c r="E33" s="21"/>
      <c r="F33" s="21"/>
      <c r="G33" s="27"/>
      <c r="H33" s="27"/>
      <c r="I33" s="27"/>
      <c r="J33" s="21"/>
      <c r="K33" s="21"/>
      <c r="L33" s="27"/>
      <c r="M33" s="27"/>
      <c r="N33" s="27"/>
      <c r="O33" s="27"/>
      <c r="P33" s="27"/>
      <c r="Q33" s="21"/>
      <c r="R33" s="21"/>
      <c r="S33" s="21"/>
      <c r="T33" s="21"/>
      <c r="U33" s="21"/>
    </row>
    <row r="34" spans="1:21" s="22" customFormat="1" x14ac:dyDescent="0.25">
      <c r="A34" s="28" t="s">
        <v>30</v>
      </c>
      <c r="B34" s="29">
        <f t="shared" ref="B34:Q34" si="0">MIN(B9:B32)</f>
        <v>2.33</v>
      </c>
      <c r="C34" s="29">
        <f t="shared" si="0"/>
        <v>14.48</v>
      </c>
      <c r="D34" s="29">
        <f t="shared" si="0"/>
        <v>16.36</v>
      </c>
      <c r="E34" s="29">
        <f t="shared" si="0"/>
        <v>2.5</v>
      </c>
      <c r="F34" s="29">
        <f t="shared" si="0"/>
        <v>5.5</v>
      </c>
      <c r="G34" s="29">
        <f t="shared" si="0"/>
        <v>0</v>
      </c>
      <c r="H34" s="29">
        <f t="shared" si="0"/>
        <v>4.45</v>
      </c>
      <c r="I34" s="29">
        <f t="shared" si="0"/>
        <v>0.28999999999999998</v>
      </c>
      <c r="J34" s="29">
        <f t="shared" si="0"/>
        <v>0.46</v>
      </c>
      <c r="K34" s="29">
        <f t="shared" si="0"/>
        <v>83.94</v>
      </c>
      <c r="L34" s="29">
        <f t="shared" si="0"/>
        <v>22.78</v>
      </c>
      <c r="M34" s="29">
        <f t="shared" si="0"/>
        <v>60.34</v>
      </c>
      <c r="N34" s="29">
        <f t="shared" si="0"/>
        <v>21.5</v>
      </c>
      <c r="O34" s="29">
        <f t="shared" si="0"/>
        <v>0</v>
      </c>
      <c r="P34" s="29">
        <f t="shared" si="0"/>
        <v>0.33</v>
      </c>
      <c r="Q34" s="29">
        <f t="shared" si="0"/>
        <v>2.4700000000000002</v>
      </c>
      <c r="R34" s="29"/>
      <c r="S34" s="29"/>
      <c r="T34" s="29"/>
      <c r="U34" s="29"/>
    </row>
    <row r="35" spans="1:21" s="22" customFormat="1" x14ac:dyDescent="0.25">
      <c r="A35" s="28" t="s">
        <v>31</v>
      </c>
      <c r="B35" s="30">
        <f t="shared" ref="B35:Q35" si="1">MAX(B9:B32)</f>
        <v>16.190000000000001</v>
      </c>
      <c r="C35" s="30">
        <f t="shared" si="1"/>
        <v>45.25</v>
      </c>
      <c r="D35" s="30">
        <f t="shared" si="1"/>
        <v>59.01</v>
      </c>
      <c r="E35" s="30">
        <f t="shared" si="1"/>
        <v>9.33</v>
      </c>
      <c r="F35" s="30">
        <f t="shared" si="1"/>
        <v>10.9</v>
      </c>
      <c r="G35" s="30">
        <f t="shared" si="1"/>
        <v>0</v>
      </c>
      <c r="H35" s="30">
        <f t="shared" si="1"/>
        <v>23.2</v>
      </c>
      <c r="I35" s="30">
        <f t="shared" si="1"/>
        <v>0.88</v>
      </c>
      <c r="J35" s="30">
        <f t="shared" si="1"/>
        <v>2.59</v>
      </c>
      <c r="K35" s="30">
        <f t="shared" si="1"/>
        <v>112.2</v>
      </c>
      <c r="L35" s="30">
        <f t="shared" si="1"/>
        <v>28.76</v>
      </c>
      <c r="M35" s="30">
        <f t="shared" si="1"/>
        <v>89.47</v>
      </c>
      <c r="N35" s="30">
        <f t="shared" si="1"/>
        <v>805.2</v>
      </c>
      <c r="O35" s="30">
        <f t="shared" si="1"/>
        <v>0.4</v>
      </c>
      <c r="P35" s="30">
        <f t="shared" si="1"/>
        <v>1.39</v>
      </c>
      <c r="Q35" s="30">
        <f t="shared" si="1"/>
        <v>54.13</v>
      </c>
      <c r="R35" s="30"/>
      <c r="S35" s="30"/>
      <c r="T35" s="30"/>
      <c r="U35" s="30"/>
    </row>
    <row r="36" spans="1:21" s="22" customFormat="1" x14ac:dyDescent="0.25">
      <c r="A36" s="28" t="s">
        <v>32</v>
      </c>
      <c r="B36" s="29">
        <f t="shared" ref="B36:Q36" si="2">AVERAGE(B9:B32)</f>
        <v>6.2616666666666667</v>
      </c>
      <c r="C36" s="29">
        <f t="shared" si="2"/>
        <v>21.125</v>
      </c>
      <c r="D36" s="29">
        <f t="shared" si="2"/>
        <v>27.077916666666667</v>
      </c>
      <c r="E36" s="29">
        <f t="shared" si="2"/>
        <v>4.8049999999999997</v>
      </c>
      <c r="F36" s="29">
        <f t="shared" si="2"/>
        <v>6.907916666666666</v>
      </c>
      <c r="G36" s="29" t="e">
        <f t="shared" si="2"/>
        <v>#DIV/0!</v>
      </c>
      <c r="H36" s="29">
        <f t="shared" si="2"/>
        <v>11.255909090909089</v>
      </c>
      <c r="I36" s="29">
        <f t="shared" si="2"/>
        <v>0.56083333333333341</v>
      </c>
      <c r="J36" s="29">
        <f t="shared" si="2"/>
        <v>1.6166666666666663</v>
      </c>
      <c r="K36" s="29">
        <f t="shared" si="2"/>
        <v>102.33999999999999</v>
      </c>
      <c r="L36" s="29">
        <f t="shared" si="2"/>
        <v>25.210416666666664</v>
      </c>
      <c r="M36" s="29">
        <f t="shared" si="2"/>
        <v>78.831666666666663</v>
      </c>
      <c r="N36" s="29">
        <f t="shared" si="2"/>
        <v>253.25416666666663</v>
      </c>
      <c r="O36" s="29">
        <f t="shared" si="2"/>
        <v>1.6666666666666666E-2</v>
      </c>
      <c r="P36" s="29">
        <f t="shared" si="2"/>
        <v>0.66583333333333339</v>
      </c>
      <c r="Q36" s="29">
        <f t="shared" si="2"/>
        <v>27.082916666666673</v>
      </c>
      <c r="R36" s="29"/>
      <c r="S36" s="29"/>
      <c r="T36" s="29"/>
      <c r="U36" s="29"/>
    </row>
    <row r="37" spans="1:21" s="22" customFormat="1" x14ac:dyDescent="0.25">
      <c r="A37" s="28" t="s">
        <v>38</v>
      </c>
      <c r="B37" s="29">
        <f>STDEV(B9:B32)</f>
        <v>4.010364470768935</v>
      </c>
      <c r="C37" s="29">
        <f t="shared" ref="C37:Q37" si="3">STDEV(C9:C32)</f>
        <v>8.0651838977389616</v>
      </c>
      <c r="D37" s="29">
        <f t="shared" si="3"/>
        <v>11.7017631444328</v>
      </c>
      <c r="E37" s="29">
        <f t="shared" si="3"/>
        <v>1.3677846258123729</v>
      </c>
      <c r="F37" s="29">
        <f t="shared" si="3"/>
        <v>1.556014918802594</v>
      </c>
      <c r="G37" s="29" t="e">
        <f t="shared" si="3"/>
        <v>#DIV/0!</v>
      </c>
      <c r="H37" s="29">
        <f t="shared" si="3"/>
        <v>3.8006486402428847</v>
      </c>
      <c r="I37" s="29">
        <f t="shared" si="3"/>
        <v>0.21709378191216711</v>
      </c>
      <c r="J37" s="29">
        <f t="shared" si="3"/>
        <v>0.62699189833658275</v>
      </c>
      <c r="K37" s="29">
        <f t="shared" si="3"/>
        <v>7.5935063791660022</v>
      </c>
      <c r="L37" s="29">
        <f t="shared" si="3"/>
        <v>1.8477776997074702</v>
      </c>
      <c r="M37" s="29">
        <f t="shared" si="3"/>
        <v>9.7222070614098648</v>
      </c>
      <c r="N37" s="29">
        <f t="shared" si="3"/>
        <v>304.26687081826077</v>
      </c>
      <c r="O37" s="29">
        <f t="shared" si="3"/>
        <v>8.1649658092772623E-2</v>
      </c>
      <c r="P37" s="29">
        <f t="shared" si="3"/>
        <v>0.33620538063959415</v>
      </c>
      <c r="Q37" s="29">
        <f t="shared" si="3"/>
        <v>14.611211740115627</v>
      </c>
      <c r="R37" s="29"/>
      <c r="S37" s="29"/>
      <c r="T37" s="29"/>
      <c r="U37" s="29"/>
    </row>
    <row r="38" spans="1:21" s="22" customFormat="1" x14ac:dyDescent="0.25">
      <c r="A38" s="32" t="s">
        <v>33</v>
      </c>
      <c r="B38" s="33">
        <f t="shared" ref="B38:Q38" si="4">COUNT(B9:B32)</f>
        <v>24</v>
      </c>
      <c r="C38" s="33">
        <f t="shared" si="4"/>
        <v>24</v>
      </c>
      <c r="D38" s="33">
        <f t="shared" si="4"/>
        <v>24</v>
      </c>
      <c r="E38" s="33">
        <f t="shared" si="4"/>
        <v>24</v>
      </c>
      <c r="F38" s="33">
        <f t="shared" si="4"/>
        <v>24</v>
      </c>
      <c r="G38" s="33">
        <f>COUNT(G9:G32)+24</f>
        <v>24</v>
      </c>
      <c r="H38" s="33">
        <f>COUNT(H9:H32)+2</f>
        <v>24</v>
      </c>
      <c r="I38" s="33">
        <f t="shared" si="4"/>
        <v>24</v>
      </c>
      <c r="J38" s="33">
        <f t="shared" si="4"/>
        <v>24</v>
      </c>
      <c r="K38" s="33">
        <f t="shared" si="4"/>
        <v>24</v>
      </c>
      <c r="L38" s="33">
        <f t="shared" si="4"/>
        <v>24</v>
      </c>
      <c r="M38" s="33">
        <f t="shared" si="4"/>
        <v>24</v>
      </c>
      <c r="N38" s="33">
        <f t="shared" si="4"/>
        <v>24</v>
      </c>
      <c r="O38" s="33">
        <f t="shared" si="4"/>
        <v>24</v>
      </c>
      <c r="P38" s="33">
        <f t="shared" si="4"/>
        <v>24</v>
      </c>
      <c r="Q38" s="33">
        <f t="shared" si="4"/>
        <v>24</v>
      </c>
      <c r="R38" s="33"/>
      <c r="S38" s="33"/>
      <c r="T38" s="33"/>
      <c r="U38" s="33"/>
    </row>
    <row r="39" spans="1:21" s="22" customFormat="1" x14ac:dyDescent="0.25">
      <c r="A39" s="28" t="s">
        <v>34</v>
      </c>
      <c r="B39" s="30" t="str">
        <f>IF(B38&gt;=22,"&gt;90%",IF(B38&lt;=22,"&lt;90%"))</f>
        <v>&gt;90%</v>
      </c>
      <c r="C39" s="30" t="str">
        <f t="shared" ref="C39:P39" si="5">IF(C38&gt;=22,"&gt;90%",IF(C38&lt;=22,"&lt;90%"))</f>
        <v>&gt;90%</v>
      </c>
      <c r="D39" s="30" t="str">
        <f t="shared" si="5"/>
        <v>&gt;90%</v>
      </c>
      <c r="E39" s="30" t="str">
        <f t="shared" si="5"/>
        <v>&gt;90%</v>
      </c>
      <c r="F39" s="30" t="str">
        <f t="shared" si="5"/>
        <v>&gt;90%</v>
      </c>
      <c r="G39" s="30" t="str">
        <f t="shared" si="5"/>
        <v>&gt;90%</v>
      </c>
      <c r="H39" s="30" t="str">
        <f t="shared" si="5"/>
        <v>&gt;90%</v>
      </c>
      <c r="I39" s="30" t="str">
        <f t="shared" si="5"/>
        <v>&gt;90%</v>
      </c>
      <c r="J39" s="30" t="str">
        <f t="shared" si="5"/>
        <v>&gt;90%</v>
      </c>
      <c r="K39" s="30" t="str">
        <f t="shared" si="5"/>
        <v>&gt;90%</v>
      </c>
      <c r="L39" s="30" t="str">
        <f t="shared" si="5"/>
        <v>&gt;90%</v>
      </c>
      <c r="M39" s="30" t="str">
        <f t="shared" si="5"/>
        <v>&gt;90%</v>
      </c>
      <c r="N39" s="30" t="str">
        <f t="shared" si="5"/>
        <v>&gt;90%</v>
      </c>
      <c r="O39" s="30" t="str">
        <f t="shared" si="5"/>
        <v>&gt;90%</v>
      </c>
      <c r="P39" s="30" t="str">
        <f t="shared" si="5"/>
        <v>&gt;90%</v>
      </c>
      <c r="Q39" s="30" t="str">
        <f>IF(Q38&gt;=22,"&gt;90%",IF(Q38&lt;=22,"&lt;90%"))</f>
        <v>&gt;90%</v>
      </c>
      <c r="R39" s="30"/>
      <c r="S39" s="30"/>
      <c r="T39" s="30"/>
      <c r="U39" s="30"/>
    </row>
    <row r="40" spans="1:21" s="22" customFormat="1" x14ac:dyDescent="0.25">
      <c r="A40" s="28" t="s">
        <v>1</v>
      </c>
      <c r="B40" s="30" t="str">
        <f>IF(B38&gt;=22,"OK",IF(B38&lt;=22,"LESS"))</f>
        <v>OK</v>
      </c>
      <c r="C40" s="30" t="str">
        <f t="shared" ref="C40:Q40" si="6">IF(C38&gt;=22,"OK",IF(C38&lt;=22,"LESS"))</f>
        <v>OK</v>
      </c>
      <c r="D40" s="30" t="str">
        <f t="shared" si="6"/>
        <v>OK</v>
      </c>
      <c r="E40" s="30" t="str">
        <f t="shared" si="6"/>
        <v>OK</v>
      </c>
      <c r="F40" s="30" t="str">
        <f t="shared" si="6"/>
        <v>OK</v>
      </c>
      <c r="G40" s="30" t="str">
        <f t="shared" si="6"/>
        <v>OK</v>
      </c>
      <c r="H40" s="30" t="str">
        <f t="shared" si="6"/>
        <v>OK</v>
      </c>
      <c r="I40" s="30" t="str">
        <f t="shared" si="6"/>
        <v>OK</v>
      </c>
      <c r="J40" s="30" t="str">
        <f t="shared" si="6"/>
        <v>OK</v>
      </c>
      <c r="K40" s="30" t="str">
        <f t="shared" si="6"/>
        <v>OK</v>
      </c>
      <c r="L40" s="30" t="str">
        <f t="shared" si="6"/>
        <v>OK</v>
      </c>
      <c r="M40" s="30" t="str">
        <f t="shared" si="6"/>
        <v>OK</v>
      </c>
      <c r="N40" s="30" t="str">
        <f t="shared" si="6"/>
        <v>OK</v>
      </c>
      <c r="O40" s="30" t="str">
        <f t="shared" si="6"/>
        <v>OK</v>
      </c>
      <c r="P40" s="30" t="str">
        <f t="shared" si="6"/>
        <v>OK</v>
      </c>
      <c r="Q40" s="30" t="str">
        <f t="shared" si="6"/>
        <v>OK</v>
      </c>
      <c r="R40" s="30"/>
      <c r="S40" s="30"/>
      <c r="T40" s="30"/>
      <c r="U40" s="30"/>
    </row>
    <row r="41" spans="1:21" s="22" customFormat="1" x14ac:dyDescent="0.25">
      <c r="A41" s="14"/>
      <c r="L41" s="14"/>
      <c r="N41" s="17"/>
      <c r="O41" s="17"/>
      <c r="P41" s="17"/>
      <c r="Q41" s="17"/>
      <c r="R41" s="17"/>
      <c r="S41" s="17"/>
      <c r="T41" s="17"/>
      <c r="U41" s="17"/>
    </row>
    <row r="42" spans="1:21" s="22" customFormat="1" x14ac:dyDescent="0.25">
      <c r="A42" s="14"/>
    </row>
    <row r="43" spans="1:21" s="22" customFormat="1" x14ac:dyDescent="0.25">
      <c r="A43" s="15" t="s">
        <v>35</v>
      </c>
      <c r="B43" s="41" t="s">
        <v>42</v>
      </c>
      <c r="C43" s="43"/>
    </row>
    <row r="44" spans="1:21" s="22" customFormat="1" x14ac:dyDescent="0.25">
      <c r="A44" s="14"/>
      <c r="D44" s="2"/>
      <c r="E44" s="2"/>
      <c r="F44" s="2"/>
      <c r="G44" s="2"/>
      <c r="H44" s="2"/>
      <c r="I44" s="2"/>
    </row>
    <row r="45" spans="1:21" s="22" customFormat="1" ht="15.75" x14ac:dyDescent="0.25">
      <c r="A45" s="18" t="s">
        <v>36</v>
      </c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</row>
    <row r="46" spans="1:21" s="22" customFormat="1" x14ac:dyDescent="0.25"/>
    <row r="47" spans="1:21" s="22" customFormat="1" x14ac:dyDescent="0.25"/>
    <row r="48" spans="1:21" s="22" customFormat="1" x14ac:dyDescent="0.25"/>
    <row r="49" s="22" customFormat="1" x14ac:dyDescent="0.25"/>
    <row r="50" s="22" customFormat="1" x14ac:dyDescent="0.25"/>
    <row r="51" s="22" customFormat="1" x14ac:dyDescent="0.25"/>
    <row r="52" s="22" customFormat="1" x14ac:dyDescent="0.25"/>
    <row r="53" s="22" customFormat="1" x14ac:dyDescent="0.25"/>
    <row r="54" s="22" customFormat="1" x14ac:dyDescent="0.25"/>
    <row r="55" s="22" customFormat="1" x14ac:dyDescent="0.25"/>
    <row r="56" s="22" customFormat="1" x14ac:dyDescent="0.25"/>
    <row r="57" s="22" customFormat="1" x14ac:dyDescent="0.25"/>
    <row r="58" s="22" customFormat="1" x14ac:dyDescent="0.25"/>
    <row r="59" s="22" customFormat="1" x14ac:dyDescent="0.25"/>
    <row r="60" s="22" customFormat="1" x14ac:dyDescent="0.25"/>
    <row r="61" s="22" customFormat="1" x14ac:dyDescent="0.25"/>
    <row r="62" s="22" customFormat="1" x14ac:dyDescent="0.25"/>
    <row r="63" s="22" customFormat="1" x14ac:dyDescent="0.25"/>
    <row r="64" s="22" customFormat="1" x14ac:dyDescent="0.25"/>
    <row r="65" s="22" customFormat="1" x14ac:dyDescent="0.25"/>
    <row r="66" s="22" customFormat="1" x14ac:dyDescent="0.25"/>
    <row r="67" s="22" customFormat="1" x14ac:dyDescent="0.25"/>
    <row r="68" s="22" customFormat="1" x14ac:dyDescent="0.25"/>
    <row r="69" s="22" customFormat="1" x14ac:dyDescent="0.25"/>
    <row r="70" s="22" customFormat="1" x14ac:dyDescent="0.25"/>
    <row r="71" s="22" customFormat="1" x14ac:dyDescent="0.25"/>
    <row r="72" s="22" customFormat="1" x14ac:dyDescent="0.25"/>
    <row r="73" s="22" customFormat="1" x14ac:dyDescent="0.25"/>
    <row r="74" s="22" customFormat="1" x14ac:dyDescent="0.25"/>
    <row r="75" s="22" customFormat="1" x14ac:dyDescent="0.25"/>
    <row r="76" s="22" customFormat="1" x14ac:dyDescent="0.25"/>
    <row r="77" s="22" customFormat="1" x14ac:dyDescent="0.25"/>
    <row r="78" s="22" customFormat="1" x14ac:dyDescent="0.25"/>
    <row r="79" s="22" customFormat="1" x14ac:dyDescent="0.25"/>
    <row r="80" s="22" customFormat="1" x14ac:dyDescent="0.25"/>
    <row r="81" s="22" customFormat="1" x14ac:dyDescent="0.25"/>
    <row r="82" s="22" customFormat="1" x14ac:dyDescent="0.25"/>
    <row r="83" s="22" customFormat="1" x14ac:dyDescent="0.25"/>
    <row r="84" s="22" customFormat="1" x14ac:dyDescent="0.25"/>
    <row r="85" s="22" customFormat="1" x14ac:dyDescent="0.25"/>
    <row r="86" s="22" customFormat="1" x14ac:dyDescent="0.25"/>
    <row r="87" s="22" customFormat="1" x14ac:dyDescent="0.25"/>
    <row r="88" s="22" customFormat="1" x14ac:dyDescent="0.25"/>
    <row r="89" s="22" customFormat="1" x14ac:dyDescent="0.25"/>
    <row r="90" s="22" customFormat="1" x14ac:dyDescent="0.25"/>
    <row r="91" s="22" customFormat="1" x14ac:dyDescent="0.25"/>
    <row r="92" s="22" customFormat="1" x14ac:dyDescent="0.25"/>
    <row r="93" s="22" customFormat="1" x14ac:dyDescent="0.25"/>
    <row r="94" s="22" customFormat="1" x14ac:dyDescent="0.25"/>
    <row r="95" s="22" customFormat="1" x14ac:dyDescent="0.25"/>
    <row r="96" s="22" customFormat="1" x14ac:dyDescent="0.25"/>
    <row r="97" spans="1:1" s="22" customFormat="1" x14ac:dyDescent="0.25"/>
    <row r="98" spans="1:1" s="22" customFormat="1" x14ac:dyDescent="0.25"/>
    <row r="99" spans="1:1" s="22" customFormat="1" x14ac:dyDescent="0.25"/>
    <row r="100" spans="1:1" s="22" customFormat="1" x14ac:dyDescent="0.25"/>
    <row r="101" spans="1:1" s="22" customFormat="1" x14ac:dyDescent="0.25"/>
    <row r="102" spans="1:1" s="22" customFormat="1" x14ac:dyDescent="0.25"/>
    <row r="103" spans="1:1" s="22" customFormat="1" x14ac:dyDescent="0.25"/>
    <row r="104" spans="1:1" s="22" customFormat="1" x14ac:dyDescent="0.25"/>
    <row r="105" spans="1:1" s="22" customFormat="1" x14ac:dyDescent="0.25"/>
    <row r="106" spans="1:1" x14ac:dyDescent="0.25">
      <c r="A106" s="21"/>
    </row>
    <row r="107" spans="1:1" s="22" customFormat="1" x14ac:dyDescent="0.25"/>
    <row r="108" spans="1:1" s="22" customFormat="1" x14ac:dyDescent="0.25"/>
    <row r="109" spans="1:1" s="22" customFormat="1" x14ac:dyDescent="0.25"/>
    <row r="110" spans="1:1" s="22" customFormat="1" x14ac:dyDescent="0.25"/>
    <row r="111" spans="1:1" s="22" customFormat="1" x14ac:dyDescent="0.25"/>
    <row r="112" spans="1:1" s="22" customFormat="1" x14ac:dyDescent="0.25"/>
    <row r="113" spans="1:1" s="22" customFormat="1" x14ac:dyDescent="0.25"/>
    <row r="114" spans="1:1" s="22" customFormat="1" x14ac:dyDescent="0.25"/>
    <row r="115" spans="1:1" s="22" customFormat="1" x14ac:dyDescent="0.25"/>
    <row r="116" spans="1:1" s="22" customFormat="1" x14ac:dyDescent="0.25"/>
    <row r="117" spans="1:1" s="22" customFormat="1" x14ac:dyDescent="0.25"/>
    <row r="118" spans="1:1" x14ac:dyDescent="0.25">
      <c r="A118" s="21"/>
    </row>
    <row r="119" spans="1:1" x14ac:dyDescent="0.25">
      <c r="A119" s="21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2" ySplit="8" topLeftCell="C24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H16" sqref="H16:H19"/>
    </sheetView>
  </sheetViews>
  <sheetFormatPr defaultColWidth="8.85546875" defaultRowHeight="15" x14ac:dyDescent="0.25"/>
  <cols>
    <col min="1" max="1" width="18.28515625" style="27" customWidth="1"/>
    <col min="2" max="2" width="11" style="21" customWidth="1"/>
    <col min="3" max="12" width="9.140625" style="21" customWidth="1"/>
    <col min="13" max="13" width="10" style="21" customWidth="1"/>
    <col min="14" max="19" width="9.140625" style="21" customWidth="1"/>
    <col min="20" max="20" width="11.42578125" style="21" customWidth="1"/>
    <col min="21" max="16384" width="8.85546875" style="21"/>
  </cols>
  <sheetData>
    <row r="1" spans="1:21" s="22" customFormat="1" ht="39" x14ac:dyDescent="0.25">
      <c r="A1" s="15" t="s">
        <v>2</v>
      </c>
      <c r="B1" s="24" t="s">
        <v>43</v>
      </c>
      <c r="C1" s="38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s="22" customFormat="1" x14ac:dyDescent="0.25">
      <c r="A2" s="15" t="s">
        <v>0</v>
      </c>
      <c r="B2" s="39" t="str">
        <f>$A$9</f>
        <v>06-10-2022 01:00</v>
      </c>
      <c r="C2" s="12"/>
      <c r="D2" s="11" t="s">
        <v>3</v>
      </c>
      <c r="E2" s="11"/>
      <c r="F2" s="11"/>
      <c r="G2" s="4" t="s">
        <v>4</v>
      </c>
      <c r="H2" s="20"/>
      <c r="I2" s="20"/>
      <c r="J2" s="20"/>
      <c r="K2" s="13"/>
      <c r="L2" s="11" t="s">
        <v>5</v>
      </c>
      <c r="M2" s="13"/>
      <c r="N2" s="8" t="s">
        <v>6</v>
      </c>
      <c r="P2" s="40" t="s">
        <v>7</v>
      </c>
      <c r="Q2" s="13"/>
      <c r="R2" s="9" t="s">
        <v>8</v>
      </c>
      <c r="S2" s="12"/>
      <c r="T2" s="12"/>
      <c r="U2" s="12"/>
    </row>
    <row r="3" spans="1:21" s="22" customFormat="1" x14ac:dyDescent="0.25">
      <c r="A3" s="15" t="s">
        <v>9</v>
      </c>
      <c r="B3" s="13" t="s">
        <v>10</v>
      </c>
      <c r="C3" s="12"/>
      <c r="D3" s="11" t="s">
        <v>11</v>
      </c>
      <c r="E3" s="11"/>
      <c r="F3" s="11"/>
      <c r="G3" s="19" t="s">
        <v>12</v>
      </c>
      <c r="H3" s="20"/>
      <c r="I3" s="20"/>
      <c r="J3" s="20"/>
      <c r="K3" s="12"/>
      <c r="L3" s="11" t="s">
        <v>13</v>
      </c>
      <c r="M3" s="13"/>
      <c r="N3" s="6" t="s">
        <v>14</v>
      </c>
      <c r="O3" s="13"/>
      <c r="P3" s="40" t="s">
        <v>15</v>
      </c>
      <c r="Q3" s="13"/>
      <c r="R3" s="10" t="s">
        <v>15</v>
      </c>
      <c r="S3" s="12"/>
      <c r="T3" s="12"/>
      <c r="U3" s="12"/>
    </row>
    <row r="4" spans="1:21" s="22" customFormat="1" x14ac:dyDescent="0.25">
      <c r="A4" s="15" t="s">
        <v>16</v>
      </c>
      <c r="B4" s="13" t="s">
        <v>39</v>
      </c>
      <c r="C4" s="12"/>
      <c r="D4" s="11" t="s">
        <v>17</v>
      </c>
      <c r="E4" s="11"/>
      <c r="F4" s="11"/>
      <c r="G4" s="5" t="s">
        <v>18</v>
      </c>
      <c r="H4" s="20"/>
      <c r="I4" s="20"/>
      <c r="J4" s="20"/>
      <c r="K4" s="3"/>
      <c r="L4" s="11" t="s">
        <v>19</v>
      </c>
      <c r="M4" s="13"/>
      <c r="N4" s="7" t="s">
        <v>20</v>
      </c>
      <c r="O4" s="13"/>
      <c r="P4" s="13"/>
      <c r="Q4" s="13"/>
      <c r="R4" s="13"/>
      <c r="S4" s="12"/>
      <c r="T4" s="12"/>
      <c r="U4" s="12"/>
    </row>
    <row r="5" spans="1:21" s="22" customFormat="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s="22" customFormat="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s="22" customFormat="1" x14ac:dyDescent="0.25">
      <c r="A7" s="15" t="s">
        <v>21</v>
      </c>
      <c r="B7" s="45" t="s">
        <v>59</v>
      </c>
      <c r="C7" s="45" t="s">
        <v>44</v>
      </c>
      <c r="D7" s="45" t="s">
        <v>45</v>
      </c>
      <c r="E7" s="45" t="s">
        <v>46</v>
      </c>
      <c r="F7" s="45" t="s">
        <v>47</v>
      </c>
      <c r="G7" s="45" t="s">
        <v>48</v>
      </c>
      <c r="H7" s="45" t="s">
        <v>49</v>
      </c>
      <c r="I7" s="45" t="s">
        <v>50</v>
      </c>
      <c r="J7" s="45" t="s">
        <v>51</v>
      </c>
      <c r="K7" s="45" t="s">
        <v>52</v>
      </c>
      <c r="L7" s="45" t="s">
        <v>53</v>
      </c>
      <c r="M7" s="45" t="s">
        <v>54</v>
      </c>
      <c r="N7" s="45" t="s">
        <v>55</v>
      </c>
      <c r="O7" s="45" t="s">
        <v>56</v>
      </c>
      <c r="P7" s="45" t="s">
        <v>57</v>
      </c>
      <c r="Q7" s="45" t="s">
        <v>58</v>
      </c>
      <c r="R7" s="28"/>
      <c r="S7" s="30"/>
      <c r="T7" s="28"/>
      <c r="U7" s="28"/>
    </row>
    <row r="8" spans="1:21" s="22" customFormat="1" x14ac:dyDescent="0.25">
      <c r="A8" s="15"/>
      <c r="B8" s="30" t="s">
        <v>22</v>
      </c>
      <c r="C8" s="30" t="s">
        <v>22</v>
      </c>
      <c r="D8" s="30" t="s">
        <v>22</v>
      </c>
      <c r="E8" s="30" t="s">
        <v>22</v>
      </c>
      <c r="F8" s="30" t="s">
        <v>22</v>
      </c>
      <c r="G8" s="30" t="s">
        <v>23</v>
      </c>
      <c r="H8" s="30" t="s">
        <v>22</v>
      </c>
      <c r="I8" s="30" t="s">
        <v>22</v>
      </c>
      <c r="J8" s="30" t="s">
        <v>24</v>
      </c>
      <c r="K8" s="30" t="s">
        <v>25</v>
      </c>
      <c r="L8" s="28" t="s">
        <v>27</v>
      </c>
      <c r="M8" s="30" t="s">
        <v>26</v>
      </c>
      <c r="N8" s="30" t="s">
        <v>28</v>
      </c>
      <c r="O8" s="28" t="s">
        <v>29</v>
      </c>
      <c r="P8" s="30" t="s">
        <v>22</v>
      </c>
      <c r="Q8" s="30" t="s">
        <v>22</v>
      </c>
      <c r="R8" s="28"/>
      <c r="S8" s="30"/>
      <c r="T8" s="28"/>
      <c r="U8" s="28"/>
    </row>
    <row r="9" spans="1:21" s="12" customFormat="1" x14ac:dyDescent="0.25">
      <c r="A9" s="51" t="s">
        <v>182</v>
      </c>
      <c r="B9" s="52">
        <v>4.76</v>
      </c>
      <c r="C9" s="52">
        <v>15.68</v>
      </c>
      <c r="D9" s="52">
        <v>20.440000000000001</v>
      </c>
      <c r="E9" s="52">
        <v>3.99</v>
      </c>
      <c r="F9" s="52">
        <v>5.12</v>
      </c>
      <c r="G9" s="52">
        <v>31.02</v>
      </c>
      <c r="H9" s="52">
        <v>8.11</v>
      </c>
      <c r="I9" s="52">
        <v>0.63</v>
      </c>
      <c r="J9" s="52">
        <v>1.75</v>
      </c>
      <c r="K9" s="52">
        <v>99.43</v>
      </c>
      <c r="L9" s="52">
        <v>23.8</v>
      </c>
      <c r="M9" s="52">
        <v>85.66</v>
      </c>
      <c r="N9" s="52">
        <v>21.6</v>
      </c>
      <c r="O9" s="52">
        <v>0</v>
      </c>
      <c r="P9" s="52">
        <v>0.65</v>
      </c>
      <c r="Q9" s="52">
        <v>29.22</v>
      </c>
      <c r="R9" s="44"/>
      <c r="S9" s="44"/>
      <c r="T9" s="44"/>
      <c r="U9" s="44"/>
    </row>
    <row r="10" spans="1:21" s="12" customFormat="1" x14ac:dyDescent="0.25">
      <c r="A10" s="51" t="s">
        <v>183</v>
      </c>
      <c r="B10" s="52">
        <v>3.23</v>
      </c>
      <c r="C10" s="52">
        <v>13.06</v>
      </c>
      <c r="D10" s="52">
        <v>16.29</v>
      </c>
      <c r="E10" s="52">
        <v>3.19</v>
      </c>
      <c r="F10" s="52">
        <v>6.02</v>
      </c>
      <c r="G10" s="52">
        <v>21.67</v>
      </c>
      <c r="H10" s="52">
        <v>5.81</v>
      </c>
      <c r="I10" s="52">
        <v>0.5</v>
      </c>
      <c r="J10" s="52">
        <v>1.58</v>
      </c>
      <c r="K10" s="52">
        <v>105.08</v>
      </c>
      <c r="L10" s="52">
        <v>23.24</v>
      </c>
      <c r="M10" s="52">
        <v>87.09</v>
      </c>
      <c r="N10" s="52">
        <v>21.5</v>
      </c>
      <c r="O10" s="52">
        <v>0</v>
      </c>
      <c r="P10" s="52">
        <v>0.51</v>
      </c>
      <c r="Q10" s="52">
        <v>23.38</v>
      </c>
      <c r="R10" s="44"/>
      <c r="S10" s="44"/>
      <c r="T10" s="44"/>
      <c r="U10" s="44"/>
    </row>
    <row r="11" spans="1:21" s="12" customFormat="1" x14ac:dyDescent="0.25">
      <c r="A11" s="51" t="s">
        <v>184</v>
      </c>
      <c r="B11" s="52">
        <v>3.06</v>
      </c>
      <c r="C11" s="52">
        <v>11.3</v>
      </c>
      <c r="D11" s="52">
        <v>14</v>
      </c>
      <c r="E11" s="52">
        <v>4.0199999999999996</v>
      </c>
      <c r="F11" s="52">
        <v>6.3</v>
      </c>
      <c r="G11" s="52">
        <v>18.5</v>
      </c>
      <c r="H11" s="52">
        <v>4.22</v>
      </c>
      <c r="I11" s="52">
        <v>0.46</v>
      </c>
      <c r="J11" s="52">
        <v>1.74</v>
      </c>
      <c r="K11" s="52">
        <v>101.44</v>
      </c>
      <c r="L11" s="52">
        <v>22.94</v>
      </c>
      <c r="M11" s="52">
        <v>88.9</v>
      </c>
      <c r="N11" s="52">
        <v>21.5</v>
      </c>
      <c r="O11" s="52">
        <v>0</v>
      </c>
      <c r="P11" s="52">
        <v>0.45</v>
      </c>
      <c r="Q11" s="52">
        <v>25.86</v>
      </c>
      <c r="R11" s="44"/>
      <c r="S11" s="44"/>
      <c r="T11" s="44"/>
      <c r="U11" s="44"/>
    </row>
    <row r="12" spans="1:21" s="12" customFormat="1" x14ac:dyDescent="0.25">
      <c r="A12" s="51" t="s">
        <v>185</v>
      </c>
      <c r="B12" s="52">
        <v>3.1</v>
      </c>
      <c r="C12" s="52">
        <v>11.69</v>
      </c>
      <c r="D12" s="52">
        <v>14.79</v>
      </c>
      <c r="E12" s="52">
        <v>3.7</v>
      </c>
      <c r="F12" s="52">
        <v>5.31</v>
      </c>
      <c r="G12" s="52">
        <v>20.18</v>
      </c>
      <c r="H12" s="52">
        <v>3.01</v>
      </c>
      <c r="I12" s="52">
        <v>0.47</v>
      </c>
      <c r="J12" s="52">
        <v>2.64</v>
      </c>
      <c r="K12" s="52">
        <v>111.56</v>
      </c>
      <c r="L12" s="52">
        <v>22.87</v>
      </c>
      <c r="M12" s="52">
        <v>88.89</v>
      </c>
      <c r="N12" s="52">
        <v>21.2</v>
      </c>
      <c r="O12" s="52">
        <v>0</v>
      </c>
      <c r="P12" s="52">
        <v>0.42</v>
      </c>
      <c r="Q12" s="52">
        <v>33.28</v>
      </c>
      <c r="R12" s="44"/>
      <c r="S12" s="44"/>
      <c r="T12" s="44"/>
      <c r="U12" s="44"/>
    </row>
    <row r="13" spans="1:21" s="12" customFormat="1" x14ac:dyDescent="0.25">
      <c r="A13" s="51" t="s">
        <v>186</v>
      </c>
      <c r="B13" s="52">
        <v>2.39</v>
      </c>
      <c r="C13" s="52">
        <v>10.66</v>
      </c>
      <c r="D13" s="52">
        <v>13.06</v>
      </c>
      <c r="E13" s="52">
        <v>5.2</v>
      </c>
      <c r="F13" s="52">
        <v>5.47</v>
      </c>
      <c r="G13" s="52">
        <v>18.670000000000002</v>
      </c>
      <c r="H13" s="52">
        <v>2.64</v>
      </c>
      <c r="I13" s="52">
        <v>0.44</v>
      </c>
      <c r="J13" s="52">
        <v>1.88</v>
      </c>
      <c r="K13" s="52">
        <v>107</v>
      </c>
      <c r="L13" s="52">
        <v>22.79</v>
      </c>
      <c r="M13" s="52">
        <v>89.16</v>
      </c>
      <c r="N13" s="52">
        <v>21.2</v>
      </c>
      <c r="O13" s="52">
        <v>0</v>
      </c>
      <c r="P13" s="52">
        <v>0.35</v>
      </c>
      <c r="Q13" s="52">
        <v>23.29</v>
      </c>
      <c r="R13" s="44"/>
      <c r="S13" s="44"/>
      <c r="T13" s="44"/>
      <c r="U13" s="44"/>
    </row>
    <row r="14" spans="1:21" s="12" customFormat="1" x14ac:dyDescent="0.25">
      <c r="A14" s="51" t="s">
        <v>187</v>
      </c>
      <c r="B14" s="52">
        <v>3.28</v>
      </c>
      <c r="C14" s="52">
        <v>10.6</v>
      </c>
      <c r="D14" s="52">
        <v>13.88</v>
      </c>
      <c r="E14" s="52">
        <v>5.2</v>
      </c>
      <c r="F14" s="52">
        <v>5.82</v>
      </c>
      <c r="G14" s="52">
        <v>16.27</v>
      </c>
      <c r="H14" s="52">
        <v>2.41</v>
      </c>
      <c r="I14" s="52">
        <v>0.38</v>
      </c>
      <c r="J14" s="52">
        <v>1.5</v>
      </c>
      <c r="K14" s="52">
        <v>102.03</v>
      </c>
      <c r="L14" s="52">
        <v>22.67</v>
      </c>
      <c r="M14" s="52">
        <v>89.39</v>
      </c>
      <c r="N14" s="52">
        <v>26</v>
      </c>
      <c r="O14" s="52">
        <v>0</v>
      </c>
      <c r="P14" s="52">
        <v>0.32</v>
      </c>
      <c r="Q14" s="52">
        <v>23.65</v>
      </c>
      <c r="R14" s="44"/>
      <c r="S14" s="44"/>
      <c r="T14" s="44"/>
      <c r="U14" s="44"/>
    </row>
    <row r="15" spans="1:21" s="12" customFormat="1" x14ac:dyDescent="0.25">
      <c r="A15" s="51" t="s">
        <v>188</v>
      </c>
      <c r="B15" s="52">
        <v>4.22</v>
      </c>
      <c r="C15" s="52">
        <v>13.14</v>
      </c>
      <c r="D15" s="52">
        <v>17.36</v>
      </c>
      <c r="E15" s="52">
        <v>5.33</v>
      </c>
      <c r="F15" s="52">
        <v>5.64</v>
      </c>
      <c r="G15" s="52">
        <v>16.73</v>
      </c>
      <c r="H15" s="52">
        <v>2.1800000000000002</v>
      </c>
      <c r="I15" s="52">
        <v>0.42</v>
      </c>
      <c r="J15" s="52">
        <v>2.4900000000000002</v>
      </c>
      <c r="K15" s="52">
        <v>105.41</v>
      </c>
      <c r="L15" s="52">
        <v>22.68</v>
      </c>
      <c r="M15" s="52">
        <v>89.41</v>
      </c>
      <c r="N15" s="52">
        <v>112.9</v>
      </c>
      <c r="O15" s="52">
        <v>0</v>
      </c>
      <c r="P15" s="52">
        <v>0.32</v>
      </c>
      <c r="Q15" s="52">
        <v>30.77</v>
      </c>
      <c r="R15" s="44"/>
      <c r="S15" s="44"/>
      <c r="T15" s="44"/>
      <c r="U15" s="44"/>
    </row>
    <row r="16" spans="1:21" s="12" customFormat="1" x14ac:dyDescent="0.25">
      <c r="A16" s="51" t="s">
        <v>189</v>
      </c>
      <c r="B16" s="52">
        <v>4.13</v>
      </c>
      <c r="C16" s="52">
        <v>13.85</v>
      </c>
      <c r="D16" s="52">
        <v>17.88</v>
      </c>
      <c r="E16" s="52">
        <v>5.19</v>
      </c>
      <c r="F16" s="52">
        <v>5.04</v>
      </c>
      <c r="G16" s="52">
        <v>13.64</v>
      </c>
      <c r="H16" s="10" t="s">
        <v>15</v>
      </c>
      <c r="I16" s="52">
        <v>0.43</v>
      </c>
      <c r="J16" s="52">
        <v>2.35</v>
      </c>
      <c r="K16" s="52">
        <v>105.72</v>
      </c>
      <c r="L16" s="52">
        <v>24.25</v>
      </c>
      <c r="M16" s="52">
        <v>86.95</v>
      </c>
      <c r="N16" s="52">
        <v>371.8</v>
      </c>
      <c r="O16" s="52">
        <v>0</v>
      </c>
      <c r="P16" s="52">
        <v>0.25</v>
      </c>
      <c r="Q16" s="52">
        <v>30.32</v>
      </c>
      <c r="R16" s="44"/>
      <c r="S16" s="44"/>
      <c r="T16" s="44"/>
      <c r="U16" s="44"/>
    </row>
    <row r="17" spans="1:21" s="12" customFormat="1" x14ac:dyDescent="0.25">
      <c r="A17" s="51" t="s">
        <v>190</v>
      </c>
      <c r="B17" s="52">
        <v>3.73</v>
      </c>
      <c r="C17" s="52">
        <v>14.22</v>
      </c>
      <c r="D17" s="52">
        <v>17.8</v>
      </c>
      <c r="E17" s="52">
        <v>3.16</v>
      </c>
      <c r="F17" s="52">
        <v>6.2</v>
      </c>
      <c r="G17" s="52">
        <v>13.26</v>
      </c>
      <c r="H17" s="10" t="s">
        <v>15</v>
      </c>
      <c r="I17" s="52">
        <v>0.38</v>
      </c>
      <c r="J17" s="52">
        <v>2.77</v>
      </c>
      <c r="K17" s="52">
        <v>101.51</v>
      </c>
      <c r="L17" s="52">
        <v>24.63</v>
      </c>
      <c r="M17" s="52">
        <v>78.400000000000006</v>
      </c>
      <c r="N17" s="52">
        <v>440.9</v>
      </c>
      <c r="O17" s="52">
        <v>0</v>
      </c>
      <c r="P17" s="52">
        <v>0.23</v>
      </c>
      <c r="Q17" s="52">
        <v>21.61</v>
      </c>
      <c r="R17" s="44"/>
      <c r="S17" s="44"/>
      <c r="T17" s="44"/>
      <c r="U17" s="44"/>
    </row>
    <row r="18" spans="1:21" s="12" customFormat="1" x14ac:dyDescent="0.25">
      <c r="A18" s="51" t="s">
        <v>191</v>
      </c>
      <c r="B18" s="52">
        <v>3.48</v>
      </c>
      <c r="C18" s="52">
        <v>13.54</v>
      </c>
      <c r="D18" s="52">
        <v>17.03</v>
      </c>
      <c r="E18" s="52">
        <v>3.61</v>
      </c>
      <c r="F18" s="52">
        <v>7.05</v>
      </c>
      <c r="G18" s="52">
        <v>15.15</v>
      </c>
      <c r="H18" s="10" t="s">
        <v>15</v>
      </c>
      <c r="I18" s="52">
        <v>0.35</v>
      </c>
      <c r="J18" s="52">
        <v>1.73</v>
      </c>
      <c r="K18" s="52">
        <v>96.58</v>
      </c>
      <c r="L18" s="52">
        <v>26.31</v>
      </c>
      <c r="M18" s="52">
        <v>69.11</v>
      </c>
      <c r="N18" s="52">
        <v>793.4</v>
      </c>
      <c r="O18" s="52">
        <v>0</v>
      </c>
      <c r="P18" s="52">
        <v>0.22</v>
      </c>
      <c r="Q18" s="52">
        <v>24.9</v>
      </c>
      <c r="R18" s="44"/>
      <c r="S18" s="44"/>
      <c r="T18" s="44"/>
      <c r="U18" s="44"/>
    </row>
    <row r="19" spans="1:21" s="12" customFormat="1" x14ac:dyDescent="0.25">
      <c r="A19" s="51" t="s">
        <v>192</v>
      </c>
      <c r="B19" s="52">
        <v>3.5</v>
      </c>
      <c r="C19" s="52">
        <v>13.29</v>
      </c>
      <c r="D19" s="52">
        <v>16.739999999999998</v>
      </c>
      <c r="E19" s="52">
        <v>3.59</v>
      </c>
      <c r="F19" s="52">
        <v>6.02</v>
      </c>
      <c r="G19" s="52">
        <v>15.45</v>
      </c>
      <c r="H19" s="10" t="s">
        <v>15</v>
      </c>
      <c r="I19" s="52">
        <v>0.42</v>
      </c>
      <c r="J19" s="52">
        <v>1.88</v>
      </c>
      <c r="K19" s="52">
        <v>108.9</v>
      </c>
      <c r="L19" s="52">
        <v>26.94</v>
      </c>
      <c r="M19" s="52">
        <v>66.23</v>
      </c>
      <c r="N19" s="52">
        <v>935.9</v>
      </c>
      <c r="O19" s="52">
        <v>0</v>
      </c>
      <c r="P19" s="52">
        <v>0.24</v>
      </c>
      <c r="Q19" s="52">
        <v>31.89</v>
      </c>
      <c r="R19" s="44"/>
      <c r="S19" s="44"/>
      <c r="T19" s="44"/>
      <c r="U19" s="44"/>
    </row>
    <row r="20" spans="1:21" s="12" customFormat="1" x14ac:dyDescent="0.25">
      <c r="A20" s="51" t="s">
        <v>193</v>
      </c>
      <c r="B20" s="52">
        <v>2.98</v>
      </c>
      <c r="C20" s="52">
        <v>14.25</v>
      </c>
      <c r="D20" s="52">
        <v>17.239999999999998</v>
      </c>
      <c r="E20" s="52">
        <v>3.72</v>
      </c>
      <c r="F20" s="52">
        <v>6.45</v>
      </c>
      <c r="G20" s="52">
        <v>13.73</v>
      </c>
      <c r="H20" s="52">
        <v>2.2599999999999998</v>
      </c>
      <c r="I20" s="52">
        <v>0.43</v>
      </c>
      <c r="J20" s="52">
        <v>1.92</v>
      </c>
      <c r="K20" s="52">
        <v>102.89</v>
      </c>
      <c r="L20" s="52">
        <v>27.61</v>
      </c>
      <c r="M20" s="52">
        <v>64.92</v>
      </c>
      <c r="N20" s="52">
        <v>869.2</v>
      </c>
      <c r="O20" s="52">
        <v>0</v>
      </c>
      <c r="P20" s="52">
        <v>0.25</v>
      </c>
      <c r="Q20" s="52">
        <v>25.23</v>
      </c>
      <c r="R20" s="44"/>
      <c r="S20" s="44"/>
      <c r="T20" s="44"/>
      <c r="U20" s="44"/>
    </row>
    <row r="21" spans="1:21" s="12" customFormat="1" x14ac:dyDescent="0.25">
      <c r="A21" s="51" t="s">
        <v>194</v>
      </c>
      <c r="B21" s="52">
        <v>2.25</v>
      </c>
      <c r="C21" s="52">
        <v>13.17</v>
      </c>
      <c r="D21" s="52">
        <v>15.42</v>
      </c>
      <c r="E21" s="52">
        <v>4.97</v>
      </c>
      <c r="F21" s="52">
        <v>7.13</v>
      </c>
      <c r="G21" s="52">
        <v>14.51</v>
      </c>
      <c r="H21" s="52">
        <v>2.94</v>
      </c>
      <c r="I21" s="52">
        <v>0.4</v>
      </c>
      <c r="J21" s="52">
        <v>2.33</v>
      </c>
      <c r="K21" s="52">
        <v>105.1</v>
      </c>
      <c r="L21" s="52">
        <v>27.69</v>
      </c>
      <c r="M21" s="52">
        <v>68.319999999999993</v>
      </c>
      <c r="N21" s="52">
        <v>548.4</v>
      </c>
      <c r="O21" s="52">
        <v>0</v>
      </c>
      <c r="P21" s="52">
        <v>0.25</v>
      </c>
      <c r="Q21" s="52">
        <v>37.520000000000003</v>
      </c>
      <c r="R21" s="44"/>
      <c r="S21" s="44"/>
      <c r="T21" s="44"/>
      <c r="U21" s="44"/>
    </row>
    <row r="22" spans="1:21" s="12" customFormat="1" x14ac:dyDescent="0.25">
      <c r="A22" s="51" t="s">
        <v>195</v>
      </c>
      <c r="B22" s="52">
        <v>7.84</v>
      </c>
      <c r="C22" s="52">
        <v>24.3</v>
      </c>
      <c r="D22" s="52">
        <v>32.14</v>
      </c>
      <c r="E22" s="52">
        <v>5.4</v>
      </c>
      <c r="F22" s="52">
        <v>7.28</v>
      </c>
      <c r="G22" s="52">
        <v>16.95</v>
      </c>
      <c r="H22" s="52">
        <v>3.57</v>
      </c>
      <c r="I22" s="52">
        <v>0.47</v>
      </c>
      <c r="J22" s="52">
        <v>1.31</v>
      </c>
      <c r="K22" s="52">
        <v>93.44</v>
      </c>
      <c r="L22" s="52">
        <v>27.08</v>
      </c>
      <c r="M22" s="52">
        <v>72.47</v>
      </c>
      <c r="N22" s="52">
        <v>379.8</v>
      </c>
      <c r="O22" s="52">
        <v>0</v>
      </c>
      <c r="P22" s="52">
        <v>0.35</v>
      </c>
      <c r="Q22" s="52">
        <v>40.33</v>
      </c>
      <c r="R22" s="44"/>
      <c r="S22" s="44"/>
      <c r="T22" s="44"/>
      <c r="U22" s="44"/>
    </row>
    <row r="23" spans="1:21" s="12" customFormat="1" x14ac:dyDescent="0.25">
      <c r="A23" s="51" t="s">
        <v>196</v>
      </c>
      <c r="B23" s="52">
        <v>4.99</v>
      </c>
      <c r="C23" s="52">
        <v>19.86</v>
      </c>
      <c r="D23" s="52">
        <v>24.77</v>
      </c>
      <c r="E23" s="52">
        <v>5.9</v>
      </c>
      <c r="F23" s="52">
        <v>7.17</v>
      </c>
      <c r="G23" s="52">
        <v>22.69</v>
      </c>
      <c r="H23" s="52">
        <v>4.54</v>
      </c>
      <c r="I23" s="52">
        <v>0.47</v>
      </c>
      <c r="J23" s="52">
        <v>0.76</v>
      </c>
      <c r="K23" s="52">
        <v>162.47999999999999</v>
      </c>
      <c r="L23" s="52">
        <v>27.15</v>
      </c>
      <c r="M23" s="52">
        <v>87.07</v>
      </c>
      <c r="N23" s="52">
        <v>549.20000000000005</v>
      </c>
      <c r="O23" s="52">
        <v>1.6</v>
      </c>
      <c r="P23" s="52">
        <v>0.41</v>
      </c>
      <c r="Q23" s="52">
        <v>38.159999999999997</v>
      </c>
      <c r="R23" s="44"/>
      <c r="S23" s="44"/>
      <c r="T23" s="44"/>
      <c r="U23" s="44"/>
    </row>
    <row r="24" spans="1:21" s="12" customFormat="1" x14ac:dyDescent="0.25">
      <c r="A24" s="51" t="s">
        <v>197</v>
      </c>
      <c r="B24" s="52">
        <v>13.1</v>
      </c>
      <c r="C24" s="52">
        <v>37.979999999999997</v>
      </c>
      <c r="D24" s="52">
        <v>51.08</v>
      </c>
      <c r="E24" s="52">
        <v>5.36</v>
      </c>
      <c r="F24" s="52">
        <v>8.6999999999999993</v>
      </c>
      <c r="G24" s="52">
        <v>28.77</v>
      </c>
      <c r="H24" s="52">
        <v>5.83</v>
      </c>
      <c r="I24" s="52">
        <v>0.48</v>
      </c>
      <c r="J24" s="52">
        <v>0.52</v>
      </c>
      <c r="K24" s="52">
        <v>349.63</v>
      </c>
      <c r="L24" s="52">
        <v>25.59</v>
      </c>
      <c r="M24" s="52">
        <v>90.61</v>
      </c>
      <c r="N24" s="52">
        <v>304.10000000000002</v>
      </c>
      <c r="O24" s="52">
        <v>8.4</v>
      </c>
      <c r="P24" s="52">
        <v>0.63</v>
      </c>
      <c r="Q24" s="52">
        <v>19.09</v>
      </c>
      <c r="R24" s="44"/>
      <c r="S24" s="44"/>
      <c r="T24" s="44"/>
      <c r="U24" s="44"/>
    </row>
    <row r="25" spans="1:21" s="12" customFormat="1" x14ac:dyDescent="0.25">
      <c r="A25" s="51" t="s">
        <v>198</v>
      </c>
      <c r="B25" s="52">
        <v>12.59</v>
      </c>
      <c r="C25" s="52">
        <v>37.29</v>
      </c>
      <c r="D25" s="52">
        <v>49.88</v>
      </c>
      <c r="E25" s="52">
        <v>4.04</v>
      </c>
      <c r="F25" s="52">
        <v>10.34</v>
      </c>
      <c r="G25" s="52">
        <v>30.03</v>
      </c>
      <c r="H25" s="52">
        <v>4.2</v>
      </c>
      <c r="I25" s="52">
        <v>0.52</v>
      </c>
      <c r="J25" s="52">
        <v>0.84</v>
      </c>
      <c r="K25" s="52">
        <v>98.05</v>
      </c>
      <c r="L25" s="52">
        <v>26.17</v>
      </c>
      <c r="M25" s="52">
        <v>86.06</v>
      </c>
      <c r="N25" s="52">
        <v>182.5</v>
      </c>
      <c r="O25" s="52">
        <v>0</v>
      </c>
      <c r="P25" s="52">
        <v>0.69</v>
      </c>
      <c r="Q25" s="52">
        <v>24.8</v>
      </c>
      <c r="R25" s="44"/>
      <c r="S25" s="44"/>
      <c r="T25" s="44"/>
      <c r="U25" s="44"/>
    </row>
    <row r="26" spans="1:21" s="12" customFormat="1" x14ac:dyDescent="0.25">
      <c r="A26" s="51" t="s">
        <v>199</v>
      </c>
      <c r="B26" s="52">
        <v>15.18</v>
      </c>
      <c r="C26" s="52">
        <v>32.619999999999997</v>
      </c>
      <c r="D26" s="52">
        <v>47.8</v>
      </c>
      <c r="E26" s="52">
        <v>4.88</v>
      </c>
      <c r="F26" s="52">
        <v>8.11</v>
      </c>
      <c r="G26" s="52">
        <v>29.78</v>
      </c>
      <c r="H26" s="52">
        <v>3.88</v>
      </c>
      <c r="I26" s="52">
        <v>0.65</v>
      </c>
      <c r="J26" s="52">
        <v>1.03</v>
      </c>
      <c r="K26" s="52">
        <v>100.82</v>
      </c>
      <c r="L26" s="52">
        <v>25.77</v>
      </c>
      <c r="M26" s="52">
        <v>78.75</v>
      </c>
      <c r="N26" s="52">
        <v>55.8</v>
      </c>
      <c r="O26" s="52">
        <v>0</v>
      </c>
      <c r="P26" s="52">
        <v>0.66</v>
      </c>
      <c r="Q26" s="52">
        <v>32.39</v>
      </c>
      <c r="R26" s="44"/>
      <c r="S26" s="44"/>
      <c r="T26" s="44"/>
      <c r="U26" s="44"/>
    </row>
    <row r="27" spans="1:21" s="12" customFormat="1" x14ac:dyDescent="0.25">
      <c r="A27" s="51" t="s">
        <v>200</v>
      </c>
      <c r="B27" s="52">
        <v>9.0399999999999991</v>
      </c>
      <c r="C27" s="52">
        <v>26.28</v>
      </c>
      <c r="D27" s="52">
        <v>35.32</v>
      </c>
      <c r="E27" s="52">
        <v>4.3899999999999997</v>
      </c>
      <c r="F27" s="52">
        <v>5.97</v>
      </c>
      <c r="G27" s="52">
        <v>25.38</v>
      </c>
      <c r="H27" s="52">
        <v>4.4000000000000004</v>
      </c>
      <c r="I27" s="52">
        <v>0.73</v>
      </c>
      <c r="J27" s="52">
        <v>2.2400000000000002</v>
      </c>
      <c r="K27" s="52">
        <v>107.6</v>
      </c>
      <c r="L27" s="52">
        <v>25.75</v>
      </c>
      <c r="M27" s="52">
        <v>78.86</v>
      </c>
      <c r="N27" s="52">
        <v>21.1</v>
      </c>
      <c r="O27" s="52">
        <v>0</v>
      </c>
      <c r="P27" s="52">
        <v>0.64</v>
      </c>
      <c r="Q27" s="52">
        <v>30.04</v>
      </c>
      <c r="R27" s="44"/>
      <c r="S27" s="44"/>
      <c r="T27" s="44"/>
      <c r="U27" s="44"/>
    </row>
    <row r="28" spans="1:21" s="12" customFormat="1" x14ac:dyDescent="0.25">
      <c r="A28" s="51" t="s">
        <v>201</v>
      </c>
      <c r="B28" s="52">
        <v>7.51</v>
      </c>
      <c r="C28" s="52">
        <v>22.08</v>
      </c>
      <c r="D28" s="52">
        <v>29.59</v>
      </c>
      <c r="E28" s="52">
        <v>4.5</v>
      </c>
      <c r="F28" s="52">
        <v>5.82</v>
      </c>
      <c r="G28" s="52">
        <v>25.38</v>
      </c>
      <c r="H28" s="52">
        <v>3.08</v>
      </c>
      <c r="I28" s="52">
        <v>0.67</v>
      </c>
      <c r="J28" s="52">
        <v>2.6</v>
      </c>
      <c r="K28" s="52">
        <v>108.52</v>
      </c>
      <c r="L28" s="52">
        <v>25.23</v>
      </c>
      <c r="M28" s="52">
        <v>71.39</v>
      </c>
      <c r="N28" s="52">
        <v>20.8</v>
      </c>
      <c r="O28" s="52">
        <v>0</v>
      </c>
      <c r="P28" s="52">
        <v>0.59</v>
      </c>
      <c r="Q28" s="52">
        <v>50.38</v>
      </c>
      <c r="R28" s="44"/>
      <c r="S28" s="44"/>
      <c r="T28" s="44"/>
      <c r="U28" s="44"/>
    </row>
    <row r="29" spans="1:21" s="12" customFormat="1" x14ac:dyDescent="0.25">
      <c r="A29" s="51" t="s">
        <v>202</v>
      </c>
      <c r="B29" s="52">
        <v>5.15</v>
      </c>
      <c r="C29" s="52">
        <v>19.829999999999998</v>
      </c>
      <c r="D29" s="52">
        <v>24.99</v>
      </c>
      <c r="E29" s="52">
        <v>5.31</v>
      </c>
      <c r="F29" s="52">
        <v>5.72</v>
      </c>
      <c r="G29" s="52">
        <v>18.11</v>
      </c>
      <c r="H29" s="52">
        <v>3.18</v>
      </c>
      <c r="I29" s="52">
        <v>0.68</v>
      </c>
      <c r="J29" s="52">
        <v>2.85</v>
      </c>
      <c r="K29" s="52">
        <v>105.31</v>
      </c>
      <c r="L29" s="52">
        <v>24.43</v>
      </c>
      <c r="M29" s="52">
        <v>74.22</v>
      </c>
      <c r="N29" s="52">
        <v>20.8</v>
      </c>
      <c r="O29" s="52">
        <v>0</v>
      </c>
      <c r="P29" s="52">
        <v>0.53</v>
      </c>
      <c r="Q29" s="52">
        <v>53.59</v>
      </c>
      <c r="R29" s="44"/>
      <c r="S29" s="44"/>
      <c r="T29" s="44"/>
      <c r="U29" s="44"/>
    </row>
    <row r="30" spans="1:21" s="12" customFormat="1" x14ac:dyDescent="0.25">
      <c r="A30" s="51" t="s">
        <v>203</v>
      </c>
      <c r="B30" s="52">
        <v>3.61</v>
      </c>
      <c r="C30" s="52">
        <v>17.5</v>
      </c>
      <c r="D30" s="52">
        <v>21.1</v>
      </c>
      <c r="E30" s="52">
        <v>5.41</v>
      </c>
      <c r="F30" s="52">
        <v>6.14</v>
      </c>
      <c r="G30" s="52">
        <v>18.239999999999998</v>
      </c>
      <c r="H30" s="52">
        <v>3.34</v>
      </c>
      <c r="I30" s="52">
        <v>0.56000000000000005</v>
      </c>
      <c r="J30" s="52">
        <v>2.38</v>
      </c>
      <c r="K30" s="52">
        <v>109.62</v>
      </c>
      <c r="L30" s="52">
        <v>23.64</v>
      </c>
      <c r="M30" s="52">
        <v>82</v>
      </c>
      <c r="N30" s="52">
        <v>20.7</v>
      </c>
      <c r="O30" s="52">
        <v>0</v>
      </c>
      <c r="P30" s="52">
        <v>0.45</v>
      </c>
      <c r="Q30" s="52">
        <v>50.6</v>
      </c>
      <c r="R30" s="44"/>
      <c r="S30" s="44"/>
      <c r="T30" s="44"/>
      <c r="U30" s="44"/>
    </row>
    <row r="31" spans="1:21" s="12" customFormat="1" x14ac:dyDescent="0.25">
      <c r="A31" s="51" t="s">
        <v>204</v>
      </c>
      <c r="B31" s="52">
        <v>3.15</v>
      </c>
      <c r="C31" s="52">
        <v>15.31</v>
      </c>
      <c r="D31" s="52">
        <v>18.32</v>
      </c>
      <c r="E31" s="52">
        <v>5.32</v>
      </c>
      <c r="F31" s="52">
        <v>5.39</v>
      </c>
      <c r="G31" s="52">
        <v>15.55</v>
      </c>
      <c r="H31" s="52">
        <v>2.73</v>
      </c>
      <c r="I31" s="52">
        <v>0.5</v>
      </c>
      <c r="J31" s="52">
        <v>2.12</v>
      </c>
      <c r="K31" s="52">
        <v>108.99</v>
      </c>
      <c r="L31" s="52">
        <v>23.3</v>
      </c>
      <c r="M31" s="52">
        <v>86.6</v>
      </c>
      <c r="N31" s="52">
        <v>20.399999999999999</v>
      </c>
      <c r="O31" s="52">
        <v>0</v>
      </c>
      <c r="P31" s="52">
        <v>0.41</v>
      </c>
      <c r="Q31" s="52">
        <v>37.5</v>
      </c>
      <c r="R31" s="44"/>
      <c r="S31" s="44"/>
      <c r="T31" s="44"/>
      <c r="U31" s="44"/>
    </row>
    <row r="32" spans="1:21" s="12" customFormat="1" x14ac:dyDescent="0.25">
      <c r="A32" s="51" t="s">
        <v>205</v>
      </c>
      <c r="B32" s="52">
        <v>3.63</v>
      </c>
      <c r="C32" s="52">
        <v>14.82</v>
      </c>
      <c r="D32" s="52">
        <v>18.22</v>
      </c>
      <c r="E32" s="52">
        <v>5.43</v>
      </c>
      <c r="F32" s="52">
        <v>5.52</v>
      </c>
      <c r="G32" s="52">
        <v>16.39</v>
      </c>
      <c r="H32" s="52">
        <v>2.83</v>
      </c>
      <c r="I32" s="52">
        <v>0.53</v>
      </c>
      <c r="J32" s="52">
        <v>1.96</v>
      </c>
      <c r="K32" s="52">
        <v>109.12</v>
      </c>
      <c r="L32" s="52">
        <v>23.25</v>
      </c>
      <c r="M32" s="52">
        <v>87.41</v>
      </c>
      <c r="N32" s="52">
        <v>20.399999999999999</v>
      </c>
      <c r="O32" s="52">
        <v>0</v>
      </c>
      <c r="P32" s="52">
        <v>0.36</v>
      </c>
      <c r="Q32" s="52">
        <v>39.35</v>
      </c>
      <c r="R32" s="44"/>
      <c r="S32" s="44"/>
      <c r="T32" s="44"/>
      <c r="U32" s="44"/>
    </row>
    <row r="33" spans="1:21" s="22" customFormat="1" x14ac:dyDescent="0.25">
      <c r="A33" s="27"/>
      <c r="B33" s="21"/>
      <c r="C33" s="21"/>
      <c r="D33" s="21"/>
      <c r="E33" s="21"/>
      <c r="F33" s="21"/>
      <c r="G33" s="27"/>
      <c r="H33" s="27"/>
      <c r="I33" s="27"/>
      <c r="J33" s="21"/>
      <c r="K33" s="21"/>
      <c r="L33" s="27"/>
      <c r="M33" s="27"/>
      <c r="N33" s="27"/>
      <c r="O33" s="27"/>
      <c r="P33" s="27"/>
      <c r="Q33" s="21"/>
      <c r="R33" s="21"/>
      <c r="S33" s="21"/>
      <c r="T33" s="21"/>
      <c r="U33" s="21"/>
    </row>
    <row r="34" spans="1:21" s="22" customFormat="1" x14ac:dyDescent="0.25">
      <c r="A34" s="28" t="s">
        <v>30</v>
      </c>
      <c r="B34" s="29">
        <f t="shared" ref="B34:Q34" si="0">MIN(B9:B32)</f>
        <v>2.25</v>
      </c>
      <c r="C34" s="29">
        <f t="shared" si="0"/>
        <v>10.6</v>
      </c>
      <c r="D34" s="29">
        <f t="shared" si="0"/>
        <v>13.06</v>
      </c>
      <c r="E34" s="29">
        <f t="shared" si="0"/>
        <v>3.16</v>
      </c>
      <c r="F34" s="29">
        <f t="shared" si="0"/>
        <v>5.04</v>
      </c>
      <c r="G34" s="29">
        <f t="shared" si="0"/>
        <v>13.26</v>
      </c>
      <c r="H34" s="29">
        <f t="shared" si="0"/>
        <v>2.1800000000000002</v>
      </c>
      <c r="I34" s="29">
        <f t="shared" si="0"/>
        <v>0.35</v>
      </c>
      <c r="J34" s="29">
        <f t="shared" si="0"/>
        <v>0.52</v>
      </c>
      <c r="K34" s="29">
        <f t="shared" si="0"/>
        <v>93.44</v>
      </c>
      <c r="L34" s="29">
        <f t="shared" si="0"/>
        <v>22.67</v>
      </c>
      <c r="M34" s="29">
        <f t="shared" si="0"/>
        <v>64.92</v>
      </c>
      <c r="N34" s="29">
        <f t="shared" si="0"/>
        <v>20.399999999999999</v>
      </c>
      <c r="O34" s="29">
        <f t="shared" si="0"/>
        <v>0</v>
      </c>
      <c r="P34" s="29">
        <f t="shared" si="0"/>
        <v>0.22</v>
      </c>
      <c r="Q34" s="29">
        <f t="shared" si="0"/>
        <v>19.09</v>
      </c>
      <c r="R34" s="29"/>
      <c r="S34" s="29"/>
      <c r="T34" s="29"/>
      <c r="U34" s="29"/>
    </row>
    <row r="35" spans="1:21" s="22" customFormat="1" x14ac:dyDescent="0.25">
      <c r="A35" s="28" t="s">
        <v>31</v>
      </c>
      <c r="B35" s="30">
        <f t="shared" ref="B35:Q35" si="1">MAX(B9:B32)</f>
        <v>15.18</v>
      </c>
      <c r="C35" s="30">
        <f t="shared" si="1"/>
        <v>37.979999999999997</v>
      </c>
      <c r="D35" s="30">
        <f t="shared" si="1"/>
        <v>51.08</v>
      </c>
      <c r="E35" s="30">
        <f t="shared" si="1"/>
        <v>5.9</v>
      </c>
      <c r="F35" s="30">
        <f t="shared" si="1"/>
        <v>10.34</v>
      </c>
      <c r="G35" s="30">
        <f t="shared" si="1"/>
        <v>31.02</v>
      </c>
      <c r="H35" s="30">
        <f t="shared" si="1"/>
        <v>8.11</v>
      </c>
      <c r="I35" s="30">
        <f t="shared" si="1"/>
        <v>0.73</v>
      </c>
      <c r="J35" s="30">
        <f t="shared" si="1"/>
        <v>2.85</v>
      </c>
      <c r="K35" s="30">
        <f t="shared" si="1"/>
        <v>349.63</v>
      </c>
      <c r="L35" s="30">
        <f t="shared" si="1"/>
        <v>27.69</v>
      </c>
      <c r="M35" s="30">
        <f t="shared" si="1"/>
        <v>90.61</v>
      </c>
      <c r="N35" s="30">
        <f t="shared" si="1"/>
        <v>935.9</v>
      </c>
      <c r="O35" s="30">
        <f t="shared" si="1"/>
        <v>8.4</v>
      </c>
      <c r="P35" s="30">
        <f t="shared" si="1"/>
        <v>0.69</v>
      </c>
      <c r="Q35" s="30">
        <f t="shared" si="1"/>
        <v>53.59</v>
      </c>
      <c r="R35" s="30"/>
      <c r="S35" s="30"/>
      <c r="T35" s="30"/>
      <c r="U35" s="30"/>
    </row>
    <row r="36" spans="1:21" s="22" customFormat="1" x14ac:dyDescent="0.25">
      <c r="A36" s="28" t="s">
        <v>32</v>
      </c>
      <c r="B36" s="29">
        <f t="shared" ref="B36:Q36" si="2">AVERAGE(B9:B32)</f>
        <v>5.4125000000000005</v>
      </c>
      <c r="C36" s="29">
        <f t="shared" si="2"/>
        <v>18.179999999999996</v>
      </c>
      <c r="D36" s="29">
        <f t="shared" si="2"/>
        <v>23.547499999999999</v>
      </c>
      <c r="E36" s="29">
        <f t="shared" si="2"/>
        <v>4.6170833333333334</v>
      </c>
      <c r="F36" s="29">
        <f t="shared" si="2"/>
        <v>6.4054166666666665</v>
      </c>
      <c r="G36" s="29">
        <f t="shared" si="2"/>
        <v>19.835416666666664</v>
      </c>
      <c r="H36" s="29">
        <f t="shared" si="2"/>
        <v>3.7580000000000005</v>
      </c>
      <c r="I36" s="29">
        <f t="shared" si="2"/>
        <v>0.49874999999999997</v>
      </c>
      <c r="J36" s="29">
        <f t="shared" si="2"/>
        <v>1.8820833333333333</v>
      </c>
      <c r="K36" s="29">
        <f t="shared" si="2"/>
        <v>116.92625</v>
      </c>
      <c r="L36" s="29">
        <f t="shared" si="2"/>
        <v>24.82416666666666</v>
      </c>
      <c r="M36" s="29">
        <f t="shared" si="2"/>
        <v>81.161249999999981</v>
      </c>
      <c r="N36" s="29">
        <f t="shared" si="2"/>
        <v>241.71250000000001</v>
      </c>
      <c r="O36" s="29">
        <f t="shared" si="2"/>
        <v>0.41666666666666669</v>
      </c>
      <c r="P36" s="29">
        <f t="shared" si="2"/>
        <v>0.42416666666666658</v>
      </c>
      <c r="Q36" s="29">
        <f t="shared" si="2"/>
        <v>32.381250000000001</v>
      </c>
      <c r="R36" s="29"/>
      <c r="S36" s="29"/>
      <c r="T36" s="29"/>
      <c r="U36" s="29"/>
    </row>
    <row r="37" spans="1:21" s="22" customFormat="1" x14ac:dyDescent="0.25">
      <c r="A37" s="28" t="s">
        <v>38</v>
      </c>
      <c r="B37" s="29">
        <f>STDEV(B9:B32)</f>
        <v>3.612925166796229</v>
      </c>
      <c r="C37" s="29">
        <f t="shared" ref="C37:Q37" si="3">STDEV(C9:C32)</f>
        <v>8.0522705412551367</v>
      </c>
      <c r="D37" s="29">
        <f t="shared" si="3"/>
        <v>11.582514651498347</v>
      </c>
      <c r="E37" s="29">
        <f t="shared" si="3"/>
        <v>0.82900925240898993</v>
      </c>
      <c r="F37" s="29">
        <f t="shared" si="3"/>
        <v>1.2458940535830618</v>
      </c>
      <c r="G37" s="29">
        <f t="shared" si="3"/>
        <v>5.6679318973284927</v>
      </c>
      <c r="H37" s="29">
        <f t="shared" si="3"/>
        <v>1.4661571682821923</v>
      </c>
      <c r="I37" s="29">
        <f t="shared" si="3"/>
        <v>0.10439525643063205</v>
      </c>
      <c r="J37" s="29">
        <f t="shared" si="3"/>
        <v>0.64592353273814607</v>
      </c>
      <c r="K37" s="29">
        <f t="shared" si="3"/>
        <v>51.164706399805127</v>
      </c>
      <c r="L37" s="29">
        <f t="shared" si="3"/>
        <v>1.7257636410955979</v>
      </c>
      <c r="M37" s="29">
        <f t="shared" si="3"/>
        <v>8.4969459027296388</v>
      </c>
      <c r="N37" s="29">
        <f t="shared" si="3"/>
        <v>301.09382231616206</v>
      </c>
      <c r="O37" s="29">
        <f t="shared" si="3"/>
        <v>1.7314649908365902</v>
      </c>
      <c r="P37" s="29">
        <f t="shared" si="3"/>
        <v>0.15536539446447367</v>
      </c>
      <c r="Q37" s="29">
        <f t="shared" si="3"/>
        <v>9.4788163416710738</v>
      </c>
      <c r="R37" s="29"/>
      <c r="S37" s="29"/>
      <c r="T37" s="29"/>
      <c r="U37" s="29"/>
    </row>
    <row r="38" spans="1:21" s="22" customFormat="1" x14ac:dyDescent="0.25">
      <c r="A38" s="32" t="s">
        <v>33</v>
      </c>
      <c r="B38" s="33">
        <f>COUNT(B9:B32)</f>
        <v>24</v>
      </c>
      <c r="C38" s="33">
        <f t="shared" ref="C38:Q38" si="4">COUNT(C9:C32)</f>
        <v>24</v>
      </c>
      <c r="D38" s="33">
        <f t="shared" si="4"/>
        <v>24</v>
      </c>
      <c r="E38" s="33">
        <f t="shared" si="4"/>
        <v>24</v>
      </c>
      <c r="F38" s="33">
        <f t="shared" si="4"/>
        <v>24</v>
      </c>
      <c r="G38" s="33">
        <f t="shared" si="4"/>
        <v>24</v>
      </c>
      <c r="H38" s="33">
        <f t="shared" si="4"/>
        <v>20</v>
      </c>
      <c r="I38" s="33">
        <f t="shared" si="4"/>
        <v>24</v>
      </c>
      <c r="J38" s="33">
        <f t="shared" si="4"/>
        <v>24</v>
      </c>
      <c r="K38" s="33">
        <f t="shared" si="4"/>
        <v>24</v>
      </c>
      <c r="L38" s="33">
        <f t="shared" si="4"/>
        <v>24</v>
      </c>
      <c r="M38" s="33">
        <f t="shared" si="4"/>
        <v>24</v>
      </c>
      <c r="N38" s="33">
        <f t="shared" si="4"/>
        <v>24</v>
      </c>
      <c r="O38" s="33">
        <f t="shared" si="4"/>
        <v>24</v>
      </c>
      <c r="P38" s="33">
        <f t="shared" si="4"/>
        <v>24</v>
      </c>
      <c r="Q38" s="33">
        <f t="shared" si="4"/>
        <v>24</v>
      </c>
      <c r="R38" s="33"/>
      <c r="S38" s="33"/>
      <c r="T38" s="33"/>
      <c r="U38" s="33"/>
    </row>
    <row r="39" spans="1:21" s="22" customFormat="1" x14ac:dyDescent="0.25">
      <c r="A39" s="28" t="s">
        <v>34</v>
      </c>
      <c r="B39" s="30" t="str">
        <f>IF(B38&gt;=22,"&gt;90%",IF(B38&lt;=22,"&lt;90%"))</f>
        <v>&gt;90%</v>
      </c>
      <c r="C39" s="30" t="str">
        <f t="shared" ref="C39:P39" si="5">IF(C38&gt;=22,"&gt;90%",IF(C38&lt;=22,"&lt;90%"))</f>
        <v>&gt;90%</v>
      </c>
      <c r="D39" s="30" t="str">
        <f t="shared" si="5"/>
        <v>&gt;90%</v>
      </c>
      <c r="E39" s="30" t="str">
        <f t="shared" si="5"/>
        <v>&gt;90%</v>
      </c>
      <c r="F39" s="30" t="str">
        <f t="shared" si="5"/>
        <v>&gt;90%</v>
      </c>
      <c r="G39" s="30" t="str">
        <f t="shared" si="5"/>
        <v>&gt;90%</v>
      </c>
      <c r="H39" s="30" t="str">
        <f t="shared" si="5"/>
        <v>&lt;90%</v>
      </c>
      <c r="I39" s="30" t="str">
        <f t="shared" si="5"/>
        <v>&gt;90%</v>
      </c>
      <c r="J39" s="30" t="str">
        <f t="shared" si="5"/>
        <v>&gt;90%</v>
      </c>
      <c r="K39" s="30" t="str">
        <f t="shared" si="5"/>
        <v>&gt;90%</v>
      </c>
      <c r="L39" s="30" t="str">
        <f t="shared" si="5"/>
        <v>&gt;90%</v>
      </c>
      <c r="M39" s="30" t="str">
        <f t="shared" si="5"/>
        <v>&gt;90%</v>
      </c>
      <c r="N39" s="30" t="str">
        <f t="shared" si="5"/>
        <v>&gt;90%</v>
      </c>
      <c r="O39" s="30" t="str">
        <f t="shared" si="5"/>
        <v>&gt;90%</v>
      </c>
      <c r="P39" s="30" t="str">
        <f t="shared" si="5"/>
        <v>&gt;90%</v>
      </c>
      <c r="Q39" s="30" t="str">
        <f>IF(Q38&gt;=22,"&gt;90%",IF(Q38&lt;=22,"&lt;90%"))</f>
        <v>&gt;90%</v>
      </c>
      <c r="R39" s="30"/>
      <c r="S39" s="30"/>
      <c r="T39" s="30"/>
      <c r="U39" s="30"/>
    </row>
    <row r="40" spans="1:21" s="22" customFormat="1" x14ac:dyDescent="0.25">
      <c r="A40" s="28" t="s">
        <v>1</v>
      </c>
      <c r="B40" s="30" t="str">
        <f>IF(B38&gt;=22,"OK",IF(B38&lt;=22,"LESS"))</f>
        <v>OK</v>
      </c>
      <c r="C40" s="30" t="str">
        <f t="shared" ref="C40:Q40" si="6">IF(C38&gt;=22,"OK",IF(C38&lt;=22,"LESS"))</f>
        <v>OK</v>
      </c>
      <c r="D40" s="30" t="str">
        <f t="shared" si="6"/>
        <v>OK</v>
      </c>
      <c r="E40" s="30" t="str">
        <f t="shared" si="6"/>
        <v>OK</v>
      </c>
      <c r="F40" s="30" t="str">
        <f t="shared" si="6"/>
        <v>OK</v>
      </c>
      <c r="G40" s="30" t="str">
        <f t="shared" si="6"/>
        <v>OK</v>
      </c>
      <c r="H40" s="30" t="str">
        <f t="shared" si="6"/>
        <v>LESS</v>
      </c>
      <c r="I40" s="30" t="str">
        <f t="shared" si="6"/>
        <v>OK</v>
      </c>
      <c r="J40" s="30" t="str">
        <f t="shared" si="6"/>
        <v>OK</v>
      </c>
      <c r="K40" s="30" t="str">
        <f t="shared" si="6"/>
        <v>OK</v>
      </c>
      <c r="L40" s="30" t="str">
        <f t="shared" si="6"/>
        <v>OK</v>
      </c>
      <c r="M40" s="30" t="str">
        <f t="shared" si="6"/>
        <v>OK</v>
      </c>
      <c r="N40" s="30" t="str">
        <f t="shared" si="6"/>
        <v>OK</v>
      </c>
      <c r="O40" s="30" t="str">
        <f t="shared" si="6"/>
        <v>OK</v>
      </c>
      <c r="P40" s="30" t="str">
        <f t="shared" si="6"/>
        <v>OK</v>
      </c>
      <c r="Q40" s="30" t="str">
        <f t="shared" si="6"/>
        <v>OK</v>
      </c>
      <c r="R40" s="30"/>
      <c r="S40" s="30"/>
      <c r="T40" s="30"/>
      <c r="U40" s="30"/>
    </row>
    <row r="41" spans="1:21" s="22" customFormat="1" x14ac:dyDescent="0.25">
      <c r="A41" s="14"/>
      <c r="L41" s="14"/>
      <c r="N41" s="17"/>
      <c r="O41" s="17"/>
      <c r="P41" s="17"/>
      <c r="Q41" s="17"/>
      <c r="R41" s="17"/>
      <c r="S41" s="17"/>
      <c r="T41" s="17"/>
      <c r="U41" s="17"/>
    </row>
    <row r="42" spans="1:21" s="22" customFormat="1" x14ac:dyDescent="0.25">
      <c r="A42" s="14"/>
    </row>
    <row r="43" spans="1:21" s="22" customFormat="1" x14ac:dyDescent="0.25">
      <c r="A43" s="15" t="s">
        <v>35</v>
      </c>
      <c r="B43" s="41" t="s">
        <v>42</v>
      </c>
      <c r="C43" s="43"/>
    </row>
    <row r="44" spans="1:21" s="22" customFormat="1" x14ac:dyDescent="0.25">
      <c r="A44" s="14"/>
      <c r="D44" s="2"/>
      <c r="E44" s="2"/>
      <c r="F44" s="2"/>
      <c r="G44" s="2"/>
      <c r="H44" s="2"/>
      <c r="I44" s="2"/>
    </row>
    <row r="45" spans="1:21" s="22" customFormat="1" ht="15.75" x14ac:dyDescent="0.25">
      <c r="A45" s="18" t="s">
        <v>36</v>
      </c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</row>
    <row r="46" spans="1:21" s="22" customFormat="1" x14ac:dyDescent="0.25"/>
    <row r="47" spans="1:21" s="22" customFormat="1" x14ac:dyDescent="0.25"/>
    <row r="48" spans="1:21" s="22" customFormat="1" x14ac:dyDescent="0.25"/>
    <row r="49" s="22" customFormat="1" x14ac:dyDescent="0.25"/>
    <row r="50" s="22" customFormat="1" x14ac:dyDescent="0.25"/>
    <row r="51" s="22" customFormat="1" x14ac:dyDescent="0.25"/>
    <row r="52" s="22" customFormat="1" x14ac:dyDescent="0.25"/>
    <row r="53" s="22" customFormat="1" x14ac:dyDescent="0.25"/>
    <row r="54" s="22" customFormat="1" x14ac:dyDescent="0.25"/>
    <row r="55" s="22" customFormat="1" x14ac:dyDescent="0.25"/>
    <row r="56" s="22" customFormat="1" x14ac:dyDescent="0.25"/>
    <row r="57" s="22" customFormat="1" x14ac:dyDescent="0.25"/>
    <row r="58" s="22" customFormat="1" x14ac:dyDescent="0.25"/>
    <row r="59" s="22" customFormat="1" x14ac:dyDescent="0.25"/>
    <row r="60" s="22" customFormat="1" x14ac:dyDescent="0.25"/>
    <row r="61" s="22" customFormat="1" x14ac:dyDescent="0.25"/>
    <row r="62" s="22" customFormat="1" x14ac:dyDescent="0.25"/>
    <row r="63" s="22" customFormat="1" x14ac:dyDescent="0.25"/>
    <row r="64" s="22" customFormat="1" x14ac:dyDescent="0.25"/>
    <row r="65" s="22" customFormat="1" x14ac:dyDescent="0.25"/>
    <row r="66" s="22" customFormat="1" x14ac:dyDescent="0.25"/>
    <row r="67" s="22" customFormat="1" x14ac:dyDescent="0.25"/>
    <row r="68" s="22" customFormat="1" x14ac:dyDescent="0.25"/>
    <row r="69" s="22" customFormat="1" x14ac:dyDescent="0.25"/>
    <row r="70" s="22" customFormat="1" x14ac:dyDescent="0.25"/>
    <row r="71" s="22" customFormat="1" x14ac:dyDescent="0.25"/>
    <row r="72" s="22" customFormat="1" x14ac:dyDescent="0.25"/>
    <row r="73" s="22" customFormat="1" x14ac:dyDescent="0.25"/>
    <row r="74" s="22" customFormat="1" x14ac:dyDescent="0.25"/>
    <row r="75" s="22" customFormat="1" x14ac:dyDescent="0.25"/>
    <row r="76" s="22" customFormat="1" x14ac:dyDescent="0.25"/>
    <row r="77" s="22" customFormat="1" x14ac:dyDescent="0.25"/>
    <row r="78" s="22" customFormat="1" x14ac:dyDescent="0.25"/>
    <row r="79" s="22" customFormat="1" x14ac:dyDescent="0.25"/>
    <row r="80" s="22" customFormat="1" x14ac:dyDescent="0.25"/>
    <row r="81" s="22" customFormat="1" x14ac:dyDescent="0.25"/>
    <row r="82" s="22" customFormat="1" x14ac:dyDescent="0.25"/>
    <row r="83" s="22" customFormat="1" x14ac:dyDescent="0.25"/>
    <row r="84" s="22" customFormat="1" x14ac:dyDescent="0.25"/>
    <row r="85" s="22" customFormat="1" x14ac:dyDescent="0.25"/>
    <row r="86" s="22" customFormat="1" x14ac:dyDescent="0.25"/>
    <row r="87" s="22" customFormat="1" x14ac:dyDescent="0.25"/>
    <row r="88" s="22" customFormat="1" x14ac:dyDescent="0.25"/>
    <row r="89" s="22" customFormat="1" x14ac:dyDescent="0.25"/>
    <row r="90" s="22" customFormat="1" x14ac:dyDescent="0.25"/>
    <row r="91" s="22" customFormat="1" x14ac:dyDescent="0.25"/>
    <row r="92" s="22" customFormat="1" x14ac:dyDescent="0.25"/>
    <row r="93" s="22" customFormat="1" x14ac:dyDescent="0.25"/>
    <row r="94" s="22" customFormat="1" x14ac:dyDescent="0.25"/>
    <row r="95" s="22" customFormat="1" x14ac:dyDescent="0.25"/>
    <row r="96" s="22" customFormat="1" x14ac:dyDescent="0.25"/>
    <row r="97" spans="1:1" s="22" customFormat="1" x14ac:dyDescent="0.25"/>
    <row r="98" spans="1:1" s="22" customFormat="1" x14ac:dyDescent="0.25"/>
    <row r="99" spans="1:1" s="22" customFormat="1" x14ac:dyDescent="0.25"/>
    <row r="100" spans="1:1" s="22" customFormat="1" x14ac:dyDescent="0.25"/>
    <row r="101" spans="1:1" s="22" customFormat="1" x14ac:dyDescent="0.25"/>
    <row r="102" spans="1:1" s="22" customFormat="1" x14ac:dyDescent="0.25"/>
    <row r="103" spans="1:1" s="22" customFormat="1" x14ac:dyDescent="0.25"/>
    <row r="104" spans="1:1" s="22" customFormat="1" x14ac:dyDescent="0.25"/>
    <row r="105" spans="1:1" s="22" customFormat="1" x14ac:dyDescent="0.25"/>
    <row r="106" spans="1:1" x14ac:dyDescent="0.25">
      <c r="A106" s="21"/>
    </row>
    <row r="107" spans="1:1" s="22" customFormat="1" x14ac:dyDescent="0.25"/>
    <row r="108" spans="1:1" s="22" customFormat="1" x14ac:dyDescent="0.25"/>
    <row r="109" spans="1:1" s="22" customFormat="1" x14ac:dyDescent="0.25"/>
    <row r="110" spans="1:1" s="22" customFormat="1" x14ac:dyDescent="0.25"/>
    <row r="111" spans="1:1" s="22" customFormat="1" x14ac:dyDescent="0.25"/>
    <row r="112" spans="1:1" s="22" customFormat="1" x14ac:dyDescent="0.25"/>
    <row r="113" spans="1:1" s="22" customFormat="1" x14ac:dyDescent="0.25"/>
    <row r="114" spans="1:1" s="22" customFormat="1" x14ac:dyDescent="0.25"/>
    <row r="115" spans="1:1" s="22" customFormat="1" x14ac:dyDescent="0.25"/>
    <row r="116" spans="1:1" s="22" customFormat="1" x14ac:dyDescent="0.25"/>
    <row r="117" spans="1:1" s="22" customFormat="1" x14ac:dyDescent="0.25"/>
    <row r="118" spans="1:1" x14ac:dyDescent="0.25">
      <c r="A118" s="21"/>
    </row>
    <row r="119" spans="1:1" x14ac:dyDescent="0.25">
      <c r="A119" s="21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2" ySplit="8" topLeftCell="C24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39" sqref="G39"/>
    </sheetView>
  </sheetViews>
  <sheetFormatPr defaultColWidth="8.85546875" defaultRowHeight="15" x14ac:dyDescent="0.25"/>
  <cols>
    <col min="1" max="1" width="18.28515625" style="27" customWidth="1"/>
    <col min="2" max="2" width="15" style="21" customWidth="1"/>
    <col min="3" max="12" width="9.140625" style="21" customWidth="1"/>
    <col min="13" max="13" width="10" style="21" customWidth="1"/>
    <col min="14" max="19" width="9.140625" style="21" customWidth="1"/>
    <col min="20" max="20" width="11.42578125" style="21" customWidth="1"/>
    <col min="21" max="16384" width="8.85546875" style="21"/>
  </cols>
  <sheetData>
    <row r="1" spans="1:21" s="22" customFormat="1" ht="26.25" x14ac:dyDescent="0.25">
      <c r="A1" s="15" t="s">
        <v>2</v>
      </c>
      <c r="B1" s="24" t="s">
        <v>43</v>
      </c>
      <c r="C1" s="38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s="22" customFormat="1" x14ac:dyDescent="0.25">
      <c r="A2" s="15" t="s">
        <v>0</v>
      </c>
      <c r="B2" s="39" t="str">
        <f>$A$9</f>
        <v>07-10-2022 01:00</v>
      </c>
      <c r="C2" s="12"/>
      <c r="D2" s="11" t="s">
        <v>3</v>
      </c>
      <c r="E2" s="11"/>
      <c r="F2" s="11"/>
      <c r="G2" s="4" t="s">
        <v>4</v>
      </c>
      <c r="H2" s="20"/>
      <c r="I2" s="20"/>
      <c r="J2" s="20"/>
      <c r="K2" s="13"/>
      <c r="L2" s="11" t="s">
        <v>5</v>
      </c>
      <c r="M2" s="13"/>
      <c r="N2" s="8" t="s">
        <v>6</v>
      </c>
      <c r="P2" s="40" t="s">
        <v>7</v>
      </c>
      <c r="Q2" s="13"/>
      <c r="R2" s="9" t="s">
        <v>8</v>
      </c>
      <c r="S2" s="12"/>
      <c r="T2" s="12"/>
      <c r="U2" s="12"/>
    </row>
    <row r="3" spans="1:21" s="22" customFormat="1" x14ac:dyDescent="0.25">
      <c r="A3" s="15" t="s">
        <v>9</v>
      </c>
      <c r="B3" s="13" t="s">
        <v>10</v>
      </c>
      <c r="C3" s="12"/>
      <c r="D3" s="11" t="s">
        <v>11</v>
      </c>
      <c r="E3" s="11"/>
      <c r="F3" s="11"/>
      <c r="G3" s="19" t="s">
        <v>12</v>
      </c>
      <c r="H3" s="20"/>
      <c r="I3" s="20"/>
      <c r="J3" s="20"/>
      <c r="K3" s="12"/>
      <c r="L3" s="11" t="s">
        <v>13</v>
      </c>
      <c r="M3" s="13"/>
      <c r="N3" s="6" t="s">
        <v>14</v>
      </c>
      <c r="O3" s="13"/>
      <c r="P3" s="40" t="s">
        <v>15</v>
      </c>
      <c r="Q3" s="13"/>
      <c r="R3" s="10" t="s">
        <v>15</v>
      </c>
      <c r="S3" s="12"/>
      <c r="T3" s="12"/>
      <c r="U3" s="12"/>
    </row>
    <row r="4" spans="1:21" s="22" customFormat="1" x14ac:dyDescent="0.25">
      <c r="A4" s="15" t="s">
        <v>16</v>
      </c>
      <c r="B4" s="13" t="s">
        <v>39</v>
      </c>
      <c r="C4" s="12"/>
      <c r="D4" s="11" t="s">
        <v>17</v>
      </c>
      <c r="E4" s="11"/>
      <c r="F4" s="11"/>
      <c r="G4" s="5" t="s">
        <v>18</v>
      </c>
      <c r="H4" s="20"/>
      <c r="I4" s="20"/>
      <c r="J4" s="20"/>
      <c r="K4" s="3"/>
      <c r="L4" s="11" t="s">
        <v>19</v>
      </c>
      <c r="M4" s="13"/>
      <c r="N4" s="7" t="s">
        <v>20</v>
      </c>
      <c r="O4" s="13"/>
      <c r="P4" s="13"/>
      <c r="Q4" s="13"/>
      <c r="R4" s="13"/>
      <c r="S4" s="12"/>
      <c r="T4" s="12"/>
      <c r="U4" s="12"/>
    </row>
    <row r="5" spans="1:21" s="22" customFormat="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s="22" customFormat="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s="22" customFormat="1" x14ac:dyDescent="0.25">
      <c r="A7" s="15" t="s">
        <v>21</v>
      </c>
      <c r="B7" s="45" t="s">
        <v>59</v>
      </c>
      <c r="C7" s="45" t="s">
        <v>44</v>
      </c>
      <c r="D7" s="45" t="s">
        <v>45</v>
      </c>
      <c r="E7" s="45" t="s">
        <v>46</v>
      </c>
      <c r="F7" s="45" t="s">
        <v>47</v>
      </c>
      <c r="G7" s="45" t="s">
        <v>48</v>
      </c>
      <c r="H7" s="45" t="s">
        <v>49</v>
      </c>
      <c r="I7" s="45" t="s">
        <v>50</v>
      </c>
      <c r="J7" s="45" t="s">
        <v>51</v>
      </c>
      <c r="K7" s="45" t="s">
        <v>52</v>
      </c>
      <c r="L7" s="45" t="s">
        <v>53</v>
      </c>
      <c r="M7" s="45" t="s">
        <v>54</v>
      </c>
      <c r="N7" s="45" t="s">
        <v>55</v>
      </c>
      <c r="O7" s="45" t="s">
        <v>56</v>
      </c>
      <c r="P7" s="45" t="s">
        <v>57</v>
      </c>
      <c r="Q7" s="45" t="s">
        <v>58</v>
      </c>
      <c r="R7" s="28"/>
      <c r="S7" s="30"/>
      <c r="T7" s="28"/>
      <c r="U7" s="28"/>
    </row>
    <row r="8" spans="1:21" s="22" customFormat="1" x14ac:dyDescent="0.25">
      <c r="A8" s="15"/>
      <c r="B8" s="30" t="s">
        <v>22</v>
      </c>
      <c r="C8" s="30" t="s">
        <v>22</v>
      </c>
      <c r="D8" s="30" t="s">
        <v>22</v>
      </c>
      <c r="E8" s="30" t="s">
        <v>22</v>
      </c>
      <c r="F8" s="30" t="s">
        <v>22</v>
      </c>
      <c r="G8" s="30" t="s">
        <v>23</v>
      </c>
      <c r="H8" s="30" t="s">
        <v>22</v>
      </c>
      <c r="I8" s="30" t="s">
        <v>22</v>
      </c>
      <c r="J8" s="30" t="s">
        <v>24</v>
      </c>
      <c r="K8" s="30" t="s">
        <v>25</v>
      </c>
      <c r="L8" s="28" t="s">
        <v>27</v>
      </c>
      <c r="M8" s="30" t="s">
        <v>26</v>
      </c>
      <c r="N8" s="30" t="s">
        <v>28</v>
      </c>
      <c r="O8" s="28" t="s">
        <v>29</v>
      </c>
      <c r="P8" s="30" t="s">
        <v>22</v>
      </c>
      <c r="Q8" s="30" t="s">
        <v>22</v>
      </c>
      <c r="R8" s="28"/>
      <c r="S8" s="30"/>
      <c r="T8" s="28"/>
      <c r="U8" s="28"/>
    </row>
    <row r="9" spans="1:21" s="12" customFormat="1" x14ac:dyDescent="0.25">
      <c r="A9" s="51" t="s">
        <v>206</v>
      </c>
      <c r="B9" s="52">
        <v>3.61</v>
      </c>
      <c r="C9" s="52">
        <v>13.71</v>
      </c>
      <c r="D9" s="52">
        <v>17.32</v>
      </c>
      <c r="E9" s="52">
        <v>5.52</v>
      </c>
      <c r="F9" s="52">
        <v>6.61</v>
      </c>
      <c r="G9" s="54" t="s">
        <v>8</v>
      </c>
      <c r="H9" s="52">
        <v>2.4900000000000002</v>
      </c>
      <c r="I9" s="52">
        <v>0.53</v>
      </c>
      <c r="J9" s="52">
        <v>1.97</v>
      </c>
      <c r="K9" s="52">
        <v>108.82</v>
      </c>
      <c r="L9" s="52">
        <v>23.11</v>
      </c>
      <c r="M9" s="52">
        <v>87.95</v>
      </c>
      <c r="N9" s="52">
        <v>20.399999999999999</v>
      </c>
      <c r="O9" s="52">
        <v>0</v>
      </c>
      <c r="P9" s="52">
        <v>0.33</v>
      </c>
      <c r="Q9" s="52">
        <v>46.12</v>
      </c>
      <c r="R9" s="44"/>
      <c r="S9" s="44"/>
      <c r="T9" s="44"/>
      <c r="U9" s="44"/>
    </row>
    <row r="10" spans="1:21" s="12" customFormat="1" x14ac:dyDescent="0.25">
      <c r="A10" s="51" t="s">
        <v>207</v>
      </c>
      <c r="B10" s="52">
        <v>3.34</v>
      </c>
      <c r="C10" s="52">
        <v>13.11</v>
      </c>
      <c r="D10" s="52">
        <v>16.45</v>
      </c>
      <c r="E10" s="52">
        <v>5.78</v>
      </c>
      <c r="F10" s="52">
        <v>5.36</v>
      </c>
      <c r="G10" s="54" t="s">
        <v>8</v>
      </c>
      <c r="H10" s="52">
        <v>1.9</v>
      </c>
      <c r="I10" s="52">
        <v>0.5</v>
      </c>
      <c r="J10" s="52">
        <v>2.0299999999999998</v>
      </c>
      <c r="K10" s="52">
        <v>111.89</v>
      </c>
      <c r="L10" s="52">
        <v>22.89</v>
      </c>
      <c r="M10" s="52">
        <v>88.48</v>
      </c>
      <c r="N10" s="52">
        <v>20.7</v>
      </c>
      <c r="O10" s="52">
        <v>0</v>
      </c>
      <c r="P10" s="52">
        <v>0.35</v>
      </c>
      <c r="Q10" s="52">
        <v>43.61</v>
      </c>
      <c r="R10" s="44"/>
      <c r="S10" s="44"/>
      <c r="T10" s="44"/>
      <c r="U10" s="44"/>
    </row>
    <row r="11" spans="1:21" s="12" customFormat="1" x14ac:dyDescent="0.25">
      <c r="A11" s="51" t="s">
        <v>208</v>
      </c>
      <c r="B11" s="52">
        <v>2.71</v>
      </c>
      <c r="C11" s="52">
        <v>12.44</v>
      </c>
      <c r="D11" s="52">
        <v>15.15</v>
      </c>
      <c r="E11" s="52">
        <v>5.45</v>
      </c>
      <c r="F11" s="52">
        <v>5.35</v>
      </c>
      <c r="G11" s="54" t="s">
        <v>8</v>
      </c>
      <c r="H11" s="52">
        <v>2.52</v>
      </c>
      <c r="I11" s="52">
        <v>0.5</v>
      </c>
      <c r="J11" s="52">
        <v>2.0699999999999998</v>
      </c>
      <c r="K11" s="52">
        <v>108.57</v>
      </c>
      <c r="L11" s="52">
        <v>22.72</v>
      </c>
      <c r="M11" s="52">
        <v>87.98</v>
      </c>
      <c r="N11" s="52">
        <v>20.399999999999999</v>
      </c>
      <c r="O11" s="52">
        <v>0</v>
      </c>
      <c r="P11" s="52">
        <v>0.32</v>
      </c>
      <c r="Q11" s="52">
        <v>37.67</v>
      </c>
      <c r="R11" s="44"/>
      <c r="S11" s="44"/>
      <c r="T11" s="44"/>
      <c r="U11" s="44"/>
    </row>
    <row r="12" spans="1:21" s="12" customFormat="1" x14ac:dyDescent="0.25">
      <c r="A12" s="51" t="s">
        <v>209</v>
      </c>
      <c r="B12" s="52">
        <v>2.65</v>
      </c>
      <c r="C12" s="52">
        <v>11.79</v>
      </c>
      <c r="D12" s="52">
        <v>14.34</v>
      </c>
      <c r="E12" s="52">
        <v>5.75</v>
      </c>
      <c r="F12" s="52">
        <v>5.67</v>
      </c>
      <c r="G12" s="54" t="s">
        <v>8</v>
      </c>
      <c r="H12" s="52">
        <v>4.72</v>
      </c>
      <c r="I12" s="52">
        <v>0.48</v>
      </c>
      <c r="J12" s="52">
        <v>1.73</v>
      </c>
      <c r="K12" s="52">
        <v>107.72</v>
      </c>
      <c r="L12" s="52">
        <v>22.46</v>
      </c>
      <c r="M12" s="52">
        <v>88.86</v>
      </c>
      <c r="N12" s="52">
        <v>20.3</v>
      </c>
      <c r="O12" s="52">
        <v>0</v>
      </c>
      <c r="P12" s="52">
        <v>0.28999999999999998</v>
      </c>
      <c r="Q12" s="52">
        <v>44.71</v>
      </c>
      <c r="R12" s="44"/>
      <c r="S12" s="44"/>
      <c r="T12" s="44"/>
      <c r="U12" s="44"/>
    </row>
    <row r="13" spans="1:21" s="12" customFormat="1" x14ac:dyDescent="0.25">
      <c r="A13" s="51" t="s">
        <v>210</v>
      </c>
      <c r="B13" s="52">
        <v>2.79</v>
      </c>
      <c r="C13" s="52">
        <v>12.74</v>
      </c>
      <c r="D13" s="52">
        <v>15.44</v>
      </c>
      <c r="E13" s="52">
        <v>3.82</v>
      </c>
      <c r="F13" s="52">
        <v>5.56</v>
      </c>
      <c r="G13" s="54" t="s">
        <v>8</v>
      </c>
      <c r="H13" s="52">
        <v>5.81</v>
      </c>
      <c r="I13" s="52">
        <v>0.5</v>
      </c>
      <c r="J13" s="52">
        <v>2.1800000000000002</v>
      </c>
      <c r="K13" s="52">
        <v>108.21</v>
      </c>
      <c r="L13" s="52">
        <v>22.18</v>
      </c>
      <c r="M13" s="52">
        <v>88.83</v>
      </c>
      <c r="N13" s="52">
        <v>20.399999999999999</v>
      </c>
      <c r="O13" s="52">
        <v>0</v>
      </c>
      <c r="P13" s="52">
        <v>0.28000000000000003</v>
      </c>
      <c r="Q13" s="52">
        <v>50.48</v>
      </c>
      <c r="R13" s="44"/>
      <c r="S13" s="44"/>
      <c r="T13" s="44"/>
      <c r="U13" s="44"/>
    </row>
    <row r="14" spans="1:21" s="12" customFormat="1" x14ac:dyDescent="0.25">
      <c r="A14" s="51" t="s">
        <v>211</v>
      </c>
      <c r="B14" s="52">
        <v>2.65</v>
      </c>
      <c r="C14" s="52">
        <v>12.94</v>
      </c>
      <c r="D14" s="52">
        <v>15.6</v>
      </c>
      <c r="E14" s="52">
        <v>4.0199999999999996</v>
      </c>
      <c r="F14" s="52">
        <v>5.41</v>
      </c>
      <c r="G14" s="54" t="s">
        <v>8</v>
      </c>
      <c r="H14" s="52">
        <v>4.78</v>
      </c>
      <c r="I14" s="52">
        <v>0.48</v>
      </c>
      <c r="J14" s="52">
        <v>1.88</v>
      </c>
      <c r="K14" s="52">
        <v>108.22</v>
      </c>
      <c r="L14" s="52">
        <v>21.95</v>
      </c>
      <c r="M14" s="52">
        <v>89.11</v>
      </c>
      <c r="N14" s="52">
        <v>23.7</v>
      </c>
      <c r="O14" s="52">
        <v>0</v>
      </c>
      <c r="P14" s="52">
        <v>0.27</v>
      </c>
      <c r="Q14" s="52">
        <v>42.25</v>
      </c>
      <c r="R14" s="44"/>
      <c r="S14" s="44"/>
      <c r="T14" s="44"/>
      <c r="U14" s="44"/>
    </row>
    <row r="15" spans="1:21" s="12" customFormat="1" x14ac:dyDescent="0.25">
      <c r="A15" s="51" t="s">
        <v>212</v>
      </c>
      <c r="B15" s="52">
        <v>3.41</v>
      </c>
      <c r="C15" s="52">
        <v>16.579999999999998</v>
      </c>
      <c r="D15" s="52">
        <v>19.579999999999998</v>
      </c>
      <c r="E15" s="52">
        <v>4.2</v>
      </c>
      <c r="F15" s="52">
        <v>5.4</v>
      </c>
      <c r="G15" s="54" t="s">
        <v>8</v>
      </c>
      <c r="H15" s="52">
        <v>5.24</v>
      </c>
      <c r="I15" s="52">
        <v>0.47</v>
      </c>
      <c r="J15" s="52">
        <v>1.5</v>
      </c>
      <c r="K15" s="52">
        <v>104.21</v>
      </c>
      <c r="L15" s="52">
        <v>21.94</v>
      </c>
      <c r="M15" s="52">
        <v>89.1</v>
      </c>
      <c r="N15" s="52">
        <v>76.2</v>
      </c>
      <c r="O15" s="52">
        <v>0</v>
      </c>
      <c r="P15" s="52">
        <v>0.27</v>
      </c>
      <c r="Q15" s="52">
        <v>39.520000000000003</v>
      </c>
      <c r="R15" s="44"/>
      <c r="S15" s="44"/>
      <c r="T15" s="44"/>
      <c r="U15" s="44"/>
    </row>
    <row r="16" spans="1:21" s="12" customFormat="1" x14ac:dyDescent="0.25">
      <c r="A16" s="51" t="s">
        <v>213</v>
      </c>
      <c r="B16" s="52">
        <v>4.08</v>
      </c>
      <c r="C16" s="52">
        <v>13.15</v>
      </c>
      <c r="D16" s="52">
        <v>17.23</v>
      </c>
      <c r="E16" s="52">
        <v>4.25</v>
      </c>
      <c r="F16" s="52">
        <v>5.45</v>
      </c>
      <c r="G16" s="54" t="s">
        <v>8</v>
      </c>
      <c r="H16" s="52">
        <v>3.71</v>
      </c>
      <c r="I16" s="52">
        <v>0.51</v>
      </c>
      <c r="J16" s="52">
        <v>1.96</v>
      </c>
      <c r="K16" s="52">
        <v>105.97</v>
      </c>
      <c r="L16" s="52">
        <v>24.3</v>
      </c>
      <c r="M16" s="52">
        <v>87.7</v>
      </c>
      <c r="N16" s="52">
        <v>471.7</v>
      </c>
      <c r="O16" s="52">
        <v>0</v>
      </c>
      <c r="P16" s="52">
        <v>0.28000000000000003</v>
      </c>
      <c r="Q16" s="52">
        <v>52.31</v>
      </c>
      <c r="R16" s="44"/>
      <c r="S16" s="44"/>
      <c r="T16" s="44"/>
      <c r="U16" s="44"/>
    </row>
    <row r="17" spans="1:21" s="12" customFormat="1" x14ac:dyDescent="0.25">
      <c r="A17" s="51" t="s">
        <v>214</v>
      </c>
      <c r="B17" s="52">
        <v>4.13</v>
      </c>
      <c r="C17" s="52">
        <v>14.1</v>
      </c>
      <c r="D17" s="52">
        <v>18.010000000000002</v>
      </c>
      <c r="E17" s="52">
        <v>4.7</v>
      </c>
      <c r="F17" s="52">
        <v>5.75</v>
      </c>
      <c r="G17" s="54" t="s">
        <v>8</v>
      </c>
      <c r="H17" s="52">
        <v>3.05</v>
      </c>
      <c r="I17" s="52">
        <v>0.51</v>
      </c>
      <c r="J17" s="52">
        <v>2.74</v>
      </c>
      <c r="K17" s="52">
        <v>105.25</v>
      </c>
      <c r="L17" s="52">
        <v>25.63</v>
      </c>
      <c r="M17" s="52">
        <v>76.62</v>
      </c>
      <c r="N17" s="52">
        <v>709.9</v>
      </c>
      <c r="O17" s="52">
        <v>0</v>
      </c>
      <c r="P17" s="52">
        <v>0.28999999999999998</v>
      </c>
      <c r="Q17" s="52">
        <v>54</v>
      </c>
      <c r="R17" s="44"/>
      <c r="S17" s="44"/>
      <c r="T17" s="44"/>
      <c r="U17" s="44"/>
    </row>
    <row r="18" spans="1:21" s="12" customFormat="1" x14ac:dyDescent="0.25">
      <c r="A18" s="51" t="s">
        <v>215</v>
      </c>
      <c r="B18" s="52">
        <v>2.98</v>
      </c>
      <c r="C18" s="52">
        <v>14.65</v>
      </c>
      <c r="D18" s="52">
        <v>17.63</v>
      </c>
      <c r="E18" s="52">
        <v>4.3</v>
      </c>
      <c r="F18" s="52">
        <v>6.24</v>
      </c>
      <c r="G18" s="54" t="s">
        <v>8</v>
      </c>
      <c r="H18" s="52">
        <v>2.16</v>
      </c>
      <c r="I18" s="52">
        <v>0.48</v>
      </c>
      <c r="J18" s="52">
        <v>2.4500000000000002</v>
      </c>
      <c r="K18" s="52">
        <v>114.24</v>
      </c>
      <c r="L18" s="52">
        <v>26.92</v>
      </c>
      <c r="M18" s="52">
        <v>67.22</v>
      </c>
      <c r="N18" s="52">
        <v>829.5</v>
      </c>
      <c r="O18" s="52">
        <v>0</v>
      </c>
      <c r="P18" s="52">
        <v>0.28999999999999998</v>
      </c>
      <c r="Q18" s="52">
        <v>39.6</v>
      </c>
      <c r="R18" s="44"/>
      <c r="S18" s="44"/>
      <c r="T18" s="44"/>
      <c r="U18" s="44"/>
    </row>
    <row r="19" spans="1:21" s="12" customFormat="1" x14ac:dyDescent="0.25">
      <c r="A19" s="51" t="s">
        <v>216</v>
      </c>
      <c r="B19" s="52">
        <v>2.4700000000000002</v>
      </c>
      <c r="C19" s="52">
        <v>14.86</v>
      </c>
      <c r="D19" s="52">
        <v>17.170000000000002</v>
      </c>
      <c r="E19" s="52">
        <v>3.44</v>
      </c>
      <c r="F19" s="52">
        <v>7.64</v>
      </c>
      <c r="G19" s="54" t="s">
        <v>8</v>
      </c>
      <c r="H19" s="52">
        <v>5.67</v>
      </c>
      <c r="I19" s="52">
        <v>0.45</v>
      </c>
      <c r="J19" s="52">
        <v>1.54</v>
      </c>
      <c r="K19" s="52">
        <v>106.37</v>
      </c>
      <c r="L19" s="52">
        <v>27.35</v>
      </c>
      <c r="M19" s="52">
        <v>63.78</v>
      </c>
      <c r="N19" s="52">
        <v>706.9</v>
      </c>
      <c r="O19" s="52">
        <v>0</v>
      </c>
      <c r="P19" s="52">
        <v>0.28999999999999998</v>
      </c>
      <c r="Q19" s="52">
        <v>31.99</v>
      </c>
      <c r="R19" s="44"/>
      <c r="S19" s="44"/>
      <c r="T19" s="44"/>
      <c r="U19" s="44"/>
    </row>
    <row r="20" spans="1:21" s="12" customFormat="1" x14ac:dyDescent="0.25">
      <c r="A20" s="51" t="s">
        <v>217</v>
      </c>
      <c r="B20" s="52">
        <v>2.57</v>
      </c>
      <c r="C20" s="52">
        <v>14.03</v>
      </c>
      <c r="D20" s="52">
        <v>15.76</v>
      </c>
      <c r="E20" s="52">
        <v>3.18</v>
      </c>
      <c r="F20" s="52">
        <v>6.77</v>
      </c>
      <c r="G20" s="54" t="s">
        <v>8</v>
      </c>
      <c r="H20" s="52">
        <v>3.7</v>
      </c>
      <c r="I20" s="52">
        <v>0.4</v>
      </c>
      <c r="J20" s="52">
        <v>2.0099999999999998</v>
      </c>
      <c r="K20" s="52">
        <v>99.45</v>
      </c>
      <c r="L20" s="52">
        <v>27.37</v>
      </c>
      <c r="M20" s="52">
        <v>63.44</v>
      </c>
      <c r="N20" s="52">
        <v>654</v>
      </c>
      <c r="O20" s="52">
        <v>0</v>
      </c>
      <c r="P20" s="52">
        <v>0.28000000000000003</v>
      </c>
      <c r="Q20" s="52">
        <v>49.62</v>
      </c>
      <c r="R20" s="44"/>
      <c r="S20" s="44"/>
      <c r="T20" s="44"/>
      <c r="U20" s="44"/>
    </row>
    <row r="21" spans="1:21" s="12" customFormat="1" x14ac:dyDescent="0.25">
      <c r="A21" s="51" t="s">
        <v>218</v>
      </c>
      <c r="B21" s="52">
        <v>1.97</v>
      </c>
      <c r="C21" s="52">
        <v>13.6</v>
      </c>
      <c r="D21" s="52">
        <v>15.31</v>
      </c>
      <c r="E21" s="52">
        <v>4.09</v>
      </c>
      <c r="F21" s="52">
        <v>7.58</v>
      </c>
      <c r="G21" s="54" t="s">
        <v>8</v>
      </c>
      <c r="H21" s="52">
        <v>3.45</v>
      </c>
      <c r="I21" s="52">
        <v>0.35</v>
      </c>
      <c r="J21" s="52">
        <v>2.2400000000000002</v>
      </c>
      <c r="K21" s="52">
        <v>95.65</v>
      </c>
      <c r="L21" s="52">
        <v>27.49</v>
      </c>
      <c r="M21" s="52">
        <v>61.55</v>
      </c>
      <c r="N21" s="52">
        <v>385.4</v>
      </c>
      <c r="O21" s="52">
        <v>0.2</v>
      </c>
      <c r="P21" s="52">
        <v>0.28000000000000003</v>
      </c>
      <c r="Q21" s="52">
        <v>16.64</v>
      </c>
      <c r="R21" s="44"/>
      <c r="S21" s="44"/>
      <c r="T21" s="44"/>
      <c r="U21" s="44"/>
    </row>
    <row r="22" spans="1:21" s="12" customFormat="1" x14ac:dyDescent="0.25">
      <c r="A22" s="51" t="s">
        <v>219</v>
      </c>
      <c r="B22" s="52">
        <v>2.19</v>
      </c>
      <c r="C22" s="52">
        <v>14.02</v>
      </c>
      <c r="D22" s="52">
        <v>16.059999999999999</v>
      </c>
      <c r="E22" s="52">
        <v>3.63</v>
      </c>
      <c r="F22" s="52">
        <v>8.23</v>
      </c>
      <c r="G22" s="54" t="s">
        <v>8</v>
      </c>
      <c r="H22" s="52">
        <v>3.34</v>
      </c>
      <c r="I22" s="52">
        <v>0.34</v>
      </c>
      <c r="J22" s="52">
        <v>2.08</v>
      </c>
      <c r="K22" s="52">
        <v>100.74</v>
      </c>
      <c r="L22" s="52">
        <v>27.88</v>
      </c>
      <c r="M22" s="52">
        <v>67.38</v>
      </c>
      <c r="N22" s="52">
        <v>939.3</v>
      </c>
      <c r="O22" s="52">
        <v>0</v>
      </c>
      <c r="P22" s="52">
        <v>0.19</v>
      </c>
      <c r="Q22" s="52">
        <v>19.350000000000001</v>
      </c>
      <c r="R22" s="44"/>
      <c r="S22" s="44"/>
      <c r="T22" s="44"/>
      <c r="U22" s="44"/>
    </row>
    <row r="23" spans="1:21" s="12" customFormat="1" x14ac:dyDescent="0.25">
      <c r="A23" s="51" t="s">
        <v>220</v>
      </c>
      <c r="B23" s="52">
        <v>2.35</v>
      </c>
      <c r="C23" s="52">
        <v>13.72</v>
      </c>
      <c r="D23" s="52">
        <v>15.55</v>
      </c>
      <c r="E23" s="52">
        <v>3.29</v>
      </c>
      <c r="F23" s="52">
        <v>10.11</v>
      </c>
      <c r="G23" s="54" t="s">
        <v>8</v>
      </c>
      <c r="H23" s="52">
        <v>3.11</v>
      </c>
      <c r="I23" s="52">
        <v>0.28000000000000003</v>
      </c>
      <c r="J23" s="52">
        <v>2.1800000000000002</v>
      </c>
      <c r="K23" s="52">
        <v>101.29</v>
      </c>
      <c r="L23" s="52">
        <v>28.39</v>
      </c>
      <c r="M23" s="52">
        <v>67.599999999999994</v>
      </c>
      <c r="N23" s="52">
        <v>910.2</v>
      </c>
      <c r="O23" s="52">
        <v>0</v>
      </c>
      <c r="P23" s="52">
        <v>0.21</v>
      </c>
      <c r="Q23" s="52">
        <v>28.18</v>
      </c>
      <c r="R23" s="44"/>
      <c r="S23" s="44"/>
      <c r="T23" s="44"/>
      <c r="U23" s="44"/>
    </row>
    <row r="24" spans="1:21" s="12" customFormat="1" x14ac:dyDescent="0.25">
      <c r="A24" s="51" t="s">
        <v>221</v>
      </c>
      <c r="B24" s="52">
        <v>3.62</v>
      </c>
      <c r="C24" s="52">
        <v>15.57</v>
      </c>
      <c r="D24" s="52">
        <v>19.04</v>
      </c>
      <c r="E24" s="52">
        <v>3.93</v>
      </c>
      <c r="F24" s="52">
        <v>6.64</v>
      </c>
      <c r="G24" s="54" t="s">
        <v>8</v>
      </c>
      <c r="H24" s="52">
        <v>3.01</v>
      </c>
      <c r="I24" s="52">
        <v>0.33</v>
      </c>
      <c r="J24" s="52">
        <v>2.31</v>
      </c>
      <c r="K24" s="52">
        <v>104.69</v>
      </c>
      <c r="L24" s="52">
        <v>26.18</v>
      </c>
      <c r="M24" s="52">
        <v>70</v>
      </c>
      <c r="N24" s="52">
        <v>215.8</v>
      </c>
      <c r="O24" s="52">
        <v>0</v>
      </c>
      <c r="P24" s="52">
        <v>0.23</v>
      </c>
      <c r="Q24" s="52">
        <v>40.020000000000003</v>
      </c>
      <c r="R24" s="44"/>
      <c r="S24" s="44"/>
      <c r="T24" s="44"/>
      <c r="U24" s="44"/>
    </row>
    <row r="25" spans="1:21" s="12" customFormat="1" x14ac:dyDescent="0.25">
      <c r="A25" s="51" t="s">
        <v>222</v>
      </c>
      <c r="B25" s="52">
        <v>3.07</v>
      </c>
      <c r="C25" s="52">
        <v>16.079999999999998</v>
      </c>
      <c r="D25" s="52">
        <v>19.059999999999999</v>
      </c>
      <c r="E25" s="52">
        <v>3.58</v>
      </c>
      <c r="F25" s="52">
        <v>6.03</v>
      </c>
      <c r="G25" s="54" t="s">
        <v>8</v>
      </c>
      <c r="H25" s="52">
        <v>3.03</v>
      </c>
      <c r="I25" s="52">
        <v>0.34</v>
      </c>
      <c r="J25" s="52">
        <v>3.2</v>
      </c>
      <c r="K25" s="52">
        <v>103.56</v>
      </c>
      <c r="L25" s="52">
        <v>25.22</v>
      </c>
      <c r="M25" s="52">
        <v>80.13</v>
      </c>
      <c r="N25" s="52">
        <v>146.19999999999999</v>
      </c>
      <c r="O25" s="52">
        <v>0</v>
      </c>
      <c r="P25" s="52">
        <v>0.25</v>
      </c>
      <c r="Q25" s="52">
        <v>22.55</v>
      </c>
      <c r="R25" s="44"/>
      <c r="S25" s="44"/>
      <c r="T25" s="44"/>
      <c r="U25" s="44"/>
    </row>
    <row r="26" spans="1:21" s="12" customFormat="1" x14ac:dyDescent="0.25">
      <c r="A26" s="51" t="s">
        <v>223</v>
      </c>
      <c r="B26" s="52">
        <v>2.59</v>
      </c>
      <c r="C26" s="52">
        <v>13.77</v>
      </c>
      <c r="D26" s="52">
        <v>16.059999999999999</v>
      </c>
      <c r="E26" s="52">
        <v>4.29</v>
      </c>
      <c r="F26" s="52">
        <v>5.57</v>
      </c>
      <c r="G26" s="54" t="s">
        <v>8</v>
      </c>
      <c r="H26" s="52">
        <v>3.04</v>
      </c>
      <c r="I26" s="52">
        <v>0.33</v>
      </c>
      <c r="J26" s="52">
        <v>2.0699999999999998</v>
      </c>
      <c r="K26" s="52">
        <v>108.3</v>
      </c>
      <c r="L26" s="52">
        <v>23.97</v>
      </c>
      <c r="M26" s="52">
        <v>85.14</v>
      </c>
      <c r="N26" s="52">
        <v>48</v>
      </c>
      <c r="O26" s="52">
        <v>0</v>
      </c>
      <c r="P26" s="52">
        <v>0.26</v>
      </c>
      <c r="Q26" s="52">
        <v>36.950000000000003</v>
      </c>
      <c r="R26" s="44"/>
      <c r="S26" s="44"/>
      <c r="T26" s="44"/>
      <c r="U26" s="44"/>
    </row>
    <row r="27" spans="1:21" s="12" customFormat="1" x14ac:dyDescent="0.25">
      <c r="A27" s="51" t="s">
        <v>224</v>
      </c>
      <c r="B27" s="52">
        <v>3.28</v>
      </c>
      <c r="C27" s="52">
        <v>13.18</v>
      </c>
      <c r="D27" s="52">
        <v>16.43</v>
      </c>
      <c r="E27" s="52">
        <v>4.54</v>
      </c>
      <c r="F27" s="52">
        <v>5.73</v>
      </c>
      <c r="G27" s="54" t="s">
        <v>8</v>
      </c>
      <c r="H27" s="52">
        <v>3.11</v>
      </c>
      <c r="I27" s="52">
        <v>0.39</v>
      </c>
      <c r="J27" s="52">
        <v>2.2400000000000002</v>
      </c>
      <c r="K27" s="52">
        <v>107.35</v>
      </c>
      <c r="L27" s="52">
        <v>24.03</v>
      </c>
      <c r="M27" s="52">
        <v>86.54</v>
      </c>
      <c r="N27" s="52">
        <v>20.3</v>
      </c>
      <c r="O27" s="52">
        <v>0</v>
      </c>
      <c r="P27" s="52">
        <v>0.31</v>
      </c>
      <c r="Q27" s="52">
        <v>49.82</v>
      </c>
      <c r="R27" s="44"/>
      <c r="S27" s="44"/>
      <c r="T27" s="44"/>
      <c r="U27" s="44"/>
    </row>
    <row r="28" spans="1:21" s="12" customFormat="1" x14ac:dyDescent="0.25">
      <c r="A28" s="51" t="s">
        <v>225</v>
      </c>
      <c r="B28" s="52">
        <v>3.89</v>
      </c>
      <c r="C28" s="52">
        <v>13.95</v>
      </c>
      <c r="D28" s="52">
        <v>17.84</v>
      </c>
      <c r="E28" s="52">
        <v>4.87</v>
      </c>
      <c r="F28" s="52">
        <v>5.6</v>
      </c>
      <c r="G28" s="54" t="s">
        <v>8</v>
      </c>
      <c r="H28" s="52">
        <v>3.11</v>
      </c>
      <c r="I28" s="52">
        <v>0.45</v>
      </c>
      <c r="J28" s="52">
        <v>2.48</v>
      </c>
      <c r="K28" s="52">
        <v>104.33</v>
      </c>
      <c r="L28" s="52">
        <v>24.04</v>
      </c>
      <c r="M28" s="52">
        <v>83.24</v>
      </c>
      <c r="N28" s="52">
        <v>20.399999999999999</v>
      </c>
      <c r="O28" s="52">
        <v>0</v>
      </c>
      <c r="P28" s="52">
        <v>0.39</v>
      </c>
      <c r="Q28" s="52">
        <v>45.15</v>
      </c>
      <c r="R28" s="44"/>
      <c r="S28" s="44"/>
      <c r="T28" s="44"/>
      <c r="U28" s="44"/>
    </row>
    <row r="29" spans="1:21" s="12" customFormat="1" x14ac:dyDescent="0.25">
      <c r="A29" s="51" t="s">
        <v>226</v>
      </c>
      <c r="B29" s="52">
        <v>4.01</v>
      </c>
      <c r="C29" s="52">
        <v>15.29</v>
      </c>
      <c r="D29" s="52">
        <v>19.3</v>
      </c>
      <c r="E29" s="52">
        <v>4.82</v>
      </c>
      <c r="F29" s="52">
        <v>5.29</v>
      </c>
      <c r="G29" s="54" t="s">
        <v>8</v>
      </c>
      <c r="H29" s="52">
        <v>3.11</v>
      </c>
      <c r="I29" s="52">
        <v>0.43</v>
      </c>
      <c r="J29" s="52">
        <v>2.41</v>
      </c>
      <c r="K29" s="52">
        <v>103.42</v>
      </c>
      <c r="L29" s="52">
        <v>23.84</v>
      </c>
      <c r="M29" s="52">
        <v>85.1</v>
      </c>
      <c r="N29" s="52">
        <v>20.3</v>
      </c>
      <c r="O29" s="52">
        <v>0</v>
      </c>
      <c r="P29" s="52">
        <v>0.41</v>
      </c>
      <c r="Q29" s="52">
        <v>47.92</v>
      </c>
      <c r="R29" s="44"/>
      <c r="S29" s="44"/>
      <c r="T29" s="44"/>
      <c r="U29" s="44"/>
    </row>
    <row r="30" spans="1:21" s="12" customFormat="1" x14ac:dyDescent="0.25">
      <c r="A30" s="51" t="s">
        <v>227</v>
      </c>
      <c r="B30" s="52">
        <v>4.55</v>
      </c>
      <c r="C30" s="52">
        <v>15.56</v>
      </c>
      <c r="D30" s="52">
        <v>19.75</v>
      </c>
      <c r="E30" s="52">
        <v>5.21</v>
      </c>
      <c r="F30" s="52">
        <v>5.58</v>
      </c>
      <c r="G30" s="54" t="s">
        <v>8</v>
      </c>
      <c r="H30" s="52">
        <v>3.11</v>
      </c>
      <c r="I30" s="52">
        <v>0.45</v>
      </c>
      <c r="J30" s="52">
        <v>2.3199999999999998</v>
      </c>
      <c r="K30" s="52">
        <v>103.19</v>
      </c>
      <c r="L30" s="52">
        <v>23.63</v>
      </c>
      <c r="M30" s="52">
        <v>85.32</v>
      </c>
      <c r="N30" s="52">
        <v>20.100000000000001</v>
      </c>
      <c r="O30" s="52">
        <v>0</v>
      </c>
      <c r="P30" s="52">
        <v>0.41</v>
      </c>
      <c r="Q30" s="52">
        <v>54.62</v>
      </c>
      <c r="R30" s="44"/>
      <c r="S30" s="44"/>
      <c r="T30" s="44"/>
      <c r="U30" s="44"/>
    </row>
    <row r="31" spans="1:21" s="12" customFormat="1" x14ac:dyDescent="0.25">
      <c r="A31" s="51" t="s">
        <v>228</v>
      </c>
      <c r="B31" s="52">
        <v>4.6500000000000004</v>
      </c>
      <c r="C31" s="52">
        <v>14.88</v>
      </c>
      <c r="D31" s="52">
        <v>19.510000000000002</v>
      </c>
      <c r="E31" s="52">
        <v>5.0599999999999996</v>
      </c>
      <c r="F31" s="52">
        <v>5.44</v>
      </c>
      <c r="G31" s="54" t="s">
        <v>8</v>
      </c>
      <c r="H31" s="52">
        <v>3.14</v>
      </c>
      <c r="I31" s="52">
        <v>0.5</v>
      </c>
      <c r="J31" s="52">
        <v>1.33</v>
      </c>
      <c r="K31" s="52">
        <v>159.88999999999999</v>
      </c>
      <c r="L31" s="52">
        <v>23.53</v>
      </c>
      <c r="M31" s="52">
        <v>85.58</v>
      </c>
      <c r="N31" s="52">
        <v>20.399999999999999</v>
      </c>
      <c r="O31" s="52">
        <v>0</v>
      </c>
      <c r="P31" s="52">
        <v>0.41</v>
      </c>
      <c r="Q31" s="52">
        <v>53.76</v>
      </c>
      <c r="R31" s="44"/>
      <c r="S31" s="44"/>
      <c r="T31" s="44"/>
      <c r="U31" s="44"/>
    </row>
    <row r="32" spans="1:21" s="12" customFormat="1" x14ac:dyDescent="0.25">
      <c r="A32" s="51" t="s">
        <v>229</v>
      </c>
      <c r="B32" s="52">
        <v>4.75</v>
      </c>
      <c r="C32" s="52">
        <v>13.57</v>
      </c>
      <c r="D32" s="52">
        <v>18.18</v>
      </c>
      <c r="E32" s="52">
        <v>5.14</v>
      </c>
      <c r="F32" s="52">
        <v>5.47</v>
      </c>
      <c r="G32" s="54" t="s">
        <v>8</v>
      </c>
      <c r="H32" s="52">
        <v>3.14</v>
      </c>
      <c r="I32" s="52">
        <v>0.46</v>
      </c>
      <c r="J32" s="52">
        <v>0.9</v>
      </c>
      <c r="K32" s="52">
        <v>136.35</v>
      </c>
      <c r="L32" s="52">
        <v>23.22</v>
      </c>
      <c r="M32" s="52">
        <v>85.74</v>
      </c>
      <c r="N32" s="52">
        <v>20.100000000000001</v>
      </c>
      <c r="O32" s="52">
        <v>0</v>
      </c>
      <c r="P32" s="52">
        <v>0.4</v>
      </c>
      <c r="Q32" s="52">
        <v>36.979999999999997</v>
      </c>
      <c r="R32" s="44"/>
      <c r="S32" s="44"/>
      <c r="T32" s="44"/>
      <c r="U32" s="44"/>
    </row>
    <row r="33" spans="1:21" s="22" customFormat="1" x14ac:dyDescent="0.25">
      <c r="A33" s="27"/>
      <c r="B33" s="21"/>
      <c r="C33" s="21"/>
      <c r="D33" s="21"/>
      <c r="E33" s="21"/>
      <c r="F33" s="21"/>
      <c r="G33" s="27"/>
      <c r="H33" s="27"/>
      <c r="I33" s="27"/>
      <c r="J33" s="21"/>
      <c r="K33" s="21"/>
      <c r="L33" s="27"/>
      <c r="M33" s="27"/>
      <c r="N33" s="27"/>
      <c r="O33" s="27"/>
      <c r="P33" s="27"/>
      <c r="Q33" s="21"/>
      <c r="R33" s="21"/>
      <c r="S33" s="21"/>
      <c r="T33" s="21"/>
      <c r="U33" s="21"/>
    </row>
    <row r="34" spans="1:21" s="22" customFormat="1" x14ac:dyDescent="0.25">
      <c r="A34" s="28" t="s">
        <v>30</v>
      </c>
      <c r="B34" s="29">
        <f t="shared" ref="B34:Q34" si="0">MIN(B9:B32)</f>
        <v>1.97</v>
      </c>
      <c r="C34" s="29">
        <f t="shared" si="0"/>
        <v>11.79</v>
      </c>
      <c r="D34" s="29">
        <f t="shared" si="0"/>
        <v>14.34</v>
      </c>
      <c r="E34" s="29">
        <f t="shared" si="0"/>
        <v>3.18</v>
      </c>
      <c r="F34" s="29">
        <f t="shared" si="0"/>
        <v>5.29</v>
      </c>
      <c r="G34" s="29">
        <f t="shared" si="0"/>
        <v>0</v>
      </c>
      <c r="H34" s="29">
        <f t="shared" si="0"/>
        <v>1.9</v>
      </c>
      <c r="I34" s="29">
        <f t="shared" si="0"/>
        <v>0.28000000000000003</v>
      </c>
      <c r="J34" s="29">
        <f t="shared" si="0"/>
        <v>0.9</v>
      </c>
      <c r="K34" s="29">
        <f t="shared" si="0"/>
        <v>95.65</v>
      </c>
      <c r="L34" s="29">
        <f t="shared" si="0"/>
        <v>21.94</v>
      </c>
      <c r="M34" s="29">
        <f t="shared" si="0"/>
        <v>61.55</v>
      </c>
      <c r="N34" s="29">
        <f t="shared" si="0"/>
        <v>20.100000000000001</v>
      </c>
      <c r="O34" s="29">
        <f t="shared" si="0"/>
        <v>0</v>
      </c>
      <c r="P34" s="29">
        <f t="shared" si="0"/>
        <v>0.19</v>
      </c>
      <c r="Q34" s="29">
        <f t="shared" si="0"/>
        <v>16.64</v>
      </c>
      <c r="R34" s="29"/>
      <c r="S34" s="29"/>
      <c r="T34" s="29"/>
      <c r="U34" s="29"/>
    </row>
    <row r="35" spans="1:21" s="22" customFormat="1" x14ac:dyDescent="0.25">
      <c r="A35" s="28" t="s">
        <v>31</v>
      </c>
      <c r="B35" s="30">
        <f t="shared" ref="B35:Q35" si="1">MAX(B9:B32)</f>
        <v>4.75</v>
      </c>
      <c r="C35" s="30">
        <f t="shared" si="1"/>
        <v>16.579999999999998</v>
      </c>
      <c r="D35" s="30">
        <f t="shared" si="1"/>
        <v>19.75</v>
      </c>
      <c r="E35" s="30">
        <f t="shared" si="1"/>
        <v>5.78</v>
      </c>
      <c r="F35" s="30">
        <f t="shared" si="1"/>
        <v>10.11</v>
      </c>
      <c r="G35" s="30">
        <f t="shared" si="1"/>
        <v>0</v>
      </c>
      <c r="H35" s="30">
        <f t="shared" si="1"/>
        <v>5.81</v>
      </c>
      <c r="I35" s="30">
        <f t="shared" si="1"/>
        <v>0.53</v>
      </c>
      <c r="J35" s="30">
        <f t="shared" si="1"/>
        <v>3.2</v>
      </c>
      <c r="K35" s="30">
        <f t="shared" si="1"/>
        <v>159.88999999999999</v>
      </c>
      <c r="L35" s="30">
        <f t="shared" si="1"/>
        <v>28.39</v>
      </c>
      <c r="M35" s="30">
        <f t="shared" si="1"/>
        <v>89.11</v>
      </c>
      <c r="N35" s="30">
        <f t="shared" si="1"/>
        <v>939.3</v>
      </c>
      <c r="O35" s="30">
        <f t="shared" si="1"/>
        <v>0.2</v>
      </c>
      <c r="P35" s="30">
        <f t="shared" si="1"/>
        <v>0.41</v>
      </c>
      <c r="Q35" s="30">
        <f t="shared" si="1"/>
        <v>54.62</v>
      </c>
      <c r="R35" s="30"/>
      <c r="S35" s="30"/>
      <c r="T35" s="30"/>
      <c r="U35" s="30"/>
    </row>
    <row r="36" spans="1:21" s="22" customFormat="1" x14ac:dyDescent="0.25">
      <c r="A36" s="28" t="s">
        <v>32</v>
      </c>
      <c r="B36" s="29">
        <f t="shared" ref="B36:Q36" si="2">AVERAGE(B9:B32)</f>
        <v>3.2629166666666669</v>
      </c>
      <c r="C36" s="29">
        <f t="shared" si="2"/>
        <v>14.053749999999999</v>
      </c>
      <c r="D36" s="29">
        <f t="shared" si="2"/>
        <v>17.157083333333333</v>
      </c>
      <c r="E36" s="29">
        <f t="shared" si="2"/>
        <v>4.4525000000000006</v>
      </c>
      <c r="F36" s="29">
        <f t="shared" si="2"/>
        <v>6.1866666666666674</v>
      </c>
      <c r="G36" s="29" t="e">
        <f t="shared" si="2"/>
        <v>#DIV/0!</v>
      </c>
      <c r="H36" s="29">
        <f t="shared" si="2"/>
        <v>3.4770833333333333</v>
      </c>
      <c r="I36" s="29">
        <f t="shared" si="2"/>
        <v>0.43583333333333329</v>
      </c>
      <c r="J36" s="29">
        <f t="shared" si="2"/>
        <v>2.0758333333333336</v>
      </c>
      <c r="K36" s="29">
        <f t="shared" si="2"/>
        <v>109.07000000000001</v>
      </c>
      <c r="L36" s="29">
        <f t="shared" si="2"/>
        <v>24.593333333333334</v>
      </c>
      <c r="M36" s="29">
        <f t="shared" si="2"/>
        <v>80.099583333333328</v>
      </c>
      <c r="N36" s="29">
        <f t="shared" si="2"/>
        <v>264.19166666666666</v>
      </c>
      <c r="O36" s="29">
        <f t="shared" si="2"/>
        <v>8.3333333333333332E-3</v>
      </c>
      <c r="P36" s="29">
        <f t="shared" si="2"/>
        <v>0.30375000000000008</v>
      </c>
      <c r="Q36" s="29">
        <f t="shared" si="2"/>
        <v>40.9925</v>
      </c>
      <c r="R36" s="29"/>
      <c r="S36" s="29"/>
      <c r="T36" s="29"/>
      <c r="U36" s="29"/>
    </row>
    <row r="37" spans="1:21" s="22" customFormat="1" x14ac:dyDescent="0.25">
      <c r="A37" s="28" t="s">
        <v>38</v>
      </c>
      <c r="B37" s="29">
        <f>STDEV(B9:B32)</f>
        <v>0.80903850161870972</v>
      </c>
      <c r="C37" s="29">
        <f t="shared" ref="C37:Q37" si="3">STDEV(C9:C32)</f>
        <v>1.183263036287147</v>
      </c>
      <c r="D37" s="29">
        <f t="shared" si="3"/>
        <v>1.6299332586140549</v>
      </c>
      <c r="E37" s="29">
        <f t="shared" si="3"/>
        <v>0.77889693463423038</v>
      </c>
      <c r="F37" s="29">
        <f t="shared" si="3"/>
        <v>1.1711817393840525</v>
      </c>
      <c r="G37" s="29" t="e">
        <f t="shared" si="3"/>
        <v>#DIV/0!</v>
      </c>
      <c r="H37" s="29">
        <f t="shared" si="3"/>
        <v>1.0327232011264817</v>
      </c>
      <c r="I37" s="29">
        <f t="shared" si="3"/>
        <v>7.2346789638618722E-2</v>
      </c>
      <c r="J37" s="29">
        <f t="shared" si="3"/>
        <v>0.46888319363713798</v>
      </c>
      <c r="K37" s="29">
        <f t="shared" si="3"/>
        <v>13.129587562646979</v>
      </c>
      <c r="L37" s="29">
        <f t="shared" si="3"/>
        <v>2.0529822775377431</v>
      </c>
      <c r="M37" s="29">
        <f t="shared" si="3"/>
        <v>9.8768937553071758</v>
      </c>
      <c r="N37" s="29">
        <f t="shared" si="3"/>
        <v>336.6891585613555</v>
      </c>
      <c r="O37" s="29">
        <f t="shared" si="3"/>
        <v>4.0824829046386311E-2</v>
      </c>
      <c r="P37" s="29">
        <f t="shared" si="3"/>
        <v>6.2887926538786276E-2</v>
      </c>
      <c r="Q37" s="29">
        <f t="shared" si="3"/>
        <v>10.829700806819069</v>
      </c>
      <c r="R37" s="29"/>
      <c r="S37" s="29"/>
      <c r="T37" s="29"/>
      <c r="U37" s="29"/>
    </row>
    <row r="38" spans="1:21" s="22" customFormat="1" x14ac:dyDescent="0.25">
      <c r="A38" s="32" t="s">
        <v>33</v>
      </c>
      <c r="B38" s="33">
        <f t="shared" ref="B38:Q38" si="4">COUNT(B9:B32)</f>
        <v>24</v>
      </c>
      <c r="C38" s="33">
        <f t="shared" si="4"/>
        <v>24</v>
      </c>
      <c r="D38" s="33">
        <f t="shared" si="4"/>
        <v>24</v>
      </c>
      <c r="E38" s="33">
        <f t="shared" si="4"/>
        <v>24</v>
      </c>
      <c r="F38" s="33">
        <f t="shared" si="4"/>
        <v>24</v>
      </c>
      <c r="G38" s="33">
        <f>COUNT(G9:G32)+24</f>
        <v>24</v>
      </c>
      <c r="H38" s="33">
        <f t="shared" si="4"/>
        <v>24</v>
      </c>
      <c r="I38" s="33">
        <f t="shared" si="4"/>
        <v>24</v>
      </c>
      <c r="J38" s="33">
        <f t="shared" si="4"/>
        <v>24</v>
      </c>
      <c r="K38" s="33">
        <f t="shared" si="4"/>
        <v>24</v>
      </c>
      <c r="L38" s="33">
        <f t="shared" si="4"/>
        <v>24</v>
      </c>
      <c r="M38" s="33">
        <f t="shared" si="4"/>
        <v>24</v>
      </c>
      <c r="N38" s="33">
        <f t="shared" si="4"/>
        <v>24</v>
      </c>
      <c r="O38" s="33">
        <f t="shared" si="4"/>
        <v>24</v>
      </c>
      <c r="P38" s="33">
        <f t="shared" si="4"/>
        <v>24</v>
      </c>
      <c r="Q38" s="33">
        <f t="shared" si="4"/>
        <v>24</v>
      </c>
      <c r="R38" s="33"/>
      <c r="S38" s="33"/>
      <c r="T38" s="33"/>
      <c r="U38" s="33"/>
    </row>
    <row r="39" spans="1:21" s="22" customFormat="1" x14ac:dyDescent="0.25">
      <c r="A39" s="28" t="s">
        <v>34</v>
      </c>
      <c r="B39" s="30" t="str">
        <f>IF(B38&gt;=22,"&gt;90%",IF(B38&lt;=22,"&lt;90%"))</f>
        <v>&gt;90%</v>
      </c>
      <c r="C39" s="30" t="str">
        <f t="shared" ref="C39:P39" si="5">IF(C38&gt;=22,"&gt;90%",IF(C38&lt;=22,"&lt;90%"))</f>
        <v>&gt;90%</v>
      </c>
      <c r="D39" s="30" t="str">
        <f t="shared" si="5"/>
        <v>&gt;90%</v>
      </c>
      <c r="E39" s="30" t="str">
        <f t="shared" si="5"/>
        <v>&gt;90%</v>
      </c>
      <c r="F39" s="30" t="str">
        <f t="shared" si="5"/>
        <v>&gt;90%</v>
      </c>
      <c r="G39" s="30" t="str">
        <f t="shared" si="5"/>
        <v>&gt;90%</v>
      </c>
      <c r="H39" s="30" t="str">
        <f t="shared" si="5"/>
        <v>&gt;90%</v>
      </c>
      <c r="I39" s="30" t="str">
        <f t="shared" si="5"/>
        <v>&gt;90%</v>
      </c>
      <c r="J39" s="30" t="str">
        <f t="shared" si="5"/>
        <v>&gt;90%</v>
      </c>
      <c r="K39" s="30" t="str">
        <f t="shared" si="5"/>
        <v>&gt;90%</v>
      </c>
      <c r="L39" s="30" t="str">
        <f t="shared" si="5"/>
        <v>&gt;90%</v>
      </c>
      <c r="M39" s="30" t="str">
        <f t="shared" si="5"/>
        <v>&gt;90%</v>
      </c>
      <c r="N39" s="30" t="str">
        <f t="shared" si="5"/>
        <v>&gt;90%</v>
      </c>
      <c r="O39" s="30" t="str">
        <f t="shared" si="5"/>
        <v>&gt;90%</v>
      </c>
      <c r="P39" s="30" t="str">
        <f t="shared" si="5"/>
        <v>&gt;90%</v>
      </c>
      <c r="Q39" s="30" t="str">
        <f>IF(Q38&gt;=22,"&gt;90%",IF(Q38&lt;=22,"&lt;90%"))</f>
        <v>&gt;90%</v>
      </c>
      <c r="R39" s="30"/>
      <c r="S39" s="30"/>
      <c r="T39" s="30"/>
      <c r="U39" s="30"/>
    </row>
    <row r="40" spans="1:21" s="22" customFormat="1" x14ac:dyDescent="0.25">
      <c r="A40" s="28" t="s">
        <v>1</v>
      </c>
      <c r="B40" s="30" t="str">
        <f>IF(B38&gt;=22,"OK",IF(B38&lt;=22,"LESS"))</f>
        <v>OK</v>
      </c>
      <c r="C40" s="30" t="str">
        <f t="shared" ref="C40:Q40" si="6">IF(C38&gt;=22,"OK",IF(C38&lt;=22,"LESS"))</f>
        <v>OK</v>
      </c>
      <c r="D40" s="30" t="str">
        <f t="shared" si="6"/>
        <v>OK</v>
      </c>
      <c r="E40" s="30" t="str">
        <f t="shared" si="6"/>
        <v>OK</v>
      </c>
      <c r="F40" s="30" t="str">
        <f t="shared" si="6"/>
        <v>OK</v>
      </c>
      <c r="G40" s="30" t="str">
        <f t="shared" si="6"/>
        <v>OK</v>
      </c>
      <c r="H40" s="30" t="str">
        <f t="shared" si="6"/>
        <v>OK</v>
      </c>
      <c r="I40" s="30" t="str">
        <f t="shared" si="6"/>
        <v>OK</v>
      </c>
      <c r="J40" s="30" t="str">
        <f t="shared" si="6"/>
        <v>OK</v>
      </c>
      <c r="K40" s="30" t="str">
        <f t="shared" si="6"/>
        <v>OK</v>
      </c>
      <c r="L40" s="30" t="str">
        <f t="shared" si="6"/>
        <v>OK</v>
      </c>
      <c r="M40" s="30" t="str">
        <f t="shared" si="6"/>
        <v>OK</v>
      </c>
      <c r="N40" s="30" t="str">
        <f t="shared" si="6"/>
        <v>OK</v>
      </c>
      <c r="O40" s="30" t="str">
        <f t="shared" si="6"/>
        <v>OK</v>
      </c>
      <c r="P40" s="30" t="str">
        <f t="shared" si="6"/>
        <v>OK</v>
      </c>
      <c r="Q40" s="30" t="str">
        <f t="shared" si="6"/>
        <v>OK</v>
      </c>
      <c r="R40" s="30"/>
      <c r="S40" s="30"/>
      <c r="T40" s="30"/>
      <c r="U40" s="30"/>
    </row>
    <row r="41" spans="1:21" s="22" customFormat="1" x14ac:dyDescent="0.25">
      <c r="A41" s="14"/>
      <c r="L41" s="14"/>
      <c r="N41" s="17"/>
      <c r="O41" s="17"/>
      <c r="P41" s="17"/>
      <c r="Q41" s="17"/>
      <c r="R41" s="17"/>
      <c r="S41" s="17"/>
      <c r="T41" s="17"/>
      <c r="U41" s="17"/>
    </row>
    <row r="42" spans="1:21" s="22" customFormat="1" x14ac:dyDescent="0.25">
      <c r="A42" s="14"/>
    </row>
    <row r="43" spans="1:21" s="22" customFormat="1" x14ac:dyDescent="0.25">
      <c r="A43" s="15" t="s">
        <v>35</v>
      </c>
      <c r="B43" s="41" t="s">
        <v>42</v>
      </c>
      <c r="C43" s="43"/>
    </row>
    <row r="44" spans="1:21" s="22" customFormat="1" x14ac:dyDescent="0.25">
      <c r="A44" s="14"/>
      <c r="D44" s="2"/>
      <c r="E44" s="2"/>
      <c r="F44" s="2"/>
      <c r="G44" s="2"/>
      <c r="H44" s="2"/>
      <c r="I44" s="2"/>
    </row>
    <row r="45" spans="1:21" s="22" customFormat="1" ht="15.75" x14ac:dyDescent="0.25">
      <c r="A45" s="18" t="s">
        <v>36</v>
      </c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</row>
    <row r="46" spans="1:21" s="22" customFormat="1" x14ac:dyDescent="0.25"/>
    <row r="47" spans="1:21" s="22" customFormat="1" x14ac:dyDescent="0.25"/>
    <row r="48" spans="1:21" s="22" customFormat="1" x14ac:dyDescent="0.25"/>
    <row r="49" s="22" customFormat="1" x14ac:dyDescent="0.25"/>
    <row r="50" s="22" customFormat="1" x14ac:dyDescent="0.25"/>
    <row r="51" s="22" customFormat="1" x14ac:dyDescent="0.25"/>
    <row r="52" s="22" customFormat="1" x14ac:dyDescent="0.25"/>
    <row r="53" s="22" customFormat="1" x14ac:dyDescent="0.25"/>
    <row r="54" s="22" customFormat="1" x14ac:dyDescent="0.25"/>
    <row r="55" s="22" customFormat="1" x14ac:dyDescent="0.25"/>
    <row r="56" s="22" customFormat="1" x14ac:dyDescent="0.25"/>
    <row r="57" s="22" customFormat="1" x14ac:dyDescent="0.25"/>
    <row r="58" s="22" customFormat="1" x14ac:dyDescent="0.25"/>
    <row r="59" s="22" customFormat="1" x14ac:dyDescent="0.25"/>
    <row r="60" s="22" customFormat="1" x14ac:dyDescent="0.25"/>
    <row r="61" s="22" customFormat="1" x14ac:dyDescent="0.25"/>
    <row r="62" s="22" customFormat="1" x14ac:dyDescent="0.25"/>
    <row r="63" s="22" customFormat="1" x14ac:dyDescent="0.25"/>
    <row r="64" s="22" customFormat="1" x14ac:dyDescent="0.25"/>
    <row r="65" s="22" customFormat="1" x14ac:dyDescent="0.25"/>
    <row r="66" s="22" customFormat="1" x14ac:dyDescent="0.25"/>
    <row r="67" s="22" customFormat="1" x14ac:dyDescent="0.25"/>
    <row r="68" s="22" customFormat="1" x14ac:dyDescent="0.25"/>
    <row r="69" s="22" customFormat="1" x14ac:dyDescent="0.25"/>
    <row r="70" s="22" customFormat="1" x14ac:dyDescent="0.25"/>
    <row r="71" s="22" customFormat="1" x14ac:dyDescent="0.25"/>
    <row r="72" s="22" customFormat="1" x14ac:dyDescent="0.25"/>
    <row r="73" s="22" customFormat="1" x14ac:dyDescent="0.25"/>
    <row r="74" s="22" customFormat="1" x14ac:dyDescent="0.25"/>
    <row r="75" s="22" customFormat="1" x14ac:dyDescent="0.25"/>
    <row r="76" s="22" customFormat="1" x14ac:dyDescent="0.25"/>
    <row r="77" s="22" customFormat="1" x14ac:dyDescent="0.25"/>
    <row r="78" s="22" customFormat="1" x14ac:dyDescent="0.25"/>
    <row r="79" s="22" customFormat="1" x14ac:dyDescent="0.25"/>
    <row r="80" s="22" customFormat="1" x14ac:dyDescent="0.25"/>
    <row r="81" s="22" customFormat="1" x14ac:dyDescent="0.25"/>
    <row r="82" s="22" customFormat="1" x14ac:dyDescent="0.25"/>
    <row r="83" s="22" customFormat="1" x14ac:dyDescent="0.25"/>
    <row r="84" s="22" customFormat="1" x14ac:dyDescent="0.25"/>
    <row r="85" s="22" customFormat="1" x14ac:dyDescent="0.25"/>
    <row r="86" s="22" customFormat="1" x14ac:dyDescent="0.25"/>
    <row r="87" s="22" customFormat="1" x14ac:dyDescent="0.25"/>
    <row r="88" s="22" customFormat="1" x14ac:dyDescent="0.25"/>
    <row r="89" s="22" customFormat="1" x14ac:dyDescent="0.25"/>
    <row r="90" s="22" customFormat="1" x14ac:dyDescent="0.25"/>
    <row r="91" s="22" customFormat="1" x14ac:dyDescent="0.25"/>
    <row r="92" s="22" customFormat="1" x14ac:dyDescent="0.25"/>
    <row r="93" s="22" customFormat="1" x14ac:dyDescent="0.25"/>
    <row r="94" s="22" customFormat="1" x14ac:dyDescent="0.25"/>
    <row r="95" s="22" customFormat="1" x14ac:dyDescent="0.25"/>
    <row r="96" s="22" customFormat="1" x14ac:dyDescent="0.25"/>
    <row r="97" spans="1:1" s="22" customFormat="1" x14ac:dyDescent="0.25"/>
    <row r="98" spans="1:1" s="22" customFormat="1" x14ac:dyDescent="0.25"/>
    <row r="99" spans="1:1" s="22" customFormat="1" x14ac:dyDescent="0.25"/>
    <row r="100" spans="1:1" s="22" customFormat="1" x14ac:dyDescent="0.25"/>
    <row r="101" spans="1:1" s="22" customFormat="1" x14ac:dyDescent="0.25"/>
    <row r="102" spans="1:1" s="22" customFormat="1" x14ac:dyDescent="0.25"/>
    <row r="103" spans="1:1" s="22" customFormat="1" x14ac:dyDescent="0.25"/>
    <row r="104" spans="1:1" s="22" customFormat="1" x14ac:dyDescent="0.25"/>
    <row r="105" spans="1:1" s="22" customFormat="1" x14ac:dyDescent="0.25"/>
    <row r="106" spans="1:1" x14ac:dyDescent="0.25">
      <c r="A106" s="21"/>
    </row>
    <row r="107" spans="1:1" s="22" customFormat="1" x14ac:dyDescent="0.25"/>
    <row r="108" spans="1:1" s="22" customFormat="1" x14ac:dyDescent="0.25"/>
    <row r="109" spans="1:1" s="22" customFormat="1" x14ac:dyDescent="0.25"/>
    <row r="110" spans="1:1" s="22" customFormat="1" x14ac:dyDescent="0.25"/>
    <row r="111" spans="1:1" s="22" customFormat="1" x14ac:dyDescent="0.25"/>
    <row r="112" spans="1:1" s="22" customFormat="1" x14ac:dyDescent="0.25"/>
    <row r="113" spans="1:1" s="22" customFormat="1" x14ac:dyDescent="0.25"/>
    <row r="114" spans="1:1" s="22" customFormat="1" x14ac:dyDescent="0.25"/>
    <row r="115" spans="1:1" s="22" customFormat="1" x14ac:dyDescent="0.25"/>
    <row r="116" spans="1:1" s="22" customFormat="1" x14ac:dyDescent="0.25"/>
    <row r="117" spans="1:1" s="22" customFormat="1" x14ac:dyDescent="0.25"/>
    <row r="118" spans="1:1" x14ac:dyDescent="0.25">
      <c r="A118" s="21"/>
    </row>
    <row r="119" spans="1:1" x14ac:dyDescent="0.25">
      <c r="A119" s="21"/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2" ySplit="8" topLeftCell="C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I39" sqref="I39"/>
    </sheetView>
  </sheetViews>
  <sheetFormatPr defaultColWidth="8.85546875" defaultRowHeight="15" x14ac:dyDescent="0.25"/>
  <cols>
    <col min="1" max="1" width="18.28515625" style="27" customWidth="1"/>
    <col min="2" max="2" width="13.42578125" style="21" customWidth="1"/>
    <col min="3" max="12" width="9.140625" style="21" customWidth="1"/>
    <col min="13" max="13" width="10" style="21" customWidth="1"/>
    <col min="14" max="19" width="9.140625" style="21" customWidth="1"/>
    <col min="20" max="20" width="11.42578125" style="21" customWidth="1"/>
    <col min="21" max="16384" width="8.85546875" style="21"/>
  </cols>
  <sheetData>
    <row r="1" spans="1:21" s="22" customFormat="1" ht="26.25" x14ac:dyDescent="0.25">
      <c r="A1" s="15" t="s">
        <v>2</v>
      </c>
      <c r="B1" s="24" t="s">
        <v>43</v>
      </c>
      <c r="C1" s="38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s="22" customFormat="1" x14ac:dyDescent="0.25">
      <c r="A2" s="15" t="s">
        <v>0</v>
      </c>
      <c r="B2" s="39" t="str">
        <f>$A$9</f>
        <v>08-10-2022 01:00</v>
      </c>
      <c r="C2" s="12"/>
      <c r="D2" s="11" t="s">
        <v>3</v>
      </c>
      <c r="E2" s="11"/>
      <c r="F2" s="11"/>
      <c r="G2" s="4" t="s">
        <v>4</v>
      </c>
      <c r="H2" s="20"/>
      <c r="I2" s="20"/>
      <c r="J2" s="20"/>
      <c r="K2" s="13"/>
      <c r="L2" s="11" t="s">
        <v>5</v>
      </c>
      <c r="M2" s="13"/>
      <c r="N2" s="8" t="s">
        <v>6</v>
      </c>
      <c r="P2" s="40" t="s">
        <v>7</v>
      </c>
      <c r="Q2" s="13"/>
      <c r="R2" s="9" t="s">
        <v>8</v>
      </c>
      <c r="S2" s="12"/>
      <c r="T2" s="12"/>
      <c r="U2" s="12"/>
    </row>
    <row r="3" spans="1:21" s="22" customFormat="1" x14ac:dyDescent="0.25">
      <c r="A3" s="15" t="s">
        <v>9</v>
      </c>
      <c r="B3" s="13" t="s">
        <v>10</v>
      </c>
      <c r="C3" s="12"/>
      <c r="D3" s="11" t="s">
        <v>11</v>
      </c>
      <c r="E3" s="11"/>
      <c r="F3" s="11"/>
      <c r="G3" s="19" t="s">
        <v>12</v>
      </c>
      <c r="H3" s="20"/>
      <c r="I3" s="20"/>
      <c r="J3" s="20"/>
      <c r="K3" s="12"/>
      <c r="L3" s="11" t="s">
        <v>13</v>
      </c>
      <c r="M3" s="13"/>
      <c r="N3" s="6" t="s">
        <v>14</v>
      </c>
      <c r="O3" s="13"/>
      <c r="P3" s="40" t="s">
        <v>15</v>
      </c>
      <c r="Q3" s="13"/>
      <c r="R3" s="10" t="s">
        <v>15</v>
      </c>
      <c r="S3" s="12"/>
      <c r="T3" s="12"/>
      <c r="U3" s="12"/>
    </row>
    <row r="4" spans="1:21" s="22" customFormat="1" x14ac:dyDescent="0.25">
      <c r="A4" s="15" t="s">
        <v>16</v>
      </c>
      <c r="B4" s="13" t="s">
        <v>39</v>
      </c>
      <c r="C4" s="12"/>
      <c r="D4" s="11" t="s">
        <v>17</v>
      </c>
      <c r="E4" s="11"/>
      <c r="F4" s="11"/>
      <c r="G4" s="5" t="s">
        <v>18</v>
      </c>
      <c r="H4" s="20"/>
      <c r="I4" s="20"/>
      <c r="J4" s="20"/>
      <c r="K4" s="3"/>
      <c r="L4" s="11" t="s">
        <v>19</v>
      </c>
      <c r="M4" s="13"/>
      <c r="N4" s="7" t="s">
        <v>20</v>
      </c>
      <c r="O4" s="13"/>
      <c r="P4" s="13"/>
      <c r="Q4" s="13"/>
      <c r="R4" s="13"/>
      <c r="S4" s="12"/>
      <c r="T4" s="12"/>
      <c r="U4" s="12"/>
    </row>
    <row r="5" spans="1:21" s="22" customFormat="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s="22" customFormat="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s="22" customFormat="1" x14ac:dyDescent="0.25">
      <c r="A7" s="15" t="s">
        <v>21</v>
      </c>
      <c r="B7" s="45" t="s">
        <v>59</v>
      </c>
      <c r="C7" s="45" t="s">
        <v>44</v>
      </c>
      <c r="D7" s="45" t="s">
        <v>45</v>
      </c>
      <c r="E7" s="45" t="s">
        <v>46</v>
      </c>
      <c r="F7" s="45" t="s">
        <v>47</v>
      </c>
      <c r="G7" s="45" t="s">
        <v>48</v>
      </c>
      <c r="H7" s="45" t="s">
        <v>49</v>
      </c>
      <c r="I7" s="45" t="s">
        <v>50</v>
      </c>
      <c r="J7" s="45" t="s">
        <v>51</v>
      </c>
      <c r="K7" s="45" t="s">
        <v>52</v>
      </c>
      <c r="L7" s="45" t="s">
        <v>53</v>
      </c>
      <c r="M7" s="45" t="s">
        <v>54</v>
      </c>
      <c r="N7" s="45" t="s">
        <v>55</v>
      </c>
      <c r="O7" s="45" t="s">
        <v>56</v>
      </c>
      <c r="P7" s="45" t="s">
        <v>57</v>
      </c>
      <c r="Q7" s="45" t="s">
        <v>58</v>
      </c>
      <c r="R7" s="28"/>
      <c r="S7" s="30"/>
      <c r="T7" s="28"/>
      <c r="U7" s="28"/>
    </row>
    <row r="8" spans="1:21" s="22" customFormat="1" x14ac:dyDescent="0.25">
      <c r="A8" s="15"/>
      <c r="B8" s="30" t="s">
        <v>22</v>
      </c>
      <c r="C8" s="30" t="s">
        <v>22</v>
      </c>
      <c r="D8" s="30" t="s">
        <v>22</v>
      </c>
      <c r="E8" s="30" t="s">
        <v>22</v>
      </c>
      <c r="F8" s="30" t="s">
        <v>22</v>
      </c>
      <c r="G8" s="30" t="s">
        <v>23</v>
      </c>
      <c r="H8" s="30" t="s">
        <v>22</v>
      </c>
      <c r="I8" s="30" t="s">
        <v>22</v>
      </c>
      <c r="J8" s="30" t="s">
        <v>24</v>
      </c>
      <c r="K8" s="30" t="s">
        <v>25</v>
      </c>
      <c r="L8" s="28" t="s">
        <v>27</v>
      </c>
      <c r="M8" s="30" t="s">
        <v>26</v>
      </c>
      <c r="N8" s="30" t="s">
        <v>28</v>
      </c>
      <c r="O8" s="28" t="s">
        <v>29</v>
      </c>
      <c r="P8" s="30" t="s">
        <v>22</v>
      </c>
      <c r="Q8" s="30" t="s">
        <v>22</v>
      </c>
      <c r="R8" s="28"/>
      <c r="S8" s="30"/>
      <c r="T8" s="28"/>
      <c r="U8" s="28"/>
    </row>
    <row r="9" spans="1:21" s="12" customFormat="1" x14ac:dyDescent="0.25">
      <c r="A9" s="51" t="s">
        <v>230</v>
      </c>
      <c r="B9" s="52">
        <v>4.16</v>
      </c>
      <c r="C9" s="52">
        <v>13.21</v>
      </c>
      <c r="D9" s="52">
        <v>17.37</v>
      </c>
      <c r="E9" s="52">
        <v>4.42</v>
      </c>
      <c r="F9" s="52">
        <v>5.76</v>
      </c>
      <c r="G9" s="52">
        <v>21.64</v>
      </c>
      <c r="H9" s="52">
        <v>3.19</v>
      </c>
      <c r="I9" s="52">
        <v>0.5</v>
      </c>
      <c r="J9" s="52">
        <v>1.74</v>
      </c>
      <c r="K9" s="52">
        <v>133.80000000000001</v>
      </c>
      <c r="L9" s="52">
        <v>22.93</v>
      </c>
      <c r="M9" s="52">
        <v>86.2</v>
      </c>
      <c r="N9" s="52">
        <v>20.100000000000001</v>
      </c>
      <c r="O9" s="52">
        <v>0</v>
      </c>
      <c r="P9" s="52">
        <v>0.37</v>
      </c>
      <c r="Q9" s="52">
        <v>35.630000000000003</v>
      </c>
      <c r="R9" s="44"/>
      <c r="S9" s="44"/>
      <c r="T9" s="44"/>
      <c r="U9" s="44"/>
    </row>
    <row r="10" spans="1:21" s="12" customFormat="1" x14ac:dyDescent="0.25">
      <c r="A10" s="51" t="s">
        <v>231</v>
      </c>
      <c r="B10" s="52">
        <v>4.22</v>
      </c>
      <c r="C10" s="52">
        <v>11.87</v>
      </c>
      <c r="D10" s="52">
        <v>16.04</v>
      </c>
      <c r="E10" s="52">
        <v>4.87</v>
      </c>
      <c r="F10" s="52">
        <v>5.3</v>
      </c>
      <c r="G10" s="52">
        <v>9.0299999999999994</v>
      </c>
      <c r="H10" s="52">
        <v>3.24</v>
      </c>
      <c r="I10" s="52">
        <v>0.5</v>
      </c>
      <c r="J10" s="52">
        <v>1.53</v>
      </c>
      <c r="K10" s="52">
        <v>112.09</v>
      </c>
      <c r="L10" s="52">
        <v>22.76</v>
      </c>
      <c r="M10" s="52">
        <v>89.01</v>
      </c>
      <c r="N10" s="52">
        <v>20.100000000000001</v>
      </c>
      <c r="O10" s="52">
        <v>0</v>
      </c>
      <c r="P10" s="52">
        <v>0.35</v>
      </c>
      <c r="Q10" s="52">
        <v>53.62</v>
      </c>
      <c r="R10" s="44"/>
      <c r="S10" s="44"/>
      <c r="T10" s="44"/>
      <c r="U10" s="44"/>
    </row>
    <row r="11" spans="1:21" s="12" customFormat="1" x14ac:dyDescent="0.25">
      <c r="A11" s="51" t="s">
        <v>232</v>
      </c>
      <c r="B11" s="52">
        <v>4.21</v>
      </c>
      <c r="C11" s="52">
        <v>11.49</v>
      </c>
      <c r="D11" s="52">
        <v>15.69</v>
      </c>
      <c r="E11" s="52">
        <v>5.36</v>
      </c>
      <c r="F11" s="52">
        <v>5.09</v>
      </c>
      <c r="G11" s="52">
        <v>9.6999999999999993</v>
      </c>
      <c r="H11" s="52">
        <v>3.21</v>
      </c>
      <c r="I11" s="58" t="s">
        <v>6</v>
      </c>
      <c r="J11" s="52">
        <v>1.44</v>
      </c>
      <c r="K11" s="52">
        <v>99.96</v>
      </c>
      <c r="L11" s="52">
        <v>22.6</v>
      </c>
      <c r="M11" s="52">
        <v>89.63</v>
      </c>
      <c r="N11" s="52">
        <v>20</v>
      </c>
      <c r="O11" s="52">
        <v>0</v>
      </c>
      <c r="P11" s="52">
        <v>0.35</v>
      </c>
      <c r="Q11" s="52">
        <v>56.32</v>
      </c>
      <c r="R11" s="44"/>
      <c r="S11" s="44"/>
      <c r="T11" s="44"/>
      <c r="U11" s="44"/>
    </row>
    <row r="12" spans="1:21" s="12" customFormat="1" x14ac:dyDescent="0.25">
      <c r="A12" s="51" t="s">
        <v>233</v>
      </c>
      <c r="B12" s="52">
        <v>3.9</v>
      </c>
      <c r="C12" s="52">
        <v>12.69</v>
      </c>
      <c r="D12" s="52">
        <v>16.350000000000001</v>
      </c>
      <c r="E12" s="52">
        <v>5.51</v>
      </c>
      <c r="F12" s="52">
        <v>5.24</v>
      </c>
      <c r="G12" s="52">
        <v>13.79</v>
      </c>
      <c r="H12" s="52">
        <v>3.18</v>
      </c>
      <c r="I12" s="58" t="s">
        <v>6</v>
      </c>
      <c r="J12" s="52">
        <v>1.55</v>
      </c>
      <c r="K12" s="52">
        <v>97.64</v>
      </c>
      <c r="L12" s="52">
        <v>22.6</v>
      </c>
      <c r="M12" s="52">
        <v>88.4</v>
      </c>
      <c r="N12" s="52">
        <v>20.100000000000001</v>
      </c>
      <c r="O12" s="52">
        <v>0</v>
      </c>
      <c r="P12" s="52">
        <v>0.33</v>
      </c>
      <c r="Q12" s="52">
        <v>43.15</v>
      </c>
      <c r="R12" s="44"/>
      <c r="S12" s="44"/>
      <c r="T12" s="44"/>
      <c r="U12" s="44"/>
    </row>
    <row r="13" spans="1:21" s="12" customFormat="1" x14ac:dyDescent="0.25">
      <c r="A13" s="51" t="s">
        <v>234</v>
      </c>
      <c r="B13" s="52">
        <v>4.01</v>
      </c>
      <c r="C13" s="52">
        <v>13.9</v>
      </c>
      <c r="D13" s="52">
        <v>17.91</v>
      </c>
      <c r="E13" s="52">
        <v>5.32</v>
      </c>
      <c r="F13" s="52">
        <v>5.27</v>
      </c>
      <c r="G13" s="52">
        <v>16.809999999999999</v>
      </c>
      <c r="H13" s="52">
        <v>3.17</v>
      </c>
      <c r="I13" s="58" t="s">
        <v>6</v>
      </c>
      <c r="J13" s="52">
        <v>1.5</v>
      </c>
      <c r="K13" s="52">
        <v>98.46</v>
      </c>
      <c r="L13" s="52">
        <v>22.59</v>
      </c>
      <c r="M13" s="52">
        <v>88.48</v>
      </c>
      <c r="N13" s="52">
        <v>20.399999999999999</v>
      </c>
      <c r="O13" s="52">
        <v>0</v>
      </c>
      <c r="P13" s="52">
        <v>0.32</v>
      </c>
      <c r="Q13" s="52">
        <v>61.77</v>
      </c>
      <c r="R13" s="44"/>
      <c r="S13" s="44"/>
      <c r="T13" s="44"/>
      <c r="U13" s="44"/>
    </row>
    <row r="14" spans="1:21" s="12" customFormat="1" x14ac:dyDescent="0.25">
      <c r="A14" s="51" t="s">
        <v>235</v>
      </c>
      <c r="B14" s="52">
        <v>4.6900000000000004</v>
      </c>
      <c r="C14" s="52">
        <v>13.79</v>
      </c>
      <c r="D14" s="52">
        <v>18</v>
      </c>
      <c r="E14" s="52">
        <v>5.97</v>
      </c>
      <c r="F14" s="52">
        <v>5.24</v>
      </c>
      <c r="G14" s="52">
        <v>14.14</v>
      </c>
      <c r="H14" s="52">
        <v>3.19</v>
      </c>
      <c r="I14" s="58" t="s">
        <v>6</v>
      </c>
      <c r="J14" s="52">
        <v>1.42</v>
      </c>
      <c r="K14" s="52">
        <v>107.1</v>
      </c>
      <c r="L14" s="52">
        <v>22.59</v>
      </c>
      <c r="M14" s="52">
        <v>89.01</v>
      </c>
      <c r="N14" s="52">
        <v>24.4</v>
      </c>
      <c r="O14" s="52">
        <v>0</v>
      </c>
      <c r="P14" s="52">
        <v>0.32</v>
      </c>
      <c r="Q14" s="52">
        <v>67.819999999999993</v>
      </c>
      <c r="R14" s="44"/>
      <c r="S14" s="44"/>
      <c r="T14" s="44"/>
      <c r="U14" s="44"/>
    </row>
    <row r="15" spans="1:21" s="12" customFormat="1" x14ac:dyDescent="0.25">
      <c r="A15" s="51" t="s">
        <v>236</v>
      </c>
      <c r="B15" s="52">
        <v>6.8</v>
      </c>
      <c r="C15" s="52">
        <v>14.78</v>
      </c>
      <c r="D15" s="52">
        <v>21.57</v>
      </c>
      <c r="E15" s="52">
        <v>5.65</v>
      </c>
      <c r="F15" s="52">
        <v>5.12</v>
      </c>
      <c r="G15" s="52">
        <v>16.71</v>
      </c>
      <c r="H15" s="52">
        <v>3.2</v>
      </c>
      <c r="I15" s="58" t="s">
        <v>6</v>
      </c>
      <c r="J15" s="52">
        <v>0.57999999999999996</v>
      </c>
      <c r="K15" s="52">
        <v>171.45</v>
      </c>
      <c r="L15" s="52">
        <v>22.56</v>
      </c>
      <c r="M15" s="52">
        <v>88.73</v>
      </c>
      <c r="N15" s="52">
        <v>53.2</v>
      </c>
      <c r="O15" s="52">
        <v>0</v>
      </c>
      <c r="P15" s="52">
        <v>0.33</v>
      </c>
      <c r="Q15" s="52">
        <v>61.3</v>
      </c>
      <c r="R15" s="44"/>
      <c r="S15" s="44"/>
      <c r="T15" s="44"/>
      <c r="U15" s="44"/>
    </row>
    <row r="16" spans="1:21" s="12" customFormat="1" x14ac:dyDescent="0.25">
      <c r="A16" s="51" t="s">
        <v>237</v>
      </c>
      <c r="B16" s="52">
        <v>8.76</v>
      </c>
      <c r="C16" s="52">
        <v>18.16</v>
      </c>
      <c r="D16" s="52">
        <v>26.92</v>
      </c>
      <c r="E16" s="52">
        <v>5.85</v>
      </c>
      <c r="F16" s="52">
        <v>5.29</v>
      </c>
      <c r="G16" s="52">
        <v>13.9</v>
      </c>
      <c r="H16" s="52">
        <v>3.2</v>
      </c>
      <c r="I16" s="58" t="s">
        <v>6</v>
      </c>
      <c r="J16" s="52">
        <v>0.74</v>
      </c>
      <c r="K16" s="52">
        <v>156.13999999999999</v>
      </c>
      <c r="L16" s="52">
        <v>24.09</v>
      </c>
      <c r="M16" s="52">
        <v>87.76</v>
      </c>
      <c r="N16" s="52">
        <v>403.4</v>
      </c>
      <c r="O16" s="52">
        <v>0</v>
      </c>
      <c r="P16" s="52">
        <v>0.34</v>
      </c>
      <c r="Q16" s="52">
        <v>47.96</v>
      </c>
      <c r="R16" s="44"/>
      <c r="S16" s="44"/>
      <c r="T16" s="44"/>
      <c r="U16" s="44"/>
    </row>
    <row r="17" spans="1:21" s="12" customFormat="1" x14ac:dyDescent="0.25">
      <c r="A17" s="51" t="s">
        <v>238</v>
      </c>
      <c r="B17" s="52">
        <v>8.99</v>
      </c>
      <c r="C17" s="52">
        <v>18.3</v>
      </c>
      <c r="D17" s="52">
        <v>27.29</v>
      </c>
      <c r="E17" s="52">
        <v>5.53</v>
      </c>
      <c r="F17" s="52">
        <v>5.89</v>
      </c>
      <c r="G17" s="52">
        <v>12.26</v>
      </c>
      <c r="H17" s="52">
        <v>3.18</v>
      </c>
      <c r="I17" s="58" t="s">
        <v>6</v>
      </c>
      <c r="J17" s="52">
        <v>1.35</v>
      </c>
      <c r="K17" s="52">
        <v>167.24</v>
      </c>
      <c r="L17" s="52">
        <v>26.61</v>
      </c>
      <c r="M17" s="52">
        <v>74.89</v>
      </c>
      <c r="N17" s="52">
        <v>640</v>
      </c>
      <c r="O17" s="52">
        <v>0</v>
      </c>
      <c r="P17" s="52">
        <v>0.34</v>
      </c>
      <c r="Q17" s="52">
        <v>55.82</v>
      </c>
      <c r="R17" s="44"/>
      <c r="S17" s="44"/>
      <c r="T17" s="44"/>
      <c r="U17" s="44"/>
    </row>
    <row r="18" spans="1:21" s="12" customFormat="1" x14ac:dyDescent="0.25">
      <c r="A18" s="51" t="s">
        <v>239</v>
      </c>
      <c r="B18" s="52">
        <v>8.5500000000000007</v>
      </c>
      <c r="C18" s="52">
        <v>18.37</v>
      </c>
      <c r="D18" s="52">
        <v>26.69</v>
      </c>
      <c r="E18" s="52">
        <v>5.83</v>
      </c>
      <c r="F18" s="52">
        <v>5.8</v>
      </c>
      <c r="G18" s="52">
        <v>13.05</v>
      </c>
      <c r="H18" s="52">
        <v>3.28</v>
      </c>
      <c r="I18" s="58" t="s">
        <v>6</v>
      </c>
      <c r="J18" s="52">
        <v>1.1000000000000001</v>
      </c>
      <c r="K18" s="52">
        <v>163.13999999999999</v>
      </c>
      <c r="L18" s="52">
        <v>28.15</v>
      </c>
      <c r="M18" s="52">
        <v>63.58</v>
      </c>
      <c r="N18" s="52">
        <v>981.9</v>
      </c>
      <c r="O18" s="52">
        <v>0</v>
      </c>
      <c r="P18" s="52">
        <v>0.35</v>
      </c>
      <c r="Q18" s="52">
        <v>58.11</v>
      </c>
      <c r="R18" s="44"/>
      <c r="S18" s="44"/>
      <c r="T18" s="44"/>
      <c r="U18" s="44"/>
    </row>
    <row r="19" spans="1:21" s="12" customFormat="1" x14ac:dyDescent="0.25">
      <c r="A19" s="51" t="s">
        <v>240</v>
      </c>
      <c r="B19" s="52">
        <v>6.04</v>
      </c>
      <c r="C19" s="52">
        <v>16.66</v>
      </c>
      <c r="D19" s="52">
        <v>22.69</v>
      </c>
      <c r="E19" s="52">
        <v>5.4</v>
      </c>
      <c r="F19" s="52">
        <v>6.31</v>
      </c>
      <c r="G19" s="52">
        <v>10.78</v>
      </c>
      <c r="H19" s="52">
        <v>3.38</v>
      </c>
      <c r="I19" s="52">
        <v>0.55000000000000004</v>
      </c>
      <c r="J19" s="52">
        <v>0.96</v>
      </c>
      <c r="K19" s="52">
        <v>159.62</v>
      </c>
      <c r="L19" s="52">
        <v>29.19</v>
      </c>
      <c r="M19" s="52">
        <v>55.95</v>
      </c>
      <c r="N19" s="52">
        <v>1014.6</v>
      </c>
      <c r="O19" s="52">
        <v>0</v>
      </c>
      <c r="P19" s="52">
        <v>0.34</v>
      </c>
      <c r="Q19" s="52">
        <v>41.78</v>
      </c>
      <c r="R19" s="44"/>
      <c r="S19" s="44"/>
      <c r="T19" s="44"/>
      <c r="U19" s="44"/>
    </row>
    <row r="20" spans="1:21" s="12" customFormat="1" x14ac:dyDescent="0.25">
      <c r="A20" s="51" t="s">
        <v>241</v>
      </c>
      <c r="B20" s="52">
        <v>4.25</v>
      </c>
      <c r="C20" s="52">
        <v>17.55</v>
      </c>
      <c r="D20" s="52">
        <v>21.8</v>
      </c>
      <c r="E20" s="52">
        <v>4.82</v>
      </c>
      <c r="F20" s="52">
        <v>7.79</v>
      </c>
      <c r="G20" s="52">
        <v>11.08</v>
      </c>
      <c r="H20" s="52">
        <v>3.35</v>
      </c>
      <c r="I20" s="52">
        <v>0.63</v>
      </c>
      <c r="J20" s="52">
        <v>1.02</v>
      </c>
      <c r="K20" s="52">
        <v>168.72</v>
      </c>
      <c r="L20" s="52">
        <v>29.81</v>
      </c>
      <c r="M20" s="52">
        <v>55.54</v>
      </c>
      <c r="N20" s="52">
        <v>1109.8</v>
      </c>
      <c r="O20" s="52">
        <v>0</v>
      </c>
      <c r="P20" s="52">
        <v>0.32</v>
      </c>
      <c r="Q20" s="52">
        <v>35.590000000000003</v>
      </c>
      <c r="R20" s="44"/>
      <c r="S20" s="44"/>
      <c r="T20" s="44"/>
      <c r="U20" s="44"/>
    </row>
    <row r="21" spans="1:21" s="12" customFormat="1" x14ac:dyDescent="0.25">
      <c r="A21" s="51" t="s">
        <v>242</v>
      </c>
      <c r="B21" s="52">
        <v>3.55</v>
      </c>
      <c r="C21" s="52">
        <v>15.9</v>
      </c>
      <c r="D21" s="52">
        <v>19.12</v>
      </c>
      <c r="E21" s="52">
        <v>4.75</v>
      </c>
      <c r="F21" s="52">
        <v>7.61</v>
      </c>
      <c r="G21" s="52">
        <v>12.5</v>
      </c>
      <c r="H21" s="52">
        <v>3.33</v>
      </c>
      <c r="I21" s="52">
        <v>0.61</v>
      </c>
      <c r="J21" s="52">
        <v>1.21</v>
      </c>
      <c r="K21" s="52">
        <v>157.12</v>
      </c>
      <c r="L21" s="52">
        <v>30.69</v>
      </c>
      <c r="M21" s="52">
        <v>51.92</v>
      </c>
      <c r="N21" s="52">
        <v>1077.2</v>
      </c>
      <c r="O21" s="52">
        <v>0</v>
      </c>
      <c r="P21" s="52">
        <v>0.33</v>
      </c>
      <c r="Q21" s="52">
        <v>37.909999999999997</v>
      </c>
      <c r="R21" s="44"/>
      <c r="S21" s="44"/>
      <c r="T21" s="44"/>
      <c r="U21" s="44"/>
    </row>
    <row r="22" spans="1:21" s="12" customFormat="1" x14ac:dyDescent="0.25">
      <c r="A22" s="51" t="s">
        <v>243</v>
      </c>
      <c r="B22" s="52">
        <v>2.58</v>
      </c>
      <c r="C22" s="52">
        <v>13.8</v>
      </c>
      <c r="D22" s="52">
        <v>16.38</v>
      </c>
      <c r="E22" s="52">
        <v>4.55</v>
      </c>
      <c r="F22" s="52">
        <v>8.1199999999999992</v>
      </c>
      <c r="G22" s="52">
        <v>13.91</v>
      </c>
      <c r="H22" s="52">
        <v>3.32</v>
      </c>
      <c r="I22" s="52">
        <v>0.69</v>
      </c>
      <c r="J22" s="52">
        <v>0.87</v>
      </c>
      <c r="K22" s="52">
        <v>153.19999999999999</v>
      </c>
      <c r="L22" s="52">
        <v>30.33</v>
      </c>
      <c r="M22" s="52">
        <v>50.52</v>
      </c>
      <c r="N22" s="52">
        <v>900.3</v>
      </c>
      <c r="O22" s="52">
        <v>0</v>
      </c>
      <c r="P22" s="52">
        <v>0.3</v>
      </c>
      <c r="Q22" s="52">
        <v>34.31</v>
      </c>
      <c r="R22" s="44"/>
      <c r="S22" s="44"/>
      <c r="T22" s="44"/>
      <c r="U22" s="44"/>
    </row>
    <row r="23" spans="1:21" s="12" customFormat="1" x14ac:dyDescent="0.25">
      <c r="A23" s="51" t="s">
        <v>244</v>
      </c>
      <c r="B23" s="52">
        <v>4.3499999999999996</v>
      </c>
      <c r="C23" s="52">
        <v>20.84</v>
      </c>
      <c r="D23" s="52">
        <v>25.19</v>
      </c>
      <c r="E23" s="52">
        <v>4.2699999999999996</v>
      </c>
      <c r="F23" s="52">
        <v>11.36</v>
      </c>
      <c r="G23" s="52">
        <v>16.989999999999998</v>
      </c>
      <c r="H23" s="52">
        <v>3.32</v>
      </c>
      <c r="I23" s="52">
        <v>0.64</v>
      </c>
      <c r="J23" s="52">
        <v>1.1499999999999999</v>
      </c>
      <c r="K23" s="52">
        <v>100.85</v>
      </c>
      <c r="L23" s="52">
        <v>30.15</v>
      </c>
      <c r="M23" s="52">
        <v>52.25</v>
      </c>
      <c r="N23" s="52">
        <v>686.5</v>
      </c>
      <c r="O23" s="52">
        <v>0</v>
      </c>
      <c r="P23" s="52">
        <v>0.39</v>
      </c>
      <c r="Q23" s="52">
        <v>23.85</v>
      </c>
      <c r="R23" s="44"/>
      <c r="S23" s="44"/>
      <c r="T23" s="44"/>
      <c r="U23" s="44"/>
    </row>
    <row r="24" spans="1:21" s="12" customFormat="1" x14ac:dyDescent="0.25">
      <c r="A24" s="51" t="s">
        <v>245</v>
      </c>
      <c r="B24" s="52">
        <v>6.44</v>
      </c>
      <c r="C24" s="52">
        <v>24.09</v>
      </c>
      <c r="D24" s="52">
        <v>30.53</v>
      </c>
      <c r="E24" s="52">
        <v>4.97</v>
      </c>
      <c r="F24" s="52">
        <v>9.5299999999999994</v>
      </c>
      <c r="G24" s="52">
        <v>26.98</v>
      </c>
      <c r="H24" s="52">
        <v>3.43</v>
      </c>
      <c r="I24" s="52">
        <v>0.64</v>
      </c>
      <c r="J24" s="52">
        <v>2.41</v>
      </c>
      <c r="K24" s="52">
        <v>104.1</v>
      </c>
      <c r="L24" s="52">
        <v>29.32</v>
      </c>
      <c r="M24" s="52">
        <v>57.66</v>
      </c>
      <c r="N24" s="52">
        <v>184.1</v>
      </c>
      <c r="O24" s="52">
        <v>0</v>
      </c>
      <c r="P24" s="52">
        <v>0.44</v>
      </c>
      <c r="Q24" s="52">
        <v>52.34</v>
      </c>
      <c r="R24" s="44"/>
      <c r="S24" s="44"/>
      <c r="T24" s="44"/>
      <c r="U24" s="44"/>
    </row>
    <row r="25" spans="1:21" s="12" customFormat="1" x14ac:dyDescent="0.25">
      <c r="A25" s="51" t="s">
        <v>246</v>
      </c>
      <c r="B25" s="52">
        <v>2.83</v>
      </c>
      <c r="C25" s="52">
        <v>15.82</v>
      </c>
      <c r="D25" s="52">
        <v>18.34</v>
      </c>
      <c r="E25" s="52">
        <v>5.87</v>
      </c>
      <c r="F25" s="52">
        <v>6.9</v>
      </c>
      <c r="G25" s="52">
        <v>29.74</v>
      </c>
      <c r="H25" s="52">
        <v>3.51</v>
      </c>
      <c r="I25" s="52">
        <v>0.64</v>
      </c>
      <c r="J25" s="52">
        <v>1.78</v>
      </c>
      <c r="K25" s="52">
        <v>177.72</v>
      </c>
      <c r="L25" s="52">
        <v>27.75</v>
      </c>
      <c r="M25" s="52">
        <v>62.25</v>
      </c>
      <c r="N25" s="52">
        <v>121.1</v>
      </c>
      <c r="O25" s="52">
        <v>0</v>
      </c>
      <c r="P25" s="52">
        <v>0.35</v>
      </c>
      <c r="Q25" s="52">
        <v>64.19</v>
      </c>
      <c r="R25" s="44"/>
      <c r="S25" s="44"/>
      <c r="T25" s="44"/>
      <c r="U25" s="44"/>
    </row>
    <row r="26" spans="1:21" s="12" customFormat="1" x14ac:dyDescent="0.25">
      <c r="A26" s="51" t="s">
        <v>247</v>
      </c>
      <c r="B26" s="52">
        <v>5.4</v>
      </c>
      <c r="C26" s="52">
        <v>21.65</v>
      </c>
      <c r="D26" s="52">
        <v>27.05</v>
      </c>
      <c r="E26" s="52">
        <v>5.41</v>
      </c>
      <c r="F26" s="52">
        <v>6.16</v>
      </c>
      <c r="G26" s="52">
        <v>24.5</v>
      </c>
      <c r="H26" s="52">
        <v>3.47</v>
      </c>
      <c r="I26" s="52">
        <v>0.65</v>
      </c>
      <c r="J26" s="52">
        <v>0.56999999999999995</v>
      </c>
      <c r="K26" s="52">
        <v>346.3</v>
      </c>
      <c r="L26" s="52">
        <v>26.98</v>
      </c>
      <c r="M26" s="52">
        <v>68.91</v>
      </c>
      <c r="N26" s="52">
        <v>37.200000000000003</v>
      </c>
      <c r="O26" s="52">
        <v>0</v>
      </c>
      <c r="P26" s="52">
        <v>0.41</v>
      </c>
      <c r="Q26" s="52">
        <v>43.97</v>
      </c>
      <c r="R26" s="44"/>
      <c r="S26" s="44"/>
      <c r="T26" s="44"/>
      <c r="U26" s="44"/>
    </row>
    <row r="27" spans="1:21" s="12" customFormat="1" x14ac:dyDescent="0.25">
      <c r="A27" s="51" t="s">
        <v>248</v>
      </c>
      <c r="B27" s="52">
        <v>21.05</v>
      </c>
      <c r="C27" s="52">
        <v>48.29</v>
      </c>
      <c r="D27" s="52">
        <v>69.34</v>
      </c>
      <c r="E27" s="52">
        <v>4.82</v>
      </c>
      <c r="F27" s="52">
        <v>4.96</v>
      </c>
      <c r="G27" s="52">
        <v>21.79</v>
      </c>
      <c r="H27" s="52">
        <v>3.47</v>
      </c>
      <c r="I27" s="52">
        <v>0.53</v>
      </c>
      <c r="J27" s="52">
        <v>0.16</v>
      </c>
      <c r="K27" s="52">
        <v>325.3</v>
      </c>
      <c r="L27" s="52">
        <v>25.86</v>
      </c>
      <c r="M27" s="52">
        <v>71.709999999999994</v>
      </c>
      <c r="N27" s="52">
        <v>20.2</v>
      </c>
      <c r="O27" s="52">
        <v>0</v>
      </c>
      <c r="P27" s="52">
        <v>0.9</v>
      </c>
      <c r="Q27" s="52">
        <v>33.4</v>
      </c>
      <c r="R27" s="44"/>
      <c r="S27" s="44"/>
      <c r="T27" s="44"/>
      <c r="U27" s="44"/>
    </row>
    <row r="28" spans="1:21" s="12" customFormat="1" x14ac:dyDescent="0.25">
      <c r="A28" s="51" t="s">
        <v>249</v>
      </c>
      <c r="B28" s="55" t="s">
        <v>4</v>
      </c>
      <c r="C28" s="55" t="s">
        <v>4</v>
      </c>
      <c r="D28" s="55" t="s">
        <v>4</v>
      </c>
      <c r="E28" s="55" t="s">
        <v>4</v>
      </c>
      <c r="F28" s="55" t="s">
        <v>4</v>
      </c>
      <c r="G28" s="55" t="s">
        <v>4</v>
      </c>
      <c r="H28" s="55" t="s">
        <v>4</v>
      </c>
      <c r="I28" s="55" t="s">
        <v>4</v>
      </c>
      <c r="J28" s="55" t="s">
        <v>4</v>
      </c>
      <c r="K28" s="55" t="s">
        <v>4</v>
      </c>
      <c r="L28" s="55" t="s">
        <v>4</v>
      </c>
      <c r="M28" s="55" t="s">
        <v>4</v>
      </c>
      <c r="N28" s="55" t="s">
        <v>4</v>
      </c>
      <c r="O28" s="55" t="s">
        <v>4</v>
      </c>
      <c r="P28" s="55" t="s">
        <v>4</v>
      </c>
      <c r="Q28" s="55" t="s">
        <v>4</v>
      </c>
      <c r="R28" s="44"/>
      <c r="S28" s="44"/>
      <c r="T28" s="44"/>
      <c r="U28" s="44"/>
    </row>
    <row r="29" spans="1:21" s="12" customFormat="1" x14ac:dyDescent="0.25">
      <c r="A29" s="51" t="s">
        <v>250</v>
      </c>
      <c r="B29" s="55" t="s">
        <v>4</v>
      </c>
      <c r="C29" s="55" t="s">
        <v>4</v>
      </c>
      <c r="D29" s="55" t="s">
        <v>4</v>
      </c>
      <c r="E29" s="55" t="s">
        <v>4</v>
      </c>
      <c r="F29" s="55" t="s">
        <v>4</v>
      </c>
      <c r="G29" s="55" t="s">
        <v>4</v>
      </c>
      <c r="H29" s="55" t="s">
        <v>4</v>
      </c>
      <c r="I29" s="55" t="s">
        <v>4</v>
      </c>
      <c r="J29" s="55" t="s">
        <v>4</v>
      </c>
      <c r="K29" s="55" t="s">
        <v>4</v>
      </c>
      <c r="L29" s="55" t="s">
        <v>4</v>
      </c>
      <c r="M29" s="55" t="s">
        <v>4</v>
      </c>
      <c r="N29" s="55" t="s">
        <v>4</v>
      </c>
      <c r="O29" s="55" t="s">
        <v>4</v>
      </c>
      <c r="P29" s="55" t="s">
        <v>4</v>
      </c>
      <c r="Q29" s="55" t="s">
        <v>4</v>
      </c>
      <c r="R29" s="44"/>
      <c r="S29" s="44"/>
      <c r="T29" s="44"/>
      <c r="U29" s="44"/>
    </row>
    <row r="30" spans="1:21" s="12" customFormat="1" x14ac:dyDescent="0.25">
      <c r="A30" s="51" t="s">
        <v>251</v>
      </c>
      <c r="B30" s="55" t="s">
        <v>4</v>
      </c>
      <c r="C30" s="55" t="s">
        <v>4</v>
      </c>
      <c r="D30" s="55" t="s">
        <v>4</v>
      </c>
      <c r="E30" s="55" t="s">
        <v>4</v>
      </c>
      <c r="F30" s="55" t="s">
        <v>4</v>
      </c>
      <c r="G30" s="55" t="s">
        <v>4</v>
      </c>
      <c r="H30" s="55" t="s">
        <v>4</v>
      </c>
      <c r="I30" s="55" t="s">
        <v>4</v>
      </c>
      <c r="J30" s="55" t="s">
        <v>4</v>
      </c>
      <c r="K30" s="55" t="s">
        <v>4</v>
      </c>
      <c r="L30" s="55" t="s">
        <v>4</v>
      </c>
      <c r="M30" s="55" t="s">
        <v>4</v>
      </c>
      <c r="N30" s="55" t="s">
        <v>4</v>
      </c>
      <c r="O30" s="55" t="s">
        <v>4</v>
      </c>
      <c r="P30" s="55" t="s">
        <v>4</v>
      </c>
      <c r="Q30" s="55" t="s">
        <v>4</v>
      </c>
      <c r="R30" s="44"/>
      <c r="S30" s="44"/>
      <c r="T30" s="44"/>
      <c r="U30" s="44"/>
    </row>
    <row r="31" spans="1:21" s="12" customFormat="1" x14ac:dyDescent="0.25">
      <c r="A31" s="51" t="s">
        <v>252</v>
      </c>
      <c r="B31" s="55" t="s">
        <v>4</v>
      </c>
      <c r="C31" s="55" t="s">
        <v>4</v>
      </c>
      <c r="D31" s="55" t="s">
        <v>4</v>
      </c>
      <c r="E31" s="55" t="s">
        <v>4</v>
      </c>
      <c r="F31" s="55" t="s">
        <v>4</v>
      </c>
      <c r="G31" s="55" t="s">
        <v>4</v>
      </c>
      <c r="H31" s="55" t="s">
        <v>4</v>
      </c>
      <c r="I31" s="55" t="s">
        <v>4</v>
      </c>
      <c r="J31" s="55" t="s">
        <v>4</v>
      </c>
      <c r="K31" s="55" t="s">
        <v>4</v>
      </c>
      <c r="L31" s="55" t="s">
        <v>4</v>
      </c>
      <c r="M31" s="55" t="s">
        <v>4</v>
      </c>
      <c r="N31" s="55" t="s">
        <v>4</v>
      </c>
      <c r="O31" s="55" t="s">
        <v>4</v>
      </c>
      <c r="P31" s="55" t="s">
        <v>4</v>
      </c>
      <c r="Q31" s="55" t="s">
        <v>4</v>
      </c>
      <c r="R31" s="44"/>
      <c r="S31" s="44"/>
      <c r="T31" s="44"/>
      <c r="U31" s="44"/>
    </row>
    <row r="32" spans="1:21" s="12" customFormat="1" x14ac:dyDescent="0.25">
      <c r="A32" s="51" t="s">
        <v>253</v>
      </c>
      <c r="B32" s="55" t="s">
        <v>4</v>
      </c>
      <c r="C32" s="55" t="s">
        <v>4</v>
      </c>
      <c r="D32" s="55" t="s">
        <v>4</v>
      </c>
      <c r="E32" s="55" t="s">
        <v>4</v>
      </c>
      <c r="F32" s="55" t="s">
        <v>4</v>
      </c>
      <c r="G32" s="55" t="s">
        <v>4</v>
      </c>
      <c r="H32" s="55" t="s">
        <v>4</v>
      </c>
      <c r="I32" s="55" t="s">
        <v>4</v>
      </c>
      <c r="J32" s="55" t="s">
        <v>4</v>
      </c>
      <c r="K32" s="55" t="s">
        <v>4</v>
      </c>
      <c r="L32" s="55" t="s">
        <v>4</v>
      </c>
      <c r="M32" s="55" t="s">
        <v>4</v>
      </c>
      <c r="N32" s="55" t="s">
        <v>4</v>
      </c>
      <c r="O32" s="55" t="s">
        <v>4</v>
      </c>
      <c r="P32" s="55" t="s">
        <v>4</v>
      </c>
      <c r="Q32" s="55" t="s">
        <v>4</v>
      </c>
      <c r="R32" s="44"/>
      <c r="S32" s="44"/>
      <c r="T32" s="44"/>
      <c r="U32" s="44"/>
    </row>
    <row r="33" spans="1:21" s="22" customFormat="1" x14ac:dyDescent="0.25">
      <c r="A33" s="27"/>
      <c r="B33" s="21"/>
      <c r="C33" s="21"/>
      <c r="D33" s="21"/>
      <c r="E33" s="21"/>
      <c r="F33" s="21"/>
      <c r="G33" s="27"/>
      <c r="H33" s="27"/>
      <c r="I33" s="27"/>
      <c r="J33" s="21"/>
      <c r="K33" s="21"/>
      <c r="L33" s="27"/>
      <c r="M33" s="27"/>
      <c r="N33" s="27"/>
      <c r="O33" s="27"/>
      <c r="P33" s="27"/>
      <c r="Q33" s="21"/>
      <c r="R33" s="21"/>
      <c r="S33" s="21"/>
      <c r="T33" s="21"/>
      <c r="U33" s="21"/>
    </row>
    <row r="34" spans="1:21" s="22" customFormat="1" x14ac:dyDescent="0.25">
      <c r="A34" s="28" t="s">
        <v>30</v>
      </c>
      <c r="B34" s="29">
        <f t="shared" ref="B34:Q34" si="0">MIN(B9:B32)</f>
        <v>2.58</v>
      </c>
      <c r="C34" s="29">
        <f t="shared" si="0"/>
        <v>11.49</v>
      </c>
      <c r="D34" s="29">
        <f t="shared" si="0"/>
        <v>15.69</v>
      </c>
      <c r="E34" s="29">
        <f t="shared" si="0"/>
        <v>4.2699999999999996</v>
      </c>
      <c r="F34" s="29">
        <f t="shared" si="0"/>
        <v>4.96</v>
      </c>
      <c r="G34" s="29">
        <f t="shared" si="0"/>
        <v>9.0299999999999994</v>
      </c>
      <c r="H34" s="29">
        <f t="shared" si="0"/>
        <v>3.17</v>
      </c>
      <c r="I34" s="29">
        <f t="shared" si="0"/>
        <v>0.5</v>
      </c>
      <c r="J34" s="29">
        <f t="shared" si="0"/>
        <v>0.16</v>
      </c>
      <c r="K34" s="29">
        <f t="shared" si="0"/>
        <v>97.64</v>
      </c>
      <c r="L34" s="29">
        <f t="shared" si="0"/>
        <v>22.56</v>
      </c>
      <c r="M34" s="29">
        <f t="shared" si="0"/>
        <v>50.52</v>
      </c>
      <c r="N34" s="29">
        <f t="shared" si="0"/>
        <v>20</v>
      </c>
      <c r="O34" s="29">
        <f t="shared" si="0"/>
        <v>0</v>
      </c>
      <c r="P34" s="29">
        <f t="shared" si="0"/>
        <v>0.3</v>
      </c>
      <c r="Q34" s="29">
        <f t="shared" si="0"/>
        <v>23.85</v>
      </c>
      <c r="R34" s="29"/>
      <c r="S34" s="29"/>
      <c r="T34" s="29"/>
      <c r="U34" s="29"/>
    </row>
    <row r="35" spans="1:21" s="22" customFormat="1" x14ac:dyDescent="0.25">
      <c r="A35" s="28" t="s">
        <v>31</v>
      </c>
      <c r="B35" s="30">
        <f t="shared" ref="B35:Q35" si="1">MAX(B9:B32)</f>
        <v>21.05</v>
      </c>
      <c r="C35" s="30">
        <f t="shared" si="1"/>
        <v>48.29</v>
      </c>
      <c r="D35" s="30">
        <f t="shared" si="1"/>
        <v>69.34</v>
      </c>
      <c r="E35" s="30">
        <f t="shared" si="1"/>
        <v>5.97</v>
      </c>
      <c r="F35" s="30">
        <f t="shared" si="1"/>
        <v>11.36</v>
      </c>
      <c r="G35" s="30">
        <f t="shared" si="1"/>
        <v>29.74</v>
      </c>
      <c r="H35" s="30">
        <f t="shared" si="1"/>
        <v>3.51</v>
      </c>
      <c r="I35" s="30">
        <f t="shared" si="1"/>
        <v>0.69</v>
      </c>
      <c r="J35" s="30">
        <f t="shared" si="1"/>
        <v>2.41</v>
      </c>
      <c r="K35" s="30">
        <f t="shared" si="1"/>
        <v>346.3</v>
      </c>
      <c r="L35" s="30">
        <f t="shared" si="1"/>
        <v>30.69</v>
      </c>
      <c r="M35" s="30">
        <f t="shared" si="1"/>
        <v>89.63</v>
      </c>
      <c r="N35" s="30">
        <f t="shared" si="1"/>
        <v>1109.8</v>
      </c>
      <c r="O35" s="30">
        <f t="shared" si="1"/>
        <v>0</v>
      </c>
      <c r="P35" s="30">
        <f t="shared" si="1"/>
        <v>0.9</v>
      </c>
      <c r="Q35" s="30">
        <f t="shared" si="1"/>
        <v>67.819999999999993</v>
      </c>
      <c r="R35" s="30"/>
      <c r="S35" s="30"/>
      <c r="T35" s="30"/>
      <c r="U35" s="30"/>
    </row>
    <row r="36" spans="1:21" s="22" customFormat="1" x14ac:dyDescent="0.25">
      <c r="A36" s="28" t="s">
        <v>32</v>
      </c>
      <c r="B36" s="29">
        <f t="shared" ref="B36:Q36" si="2">AVERAGE(B9:B32)</f>
        <v>6.041052631578947</v>
      </c>
      <c r="C36" s="29">
        <f t="shared" si="2"/>
        <v>17.955789473684213</v>
      </c>
      <c r="D36" s="29">
        <f t="shared" si="2"/>
        <v>23.908947368421053</v>
      </c>
      <c r="E36" s="29">
        <f t="shared" si="2"/>
        <v>5.2194736842105254</v>
      </c>
      <c r="F36" s="29">
        <f t="shared" si="2"/>
        <v>6.46</v>
      </c>
      <c r="G36" s="29">
        <f t="shared" si="2"/>
        <v>16.278947368421054</v>
      </c>
      <c r="H36" s="29">
        <f t="shared" si="2"/>
        <v>3.2957894736842106</v>
      </c>
      <c r="I36" s="29">
        <f t="shared" si="2"/>
        <v>0.59818181818181815</v>
      </c>
      <c r="J36" s="29">
        <f t="shared" si="2"/>
        <v>1.2147368421052633</v>
      </c>
      <c r="K36" s="29">
        <f t="shared" si="2"/>
        <v>157.8921052631579</v>
      </c>
      <c r="L36" s="29">
        <f t="shared" si="2"/>
        <v>26.187368421052632</v>
      </c>
      <c r="M36" s="29">
        <f t="shared" si="2"/>
        <v>72.231578947368433</v>
      </c>
      <c r="N36" s="29">
        <f t="shared" si="2"/>
        <v>387.08421052631581</v>
      </c>
      <c r="O36" s="29">
        <f t="shared" si="2"/>
        <v>0</v>
      </c>
      <c r="P36" s="29">
        <f t="shared" si="2"/>
        <v>0.37789473684210523</v>
      </c>
      <c r="Q36" s="29">
        <f t="shared" si="2"/>
        <v>47.833684210526314</v>
      </c>
      <c r="R36" s="29"/>
      <c r="S36" s="29"/>
      <c r="T36" s="29"/>
      <c r="U36" s="29"/>
    </row>
    <row r="37" spans="1:21" s="22" customFormat="1" x14ac:dyDescent="0.25">
      <c r="A37" s="28" t="s">
        <v>38</v>
      </c>
      <c r="B37" s="29">
        <f>STDEV(B9:B32)</f>
        <v>4.1103053343420211</v>
      </c>
      <c r="C37" s="29">
        <f t="shared" ref="C37:Q37" si="3">STDEV(C9:C32)</f>
        <v>8.099985813286251</v>
      </c>
      <c r="D37" s="29">
        <f t="shared" si="3"/>
        <v>11.94865119990855</v>
      </c>
      <c r="E37" s="29">
        <f t="shared" si="3"/>
        <v>0.5235824638881903</v>
      </c>
      <c r="F37" s="29">
        <f t="shared" si="3"/>
        <v>1.7299389841520094</v>
      </c>
      <c r="G37" s="29">
        <f t="shared" si="3"/>
        <v>5.9599644804467742</v>
      </c>
      <c r="H37" s="29">
        <f t="shared" si="3"/>
        <v>0.11329978863732781</v>
      </c>
      <c r="I37" s="29">
        <f t="shared" si="3"/>
        <v>6.6154090095501022E-2</v>
      </c>
      <c r="J37" s="29">
        <f t="shared" si="3"/>
        <v>0.51768038639312974</v>
      </c>
      <c r="K37" s="29">
        <f t="shared" si="3"/>
        <v>69.235847778039499</v>
      </c>
      <c r="L37" s="29">
        <f t="shared" si="3"/>
        <v>3.1957660220729762</v>
      </c>
      <c r="M37" s="29">
        <f t="shared" si="3"/>
        <v>15.512918008749903</v>
      </c>
      <c r="N37" s="29">
        <f t="shared" si="3"/>
        <v>437.71278668292399</v>
      </c>
      <c r="O37" s="29">
        <f t="shared" si="3"/>
        <v>0</v>
      </c>
      <c r="P37" s="29">
        <f t="shared" si="3"/>
        <v>0.13083403173352545</v>
      </c>
      <c r="Q37" s="29">
        <f t="shared" si="3"/>
        <v>12.416426937518555</v>
      </c>
      <c r="R37" s="29"/>
      <c r="S37" s="29"/>
      <c r="T37" s="29"/>
      <c r="U37" s="29"/>
    </row>
    <row r="38" spans="1:21" s="22" customFormat="1" x14ac:dyDescent="0.25">
      <c r="A38" s="32" t="s">
        <v>33</v>
      </c>
      <c r="B38" s="33">
        <f>COUNT(B9:B32)+5</f>
        <v>24</v>
      </c>
      <c r="C38" s="33">
        <f t="shared" ref="C38:Q38" si="4">COUNT(C9:C32)+5</f>
        <v>24</v>
      </c>
      <c r="D38" s="33">
        <f t="shared" si="4"/>
        <v>24</v>
      </c>
      <c r="E38" s="33">
        <f t="shared" si="4"/>
        <v>24</v>
      </c>
      <c r="F38" s="33">
        <f t="shared" si="4"/>
        <v>24</v>
      </c>
      <c r="G38" s="33">
        <f t="shared" si="4"/>
        <v>24</v>
      </c>
      <c r="H38" s="33">
        <f t="shared" si="4"/>
        <v>24</v>
      </c>
      <c r="I38" s="33">
        <f>COUNT(I9:I32)+13</f>
        <v>24</v>
      </c>
      <c r="J38" s="33">
        <f t="shared" si="4"/>
        <v>24</v>
      </c>
      <c r="K38" s="33">
        <f t="shared" si="4"/>
        <v>24</v>
      </c>
      <c r="L38" s="33">
        <f t="shared" si="4"/>
        <v>24</v>
      </c>
      <c r="M38" s="33">
        <f t="shared" si="4"/>
        <v>24</v>
      </c>
      <c r="N38" s="33">
        <f t="shared" si="4"/>
        <v>24</v>
      </c>
      <c r="O38" s="33">
        <f t="shared" si="4"/>
        <v>24</v>
      </c>
      <c r="P38" s="33">
        <f t="shared" si="4"/>
        <v>24</v>
      </c>
      <c r="Q38" s="33">
        <f t="shared" si="4"/>
        <v>24</v>
      </c>
      <c r="R38" s="33"/>
      <c r="S38" s="33"/>
      <c r="T38" s="33"/>
      <c r="U38" s="33"/>
    </row>
    <row r="39" spans="1:21" s="22" customFormat="1" x14ac:dyDescent="0.25">
      <c r="A39" s="28" t="s">
        <v>34</v>
      </c>
      <c r="B39" s="30" t="str">
        <f>IF(B38&gt;=22,"&gt;90%",IF(B38&lt;=22,"&lt;90%"))</f>
        <v>&gt;90%</v>
      </c>
      <c r="C39" s="30" t="str">
        <f t="shared" ref="C39:P39" si="5">IF(C38&gt;=22,"&gt;90%",IF(C38&lt;=22,"&lt;90%"))</f>
        <v>&gt;90%</v>
      </c>
      <c r="D39" s="30" t="str">
        <f t="shared" si="5"/>
        <v>&gt;90%</v>
      </c>
      <c r="E39" s="30" t="str">
        <f t="shared" si="5"/>
        <v>&gt;90%</v>
      </c>
      <c r="F39" s="30" t="str">
        <f t="shared" si="5"/>
        <v>&gt;90%</v>
      </c>
      <c r="G39" s="30" t="str">
        <f t="shared" si="5"/>
        <v>&gt;90%</v>
      </c>
      <c r="H39" s="30" t="str">
        <f t="shared" si="5"/>
        <v>&gt;90%</v>
      </c>
      <c r="I39" s="30" t="str">
        <f t="shared" si="5"/>
        <v>&gt;90%</v>
      </c>
      <c r="J39" s="30" t="str">
        <f t="shared" si="5"/>
        <v>&gt;90%</v>
      </c>
      <c r="K39" s="30" t="str">
        <f t="shared" si="5"/>
        <v>&gt;90%</v>
      </c>
      <c r="L39" s="30" t="str">
        <f t="shared" si="5"/>
        <v>&gt;90%</v>
      </c>
      <c r="M39" s="30" t="str">
        <f t="shared" si="5"/>
        <v>&gt;90%</v>
      </c>
      <c r="N39" s="30" t="str">
        <f t="shared" si="5"/>
        <v>&gt;90%</v>
      </c>
      <c r="O39" s="30" t="str">
        <f t="shared" si="5"/>
        <v>&gt;90%</v>
      </c>
      <c r="P39" s="30" t="str">
        <f t="shared" si="5"/>
        <v>&gt;90%</v>
      </c>
      <c r="Q39" s="30" t="str">
        <f>IF(Q38&gt;=22,"&gt;90%",IF(Q38&lt;=22,"&lt;90%"))</f>
        <v>&gt;90%</v>
      </c>
      <c r="R39" s="30"/>
      <c r="S39" s="30"/>
      <c r="T39" s="30"/>
      <c r="U39" s="30"/>
    </row>
    <row r="40" spans="1:21" s="22" customFormat="1" x14ac:dyDescent="0.25">
      <c r="A40" s="28" t="s">
        <v>1</v>
      </c>
      <c r="B40" s="30" t="str">
        <f>IF(B38&gt;=22,"OK",IF(B38&lt;=22,"LESS"))</f>
        <v>OK</v>
      </c>
      <c r="C40" s="30" t="str">
        <f t="shared" ref="C40:Q40" si="6">IF(C38&gt;=22,"OK",IF(C38&lt;=22,"LESS"))</f>
        <v>OK</v>
      </c>
      <c r="D40" s="30" t="str">
        <f t="shared" si="6"/>
        <v>OK</v>
      </c>
      <c r="E40" s="30" t="str">
        <f t="shared" si="6"/>
        <v>OK</v>
      </c>
      <c r="F40" s="30" t="str">
        <f t="shared" si="6"/>
        <v>OK</v>
      </c>
      <c r="G40" s="30" t="str">
        <f t="shared" si="6"/>
        <v>OK</v>
      </c>
      <c r="H40" s="30" t="str">
        <f t="shared" si="6"/>
        <v>OK</v>
      </c>
      <c r="I40" s="30" t="str">
        <f t="shared" si="6"/>
        <v>OK</v>
      </c>
      <c r="J40" s="30" t="str">
        <f t="shared" si="6"/>
        <v>OK</v>
      </c>
      <c r="K40" s="30" t="str">
        <f t="shared" si="6"/>
        <v>OK</v>
      </c>
      <c r="L40" s="30" t="str">
        <f t="shared" si="6"/>
        <v>OK</v>
      </c>
      <c r="M40" s="30" t="str">
        <f t="shared" si="6"/>
        <v>OK</v>
      </c>
      <c r="N40" s="30" t="str">
        <f t="shared" si="6"/>
        <v>OK</v>
      </c>
      <c r="O40" s="30" t="str">
        <f t="shared" si="6"/>
        <v>OK</v>
      </c>
      <c r="P40" s="30" t="str">
        <f t="shared" si="6"/>
        <v>OK</v>
      </c>
      <c r="Q40" s="30" t="str">
        <f t="shared" si="6"/>
        <v>OK</v>
      </c>
      <c r="R40" s="30"/>
      <c r="S40" s="30"/>
      <c r="T40" s="30"/>
      <c r="U40" s="30"/>
    </row>
    <row r="41" spans="1:21" s="22" customFormat="1" x14ac:dyDescent="0.25">
      <c r="A41" s="14"/>
      <c r="L41" s="14"/>
      <c r="N41" s="17"/>
      <c r="O41" s="17"/>
      <c r="P41" s="17"/>
      <c r="Q41" s="17"/>
      <c r="R41" s="17"/>
      <c r="S41" s="17"/>
      <c r="T41" s="17"/>
      <c r="U41" s="17"/>
    </row>
    <row r="42" spans="1:21" s="22" customFormat="1" x14ac:dyDescent="0.25">
      <c r="A42" s="14"/>
    </row>
    <row r="43" spans="1:21" s="22" customFormat="1" x14ac:dyDescent="0.25">
      <c r="A43" s="15" t="s">
        <v>35</v>
      </c>
      <c r="B43" s="41" t="s">
        <v>42</v>
      </c>
      <c r="C43" s="43"/>
    </row>
    <row r="44" spans="1:21" s="22" customFormat="1" x14ac:dyDescent="0.25">
      <c r="A44" s="14"/>
      <c r="D44" s="2"/>
      <c r="E44" s="2"/>
      <c r="F44" s="2"/>
      <c r="G44" s="2"/>
      <c r="H44" s="2"/>
      <c r="I44" s="2"/>
    </row>
    <row r="45" spans="1:21" s="22" customFormat="1" ht="15.75" x14ac:dyDescent="0.25">
      <c r="A45" s="18" t="s">
        <v>36</v>
      </c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</row>
    <row r="46" spans="1:21" s="22" customFormat="1" x14ac:dyDescent="0.25"/>
    <row r="47" spans="1:21" s="22" customFormat="1" x14ac:dyDescent="0.25"/>
    <row r="48" spans="1:21" s="22" customFormat="1" x14ac:dyDescent="0.25"/>
    <row r="49" s="22" customFormat="1" x14ac:dyDescent="0.25"/>
    <row r="50" s="22" customFormat="1" x14ac:dyDescent="0.25"/>
    <row r="51" s="22" customFormat="1" x14ac:dyDescent="0.25"/>
    <row r="52" s="22" customFormat="1" x14ac:dyDescent="0.25"/>
    <row r="53" s="22" customFormat="1" x14ac:dyDescent="0.25"/>
    <row r="54" s="22" customFormat="1" x14ac:dyDescent="0.25"/>
    <row r="55" s="22" customFormat="1" x14ac:dyDescent="0.25"/>
    <row r="56" s="22" customFormat="1" x14ac:dyDescent="0.25"/>
    <row r="57" s="22" customFormat="1" x14ac:dyDescent="0.25"/>
    <row r="58" s="22" customFormat="1" x14ac:dyDescent="0.25"/>
    <row r="59" s="22" customFormat="1" x14ac:dyDescent="0.25"/>
    <row r="60" s="22" customFormat="1" x14ac:dyDescent="0.25"/>
    <row r="61" s="22" customFormat="1" x14ac:dyDescent="0.25"/>
    <row r="62" s="22" customFormat="1" x14ac:dyDescent="0.25"/>
    <row r="63" s="22" customFormat="1" x14ac:dyDescent="0.25"/>
    <row r="64" s="22" customFormat="1" x14ac:dyDescent="0.25"/>
    <row r="65" s="22" customFormat="1" x14ac:dyDescent="0.25"/>
    <row r="66" s="22" customFormat="1" x14ac:dyDescent="0.25"/>
    <row r="67" s="22" customFormat="1" x14ac:dyDescent="0.25"/>
    <row r="68" s="22" customFormat="1" x14ac:dyDescent="0.25"/>
    <row r="69" s="22" customFormat="1" x14ac:dyDescent="0.25"/>
    <row r="70" s="22" customFormat="1" x14ac:dyDescent="0.25"/>
    <row r="71" s="22" customFormat="1" x14ac:dyDescent="0.25"/>
    <row r="72" s="22" customFormat="1" x14ac:dyDescent="0.25"/>
    <row r="73" s="22" customFormat="1" x14ac:dyDescent="0.25"/>
    <row r="74" s="22" customFormat="1" x14ac:dyDescent="0.25"/>
    <row r="75" s="22" customFormat="1" x14ac:dyDescent="0.25"/>
    <row r="76" s="22" customFormat="1" x14ac:dyDescent="0.25"/>
    <row r="77" s="22" customFormat="1" x14ac:dyDescent="0.25"/>
    <row r="78" s="22" customFormat="1" x14ac:dyDescent="0.25"/>
    <row r="79" s="22" customFormat="1" x14ac:dyDescent="0.25"/>
    <row r="80" s="22" customFormat="1" x14ac:dyDescent="0.25"/>
    <row r="81" s="22" customFormat="1" x14ac:dyDescent="0.25"/>
    <row r="82" s="22" customFormat="1" x14ac:dyDescent="0.25"/>
    <row r="83" s="22" customFormat="1" x14ac:dyDescent="0.25"/>
    <row r="84" s="22" customFormat="1" x14ac:dyDescent="0.25"/>
    <row r="85" s="22" customFormat="1" x14ac:dyDescent="0.25"/>
    <row r="86" s="22" customFormat="1" x14ac:dyDescent="0.25"/>
    <row r="87" s="22" customFormat="1" x14ac:dyDescent="0.25"/>
    <row r="88" s="22" customFormat="1" x14ac:dyDescent="0.25"/>
    <row r="89" s="22" customFormat="1" x14ac:dyDescent="0.25"/>
    <row r="90" s="22" customFormat="1" x14ac:dyDescent="0.25"/>
    <row r="91" s="22" customFormat="1" x14ac:dyDescent="0.25"/>
    <row r="92" s="22" customFormat="1" x14ac:dyDescent="0.25"/>
    <row r="93" s="22" customFormat="1" x14ac:dyDescent="0.25"/>
    <row r="94" s="22" customFormat="1" x14ac:dyDescent="0.25"/>
    <row r="95" s="22" customFormat="1" x14ac:dyDescent="0.25"/>
    <row r="96" s="22" customFormat="1" x14ac:dyDescent="0.25"/>
    <row r="97" spans="1:1" s="22" customFormat="1" x14ac:dyDescent="0.25"/>
    <row r="98" spans="1:1" s="22" customFormat="1" x14ac:dyDescent="0.25"/>
    <row r="99" spans="1:1" s="22" customFormat="1" x14ac:dyDescent="0.25"/>
    <row r="100" spans="1:1" s="22" customFormat="1" x14ac:dyDescent="0.25"/>
    <row r="101" spans="1:1" s="22" customFormat="1" x14ac:dyDescent="0.25"/>
    <row r="102" spans="1:1" s="22" customFormat="1" x14ac:dyDescent="0.25"/>
    <row r="103" spans="1:1" s="22" customFormat="1" x14ac:dyDescent="0.25"/>
    <row r="104" spans="1:1" s="22" customFormat="1" x14ac:dyDescent="0.25"/>
    <row r="105" spans="1:1" s="22" customFormat="1" x14ac:dyDescent="0.25"/>
    <row r="106" spans="1:1" x14ac:dyDescent="0.25">
      <c r="A106" s="21"/>
    </row>
    <row r="107" spans="1:1" s="22" customFormat="1" x14ac:dyDescent="0.25"/>
    <row r="108" spans="1:1" s="22" customFormat="1" x14ac:dyDescent="0.25"/>
    <row r="109" spans="1:1" s="22" customFormat="1" x14ac:dyDescent="0.25"/>
    <row r="110" spans="1:1" s="22" customFormat="1" x14ac:dyDescent="0.25"/>
    <row r="111" spans="1:1" s="22" customFormat="1" x14ac:dyDescent="0.25"/>
    <row r="112" spans="1:1" s="22" customFormat="1" x14ac:dyDescent="0.25"/>
    <row r="113" spans="1:1" s="22" customFormat="1" x14ac:dyDescent="0.25"/>
    <row r="114" spans="1:1" s="22" customFormat="1" x14ac:dyDescent="0.25"/>
    <row r="115" spans="1:1" s="22" customFormat="1" x14ac:dyDescent="0.25"/>
    <row r="116" spans="1:1" s="22" customFormat="1" x14ac:dyDescent="0.25"/>
    <row r="117" spans="1:1" s="22" customFormat="1" x14ac:dyDescent="0.25"/>
    <row r="118" spans="1:1" x14ac:dyDescent="0.25">
      <c r="A118" s="21"/>
    </row>
    <row r="119" spans="1:1" x14ac:dyDescent="0.25">
      <c r="A119" s="21"/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2" ySplit="8" topLeftCell="C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P42" sqref="P42"/>
    </sheetView>
  </sheetViews>
  <sheetFormatPr defaultColWidth="8.85546875" defaultRowHeight="15" x14ac:dyDescent="0.25"/>
  <cols>
    <col min="1" max="1" width="18.28515625" style="27" customWidth="1"/>
    <col min="2" max="2" width="13.85546875" style="21" customWidth="1"/>
    <col min="3" max="12" width="9.140625" style="21" customWidth="1"/>
    <col min="13" max="13" width="10" style="21" customWidth="1"/>
    <col min="14" max="19" width="9.140625" style="21" customWidth="1"/>
    <col min="20" max="20" width="11.42578125" style="21" customWidth="1"/>
    <col min="21" max="16384" width="8.85546875" style="21"/>
  </cols>
  <sheetData>
    <row r="1" spans="1:21" s="22" customFormat="1" ht="26.25" x14ac:dyDescent="0.25">
      <c r="A1" s="15" t="s">
        <v>2</v>
      </c>
      <c r="B1" s="24" t="s">
        <v>43</v>
      </c>
      <c r="C1" s="38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s="22" customFormat="1" x14ac:dyDescent="0.25">
      <c r="A2" s="15" t="s">
        <v>0</v>
      </c>
      <c r="B2" s="39" t="str">
        <f>$A$9</f>
        <v>09-10-2022 01:00</v>
      </c>
      <c r="C2" s="12"/>
      <c r="D2" s="11" t="s">
        <v>3</v>
      </c>
      <c r="E2" s="11"/>
      <c r="F2" s="11"/>
      <c r="G2" s="4" t="s">
        <v>4</v>
      </c>
      <c r="H2" s="20"/>
      <c r="I2" s="20"/>
      <c r="J2" s="20"/>
      <c r="K2" s="13"/>
      <c r="L2" s="11" t="s">
        <v>5</v>
      </c>
      <c r="M2" s="13"/>
      <c r="N2" s="8" t="s">
        <v>6</v>
      </c>
      <c r="P2" s="40" t="s">
        <v>7</v>
      </c>
      <c r="Q2" s="13"/>
      <c r="R2" s="9" t="s">
        <v>8</v>
      </c>
      <c r="S2" s="12"/>
      <c r="T2" s="12"/>
      <c r="U2" s="12"/>
    </row>
    <row r="3" spans="1:21" s="22" customFormat="1" x14ac:dyDescent="0.25">
      <c r="A3" s="15" t="s">
        <v>9</v>
      </c>
      <c r="B3" s="13" t="s">
        <v>10</v>
      </c>
      <c r="C3" s="12"/>
      <c r="D3" s="11" t="s">
        <v>11</v>
      </c>
      <c r="E3" s="11"/>
      <c r="F3" s="11"/>
      <c r="G3" s="19" t="s">
        <v>12</v>
      </c>
      <c r="H3" s="20"/>
      <c r="I3" s="20"/>
      <c r="J3" s="20"/>
      <c r="K3" s="12"/>
      <c r="L3" s="11" t="s">
        <v>13</v>
      </c>
      <c r="M3" s="13"/>
      <c r="N3" s="6" t="s">
        <v>14</v>
      </c>
      <c r="O3" s="13"/>
      <c r="P3" s="40" t="s">
        <v>15</v>
      </c>
      <c r="Q3" s="13"/>
      <c r="R3" s="10" t="s">
        <v>15</v>
      </c>
      <c r="S3" s="12"/>
      <c r="T3" s="12"/>
      <c r="U3" s="12"/>
    </row>
    <row r="4" spans="1:21" s="22" customFormat="1" x14ac:dyDescent="0.25">
      <c r="A4" s="15" t="s">
        <v>16</v>
      </c>
      <c r="B4" s="13" t="s">
        <v>39</v>
      </c>
      <c r="C4" s="12"/>
      <c r="D4" s="11" t="s">
        <v>17</v>
      </c>
      <c r="E4" s="11"/>
      <c r="F4" s="11"/>
      <c r="G4" s="5" t="s">
        <v>18</v>
      </c>
      <c r="H4" s="20"/>
      <c r="I4" s="20"/>
      <c r="J4" s="20"/>
      <c r="K4" s="3"/>
      <c r="L4" s="11" t="s">
        <v>19</v>
      </c>
      <c r="M4" s="13"/>
      <c r="N4" s="7" t="s">
        <v>20</v>
      </c>
      <c r="O4" s="13"/>
      <c r="P4" s="13"/>
      <c r="Q4" s="13"/>
      <c r="R4" s="13"/>
      <c r="S4" s="12"/>
      <c r="T4" s="12"/>
      <c r="U4" s="12"/>
    </row>
    <row r="5" spans="1:21" s="22" customFormat="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s="22" customFormat="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s="22" customFormat="1" x14ac:dyDescent="0.25">
      <c r="A7" s="15" t="s">
        <v>21</v>
      </c>
      <c r="B7" s="45" t="s">
        <v>59</v>
      </c>
      <c r="C7" s="45" t="s">
        <v>44</v>
      </c>
      <c r="D7" s="45" t="s">
        <v>45</v>
      </c>
      <c r="E7" s="45" t="s">
        <v>46</v>
      </c>
      <c r="F7" s="45" t="s">
        <v>47</v>
      </c>
      <c r="G7" s="45" t="s">
        <v>48</v>
      </c>
      <c r="H7" s="45" t="s">
        <v>49</v>
      </c>
      <c r="I7" s="45" t="s">
        <v>50</v>
      </c>
      <c r="J7" s="45" t="s">
        <v>51</v>
      </c>
      <c r="K7" s="45" t="s">
        <v>52</v>
      </c>
      <c r="L7" s="45" t="s">
        <v>53</v>
      </c>
      <c r="M7" s="45" t="s">
        <v>54</v>
      </c>
      <c r="N7" s="45" t="s">
        <v>55</v>
      </c>
      <c r="O7" s="45" t="s">
        <v>56</v>
      </c>
      <c r="P7" s="45" t="s">
        <v>57</v>
      </c>
      <c r="Q7" s="45" t="s">
        <v>58</v>
      </c>
      <c r="R7" s="28"/>
      <c r="S7" s="30"/>
      <c r="T7" s="28"/>
      <c r="U7" s="28"/>
    </row>
    <row r="8" spans="1:21" s="22" customFormat="1" x14ac:dyDescent="0.25">
      <c r="A8" s="15"/>
      <c r="B8" s="30" t="s">
        <v>22</v>
      </c>
      <c r="C8" s="30" t="s">
        <v>22</v>
      </c>
      <c r="D8" s="30" t="s">
        <v>22</v>
      </c>
      <c r="E8" s="30" t="s">
        <v>22</v>
      </c>
      <c r="F8" s="30" t="s">
        <v>22</v>
      </c>
      <c r="G8" s="30" t="s">
        <v>23</v>
      </c>
      <c r="H8" s="30" t="s">
        <v>22</v>
      </c>
      <c r="I8" s="30" t="s">
        <v>22</v>
      </c>
      <c r="J8" s="30" t="s">
        <v>24</v>
      </c>
      <c r="K8" s="30" t="s">
        <v>25</v>
      </c>
      <c r="L8" s="28" t="s">
        <v>27</v>
      </c>
      <c r="M8" s="30" t="s">
        <v>26</v>
      </c>
      <c r="N8" s="30" t="s">
        <v>28</v>
      </c>
      <c r="O8" s="28" t="s">
        <v>29</v>
      </c>
      <c r="P8" s="30" t="s">
        <v>22</v>
      </c>
      <c r="Q8" s="30" t="s">
        <v>22</v>
      </c>
      <c r="R8" s="28"/>
      <c r="S8" s="30"/>
      <c r="T8" s="28"/>
      <c r="U8" s="28"/>
    </row>
    <row r="9" spans="1:21" s="12" customFormat="1" x14ac:dyDescent="0.25">
      <c r="A9" s="51" t="s">
        <v>254</v>
      </c>
      <c r="B9" s="55" t="s">
        <v>4</v>
      </c>
      <c r="C9" s="55" t="s">
        <v>4</v>
      </c>
      <c r="D9" s="55" t="s">
        <v>4</v>
      </c>
      <c r="E9" s="55" t="s">
        <v>4</v>
      </c>
      <c r="F9" s="55" t="s">
        <v>4</v>
      </c>
      <c r="G9" s="55" t="s">
        <v>4</v>
      </c>
      <c r="H9" s="55" t="s">
        <v>4</v>
      </c>
      <c r="I9" s="55" t="s">
        <v>4</v>
      </c>
      <c r="J9" s="55" t="s">
        <v>4</v>
      </c>
      <c r="K9" s="55" t="s">
        <v>4</v>
      </c>
      <c r="L9" s="55" t="s">
        <v>4</v>
      </c>
      <c r="M9" s="55" t="s">
        <v>4</v>
      </c>
      <c r="N9" s="55" t="s">
        <v>4</v>
      </c>
      <c r="O9" s="55" t="s">
        <v>4</v>
      </c>
      <c r="P9" s="55" t="s">
        <v>4</v>
      </c>
      <c r="Q9" s="55" t="s">
        <v>4</v>
      </c>
      <c r="R9" s="44"/>
      <c r="S9" s="44"/>
      <c r="T9" s="44"/>
      <c r="U9" s="44"/>
    </row>
    <row r="10" spans="1:21" s="12" customFormat="1" x14ac:dyDescent="0.25">
      <c r="A10" s="51" t="s">
        <v>255</v>
      </c>
      <c r="B10" s="55" t="s">
        <v>4</v>
      </c>
      <c r="C10" s="55" t="s">
        <v>4</v>
      </c>
      <c r="D10" s="55" t="s">
        <v>4</v>
      </c>
      <c r="E10" s="55" t="s">
        <v>4</v>
      </c>
      <c r="F10" s="55" t="s">
        <v>4</v>
      </c>
      <c r="G10" s="55" t="s">
        <v>4</v>
      </c>
      <c r="H10" s="55" t="s">
        <v>4</v>
      </c>
      <c r="I10" s="55" t="s">
        <v>4</v>
      </c>
      <c r="J10" s="55" t="s">
        <v>4</v>
      </c>
      <c r="K10" s="55" t="s">
        <v>4</v>
      </c>
      <c r="L10" s="55" t="s">
        <v>4</v>
      </c>
      <c r="M10" s="55" t="s">
        <v>4</v>
      </c>
      <c r="N10" s="55" t="s">
        <v>4</v>
      </c>
      <c r="O10" s="55" t="s">
        <v>4</v>
      </c>
      <c r="P10" s="55" t="s">
        <v>4</v>
      </c>
      <c r="Q10" s="55" t="s">
        <v>4</v>
      </c>
      <c r="R10" s="44"/>
      <c r="S10" s="44"/>
      <c r="T10" s="44"/>
      <c r="U10" s="44"/>
    </row>
    <row r="11" spans="1:21" s="12" customFormat="1" x14ac:dyDescent="0.25">
      <c r="A11" s="51" t="s">
        <v>256</v>
      </c>
      <c r="B11" s="55" t="s">
        <v>4</v>
      </c>
      <c r="C11" s="55" t="s">
        <v>4</v>
      </c>
      <c r="D11" s="55" t="s">
        <v>4</v>
      </c>
      <c r="E11" s="55" t="s">
        <v>4</v>
      </c>
      <c r="F11" s="55" t="s">
        <v>4</v>
      </c>
      <c r="G11" s="55" t="s">
        <v>4</v>
      </c>
      <c r="H11" s="55" t="s">
        <v>4</v>
      </c>
      <c r="I11" s="55" t="s">
        <v>4</v>
      </c>
      <c r="J11" s="55" t="s">
        <v>4</v>
      </c>
      <c r="K11" s="55" t="s">
        <v>4</v>
      </c>
      <c r="L11" s="55" t="s">
        <v>4</v>
      </c>
      <c r="M11" s="55" t="s">
        <v>4</v>
      </c>
      <c r="N11" s="55" t="s">
        <v>4</v>
      </c>
      <c r="O11" s="55" t="s">
        <v>4</v>
      </c>
      <c r="P11" s="55" t="s">
        <v>4</v>
      </c>
      <c r="Q11" s="55" t="s">
        <v>4</v>
      </c>
      <c r="R11" s="44"/>
      <c r="S11" s="44"/>
      <c r="T11" s="44"/>
      <c r="U11" s="44"/>
    </row>
    <row r="12" spans="1:21" s="12" customFormat="1" x14ac:dyDescent="0.25">
      <c r="A12" s="51" t="s">
        <v>257</v>
      </c>
      <c r="B12" s="55" t="s">
        <v>4</v>
      </c>
      <c r="C12" s="55" t="s">
        <v>4</v>
      </c>
      <c r="D12" s="55" t="s">
        <v>4</v>
      </c>
      <c r="E12" s="55" t="s">
        <v>4</v>
      </c>
      <c r="F12" s="55" t="s">
        <v>4</v>
      </c>
      <c r="G12" s="55" t="s">
        <v>4</v>
      </c>
      <c r="H12" s="55" t="s">
        <v>4</v>
      </c>
      <c r="I12" s="55" t="s">
        <v>4</v>
      </c>
      <c r="J12" s="55" t="s">
        <v>4</v>
      </c>
      <c r="K12" s="55" t="s">
        <v>4</v>
      </c>
      <c r="L12" s="55" t="s">
        <v>4</v>
      </c>
      <c r="M12" s="55" t="s">
        <v>4</v>
      </c>
      <c r="N12" s="55" t="s">
        <v>4</v>
      </c>
      <c r="O12" s="55" t="s">
        <v>4</v>
      </c>
      <c r="P12" s="55" t="s">
        <v>4</v>
      </c>
      <c r="Q12" s="55" t="s">
        <v>4</v>
      </c>
      <c r="R12" s="44"/>
      <c r="S12" s="44"/>
      <c r="T12" s="44"/>
      <c r="U12" s="44"/>
    </row>
    <row r="13" spans="1:21" s="12" customFormat="1" x14ac:dyDescent="0.25">
      <c r="A13" s="51" t="s">
        <v>258</v>
      </c>
      <c r="B13" s="55" t="s">
        <v>4</v>
      </c>
      <c r="C13" s="55" t="s">
        <v>4</v>
      </c>
      <c r="D13" s="55" t="s">
        <v>4</v>
      </c>
      <c r="E13" s="55" t="s">
        <v>4</v>
      </c>
      <c r="F13" s="55" t="s">
        <v>4</v>
      </c>
      <c r="G13" s="55" t="s">
        <v>4</v>
      </c>
      <c r="H13" s="55" t="s">
        <v>4</v>
      </c>
      <c r="I13" s="55" t="s">
        <v>4</v>
      </c>
      <c r="J13" s="55" t="s">
        <v>4</v>
      </c>
      <c r="K13" s="55" t="s">
        <v>4</v>
      </c>
      <c r="L13" s="55" t="s">
        <v>4</v>
      </c>
      <c r="M13" s="55" t="s">
        <v>4</v>
      </c>
      <c r="N13" s="55" t="s">
        <v>4</v>
      </c>
      <c r="O13" s="55" t="s">
        <v>4</v>
      </c>
      <c r="P13" s="55" t="s">
        <v>4</v>
      </c>
      <c r="Q13" s="55" t="s">
        <v>4</v>
      </c>
      <c r="R13" s="44"/>
      <c r="S13" s="44"/>
      <c r="T13" s="44"/>
      <c r="U13" s="44"/>
    </row>
    <row r="14" spans="1:21" s="12" customFormat="1" x14ac:dyDescent="0.25">
      <c r="A14" s="51" t="s">
        <v>259</v>
      </c>
      <c r="B14" s="55" t="s">
        <v>4</v>
      </c>
      <c r="C14" s="55" t="s">
        <v>4</v>
      </c>
      <c r="D14" s="55" t="s">
        <v>4</v>
      </c>
      <c r="E14" s="55" t="s">
        <v>4</v>
      </c>
      <c r="F14" s="55" t="s">
        <v>4</v>
      </c>
      <c r="G14" s="55" t="s">
        <v>4</v>
      </c>
      <c r="H14" s="55" t="s">
        <v>4</v>
      </c>
      <c r="I14" s="55" t="s">
        <v>4</v>
      </c>
      <c r="J14" s="55" t="s">
        <v>4</v>
      </c>
      <c r="K14" s="55" t="s">
        <v>4</v>
      </c>
      <c r="L14" s="55" t="s">
        <v>4</v>
      </c>
      <c r="M14" s="55" t="s">
        <v>4</v>
      </c>
      <c r="N14" s="55" t="s">
        <v>4</v>
      </c>
      <c r="O14" s="55" t="s">
        <v>4</v>
      </c>
      <c r="P14" s="55" t="s">
        <v>4</v>
      </c>
      <c r="Q14" s="55" t="s">
        <v>4</v>
      </c>
      <c r="R14" s="44"/>
      <c r="S14" s="44"/>
      <c r="T14" s="44"/>
      <c r="U14" s="44"/>
    </row>
    <row r="15" spans="1:21" s="12" customFormat="1" x14ac:dyDescent="0.25">
      <c r="A15" s="51" t="s">
        <v>260</v>
      </c>
      <c r="B15" s="55" t="s">
        <v>4</v>
      </c>
      <c r="C15" s="55" t="s">
        <v>4</v>
      </c>
      <c r="D15" s="55" t="s">
        <v>4</v>
      </c>
      <c r="E15" s="55" t="s">
        <v>4</v>
      </c>
      <c r="F15" s="55" t="s">
        <v>4</v>
      </c>
      <c r="G15" s="55" t="s">
        <v>4</v>
      </c>
      <c r="H15" s="55" t="s">
        <v>4</v>
      </c>
      <c r="I15" s="55" t="s">
        <v>4</v>
      </c>
      <c r="J15" s="55" t="s">
        <v>4</v>
      </c>
      <c r="K15" s="55" t="s">
        <v>4</v>
      </c>
      <c r="L15" s="55" t="s">
        <v>4</v>
      </c>
      <c r="M15" s="55" t="s">
        <v>4</v>
      </c>
      <c r="N15" s="55" t="s">
        <v>4</v>
      </c>
      <c r="O15" s="55" t="s">
        <v>4</v>
      </c>
      <c r="P15" s="55" t="s">
        <v>4</v>
      </c>
      <c r="Q15" s="55" t="s">
        <v>4</v>
      </c>
      <c r="R15" s="44"/>
      <c r="S15" s="44"/>
      <c r="T15" s="44"/>
      <c r="U15" s="44"/>
    </row>
    <row r="16" spans="1:21" s="12" customFormat="1" x14ac:dyDescent="0.25">
      <c r="A16" s="51" t="s">
        <v>261</v>
      </c>
      <c r="B16" s="55" t="s">
        <v>4</v>
      </c>
      <c r="C16" s="55" t="s">
        <v>4</v>
      </c>
      <c r="D16" s="55" t="s">
        <v>4</v>
      </c>
      <c r="E16" s="55" t="s">
        <v>4</v>
      </c>
      <c r="F16" s="55" t="s">
        <v>4</v>
      </c>
      <c r="G16" s="55" t="s">
        <v>4</v>
      </c>
      <c r="H16" s="55" t="s">
        <v>4</v>
      </c>
      <c r="I16" s="55" t="s">
        <v>4</v>
      </c>
      <c r="J16" s="55" t="s">
        <v>4</v>
      </c>
      <c r="K16" s="55" t="s">
        <v>4</v>
      </c>
      <c r="L16" s="55" t="s">
        <v>4</v>
      </c>
      <c r="M16" s="55" t="s">
        <v>4</v>
      </c>
      <c r="N16" s="55" t="s">
        <v>4</v>
      </c>
      <c r="O16" s="55" t="s">
        <v>4</v>
      </c>
      <c r="P16" s="55" t="s">
        <v>4</v>
      </c>
      <c r="Q16" s="55" t="s">
        <v>4</v>
      </c>
      <c r="R16" s="44"/>
      <c r="S16" s="44"/>
      <c r="T16" s="44"/>
      <c r="U16" s="44"/>
    </row>
    <row r="17" spans="1:21" s="12" customFormat="1" x14ac:dyDescent="0.25">
      <c r="A17" s="51" t="s">
        <v>262</v>
      </c>
      <c r="B17" s="55" t="s">
        <v>4</v>
      </c>
      <c r="C17" s="55" t="s">
        <v>4</v>
      </c>
      <c r="D17" s="55" t="s">
        <v>4</v>
      </c>
      <c r="E17" s="55" t="s">
        <v>4</v>
      </c>
      <c r="F17" s="55" t="s">
        <v>4</v>
      </c>
      <c r="G17" s="55" t="s">
        <v>4</v>
      </c>
      <c r="H17" s="55" t="s">
        <v>4</v>
      </c>
      <c r="I17" s="55" t="s">
        <v>4</v>
      </c>
      <c r="J17" s="55" t="s">
        <v>4</v>
      </c>
      <c r="K17" s="55" t="s">
        <v>4</v>
      </c>
      <c r="L17" s="55" t="s">
        <v>4</v>
      </c>
      <c r="M17" s="55" t="s">
        <v>4</v>
      </c>
      <c r="N17" s="55" t="s">
        <v>4</v>
      </c>
      <c r="O17" s="55" t="s">
        <v>4</v>
      </c>
      <c r="P17" s="55" t="s">
        <v>4</v>
      </c>
      <c r="Q17" s="55" t="s">
        <v>4</v>
      </c>
      <c r="R17" s="44"/>
      <c r="S17" s="44"/>
      <c r="T17" s="44"/>
      <c r="U17" s="44"/>
    </row>
    <row r="18" spans="1:21" s="12" customFormat="1" x14ac:dyDescent="0.25">
      <c r="A18" s="51" t="s">
        <v>263</v>
      </c>
      <c r="B18" s="55" t="s">
        <v>4</v>
      </c>
      <c r="C18" s="55" t="s">
        <v>4</v>
      </c>
      <c r="D18" s="55" t="s">
        <v>4</v>
      </c>
      <c r="E18" s="55" t="s">
        <v>4</v>
      </c>
      <c r="F18" s="55" t="s">
        <v>4</v>
      </c>
      <c r="G18" s="55" t="s">
        <v>4</v>
      </c>
      <c r="H18" s="55" t="s">
        <v>4</v>
      </c>
      <c r="I18" s="55" t="s">
        <v>4</v>
      </c>
      <c r="J18" s="55" t="s">
        <v>4</v>
      </c>
      <c r="K18" s="55" t="s">
        <v>4</v>
      </c>
      <c r="L18" s="55" t="s">
        <v>4</v>
      </c>
      <c r="M18" s="55" t="s">
        <v>4</v>
      </c>
      <c r="N18" s="55" t="s">
        <v>4</v>
      </c>
      <c r="O18" s="55" t="s">
        <v>4</v>
      </c>
      <c r="P18" s="55" t="s">
        <v>4</v>
      </c>
      <c r="Q18" s="55" t="s">
        <v>4</v>
      </c>
      <c r="R18" s="44"/>
      <c r="S18" s="44"/>
      <c r="T18" s="44"/>
      <c r="U18" s="44"/>
    </row>
    <row r="19" spans="1:21" s="12" customFormat="1" x14ac:dyDescent="0.25">
      <c r="A19" s="51" t="s">
        <v>264</v>
      </c>
      <c r="B19" s="55" t="s">
        <v>4</v>
      </c>
      <c r="C19" s="55" t="s">
        <v>4</v>
      </c>
      <c r="D19" s="55" t="s">
        <v>4</v>
      </c>
      <c r="E19" s="55" t="s">
        <v>4</v>
      </c>
      <c r="F19" s="55" t="s">
        <v>4</v>
      </c>
      <c r="G19" s="55" t="s">
        <v>4</v>
      </c>
      <c r="H19" s="55" t="s">
        <v>4</v>
      </c>
      <c r="I19" s="55" t="s">
        <v>4</v>
      </c>
      <c r="J19" s="55" t="s">
        <v>4</v>
      </c>
      <c r="K19" s="55" t="s">
        <v>4</v>
      </c>
      <c r="L19" s="55" t="s">
        <v>4</v>
      </c>
      <c r="M19" s="55" t="s">
        <v>4</v>
      </c>
      <c r="N19" s="55" t="s">
        <v>4</v>
      </c>
      <c r="O19" s="55" t="s">
        <v>4</v>
      </c>
      <c r="P19" s="55" t="s">
        <v>4</v>
      </c>
      <c r="Q19" s="55" t="s">
        <v>4</v>
      </c>
      <c r="R19" s="44"/>
      <c r="S19" s="44"/>
      <c r="T19" s="44"/>
      <c r="U19" s="44"/>
    </row>
    <row r="20" spans="1:21" s="12" customFormat="1" x14ac:dyDescent="0.25">
      <c r="A20" s="51" t="s">
        <v>265</v>
      </c>
      <c r="B20" s="55" t="s">
        <v>4</v>
      </c>
      <c r="C20" s="55" t="s">
        <v>4</v>
      </c>
      <c r="D20" s="55" t="s">
        <v>4</v>
      </c>
      <c r="E20" s="55" t="s">
        <v>4</v>
      </c>
      <c r="F20" s="55" t="s">
        <v>4</v>
      </c>
      <c r="G20" s="55" t="s">
        <v>4</v>
      </c>
      <c r="H20" s="55" t="s">
        <v>4</v>
      </c>
      <c r="I20" s="55" t="s">
        <v>4</v>
      </c>
      <c r="J20" s="55" t="s">
        <v>4</v>
      </c>
      <c r="K20" s="55" t="s">
        <v>4</v>
      </c>
      <c r="L20" s="55" t="s">
        <v>4</v>
      </c>
      <c r="M20" s="55" t="s">
        <v>4</v>
      </c>
      <c r="N20" s="55" t="s">
        <v>4</v>
      </c>
      <c r="O20" s="55" t="s">
        <v>4</v>
      </c>
      <c r="P20" s="55" t="s">
        <v>4</v>
      </c>
      <c r="Q20" s="55" t="s">
        <v>4</v>
      </c>
      <c r="R20" s="44"/>
      <c r="S20" s="44"/>
      <c r="T20" s="44"/>
      <c r="U20" s="44"/>
    </row>
    <row r="21" spans="1:21" s="12" customFormat="1" x14ac:dyDescent="0.25">
      <c r="A21" s="51" t="s">
        <v>266</v>
      </c>
      <c r="B21" s="55" t="s">
        <v>4</v>
      </c>
      <c r="C21" s="55" t="s">
        <v>4</v>
      </c>
      <c r="D21" s="55" t="s">
        <v>4</v>
      </c>
      <c r="E21" s="55" t="s">
        <v>4</v>
      </c>
      <c r="F21" s="55" t="s">
        <v>4</v>
      </c>
      <c r="G21" s="55" t="s">
        <v>4</v>
      </c>
      <c r="H21" s="55" t="s">
        <v>4</v>
      </c>
      <c r="I21" s="55" t="s">
        <v>4</v>
      </c>
      <c r="J21" s="55" t="s">
        <v>4</v>
      </c>
      <c r="K21" s="55" t="s">
        <v>4</v>
      </c>
      <c r="L21" s="55" t="s">
        <v>4</v>
      </c>
      <c r="M21" s="55" t="s">
        <v>4</v>
      </c>
      <c r="N21" s="55" t="s">
        <v>4</v>
      </c>
      <c r="O21" s="55" t="s">
        <v>4</v>
      </c>
      <c r="P21" s="55" t="s">
        <v>4</v>
      </c>
      <c r="Q21" s="55" t="s">
        <v>4</v>
      </c>
      <c r="R21" s="44"/>
      <c r="S21" s="44"/>
      <c r="T21" s="44"/>
      <c r="U21" s="44"/>
    </row>
    <row r="22" spans="1:21" s="12" customFormat="1" x14ac:dyDescent="0.25">
      <c r="A22" s="51" t="s">
        <v>267</v>
      </c>
      <c r="B22" s="55" t="s">
        <v>4</v>
      </c>
      <c r="C22" s="55" t="s">
        <v>4</v>
      </c>
      <c r="D22" s="55" t="s">
        <v>4</v>
      </c>
      <c r="E22" s="55" t="s">
        <v>4</v>
      </c>
      <c r="F22" s="55" t="s">
        <v>4</v>
      </c>
      <c r="G22" s="55" t="s">
        <v>4</v>
      </c>
      <c r="H22" s="55" t="s">
        <v>4</v>
      </c>
      <c r="I22" s="55" t="s">
        <v>4</v>
      </c>
      <c r="J22" s="55" t="s">
        <v>4</v>
      </c>
      <c r="K22" s="55" t="s">
        <v>4</v>
      </c>
      <c r="L22" s="55" t="s">
        <v>4</v>
      </c>
      <c r="M22" s="55" t="s">
        <v>4</v>
      </c>
      <c r="N22" s="55" t="s">
        <v>4</v>
      </c>
      <c r="O22" s="55" t="s">
        <v>4</v>
      </c>
      <c r="P22" s="55" t="s">
        <v>4</v>
      </c>
      <c r="Q22" s="55" t="s">
        <v>4</v>
      </c>
      <c r="R22" s="44"/>
      <c r="S22" s="44"/>
      <c r="T22" s="44"/>
      <c r="U22" s="44"/>
    </row>
    <row r="23" spans="1:21" s="12" customFormat="1" x14ac:dyDescent="0.25">
      <c r="A23" s="51" t="s">
        <v>268</v>
      </c>
      <c r="B23" s="55" t="s">
        <v>4</v>
      </c>
      <c r="C23" s="55" t="s">
        <v>4</v>
      </c>
      <c r="D23" s="55" t="s">
        <v>4</v>
      </c>
      <c r="E23" s="55" t="s">
        <v>4</v>
      </c>
      <c r="F23" s="55" t="s">
        <v>4</v>
      </c>
      <c r="G23" s="55" t="s">
        <v>4</v>
      </c>
      <c r="H23" s="55" t="s">
        <v>4</v>
      </c>
      <c r="I23" s="55" t="s">
        <v>4</v>
      </c>
      <c r="J23" s="55" t="s">
        <v>4</v>
      </c>
      <c r="K23" s="55" t="s">
        <v>4</v>
      </c>
      <c r="L23" s="55" t="s">
        <v>4</v>
      </c>
      <c r="M23" s="55" t="s">
        <v>4</v>
      </c>
      <c r="N23" s="55" t="s">
        <v>4</v>
      </c>
      <c r="O23" s="55" t="s">
        <v>4</v>
      </c>
      <c r="P23" s="55" t="s">
        <v>4</v>
      </c>
      <c r="Q23" s="55" t="s">
        <v>4</v>
      </c>
      <c r="R23" s="44"/>
      <c r="S23" s="44"/>
      <c r="T23" s="44"/>
      <c r="U23" s="44"/>
    </row>
    <row r="24" spans="1:21" s="12" customFormat="1" x14ac:dyDescent="0.25">
      <c r="A24" s="51" t="s">
        <v>269</v>
      </c>
      <c r="B24" s="55" t="s">
        <v>4</v>
      </c>
      <c r="C24" s="55" t="s">
        <v>4</v>
      </c>
      <c r="D24" s="55" t="s">
        <v>4</v>
      </c>
      <c r="E24" s="55" t="s">
        <v>4</v>
      </c>
      <c r="F24" s="55" t="s">
        <v>4</v>
      </c>
      <c r="G24" s="55" t="s">
        <v>4</v>
      </c>
      <c r="H24" s="55" t="s">
        <v>4</v>
      </c>
      <c r="I24" s="55" t="s">
        <v>4</v>
      </c>
      <c r="J24" s="55" t="s">
        <v>4</v>
      </c>
      <c r="K24" s="55" t="s">
        <v>4</v>
      </c>
      <c r="L24" s="55" t="s">
        <v>4</v>
      </c>
      <c r="M24" s="55" t="s">
        <v>4</v>
      </c>
      <c r="N24" s="55" t="s">
        <v>4</v>
      </c>
      <c r="O24" s="55" t="s">
        <v>4</v>
      </c>
      <c r="P24" s="55" t="s">
        <v>4</v>
      </c>
      <c r="Q24" s="55" t="s">
        <v>4</v>
      </c>
      <c r="R24" s="44"/>
      <c r="S24" s="44"/>
      <c r="T24" s="44"/>
      <c r="U24" s="44"/>
    </row>
    <row r="25" spans="1:21" s="12" customFormat="1" x14ac:dyDescent="0.25">
      <c r="A25" s="51" t="s">
        <v>270</v>
      </c>
      <c r="B25" s="55" t="s">
        <v>4</v>
      </c>
      <c r="C25" s="55" t="s">
        <v>4</v>
      </c>
      <c r="D25" s="55" t="s">
        <v>4</v>
      </c>
      <c r="E25" s="55" t="s">
        <v>4</v>
      </c>
      <c r="F25" s="55" t="s">
        <v>4</v>
      </c>
      <c r="G25" s="55" t="s">
        <v>4</v>
      </c>
      <c r="H25" s="55" t="s">
        <v>4</v>
      </c>
      <c r="I25" s="55" t="s">
        <v>4</v>
      </c>
      <c r="J25" s="55" t="s">
        <v>4</v>
      </c>
      <c r="K25" s="55" t="s">
        <v>4</v>
      </c>
      <c r="L25" s="55" t="s">
        <v>4</v>
      </c>
      <c r="M25" s="55" t="s">
        <v>4</v>
      </c>
      <c r="N25" s="55" t="s">
        <v>4</v>
      </c>
      <c r="O25" s="55" t="s">
        <v>4</v>
      </c>
      <c r="P25" s="55" t="s">
        <v>4</v>
      </c>
      <c r="Q25" s="55" t="s">
        <v>4</v>
      </c>
      <c r="R25" s="44"/>
      <c r="S25" s="44"/>
      <c r="T25" s="44"/>
      <c r="U25" s="44"/>
    </row>
    <row r="26" spans="1:21" s="12" customFormat="1" x14ac:dyDescent="0.25">
      <c r="A26" s="51" t="s">
        <v>271</v>
      </c>
      <c r="B26" s="55" t="s">
        <v>4</v>
      </c>
      <c r="C26" s="55" t="s">
        <v>4</v>
      </c>
      <c r="D26" s="55" t="s">
        <v>4</v>
      </c>
      <c r="E26" s="55" t="s">
        <v>4</v>
      </c>
      <c r="F26" s="55" t="s">
        <v>4</v>
      </c>
      <c r="G26" s="55" t="s">
        <v>4</v>
      </c>
      <c r="H26" s="55" t="s">
        <v>4</v>
      </c>
      <c r="I26" s="55" t="s">
        <v>4</v>
      </c>
      <c r="J26" s="55" t="s">
        <v>4</v>
      </c>
      <c r="K26" s="55" t="s">
        <v>4</v>
      </c>
      <c r="L26" s="55" t="s">
        <v>4</v>
      </c>
      <c r="M26" s="55" t="s">
        <v>4</v>
      </c>
      <c r="N26" s="55" t="s">
        <v>4</v>
      </c>
      <c r="O26" s="55" t="s">
        <v>4</v>
      </c>
      <c r="P26" s="55" t="s">
        <v>4</v>
      </c>
      <c r="Q26" s="55" t="s">
        <v>4</v>
      </c>
      <c r="R26" s="44"/>
      <c r="S26" s="44"/>
      <c r="T26" s="44"/>
      <c r="U26" s="44"/>
    </row>
    <row r="27" spans="1:21" s="12" customFormat="1" x14ac:dyDescent="0.25">
      <c r="A27" s="51" t="s">
        <v>272</v>
      </c>
      <c r="B27" s="55" t="s">
        <v>4</v>
      </c>
      <c r="C27" s="55" t="s">
        <v>4</v>
      </c>
      <c r="D27" s="55" t="s">
        <v>4</v>
      </c>
      <c r="E27" s="55" t="s">
        <v>4</v>
      </c>
      <c r="F27" s="55" t="s">
        <v>4</v>
      </c>
      <c r="G27" s="55" t="s">
        <v>4</v>
      </c>
      <c r="H27" s="55" t="s">
        <v>4</v>
      </c>
      <c r="I27" s="55" t="s">
        <v>4</v>
      </c>
      <c r="J27" s="55" t="s">
        <v>4</v>
      </c>
      <c r="K27" s="55" t="s">
        <v>4</v>
      </c>
      <c r="L27" s="55" t="s">
        <v>4</v>
      </c>
      <c r="M27" s="55" t="s">
        <v>4</v>
      </c>
      <c r="N27" s="55" t="s">
        <v>4</v>
      </c>
      <c r="O27" s="55" t="s">
        <v>4</v>
      </c>
      <c r="P27" s="55" t="s">
        <v>4</v>
      </c>
      <c r="Q27" s="55" t="s">
        <v>4</v>
      </c>
      <c r="R27" s="44"/>
      <c r="S27" s="44"/>
      <c r="T27" s="44"/>
      <c r="U27" s="44"/>
    </row>
    <row r="28" spans="1:21" s="12" customFormat="1" x14ac:dyDescent="0.25">
      <c r="A28" s="51" t="s">
        <v>273</v>
      </c>
      <c r="B28" s="55" t="s">
        <v>4</v>
      </c>
      <c r="C28" s="55" t="s">
        <v>4</v>
      </c>
      <c r="D28" s="55" t="s">
        <v>4</v>
      </c>
      <c r="E28" s="55" t="s">
        <v>4</v>
      </c>
      <c r="F28" s="55" t="s">
        <v>4</v>
      </c>
      <c r="G28" s="55" t="s">
        <v>4</v>
      </c>
      <c r="H28" s="55" t="s">
        <v>4</v>
      </c>
      <c r="I28" s="55" t="s">
        <v>4</v>
      </c>
      <c r="J28" s="55" t="s">
        <v>4</v>
      </c>
      <c r="K28" s="55" t="s">
        <v>4</v>
      </c>
      <c r="L28" s="55" t="s">
        <v>4</v>
      </c>
      <c r="M28" s="55" t="s">
        <v>4</v>
      </c>
      <c r="N28" s="55" t="s">
        <v>4</v>
      </c>
      <c r="O28" s="55" t="s">
        <v>4</v>
      </c>
      <c r="P28" s="55" t="s">
        <v>4</v>
      </c>
      <c r="Q28" s="55" t="s">
        <v>4</v>
      </c>
      <c r="R28" s="44"/>
      <c r="S28" s="44"/>
      <c r="T28" s="44"/>
      <c r="U28" s="44"/>
    </row>
    <row r="29" spans="1:21" s="12" customFormat="1" x14ac:dyDescent="0.25">
      <c r="A29" s="51" t="s">
        <v>274</v>
      </c>
      <c r="B29" s="55" t="s">
        <v>4</v>
      </c>
      <c r="C29" s="55" t="s">
        <v>4</v>
      </c>
      <c r="D29" s="55" t="s">
        <v>4</v>
      </c>
      <c r="E29" s="55" t="s">
        <v>4</v>
      </c>
      <c r="F29" s="55" t="s">
        <v>4</v>
      </c>
      <c r="G29" s="55" t="s">
        <v>4</v>
      </c>
      <c r="H29" s="55" t="s">
        <v>4</v>
      </c>
      <c r="I29" s="55" t="s">
        <v>4</v>
      </c>
      <c r="J29" s="55" t="s">
        <v>4</v>
      </c>
      <c r="K29" s="55" t="s">
        <v>4</v>
      </c>
      <c r="L29" s="55" t="s">
        <v>4</v>
      </c>
      <c r="M29" s="55" t="s">
        <v>4</v>
      </c>
      <c r="N29" s="55" t="s">
        <v>4</v>
      </c>
      <c r="O29" s="55" t="s">
        <v>4</v>
      </c>
      <c r="P29" s="55" t="s">
        <v>4</v>
      </c>
      <c r="Q29" s="55" t="s">
        <v>4</v>
      </c>
      <c r="R29" s="44"/>
      <c r="S29" s="44"/>
      <c r="T29" s="44"/>
      <c r="U29" s="44"/>
    </row>
    <row r="30" spans="1:21" s="12" customFormat="1" x14ac:dyDescent="0.25">
      <c r="A30" s="51" t="s">
        <v>275</v>
      </c>
      <c r="B30" s="55" t="s">
        <v>4</v>
      </c>
      <c r="C30" s="55" t="s">
        <v>4</v>
      </c>
      <c r="D30" s="55" t="s">
        <v>4</v>
      </c>
      <c r="E30" s="55" t="s">
        <v>4</v>
      </c>
      <c r="F30" s="55" t="s">
        <v>4</v>
      </c>
      <c r="G30" s="55" t="s">
        <v>4</v>
      </c>
      <c r="H30" s="55" t="s">
        <v>4</v>
      </c>
      <c r="I30" s="55" t="s">
        <v>4</v>
      </c>
      <c r="J30" s="55" t="s">
        <v>4</v>
      </c>
      <c r="K30" s="55" t="s">
        <v>4</v>
      </c>
      <c r="L30" s="55" t="s">
        <v>4</v>
      </c>
      <c r="M30" s="55" t="s">
        <v>4</v>
      </c>
      <c r="N30" s="55" t="s">
        <v>4</v>
      </c>
      <c r="O30" s="55" t="s">
        <v>4</v>
      </c>
      <c r="P30" s="55" t="s">
        <v>4</v>
      </c>
      <c r="Q30" s="55" t="s">
        <v>4</v>
      </c>
      <c r="R30" s="44"/>
      <c r="S30" s="44"/>
      <c r="T30" s="44"/>
      <c r="U30" s="44"/>
    </row>
    <row r="31" spans="1:21" s="12" customFormat="1" x14ac:dyDescent="0.25">
      <c r="A31" s="51" t="s">
        <v>276</v>
      </c>
      <c r="B31" s="55" t="s">
        <v>4</v>
      </c>
      <c r="C31" s="55" t="s">
        <v>4</v>
      </c>
      <c r="D31" s="55" t="s">
        <v>4</v>
      </c>
      <c r="E31" s="55" t="s">
        <v>4</v>
      </c>
      <c r="F31" s="55" t="s">
        <v>4</v>
      </c>
      <c r="G31" s="55" t="s">
        <v>4</v>
      </c>
      <c r="H31" s="55" t="s">
        <v>4</v>
      </c>
      <c r="I31" s="55" t="s">
        <v>4</v>
      </c>
      <c r="J31" s="55" t="s">
        <v>4</v>
      </c>
      <c r="K31" s="55" t="s">
        <v>4</v>
      </c>
      <c r="L31" s="55" t="s">
        <v>4</v>
      </c>
      <c r="M31" s="55" t="s">
        <v>4</v>
      </c>
      <c r="N31" s="55" t="s">
        <v>4</v>
      </c>
      <c r="O31" s="55" t="s">
        <v>4</v>
      </c>
      <c r="P31" s="55" t="s">
        <v>4</v>
      </c>
      <c r="Q31" s="55" t="s">
        <v>4</v>
      </c>
      <c r="R31" s="44"/>
      <c r="S31" s="44"/>
      <c r="T31" s="44"/>
      <c r="U31" s="44"/>
    </row>
    <row r="32" spans="1:21" s="12" customFormat="1" x14ac:dyDescent="0.25">
      <c r="A32" s="51" t="s">
        <v>277</v>
      </c>
      <c r="B32" s="55" t="s">
        <v>4</v>
      </c>
      <c r="C32" s="55" t="s">
        <v>4</v>
      </c>
      <c r="D32" s="55" t="s">
        <v>4</v>
      </c>
      <c r="E32" s="55" t="s">
        <v>4</v>
      </c>
      <c r="F32" s="55" t="s">
        <v>4</v>
      </c>
      <c r="G32" s="55" t="s">
        <v>4</v>
      </c>
      <c r="H32" s="55" t="s">
        <v>4</v>
      </c>
      <c r="I32" s="55" t="s">
        <v>4</v>
      </c>
      <c r="J32" s="55" t="s">
        <v>4</v>
      </c>
      <c r="K32" s="55" t="s">
        <v>4</v>
      </c>
      <c r="L32" s="55" t="s">
        <v>4</v>
      </c>
      <c r="M32" s="55" t="s">
        <v>4</v>
      </c>
      <c r="N32" s="55" t="s">
        <v>4</v>
      </c>
      <c r="O32" s="55" t="s">
        <v>4</v>
      </c>
      <c r="P32" s="55" t="s">
        <v>4</v>
      </c>
      <c r="Q32" s="55" t="s">
        <v>4</v>
      </c>
      <c r="R32" s="44"/>
      <c r="S32" s="44"/>
      <c r="T32" s="44"/>
      <c r="U32" s="44"/>
    </row>
    <row r="33" spans="1:21" s="22" customFormat="1" x14ac:dyDescent="0.25">
      <c r="A33" s="27"/>
      <c r="B33" s="21"/>
      <c r="C33" s="21"/>
      <c r="D33" s="21"/>
      <c r="E33" s="21"/>
      <c r="F33" s="21"/>
      <c r="G33" s="27"/>
      <c r="H33" s="27"/>
      <c r="I33" s="27"/>
      <c r="J33" s="21"/>
      <c r="K33" s="21"/>
      <c r="L33" s="27"/>
      <c r="M33" s="27"/>
      <c r="N33" s="27"/>
      <c r="O33" s="27"/>
      <c r="P33" s="27"/>
      <c r="Q33" s="21"/>
      <c r="R33" s="21"/>
      <c r="S33" s="21"/>
      <c r="T33" s="21"/>
      <c r="U33" s="21"/>
    </row>
    <row r="34" spans="1:21" s="22" customFormat="1" x14ac:dyDescent="0.25">
      <c r="A34" s="28" t="s">
        <v>30</v>
      </c>
      <c r="B34" s="29">
        <f t="shared" ref="B34:Q34" si="0">MIN(B9:B32)</f>
        <v>0</v>
      </c>
      <c r="C34" s="29">
        <f t="shared" si="0"/>
        <v>0</v>
      </c>
      <c r="D34" s="29">
        <f t="shared" si="0"/>
        <v>0</v>
      </c>
      <c r="E34" s="29">
        <f t="shared" si="0"/>
        <v>0</v>
      </c>
      <c r="F34" s="29">
        <f t="shared" si="0"/>
        <v>0</v>
      </c>
      <c r="G34" s="29">
        <f t="shared" si="0"/>
        <v>0</v>
      </c>
      <c r="H34" s="29">
        <f t="shared" si="0"/>
        <v>0</v>
      </c>
      <c r="I34" s="29">
        <f t="shared" si="0"/>
        <v>0</v>
      </c>
      <c r="J34" s="29">
        <f t="shared" si="0"/>
        <v>0</v>
      </c>
      <c r="K34" s="29">
        <f t="shared" si="0"/>
        <v>0</v>
      </c>
      <c r="L34" s="29">
        <f t="shared" si="0"/>
        <v>0</v>
      </c>
      <c r="M34" s="29">
        <f t="shared" si="0"/>
        <v>0</v>
      </c>
      <c r="N34" s="29">
        <f t="shared" si="0"/>
        <v>0</v>
      </c>
      <c r="O34" s="29">
        <f t="shared" si="0"/>
        <v>0</v>
      </c>
      <c r="P34" s="29">
        <f t="shared" si="0"/>
        <v>0</v>
      </c>
      <c r="Q34" s="29">
        <f t="shared" si="0"/>
        <v>0</v>
      </c>
      <c r="R34" s="29"/>
      <c r="S34" s="29"/>
      <c r="T34" s="29"/>
      <c r="U34" s="29"/>
    </row>
    <row r="35" spans="1:21" s="22" customFormat="1" x14ac:dyDescent="0.25">
      <c r="A35" s="28" t="s">
        <v>31</v>
      </c>
      <c r="B35" s="30">
        <f t="shared" ref="B35:Q35" si="1">MAX(B9:B32)</f>
        <v>0</v>
      </c>
      <c r="C35" s="30">
        <f t="shared" si="1"/>
        <v>0</v>
      </c>
      <c r="D35" s="30">
        <f t="shared" si="1"/>
        <v>0</v>
      </c>
      <c r="E35" s="30">
        <f t="shared" si="1"/>
        <v>0</v>
      </c>
      <c r="F35" s="30">
        <f t="shared" si="1"/>
        <v>0</v>
      </c>
      <c r="G35" s="30">
        <f t="shared" si="1"/>
        <v>0</v>
      </c>
      <c r="H35" s="30">
        <f t="shared" si="1"/>
        <v>0</v>
      </c>
      <c r="I35" s="30">
        <f t="shared" si="1"/>
        <v>0</v>
      </c>
      <c r="J35" s="30">
        <f t="shared" si="1"/>
        <v>0</v>
      </c>
      <c r="K35" s="30">
        <f t="shared" si="1"/>
        <v>0</v>
      </c>
      <c r="L35" s="30">
        <f t="shared" si="1"/>
        <v>0</v>
      </c>
      <c r="M35" s="30">
        <f t="shared" si="1"/>
        <v>0</v>
      </c>
      <c r="N35" s="30">
        <f t="shared" si="1"/>
        <v>0</v>
      </c>
      <c r="O35" s="30">
        <f t="shared" si="1"/>
        <v>0</v>
      </c>
      <c r="P35" s="30">
        <f t="shared" si="1"/>
        <v>0</v>
      </c>
      <c r="Q35" s="30">
        <f t="shared" si="1"/>
        <v>0</v>
      </c>
      <c r="R35" s="30"/>
      <c r="S35" s="30"/>
      <c r="T35" s="30"/>
      <c r="U35" s="30"/>
    </row>
    <row r="36" spans="1:21" s="22" customFormat="1" x14ac:dyDescent="0.25">
      <c r="A36" s="28" t="s">
        <v>32</v>
      </c>
      <c r="B36" s="29" t="e">
        <f t="shared" ref="B36:Q36" si="2">AVERAGE(B9:B32)</f>
        <v>#DIV/0!</v>
      </c>
      <c r="C36" s="29" t="e">
        <f t="shared" si="2"/>
        <v>#DIV/0!</v>
      </c>
      <c r="D36" s="29" t="e">
        <f t="shared" si="2"/>
        <v>#DIV/0!</v>
      </c>
      <c r="E36" s="29" t="e">
        <f t="shared" si="2"/>
        <v>#DIV/0!</v>
      </c>
      <c r="F36" s="29" t="e">
        <f t="shared" si="2"/>
        <v>#DIV/0!</v>
      </c>
      <c r="G36" s="29" t="e">
        <f t="shared" si="2"/>
        <v>#DIV/0!</v>
      </c>
      <c r="H36" s="29" t="e">
        <f t="shared" si="2"/>
        <v>#DIV/0!</v>
      </c>
      <c r="I36" s="29" t="e">
        <f t="shared" si="2"/>
        <v>#DIV/0!</v>
      </c>
      <c r="J36" s="29" t="e">
        <f t="shared" si="2"/>
        <v>#DIV/0!</v>
      </c>
      <c r="K36" s="29" t="e">
        <f t="shared" si="2"/>
        <v>#DIV/0!</v>
      </c>
      <c r="L36" s="29" t="e">
        <f t="shared" si="2"/>
        <v>#DIV/0!</v>
      </c>
      <c r="M36" s="29" t="e">
        <f t="shared" si="2"/>
        <v>#DIV/0!</v>
      </c>
      <c r="N36" s="29" t="e">
        <f t="shared" si="2"/>
        <v>#DIV/0!</v>
      </c>
      <c r="O36" s="29" t="e">
        <f t="shared" si="2"/>
        <v>#DIV/0!</v>
      </c>
      <c r="P36" s="29" t="e">
        <f t="shared" si="2"/>
        <v>#DIV/0!</v>
      </c>
      <c r="Q36" s="29" t="e">
        <f t="shared" si="2"/>
        <v>#DIV/0!</v>
      </c>
      <c r="R36" s="29"/>
      <c r="S36" s="29"/>
      <c r="T36" s="29"/>
      <c r="U36" s="29"/>
    </row>
    <row r="37" spans="1:21" s="22" customFormat="1" x14ac:dyDescent="0.25">
      <c r="A37" s="28" t="s">
        <v>38</v>
      </c>
      <c r="B37" s="29" t="e">
        <f>STDEV(B9:B32)</f>
        <v>#DIV/0!</v>
      </c>
      <c r="C37" s="29" t="e">
        <f t="shared" ref="C37:Q37" si="3">STDEV(C9:C32)</f>
        <v>#DIV/0!</v>
      </c>
      <c r="D37" s="29" t="e">
        <f t="shared" si="3"/>
        <v>#DIV/0!</v>
      </c>
      <c r="E37" s="29" t="e">
        <f t="shared" si="3"/>
        <v>#DIV/0!</v>
      </c>
      <c r="F37" s="29" t="e">
        <f t="shared" si="3"/>
        <v>#DIV/0!</v>
      </c>
      <c r="G37" s="29" t="e">
        <f t="shared" si="3"/>
        <v>#DIV/0!</v>
      </c>
      <c r="H37" s="29" t="e">
        <f t="shared" si="3"/>
        <v>#DIV/0!</v>
      </c>
      <c r="I37" s="29" t="e">
        <f t="shared" si="3"/>
        <v>#DIV/0!</v>
      </c>
      <c r="J37" s="29" t="e">
        <f t="shared" si="3"/>
        <v>#DIV/0!</v>
      </c>
      <c r="K37" s="29" t="e">
        <f t="shared" si="3"/>
        <v>#DIV/0!</v>
      </c>
      <c r="L37" s="29" t="e">
        <f t="shared" si="3"/>
        <v>#DIV/0!</v>
      </c>
      <c r="M37" s="29" t="e">
        <f t="shared" si="3"/>
        <v>#DIV/0!</v>
      </c>
      <c r="N37" s="29" t="e">
        <f t="shared" si="3"/>
        <v>#DIV/0!</v>
      </c>
      <c r="O37" s="29" t="e">
        <f t="shared" si="3"/>
        <v>#DIV/0!</v>
      </c>
      <c r="P37" s="29" t="e">
        <f t="shared" si="3"/>
        <v>#DIV/0!</v>
      </c>
      <c r="Q37" s="29" t="e">
        <f t="shared" si="3"/>
        <v>#DIV/0!</v>
      </c>
      <c r="R37" s="29"/>
      <c r="S37" s="29"/>
      <c r="T37" s="29"/>
      <c r="U37" s="29"/>
    </row>
    <row r="38" spans="1:21" s="22" customFormat="1" x14ac:dyDescent="0.25">
      <c r="A38" s="32" t="s">
        <v>33</v>
      </c>
      <c r="B38" s="33">
        <f>COUNT(B9:B32)+24</f>
        <v>24</v>
      </c>
      <c r="C38" s="33">
        <f t="shared" ref="C38:Q38" si="4">COUNT(C9:C32)+24</f>
        <v>24</v>
      </c>
      <c r="D38" s="33">
        <f t="shared" si="4"/>
        <v>24</v>
      </c>
      <c r="E38" s="33">
        <f t="shared" si="4"/>
        <v>24</v>
      </c>
      <c r="F38" s="33">
        <f t="shared" si="4"/>
        <v>24</v>
      </c>
      <c r="G38" s="33">
        <f t="shared" si="4"/>
        <v>24</v>
      </c>
      <c r="H38" s="33">
        <f t="shared" si="4"/>
        <v>24</v>
      </c>
      <c r="I38" s="33">
        <f t="shared" si="4"/>
        <v>24</v>
      </c>
      <c r="J38" s="33">
        <f t="shared" si="4"/>
        <v>24</v>
      </c>
      <c r="K38" s="33">
        <f t="shared" si="4"/>
        <v>24</v>
      </c>
      <c r="L38" s="33">
        <f t="shared" si="4"/>
        <v>24</v>
      </c>
      <c r="M38" s="33">
        <f t="shared" si="4"/>
        <v>24</v>
      </c>
      <c r="N38" s="33">
        <f t="shared" si="4"/>
        <v>24</v>
      </c>
      <c r="O38" s="33">
        <f t="shared" si="4"/>
        <v>24</v>
      </c>
      <c r="P38" s="33">
        <f t="shared" si="4"/>
        <v>24</v>
      </c>
      <c r="Q38" s="33">
        <f t="shared" si="4"/>
        <v>24</v>
      </c>
      <c r="R38" s="33"/>
      <c r="S38" s="33"/>
      <c r="T38" s="33"/>
      <c r="U38" s="33"/>
    </row>
    <row r="39" spans="1:21" s="22" customFormat="1" x14ac:dyDescent="0.25">
      <c r="A39" s="28" t="s">
        <v>34</v>
      </c>
      <c r="B39" s="30" t="str">
        <f>IF(B38&gt;=22,"&gt;90%",IF(B38&lt;=22,"&lt;90%"))</f>
        <v>&gt;90%</v>
      </c>
      <c r="C39" s="30" t="str">
        <f t="shared" ref="C39:P39" si="5">IF(C38&gt;=22,"&gt;90%",IF(C38&lt;=22,"&lt;90%"))</f>
        <v>&gt;90%</v>
      </c>
      <c r="D39" s="30" t="str">
        <f t="shared" si="5"/>
        <v>&gt;90%</v>
      </c>
      <c r="E39" s="30" t="str">
        <f t="shared" si="5"/>
        <v>&gt;90%</v>
      </c>
      <c r="F39" s="30" t="str">
        <f t="shared" si="5"/>
        <v>&gt;90%</v>
      </c>
      <c r="G39" s="30" t="str">
        <f t="shared" si="5"/>
        <v>&gt;90%</v>
      </c>
      <c r="H39" s="30" t="str">
        <f t="shared" si="5"/>
        <v>&gt;90%</v>
      </c>
      <c r="I39" s="30" t="str">
        <f t="shared" si="5"/>
        <v>&gt;90%</v>
      </c>
      <c r="J39" s="30" t="str">
        <f t="shared" si="5"/>
        <v>&gt;90%</v>
      </c>
      <c r="K39" s="30" t="str">
        <f t="shared" si="5"/>
        <v>&gt;90%</v>
      </c>
      <c r="L39" s="30" t="str">
        <f t="shared" si="5"/>
        <v>&gt;90%</v>
      </c>
      <c r="M39" s="30" t="str">
        <f t="shared" si="5"/>
        <v>&gt;90%</v>
      </c>
      <c r="N39" s="30" t="str">
        <f t="shared" si="5"/>
        <v>&gt;90%</v>
      </c>
      <c r="O39" s="30" t="str">
        <f t="shared" si="5"/>
        <v>&gt;90%</v>
      </c>
      <c r="P39" s="30" t="str">
        <f t="shared" si="5"/>
        <v>&gt;90%</v>
      </c>
      <c r="Q39" s="30" t="str">
        <f>IF(Q38&gt;=22,"&gt;90%",IF(Q38&lt;=22,"&lt;90%"))</f>
        <v>&gt;90%</v>
      </c>
      <c r="R39" s="30"/>
      <c r="S39" s="30"/>
      <c r="T39" s="30"/>
      <c r="U39" s="30"/>
    </row>
    <row r="40" spans="1:21" s="22" customFormat="1" x14ac:dyDescent="0.25">
      <c r="A40" s="28" t="s">
        <v>1</v>
      </c>
      <c r="B40" s="30" t="str">
        <f>IF(B38&gt;=22,"OK",IF(B38&lt;=22,"LESS"))</f>
        <v>OK</v>
      </c>
      <c r="C40" s="30" t="str">
        <f t="shared" ref="C40:Q40" si="6">IF(C38&gt;=22,"OK",IF(C38&lt;=22,"LESS"))</f>
        <v>OK</v>
      </c>
      <c r="D40" s="30" t="str">
        <f t="shared" si="6"/>
        <v>OK</v>
      </c>
      <c r="E40" s="30" t="str">
        <f t="shared" si="6"/>
        <v>OK</v>
      </c>
      <c r="F40" s="30" t="str">
        <f t="shared" si="6"/>
        <v>OK</v>
      </c>
      <c r="G40" s="30" t="str">
        <f t="shared" si="6"/>
        <v>OK</v>
      </c>
      <c r="H40" s="30" t="str">
        <f t="shared" si="6"/>
        <v>OK</v>
      </c>
      <c r="I40" s="30" t="str">
        <f t="shared" si="6"/>
        <v>OK</v>
      </c>
      <c r="J40" s="30" t="str">
        <f t="shared" si="6"/>
        <v>OK</v>
      </c>
      <c r="K40" s="30" t="str">
        <f t="shared" si="6"/>
        <v>OK</v>
      </c>
      <c r="L40" s="30" t="str">
        <f t="shared" si="6"/>
        <v>OK</v>
      </c>
      <c r="M40" s="30" t="str">
        <f t="shared" si="6"/>
        <v>OK</v>
      </c>
      <c r="N40" s="30" t="str">
        <f t="shared" si="6"/>
        <v>OK</v>
      </c>
      <c r="O40" s="30" t="str">
        <f t="shared" si="6"/>
        <v>OK</v>
      </c>
      <c r="P40" s="30" t="str">
        <f t="shared" si="6"/>
        <v>OK</v>
      </c>
      <c r="Q40" s="30" t="str">
        <f t="shared" si="6"/>
        <v>OK</v>
      </c>
      <c r="R40" s="30"/>
      <c r="S40" s="30"/>
      <c r="T40" s="30"/>
      <c r="U40" s="30"/>
    </row>
    <row r="41" spans="1:21" s="22" customFormat="1" x14ac:dyDescent="0.25">
      <c r="A41" s="14"/>
      <c r="L41" s="14"/>
      <c r="N41" s="17"/>
      <c r="O41" s="17"/>
      <c r="P41" s="17"/>
      <c r="Q41" s="17"/>
      <c r="R41" s="17"/>
      <c r="S41" s="17"/>
      <c r="T41" s="17"/>
      <c r="U41" s="17"/>
    </row>
    <row r="42" spans="1:21" s="22" customFormat="1" x14ac:dyDescent="0.25">
      <c r="A42" s="14"/>
    </row>
    <row r="43" spans="1:21" s="22" customFormat="1" x14ac:dyDescent="0.25">
      <c r="A43" s="15" t="s">
        <v>35</v>
      </c>
      <c r="B43" s="41" t="s">
        <v>42</v>
      </c>
      <c r="C43" s="43"/>
    </row>
    <row r="44" spans="1:21" s="22" customFormat="1" x14ac:dyDescent="0.25">
      <c r="A44" s="14"/>
      <c r="D44" s="2"/>
      <c r="E44" s="2"/>
      <c r="F44" s="2"/>
      <c r="G44" s="2"/>
      <c r="H44" s="2"/>
      <c r="I44" s="2"/>
    </row>
    <row r="45" spans="1:21" s="22" customFormat="1" ht="15.75" x14ac:dyDescent="0.25">
      <c r="A45" s="18" t="s">
        <v>36</v>
      </c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</row>
    <row r="46" spans="1:21" s="22" customFormat="1" x14ac:dyDescent="0.25"/>
    <row r="47" spans="1:21" s="22" customFormat="1" x14ac:dyDescent="0.25"/>
    <row r="48" spans="1:21" s="22" customFormat="1" x14ac:dyDescent="0.25"/>
    <row r="49" s="22" customFormat="1" x14ac:dyDescent="0.25"/>
    <row r="50" s="22" customFormat="1" x14ac:dyDescent="0.25"/>
    <row r="51" s="22" customFormat="1" x14ac:dyDescent="0.25"/>
    <row r="52" s="22" customFormat="1" x14ac:dyDescent="0.25"/>
    <row r="53" s="22" customFormat="1" x14ac:dyDescent="0.25"/>
    <row r="54" s="22" customFormat="1" x14ac:dyDescent="0.25"/>
    <row r="55" s="22" customFormat="1" x14ac:dyDescent="0.25"/>
    <row r="56" s="22" customFormat="1" x14ac:dyDescent="0.25"/>
    <row r="57" s="22" customFormat="1" x14ac:dyDescent="0.25"/>
    <row r="58" s="22" customFormat="1" x14ac:dyDescent="0.25"/>
    <row r="59" s="22" customFormat="1" x14ac:dyDescent="0.25"/>
    <row r="60" s="22" customFormat="1" x14ac:dyDescent="0.25"/>
    <row r="61" s="22" customFormat="1" x14ac:dyDescent="0.25"/>
    <row r="62" s="22" customFormat="1" x14ac:dyDescent="0.25"/>
    <row r="63" s="22" customFormat="1" x14ac:dyDescent="0.25"/>
    <row r="64" s="22" customFormat="1" x14ac:dyDescent="0.25"/>
    <row r="65" s="22" customFormat="1" x14ac:dyDescent="0.25"/>
    <row r="66" s="22" customFormat="1" x14ac:dyDescent="0.25"/>
    <row r="67" s="22" customFormat="1" x14ac:dyDescent="0.25"/>
    <row r="68" s="22" customFormat="1" x14ac:dyDescent="0.25"/>
    <row r="69" s="22" customFormat="1" x14ac:dyDescent="0.25"/>
    <row r="70" s="22" customFormat="1" x14ac:dyDescent="0.25"/>
    <row r="71" s="22" customFormat="1" x14ac:dyDescent="0.25"/>
    <row r="72" s="22" customFormat="1" x14ac:dyDescent="0.25"/>
    <row r="73" s="22" customFormat="1" x14ac:dyDescent="0.25"/>
    <row r="74" s="22" customFormat="1" x14ac:dyDescent="0.25"/>
    <row r="75" s="22" customFormat="1" x14ac:dyDescent="0.25"/>
    <row r="76" s="22" customFormat="1" x14ac:dyDescent="0.25"/>
    <row r="77" s="22" customFormat="1" x14ac:dyDescent="0.25"/>
    <row r="78" s="22" customFormat="1" x14ac:dyDescent="0.25"/>
    <row r="79" s="22" customFormat="1" x14ac:dyDescent="0.25"/>
    <row r="80" s="22" customFormat="1" x14ac:dyDescent="0.25"/>
    <row r="81" s="22" customFormat="1" x14ac:dyDescent="0.25"/>
    <row r="82" s="22" customFormat="1" x14ac:dyDescent="0.25"/>
    <row r="83" s="22" customFormat="1" x14ac:dyDescent="0.25"/>
    <row r="84" s="22" customFormat="1" x14ac:dyDescent="0.25"/>
    <row r="85" s="22" customFormat="1" x14ac:dyDescent="0.25"/>
    <row r="86" s="22" customFormat="1" x14ac:dyDescent="0.25"/>
    <row r="87" s="22" customFormat="1" x14ac:dyDescent="0.25"/>
    <row r="88" s="22" customFormat="1" x14ac:dyDescent="0.25"/>
    <row r="89" s="22" customFormat="1" x14ac:dyDescent="0.25"/>
    <row r="90" s="22" customFormat="1" x14ac:dyDescent="0.25"/>
    <row r="91" s="22" customFormat="1" x14ac:dyDescent="0.25"/>
    <row r="92" s="22" customFormat="1" x14ac:dyDescent="0.25"/>
    <row r="93" s="22" customFormat="1" x14ac:dyDescent="0.25"/>
    <row r="94" s="22" customFormat="1" x14ac:dyDescent="0.25"/>
    <row r="95" s="22" customFormat="1" x14ac:dyDescent="0.25"/>
    <row r="96" s="22" customFormat="1" x14ac:dyDescent="0.25"/>
    <row r="97" spans="1:1" s="22" customFormat="1" x14ac:dyDescent="0.25"/>
    <row r="98" spans="1:1" s="22" customFormat="1" x14ac:dyDescent="0.25"/>
    <row r="99" spans="1:1" s="22" customFormat="1" x14ac:dyDescent="0.25"/>
    <row r="100" spans="1:1" s="22" customFormat="1" x14ac:dyDescent="0.25"/>
    <row r="101" spans="1:1" s="22" customFormat="1" x14ac:dyDescent="0.25"/>
    <row r="102" spans="1:1" s="22" customFormat="1" x14ac:dyDescent="0.25"/>
    <row r="103" spans="1:1" s="22" customFormat="1" x14ac:dyDescent="0.25"/>
    <row r="104" spans="1:1" s="22" customFormat="1" x14ac:dyDescent="0.25"/>
    <row r="105" spans="1:1" s="22" customFormat="1" x14ac:dyDescent="0.25"/>
    <row r="106" spans="1:1" x14ac:dyDescent="0.25">
      <c r="A106" s="21"/>
    </row>
    <row r="107" spans="1:1" s="22" customFormat="1" x14ac:dyDescent="0.25"/>
    <row r="108" spans="1:1" s="22" customFormat="1" x14ac:dyDescent="0.25"/>
    <row r="109" spans="1:1" s="22" customFormat="1" x14ac:dyDescent="0.25"/>
    <row r="110" spans="1:1" s="22" customFormat="1" x14ac:dyDescent="0.25"/>
    <row r="111" spans="1:1" s="22" customFormat="1" x14ac:dyDescent="0.25"/>
    <row r="112" spans="1:1" s="22" customFormat="1" x14ac:dyDescent="0.25"/>
    <row r="113" spans="1:1" s="22" customFormat="1" x14ac:dyDescent="0.25"/>
    <row r="114" spans="1:1" s="22" customFormat="1" x14ac:dyDescent="0.25"/>
    <row r="115" spans="1:1" s="22" customFormat="1" x14ac:dyDescent="0.25"/>
    <row r="116" spans="1:1" s="22" customFormat="1" x14ac:dyDescent="0.25"/>
    <row r="117" spans="1:1" s="22" customFormat="1" x14ac:dyDescent="0.25"/>
    <row r="118" spans="1:1" x14ac:dyDescent="0.25">
      <c r="A118" s="21"/>
    </row>
    <row r="119" spans="1:1" x14ac:dyDescent="0.25">
      <c r="A119" s="21"/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2" ySplit="8" topLeftCell="C21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Q39" sqref="Q39"/>
    </sheetView>
  </sheetViews>
  <sheetFormatPr defaultColWidth="8.85546875" defaultRowHeight="15" x14ac:dyDescent="0.25"/>
  <cols>
    <col min="1" max="1" width="18.28515625" style="27" customWidth="1"/>
    <col min="2" max="2" width="13.85546875" style="21" customWidth="1"/>
    <col min="3" max="12" width="9.140625" style="21" customWidth="1"/>
    <col min="13" max="13" width="10" style="21" customWidth="1"/>
    <col min="14" max="19" width="9.140625" style="21" customWidth="1"/>
    <col min="20" max="20" width="11.42578125" style="21" customWidth="1"/>
    <col min="21" max="16384" width="8.85546875" style="21"/>
  </cols>
  <sheetData>
    <row r="1" spans="1:21" s="22" customFormat="1" ht="26.25" x14ac:dyDescent="0.25">
      <c r="A1" s="15" t="s">
        <v>2</v>
      </c>
      <c r="B1" s="24" t="s">
        <v>43</v>
      </c>
      <c r="C1" s="38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s="22" customFormat="1" x14ac:dyDescent="0.25">
      <c r="A2" s="15" t="s">
        <v>0</v>
      </c>
      <c r="B2" s="39" t="str">
        <f>$A$9</f>
        <v>10-10-2022 01:00</v>
      </c>
      <c r="C2" s="12"/>
      <c r="D2" s="11" t="s">
        <v>3</v>
      </c>
      <c r="E2" s="11"/>
      <c r="F2" s="11"/>
      <c r="G2" s="4" t="s">
        <v>4</v>
      </c>
      <c r="H2" s="20"/>
      <c r="I2" s="20"/>
      <c r="J2" s="20"/>
      <c r="K2" s="13"/>
      <c r="L2" s="11" t="s">
        <v>5</v>
      </c>
      <c r="M2" s="13"/>
      <c r="N2" s="8" t="s">
        <v>6</v>
      </c>
      <c r="P2" s="40" t="s">
        <v>7</v>
      </c>
      <c r="Q2" s="13"/>
      <c r="R2" s="9" t="s">
        <v>8</v>
      </c>
      <c r="S2" s="12"/>
      <c r="T2" s="12"/>
      <c r="U2" s="12"/>
    </row>
    <row r="3" spans="1:21" s="22" customFormat="1" x14ac:dyDescent="0.25">
      <c r="A3" s="15" t="s">
        <v>9</v>
      </c>
      <c r="B3" s="13" t="s">
        <v>10</v>
      </c>
      <c r="C3" s="12"/>
      <c r="D3" s="11" t="s">
        <v>11</v>
      </c>
      <c r="E3" s="11"/>
      <c r="F3" s="11"/>
      <c r="G3" s="19" t="s">
        <v>12</v>
      </c>
      <c r="H3" s="20"/>
      <c r="I3" s="20"/>
      <c r="J3" s="20"/>
      <c r="K3" s="12"/>
      <c r="L3" s="11" t="s">
        <v>13</v>
      </c>
      <c r="M3" s="13"/>
      <c r="N3" s="6" t="s">
        <v>14</v>
      </c>
      <c r="O3" s="13"/>
      <c r="P3" s="40" t="s">
        <v>15</v>
      </c>
      <c r="Q3" s="13"/>
      <c r="R3" s="10" t="s">
        <v>15</v>
      </c>
      <c r="S3" s="12"/>
      <c r="T3" s="12"/>
      <c r="U3" s="12"/>
    </row>
    <row r="4" spans="1:21" s="22" customFormat="1" x14ac:dyDescent="0.25">
      <c r="A4" s="15" t="s">
        <v>16</v>
      </c>
      <c r="B4" s="13" t="s">
        <v>39</v>
      </c>
      <c r="C4" s="12"/>
      <c r="D4" s="11" t="s">
        <v>17</v>
      </c>
      <c r="E4" s="11"/>
      <c r="F4" s="11"/>
      <c r="G4" s="5" t="s">
        <v>18</v>
      </c>
      <c r="H4" s="20"/>
      <c r="I4" s="20"/>
      <c r="J4" s="20"/>
      <c r="K4" s="3"/>
      <c r="L4" s="11" t="s">
        <v>19</v>
      </c>
      <c r="M4" s="13"/>
      <c r="N4" s="7" t="s">
        <v>20</v>
      </c>
      <c r="O4" s="13"/>
      <c r="P4" s="13"/>
      <c r="Q4" s="13"/>
      <c r="R4" s="13"/>
      <c r="S4" s="12"/>
      <c r="T4" s="12"/>
      <c r="U4" s="12"/>
    </row>
    <row r="5" spans="1:21" s="22" customFormat="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s="22" customFormat="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s="22" customFormat="1" x14ac:dyDescent="0.25">
      <c r="A7" s="15" t="s">
        <v>21</v>
      </c>
      <c r="B7" s="45" t="s">
        <v>59</v>
      </c>
      <c r="C7" s="45" t="s">
        <v>44</v>
      </c>
      <c r="D7" s="45" t="s">
        <v>45</v>
      </c>
      <c r="E7" s="45" t="s">
        <v>46</v>
      </c>
      <c r="F7" s="45" t="s">
        <v>47</v>
      </c>
      <c r="G7" s="45" t="s">
        <v>48</v>
      </c>
      <c r="H7" s="45" t="s">
        <v>49</v>
      </c>
      <c r="I7" s="45" t="s">
        <v>50</v>
      </c>
      <c r="J7" s="45" t="s">
        <v>51</v>
      </c>
      <c r="K7" s="45" t="s">
        <v>52</v>
      </c>
      <c r="L7" s="45" t="s">
        <v>53</v>
      </c>
      <c r="M7" s="45" t="s">
        <v>54</v>
      </c>
      <c r="N7" s="45" t="s">
        <v>55</v>
      </c>
      <c r="O7" s="45" t="s">
        <v>56</v>
      </c>
      <c r="P7" s="45" t="s">
        <v>57</v>
      </c>
      <c r="Q7" s="45" t="s">
        <v>58</v>
      </c>
      <c r="R7" s="28"/>
      <c r="S7" s="30"/>
      <c r="T7" s="28"/>
      <c r="U7" s="28"/>
    </row>
    <row r="8" spans="1:21" s="22" customFormat="1" x14ac:dyDescent="0.25">
      <c r="A8" s="15"/>
      <c r="B8" s="30" t="s">
        <v>22</v>
      </c>
      <c r="C8" s="30" t="s">
        <v>22</v>
      </c>
      <c r="D8" s="30" t="s">
        <v>22</v>
      </c>
      <c r="E8" s="30" t="s">
        <v>22</v>
      </c>
      <c r="F8" s="30" t="s">
        <v>22</v>
      </c>
      <c r="G8" s="30" t="s">
        <v>23</v>
      </c>
      <c r="H8" s="30" t="s">
        <v>22</v>
      </c>
      <c r="I8" s="30" t="s">
        <v>22</v>
      </c>
      <c r="J8" s="30" t="s">
        <v>24</v>
      </c>
      <c r="K8" s="30" t="s">
        <v>25</v>
      </c>
      <c r="L8" s="28" t="s">
        <v>27</v>
      </c>
      <c r="M8" s="30" t="s">
        <v>26</v>
      </c>
      <c r="N8" s="30" t="s">
        <v>28</v>
      </c>
      <c r="O8" s="28" t="s">
        <v>29</v>
      </c>
      <c r="P8" s="30" t="s">
        <v>22</v>
      </c>
      <c r="Q8" s="30" t="s">
        <v>22</v>
      </c>
      <c r="R8" s="28"/>
      <c r="S8" s="30"/>
      <c r="T8" s="28"/>
      <c r="U8" s="28"/>
    </row>
    <row r="9" spans="1:21" s="12" customFormat="1" x14ac:dyDescent="0.25">
      <c r="A9" s="51" t="s">
        <v>278</v>
      </c>
      <c r="B9" s="55" t="s">
        <v>4</v>
      </c>
      <c r="C9" s="55" t="s">
        <v>4</v>
      </c>
      <c r="D9" s="55" t="s">
        <v>4</v>
      </c>
      <c r="E9" s="55" t="s">
        <v>4</v>
      </c>
      <c r="F9" s="55" t="s">
        <v>4</v>
      </c>
      <c r="G9" s="55" t="s">
        <v>4</v>
      </c>
      <c r="H9" s="55" t="s">
        <v>4</v>
      </c>
      <c r="I9" s="55" t="s">
        <v>4</v>
      </c>
      <c r="J9" s="55" t="s">
        <v>4</v>
      </c>
      <c r="K9" s="55" t="s">
        <v>4</v>
      </c>
      <c r="L9" s="55" t="s">
        <v>4</v>
      </c>
      <c r="M9" s="55" t="s">
        <v>4</v>
      </c>
      <c r="N9" s="55" t="s">
        <v>4</v>
      </c>
      <c r="O9" s="55" t="s">
        <v>4</v>
      </c>
      <c r="P9" s="55" t="s">
        <v>4</v>
      </c>
      <c r="Q9" s="55" t="s">
        <v>4</v>
      </c>
      <c r="R9" s="44"/>
      <c r="S9" s="44"/>
      <c r="T9" s="44"/>
      <c r="U9" s="44"/>
    </row>
    <row r="10" spans="1:21" s="12" customFormat="1" x14ac:dyDescent="0.25">
      <c r="A10" s="51" t="s">
        <v>279</v>
      </c>
      <c r="B10" s="55" t="s">
        <v>4</v>
      </c>
      <c r="C10" s="55" t="s">
        <v>4</v>
      </c>
      <c r="D10" s="55" t="s">
        <v>4</v>
      </c>
      <c r="E10" s="55" t="s">
        <v>4</v>
      </c>
      <c r="F10" s="55" t="s">
        <v>4</v>
      </c>
      <c r="G10" s="55" t="s">
        <v>4</v>
      </c>
      <c r="H10" s="55" t="s">
        <v>4</v>
      </c>
      <c r="I10" s="55" t="s">
        <v>4</v>
      </c>
      <c r="J10" s="55" t="s">
        <v>4</v>
      </c>
      <c r="K10" s="55" t="s">
        <v>4</v>
      </c>
      <c r="L10" s="55" t="s">
        <v>4</v>
      </c>
      <c r="M10" s="55" t="s">
        <v>4</v>
      </c>
      <c r="N10" s="55" t="s">
        <v>4</v>
      </c>
      <c r="O10" s="55" t="s">
        <v>4</v>
      </c>
      <c r="P10" s="55" t="s">
        <v>4</v>
      </c>
      <c r="Q10" s="55" t="s">
        <v>4</v>
      </c>
      <c r="R10" s="44"/>
      <c r="S10" s="44"/>
      <c r="T10" s="44"/>
      <c r="U10" s="44"/>
    </row>
    <row r="11" spans="1:21" s="12" customFormat="1" x14ac:dyDescent="0.25">
      <c r="A11" s="51" t="s">
        <v>280</v>
      </c>
      <c r="B11" s="55" t="s">
        <v>4</v>
      </c>
      <c r="C11" s="55" t="s">
        <v>4</v>
      </c>
      <c r="D11" s="55" t="s">
        <v>4</v>
      </c>
      <c r="E11" s="55" t="s">
        <v>4</v>
      </c>
      <c r="F11" s="55" t="s">
        <v>4</v>
      </c>
      <c r="G11" s="55" t="s">
        <v>4</v>
      </c>
      <c r="H11" s="55" t="s">
        <v>4</v>
      </c>
      <c r="I11" s="55" t="s">
        <v>4</v>
      </c>
      <c r="J11" s="55" t="s">
        <v>4</v>
      </c>
      <c r="K11" s="55" t="s">
        <v>4</v>
      </c>
      <c r="L11" s="55" t="s">
        <v>4</v>
      </c>
      <c r="M11" s="55" t="s">
        <v>4</v>
      </c>
      <c r="N11" s="55" t="s">
        <v>4</v>
      </c>
      <c r="O11" s="55" t="s">
        <v>4</v>
      </c>
      <c r="P11" s="55" t="s">
        <v>4</v>
      </c>
      <c r="Q11" s="55" t="s">
        <v>4</v>
      </c>
      <c r="R11" s="44"/>
      <c r="S11" s="44"/>
      <c r="T11" s="44"/>
      <c r="U11" s="44"/>
    </row>
    <row r="12" spans="1:21" s="12" customFormat="1" x14ac:dyDescent="0.25">
      <c r="A12" s="51" t="s">
        <v>281</v>
      </c>
      <c r="B12" s="55" t="s">
        <v>4</v>
      </c>
      <c r="C12" s="55" t="s">
        <v>4</v>
      </c>
      <c r="D12" s="55" t="s">
        <v>4</v>
      </c>
      <c r="E12" s="55" t="s">
        <v>4</v>
      </c>
      <c r="F12" s="55" t="s">
        <v>4</v>
      </c>
      <c r="G12" s="55" t="s">
        <v>4</v>
      </c>
      <c r="H12" s="55" t="s">
        <v>4</v>
      </c>
      <c r="I12" s="55" t="s">
        <v>4</v>
      </c>
      <c r="J12" s="55" t="s">
        <v>4</v>
      </c>
      <c r="K12" s="55" t="s">
        <v>4</v>
      </c>
      <c r="L12" s="55" t="s">
        <v>4</v>
      </c>
      <c r="M12" s="55" t="s">
        <v>4</v>
      </c>
      <c r="N12" s="55" t="s">
        <v>4</v>
      </c>
      <c r="O12" s="55" t="s">
        <v>4</v>
      </c>
      <c r="P12" s="55" t="s">
        <v>4</v>
      </c>
      <c r="Q12" s="55" t="s">
        <v>4</v>
      </c>
      <c r="R12" s="44"/>
      <c r="S12" s="44"/>
      <c r="T12" s="44"/>
      <c r="U12" s="44"/>
    </row>
    <row r="13" spans="1:21" s="12" customFormat="1" x14ac:dyDescent="0.25">
      <c r="A13" s="51" t="s">
        <v>282</v>
      </c>
      <c r="B13" s="55" t="s">
        <v>4</v>
      </c>
      <c r="C13" s="55" t="s">
        <v>4</v>
      </c>
      <c r="D13" s="55" t="s">
        <v>4</v>
      </c>
      <c r="E13" s="55" t="s">
        <v>4</v>
      </c>
      <c r="F13" s="55" t="s">
        <v>4</v>
      </c>
      <c r="G13" s="55" t="s">
        <v>4</v>
      </c>
      <c r="H13" s="55" t="s">
        <v>4</v>
      </c>
      <c r="I13" s="55" t="s">
        <v>4</v>
      </c>
      <c r="J13" s="55" t="s">
        <v>4</v>
      </c>
      <c r="K13" s="55" t="s">
        <v>4</v>
      </c>
      <c r="L13" s="55" t="s">
        <v>4</v>
      </c>
      <c r="M13" s="55" t="s">
        <v>4</v>
      </c>
      <c r="N13" s="55" t="s">
        <v>4</v>
      </c>
      <c r="O13" s="55" t="s">
        <v>4</v>
      </c>
      <c r="P13" s="55" t="s">
        <v>4</v>
      </c>
      <c r="Q13" s="55" t="s">
        <v>4</v>
      </c>
      <c r="R13" s="44"/>
      <c r="S13" s="44"/>
      <c r="T13" s="44"/>
      <c r="U13" s="44"/>
    </row>
    <row r="14" spans="1:21" s="12" customFormat="1" x14ac:dyDescent="0.25">
      <c r="A14" s="51" t="s">
        <v>283</v>
      </c>
      <c r="B14" s="55" t="s">
        <v>4</v>
      </c>
      <c r="C14" s="55" t="s">
        <v>4</v>
      </c>
      <c r="D14" s="55" t="s">
        <v>4</v>
      </c>
      <c r="E14" s="55" t="s">
        <v>4</v>
      </c>
      <c r="F14" s="55" t="s">
        <v>4</v>
      </c>
      <c r="G14" s="55" t="s">
        <v>4</v>
      </c>
      <c r="H14" s="55" t="s">
        <v>4</v>
      </c>
      <c r="I14" s="55" t="s">
        <v>4</v>
      </c>
      <c r="J14" s="55" t="s">
        <v>4</v>
      </c>
      <c r="K14" s="55" t="s">
        <v>4</v>
      </c>
      <c r="L14" s="55" t="s">
        <v>4</v>
      </c>
      <c r="M14" s="55" t="s">
        <v>4</v>
      </c>
      <c r="N14" s="55" t="s">
        <v>4</v>
      </c>
      <c r="O14" s="55" t="s">
        <v>4</v>
      </c>
      <c r="P14" s="55" t="s">
        <v>4</v>
      </c>
      <c r="Q14" s="55" t="s">
        <v>4</v>
      </c>
      <c r="R14" s="44"/>
      <c r="S14" s="44"/>
      <c r="T14" s="44"/>
      <c r="U14" s="44"/>
    </row>
    <row r="15" spans="1:21" s="12" customFormat="1" x14ac:dyDescent="0.25">
      <c r="A15" s="51" t="s">
        <v>284</v>
      </c>
      <c r="B15" s="55" t="s">
        <v>4</v>
      </c>
      <c r="C15" s="55" t="s">
        <v>4</v>
      </c>
      <c r="D15" s="55" t="s">
        <v>4</v>
      </c>
      <c r="E15" s="55" t="s">
        <v>4</v>
      </c>
      <c r="F15" s="55" t="s">
        <v>4</v>
      </c>
      <c r="G15" s="55" t="s">
        <v>4</v>
      </c>
      <c r="H15" s="55" t="s">
        <v>4</v>
      </c>
      <c r="I15" s="55" t="s">
        <v>4</v>
      </c>
      <c r="J15" s="55" t="s">
        <v>4</v>
      </c>
      <c r="K15" s="55" t="s">
        <v>4</v>
      </c>
      <c r="L15" s="55" t="s">
        <v>4</v>
      </c>
      <c r="M15" s="55" t="s">
        <v>4</v>
      </c>
      <c r="N15" s="55" t="s">
        <v>4</v>
      </c>
      <c r="O15" s="55" t="s">
        <v>4</v>
      </c>
      <c r="P15" s="55" t="s">
        <v>4</v>
      </c>
      <c r="Q15" s="55" t="s">
        <v>4</v>
      </c>
      <c r="R15" s="44"/>
      <c r="S15" s="44"/>
      <c r="T15" s="44"/>
      <c r="U15" s="44"/>
    </row>
    <row r="16" spans="1:21" s="12" customFormat="1" x14ac:dyDescent="0.25">
      <c r="A16" s="51" t="s">
        <v>285</v>
      </c>
      <c r="B16" s="55" t="s">
        <v>4</v>
      </c>
      <c r="C16" s="55" t="s">
        <v>4</v>
      </c>
      <c r="D16" s="55" t="s">
        <v>4</v>
      </c>
      <c r="E16" s="55" t="s">
        <v>4</v>
      </c>
      <c r="F16" s="55" t="s">
        <v>4</v>
      </c>
      <c r="G16" s="55" t="s">
        <v>4</v>
      </c>
      <c r="H16" s="55" t="s">
        <v>4</v>
      </c>
      <c r="I16" s="55" t="s">
        <v>4</v>
      </c>
      <c r="J16" s="55" t="s">
        <v>4</v>
      </c>
      <c r="K16" s="55" t="s">
        <v>4</v>
      </c>
      <c r="L16" s="55" t="s">
        <v>4</v>
      </c>
      <c r="M16" s="55" t="s">
        <v>4</v>
      </c>
      <c r="N16" s="55" t="s">
        <v>4</v>
      </c>
      <c r="O16" s="55" t="s">
        <v>4</v>
      </c>
      <c r="P16" s="55" t="s">
        <v>4</v>
      </c>
      <c r="Q16" s="55" t="s">
        <v>4</v>
      </c>
      <c r="R16" s="44"/>
      <c r="S16" s="44"/>
      <c r="T16" s="44"/>
      <c r="U16" s="44"/>
    </row>
    <row r="17" spans="1:21" s="12" customFormat="1" x14ac:dyDescent="0.25">
      <c r="A17" s="51" t="s">
        <v>286</v>
      </c>
      <c r="B17" s="55" t="s">
        <v>4</v>
      </c>
      <c r="C17" s="55" t="s">
        <v>4</v>
      </c>
      <c r="D17" s="55" t="s">
        <v>4</v>
      </c>
      <c r="E17" s="55" t="s">
        <v>4</v>
      </c>
      <c r="F17" s="55" t="s">
        <v>4</v>
      </c>
      <c r="G17" s="55" t="s">
        <v>4</v>
      </c>
      <c r="H17" s="55" t="s">
        <v>4</v>
      </c>
      <c r="I17" s="55" t="s">
        <v>4</v>
      </c>
      <c r="J17" s="55" t="s">
        <v>4</v>
      </c>
      <c r="K17" s="55" t="s">
        <v>4</v>
      </c>
      <c r="L17" s="55" t="s">
        <v>4</v>
      </c>
      <c r="M17" s="55" t="s">
        <v>4</v>
      </c>
      <c r="N17" s="55" t="s">
        <v>4</v>
      </c>
      <c r="O17" s="55" t="s">
        <v>4</v>
      </c>
      <c r="P17" s="55" t="s">
        <v>4</v>
      </c>
      <c r="Q17" s="55" t="s">
        <v>4</v>
      </c>
      <c r="R17" s="44"/>
      <c r="S17" s="44"/>
      <c r="T17" s="44"/>
      <c r="U17" s="44"/>
    </row>
    <row r="18" spans="1:21" s="12" customFormat="1" x14ac:dyDescent="0.25">
      <c r="A18" s="51" t="s">
        <v>287</v>
      </c>
      <c r="B18" s="55" t="s">
        <v>4</v>
      </c>
      <c r="C18" s="55" t="s">
        <v>4</v>
      </c>
      <c r="D18" s="55" t="s">
        <v>4</v>
      </c>
      <c r="E18" s="55" t="s">
        <v>4</v>
      </c>
      <c r="F18" s="55" t="s">
        <v>4</v>
      </c>
      <c r="G18" s="55" t="s">
        <v>4</v>
      </c>
      <c r="H18" s="55" t="s">
        <v>4</v>
      </c>
      <c r="I18" s="55" t="s">
        <v>4</v>
      </c>
      <c r="J18" s="55" t="s">
        <v>4</v>
      </c>
      <c r="K18" s="55" t="s">
        <v>4</v>
      </c>
      <c r="L18" s="55" t="s">
        <v>4</v>
      </c>
      <c r="M18" s="55" t="s">
        <v>4</v>
      </c>
      <c r="N18" s="55" t="s">
        <v>4</v>
      </c>
      <c r="O18" s="55" t="s">
        <v>4</v>
      </c>
      <c r="P18" s="55" t="s">
        <v>4</v>
      </c>
      <c r="Q18" s="55" t="s">
        <v>4</v>
      </c>
      <c r="R18" s="44"/>
      <c r="S18" s="44"/>
      <c r="T18" s="44"/>
      <c r="U18" s="44"/>
    </row>
    <row r="19" spans="1:21" s="12" customFormat="1" x14ac:dyDescent="0.25">
      <c r="A19" s="51" t="s">
        <v>288</v>
      </c>
      <c r="B19" s="59" t="s">
        <v>20</v>
      </c>
      <c r="C19" s="59" t="s">
        <v>20</v>
      </c>
      <c r="D19" s="59" t="s">
        <v>20</v>
      </c>
      <c r="E19" s="59" t="s">
        <v>20</v>
      </c>
      <c r="F19" s="52">
        <v>42.04</v>
      </c>
      <c r="G19" s="52">
        <v>40.68</v>
      </c>
      <c r="H19" s="52">
        <v>3.44</v>
      </c>
      <c r="I19" s="52">
        <v>0</v>
      </c>
      <c r="J19" s="52">
        <v>0.68</v>
      </c>
      <c r="K19" s="52">
        <v>122.67</v>
      </c>
      <c r="L19" s="52">
        <v>30.1</v>
      </c>
      <c r="M19" s="52">
        <v>50.86</v>
      </c>
      <c r="N19" s="52">
        <v>1027.4000000000001</v>
      </c>
      <c r="O19" s="52">
        <v>0</v>
      </c>
      <c r="P19" s="52">
        <v>0.36</v>
      </c>
      <c r="Q19" s="59" t="s">
        <v>20</v>
      </c>
      <c r="R19" s="44"/>
      <c r="S19" s="44"/>
      <c r="T19" s="44"/>
      <c r="U19" s="44"/>
    </row>
    <row r="20" spans="1:21" s="12" customFormat="1" x14ac:dyDescent="0.25">
      <c r="A20" s="51" t="s">
        <v>289</v>
      </c>
      <c r="B20" s="52">
        <v>4.3099999999999996</v>
      </c>
      <c r="C20" s="52">
        <v>19.82</v>
      </c>
      <c r="D20" s="52">
        <v>24.13</v>
      </c>
      <c r="E20" s="52">
        <v>5.17</v>
      </c>
      <c r="F20" s="52">
        <v>9.5500000000000007</v>
      </c>
      <c r="G20" s="10" t="s">
        <v>15</v>
      </c>
      <c r="H20" s="52">
        <v>144.41999999999999</v>
      </c>
      <c r="I20" s="52">
        <v>1.56</v>
      </c>
      <c r="J20" s="52">
        <v>1.43</v>
      </c>
      <c r="K20" s="52">
        <v>130.72999999999999</v>
      </c>
      <c r="L20" s="52">
        <v>29.03</v>
      </c>
      <c r="M20" s="52">
        <v>55</v>
      </c>
      <c r="N20" s="52">
        <v>827.1</v>
      </c>
      <c r="O20" s="52">
        <v>0</v>
      </c>
      <c r="P20" s="52">
        <v>0.23</v>
      </c>
      <c r="Q20" s="52">
        <v>177.37</v>
      </c>
      <c r="R20" s="44"/>
      <c r="S20" s="44"/>
      <c r="T20" s="44"/>
      <c r="U20" s="44"/>
    </row>
    <row r="21" spans="1:21" s="12" customFormat="1" x14ac:dyDescent="0.25">
      <c r="A21" s="51" t="s">
        <v>290</v>
      </c>
      <c r="B21" s="52">
        <v>7.91</v>
      </c>
      <c r="C21" s="52">
        <v>27.64</v>
      </c>
      <c r="D21" s="52">
        <v>35.549999999999997</v>
      </c>
      <c r="E21" s="52">
        <v>6.18</v>
      </c>
      <c r="F21" s="52">
        <v>7.18</v>
      </c>
      <c r="G21" s="10" t="s">
        <v>15</v>
      </c>
      <c r="H21" s="52">
        <v>31.14</v>
      </c>
      <c r="I21" s="52">
        <v>1.74</v>
      </c>
      <c r="J21" s="52">
        <v>0.78</v>
      </c>
      <c r="K21" s="52">
        <v>122.07</v>
      </c>
      <c r="L21" s="52">
        <v>30.21</v>
      </c>
      <c r="M21" s="52">
        <v>75.17</v>
      </c>
      <c r="N21" s="52">
        <v>646.5</v>
      </c>
      <c r="O21" s="52">
        <v>0</v>
      </c>
      <c r="P21" s="52">
        <v>0.02</v>
      </c>
      <c r="Q21" s="52">
        <v>136.35</v>
      </c>
      <c r="R21" s="44"/>
      <c r="S21" s="44"/>
      <c r="T21" s="44"/>
      <c r="U21" s="44"/>
    </row>
    <row r="22" spans="1:21" s="12" customFormat="1" x14ac:dyDescent="0.25">
      <c r="A22" s="51" t="s">
        <v>291</v>
      </c>
      <c r="B22" s="52">
        <v>7.71</v>
      </c>
      <c r="C22" s="52">
        <v>23.59</v>
      </c>
      <c r="D22" s="52">
        <v>31.29</v>
      </c>
      <c r="E22" s="52">
        <v>2.35</v>
      </c>
      <c r="F22" s="52">
        <v>6.96</v>
      </c>
      <c r="G22" s="52">
        <v>27.88</v>
      </c>
      <c r="H22" s="52">
        <v>8.09</v>
      </c>
      <c r="I22" s="52">
        <v>1.04</v>
      </c>
      <c r="J22" s="52">
        <v>1.1299999999999999</v>
      </c>
      <c r="K22" s="52">
        <v>172.68</v>
      </c>
      <c r="L22" s="52">
        <v>30.06</v>
      </c>
      <c r="M22" s="52">
        <v>78.739999999999995</v>
      </c>
      <c r="N22" s="52">
        <v>601.5</v>
      </c>
      <c r="O22" s="52">
        <v>0</v>
      </c>
      <c r="P22" s="52">
        <v>0.28000000000000003</v>
      </c>
      <c r="Q22" s="52">
        <v>55.62</v>
      </c>
      <c r="R22" s="44"/>
      <c r="S22" s="44"/>
      <c r="T22" s="44"/>
      <c r="U22" s="44"/>
    </row>
    <row r="23" spans="1:21" s="12" customFormat="1" x14ac:dyDescent="0.25">
      <c r="A23" s="51" t="s">
        <v>292</v>
      </c>
      <c r="B23" s="52">
        <v>13.22</v>
      </c>
      <c r="C23" s="52">
        <v>28.33</v>
      </c>
      <c r="D23" s="52">
        <v>41.55</v>
      </c>
      <c r="E23" s="52">
        <v>2.08</v>
      </c>
      <c r="F23" s="52">
        <v>8.36</v>
      </c>
      <c r="G23" s="52">
        <v>26.9</v>
      </c>
      <c r="H23" s="52">
        <v>14.21</v>
      </c>
      <c r="I23" s="52">
        <v>0.83</v>
      </c>
      <c r="J23" s="52">
        <v>1.63</v>
      </c>
      <c r="K23" s="52">
        <v>354.04</v>
      </c>
      <c r="L23" s="52">
        <v>31.64</v>
      </c>
      <c r="M23" s="52">
        <v>72.81</v>
      </c>
      <c r="N23" s="52">
        <v>815.5</v>
      </c>
      <c r="O23" s="52">
        <v>0</v>
      </c>
      <c r="P23" s="52">
        <v>0.45</v>
      </c>
      <c r="Q23" s="52">
        <v>41.98</v>
      </c>
      <c r="R23" s="44"/>
      <c r="S23" s="44"/>
      <c r="T23" s="44"/>
      <c r="U23" s="44"/>
    </row>
    <row r="24" spans="1:21" s="12" customFormat="1" x14ac:dyDescent="0.25">
      <c r="A24" s="51" t="s">
        <v>293</v>
      </c>
      <c r="B24" s="52">
        <v>11.84</v>
      </c>
      <c r="C24" s="52">
        <v>25.85</v>
      </c>
      <c r="D24" s="52">
        <v>37.69</v>
      </c>
      <c r="E24" s="52">
        <v>5.04</v>
      </c>
      <c r="F24" s="52">
        <v>5.26</v>
      </c>
      <c r="G24" s="52">
        <v>33.35</v>
      </c>
      <c r="H24" s="52">
        <v>21.22</v>
      </c>
      <c r="I24" s="52">
        <v>0.85</v>
      </c>
      <c r="J24" s="52">
        <v>3.68</v>
      </c>
      <c r="K24" s="52">
        <v>343.21</v>
      </c>
      <c r="L24" s="52">
        <v>23.88</v>
      </c>
      <c r="M24" s="52">
        <v>93.03</v>
      </c>
      <c r="N24" s="52">
        <v>47.7</v>
      </c>
      <c r="O24" s="52">
        <v>25.6</v>
      </c>
      <c r="P24" s="52">
        <v>0.4</v>
      </c>
      <c r="Q24" s="52">
        <v>133.47999999999999</v>
      </c>
      <c r="R24" s="44"/>
      <c r="S24" s="44"/>
      <c r="T24" s="44"/>
      <c r="U24" s="44"/>
    </row>
    <row r="25" spans="1:21" s="12" customFormat="1" x14ac:dyDescent="0.25">
      <c r="A25" s="51" t="s">
        <v>294</v>
      </c>
      <c r="B25" s="52">
        <v>15.21</v>
      </c>
      <c r="C25" s="52">
        <v>42.11</v>
      </c>
      <c r="D25" s="52">
        <v>57.25</v>
      </c>
      <c r="E25" s="52">
        <v>7.78</v>
      </c>
      <c r="F25" s="52">
        <v>5.05</v>
      </c>
      <c r="G25" s="52">
        <v>34.94</v>
      </c>
      <c r="H25" s="52">
        <v>27.28</v>
      </c>
      <c r="I25" s="52">
        <v>0.63</v>
      </c>
      <c r="J25" s="52">
        <v>0.47</v>
      </c>
      <c r="K25" s="52">
        <v>102.7</v>
      </c>
      <c r="L25" s="52">
        <v>22.8</v>
      </c>
      <c r="M25" s="52">
        <v>94.34</v>
      </c>
      <c r="N25" s="52">
        <v>43.9</v>
      </c>
      <c r="O25" s="52">
        <v>0</v>
      </c>
      <c r="P25" s="52">
        <v>0.67</v>
      </c>
      <c r="Q25" s="52">
        <v>151.72999999999999</v>
      </c>
      <c r="R25" s="44"/>
      <c r="S25" s="44"/>
      <c r="T25" s="44"/>
      <c r="U25" s="44"/>
    </row>
    <row r="26" spans="1:21" s="12" customFormat="1" x14ac:dyDescent="0.25">
      <c r="A26" s="51" t="s">
        <v>295</v>
      </c>
      <c r="B26" s="55" t="s">
        <v>4</v>
      </c>
      <c r="C26" s="55" t="s">
        <v>4</v>
      </c>
      <c r="D26" s="55" t="s">
        <v>4</v>
      </c>
      <c r="E26" s="55" t="s">
        <v>4</v>
      </c>
      <c r="F26" s="55" t="s">
        <v>4</v>
      </c>
      <c r="G26" s="55" t="s">
        <v>4</v>
      </c>
      <c r="H26" s="55" t="s">
        <v>4</v>
      </c>
      <c r="I26" s="55" t="s">
        <v>4</v>
      </c>
      <c r="J26" s="55" t="s">
        <v>4</v>
      </c>
      <c r="K26" s="55" t="s">
        <v>4</v>
      </c>
      <c r="L26" s="55" t="s">
        <v>4</v>
      </c>
      <c r="M26" s="55" t="s">
        <v>4</v>
      </c>
      <c r="N26" s="55" t="s">
        <v>4</v>
      </c>
      <c r="O26" s="55" t="s">
        <v>4</v>
      </c>
      <c r="P26" s="55" t="s">
        <v>4</v>
      </c>
      <c r="Q26" s="55" t="s">
        <v>4</v>
      </c>
      <c r="R26" s="44"/>
      <c r="S26" s="44"/>
      <c r="T26" s="44"/>
      <c r="U26" s="44"/>
    </row>
    <row r="27" spans="1:21" s="12" customFormat="1" x14ac:dyDescent="0.25">
      <c r="A27" s="51" t="s">
        <v>296</v>
      </c>
      <c r="B27" s="55" t="s">
        <v>4</v>
      </c>
      <c r="C27" s="55" t="s">
        <v>4</v>
      </c>
      <c r="D27" s="55" t="s">
        <v>4</v>
      </c>
      <c r="E27" s="55" t="s">
        <v>4</v>
      </c>
      <c r="F27" s="55" t="s">
        <v>4</v>
      </c>
      <c r="G27" s="55" t="s">
        <v>4</v>
      </c>
      <c r="H27" s="55" t="s">
        <v>4</v>
      </c>
      <c r="I27" s="55" t="s">
        <v>4</v>
      </c>
      <c r="J27" s="55" t="s">
        <v>4</v>
      </c>
      <c r="K27" s="55" t="s">
        <v>4</v>
      </c>
      <c r="L27" s="55" t="s">
        <v>4</v>
      </c>
      <c r="M27" s="55" t="s">
        <v>4</v>
      </c>
      <c r="N27" s="55" t="s">
        <v>4</v>
      </c>
      <c r="O27" s="55" t="s">
        <v>4</v>
      </c>
      <c r="P27" s="55" t="s">
        <v>4</v>
      </c>
      <c r="Q27" s="55" t="s">
        <v>4</v>
      </c>
      <c r="R27" s="44"/>
      <c r="S27" s="44"/>
      <c r="T27" s="44"/>
      <c r="U27" s="44"/>
    </row>
    <row r="28" spans="1:21" s="12" customFormat="1" x14ac:dyDescent="0.25">
      <c r="A28" s="51" t="s">
        <v>297</v>
      </c>
      <c r="B28" s="55" t="s">
        <v>4</v>
      </c>
      <c r="C28" s="55" t="s">
        <v>4</v>
      </c>
      <c r="D28" s="55" t="s">
        <v>4</v>
      </c>
      <c r="E28" s="55" t="s">
        <v>4</v>
      </c>
      <c r="F28" s="55" t="s">
        <v>4</v>
      </c>
      <c r="G28" s="55" t="s">
        <v>4</v>
      </c>
      <c r="H28" s="55" t="s">
        <v>4</v>
      </c>
      <c r="I28" s="55" t="s">
        <v>4</v>
      </c>
      <c r="J28" s="55" t="s">
        <v>4</v>
      </c>
      <c r="K28" s="55" t="s">
        <v>4</v>
      </c>
      <c r="L28" s="55" t="s">
        <v>4</v>
      </c>
      <c r="M28" s="55" t="s">
        <v>4</v>
      </c>
      <c r="N28" s="55" t="s">
        <v>4</v>
      </c>
      <c r="O28" s="55" t="s">
        <v>4</v>
      </c>
      <c r="P28" s="55" t="s">
        <v>4</v>
      </c>
      <c r="Q28" s="55" t="s">
        <v>4</v>
      </c>
      <c r="R28" s="44"/>
      <c r="S28" s="44"/>
      <c r="T28" s="44"/>
      <c r="U28" s="44"/>
    </row>
    <row r="29" spans="1:21" s="12" customFormat="1" x14ac:dyDescent="0.25">
      <c r="A29" s="51" t="s">
        <v>298</v>
      </c>
      <c r="B29" s="55" t="s">
        <v>4</v>
      </c>
      <c r="C29" s="55" t="s">
        <v>4</v>
      </c>
      <c r="D29" s="55" t="s">
        <v>4</v>
      </c>
      <c r="E29" s="55" t="s">
        <v>4</v>
      </c>
      <c r="F29" s="55" t="s">
        <v>4</v>
      </c>
      <c r="G29" s="55" t="s">
        <v>4</v>
      </c>
      <c r="H29" s="55" t="s">
        <v>4</v>
      </c>
      <c r="I29" s="55" t="s">
        <v>4</v>
      </c>
      <c r="J29" s="55" t="s">
        <v>4</v>
      </c>
      <c r="K29" s="55" t="s">
        <v>4</v>
      </c>
      <c r="L29" s="55" t="s">
        <v>4</v>
      </c>
      <c r="M29" s="55" t="s">
        <v>4</v>
      </c>
      <c r="N29" s="55" t="s">
        <v>4</v>
      </c>
      <c r="O29" s="55" t="s">
        <v>4</v>
      </c>
      <c r="P29" s="55" t="s">
        <v>4</v>
      </c>
      <c r="Q29" s="55" t="s">
        <v>4</v>
      </c>
      <c r="R29" s="44"/>
      <c r="S29" s="44"/>
      <c r="T29" s="44"/>
      <c r="U29" s="44"/>
    </row>
    <row r="30" spans="1:21" s="12" customFormat="1" x14ac:dyDescent="0.25">
      <c r="A30" s="51" t="s">
        <v>299</v>
      </c>
      <c r="B30" s="55" t="s">
        <v>4</v>
      </c>
      <c r="C30" s="55" t="s">
        <v>4</v>
      </c>
      <c r="D30" s="55" t="s">
        <v>4</v>
      </c>
      <c r="E30" s="55" t="s">
        <v>4</v>
      </c>
      <c r="F30" s="55" t="s">
        <v>4</v>
      </c>
      <c r="G30" s="55" t="s">
        <v>4</v>
      </c>
      <c r="H30" s="55" t="s">
        <v>4</v>
      </c>
      <c r="I30" s="55" t="s">
        <v>4</v>
      </c>
      <c r="J30" s="55" t="s">
        <v>4</v>
      </c>
      <c r="K30" s="55" t="s">
        <v>4</v>
      </c>
      <c r="L30" s="55" t="s">
        <v>4</v>
      </c>
      <c r="M30" s="55" t="s">
        <v>4</v>
      </c>
      <c r="N30" s="55" t="s">
        <v>4</v>
      </c>
      <c r="O30" s="55" t="s">
        <v>4</v>
      </c>
      <c r="P30" s="55" t="s">
        <v>4</v>
      </c>
      <c r="Q30" s="55" t="s">
        <v>4</v>
      </c>
      <c r="R30" s="44"/>
      <c r="S30" s="44"/>
      <c r="T30" s="44"/>
      <c r="U30" s="44"/>
    </row>
    <row r="31" spans="1:21" s="12" customFormat="1" x14ac:dyDescent="0.25">
      <c r="A31" s="51" t="s">
        <v>300</v>
      </c>
      <c r="B31" s="55" t="s">
        <v>4</v>
      </c>
      <c r="C31" s="55" t="s">
        <v>4</v>
      </c>
      <c r="D31" s="55" t="s">
        <v>4</v>
      </c>
      <c r="E31" s="55" t="s">
        <v>4</v>
      </c>
      <c r="F31" s="55" t="s">
        <v>4</v>
      </c>
      <c r="G31" s="55" t="s">
        <v>4</v>
      </c>
      <c r="H31" s="55" t="s">
        <v>4</v>
      </c>
      <c r="I31" s="55" t="s">
        <v>4</v>
      </c>
      <c r="J31" s="55" t="s">
        <v>4</v>
      </c>
      <c r="K31" s="55" t="s">
        <v>4</v>
      </c>
      <c r="L31" s="55" t="s">
        <v>4</v>
      </c>
      <c r="M31" s="55" t="s">
        <v>4</v>
      </c>
      <c r="N31" s="55" t="s">
        <v>4</v>
      </c>
      <c r="O31" s="55" t="s">
        <v>4</v>
      </c>
      <c r="P31" s="55" t="s">
        <v>4</v>
      </c>
      <c r="Q31" s="55" t="s">
        <v>4</v>
      </c>
      <c r="R31" s="44"/>
      <c r="S31" s="44"/>
      <c r="T31" s="44"/>
      <c r="U31" s="44"/>
    </row>
    <row r="32" spans="1:21" s="12" customFormat="1" x14ac:dyDescent="0.25">
      <c r="A32" s="51" t="s">
        <v>301</v>
      </c>
      <c r="B32" s="55" t="s">
        <v>4</v>
      </c>
      <c r="C32" s="55" t="s">
        <v>4</v>
      </c>
      <c r="D32" s="55" t="s">
        <v>4</v>
      </c>
      <c r="E32" s="55" t="s">
        <v>4</v>
      </c>
      <c r="F32" s="55" t="s">
        <v>4</v>
      </c>
      <c r="G32" s="55" t="s">
        <v>4</v>
      </c>
      <c r="H32" s="55" t="s">
        <v>4</v>
      </c>
      <c r="I32" s="55" t="s">
        <v>4</v>
      </c>
      <c r="J32" s="55" t="s">
        <v>4</v>
      </c>
      <c r="K32" s="55" t="s">
        <v>4</v>
      </c>
      <c r="L32" s="55" t="s">
        <v>4</v>
      </c>
      <c r="M32" s="55" t="s">
        <v>4</v>
      </c>
      <c r="N32" s="55" t="s">
        <v>4</v>
      </c>
      <c r="O32" s="55" t="s">
        <v>4</v>
      </c>
      <c r="P32" s="55" t="s">
        <v>4</v>
      </c>
      <c r="Q32" s="55" t="s">
        <v>4</v>
      </c>
      <c r="R32" s="44"/>
      <c r="S32" s="44"/>
      <c r="T32" s="44"/>
      <c r="U32" s="44"/>
    </row>
    <row r="33" spans="1:21" s="22" customFormat="1" x14ac:dyDescent="0.25">
      <c r="A33" s="27"/>
      <c r="B33" s="21"/>
      <c r="C33" s="21"/>
      <c r="D33" s="21"/>
      <c r="E33" s="21"/>
      <c r="F33" s="21"/>
      <c r="G33" s="27"/>
      <c r="H33" s="27"/>
      <c r="I33" s="27"/>
      <c r="J33" s="21"/>
      <c r="K33" s="21"/>
      <c r="L33" s="27"/>
      <c r="M33" s="27"/>
      <c r="N33" s="27"/>
      <c r="O33" s="27"/>
      <c r="P33" s="27"/>
      <c r="Q33" s="21"/>
      <c r="R33" s="21"/>
      <c r="S33" s="21"/>
      <c r="T33" s="21"/>
      <c r="U33" s="21"/>
    </row>
    <row r="34" spans="1:21" s="22" customFormat="1" x14ac:dyDescent="0.25">
      <c r="A34" s="28" t="s">
        <v>30</v>
      </c>
      <c r="B34" s="29">
        <f t="shared" ref="B34:Q34" si="0">MIN(B9:B32)</f>
        <v>4.3099999999999996</v>
      </c>
      <c r="C34" s="29">
        <f t="shared" si="0"/>
        <v>19.82</v>
      </c>
      <c r="D34" s="29">
        <f t="shared" si="0"/>
        <v>24.13</v>
      </c>
      <c r="E34" s="29">
        <f t="shared" si="0"/>
        <v>2.08</v>
      </c>
      <c r="F34" s="29">
        <f t="shared" si="0"/>
        <v>5.05</v>
      </c>
      <c r="G34" s="29">
        <f t="shared" si="0"/>
        <v>26.9</v>
      </c>
      <c r="H34" s="29">
        <f t="shared" si="0"/>
        <v>3.44</v>
      </c>
      <c r="I34" s="29">
        <f t="shared" si="0"/>
        <v>0</v>
      </c>
      <c r="J34" s="29">
        <f t="shared" si="0"/>
        <v>0.47</v>
      </c>
      <c r="K34" s="29">
        <f t="shared" si="0"/>
        <v>102.7</v>
      </c>
      <c r="L34" s="29">
        <f t="shared" si="0"/>
        <v>22.8</v>
      </c>
      <c r="M34" s="29">
        <f t="shared" si="0"/>
        <v>50.86</v>
      </c>
      <c r="N34" s="29">
        <f t="shared" si="0"/>
        <v>43.9</v>
      </c>
      <c r="O34" s="29">
        <f t="shared" si="0"/>
        <v>0</v>
      </c>
      <c r="P34" s="29">
        <f t="shared" si="0"/>
        <v>0.02</v>
      </c>
      <c r="Q34" s="29">
        <f t="shared" si="0"/>
        <v>41.98</v>
      </c>
      <c r="R34" s="29"/>
      <c r="S34" s="29"/>
      <c r="T34" s="29"/>
      <c r="U34" s="29"/>
    </row>
    <row r="35" spans="1:21" s="22" customFormat="1" x14ac:dyDescent="0.25">
      <c r="A35" s="28" t="s">
        <v>31</v>
      </c>
      <c r="B35" s="30">
        <f t="shared" ref="B35:Q35" si="1">MAX(B9:B32)</f>
        <v>15.21</v>
      </c>
      <c r="C35" s="30">
        <f t="shared" si="1"/>
        <v>42.11</v>
      </c>
      <c r="D35" s="30">
        <f t="shared" si="1"/>
        <v>57.25</v>
      </c>
      <c r="E35" s="30">
        <f t="shared" si="1"/>
        <v>7.78</v>
      </c>
      <c r="F35" s="30">
        <f t="shared" si="1"/>
        <v>42.04</v>
      </c>
      <c r="G35" s="30">
        <f t="shared" si="1"/>
        <v>40.68</v>
      </c>
      <c r="H35" s="30">
        <f t="shared" si="1"/>
        <v>144.41999999999999</v>
      </c>
      <c r="I35" s="30">
        <f t="shared" si="1"/>
        <v>1.74</v>
      </c>
      <c r="J35" s="30">
        <f t="shared" si="1"/>
        <v>3.68</v>
      </c>
      <c r="K35" s="30">
        <f t="shared" si="1"/>
        <v>354.04</v>
      </c>
      <c r="L35" s="30">
        <f t="shared" si="1"/>
        <v>31.64</v>
      </c>
      <c r="M35" s="30">
        <f t="shared" si="1"/>
        <v>94.34</v>
      </c>
      <c r="N35" s="30">
        <f t="shared" si="1"/>
        <v>1027.4000000000001</v>
      </c>
      <c r="O35" s="30">
        <f t="shared" si="1"/>
        <v>25.6</v>
      </c>
      <c r="P35" s="30">
        <f t="shared" si="1"/>
        <v>0.67</v>
      </c>
      <c r="Q35" s="30">
        <f t="shared" si="1"/>
        <v>177.37</v>
      </c>
      <c r="R35" s="30"/>
      <c r="S35" s="30"/>
      <c r="T35" s="30"/>
      <c r="U35" s="30"/>
    </row>
    <row r="36" spans="1:21" s="22" customFormat="1" x14ac:dyDescent="0.25">
      <c r="A36" s="28" t="s">
        <v>32</v>
      </c>
      <c r="B36" s="29">
        <f t="shared" ref="B36:Q36" si="2">AVERAGE(B9:B32)</f>
        <v>10.033333333333333</v>
      </c>
      <c r="C36" s="29">
        <f t="shared" si="2"/>
        <v>27.889999999999997</v>
      </c>
      <c r="D36" s="29">
        <f t="shared" si="2"/>
        <v>37.909999999999997</v>
      </c>
      <c r="E36" s="29">
        <f t="shared" si="2"/>
        <v>4.7666666666666666</v>
      </c>
      <c r="F36" s="29">
        <f t="shared" si="2"/>
        <v>12.057142857142859</v>
      </c>
      <c r="G36" s="29">
        <f t="shared" si="2"/>
        <v>32.75</v>
      </c>
      <c r="H36" s="29">
        <f t="shared" si="2"/>
        <v>35.68571428571429</v>
      </c>
      <c r="I36" s="29">
        <f t="shared" si="2"/>
        <v>0.95</v>
      </c>
      <c r="J36" s="29">
        <f t="shared" si="2"/>
        <v>1.4000000000000001</v>
      </c>
      <c r="K36" s="29">
        <f t="shared" si="2"/>
        <v>192.58571428571432</v>
      </c>
      <c r="L36" s="29">
        <f t="shared" si="2"/>
        <v>28.245714285714289</v>
      </c>
      <c r="M36" s="29">
        <f t="shared" si="2"/>
        <v>74.278571428571439</v>
      </c>
      <c r="N36" s="29">
        <f t="shared" si="2"/>
        <v>572.79999999999995</v>
      </c>
      <c r="O36" s="29">
        <f t="shared" si="2"/>
        <v>3.6571428571428575</v>
      </c>
      <c r="P36" s="29">
        <f t="shared" si="2"/>
        <v>0.34428571428571431</v>
      </c>
      <c r="Q36" s="29">
        <f t="shared" si="2"/>
        <v>116.08833333333335</v>
      </c>
      <c r="R36" s="29"/>
      <c r="S36" s="29"/>
      <c r="T36" s="29"/>
      <c r="U36" s="29"/>
    </row>
    <row r="37" spans="1:21" s="22" customFormat="1" x14ac:dyDescent="0.25">
      <c r="A37" s="28" t="s">
        <v>38</v>
      </c>
      <c r="B37" s="29">
        <f>STDEV(B9:B32)</f>
        <v>4.0713568581821358</v>
      </c>
      <c r="C37" s="29">
        <f t="shared" ref="C37:Q37" si="3">STDEV(C9:C32)</f>
        <v>7.6189369337198336</v>
      </c>
      <c r="D37" s="29">
        <f t="shared" si="3"/>
        <v>11.194784499935674</v>
      </c>
      <c r="E37" s="29">
        <f t="shared" si="3"/>
        <v>2.207873788663353</v>
      </c>
      <c r="F37" s="29">
        <f t="shared" si="3"/>
        <v>13.316624590195163</v>
      </c>
      <c r="G37" s="29">
        <f t="shared" si="3"/>
        <v>5.6120495364883975</v>
      </c>
      <c r="H37" s="29">
        <f t="shared" si="3"/>
        <v>48.966378212382573</v>
      </c>
      <c r="I37" s="29">
        <f t="shared" si="3"/>
        <v>0.58217981185655499</v>
      </c>
      <c r="J37" s="29">
        <f t="shared" si="3"/>
        <v>1.0872595519623331</v>
      </c>
      <c r="K37" s="29">
        <f t="shared" si="3"/>
        <v>108.71801703752428</v>
      </c>
      <c r="L37" s="29">
        <f t="shared" si="3"/>
        <v>3.4506031218848796</v>
      </c>
      <c r="M37" s="29">
        <f t="shared" si="3"/>
        <v>16.817775743313376</v>
      </c>
      <c r="N37" s="29">
        <f t="shared" si="3"/>
        <v>385.56312496572258</v>
      </c>
      <c r="O37" s="29">
        <f t="shared" si="3"/>
        <v>9.6758905090362184</v>
      </c>
      <c r="P37" s="29">
        <f t="shared" si="3"/>
        <v>0.20123428657969328</v>
      </c>
      <c r="Q37" s="29">
        <f t="shared" si="3"/>
        <v>54.565997990201382</v>
      </c>
      <c r="R37" s="29"/>
      <c r="S37" s="29"/>
      <c r="T37" s="29"/>
      <c r="U37" s="29"/>
    </row>
    <row r="38" spans="1:21" s="22" customFormat="1" x14ac:dyDescent="0.25">
      <c r="A38" s="32" t="s">
        <v>33</v>
      </c>
      <c r="B38" s="33">
        <f>COUNT(B9:B32)+18</f>
        <v>24</v>
      </c>
      <c r="C38" s="33">
        <f>COUNT(C9:C32)+18</f>
        <v>24</v>
      </c>
      <c r="D38" s="33">
        <f>COUNT(D9:D32)+18</f>
        <v>24</v>
      </c>
      <c r="E38" s="33">
        <f>COUNT(E9:E32)+18</f>
        <v>24</v>
      </c>
      <c r="F38" s="33">
        <f>COUNT(F9:F32)+18</f>
        <v>25</v>
      </c>
      <c r="G38" s="33">
        <f>COUNT(G9:G32)+17</f>
        <v>22</v>
      </c>
      <c r="H38" s="33">
        <f>COUNT(H9:H32)+17</f>
        <v>24</v>
      </c>
      <c r="I38" s="33">
        <f t="shared" ref="I38:P38" si="4">COUNT(I9:I32)+17</f>
        <v>24</v>
      </c>
      <c r="J38" s="33">
        <f t="shared" si="4"/>
        <v>24</v>
      </c>
      <c r="K38" s="33">
        <f t="shared" si="4"/>
        <v>24</v>
      </c>
      <c r="L38" s="33">
        <f t="shared" si="4"/>
        <v>24</v>
      </c>
      <c r="M38" s="33">
        <f t="shared" si="4"/>
        <v>24</v>
      </c>
      <c r="N38" s="33">
        <f t="shared" si="4"/>
        <v>24</v>
      </c>
      <c r="O38" s="33">
        <f t="shared" si="4"/>
        <v>24</v>
      </c>
      <c r="P38" s="33">
        <f t="shared" si="4"/>
        <v>24</v>
      </c>
      <c r="Q38" s="33">
        <f>COUNT(Q9:Q32)+18</f>
        <v>24</v>
      </c>
      <c r="R38" s="33"/>
      <c r="S38" s="33"/>
      <c r="T38" s="33"/>
      <c r="U38" s="33"/>
    </row>
    <row r="39" spans="1:21" s="22" customFormat="1" x14ac:dyDescent="0.25">
      <c r="A39" s="28" t="s">
        <v>34</v>
      </c>
      <c r="B39" s="30" t="str">
        <f>IF(B38&gt;=22,"&gt;90%",IF(B38&lt;=22,"&lt;90%"))</f>
        <v>&gt;90%</v>
      </c>
      <c r="C39" s="30" t="str">
        <f t="shared" ref="C39:P39" si="5">IF(C38&gt;=22,"&gt;90%",IF(C38&lt;=22,"&lt;90%"))</f>
        <v>&gt;90%</v>
      </c>
      <c r="D39" s="30" t="str">
        <f t="shared" si="5"/>
        <v>&gt;90%</v>
      </c>
      <c r="E39" s="30" t="str">
        <f t="shared" si="5"/>
        <v>&gt;90%</v>
      </c>
      <c r="F39" s="30" t="str">
        <f t="shared" si="5"/>
        <v>&gt;90%</v>
      </c>
      <c r="G39" s="30" t="str">
        <f t="shared" si="5"/>
        <v>&gt;90%</v>
      </c>
      <c r="H39" s="30" t="str">
        <f t="shared" si="5"/>
        <v>&gt;90%</v>
      </c>
      <c r="I39" s="30" t="str">
        <f t="shared" si="5"/>
        <v>&gt;90%</v>
      </c>
      <c r="J39" s="30" t="str">
        <f t="shared" si="5"/>
        <v>&gt;90%</v>
      </c>
      <c r="K39" s="30" t="str">
        <f t="shared" si="5"/>
        <v>&gt;90%</v>
      </c>
      <c r="L39" s="30" t="str">
        <f t="shared" si="5"/>
        <v>&gt;90%</v>
      </c>
      <c r="M39" s="30" t="str">
        <f t="shared" si="5"/>
        <v>&gt;90%</v>
      </c>
      <c r="N39" s="30" t="str">
        <f t="shared" si="5"/>
        <v>&gt;90%</v>
      </c>
      <c r="O39" s="30" t="str">
        <f t="shared" si="5"/>
        <v>&gt;90%</v>
      </c>
      <c r="P39" s="30" t="str">
        <f t="shared" si="5"/>
        <v>&gt;90%</v>
      </c>
      <c r="Q39" s="30" t="str">
        <f>IF(Q38&gt;=22,"&gt;90%",IF(Q38&lt;=22,"&lt;90%"))</f>
        <v>&gt;90%</v>
      </c>
      <c r="R39" s="30"/>
      <c r="S39" s="30"/>
      <c r="T39" s="30"/>
      <c r="U39" s="30"/>
    </row>
    <row r="40" spans="1:21" s="22" customFormat="1" x14ac:dyDescent="0.25">
      <c r="A40" s="28" t="s">
        <v>1</v>
      </c>
      <c r="B40" s="30" t="str">
        <f>IF(B38&gt;=22,"OK",IF(B38&lt;=22,"LESS"))</f>
        <v>OK</v>
      </c>
      <c r="C40" s="30" t="str">
        <f t="shared" ref="C40:Q40" si="6">IF(C38&gt;=22,"OK",IF(C38&lt;=22,"LESS"))</f>
        <v>OK</v>
      </c>
      <c r="D40" s="30" t="str">
        <f t="shared" si="6"/>
        <v>OK</v>
      </c>
      <c r="E40" s="30" t="str">
        <f t="shared" si="6"/>
        <v>OK</v>
      </c>
      <c r="F40" s="30" t="str">
        <f t="shared" si="6"/>
        <v>OK</v>
      </c>
      <c r="G40" s="30" t="str">
        <f t="shared" si="6"/>
        <v>OK</v>
      </c>
      <c r="H40" s="30" t="str">
        <f t="shared" si="6"/>
        <v>OK</v>
      </c>
      <c r="I40" s="30" t="str">
        <f t="shared" si="6"/>
        <v>OK</v>
      </c>
      <c r="J40" s="30" t="str">
        <f t="shared" si="6"/>
        <v>OK</v>
      </c>
      <c r="K40" s="30" t="str">
        <f t="shared" si="6"/>
        <v>OK</v>
      </c>
      <c r="L40" s="30" t="str">
        <f t="shared" si="6"/>
        <v>OK</v>
      </c>
      <c r="M40" s="30" t="str">
        <f t="shared" si="6"/>
        <v>OK</v>
      </c>
      <c r="N40" s="30" t="str">
        <f t="shared" si="6"/>
        <v>OK</v>
      </c>
      <c r="O40" s="30" t="str">
        <f t="shared" si="6"/>
        <v>OK</v>
      </c>
      <c r="P40" s="30" t="str">
        <f t="shared" si="6"/>
        <v>OK</v>
      </c>
      <c r="Q40" s="30" t="str">
        <f t="shared" si="6"/>
        <v>OK</v>
      </c>
      <c r="R40" s="30"/>
      <c r="S40" s="30"/>
      <c r="T40" s="30"/>
      <c r="U40" s="30"/>
    </row>
    <row r="41" spans="1:21" s="22" customFormat="1" x14ac:dyDescent="0.25">
      <c r="A41" s="14"/>
      <c r="L41" s="14"/>
      <c r="N41" s="17"/>
      <c r="O41" s="17"/>
      <c r="P41" s="17"/>
      <c r="Q41" s="17"/>
      <c r="R41" s="17"/>
      <c r="S41" s="17"/>
      <c r="T41" s="17"/>
      <c r="U41" s="17"/>
    </row>
    <row r="42" spans="1:21" s="22" customFormat="1" x14ac:dyDescent="0.25">
      <c r="A42" s="14"/>
    </row>
    <row r="43" spans="1:21" s="22" customFormat="1" x14ac:dyDescent="0.25">
      <c r="A43" s="15" t="s">
        <v>35</v>
      </c>
      <c r="B43" s="41" t="s">
        <v>42</v>
      </c>
      <c r="C43" s="43"/>
    </row>
    <row r="44" spans="1:21" s="22" customFormat="1" x14ac:dyDescent="0.25">
      <c r="A44" s="14"/>
      <c r="D44" s="2"/>
      <c r="E44" s="2"/>
      <c r="F44" s="2"/>
      <c r="G44" s="2"/>
      <c r="H44" s="2"/>
      <c r="I44" s="2"/>
    </row>
    <row r="45" spans="1:21" s="22" customFormat="1" ht="15.75" x14ac:dyDescent="0.25">
      <c r="A45" s="18" t="s">
        <v>36</v>
      </c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</row>
    <row r="46" spans="1:21" s="22" customFormat="1" x14ac:dyDescent="0.25"/>
    <row r="47" spans="1:21" s="22" customFormat="1" x14ac:dyDescent="0.25"/>
    <row r="48" spans="1:21" s="22" customFormat="1" x14ac:dyDescent="0.25"/>
    <row r="49" s="22" customFormat="1" x14ac:dyDescent="0.25"/>
    <row r="50" s="22" customFormat="1" x14ac:dyDescent="0.25"/>
    <row r="51" s="22" customFormat="1" x14ac:dyDescent="0.25"/>
    <row r="52" s="22" customFormat="1" x14ac:dyDescent="0.25"/>
    <row r="53" s="22" customFormat="1" x14ac:dyDescent="0.25"/>
    <row r="54" s="22" customFormat="1" x14ac:dyDescent="0.25"/>
    <row r="55" s="22" customFormat="1" x14ac:dyDescent="0.25"/>
    <row r="56" s="22" customFormat="1" x14ac:dyDescent="0.25"/>
    <row r="57" s="22" customFormat="1" x14ac:dyDescent="0.25"/>
    <row r="58" s="22" customFormat="1" x14ac:dyDescent="0.25"/>
    <row r="59" s="22" customFormat="1" x14ac:dyDescent="0.25"/>
    <row r="60" s="22" customFormat="1" x14ac:dyDescent="0.25"/>
    <row r="61" s="22" customFormat="1" x14ac:dyDescent="0.25"/>
    <row r="62" s="22" customFormat="1" x14ac:dyDescent="0.25"/>
    <row r="63" s="22" customFormat="1" x14ac:dyDescent="0.25"/>
    <row r="64" s="22" customFormat="1" x14ac:dyDescent="0.25"/>
    <row r="65" s="22" customFormat="1" x14ac:dyDescent="0.25"/>
    <row r="66" s="22" customFormat="1" x14ac:dyDescent="0.25"/>
    <row r="67" s="22" customFormat="1" x14ac:dyDescent="0.25"/>
    <row r="68" s="22" customFormat="1" x14ac:dyDescent="0.25"/>
    <row r="69" s="22" customFormat="1" x14ac:dyDescent="0.25"/>
    <row r="70" s="22" customFormat="1" x14ac:dyDescent="0.25"/>
    <row r="71" s="22" customFormat="1" x14ac:dyDescent="0.25"/>
    <row r="72" s="22" customFormat="1" x14ac:dyDescent="0.25"/>
    <row r="73" s="22" customFormat="1" x14ac:dyDescent="0.25"/>
    <row r="74" s="22" customFormat="1" x14ac:dyDescent="0.25"/>
    <row r="75" s="22" customFormat="1" x14ac:dyDescent="0.25"/>
    <row r="76" s="22" customFormat="1" x14ac:dyDescent="0.25"/>
    <row r="77" s="22" customFormat="1" x14ac:dyDescent="0.25"/>
    <row r="78" s="22" customFormat="1" x14ac:dyDescent="0.25"/>
    <row r="79" s="22" customFormat="1" x14ac:dyDescent="0.25"/>
    <row r="80" s="22" customFormat="1" x14ac:dyDescent="0.25"/>
    <row r="81" s="22" customFormat="1" x14ac:dyDescent="0.25"/>
    <row r="82" s="22" customFormat="1" x14ac:dyDescent="0.25"/>
    <row r="83" s="22" customFormat="1" x14ac:dyDescent="0.25"/>
    <row r="84" s="22" customFormat="1" x14ac:dyDescent="0.25"/>
    <row r="85" s="22" customFormat="1" x14ac:dyDescent="0.25"/>
    <row r="86" s="22" customFormat="1" x14ac:dyDescent="0.25"/>
    <row r="87" s="22" customFormat="1" x14ac:dyDescent="0.25"/>
    <row r="88" s="22" customFormat="1" x14ac:dyDescent="0.25"/>
    <row r="89" s="22" customFormat="1" x14ac:dyDescent="0.25"/>
    <row r="90" s="22" customFormat="1" x14ac:dyDescent="0.25"/>
    <row r="91" s="22" customFormat="1" x14ac:dyDescent="0.25"/>
    <row r="92" s="22" customFormat="1" x14ac:dyDescent="0.25"/>
    <row r="93" s="22" customFormat="1" x14ac:dyDescent="0.25"/>
    <row r="94" s="22" customFormat="1" x14ac:dyDescent="0.25"/>
    <row r="95" s="22" customFormat="1" x14ac:dyDescent="0.25"/>
    <row r="96" s="22" customFormat="1" x14ac:dyDescent="0.25"/>
    <row r="97" spans="1:1" s="22" customFormat="1" x14ac:dyDescent="0.25"/>
    <row r="98" spans="1:1" s="22" customFormat="1" x14ac:dyDescent="0.25"/>
    <row r="99" spans="1:1" s="22" customFormat="1" x14ac:dyDescent="0.25"/>
    <row r="100" spans="1:1" s="22" customFormat="1" x14ac:dyDescent="0.25"/>
    <row r="101" spans="1:1" s="22" customFormat="1" x14ac:dyDescent="0.25"/>
    <row r="102" spans="1:1" s="22" customFormat="1" x14ac:dyDescent="0.25"/>
    <row r="103" spans="1:1" s="22" customFormat="1" x14ac:dyDescent="0.25"/>
    <row r="104" spans="1:1" s="22" customFormat="1" x14ac:dyDescent="0.25"/>
    <row r="105" spans="1:1" s="22" customFormat="1" x14ac:dyDescent="0.25"/>
    <row r="106" spans="1:1" x14ac:dyDescent="0.25">
      <c r="A106" s="21"/>
    </row>
    <row r="107" spans="1:1" s="22" customFormat="1" x14ac:dyDescent="0.25"/>
    <row r="108" spans="1:1" s="22" customFormat="1" x14ac:dyDescent="0.25"/>
    <row r="109" spans="1:1" s="22" customFormat="1" x14ac:dyDescent="0.25"/>
    <row r="110" spans="1:1" s="22" customFormat="1" x14ac:dyDescent="0.25"/>
    <row r="111" spans="1:1" s="22" customFormat="1" x14ac:dyDescent="0.25"/>
    <row r="112" spans="1:1" s="22" customFormat="1" x14ac:dyDescent="0.25"/>
    <row r="113" spans="1:1" s="22" customFormat="1" x14ac:dyDescent="0.25"/>
    <row r="114" spans="1:1" s="22" customFormat="1" x14ac:dyDescent="0.25"/>
    <row r="115" spans="1:1" s="22" customFormat="1" x14ac:dyDescent="0.25"/>
    <row r="116" spans="1:1" s="22" customFormat="1" x14ac:dyDescent="0.25"/>
    <row r="117" spans="1:1" s="22" customFormat="1" x14ac:dyDescent="0.25"/>
    <row r="118" spans="1:1" x14ac:dyDescent="0.25">
      <c r="A118" s="21"/>
    </row>
    <row r="119" spans="1:1" x14ac:dyDescent="0.25">
      <c r="A119" s="21"/>
    </row>
  </sheetData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2" ySplit="8" topLeftCell="C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Q41" sqref="Q41"/>
    </sheetView>
  </sheetViews>
  <sheetFormatPr defaultColWidth="8.85546875" defaultRowHeight="15" x14ac:dyDescent="0.25"/>
  <cols>
    <col min="1" max="1" width="18.28515625" style="27" customWidth="1"/>
    <col min="2" max="2" width="14.42578125" style="21" customWidth="1"/>
    <col min="3" max="12" width="9.140625" style="21" customWidth="1"/>
    <col min="13" max="13" width="10" style="21" customWidth="1"/>
    <col min="14" max="19" width="9.140625" style="21" customWidth="1"/>
    <col min="20" max="20" width="11.42578125" style="21" customWidth="1"/>
    <col min="21" max="16384" width="8.85546875" style="21"/>
  </cols>
  <sheetData>
    <row r="1" spans="1:21" s="22" customFormat="1" ht="25.5" customHeight="1" x14ac:dyDescent="0.25">
      <c r="A1" s="15" t="s">
        <v>2</v>
      </c>
      <c r="B1" s="24" t="s">
        <v>43</v>
      </c>
      <c r="C1" s="38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s="22" customFormat="1" x14ac:dyDescent="0.25">
      <c r="A2" s="15" t="s">
        <v>0</v>
      </c>
      <c r="B2" s="39" t="str">
        <f>$A$9</f>
        <v>11-10-2022 01:00</v>
      </c>
      <c r="C2" s="12"/>
      <c r="D2" s="11" t="s">
        <v>3</v>
      </c>
      <c r="E2" s="11"/>
      <c r="F2" s="11"/>
      <c r="G2" s="4" t="s">
        <v>4</v>
      </c>
      <c r="H2" s="20"/>
      <c r="I2" s="20"/>
      <c r="J2" s="20"/>
      <c r="K2" s="13"/>
      <c r="L2" s="11" t="s">
        <v>5</v>
      </c>
      <c r="M2" s="13"/>
      <c r="N2" s="8" t="s">
        <v>6</v>
      </c>
      <c r="P2" s="40" t="s">
        <v>7</v>
      </c>
      <c r="Q2" s="13"/>
      <c r="R2" s="9" t="s">
        <v>8</v>
      </c>
      <c r="S2" s="12"/>
      <c r="T2" s="12"/>
      <c r="U2" s="12"/>
    </row>
    <row r="3" spans="1:21" s="22" customFormat="1" x14ac:dyDescent="0.25">
      <c r="A3" s="15" t="s">
        <v>9</v>
      </c>
      <c r="B3" s="13" t="s">
        <v>10</v>
      </c>
      <c r="C3" s="12"/>
      <c r="D3" s="11" t="s">
        <v>11</v>
      </c>
      <c r="E3" s="11"/>
      <c r="F3" s="11"/>
      <c r="G3" s="19" t="s">
        <v>12</v>
      </c>
      <c r="H3" s="20"/>
      <c r="I3" s="20"/>
      <c r="J3" s="20"/>
      <c r="K3" s="12"/>
      <c r="L3" s="11" t="s">
        <v>13</v>
      </c>
      <c r="M3" s="13"/>
      <c r="N3" s="6" t="s">
        <v>14</v>
      </c>
      <c r="O3" s="13"/>
      <c r="P3" s="40" t="s">
        <v>15</v>
      </c>
      <c r="Q3" s="13"/>
      <c r="R3" s="10" t="s">
        <v>15</v>
      </c>
      <c r="S3" s="12"/>
      <c r="T3" s="12"/>
      <c r="U3" s="12"/>
    </row>
    <row r="4" spans="1:21" s="22" customFormat="1" x14ac:dyDescent="0.25">
      <c r="A4" s="15" t="s">
        <v>16</v>
      </c>
      <c r="B4" s="13" t="s">
        <v>39</v>
      </c>
      <c r="C4" s="12"/>
      <c r="D4" s="11" t="s">
        <v>17</v>
      </c>
      <c r="E4" s="11"/>
      <c r="F4" s="11"/>
      <c r="G4" s="5" t="s">
        <v>18</v>
      </c>
      <c r="H4" s="20"/>
      <c r="I4" s="20"/>
      <c r="J4" s="20"/>
      <c r="K4" s="3"/>
      <c r="L4" s="11" t="s">
        <v>19</v>
      </c>
      <c r="M4" s="13"/>
      <c r="N4" s="7" t="s">
        <v>20</v>
      </c>
      <c r="O4" s="13"/>
      <c r="P4" s="13"/>
      <c r="Q4" s="13"/>
      <c r="R4" s="13"/>
      <c r="S4" s="12"/>
      <c r="T4" s="12"/>
      <c r="U4" s="12"/>
    </row>
    <row r="5" spans="1:21" s="22" customFormat="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s="22" customFormat="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s="22" customFormat="1" x14ac:dyDescent="0.25">
      <c r="A7" s="15" t="s">
        <v>21</v>
      </c>
      <c r="B7" s="45" t="s">
        <v>59</v>
      </c>
      <c r="C7" s="45" t="s">
        <v>44</v>
      </c>
      <c r="D7" s="45" t="s">
        <v>45</v>
      </c>
      <c r="E7" s="45" t="s">
        <v>46</v>
      </c>
      <c r="F7" s="45" t="s">
        <v>47</v>
      </c>
      <c r="G7" s="45" t="s">
        <v>48</v>
      </c>
      <c r="H7" s="45" t="s">
        <v>49</v>
      </c>
      <c r="I7" s="45" t="s">
        <v>50</v>
      </c>
      <c r="J7" s="45" t="s">
        <v>51</v>
      </c>
      <c r="K7" s="45" t="s">
        <v>52</v>
      </c>
      <c r="L7" s="45" t="s">
        <v>53</v>
      </c>
      <c r="M7" s="45" t="s">
        <v>54</v>
      </c>
      <c r="N7" s="45" t="s">
        <v>55</v>
      </c>
      <c r="O7" s="45" t="s">
        <v>56</v>
      </c>
      <c r="P7" s="45" t="s">
        <v>57</v>
      </c>
      <c r="Q7" s="45" t="s">
        <v>58</v>
      </c>
      <c r="R7" s="28"/>
      <c r="S7" s="30"/>
      <c r="T7" s="28"/>
      <c r="U7" s="28"/>
    </row>
    <row r="8" spans="1:21" s="22" customFormat="1" x14ac:dyDescent="0.25">
      <c r="A8" s="15"/>
      <c r="B8" s="30" t="s">
        <v>22</v>
      </c>
      <c r="C8" s="30" t="s">
        <v>22</v>
      </c>
      <c r="D8" s="30" t="s">
        <v>22</v>
      </c>
      <c r="E8" s="30" t="s">
        <v>22</v>
      </c>
      <c r="F8" s="30" t="s">
        <v>22</v>
      </c>
      <c r="G8" s="30" t="s">
        <v>23</v>
      </c>
      <c r="H8" s="30" t="s">
        <v>22</v>
      </c>
      <c r="I8" s="30" t="s">
        <v>22</v>
      </c>
      <c r="J8" s="30" t="s">
        <v>24</v>
      </c>
      <c r="K8" s="30" t="s">
        <v>25</v>
      </c>
      <c r="L8" s="28" t="s">
        <v>27</v>
      </c>
      <c r="M8" s="30" t="s">
        <v>26</v>
      </c>
      <c r="N8" s="30" t="s">
        <v>28</v>
      </c>
      <c r="O8" s="28" t="s">
        <v>29</v>
      </c>
      <c r="P8" s="30" t="s">
        <v>22</v>
      </c>
      <c r="Q8" s="30" t="s">
        <v>22</v>
      </c>
      <c r="R8" s="28"/>
      <c r="S8" s="30"/>
      <c r="T8" s="28"/>
      <c r="U8" s="28"/>
    </row>
    <row r="9" spans="1:21" s="12" customFormat="1" x14ac:dyDescent="0.25">
      <c r="A9" s="60" t="s">
        <v>302</v>
      </c>
      <c r="B9" s="61" t="s">
        <v>4</v>
      </c>
      <c r="C9" s="61" t="s">
        <v>4</v>
      </c>
      <c r="D9" s="61" t="s">
        <v>4</v>
      </c>
      <c r="E9" s="61" t="s">
        <v>4</v>
      </c>
      <c r="F9" s="61" t="s">
        <v>4</v>
      </c>
      <c r="G9" s="61" t="s">
        <v>4</v>
      </c>
      <c r="H9" s="61" t="s">
        <v>4</v>
      </c>
      <c r="I9" s="61" t="s">
        <v>4</v>
      </c>
      <c r="J9" s="61" t="s">
        <v>4</v>
      </c>
      <c r="K9" s="61" t="s">
        <v>4</v>
      </c>
      <c r="L9" s="61" t="s">
        <v>4</v>
      </c>
      <c r="M9" s="61" t="s">
        <v>4</v>
      </c>
      <c r="N9" s="61" t="s">
        <v>4</v>
      </c>
      <c r="O9" s="61" t="s">
        <v>4</v>
      </c>
      <c r="P9" s="61" t="s">
        <v>4</v>
      </c>
      <c r="Q9" s="61" t="s">
        <v>4</v>
      </c>
      <c r="R9" s="44"/>
      <c r="S9" s="44"/>
      <c r="T9" s="44"/>
      <c r="U9" s="44"/>
    </row>
    <row r="10" spans="1:21" s="12" customFormat="1" x14ac:dyDescent="0.25">
      <c r="A10" s="60" t="s">
        <v>303</v>
      </c>
      <c r="B10" s="61" t="s">
        <v>4</v>
      </c>
      <c r="C10" s="61" t="s">
        <v>4</v>
      </c>
      <c r="D10" s="61" t="s">
        <v>4</v>
      </c>
      <c r="E10" s="61" t="s">
        <v>4</v>
      </c>
      <c r="F10" s="61" t="s">
        <v>4</v>
      </c>
      <c r="G10" s="61" t="s">
        <v>4</v>
      </c>
      <c r="H10" s="61" t="s">
        <v>4</v>
      </c>
      <c r="I10" s="61" t="s">
        <v>4</v>
      </c>
      <c r="J10" s="61" t="s">
        <v>4</v>
      </c>
      <c r="K10" s="61" t="s">
        <v>4</v>
      </c>
      <c r="L10" s="61" t="s">
        <v>4</v>
      </c>
      <c r="M10" s="61" t="s">
        <v>4</v>
      </c>
      <c r="N10" s="61" t="s">
        <v>4</v>
      </c>
      <c r="O10" s="61" t="s">
        <v>4</v>
      </c>
      <c r="P10" s="61" t="s">
        <v>4</v>
      </c>
      <c r="Q10" s="61" t="s">
        <v>4</v>
      </c>
      <c r="R10" s="44"/>
      <c r="S10" s="44"/>
      <c r="T10" s="44"/>
      <c r="U10" s="44"/>
    </row>
    <row r="11" spans="1:21" s="12" customFormat="1" x14ac:dyDescent="0.25">
      <c r="A11" s="60" t="s">
        <v>304</v>
      </c>
      <c r="B11" s="61" t="s">
        <v>4</v>
      </c>
      <c r="C11" s="61" t="s">
        <v>4</v>
      </c>
      <c r="D11" s="61" t="s">
        <v>4</v>
      </c>
      <c r="E11" s="61" t="s">
        <v>4</v>
      </c>
      <c r="F11" s="61" t="s">
        <v>4</v>
      </c>
      <c r="G11" s="61" t="s">
        <v>4</v>
      </c>
      <c r="H11" s="61" t="s">
        <v>4</v>
      </c>
      <c r="I11" s="61" t="s">
        <v>4</v>
      </c>
      <c r="J11" s="61" t="s">
        <v>4</v>
      </c>
      <c r="K11" s="61" t="s">
        <v>4</v>
      </c>
      <c r="L11" s="61" t="s">
        <v>4</v>
      </c>
      <c r="M11" s="61" t="s">
        <v>4</v>
      </c>
      <c r="N11" s="61" t="s">
        <v>4</v>
      </c>
      <c r="O11" s="61" t="s">
        <v>4</v>
      </c>
      <c r="P11" s="61" t="s">
        <v>4</v>
      </c>
      <c r="Q11" s="61" t="s">
        <v>4</v>
      </c>
      <c r="R11" s="44"/>
      <c r="S11" s="44"/>
      <c r="T11" s="44"/>
      <c r="U11" s="44"/>
    </row>
    <row r="12" spans="1:21" s="12" customFormat="1" x14ac:dyDescent="0.25">
      <c r="A12" s="60" t="s">
        <v>305</v>
      </c>
      <c r="B12" s="61" t="s">
        <v>4</v>
      </c>
      <c r="C12" s="61" t="s">
        <v>4</v>
      </c>
      <c r="D12" s="61" t="s">
        <v>4</v>
      </c>
      <c r="E12" s="61" t="s">
        <v>4</v>
      </c>
      <c r="F12" s="61" t="s">
        <v>4</v>
      </c>
      <c r="G12" s="61" t="s">
        <v>4</v>
      </c>
      <c r="H12" s="61" t="s">
        <v>4</v>
      </c>
      <c r="I12" s="61" t="s">
        <v>4</v>
      </c>
      <c r="J12" s="61" t="s">
        <v>4</v>
      </c>
      <c r="K12" s="61" t="s">
        <v>4</v>
      </c>
      <c r="L12" s="61" t="s">
        <v>4</v>
      </c>
      <c r="M12" s="61" t="s">
        <v>4</v>
      </c>
      <c r="N12" s="61" t="s">
        <v>4</v>
      </c>
      <c r="O12" s="61" t="s">
        <v>4</v>
      </c>
      <c r="P12" s="61" t="s">
        <v>4</v>
      </c>
      <c r="Q12" s="61" t="s">
        <v>4</v>
      </c>
      <c r="R12" s="44"/>
      <c r="S12" s="44"/>
      <c r="T12" s="44"/>
      <c r="U12" s="44"/>
    </row>
    <row r="13" spans="1:21" s="12" customFormat="1" x14ac:dyDescent="0.25">
      <c r="A13" s="60" t="s">
        <v>306</v>
      </c>
      <c r="B13" s="61" t="s">
        <v>4</v>
      </c>
      <c r="C13" s="61" t="s">
        <v>4</v>
      </c>
      <c r="D13" s="61" t="s">
        <v>4</v>
      </c>
      <c r="E13" s="61" t="s">
        <v>4</v>
      </c>
      <c r="F13" s="61" t="s">
        <v>4</v>
      </c>
      <c r="G13" s="61" t="s">
        <v>4</v>
      </c>
      <c r="H13" s="61" t="s">
        <v>4</v>
      </c>
      <c r="I13" s="61" t="s">
        <v>4</v>
      </c>
      <c r="J13" s="61" t="s">
        <v>4</v>
      </c>
      <c r="K13" s="61" t="s">
        <v>4</v>
      </c>
      <c r="L13" s="61" t="s">
        <v>4</v>
      </c>
      <c r="M13" s="61" t="s">
        <v>4</v>
      </c>
      <c r="N13" s="61" t="s">
        <v>4</v>
      </c>
      <c r="O13" s="61" t="s">
        <v>4</v>
      </c>
      <c r="P13" s="61" t="s">
        <v>4</v>
      </c>
      <c r="Q13" s="61" t="s">
        <v>4</v>
      </c>
      <c r="R13" s="44"/>
      <c r="S13" s="44"/>
      <c r="T13" s="44"/>
      <c r="U13" s="44"/>
    </row>
    <row r="14" spans="1:21" s="12" customFormat="1" x14ac:dyDescent="0.25">
      <c r="A14" s="60" t="s">
        <v>307</v>
      </c>
      <c r="B14" s="61" t="s">
        <v>4</v>
      </c>
      <c r="C14" s="61" t="s">
        <v>4</v>
      </c>
      <c r="D14" s="61" t="s">
        <v>4</v>
      </c>
      <c r="E14" s="61" t="s">
        <v>4</v>
      </c>
      <c r="F14" s="61" t="s">
        <v>4</v>
      </c>
      <c r="G14" s="61" t="s">
        <v>4</v>
      </c>
      <c r="H14" s="61" t="s">
        <v>4</v>
      </c>
      <c r="I14" s="61" t="s">
        <v>4</v>
      </c>
      <c r="J14" s="61" t="s">
        <v>4</v>
      </c>
      <c r="K14" s="61" t="s">
        <v>4</v>
      </c>
      <c r="L14" s="61" t="s">
        <v>4</v>
      </c>
      <c r="M14" s="61" t="s">
        <v>4</v>
      </c>
      <c r="N14" s="61" t="s">
        <v>4</v>
      </c>
      <c r="O14" s="61" t="s">
        <v>4</v>
      </c>
      <c r="P14" s="61" t="s">
        <v>4</v>
      </c>
      <c r="Q14" s="61" t="s">
        <v>4</v>
      </c>
      <c r="R14" s="44"/>
      <c r="S14" s="44"/>
      <c r="T14" s="44"/>
      <c r="U14" s="44"/>
    </row>
    <row r="15" spans="1:21" s="12" customFormat="1" x14ac:dyDescent="0.25">
      <c r="A15" s="60" t="s">
        <v>308</v>
      </c>
      <c r="B15" s="61" t="s">
        <v>4</v>
      </c>
      <c r="C15" s="61" t="s">
        <v>4</v>
      </c>
      <c r="D15" s="61" t="s">
        <v>4</v>
      </c>
      <c r="E15" s="61" t="s">
        <v>4</v>
      </c>
      <c r="F15" s="61" t="s">
        <v>4</v>
      </c>
      <c r="G15" s="61" t="s">
        <v>4</v>
      </c>
      <c r="H15" s="61" t="s">
        <v>4</v>
      </c>
      <c r="I15" s="61" t="s">
        <v>4</v>
      </c>
      <c r="J15" s="61" t="s">
        <v>4</v>
      </c>
      <c r="K15" s="61" t="s">
        <v>4</v>
      </c>
      <c r="L15" s="61" t="s">
        <v>4</v>
      </c>
      <c r="M15" s="61" t="s">
        <v>4</v>
      </c>
      <c r="N15" s="61" t="s">
        <v>4</v>
      </c>
      <c r="O15" s="61" t="s">
        <v>4</v>
      </c>
      <c r="P15" s="61" t="s">
        <v>4</v>
      </c>
      <c r="Q15" s="61" t="s">
        <v>4</v>
      </c>
      <c r="R15" s="44"/>
      <c r="S15" s="44"/>
      <c r="T15" s="44"/>
      <c r="U15" s="44"/>
    </row>
    <row r="16" spans="1:21" s="12" customFormat="1" x14ac:dyDescent="0.25">
      <c r="A16" s="60" t="s">
        <v>309</v>
      </c>
      <c r="B16" s="61" t="s">
        <v>4</v>
      </c>
      <c r="C16" s="61" t="s">
        <v>4</v>
      </c>
      <c r="D16" s="61" t="s">
        <v>4</v>
      </c>
      <c r="E16" s="61" t="s">
        <v>4</v>
      </c>
      <c r="F16" s="61" t="s">
        <v>4</v>
      </c>
      <c r="G16" s="61" t="s">
        <v>4</v>
      </c>
      <c r="H16" s="61" t="s">
        <v>4</v>
      </c>
      <c r="I16" s="61" t="s">
        <v>4</v>
      </c>
      <c r="J16" s="61" t="s">
        <v>4</v>
      </c>
      <c r="K16" s="61" t="s">
        <v>4</v>
      </c>
      <c r="L16" s="61" t="s">
        <v>4</v>
      </c>
      <c r="M16" s="61" t="s">
        <v>4</v>
      </c>
      <c r="N16" s="61" t="s">
        <v>4</v>
      </c>
      <c r="O16" s="61" t="s">
        <v>4</v>
      </c>
      <c r="P16" s="61" t="s">
        <v>4</v>
      </c>
      <c r="Q16" s="61" t="s">
        <v>4</v>
      </c>
      <c r="R16" s="44"/>
      <c r="S16" s="44"/>
      <c r="T16" s="44"/>
      <c r="U16" s="44"/>
    </row>
    <row r="17" spans="1:21" s="12" customFormat="1" x14ac:dyDescent="0.25">
      <c r="A17" s="60" t="s">
        <v>310</v>
      </c>
      <c r="B17" s="61" t="s">
        <v>4</v>
      </c>
      <c r="C17" s="61" t="s">
        <v>4</v>
      </c>
      <c r="D17" s="61" t="s">
        <v>4</v>
      </c>
      <c r="E17" s="61" t="s">
        <v>4</v>
      </c>
      <c r="F17" s="61" t="s">
        <v>4</v>
      </c>
      <c r="G17" s="61" t="s">
        <v>4</v>
      </c>
      <c r="H17" s="61" t="s">
        <v>4</v>
      </c>
      <c r="I17" s="61" t="s">
        <v>4</v>
      </c>
      <c r="J17" s="61" t="s">
        <v>4</v>
      </c>
      <c r="K17" s="61" t="s">
        <v>4</v>
      </c>
      <c r="L17" s="61" t="s">
        <v>4</v>
      </c>
      <c r="M17" s="61" t="s">
        <v>4</v>
      </c>
      <c r="N17" s="61" t="s">
        <v>4</v>
      </c>
      <c r="O17" s="61" t="s">
        <v>4</v>
      </c>
      <c r="P17" s="61" t="s">
        <v>4</v>
      </c>
      <c r="Q17" s="61" t="s">
        <v>4</v>
      </c>
      <c r="R17" s="44"/>
      <c r="S17" s="44"/>
      <c r="T17" s="44"/>
      <c r="U17" s="44"/>
    </row>
    <row r="18" spans="1:21" s="12" customFormat="1" x14ac:dyDescent="0.25">
      <c r="A18" s="60" t="s">
        <v>311</v>
      </c>
      <c r="B18" s="61" t="s">
        <v>4</v>
      </c>
      <c r="C18" s="61" t="s">
        <v>4</v>
      </c>
      <c r="D18" s="61" t="s">
        <v>4</v>
      </c>
      <c r="E18" s="61" t="s">
        <v>4</v>
      </c>
      <c r="F18" s="61" t="s">
        <v>4</v>
      </c>
      <c r="G18" s="61" t="s">
        <v>4</v>
      </c>
      <c r="H18" s="61" t="s">
        <v>4</v>
      </c>
      <c r="I18" s="61" t="s">
        <v>4</v>
      </c>
      <c r="J18" s="61" t="s">
        <v>4</v>
      </c>
      <c r="K18" s="61" t="s">
        <v>4</v>
      </c>
      <c r="L18" s="61" t="s">
        <v>4</v>
      </c>
      <c r="M18" s="61" t="s">
        <v>4</v>
      </c>
      <c r="N18" s="61" t="s">
        <v>4</v>
      </c>
      <c r="O18" s="61" t="s">
        <v>4</v>
      </c>
      <c r="P18" s="61" t="s">
        <v>4</v>
      </c>
      <c r="Q18" s="61" t="s">
        <v>4</v>
      </c>
      <c r="R18" s="44"/>
      <c r="S18" s="44"/>
      <c r="T18" s="44"/>
      <c r="U18" s="44"/>
    </row>
    <row r="19" spans="1:21" s="12" customFormat="1" x14ac:dyDescent="0.25">
      <c r="A19" s="60" t="s">
        <v>312</v>
      </c>
      <c r="B19" s="61" t="s">
        <v>4</v>
      </c>
      <c r="C19" s="61" t="s">
        <v>4</v>
      </c>
      <c r="D19" s="61" t="s">
        <v>4</v>
      </c>
      <c r="E19" s="61" t="s">
        <v>4</v>
      </c>
      <c r="F19" s="61" t="s">
        <v>4</v>
      </c>
      <c r="G19" s="61" t="s">
        <v>4</v>
      </c>
      <c r="H19" s="61" t="s">
        <v>4</v>
      </c>
      <c r="I19" s="61" t="s">
        <v>4</v>
      </c>
      <c r="J19" s="61" t="s">
        <v>4</v>
      </c>
      <c r="K19" s="61" t="s">
        <v>4</v>
      </c>
      <c r="L19" s="61" t="s">
        <v>4</v>
      </c>
      <c r="M19" s="61" t="s">
        <v>4</v>
      </c>
      <c r="N19" s="61" t="s">
        <v>4</v>
      </c>
      <c r="O19" s="61" t="s">
        <v>4</v>
      </c>
      <c r="P19" s="61" t="s">
        <v>4</v>
      </c>
      <c r="Q19" s="61" t="s">
        <v>4</v>
      </c>
      <c r="R19" s="44"/>
      <c r="S19" s="44"/>
      <c r="T19" s="44"/>
      <c r="U19" s="44"/>
    </row>
    <row r="20" spans="1:21" s="12" customFormat="1" x14ac:dyDescent="0.25">
      <c r="A20" s="60" t="s">
        <v>313</v>
      </c>
      <c r="B20" s="61" t="s">
        <v>4</v>
      </c>
      <c r="C20" s="61" t="s">
        <v>4</v>
      </c>
      <c r="D20" s="61" t="s">
        <v>4</v>
      </c>
      <c r="E20" s="61" t="s">
        <v>4</v>
      </c>
      <c r="F20" s="61" t="s">
        <v>4</v>
      </c>
      <c r="G20" s="61" t="s">
        <v>4</v>
      </c>
      <c r="H20" s="61" t="s">
        <v>4</v>
      </c>
      <c r="I20" s="61" t="s">
        <v>4</v>
      </c>
      <c r="J20" s="61" t="s">
        <v>4</v>
      </c>
      <c r="K20" s="61" t="s">
        <v>4</v>
      </c>
      <c r="L20" s="61" t="s">
        <v>4</v>
      </c>
      <c r="M20" s="61" t="s">
        <v>4</v>
      </c>
      <c r="N20" s="61" t="s">
        <v>4</v>
      </c>
      <c r="O20" s="61" t="s">
        <v>4</v>
      </c>
      <c r="P20" s="61" t="s">
        <v>4</v>
      </c>
      <c r="Q20" s="61" t="s">
        <v>4</v>
      </c>
      <c r="R20" s="44"/>
      <c r="S20" s="44"/>
      <c r="T20" s="44"/>
      <c r="U20" s="44"/>
    </row>
    <row r="21" spans="1:21" s="12" customFormat="1" x14ac:dyDescent="0.25">
      <c r="A21" s="60" t="s">
        <v>314</v>
      </c>
      <c r="B21" s="61" t="s">
        <v>4</v>
      </c>
      <c r="C21" s="61" t="s">
        <v>4</v>
      </c>
      <c r="D21" s="61" t="s">
        <v>4</v>
      </c>
      <c r="E21" s="61" t="s">
        <v>4</v>
      </c>
      <c r="F21" s="61" t="s">
        <v>4</v>
      </c>
      <c r="G21" s="61" t="s">
        <v>4</v>
      </c>
      <c r="H21" s="61" t="s">
        <v>4</v>
      </c>
      <c r="I21" s="61" t="s">
        <v>4</v>
      </c>
      <c r="J21" s="61" t="s">
        <v>4</v>
      </c>
      <c r="K21" s="61" t="s">
        <v>4</v>
      </c>
      <c r="L21" s="61" t="s">
        <v>4</v>
      </c>
      <c r="M21" s="61" t="s">
        <v>4</v>
      </c>
      <c r="N21" s="61" t="s">
        <v>4</v>
      </c>
      <c r="O21" s="61" t="s">
        <v>4</v>
      </c>
      <c r="P21" s="61" t="s">
        <v>4</v>
      </c>
      <c r="Q21" s="61" t="s">
        <v>4</v>
      </c>
      <c r="R21" s="44"/>
      <c r="S21" s="44"/>
      <c r="T21" s="44"/>
      <c r="U21" s="44"/>
    </row>
    <row r="22" spans="1:21" s="12" customFormat="1" x14ac:dyDescent="0.25">
      <c r="A22" s="60" t="s">
        <v>315</v>
      </c>
      <c r="B22" s="61" t="s">
        <v>4</v>
      </c>
      <c r="C22" s="61" t="s">
        <v>4</v>
      </c>
      <c r="D22" s="61" t="s">
        <v>4</v>
      </c>
      <c r="E22" s="61" t="s">
        <v>4</v>
      </c>
      <c r="F22" s="61" t="s">
        <v>4</v>
      </c>
      <c r="G22" s="61" t="s">
        <v>4</v>
      </c>
      <c r="H22" s="61" t="s">
        <v>4</v>
      </c>
      <c r="I22" s="61" t="s">
        <v>4</v>
      </c>
      <c r="J22" s="61" t="s">
        <v>4</v>
      </c>
      <c r="K22" s="61" t="s">
        <v>4</v>
      </c>
      <c r="L22" s="61" t="s">
        <v>4</v>
      </c>
      <c r="M22" s="61" t="s">
        <v>4</v>
      </c>
      <c r="N22" s="61" t="s">
        <v>4</v>
      </c>
      <c r="O22" s="61" t="s">
        <v>4</v>
      </c>
      <c r="P22" s="61" t="s">
        <v>4</v>
      </c>
      <c r="Q22" s="61" t="s">
        <v>4</v>
      </c>
      <c r="R22" s="44"/>
      <c r="S22" s="44"/>
      <c r="T22" s="44"/>
      <c r="U22" s="44"/>
    </row>
    <row r="23" spans="1:21" s="12" customFormat="1" x14ac:dyDescent="0.25">
      <c r="A23" s="60" t="s">
        <v>316</v>
      </c>
      <c r="B23" s="61" t="s">
        <v>4</v>
      </c>
      <c r="C23" s="61" t="s">
        <v>4</v>
      </c>
      <c r="D23" s="61" t="s">
        <v>4</v>
      </c>
      <c r="E23" s="61" t="s">
        <v>4</v>
      </c>
      <c r="F23" s="61" t="s">
        <v>4</v>
      </c>
      <c r="G23" s="61" t="s">
        <v>4</v>
      </c>
      <c r="H23" s="61" t="s">
        <v>4</v>
      </c>
      <c r="I23" s="61" t="s">
        <v>4</v>
      </c>
      <c r="J23" s="61" t="s">
        <v>4</v>
      </c>
      <c r="K23" s="61" t="s">
        <v>4</v>
      </c>
      <c r="L23" s="61" t="s">
        <v>4</v>
      </c>
      <c r="M23" s="61" t="s">
        <v>4</v>
      </c>
      <c r="N23" s="61" t="s">
        <v>4</v>
      </c>
      <c r="O23" s="61" t="s">
        <v>4</v>
      </c>
      <c r="P23" s="61" t="s">
        <v>4</v>
      </c>
      <c r="Q23" s="61" t="s">
        <v>4</v>
      </c>
      <c r="R23" s="44"/>
      <c r="S23" s="44"/>
      <c r="T23" s="44"/>
      <c r="U23" s="44"/>
    </row>
    <row r="24" spans="1:21" s="12" customFormat="1" x14ac:dyDescent="0.25">
      <c r="A24" s="60" t="s">
        <v>317</v>
      </c>
      <c r="B24" s="61" t="s">
        <v>4</v>
      </c>
      <c r="C24" s="61" t="s">
        <v>4</v>
      </c>
      <c r="D24" s="61" t="s">
        <v>4</v>
      </c>
      <c r="E24" s="61" t="s">
        <v>4</v>
      </c>
      <c r="F24" s="61" t="s">
        <v>4</v>
      </c>
      <c r="G24" s="61" t="s">
        <v>4</v>
      </c>
      <c r="H24" s="61" t="s">
        <v>4</v>
      </c>
      <c r="I24" s="61" t="s">
        <v>4</v>
      </c>
      <c r="J24" s="61" t="s">
        <v>4</v>
      </c>
      <c r="K24" s="61" t="s">
        <v>4</v>
      </c>
      <c r="L24" s="61" t="s">
        <v>4</v>
      </c>
      <c r="M24" s="61" t="s">
        <v>4</v>
      </c>
      <c r="N24" s="61" t="s">
        <v>4</v>
      </c>
      <c r="O24" s="61" t="s">
        <v>4</v>
      </c>
      <c r="P24" s="61" t="s">
        <v>4</v>
      </c>
      <c r="Q24" s="61" t="s">
        <v>4</v>
      </c>
      <c r="R24" s="44"/>
      <c r="S24" s="44"/>
      <c r="T24" s="44"/>
      <c r="U24" s="44"/>
    </row>
    <row r="25" spans="1:21" s="12" customFormat="1" x14ac:dyDescent="0.25">
      <c r="A25" s="60" t="s">
        <v>318</v>
      </c>
      <c r="B25" s="61" t="s">
        <v>4</v>
      </c>
      <c r="C25" s="61" t="s">
        <v>4</v>
      </c>
      <c r="D25" s="61" t="s">
        <v>4</v>
      </c>
      <c r="E25" s="61" t="s">
        <v>4</v>
      </c>
      <c r="F25" s="61" t="s">
        <v>4</v>
      </c>
      <c r="G25" s="61" t="s">
        <v>4</v>
      </c>
      <c r="H25" s="61" t="s">
        <v>4</v>
      </c>
      <c r="I25" s="61" t="s">
        <v>4</v>
      </c>
      <c r="J25" s="61" t="s">
        <v>4</v>
      </c>
      <c r="K25" s="61" t="s">
        <v>4</v>
      </c>
      <c r="L25" s="61" t="s">
        <v>4</v>
      </c>
      <c r="M25" s="61" t="s">
        <v>4</v>
      </c>
      <c r="N25" s="61" t="s">
        <v>4</v>
      </c>
      <c r="O25" s="61" t="s">
        <v>4</v>
      </c>
      <c r="P25" s="61" t="s">
        <v>4</v>
      </c>
      <c r="Q25" s="61" t="s">
        <v>4</v>
      </c>
      <c r="R25" s="44"/>
      <c r="S25" s="44"/>
      <c r="T25" s="44"/>
      <c r="U25" s="44"/>
    </row>
    <row r="26" spans="1:21" s="12" customFormat="1" x14ac:dyDescent="0.25">
      <c r="A26" s="60" t="s">
        <v>319</v>
      </c>
      <c r="B26" s="61" t="s">
        <v>4</v>
      </c>
      <c r="C26" s="61" t="s">
        <v>4</v>
      </c>
      <c r="D26" s="61" t="s">
        <v>4</v>
      </c>
      <c r="E26" s="61" t="s">
        <v>4</v>
      </c>
      <c r="F26" s="61" t="s">
        <v>4</v>
      </c>
      <c r="G26" s="61" t="s">
        <v>4</v>
      </c>
      <c r="H26" s="61" t="s">
        <v>4</v>
      </c>
      <c r="I26" s="61" t="s">
        <v>4</v>
      </c>
      <c r="J26" s="61" t="s">
        <v>4</v>
      </c>
      <c r="K26" s="61" t="s">
        <v>4</v>
      </c>
      <c r="L26" s="61" t="s">
        <v>4</v>
      </c>
      <c r="M26" s="61" t="s">
        <v>4</v>
      </c>
      <c r="N26" s="61" t="s">
        <v>4</v>
      </c>
      <c r="O26" s="61" t="s">
        <v>4</v>
      </c>
      <c r="P26" s="61" t="s">
        <v>4</v>
      </c>
      <c r="Q26" s="61" t="s">
        <v>4</v>
      </c>
      <c r="R26" s="44"/>
      <c r="S26" s="44"/>
      <c r="T26" s="44"/>
      <c r="U26" s="44"/>
    </row>
    <row r="27" spans="1:21" s="12" customFormat="1" x14ac:dyDescent="0.25">
      <c r="A27" s="60" t="s">
        <v>320</v>
      </c>
      <c r="B27" s="61" t="s">
        <v>4</v>
      </c>
      <c r="C27" s="61" t="s">
        <v>4</v>
      </c>
      <c r="D27" s="61" t="s">
        <v>4</v>
      </c>
      <c r="E27" s="61" t="s">
        <v>4</v>
      </c>
      <c r="F27" s="61" t="s">
        <v>4</v>
      </c>
      <c r="G27" s="61" t="s">
        <v>4</v>
      </c>
      <c r="H27" s="61" t="s">
        <v>4</v>
      </c>
      <c r="I27" s="61" t="s">
        <v>4</v>
      </c>
      <c r="J27" s="61" t="s">
        <v>4</v>
      </c>
      <c r="K27" s="61" t="s">
        <v>4</v>
      </c>
      <c r="L27" s="61" t="s">
        <v>4</v>
      </c>
      <c r="M27" s="61" t="s">
        <v>4</v>
      </c>
      <c r="N27" s="61" t="s">
        <v>4</v>
      </c>
      <c r="O27" s="61" t="s">
        <v>4</v>
      </c>
      <c r="P27" s="61" t="s">
        <v>4</v>
      </c>
      <c r="Q27" s="61" t="s">
        <v>4</v>
      </c>
      <c r="R27" s="44"/>
      <c r="S27" s="44"/>
      <c r="T27" s="44"/>
      <c r="U27" s="44"/>
    </row>
    <row r="28" spans="1:21" s="12" customFormat="1" x14ac:dyDescent="0.25">
      <c r="A28" s="60" t="s">
        <v>321</v>
      </c>
      <c r="B28" s="61" t="s">
        <v>4</v>
      </c>
      <c r="C28" s="61" t="s">
        <v>4</v>
      </c>
      <c r="D28" s="61" t="s">
        <v>4</v>
      </c>
      <c r="E28" s="61" t="s">
        <v>4</v>
      </c>
      <c r="F28" s="61" t="s">
        <v>4</v>
      </c>
      <c r="G28" s="61" t="s">
        <v>4</v>
      </c>
      <c r="H28" s="61" t="s">
        <v>4</v>
      </c>
      <c r="I28" s="61" t="s">
        <v>4</v>
      </c>
      <c r="J28" s="61" t="s">
        <v>4</v>
      </c>
      <c r="K28" s="61" t="s">
        <v>4</v>
      </c>
      <c r="L28" s="61" t="s">
        <v>4</v>
      </c>
      <c r="M28" s="61" t="s">
        <v>4</v>
      </c>
      <c r="N28" s="61" t="s">
        <v>4</v>
      </c>
      <c r="O28" s="61" t="s">
        <v>4</v>
      </c>
      <c r="P28" s="61" t="s">
        <v>4</v>
      </c>
      <c r="Q28" s="61" t="s">
        <v>4</v>
      </c>
      <c r="R28" s="44"/>
      <c r="S28" s="44"/>
      <c r="T28" s="44"/>
      <c r="U28" s="44"/>
    </row>
    <row r="29" spans="1:21" s="12" customFormat="1" x14ac:dyDescent="0.25">
      <c r="A29" s="60" t="s">
        <v>322</v>
      </c>
      <c r="B29" s="61" t="s">
        <v>4</v>
      </c>
      <c r="C29" s="61" t="s">
        <v>4</v>
      </c>
      <c r="D29" s="61" t="s">
        <v>4</v>
      </c>
      <c r="E29" s="61" t="s">
        <v>4</v>
      </c>
      <c r="F29" s="61" t="s">
        <v>4</v>
      </c>
      <c r="G29" s="61" t="s">
        <v>4</v>
      </c>
      <c r="H29" s="61" t="s">
        <v>4</v>
      </c>
      <c r="I29" s="61" t="s">
        <v>4</v>
      </c>
      <c r="J29" s="61" t="s">
        <v>4</v>
      </c>
      <c r="K29" s="61" t="s">
        <v>4</v>
      </c>
      <c r="L29" s="61" t="s">
        <v>4</v>
      </c>
      <c r="M29" s="61" t="s">
        <v>4</v>
      </c>
      <c r="N29" s="61" t="s">
        <v>4</v>
      </c>
      <c r="O29" s="61" t="s">
        <v>4</v>
      </c>
      <c r="P29" s="61" t="s">
        <v>4</v>
      </c>
      <c r="Q29" s="61" t="s">
        <v>4</v>
      </c>
      <c r="R29" s="44"/>
      <c r="S29" s="44"/>
      <c r="T29" s="44"/>
      <c r="U29" s="44"/>
    </row>
    <row r="30" spans="1:21" s="12" customFormat="1" x14ac:dyDescent="0.25">
      <c r="A30" s="60" t="s">
        <v>323</v>
      </c>
      <c r="B30" s="61" t="s">
        <v>4</v>
      </c>
      <c r="C30" s="61" t="s">
        <v>4</v>
      </c>
      <c r="D30" s="61" t="s">
        <v>4</v>
      </c>
      <c r="E30" s="61" t="s">
        <v>4</v>
      </c>
      <c r="F30" s="61" t="s">
        <v>4</v>
      </c>
      <c r="G30" s="61" t="s">
        <v>4</v>
      </c>
      <c r="H30" s="61" t="s">
        <v>4</v>
      </c>
      <c r="I30" s="61" t="s">
        <v>4</v>
      </c>
      <c r="J30" s="61" t="s">
        <v>4</v>
      </c>
      <c r="K30" s="61" t="s">
        <v>4</v>
      </c>
      <c r="L30" s="61" t="s">
        <v>4</v>
      </c>
      <c r="M30" s="61" t="s">
        <v>4</v>
      </c>
      <c r="N30" s="61" t="s">
        <v>4</v>
      </c>
      <c r="O30" s="61" t="s">
        <v>4</v>
      </c>
      <c r="P30" s="61" t="s">
        <v>4</v>
      </c>
      <c r="Q30" s="61" t="s">
        <v>4</v>
      </c>
      <c r="R30" s="44"/>
      <c r="S30" s="44"/>
      <c r="T30" s="44"/>
      <c r="U30" s="44"/>
    </row>
    <row r="31" spans="1:21" s="12" customFormat="1" x14ac:dyDescent="0.25">
      <c r="A31" s="60" t="s">
        <v>324</v>
      </c>
      <c r="B31" s="61" t="s">
        <v>4</v>
      </c>
      <c r="C31" s="61" t="s">
        <v>4</v>
      </c>
      <c r="D31" s="61" t="s">
        <v>4</v>
      </c>
      <c r="E31" s="61" t="s">
        <v>4</v>
      </c>
      <c r="F31" s="61" t="s">
        <v>4</v>
      </c>
      <c r="G31" s="61" t="s">
        <v>4</v>
      </c>
      <c r="H31" s="61" t="s">
        <v>4</v>
      </c>
      <c r="I31" s="61" t="s">
        <v>4</v>
      </c>
      <c r="J31" s="61" t="s">
        <v>4</v>
      </c>
      <c r="K31" s="61" t="s">
        <v>4</v>
      </c>
      <c r="L31" s="61" t="s">
        <v>4</v>
      </c>
      <c r="M31" s="61" t="s">
        <v>4</v>
      </c>
      <c r="N31" s="61" t="s">
        <v>4</v>
      </c>
      <c r="O31" s="61" t="s">
        <v>4</v>
      </c>
      <c r="P31" s="61" t="s">
        <v>4</v>
      </c>
      <c r="Q31" s="61" t="s">
        <v>4</v>
      </c>
      <c r="R31" s="44"/>
      <c r="S31" s="44"/>
      <c r="T31" s="44"/>
      <c r="U31" s="44"/>
    </row>
    <row r="32" spans="1:21" s="12" customFormat="1" x14ac:dyDescent="0.25">
      <c r="A32" s="60" t="s">
        <v>325</v>
      </c>
      <c r="B32" s="61" t="s">
        <v>4</v>
      </c>
      <c r="C32" s="61" t="s">
        <v>4</v>
      </c>
      <c r="D32" s="61" t="s">
        <v>4</v>
      </c>
      <c r="E32" s="61" t="s">
        <v>4</v>
      </c>
      <c r="F32" s="61" t="s">
        <v>4</v>
      </c>
      <c r="G32" s="61" t="s">
        <v>4</v>
      </c>
      <c r="H32" s="61" t="s">
        <v>4</v>
      </c>
      <c r="I32" s="61" t="s">
        <v>4</v>
      </c>
      <c r="J32" s="61" t="s">
        <v>4</v>
      </c>
      <c r="K32" s="61" t="s">
        <v>4</v>
      </c>
      <c r="L32" s="61" t="s">
        <v>4</v>
      </c>
      <c r="M32" s="61" t="s">
        <v>4</v>
      </c>
      <c r="N32" s="61" t="s">
        <v>4</v>
      </c>
      <c r="O32" s="61" t="s">
        <v>4</v>
      </c>
      <c r="P32" s="61" t="s">
        <v>4</v>
      </c>
      <c r="Q32" s="61" t="s">
        <v>4</v>
      </c>
      <c r="R32" s="44"/>
      <c r="S32" s="44"/>
      <c r="T32" s="44"/>
      <c r="U32" s="44"/>
    </row>
    <row r="33" spans="1:21" s="22" customFormat="1" x14ac:dyDescent="0.25">
      <c r="A33" s="27"/>
      <c r="B33" s="21"/>
      <c r="C33" s="21"/>
      <c r="D33" s="21"/>
      <c r="E33" s="21"/>
      <c r="F33" s="21"/>
      <c r="G33" s="27"/>
      <c r="H33" s="27"/>
      <c r="I33" s="27"/>
      <c r="J33" s="21"/>
      <c r="K33" s="21"/>
      <c r="L33" s="27"/>
      <c r="M33" s="27"/>
      <c r="N33" s="27"/>
      <c r="O33" s="27"/>
      <c r="P33" s="27"/>
      <c r="Q33" s="21"/>
      <c r="R33" s="21"/>
      <c r="S33" s="21"/>
      <c r="T33" s="21"/>
      <c r="U33" s="21"/>
    </row>
    <row r="34" spans="1:21" s="22" customFormat="1" x14ac:dyDescent="0.25">
      <c r="A34" s="28" t="s">
        <v>30</v>
      </c>
      <c r="B34" s="29">
        <f t="shared" ref="B34:Q34" si="0">MIN(B9:B32)</f>
        <v>0</v>
      </c>
      <c r="C34" s="29">
        <f t="shared" si="0"/>
        <v>0</v>
      </c>
      <c r="D34" s="29">
        <f t="shared" si="0"/>
        <v>0</v>
      </c>
      <c r="E34" s="29">
        <f t="shared" si="0"/>
        <v>0</v>
      </c>
      <c r="F34" s="29">
        <f t="shared" si="0"/>
        <v>0</v>
      </c>
      <c r="G34" s="29">
        <f t="shared" si="0"/>
        <v>0</v>
      </c>
      <c r="H34" s="29">
        <f t="shared" si="0"/>
        <v>0</v>
      </c>
      <c r="I34" s="29">
        <f t="shared" si="0"/>
        <v>0</v>
      </c>
      <c r="J34" s="29">
        <f t="shared" si="0"/>
        <v>0</v>
      </c>
      <c r="K34" s="29">
        <f t="shared" si="0"/>
        <v>0</v>
      </c>
      <c r="L34" s="29">
        <f t="shared" si="0"/>
        <v>0</v>
      </c>
      <c r="M34" s="29">
        <f t="shared" si="0"/>
        <v>0</v>
      </c>
      <c r="N34" s="29">
        <f t="shared" si="0"/>
        <v>0</v>
      </c>
      <c r="O34" s="29">
        <f t="shared" si="0"/>
        <v>0</v>
      </c>
      <c r="P34" s="29">
        <f t="shared" si="0"/>
        <v>0</v>
      </c>
      <c r="Q34" s="29">
        <f t="shared" si="0"/>
        <v>0</v>
      </c>
      <c r="R34" s="29"/>
      <c r="S34" s="29"/>
      <c r="T34" s="29"/>
      <c r="U34" s="29"/>
    </row>
    <row r="35" spans="1:21" s="22" customFormat="1" x14ac:dyDescent="0.25">
      <c r="A35" s="28" t="s">
        <v>31</v>
      </c>
      <c r="B35" s="30">
        <f t="shared" ref="B35:Q35" si="1">MAX(B9:B32)</f>
        <v>0</v>
      </c>
      <c r="C35" s="30">
        <f t="shared" si="1"/>
        <v>0</v>
      </c>
      <c r="D35" s="30">
        <f t="shared" si="1"/>
        <v>0</v>
      </c>
      <c r="E35" s="30">
        <f t="shared" si="1"/>
        <v>0</v>
      </c>
      <c r="F35" s="30">
        <f t="shared" si="1"/>
        <v>0</v>
      </c>
      <c r="G35" s="30">
        <f t="shared" si="1"/>
        <v>0</v>
      </c>
      <c r="H35" s="30">
        <f t="shared" si="1"/>
        <v>0</v>
      </c>
      <c r="I35" s="30">
        <f t="shared" si="1"/>
        <v>0</v>
      </c>
      <c r="J35" s="30">
        <f t="shared" si="1"/>
        <v>0</v>
      </c>
      <c r="K35" s="30">
        <f t="shared" si="1"/>
        <v>0</v>
      </c>
      <c r="L35" s="30">
        <f t="shared" si="1"/>
        <v>0</v>
      </c>
      <c r="M35" s="30">
        <f t="shared" si="1"/>
        <v>0</v>
      </c>
      <c r="N35" s="30">
        <f t="shared" si="1"/>
        <v>0</v>
      </c>
      <c r="O35" s="30">
        <f t="shared" si="1"/>
        <v>0</v>
      </c>
      <c r="P35" s="30">
        <f t="shared" si="1"/>
        <v>0</v>
      </c>
      <c r="Q35" s="30">
        <f t="shared" si="1"/>
        <v>0</v>
      </c>
      <c r="R35" s="30"/>
      <c r="S35" s="30"/>
      <c r="T35" s="30"/>
      <c r="U35" s="30"/>
    </row>
    <row r="36" spans="1:21" s="22" customFormat="1" x14ac:dyDescent="0.25">
      <c r="A36" s="28" t="s">
        <v>32</v>
      </c>
      <c r="B36" s="29" t="e">
        <f t="shared" ref="B36:Q36" si="2">AVERAGE(B9:B32)</f>
        <v>#DIV/0!</v>
      </c>
      <c r="C36" s="29" t="e">
        <f t="shared" si="2"/>
        <v>#DIV/0!</v>
      </c>
      <c r="D36" s="29" t="e">
        <f t="shared" si="2"/>
        <v>#DIV/0!</v>
      </c>
      <c r="E36" s="29" t="e">
        <f t="shared" si="2"/>
        <v>#DIV/0!</v>
      </c>
      <c r="F36" s="29" t="e">
        <f t="shared" si="2"/>
        <v>#DIV/0!</v>
      </c>
      <c r="G36" s="29" t="e">
        <f t="shared" si="2"/>
        <v>#DIV/0!</v>
      </c>
      <c r="H36" s="29" t="e">
        <f t="shared" si="2"/>
        <v>#DIV/0!</v>
      </c>
      <c r="I36" s="29" t="e">
        <f t="shared" si="2"/>
        <v>#DIV/0!</v>
      </c>
      <c r="J36" s="29" t="e">
        <f t="shared" si="2"/>
        <v>#DIV/0!</v>
      </c>
      <c r="K36" s="29" t="e">
        <f t="shared" si="2"/>
        <v>#DIV/0!</v>
      </c>
      <c r="L36" s="29" t="e">
        <f t="shared" si="2"/>
        <v>#DIV/0!</v>
      </c>
      <c r="M36" s="29" t="e">
        <f t="shared" si="2"/>
        <v>#DIV/0!</v>
      </c>
      <c r="N36" s="29" t="e">
        <f t="shared" si="2"/>
        <v>#DIV/0!</v>
      </c>
      <c r="O36" s="29" t="e">
        <f t="shared" si="2"/>
        <v>#DIV/0!</v>
      </c>
      <c r="P36" s="29" t="e">
        <f t="shared" si="2"/>
        <v>#DIV/0!</v>
      </c>
      <c r="Q36" s="29" t="e">
        <f t="shared" si="2"/>
        <v>#DIV/0!</v>
      </c>
      <c r="R36" s="29"/>
      <c r="S36" s="29"/>
      <c r="T36" s="29"/>
      <c r="U36" s="29"/>
    </row>
    <row r="37" spans="1:21" s="22" customFormat="1" x14ac:dyDescent="0.25">
      <c r="A37" s="28" t="s">
        <v>38</v>
      </c>
      <c r="B37" s="29" t="e">
        <f>STDEV(B9:B32)</f>
        <v>#DIV/0!</v>
      </c>
      <c r="C37" s="29" t="e">
        <f t="shared" ref="C37:Q37" si="3">STDEV(C9:C32)</f>
        <v>#DIV/0!</v>
      </c>
      <c r="D37" s="29" t="e">
        <f t="shared" si="3"/>
        <v>#DIV/0!</v>
      </c>
      <c r="E37" s="29" t="e">
        <f t="shared" si="3"/>
        <v>#DIV/0!</v>
      </c>
      <c r="F37" s="29" t="e">
        <f t="shared" si="3"/>
        <v>#DIV/0!</v>
      </c>
      <c r="G37" s="29" t="e">
        <f t="shared" si="3"/>
        <v>#DIV/0!</v>
      </c>
      <c r="H37" s="29" t="e">
        <f t="shared" si="3"/>
        <v>#DIV/0!</v>
      </c>
      <c r="I37" s="29" t="e">
        <f t="shared" si="3"/>
        <v>#DIV/0!</v>
      </c>
      <c r="J37" s="29" t="e">
        <f t="shared" si="3"/>
        <v>#DIV/0!</v>
      </c>
      <c r="K37" s="29" t="e">
        <f t="shared" si="3"/>
        <v>#DIV/0!</v>
      </c>
      <c r="L37" s="29" t="e">
        <f t="shared" si="3"/>
        <v>#DIV/0!</v>
      </c>
      <c r="M37" s="29" t="e">
        <f t="shared" si="3"/>
        <v>#DIV/0!</v>
      </c>
      <c r="N37" s="29" t="e">
        <f t="shared" si="3"/>
        <v>#DIV/0!</v>
      </c>
      <c r="O37" s="29" t="e">
        <f t="shared" si="3"/>
        <v>#DIV/0!</v>
      </c>
      <c r="P37" s="29" t="e">
        <f t="shared" si="3"/>
        <v>#DIV/0!</v>
      </c>
      <c r="Q37" s="29" t="e">
        <f t="shared" si="3"/>
        <v>#DIV/0!</v>
      </c>
      <c r="R37" s="29"/>
      <c r="S37" s="29"/>
      <c r="T37" s="29"/>
      <c r="U37" s="29"/>
    </row>
    <row r="38" spans="1:21" s="22" customFormat="1" x14ac:dyDescent="0.25">
      <c r="A38" s="32" t="s">
        <v>33</v>
      </c>
      <c r="B38" s="33">
        <f>COUNT(B9:B32)+24</f>
        <v>24</v>
      </c>
      <c r="C38" s="33">
        <f t="shared" ref="C38:Q38" si="4">COUNT(C9:C32)+24</f>
        <v>24</v>
      </c>
      <c r="D38" s="33">
        <f t="shared" si="4"/>
        <v>24</v>
      </c>
      <c r="E38" s="33">
        <f t="shared" si="4"/>
        <v>24</v>
      </c>
      <c r="F38" s="33">
        <f t="shared" si="4"/>
        <v>24</v>
      </c>
      <c r="G38" s="33">
        <f t="shared" si="4"/>
        <v>24</v>
      </c>
      <c r="H38" s="33">
        <f t="shared" si="4"/>
        <v>24</v>
      </c>
      <c r="I38" s="33">
        <f t="shared" si="4"/>
        <v>24</v>
      </c>
      <c r="J38" s="33">
        <f t="shared" si="4"/>
        <v>24</v>
      </c>
      <c r="K38" s="33">
        <f t="shared" si="4"/>
        <v>24</v>
      </c>
      <c r="L38" s="33">
        <f t="shared" si="4"/>
        <v>24</v>
      </c>
      <c r="M38" s="33">
        <f t="shared" si="4"/>
        <v>24</v>
      </c>
      <c r="N38" s="33">
        <f t="shared" si="4"/>
        <v>24</v>
      </c>
      <c r="O38" s="33">
        <f t="shared" si="4"/>
        <v>24</v>
      </c>
      <c r="P38" s="33">
        <f t="shared" si="4"/>
        <v>24</v>
      </c>
      <c r="Q38" s="33">
        <f t="shared" si="4"/>
        <v>24</v>
      </c>
      <c r="R38" s="33"/>
      <c r="S38" s="33"/>
      <c r="T38" s="33"/>
      <c r="U38" s="33"/>
    </row>
    <row r="39" spans="1:21" s="22" customFormat="1" x14ac:dyDescent="0.25">
      <c r="A39" s="28" t="s">
        <v>34</v>
      </c>
      <c r="B39" s="30" t="str">
        <f>IF(B38&gt;=22,"&gt;90%",IF(B38&lt;=22,"&lt;90%"))</f>
        <v>&gt;90%</v>
      </c>
      <c r="C39" s="30" t="str">
        <f t="shared" ref="C39:P39" si="5">IF(C38&gt;=22,"&gt;90%",IF(C38&lt;=22,"&lt;90%"))</f>
        <v>&gt;90%</v>
      </c>
      <c r="D39" s="30" t="str">
        <f t="shared" si="5"/>
        <v>&gt;90%</v>
      </c>
      <c r="E39" s="30" t="str">
        <f t="shared" si="5"/>
        <v>&gt;90%</v>
      </c>
      <c r="F39" s="30" t="str">
        <f t="shared" si="5"/>
        <v>&gt;90%</v>
      </c>
      <c r="G39" s="30" t="str">
        <f t="shared" si="5"/>
        <v>&gt;90%</v>
      </c>
      <c r="H39" s="30" t="str">
        <f t="shared" si="5"/>
        <v>&gt;90%</v>
      </c>
      <c r="I39" s="30" t="str">
        <f t="shared" si="5"/>
        <v>&gt;90%</v>
      </c>
      <c r="J39" s="30" t="str">
        <f t="shared" si="5"/>
        <v>&gt;90%</v>
      </c>
      <c r="K39" s="30" t="str">
        <f t="shared" si="5"/>
        <v>&gt;90%</v>
      </c>
      <c r="L39" s="30" t="str">
        <f t="shared" si="5"/>
        <v>&gt;90%</v>
      </c>
      <c r="M39" s="30" t="str">
        <f t="shared" si="5"/>
        <v>&gt;90%</v>
      </c>
      <c r="N39" s="30" t="str">
        <f t="shared" si="5"/>
        <v>&gt;90%</v>
      </c>
      <c r="O39" s="30" t="str">
        <f t="shared" si="5"/>
        <v>&gt;90%</v>
      </c>
      <c r="P39" s="30" t="str">
        <f t="shared" si="5"/>
        <v>&gt;90%</v>
      </c>
      <c r="Q39" s="30" t="str">
        <f>IF(Q38&gt;=22,"&gt;90%",IF(Q38&lt;=22,"&lt;90%"))</f>
        <v>&gt;90%</v>
      </c>
      <c r="R39" s="30"/>
      <c r="S39" s="30"/>
      <c r="T39" s="30"/>
      <c r="U39" s="30"/>
    </row>
    <row r="40" spans="1:21" s="22" customFormat="1" x14ac:dyDescent="0.25">
      <c r="A40" s="28" t="s">
        <v>1</v>
      </c>
      <c r="B40" s="30" t="str">
        <f>IF(B38&gt;=22,"OK",IF(B38&lt;=22,"LESS"))</f>
        <v>OK</v>
      </c>
      <c r="C40" s="30" t="str">
        <f t="shared" ref="C40:Q40" si="6">IF(C38&gt;=22,"OK",IF(C38&lt;=22,"LESS"))</f>
        <v>OK</v>
      </c>
      <c r="D40" s="30" t="str">
        <f t="shared" si="6"/>
        <v>OK</v>
      </c>
      <c r="E40" s="30" t="str">
        <f t="shared" si="6"/>
        <v>OK</v>
      </c>
      <c r="F40" s="30" t="str">
        <f t="shared" si="6"/>
        <v>OK</v>
      </c>
      <c r="G40" s="30" t="str">
        <f t="shared" si="6"/>
        <v>OK</v>
      </c>
      <c r="H40" s="30" t="str">
        <f t="shared" si="6"/>
        <v>OK</v>
      </c>
      <c r="I40" s="30" t="str">
        <f t="shared" si="6"/>
        <v>OK</v>
      </c>
      <c r="J40" s="30" t="str">
        <f t="shared" si="6"/>
        <v>OK</v>
      </c>
      <c r="K40" s="30" t="str">
        <f t="shared" si="6"/>
        <v>OK</v>
      </c>
      <c r="L40" s="30" t="str">
        <f t="shared" si="6"/>
        <v>OK</v>
      </c>
      <c r="M40" s="30" t="str">
        <f t="shared" si="6"/>
        <v>OK</v>
      </c>
      <c r="N40" s="30" t="str">
        <f t="shared" si="6"/>
        <v>OK</v>
      </c>
      <c r="O40" s="30" t="str">
        <f t="shared" si="6"/>
        <v>OK</v>
      </c>
      <c r="P40" s="30" t="str">
        <f t="shared" si="6"/>
        <v>OK</v>
      </c>
      <c r="Q40" s="30" t="str">
        <f t="shared" si="6"/>
        <v>OK</v>
      </c>
      <c r="R40" s="30"/>
      <c r="S40" s="30"/>
      <c r="T40" s="30"/>
      <c r="U40" s="30"/>
    </row>
    <row r="41" spans="1:21" s="22" customFormat="1" x14ac:dyDescent="0.25">
      <c r="A41" s="14"/>
      <c r="L41" s="14"/>
      <c r="N41" s="17"/>
      <c r="O41" s="17"/>
      <c r="P41" s="17"/>
      <c r="Q41" s="17"/>
      <c r="R41" s="17"/>
      <c r="S41" s="17"/>
      <c r="T41" s="17"/>
      <c r="U41" s="17"/>
    </row>
    <row r="42" spans="1:21" s="22" customFormat="1" x14ac:dyDescent="0.25">
      <c r="A42" s="14"/>
    </row>
    <row r="43" spans="1:21" s="22" customFormat="1" x14ac:dyDescent="0.25">
      <c r="A43" s="15" t="s">
        <v>35</v>
      </c>
      <c r="B43" s="41" t="s">
        <v>42</v>
      </c>
      <c r="C43" s="43"/>
    </row>
    <row r="44" spans="1:21" s="22" customFormat="1" x14ac:dyDescent="0.25">
      <c r="A44" s="14"/>
      <c r="D44" s="2"/>
      <c r="E44" s="2"/>
      <c r="F44" s="2"/>
      <c r="G44" s="2"/>
      <c r="H44" s="2"/>
      <c r="I44" s="2"/>
    </row>
    <row r="45" spans="1:21" s="22" customFormat="1" ht="15.75" x14ac:dyDescent="0.25">
      <c r="A45" s="18" t="s">
        <v>36</v>
      </c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</row>
    <row r="46" spans="1:21" s="22" customFormat="1" x14ac:dyDescent="0.25"/>
    <row r="47" spans="1:21" s="22" customFormat="1" x14ac:dyDescent="0.25"/>
    <row r="48" spans="1:21" s="22" customFormat="1" x14ac:dyDescent="0.25"/>
    <row r="49" s="22" customFormat="1" x14ac:dyDescent="0.25"/>
    <row r="50" s="22" customFormat="1" x14ac:dyDescent="0.25"/>
    <row r="51" s="22" customFormat="1" x14ac:dyDescent="0.25"/>
    <row r="52" s="22" customFormat="1" x14ac:dyDescent="0.25"/>
    <row r="53" s="22" customFormat="1" x14ac:dyDescent="0.25"/>
    <row r="54" s="22" customFormat="1" x14ac:dyDescent="0.25"/>
    <row r="55" s="22" customFormat="1" x14ac:dyDescent="0.25"/>
    <row r="56" s="22" customFormat="1" x14ac:dyDescent="0.25"/>
    <row r="57" s="22" customFormat="1" x14ac:dyDescent="0.25"/>
    <row r="58" s="22" customFormat="1" x14ac:dyDescent="0.25"/>
    <row r="59" s="22" customFormat="1" x14ac:dyDescent="0.25"/>
    <row r="60" s="22" customFormat="1" x14ac:dyDescent="0.25"/>
    <row r="61" s="22" customFormat="1" x14ac:dyDescent="0.25"/>
    <row r="62" s="22" customFormat="1" x14ac:dyDescent="0.25"/>
    <row r="63" s="22" customFormat="1" x14ac:dyDescent="0.25"/>
    <row r="64" s="22" customFormat="1" x14ac:dyDescent="0.25"/>
    <row r="65" s="22" customFormat="1" x14ac:dyDescent="0.25"/>
    <row r="66" s="22" customFormat="1" x14ac:dyDescent="0.25"/>
    <row r="67" s="22" customFormat="1" x14ac:dyDescent="0.25"/>
    <row r="68" s="22" customFormat="1" x14ac:dyDescent="0.25"/>
    <row r="69" s="22" customFormat="1" x14ac:dyDescent="0.25"/>
    <row r="70" s="22" customFormat="1" x14ac:dyDescent="0.25"/>
    <row r="71" s="22" customFormat="1" x14ac:dyDescent="0.25"/>
    <row r="72" s="22" customFormat="1" x14ac:dyDescent="0.25"/>
    <row r="73" s="22" customFormat="1" x14ac:dyDescent="0.25"/>
    <row r="74" s="22" customFormat="1" x14ac:dyDescent="0.25"/>
    <row r="75" s="22" customFormat="1" x14ac:dyDescent="0.25"/>
    <row r="76" s="22" customFormat="1" x14ac:dyDescent="0.25"/>
    <row r="77" s="22" customFormat="1" x14ac:dyDescent="0.25"/>
    <row r="78" s="22" customFormat="1" x14ac:dyDescent="0.25"/>
    <row r="79" s="22" customFormat="1" x14ac:dyDescent="0.25"/>
    <row r="80" s="22" customFormat="1" x14ac:dyDescent="0.25"/>
    <row r="81" s="22" customFormat="1" x14ac:dyDescent="0.25"/>
    <row r="82" s="22" customFormat="1" x14ac:dyDescent="0.25"/>
    <row r="83" s="22" customFormat="1" x14ac:dyDescent="0.25"/>
    <row r="84" s="22" customFormat="1" x14ac:dyDescent="0.25"/>
    <row r="85" s="22" customFormat="1" x14ac:dyDescent="0.25"/>
    <row r="86" s="22" customFormat="1" x14ac:dyDescent="0.25"/>
    <row r="87" s="22" customFormat="1" x14ac:dyDescent="0.25"/>
    <row r="88" s="22" customFormat="1" x14ac:dyDescent="0.25"/>
    <row r="89" s="22" customFormat="1" x14ac:dyDescent="0.25"/>
    <row r="90" s="22" customFormat="1" x14ac:dyDescent="0.25"/>
    <row r="91" s="22" customFormat="1" x14ac:dyDescent="0.25"/>
    <row r="92" s="22" customFormat="1" x14ac:dyDescent="0.25"/>
    <row r="93" s="22" customFormat="1" x14ac:dyDescent="0.25"/>
    <row r="94" s="22" customFormat="1" x14ac:dyDescent="0.25"/>
    <row r="95" s="22" customFormat="1" x14ac:dyDescent="0.25"/>
    <row r="96" s="22" customFormat="1" x14ac:dyDescent="0.25"/>
    <row r="97" spans="1:1" s="22" customFormat="1" x14ac:dyDescent="0.25"/>
    <row r="98" spans="1:1" s="22" customFormat="1" x14ac:dyDescent="0.25"/>
    <row r="99" spans="1:1" s="22" customFormat="1" x14ac:dyDescent="0.25"/>
    <row r="100" spans="1:1" s="22" customFormat="1" x14ac:dyDescent="0.25"/>
    <row r="101" spans="1:1" s="22" customFormat="1" x14ac:dyDescent="0.25"/>
    <row r="102" spans="1:1" s="22" customFormat="1" x14ac:dyDescent="0.25"/>
    <row r="103" spans="1:1" s="22" customFormat="1" x14ac:dyDescent="0.25"/>
    <row r="104" spans="1:1" s="22" customFormat="1" x14ac:dyDescent="0.25"/>
    <row r="105" spans="1:1" s="22" customFormat="1" x14ac:dyDescent="0.25"/>
    <row r="106" spans="1:1" x14ac:dyDescent="0.25">
      <c r="A106" s="21"/>
    </row>
    <row r="107" spans="1:1" s="22" customFormat="1" x14ac:dyDescent="0.25"/>
    <row r="108" spans="1:1" s="22" customFormat="1" x14ac:dyDescent="0.25"/>
    <row r="109" spans="1:1" s="22" customFormat="1" x14ac:dyDescent="0.25"/>
    <row r="110" spans="1:1" s="22" customFormat="1" x14ac:dyDescent="0.25"/>
    <row r="111" spans="1:1" s="22" customFormat="1" x14ac:dyDescent="0.25"/>
    <row r="112" spans="1:1" s="22" customFormat="1" x14ac:dyDescent="0.25"/>
    <row r="113" spans="1:1" s="22" customFormat="1" x14ac:dyDescent="0.25"/>
    <row r="114" spans="1:1" s="22" customFormat="1" x14ac:dyDescent="0.25"/>
    <row r="115" spans="1:1" s="22" customFormat="1" x14ac:dyDescent="0.25"/>
    <row r="116" spans="1:1" s="22" customFormat="1" x14ac:dyDescent="0.25"/>
    <row r="117" spans="1:1" s="22" customFormat="1" x14ac:dyDescent="0.25"/>
    <row r="118" spans="1:1" x14ac:dyDescent="0.25">
      <c r="A118" s="21"/>
    </row>
    <row r="119" spans="1:1" x14ac:dyDescent="0.25">
      <c r="A119" s="21"/>
    </row>
  </sheetData>
  <pageMargins left="0.7" right="0.7" top="0.75" bottom="0.75" header="0.3" footer="0.3"/>
  <pageSetup paperSize="9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2" ySplit="8" topLeftCell="C18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E41" sqref="E41"/>
    </sheetView>
  </sheetViews>
  <sheetFormatPr defaultColWidth="8.85546875" defaultRowHeight="15" x14ac:dyDescent="0.25"/>
  <cols>
    <col min="1" max="1" width="18.28515625" style="27" customWidth="1"/>
    <col min="2" max="2" width="12.7109375" style="21" customWidth="1"/>
    <col min="3" max="12" width="9.140625" style="21" customWidth="1"/>
    <col min="13" max="13" width="10" style="21" customWidth="1"/>
    <col min="14" max="19" width="9.140625" style="21" customWidth="1"/>
    <col min="20" max="20" width="11.42578125" style="21" customWidth="1"/>
    <col min="21" max="16384" width="8.85546875" style="21"/>
  </cols>
  <sheetData>
    <row r="1" spans="1:21" s="22" customFormat="1" ht="26.25" x14ac:dyDescent="0.25">
      <c r="A1" s="15" t="s">
        <v>2</v>
      </c>
      <c r="B1" s="24" t="s">
        <v>43</v>
      </c>
      <c r="C1" s="38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s="22" customFormat="1" x14ac:dyDescent="0.25">
      <c r="A2" s="15" t="s">
        <v>0</v>
      </c>
      <c r="B2" s="39" t="str">
        <f>$A$9</f>
        <v>12-10-2022 01:00</v>
      </c>
      <c r="C2" s="12"/>
      <c r="D2" s="11" t="s">
        <v>3</v>
      </c>
      <c r="E2" s="11"/>
      <c r="F2" s="11"/>
      <c r="G2" s="4" t="s">
        <v>4</v>
      </c>
      <c r="H2" s="20"/>
      <c r="I2" s="20"/>
      <c r="J2" s="20"/>
      <c r="K2" s="13"/>
      <c r="L2" s="11" t="s">
        <v>5</v>
      </c>
      <c r="M2" s="13"/>
      <c r="N2" s="8" t="s">
        <v>6</v>
      </c>
      <c r="P2" s="40" t="s">
        <v>7</v>
      </c>
      <c r="Q2" s="13"/>
      <c r="R2" s="9" t="s">
        <v>8</v>
      </c>
      <c r="S2" s="12"/>
      <c r="T2" s="12"/>
      <c r="U2" s="12"/>
    </row>
    <row r="3" spans="1:21" s="22" customFormat="1" x14ac:dyDescent="0.25">
      <c r="A3" s="15" t="s">
        <v>9</v>
      </c>
      <c r="B3" s="13" t="s">
        <v>10</v>
      </c>
      <c r="C3" s="12"/>
      <c r="D3" s="11" t="s">
        <v>11</v>
      </c>
      <c r="E3" s="11"/>
      <c r="F3" s="11"/>
      <c r="G3" s="19" t="s">
        <v>12</v>
      </c>
      <c r="H3" s="20"/>
      <c r="I3" s="20"/>
      <c r="J3" s="20"/>
      <c r="K3" s="12"/>
      <c r="L3" s="11" t="s">
        <v>13</v>
      </c>
      <c r="M3" s="13"/>
      <c r="N3" s="6" t="s">
        <v>14</v>
      </c>
      <c r="O3" s="13"/>
      <c r="P3" s="40" t="s">
        <v>15</v>
      </c>
      <c r="Q3" s="13"/>
      <c r="R3" s="10" t="s">
        <v>15</v>
      </c>
      <c r="S3" s="12"/>
      <c r="T3" s="12"/>
      <c r="U3" s="12"/>
    </row>
    <row r="4" spans="1:21" s="22" customFormat="1" x14ac:dyDescent="0.25">
      <c r="A4" s="15" t="s">
        <v>16</v>
      </c>
      <c r="B4" s="13" t="s">
        <v>39</v>
      </c>
      <c r="C4" s="12"/>
      <c r="D4" s="11" t="s">
        <v>17</v>
      </c>
      <c r="E4" s="11"/>
      <c r="F4" s="11"/>
      <c r="G4" s="5" t="s">
        <v>18</v>
      </c>
      <c r="H4" s="20"/>
      <c r="I4" s="20"/>
      <c r="J4" s="20"/>
      <c r="K4" s="3"/>
      <c r="L4" s="11" t="s">
        <v>19</v>
      </c>
      <c r="M4" s="13"/>
      <c r="N4" s="7" t="s">
        <v>20</v>
      </c>
      <c r="O4" s="13"/>
      <c r="P4" s="13"/>
      <c r="Q4" s="13"/>
      <c r="R4" s="13"/>
      <c r="S4" s="12"/>
      <c r="T4" s="12"/>
      <c r="U4" s="12"/>
    </row>
    <row r="5" spans="1:21" s="22" customFormat="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s="22" customFormat="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s="22" customFormat="1" x14ac:dyDescent="0.25">
      <c r="A7" s="15" t="s">
        <v>21</v>
      </c>
      <c r="B7" s="45" t="s">
        <v>59</v>
      </c>
      <c r="C7" s="45" t="s">
        <v>44</v>
      </c>
      <c r="D7" s="45" t="s">
        <v>45</v>
      </c>
      <c r="E7" s="45" t="s">
        <v>46</v>
      </c>
      <c r="F7" s="45" t="s">
        <v>47</v>
      </c>
      <c r="G7" s="45" t="s">
        <v>48</v>
      </c>
      <c r="H7" s="45" t="s">
        <v>49</v>
      </c>
      <c r="I7" s="45" t="s">
        <v>50</v>
      </c>
      <c r="J7" s="45" t="s">
        <v>51</v>
      </c>
      <c r="K7" s="45" t="s">
        <v>52</v>
      </c>
      <c r="L7" s="45" t="s">
        <v>53</v>
      </c>
      <c r="M7" s="45" t="s">
        <v>54</v>
      </c>
      <c r="N7" s="45" t="s">
        <v>55</v>
      </c>
      <c r="O7" s="45" t="s">
        <v>56</v>
      </c>
      <c r="P7" s="45" t="s">
        <v>57</v>
      </c>
      <c r="Q7" s="45" t="s">
        <v>58</v>
      </c>
      <c r="R7" s="28"/>
      <c r="S7" s="30"/>
      <c r="T7" s="28"/>
      <c r="U7" s="28"/>
    </row>
    <row r="8" spans="1:21" s="22" customFormat="1" x14ac:dyDescent="0.25">
      <c r="A8" s="15"/>
      <c r="B8" s="30" t="s">
        <v>22</v>
      </c>
      <c r="C8" s="30" t="s">
        <v>22</v>
      </c>
      <c r="D8" s="30" t="s">
        <v>22</v>
      </c>
      <c r="E8" s="30" t="s">
        <v>22</v>
      </c>
      <c r="F8" s="30" t="s">
        <v>22</v>
      </c>
      <c r="G8" s="30" t="s">
        <v>23</v>
      </c>
      <c r="H8" s="30" t="s">
        <v>22</v>
      </c>
      <c r="I8" s="30" t="s">
        <v>22</v>
      </c>
      <c r="J8" s="30" t="s">
        <v>24</v>
      </c>
      <c r="K8" s="30" t="s">
        <v>25</v>
      </c>
      <c r="L8" s="28" t="s">
        <v>27</v>
      </c>
      <c r="M8" s="30" t="s">
        <v>26</v>
      </c>
      <c r="N8" s="30" t="s">
        <v>28</v>
      </c>
      <c r="O8" s="28" t="s">
        <v>29</v>
      </c>
      <c r="P8" s="30" t="s">
        <v>22</v>
      </c>
      <c r="Q8" s="30" t="s">
        <v>22</v>
      </c>
      <c r="R8" s="28"/>
      <c r="S8" s="30"/>
      <c r="T8" s="28"/>
      <c r="U8" s="28"/>
    </row>
    <row r="9" spans="1:21" s="12" customFormat="1" x14ac:dyDescent="0.25">
      <c r="A9" s="51" t="s">
        <v>326</v>
      </c>
      <c r="B9" s="55" t="s">
        <v>4</v>
      </c>
      <c r="C9" s="55" t="s">
        <v>4</v>
      </c>
      <c r="D9" s="55" t="s">
        <v>4</v>
      </c>
      <c r="E9" s="55" t="s">
        <v>4</v>
      </c>
      <c r="F9" s="55" t="s">
        <v>4</v>
      </c>
      <c r="G9" s="55" t="s">
        <v>4</v>
      </c>
      <c r="H9" s="55" t="s">
        <v>4</v>
      </c>
      <c r="I9" s="55" t="s">
        <v>4</v>
      </c>
      <c r="J9" s="55" t="s">
        <v>4</v>
      </c>
      <c r="K9" s="55" t="s">
        <v>4</v>
      </c>
      <c r="L9" s="55" t="s">
        <v>4</v>
      </c>
      <c r="M9" s="55" t="s">
        <v>4</v>
      </c>
      <c r="N9" s="55" t="s">
        <v>4</v>
      </c>
      <c r="O9" s="55" t="s">
        <v>4</v>
      </c>
      <c r="P9" s="55" t="s">
        <v>4</v>
      </c>
      <c r="Q9" s="55" t="s">
        <v>4</v>
      </c>
      <c r="R9" s="44"/>
      <c r="S9" s="44"/>
      <c r="T9" s="44"/>
      <c r="U9" s="44"/>
    </row>
    <row r="10" spans="1:21" s="12" customFormat="1" x14ac:dyDescent="0.25">
      <c r="A10" s="51" t="s">
        <v>327</v>
      </c>
      <c r="B10" s="55" t="s">
        <v>4</v>
      </c>
      <c r="C10" s="55" t="s">
        <v>4</v>
      </c>
      <c r="D10" s="55" t="s">
        <v>4</v>
      </c>
      <c r="E10" s="55" t="s">
        <v>4</v>
      </c>
      <c r="F10" s="55" t="s">
        <v>4</v>
      </c>
      <c r="G10" s="55" t="s">
        <v>4</v>
      </c>
      <c r="H10" s="55" t="s">
        <v>4</v>
      </c>
      <c r="I10" s="55" t="s">
        <v>4</v>
      </c>
      <c r="J10" s="55" t="s">
        <v>4</v>
      </c>
      <c r="K10" s="55" t="s">
        <v>4</v>
      </c>
      <c r="L10" s="55" t="s">
        <v>4</v>
      </c>
      <c r="M10" s="55" t="s">
        <v>4</v>
      </c>
      <c r="N10" s="55" t="s">
        <v>4</v>
      </c>
      <c r="O10" s="55" t="s">
        <v>4</v>
      </c>
      <c r="P10" s="55" t="s">
        <v>4</v>
      </c>
      <c r="Q10" s="55" t="s">
        <v>4</v>
      </c>
      <c r="R10" s="44"/>
      <c r="S10" s="44"/>
      <c r="T10" s="44"/>
      <c r="U10" s="44"/>
    </row>
    <row r="11" spans="1:21" s="12" customFormat="1" x14ac:dyDescent="0.25">
      <c r="A11" s="51" t="s">
        <v>328</v>
      </c>
      <c r="B11" s="55" t="s">
        <v>4</v>
      </c>
      <c r="C11" s="55" t="s">
        <v>4</v>
      </c>
      <c r="D11" s="55" t="s">
        <v>4</v>
      </c>
      <c r="E11" s="55" t="s">
        <v>4</v>
      </c>
      <c r="F11" s="55" t="s">
        <v>4</v>
      </c>
      <c r="G11" s="55" t="s">
        <v>4</v>
      </c>
      <c r="H11" s="55" t="s">
        <v>4</v>
      </c>
      <c r="I11" s="55" t="s">
        <v>4</v>
      </c>
      <c r="J11" s="55" t="s">
        <v>4</v>
      </c>
      <c r="K11" s="55" t="s">
        <v>4</v>
      </c>
      <c r="L11" s="55" t="s">
        <v>4</v>
      </c>
      <c r="M11" s="55" t="s">
        <v>4</v>
      </c>
      <c r="N11" s="55" t="s">
        <v>4</v>
      </c>
      <c r="O11" s="55" t="s">
        <v>4</v>
      </c>
      <c r="P11" s="55" t="s">
        <v>4</v>
      </c>
      <c r="Q11" s="55" t="s">
        <v>4</v>
      </c>
      <c r="R11" s="44"/>
      <c r="S11" s="44"/>
      <c r="T11" s="44"/>
      <c r="U11" s="44"/>
    </row>
    <row r="12" spans="1:21" s="12" customFormat="1" x14ac:dyDescent="0.25">
      <c r="A12" s="51" t="s">
        <v>329</v>
      </c>
      <c r="B12" s="55" t="s">
        <v>4</v>
      </c>
      <c r="C12" s="55" t="s">
        <v>4</v>
      </c>
      <c r="D12" s="55" t="s">
        <v>4</v>
      </c>
      <c r="E12" s="55" t="s">
        <v>4</v>
      </c>
      <c r="F12" s="55" t="s">
        <v>4</v>
      </c>
      <c r="G12" s="55" t="s">
        <v>4</v>
      </c>
      <c r="H12" s="55" t="s">
        <v>4</v>
      </c>
      <c r="I12" s="55" t="s">
        <v>4</v>
      </c>
      <c r="J12" s="55" t="s">
        <v>4</v>
      </c>
      <c r="K12" s="55" t="s">
        <v>4</v>
      </c>
      <c r="L12" s="55" t="s">
        <v>4</v>
      </c>
      <c r="M12" s="55" t="s">
        <v>4</v>
      </c>
      <c r="N12" s="55" t="s">
        <v>4</v>
      </c>
      <c r="O12" s="55" t="s">
        <v>4</v>
      </c>
      <c r="P12" s="55" t="s">
        <v>4</v>
      </c>
      <c r="Q12" s="55" t="s">
        <v>4</v>
      </c>
      <c r="R12" s="44"/>
      <c r="S12" s="44"/>
      <c r="T12" s="44"/>
      <c r="U12" s="44"/>
    </row>
    <row r="13" spans="1:21" s="12" customFormat="1" x14ac:dyDescent="0.25">
      <c r="A13" s="51" t="s">
        <v>330</v>
      </c>
      <c r="B13" s="55" t="s">
        <v>4</v>
      </c>
      <c r="C13" s="55" t="s">
        <v>4</v>
      </c>
      <c r="D13" s="55" t="s">
        <v>4</v>
      </c>
      <c r="E13" s="55" t="s">
        <v>4</v>
      </c>
      <c r="F13" s="55" t="s">
        <v>4</v>
      </c>
      <c r="G13" s="55" t="s">
        <v>4</v>
      </c>
      <c r="H13" s="55" t="s">
        <v>4</v>
      </c>
      <c r="I13" s="55" t="s">
        <v>4</v>
      </c>
      <c r="J13" s="55" t="s">
        <v>4</v>
      </c>
      <c r="K13" s="55" t="s">
        <v>4</v>
      </c>
      <c r="L13" s="55" t="s">
        <v>4</v>
      </c>
      <c r="M13" s="55" t="s">
        <v>4</v>
      </c>
      <c r="N13" s="55" t="s">
        <v>4</v>
      </c>
      <c r="O13" s="55" t="s">
        <v>4</v>
      </c>
      <c r="P13" s="55" t="s">
        <v>4</v>
      </c>
      <c r="Q13" s="55" t="s">
        <v>4</v>
      </c>
      <c r="R13" s="44"/>
      <c r="S13" s="44"/>
      <c r="T13" s="44"/>
      <c r="U13" s="44"/>
    </row>
    <row r="14" spans="1:21" s="12" customFormat="1" x14ac:dyDescent="0.25">
      <c r="A14" s="51" t="s">
        <v>331</v>
      </c>
      <c r="B14" s="55" t="s">
        <v>4</v>
      </c>
      <c r="C14" s="55" t="s">
        <v>4</v>
      </c>
      <c r="D14" s="55" t="s">
        <v>4</v>
      </c>
      <c r="E14" s="55" t="s">
        <v>4</v>
      </c>
      <c r="F14" s="55" t="s">
        <v>4</v>
      </c>
      <c r="G14" s="55" t="s">
        <v>4</v>
      </c>
      <c r="H14" s="55" t="s">
        <v>4</v>
      </c>
      <c r="I14" s="55" t="s">
        <v>4</v>
      </c>
      <c r="J14" s="55" t="s">
        <v>4</v>
      </c>
      <c r="K14" s="55" t="s">
        <v>4</v>
      </c>
      <c r="L14" s="55" t="s">
        <v>4</v>
      </c>
      <c r="M14" s="55" t="s">
        <v>4</v>
      </c>
      <c r="N14" s="55" t="s">
        <v>4</v>
      </c>
      <c r="O14" s="55" t="s">
        <v>4</v>
      </c>
      <c r="P14" s="55" t="s">
        <v>4</v>
      </c>
      <c r="Q14" s="55" t="s">
        <v>4</v>
      </c>
      <c r="R14" s="44"/>
      <c r="S14" s="44"/>
      <c r="T14" s="44"/>
      <c r="U14" s="44"/>
    </row>
    <row r="15" spans="1:21" s="12" customFormat="1" x14ac:dyDescent="0.25">
      <c r="A15" s="51" t="s">
        <v>332</v>
      </c>
      <c r="B15" s="55" t="s">
        <v>4</v>
      </c>
      <c r="C15" s="55" t="s">
        <v>4</v>
      </c>
      <c r="D15" s="55" t="s">
        <v>4</v>
      </c>
      <c r="E15" s="55" t="s">
        <v>4</v>
      </c>
      <c r="F15" s="55" t="s">
        <v>4</v>
      </c>
      <c r="G15" s="55" t="s">
        <v>4</v>
      </c>
      <c r="H15" s="55" t="s">
        <v>4</v>
      </c>
      <c r="I15" s="55" t="s">
        <v>4</v>
      </c>
      <c r="J15" s="55" t="s">
        <v>4</v>
      </c>
      <c r="K15" s="55" t="s">
        <v>4</v>
      </c>
      <c r="L15" s="55" t="s">
        <v>4</v>
      </c>
      <c r="M15" s="55" t="s">
        <v>4</v>
      </c>
      <c r="N15" s="55" t="s">
        <v>4</v>
      </c>
      <c r="O15" s="55" t="s">
        <v>4</v>
      </c>
      <c r="P15" s="55" t="s">
        <v>4</v>
      </c>
      <c r="Q15" s="55" t="s">
        <v>4</v>
      </c>
      <c r="R15" s="44"/>
      <c r="S15" s="44"/>
      <c r="T15" s="44"/>
      <c r="U15" s="44"/>
    </row>
    <row r="16" spans="1:21" s="12" customFormat="1" x14ac:dyDescent="0.25">
      <c r="A16" s="51" t="s">
        <v>333</v>
      </c>
      <c r="B16" s="55" t="s">
        <v>4</v>
      </c>
      <c r="C16" s="55" t="s">
        <v>4</v>
      </c>
      <c r="D16" s="55" t="s">
        <v>4</v>
      </c>
      <c r="E16" s="55" t="s">
        <v>4</v>
      </c>
      <c r="F16" s="55" t="s">
        <v>4</v>
      </c>
      <c r="G16" s="55" t="s">
        <v>4</v>
      </c>
      <c r="H16" s="55" t="s">
        <v>4</v>
      </c>
      <c r="I16" s="55" t="s">
        <v>4</v>
      </c>
      <c r="J16" s="55" t="s">
        <v>4</v>
      </c>
      <c r="K16" s="55" t="s">
        <v>4</v>
      </c>
      <c r="L16" s="55" t="s">
        <v>4</v>
      </c>
      <c r="M16" s="55" t="s">
        <v>4</v>
      </c>
      <c r="N16" s="55" t="s">
        <v>4</v>
      </c>
      <c r="O16" s="55" t="s">
        <v>4</v>
      </c>
      <c r="P16" s="55" t="s">
        <v>4</v>
      </c>
      <c r="Q16" s="55" t="s">
        <v>4</v>
      </c>
      <c r="R16" s="44"/>
      <c r="S16" s="44"/>
      <c r="T16" s="44"/>
      <c r="U16" s="44"/>
    </row>
    <row r="17" spans="1:21" s="12" customFormat="1" x14ac:dyDescent="0.25">
      <c r="A17" s="51" t="s">
        <v>334</v>
      </c>
      <c r="B17" s="55" t="s">
        <v>4</v>
      </c>
      <c r="C17" s="55" t="s">
        <v>4</v>
      </c>
      <c r="D17" s="55" t="s">
        <v>4</v>
      </c>
      <c r="E17" s="55" t="s">
        <v>4</v>
      </c>
      <c r="F17" s="55" t="s">
        <v>4</v>
      </c>
      <c r="G17" s="55" t="s">
        <v>4</v>
      </c>
      <c r="H17" s="55" t="s">
        <v>4</v>
      </c>
      <c r="I17" s="55" t="s">
        <v>4</v>
      </c>
      <c r="J17" s="55" t="s">
        <v>4</v>
      </c>
      <c r="K17" s="55" t="s">
        <v>4</v>
      </c>
      <c r="L17" s="55" t="s">
        <v>4</v>
      </c>
      <c r="M17" s="55" t="s">
        <v>4</v>
      </c>
      <c r="N17" s="55" t="s">
        <v>4</v>
      </c>
      <c r="O17" s="55" t="s">
        <v>4</v>
      </c>
      <c r="P17" s="55" t="s">
        <v>4</v>
      </c>
      <c r="Q17" s="55" t="s">
        <v>4</v>
      </c>
      <c r="R17" s="44"/>
      <c r="S17" s="44"/>
      <c r="T17" s="44"/>
      <c r="U17" s="44"/>
    </row>
    <row r="18" spans="1:21" s="12" customFormat="1" x14ac:dyDescent="0.25">
      <c r="A18" s="51" t="s">
        <v>335</v>
      </c>
      <c r="B18" s="55" t="s">
        <v>4</v>
      </c>
      <c r="C18" s="55" t="s">
        <v>4</v>
      </c>
      <c r="D18" s="55" t="s">
        <v>4</v>
      </c>
      <c r="E18" s="55" t="s">
        <v>4</v>
      </c>
      <c r="F18" s="55" t="s">
        <v>4</v>
      </c>
      <c r="G18" s="55" t="s">
        <v>4</v>
      </c>
      <c r="H18" s="55" t="s">
        <v>4</v>
      </c>
      <c r="I18" s="55" t="s">
        <v>4</v>
      </c>
      <c r="J18" s="55" t="s">
        <v>4</v>
      </c>
      <c r="K18" s="55" t="s">
        <v>4</v>
      </c>
      <c r="L18" s="55" t="s">
        <v>4</v>
      </c>
      <c r="M18" s="55" t="s">
        <v>4</v>
      </c>
      <c r="N18" s="55" t="s">
        <v>4</v>
      </c>
      <c r="O18" s="55" t="s">
        <v>4</v>
      </c>
      <c r="P18" s="55" t="s">
        <v>4</v>
      </c>
      <c r="Q18" s="55" t="s">
        <v>4</v>
      </c>
      <c r="R18" s="44"/>
      <c r="S18" s="44"/>
      <c r="T18" s="44"/>
      <c r="U18" s="44"/>
    </row>
    <row r="19" spans="1:21" s="12" customFormat="1" x14ac:dyDescent="0.25">
      <c r="A19" s="51" t="s">
        <v>336</v>
      </c>
      <c r="B19" s="55" t="s">
        <v>4</v>
      </c>
      <c r="C19" s="55" t="s">
        <v>4</v>
      </c>
      <c r="D19" s="55" t="s">
        <v>4</v>
      </c>
      <c r="E19" s="55" t="s">
        <v>4</v>
      </c>
      <c r="F19" s="55" t="s">
        <v>4</v>
      </c>
      <c r="G19" s="55" t="s">
        <v>4</v>
      </c>
      <c r="H19" s="55" t="s">
        <v>4</v>
      </c>
      <c r="I19" s="55" t="s">
        <v>4</v>
      </c>
      <c r="J19" s="55" t="s">
        <v>4</v>
      </c>
      <c r="K19" s="55" t="s">
        <v>4</v>
      </c>
      <c r="L19" s="55" t="s">
        <v>4</v>
      </c>
      <c r="M19" s="55" t="s">
        <v>4</v>
      </c>
      <c r="N19" s="55" t="s">
        <v>4</v>
      </c>
      <c r="O19" s="55" t="s">
        <v>4</v>
      </c>
      <c r="P19" s="55" t="s">
        <v>4</v>
      </c>
      <c r="Q19" s="55" t="s">
        <v>4</v>
      </c>
      <c r="R19" s="44"/>
      <c r="S19" s="44"/>
      <c r="T19" s="44"/>
      <c r="U19" s="44"/>
    </row>
    <row r="20" spans="1:21" s="12" customFormat="1" x14ac:dyDescent="0.25">
      <c r="A20" s="51" t="s">
        <v>337</v>
      </c>
      <c r="B20" s="52">
        <v>5.88</v>
      </c>
      <c r="C20" s="52">
        <v>29.77</v>
      </c>
      <c r="D20" s="52">
        <v>35.65</v>
      </c>
      <c r="E20" s="52">
        <v>6.46</v>
      </c>
      <c r="F20" s="52">
        <v>11.96</v>
      </c>
      <c r="G20" s="56" t="s">
        <v>15</v>
      </c>
      <c r="H20" s="56" t="s">
        <v>15</v>
      </c>
      <c r="I20" s="52">
        <v>0</v>
      </c>
      <c r="J20" s="52">
        <v>0.37</v>
      </c>
      <c r="K20" s="52">
        <v>232.33</v>
      </c>
      <c r="L20" s="52">
        <v>31.4</v>
      </c>
      <c r="M20" s="52">
        <v>62.78</v>
      </c>
      <c r="N20" s="52">
        <v>412.2</v>
      </c>
      <c r="O20" s="52">
        <v>0</v>
      </c>
      <c r="P20" s="52">
        <v>0.46</v>
      </c>
      <c r="Q20" s="56" t="s">
        <v>15</v>
      </c>
      <c r="R20" s="44"/>
      <c r="S20" s="44"/>
      <c r="T20" s="44"/>
      <c r="U20" s="44"/>
    </row>
    <row r="21" spans="1:21" s="12" customFormat="1" x14ac:dyDescent="0.25">
      <c r="A21" s="51" t="s">
        <v>338</v>
      </c>
      <c r="B21" s="52">
        <v>9.74</v>
      </c>
      <c r="C21" s="52">
        <v>46.27</v>
      </c>
      <c r="D21" s="52">
        <v>56.01</v>
      </c>
      <c r="E21" s="52">
        <v>5.05</v>
      </c>
      <c r="F21" s="52">
        <v>7.57</v>
      </c>
      <c r="G21" s="56" t="s">
        <v>15</v>
      </c>
      <c r="H21" s="56" t="s">
        <v>15</v>
      </c>
      <c r="I21" s="52">
        <v>1.5</v>
      </c>
      <c r="J21" s="52">
        <v>0.64</v>
      </c>
      <c r="K21" s="52">
        <v>232.58</v>
      </c>
      <c r="L21" s="52">
        <v>33.700000000000003</v>
      </c>
      <c r="M21" s="52">
        <v>65.77</v>
      </c>
      <c r="N21" s="52">
        <v>658.7</v>
      </c>
      <c r="O21" s="52">
        <v>0</v>
      </c>
      <c r="P21" s="52">
        <v>0.28000000000000003</v>
      </c>
      <c r="Q21" s="52">
        <v>384.02</v>
      </c>
      <c r="R21" s="44"/>
      <c r="S21" s="44"/>
      <c r="T21" s="44"/>
      <c r="U21" s="44"/>
    </row>
    <row r="22" spans="1:21" s="12" customFormat="1" x14ac:dyDescent="0.25">
      <c r="A22" s="51" t="s">
        <v>339</v>
      </c>
      <c r="B22" s="52">
        <v>10.84</v>
      </c>
      <c r="C22" s="52">
        <v>45.61</v>
      </c>
      <c r="D22" s="52">
        <v>55.25</v>
      </c>
      <c r="E22" s="52">
        <v>0</v>
      </c>
      <c r="F22" s="52">
        <v>4.5</v>
      </c>
      <c r="G22" s="52">
        <v>83.4</v>
      </c>
      <c r="H22" s="52">
        <v>9.9700000000000006</v>
      </c>
      <c r="I22" s="52">
        <v>0.91</v>
      </c>
      <c r="J22" s="52">
        <v>0.94</v>
      </c>
      <c r="K22" s="52">
        <v>232.69</v>
      </c>
      <c r="L22" s="52">
        <v>34.159999999999997</v>
      </c>
      <c r="M22" s="52">
        <v>80.7</v>
      </c>
      <c r="N22" s="52">
        <v>582.1</v>
      </c>
      <c r="O22" s="52">
        <v>0</v>
      </c>
      <c r="P22" s="52">
        <v>0.64</v>
      </c>
      <c r="Q22" s="52">
        <v>93.74</v>
      </c>
      <c r="R22" s="44"/>
      <c r="S22" s="44"/>
      <c r="T22" s="44"/>
      <c r="U22" s="44"/>
    </row>
    <row r="23" spans="1:21" s="12" customFormat="1" x14ac:dyDescent="0.25">
      <c r="A23" s="51" t="s">
        <v>340</v>
      </c>
      <c r="B23" s="52">
        <v>14.23</v>
      </c>
      <c r="C23" s="52">
        <v>45.05</v>
      </c>
      <c r="D23" s="52">
        <v>59.28</v>
      </c>
      <c r="E23" s="52">
        <v>8.83</v>
      </c>
      <c r="F23" s="52">
        <v>4.3</v>
      </c>
      <c r="G23" s="52">
        <v>59.61</v>
      </c>
      <c r="H23" s="52">
        <v>11.26</v>
      </c>
      <c r="I23" s="52">
        <v>0.72</v>
      </c>
      <c r="J23" s="52">
        <v>0.4</v>
      </c>
      <c r="K23" s="52">
        <v>334.31</v>
      </c>
      <c r="L23" s="52">
        <v>33.14</v>
      </c>
      <c r="M23" s="52">
        <v>73.28</v>
      </c>
      <c r="N23" s="52">
        <v>534.29999999999995</v>
      </c>
      <c r="O23" s="52">
        <v>0</v>
      </c>
      <c r="P23" s="52">
        <v>0.62</v>
      </c>
      <c r="Q23" s="52">
        <v>33.64</v>
      </c>
      <c r="R23" s="44"/>
      <c r="S23" s="44"/>
      <c r="T23" s="44"/>
      <c r="U23" s="44"/>
    </row>
    <row r="24" spans="1:21" s="12" customFormat="1" x14ac:dyDescent="0.25">
      <c r="A24" s="51" t="s">
        <v>341</v>
      </c>
      <c r="B24" s="52">
        <v>15.78</v>
      </c>
      <c r="C24" s="52">
        <v>46.79</v>
      </c>
      <c r="D24" s="52">
        <v>62.57</v>
      </c>
      <c r="E24" s="52">
        <v>7.84</v>
      </c>
      <c r="F24" s="52">
        <v>5.0999999999999996</v>
      </c>
      <c r="G24" s="52">
        <v>62.43</v>
      </c>
      <c r="H24" s="52">
        <v>12.2</v>
      </c>
      <c r="I24" s="52">
        <v>0.68</v>
      </c>
      <c r="J24" s="52">
        <v>0.72</v>
      </c>
      <c r="K24" s="52">
        <v>332.41</v>
      </c>
      <c r="L24" s="52">
        <v>32.07</v>
      </c>
      <c r="M24" s="52">
        <v>79.89</v>
      </c>
      <c r="N24" s="52">
        <v>303.89999999999998</v>
      </c>
      <c r="O24" s="52">
        <v>0</v>
      </c>
      <c r="P24" s="52">
        <v>0.59</v>
      </c>
      <c r="Q24" s="52">
        <v>11.71</v>
      </c>
      <c r="R24" s="44"/>
      <c r="S24" s="44"/>
      <c r="T24" s="44"/>
      <c r="U24" s="44"/>
    </row>
    <row r="25" spans="1:21" s="12" customFormat="1" x14ac:dyDescent="0.25">
      <c r="A25" s="51" t="s">
        <v>342</v>
      </c>
      <c r="B25" s="52">
        <v>17.989999999999998</v>
      </c>
      <c r="C25" s="52">
        <v>50.91</v>
      </c>
      <c r="D25" s="52">
        <v>67.12</v>
      </c>
      <c r="E25" s="52">
        <v>9.92</v>
      </c>
      <c r="F25" s="52">
        <v>8.2200000000000006</v>
      </c>
      <c r="G25" s="52">
        <v>60.55</v>
      </c>
      <c r="H25" s="52">
        <v>7.54</v>
      </c>
      <c r="I25" s="52">
        <v>0.57999999999999996</v>
      </c>
      <c r="J25" s="52">
        <v>0.81</v>
      </c>
      <c r="K25" s="52">
        <v>29.87</v>
      </c>
      <c r="L25" s="52">
        <v>32.36</v>
      </c>
      <c r="M25" s="52">
        <v>78.650000000000006</v>
      </c>
      <c r="N25" s="52">
        <v>144.9</v>
      </c>
      <c r="O25" s="52">
        <v>0</v>
      </c>
      <c r="P25" s="52">
        <v>0.72</v>
      </c>
      <c r="Q25" s="56" t="s">
        <v>15</v>
      </c>
      <c r="R25" s="44"/>
      <c r="S25" s="44"/>
      <c r="T25" s="44"/>
      <c r="U25" s="44"/>
    </row>
    <row r="26" spans="1:21" s="12" customFormat="1" x14ac:dyDescent="0.25">
      <c r="A26" s="51" t="s">
        <v>343</v>
      </c>
      <c r="B26" s="52">
        <v>21.12</v>
      </c>
      <c r="C26" s="52">
        <v>69.239999999999995</v>
      </c>
      <c r="D26" s="52">
        <v>89.29</v>
      </c>
      <c r="E26" s="52">
        <v>9.3699999999999992</v>
      </c>
      <c r="F26" s="52">
        <v>10.66</v>
      </c>
      <c r="G26" s="52">
        <v>65.959999999999994</v>
      </c>
      <c r="H26" s="52">
        <v>14.08</v>
      </c>
      <c r="I26" s="52">
        <v>0.61</v>
      </c>
      <c r="J26" s="52">
        <v>0.84</v>
      </c>
      <c r="K26" s="52">
        <v>163.99</v>
      </c>
      <c r="L26" s="52">
        <v>31.54</v>
      </c>
      <c r="M26" s="52">
        <v>90.25</v>
      </c>
      <c r="N26" s="52">
        <v>43.4</v>
      </c>
      <c r="O26" s="52">
        <v>0</v>
      </c>
      <c r="P26" s="52">
        <v>1.03</v>
      </c>
      <c r="Q26" s="52">
        <v>209.24</v>
      </c>
      <c r="R26" s="44"/>
      <c r="S26" s="44"/>
      <c r="T26" s="44"/>
      <c r="U26" s="44"/>
    </row>
    <row r="27" spans="1:21" s="12" customFormat="1" x14ac:dyDescent="0.25">
      <c r="A27" s="51" t="s">
        <v>344</v>
      </c>
      <c r="B27" s="52">
        <v>12.34</v>
      </c>
      <c r="C27" s="52">
        <v>58.08</v>
      </c>
      <c r="D27" s="52">
        <v>69.66</v>
      </c>
      <c r="E27" s="52">
        <v>9.7100000000000009</v>
      </c>
      <c r="F27" s="52">
        <v>7.47</v>
      </c>
      <c r="G27" s="52">
        <v>67.709999999999994</v>
      </c>
      <c r="H27" s="52">
        <v>14.27</v>
      </c>
      <c r="I27" s="52">
        <v>0.66</v>
      </c>
      <c r="J27" s="52">
        <v>0.63</v>
      </c>
      <c r="K27" s="52">
        <v>192.34</v>
      </c>
      <c r="L27" s="52">
        <v>30.52</v>
      </c>
      <c r="M27" s="52">
        <v>94.28</v>
      </c>
      <c r="N27" s="52">
        <v>22.5</v>
      </c>
      <c r="O27" s="52">
        <v>0</v>
      </c>
      <c r="P27" s="52">
        <v>0.83</v>
      </c>
      <c r="Q27" s="52">
        <v>223.79</v>
      </c>
      <c r="R27" s="44"/>
      <c r="S27" s="44"/>
      <c r="T27" s="44"/>
      <c r="U27" s="44"/>
    </row>
    <row r="28" spans="1:21" s="12" customFormat="1" x14ac:dyDescent="0.25">
      <c r="A28" s="51" t="s">
        <v>345</v>
      </c>
      <c r="B28" s="52">
        <v>11.91</v>
      </c>
      <c r="C28" s="52">
        <v>38.69</v>
      </c>
      <c r="D28" s="52">
        <v>50.6</v>
      </c>
      <c r="E28" s="52">
        <v>9.61</v>
      </c>
      <c r="F28" s="52">
        <v>4.12</v>
      </c>
      <c r="G28" s="52">
        <v>68.66</v>
      </c>
      <c r="H28" s="52">
        <v>22.51</v>
      </c>
      <c r="I28" s="52">
        <v>0.76</v>
      </c>
      <c r="J28" s="52">
        <v>0.63</v>
      </c>
      <c r="K28" s="52">
        <v>191.1</v>
      </c>
      <c r="L28" s="52">
        <v>29.03</v>
      </c>
      <c r="M28" s="52">
        <v>92.96</v>
      </c>
      <c r="N28" s="52">
        <v>12.1</v>
      </c>
      <c r="O28" s="52">
        <v>0</v>
      </c>
      <c r="P28" s="52">
        <v>0.98</v>
      </c>
      <c r="Q28" s="52">
        <v>208.92</v>
      </c>
      <c r="R28" s="44"/>
      <c r="S28" s="44"/>
      <c r="T28" s="44"/>
      <c r="U28" s="44"/>
    </row>
    <row r="29" spans="1:21" s="12" customFormat="1" x14ac:dyDescent="0.25">
      <c r="A29" s="51" t="s">
        <v>346</v>
      </c>
      <c r="B29" s="52">
        <v>13.13</v>
      </c>
      <c r="C29" s="52">
        <v>45.65</v>
      </c>
      <c r="D29" s="52">
        <v>58.78</v>
      </c>
      <c r="E29" s="52">
        <v>9.09</v>
      </c>
      <c r="F29" s="52">
        <v>4.1100000000000003</v>
      </c>
      <c r="G29" s="52">
        <v>74.430000000000007</v>
      </c>
      <c r="H29" s="52">
        <v>23.36</v>
      </c>
      <c r="I29" s="52">
        <v>0.72</v>
      </c>
      <c r="J29" s="52">
        <v>0.62</v>
      </c>
      <c r="K29" s="52">
        <v>186.51</v>
      </c>
      <c r="L29" s="52">
        <v>28.82</v>
      </c>
      <c r="M29" s="52">
        <v>96.84</v>
      </c>
      <c r="N29" s="52">
        <v>12.1</v>
      </c>
      <c r="O29" s="52">
        <v>0</v>
      </c>
      <c r="P29" s="52">
        <v>0.95</v>
      </c>
      <c r="Q29" s="52">
        <v>195.64</v>
      </c>
      <c r="R29" s="44"/>
      <c r="S29" s="44"/>
      <c r="T29" s="44"/>
      <c r="U29" s="44"/>
    </row>
    <row r="30" spans="1:21" s="12" customFormat="1" x14ac:dyDescent="0.25">
      <c r="A30" s="51" t="s">
        <v>347</v>
      </c>
      <c r="B30" s="52">
        <v>15.69</v>
      </c>
      <c r="C30" s="52">
        <v>43.79</v>
      </c>
      <c r="D30" s="52">
        <v>59.39</v>
      </c>
      <c r="E30" s="52">
        <v>9.6999999999999993</v>
      </c>
      <c r="F30" s="52">
        <v>4.17</v>
      </c>
      <c r="G30" s="52">
        <v>80.77</v>
      </c>
      <c r="H30" s="52">
        <v>30.17</v>
      </c>
      <c r="I30" s="52">
        <v>0.68</v>
      </c>
      <c r="J30" s="52">
        <v>0.75</v>
      </c>
      <c r="K30" s="52">
        <v>184.49</v>
      </c>
      <c r="L30" s="52">
        <v>29.44</v>
      </c>
      <c r="M30" s="52">
        <v>106.83</v>
      </c>
      <c r="N30" s="52">
        <v>12</v>
      </c>
      <c r="O30" s="52">
        <v>0</v>
      </c>
      <c r="P30" s="52">
        <v>0.93</v>
      </c>
      <c r="Q30" s="52">
        <v>189.66</v>
      </c>
      <c r="R30" s="44"/>
      <c r="S30" s="44"/>
      <c r="T30" s="44"/>
      <c r="U30" s="44"/>
    </row>
    <row r="31" spans="1:21" s="12" customFormat="1" x14ac:dyDescent="0.25">
      <c r="A31" s="51" t="s">
        <v>348</v>
      </c>
      <c r="B31" s="52">
        <v>14.33</v>
      </c>
      <c r="C31" s="52">
        <v>33.72</v>
      </c>
      <c r="D31" s="52">
        <v>48.05</v>
      </c>
      <c r="E31" s="52">
        <v>9.82</v>
      </c>
      <c r="F31" s="52">
        <v>4.32</v>
      </c>
      <c r="G31" s="52">
        <v>69.38</v>
      </c>
      <c r="H31" s="52">
        <v>26.91</v>
      </c>
      <c r="I31" s="52">
        <v>0.8</v>
      </c>
      <c r="J31" s="52">
        <v>0.85</v>
      </c>
      <c r="K31" s="52">
        <v>326.41000000000003</v>
      </c>
      <c r="L31" s="52">
        <v>29.91</v>
      </c>
      <c r="M31" s="52">
        <v>106.11</v>
      </c>
      <c r="N31" s="52">
        <v>12.2</v>
      </c>
      <c r="O31" s="52">
        <v>0</v>
      </c>
      <c r="P31" s="52">
        <v>0.91</v>
      </c>
      <c r="Q31" s="52">
        <v>196.36</v>
      </c>
      <c r="R31" s="44"/>
      <c r="S31" s="44"/>
      <c r="T31" s="44"/>
      <c r="U31" s="44"/>
    </row>
    <row r="32" spans="1:21" s="12" customFormat="1" x14ac:dyDescent="0.25">
      <c r="A32" s="51" t="s">
        <v>349</v>
      </c>
      <c r="B32" s="52">
        <v>12.77</v>
      </c>
      <c r="C32" s="52">
        <v>28.36</v>
      </c>
      <c r="D32" s="52">
        <v>41.13</v>
      </c>
      <c r="E32" s="52">
        <v>9.76</v>
      </c>
      <c r="F32" s="52">
        <v>3.78</v>
      </c>
      <c r="G32" s="52">
        <v>45.69</v>
      </c>
      <c r="H32" s="52">
        <v>17.18</v>
      </c>
      <c r="I32" s="52">
        <v>0.78</v>
      </c>
      <c r="J32" s="52">
        <v>7.0000000000000007E-2</v>
      </c>
      <c r="K32" s="52">
        <v>298.20999999999998</v>
      </c>
      <c r="L32" s="52">
        <v>30.2</v>
      </c>
      <c r="M32" s="52">
        <v>110.61</v>
      </c>
      <c r="N32" s="52">
        <v>12.3</v>
      </c>
      <c r="O32" s="52">
        <v>0</v>
      </c>
      <c r="P32" s="52">
        <v>0.86</v>
      </c>
      <c r="Q32" s="52">
        <v>174.26</v>
      </c>
      <c r="R32" s="44"/>
      <c r="S32" s="44"/>
      <c r="T32" s="44"/>
      <c r="U32" s="44"/>
    </row>
    <row r="33" spans="1:21" s="22" customFormat="1" x14ac:dyDescent="0.25">
      <c r="A33" s="27"/>
      <c r="B33" s="21"/>
      <c r="C33" s="21"/>
      <c r="D33" s="21"/>
      <c r="E33" s="21"/>
      <c r="F33" s="21"/>
      <c r="G33" s="27"/>
      <c r="H33" s="27"/>
      <c r="I33" s="27"/>
      <c r="J33" s="21"/>
      <c r="K33" s="21"/>
      <c r="L33" s="27"/>
      <c r="M33" s="27"/>
      <c r="N33" s="27"/>
      <c r="O33" s="27"/>
      <c r="P33" s="27"/>
      <c r="Q33" s="21"/>
      <c r="R33" s="21"/>
      <c r="S33" s="21"/>
      <c r="T33" s="21"/>
      <c r="U33" s="21"/>
    </row>
    <row r="34" spans="1:21" s="22" customFormat="1" x14ac:dyDescent="0.25">
      <c r="A34" s="28" t="s">
        <v>30</v>
      </c>
      <c r="B34" s="29">
        <f t="shared" ref="B34:Q34" si="0">MIN(B9:B32)</f>
        <v>5.88</v>
      </c>
      <c r="C34" s="29">
        <f t="shared" si="0"/>
        <v>28.36</v>
      </c>
      <c r="D34" s="29">
        <f t="shared" si="0"/>
        <v>35.65</v>
      </c>
      <c r="E34" s="29">
        <f t="shared" si="0"/>
        <v>0</v>
      </c>
      <c r="F34" s="29">
        <f t="shared" si="0"/>
        <v>3.78</v>
      </c>
      <c r="G34" s="29">
        <f t="shared" si="0"/>
        <v>45.69</v>
      </c>
      <c r="H34" s="29">
        <f t="shared" si="0"/>
        <v>7.54</v>
      </c>
      <c r="I34" s="29">
        <f t="shared" si="0"/>
        <v>0</v>
      </c>
      <c r="J34" s="29">
        <f t="shared" si="0"/>
        <v>7.0000000000000007E-2</v>
      </c>
      <c r="K34" s="29">
        <f t="shared" si="0"/>
        <v>29.87</v>
      </c>
      <c r="L34" s="29">
        <f t="shared" si="0"/>
        <v>28.82</v>
      </c>
      <c r="M34" s="29">
        <f t="shared" si="0"/>
        <v>62.78</v>
      </c>
      <c r="N34" s="29">
        <f t="shared" si="0"/>
        <v>12</v>
      </c>
      <c r="O34" s="29">
        <f t="shared" si="0"/>
        <v>0</v>
      </c>
      <c r="P34" s="29">
        <f t="shared" si="0"/>
        <v>0.28000000000000003</v>
      </c>
      <c r="Q34" s="29">
        <f t="shared" si="0"/>
        <v>11.71</v>
      </c>
      <c r="R34" s="29"/>
      <c r="S34" s="29"/>
      <c r="T34" s="29"/>
      <c r="U34" s="29"/>
    </row>
    <row r="35" spans="1:21" s="22" customFormat="1" x14ac:dyDescent="0.25">
      <c r="A35" s="28" t="s">
        <v>31</v>
      </c>
      <c r="B35" s="30">
        <f t="shared" ref="B35:Q35" si="1">MAX(B9:B32)</f>
        <v>21.12</v>
      </c>
      <c r="C35" s="30">
        <f t="shared" si="1"/>
        <v>69.239999999999995</v>
      </c>
      <c r="D35" s="30">
        <f t="shared" si="1"/>
        <v>89.29</v>
      </c>
      <c r="E35" s="30">
        <f t="shared" si="1"/>
        <v>9.92</v>
      </c>
      <c r="F35" s="30">
        <f t="shared" si="1"/>
        <v>11.96</v>
      </c>
      <c r="G35" s="30">
        <f t="shared" si="1"/>
        <v>83.4</v>
      </c>
      <c r="H35" s="30">
        <f t="shared" si="1"/>
        <v>30.17</v>
      </c>
      <c r="I35" s="30">
        <f t="shared" si="1"/>
        <v>1.5</v>
      </c>
      <c r="J35" s="30">
        <f t="shared" si="1"/>
        <v>0.94</v>
      </c>
      <c r="K35" s="30">
        <f t="shared" si="1"/>
        <v>334.31</v>
      </c>
      <c r="L35" s="30">
        <f t="shared" si="1"/>
        <v>34.159999999999997</v>
      </c>
      <c r="M35" s="30">
        <f t="shared" si="1"/>
        <v>110.61</v>
      </c>
      <c r="N35" s="30">
        <f t="shared" si="1"/>
        <v>658.7</v>
      </c>
      <c r="O35" s="30">
        <f t="shared" si="1"/>
        <v>0</v>
      </c>
      <c r="P35" s="30">
        <f t="shared" si="1"/>
        <v>1.03</v>
      </c>
      <c r="Q35" s="30">
        <f t="shared" si="1"/>
        <v>384.02</v>
      </c>
      <c r="R35" s="30"/>
      <c r="S35" s="30"/>
      <c r="T35" s="30"/>
      <c r="U35" s="30"/>
    </row>
    <row r="36" spans="1:21" s="22" customFormat="1" x14ac:dyDescent="0.25">
      <c r="A36" s="28" t="s">
        <v>32</v>
      </c>
      <c r="B36" s="29">
        <f t="shared" ref="B36:Q36" si="2">AVERAGE(B9:B32)</f>
        <v>13.519230769230772</v>
      </c>
      <c r="C36" s="29">
        <f t="shared" si="2"/>
        <v>44.763846153846153</v>
      </c>
      <c r="D36" s="29">
        <f t="shared" si="2"/>
        <v>57.906153846153842</v>
      </c>
      <c r="E36" s="29">
        <f t="shared" si="2"/>
        <v>8.0892307692307703</v>
      </c>
      <c r="F36" s="29">
        <f t="shared" si="2"/>
        <v>6.1753846153846155</v>
      </c>
      <c r="G36" s="29">
        <f t="shared" si="2"/>
        <v>67.144545454545451</v>
      </c>
      <c r="H36" s="29">
        <f t="shared" si="2"/>
        <v>17.222727272727273</v>
      </c>
      <c r="I36" s="29">
        <f t="shared" si="2"/>
        <v>0.72307692307692295</v>
      </c>
      <c r="J36" s="29">
        <f t="shared" si="2"/>
        <v>0.63615384615384629</v>
      </c>
      <c r="K36" s="29">
        <f t="shared" si="2"/>
        <v>225.94153846153844</v>
      </c>
      <c r="L36" s="29">
        <f t="shared" si="2"/>
        <v>31.253076923076922</v>
      </c>
      <c r="M36" s="29">
        <f t="shared" si="2"/>
        <v>87.611538461538444</v>
      </c>
      <c r="N36" s="29">
        <f t="shared" si="2"/>
        <v>212.51538461538465</v>
      </c>
      <c r="O36" s="29">
        <f t="shared" si="2"/>
        <v>0</v>
      </c>
      <c r="P36" s="29">
        <f t="shared" si="2"/>
        <v>0.75384615384615394</v>
      </c>
      <c r="Q36" s="29">
        <f t="shared" si="2"/>
        <v>174.63454545454545</v>
      </c>
      <c r="R36" s="29"/>
      <c r="S36" s="29"/>
      <c r="T36" s="29"/>
      <c r="U36" s="29"/>
    </row>
    <row r="37" spans="1:21" s="22" customFormat="1" x14ac:dyDescent="0.25">
      <c r="A37" s="28" t="s">
        <v>38</v>
      </c>
      <c r="B37" s="29">
        <f>STDEV(B9:B32)</f>
        <v>3.7997488108611801</v>
      </c>
      <c r="C37" s="29">
        <f t="shared" ref="C37:Q37" si="3">STDEV(C9:C32)</f>
        <v>11.089944047395333</v>
      </c>
      <c r="D37" s="29">
        <f t="shared" si="3"/>
        <v>13.455320842490535</v>
      </c>
      <c r="E37" s="29">
        <f t="shared" si="3"/>
        <v>2.8468212142038385</v>
      </c>
      <c r="F37" s="29">
        <f t="shared" si="3"/>
        <v>2.7469334884091396</v>
      </c>
      <c r="G37" s="29">
        <f t="shared" si="3"/>
        <v>10.463122252593982</v>
      </c>
      <c r="H37" s="29">
        <f t="shared" si="3"/>
        <v>7.4352728139713733</v>
      </c>
      <c r="I37" s="29">
        <f t="shared" si="3"/>
        <v>0.31791992218651066</v>
      </c>
      <c r="J37" s="29">
        <f t="shared" si="3"/>
        <v>0.23757589880353533</v>
      </c>
      <c r="K37" s="29">
        <f t="shared" si="3"/>
        <v>84.864812186417367</v>
      </c>
      <c r="L37" s="29">
        <f t="shared" si="3"/>
        <v>1.7699829783333347</v>
      </c>
      <c r="M37" s="29">
        <f t="shared" si="3"/>
        <v>15.525312045255884</v>
      </c>
      <c r="N37" s="29">
        <f t="shared" si="3"/>
        <v>251.2424388452776</v>
      </c>
      <c r="O37" s="29">
        <f t="shared" si="3"/>
        <v>0</v>
      </c>
      <c r="P37" s="29">
        <f t="shared" si="3"/>
        <v>0.22511250748379344</v>
      </c>
      <c r="Q37" s="29">
        <f t="shared" si="3"/>
        <v>101.35999362308942</v>
      </c>
      <c r="R37" s="29"/>
      <c r="S37" s="29"/>
      <c r="T37" s="29"/>
      <c r="U37" s="29"/>
    </row>
    <row r="38" spans="1:21" s="22" customFormat="1" x14ac:dyDescent="0.25">
      <c r="A38" s="32" t="s">
        <v>33</v>
      </c>
      <c r="B38" s="33">
        <f>COUNT(B9:B32)+11</f>
        <v>24</v>
      </c>
      <c r="C38" s="33">
        <f t="shared" ref="C38:Q38" si="4">COUNT(C9:C32)+11</f>
        <v>24</v>
      </c>
      <c r="D38" s="33">
        <f t="shared" si="4"/>
        <v>24</v>
      </c>
      <c r="E38" s="33">
        <f t="shared" si="4"/>
        <v>24</v>
      </c>
      <c r="F38" s="33">
        <f t="shared" si="4"/>
        <v>24</v>
      </c>
      <c r="G38" s="33">
        <f t="shared" si="4"/>
        <v>22</v>
      </c>
      <c r="H38" s="33">
        <f t="shared" si="4"/>
        <v>22</v>
      </c>
      <c r="I38" s="33">
        <f t="shared" si="4"/>
        <v>24</v>
      </c>
      <c r="J38" s="33">
        <f t="shared" si="4"/>
        <v>24</v>
      </c>
      <c r="K38" s="33">
        <f t="shared" si="4"/>
        <v>24</v>
      </c>
      <c r="L38" s="33">
        <f t="shared" si="4"/>
        <v>24</v>
      </c>
      <c r="M38" s="33">
        <f t="shared" si="4"/>
        <v>24</v>
      </c>
      <c r="N38" s="33">
        <f t="shared" si="4"/>
        <v>24</v>
      </c>
      <c r="O38" s="33">
        <f t="shared" si="4"/>
        <v>24</v>
      </c>
      <c r="P38" s="33">
        <f t="shared" si="4"/>
        <v>24</v>
      </c>
      <c r="Q38" s="33">
        <f t="shared" si="4"/>
        <v>22</v>
      </c>
      <c r="R38" s="33"/>
      <c r="S38" s="33"/>
      <c r="T38" s="33"/>
      <c r="U38" s="33"/>
    </row>
    <row r="39" spans="1:21" s="22" customFormat="1" x14ac:dyDescent="0.25">
      <c r="A39" s="28" t="s">
        <v>34</v>
      </c>
      <c r="B39" s="30" t="str">
        <f>IF(B38&gt;=22,"&gt;90%",IF(B38&lt;=22,"&lt;90%"))</f>
        <v>&gt;90%</v>
      </c>
      <c r="C39" s="30" t="str">
        <f t="shared" ref="C39:P39" si="5">IF(C38&gt;=22,"&gt;90%",IF(C38&lt;=22,"&lt;90%"))</f>
        <v>&gt;90%</v>
      </c>
      <c r="D39" s="30" t="str">
        <f t="shared" si="5"/>
        <v>&gt;90%</v>
      </c>
      <c r="E39" s="30" t="str">
        <f t="shared" si="5"/>
        <v>&gt;90%</v>
      </c>
      <c r="F39" s="30" t="str">
        <f t="shared" si="5"/>
        <v>&gt;90%</v>
      </c>
      <c r="G39" s="30" t="str">
        <f t="shared" si="5"/>
        <v>&gt;90%</v>
      </c>
      <c r="H39" s="30" t="str">
        <f t="shared" si="5"/>
        <v>&gt;90%</v>
      </c>
      <c r="I39" s="30" t="str">
        <f t="shared" si="5"/>
        <v>&gt;90%</v>
      </c>
      <c r="J39" s="30" t="str">
        <f t="shared" si="5"/>
        <v>&gt;90%</v>
      </c>
      <c r="K39" s="30" t="str">
        <f t="shared" si="5"/>
        <v>&gt;90%</v>
      </c>
      <c r="L39" s="30" t="str">
        <f t="shared" si="5"/>
        <v>&gt;90%</v>
      </c>
      <c r="M39" s="30" t="str">
        <f t="shared" si="5"/>
        <v>&gt;90%</v>
      </c>
      <c r="N39" s="30" t="str">
        <f t="shared" si="5"/>
        <v>&gt;90%</v>
      </c>
      <c r="O39" s="30" t="str">
        <f t="shared" si="5"/>
        <v>&gt;90%</v>
      </c>
      <c r="P39" s="30" t="str">
        <f t="shared" si="5"/>
        <v>&gt;90%</v>
      </c>
      <c r="Q39" s="30" t="str">
        <f>IF(Q38&gt;=22,"&gt;90%",IF(Q38&lt;=22,"&lt;90%"))</f>
        <v>&gt;90%</v>
      </c>
      <c r="R39" s="30"/>
      <c r="S39" s="30"/>
      <c r="T39" s="30"/>
      <c r="U39" s="30"/>
    </row>
    <row r="40" spans="1:21" s="22" customFormat="1" x14ac:dyDescent="0.25">
      <c r="A40" s="28" t="s">
        <v>1</v>
      </c>
      <c r="B40" s="30" t="str">
        <f>IF(B38&gt;=22,"OK",IF(B38&lt;=22,"LESS"))</f>
        <v>OK</v>
      </c>
      <c r="C40" s="30" t="str">
        <f t="shared" ref="C40:Q40" si="6">IF(C38&gt;=22,"OK",IF(C38&lt;=22,"LESS"))</f>
        <v>OK</v>
      </c>
      <c r="D40" s="30" t="str">
        <f t="shared" si="6"/>
        <v>OK</v>
      </c>
      <c r="E40" s="30" t="str">
        <f t="shared" si="6"/>
        <v>OK</v>
      </c>
      <c r="F40" s="30" t="str">
        <f t="shared" si="6"/>
        <v>OK</v>
      </c>
      <c r="G40" s="30" t="str">
        <f t="shared" si="6"/>
        <v>OK</v>
      </c>
      <c r="H40" s="30" t="str">
        <f t="shared" si="6"/>
        <v>OK</v>
      </c>
      <c r="I40" s="30" t="str">
        <f t="shared" si="6"/>
        <v>OK</v>
      </c>
      <c r="J40" s="30" t="str">
        <f t="shared" si="6"/>
        <v>OK</v>
      </c>
      <c r="K40" s="30" t="str">
        <f t="shared" si="6"/>
        <v>OK</v>
      </c>
      <c r="L40" s="30" t="str">
        <f t="shared" si="6"/>
        <v>OK</v>
      </c>
      <c r="M40" s="30" t="str">
        <f t="shared" si="6"/>
        <v>OK</v>
      </c>
      <c r="N40" s="30" t="str">
        <f t="shared" si="6"/>
        <v>OK</v>
      </c>
      <c r="O40" s="30" t="str">
        <f t="shared" si="6"/>
        <v>OK</v>
      </c>
      <c r="P40" s="30" t="str">
        <f t="shared" si="6"/>
        <v>OK</v>
      </c>
      <c r="Q40" s="30" t="str">
        <f t="shared" si="6"/>
        <v>OK</v>
      </c>
      <c r="R40" s="30"/>
      <c r="S40" s="30"/>
      <c r="T40" s="30"/>
      <c r="U40" s="30"/>
    </row>
    <row r="41" spans="1:21" s="22" customFormat="1" x14ac:dyDescent="0.25">
      <c r="A41" s="14"/>
      <c r="L41" s="14"/>
      <c r="N41" s="17"/>
      <c r="O41" s="17"/>
      <c r="P41" s="17"/>
      <c r="Q41" s="17"/>
      <c r="R41" s="17"/>
      <c r="S41" s="17"/>
      <c r="T41" s="17"/>
      <c r="U41" s="17"/>
    </row>
    <row r="42" spans="1:21" s="22" customFormat="1" x14ac:dyDescent="0.25">
      <c r="A42" s="14"/>
    </row>
    <row r="43" spans="1:21" s="22" customFormat="1" x14ac:dyDescent="0.25">
      <c r="A43" s="15" t="s">
        <v>35</v>
      </c>
      <c r="B43" s="41" t="s">
        <v>42</v>
      </c>
      <c r="C43" s="43"/>
    </row>
    <row r="44" spans="1:21" s="22" customFormat="1" x14ac:dyDescent="0.25">
      <c r="A44" s="14"/>
      <c r="D44" s="2"/>
      <c r="E44" s="2"/>
      <c r="F44" s="2"/>
      <c r="G44" s="2"/>
      <c r="H44" s="2"/>
      <c r="I44" s="2"/>
    </row>
    <row r="45" spans="1:21" s="22" customFormat="1" ht="15.75" x14ac:dyDescent="0.25">
      <c r="A45" s="18" t="s">
        <v>36</v>
      </c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</row>
    <row r="46" spans="1:21" s="22" customFormat="1" x14ac:dyDescent="0.25"/>
    <row r="47" spans="1:21" s="22" customFormat="1" x14ac:dyDescent="0.25"/>
    <row r="48" spans="1:21" s="22" customFormat="1" x14ac:dyDescent="0.25"/>
    <row r="49" s="22" customFormat="1" x14ac:dyDescent="0.25"/>
    <row r="50" s="22" customFormat="1" x14ac:dyDescent="0.25"/>
    <row r="51" s="22" customFormat="1" x14ac:dyDescent="0.25"/>
    <row r="52" s="22" customFormat="1" x14ac:dyDescent="0.25"/>
    <row r="53" s="22" customFormat="1" x14ac:dyDescent="0.25"/>
    <row r="54" s="22" customFormat="1" x14ac:dyDescent="0.25"/>
    <row r="55" s="22" customFormat="1" x14ac:dyDescent="0.25"/>
    <row r="56" s="22" customFormat="1" x14ac:dyDescent="0.25"/>
    <row r="57" s="22" customFormat="1" x14ac:dyDescent="0.25"/>
    <row r="58" s="22" customFormat="1" x14ac:dyDescent="0.25"/>
    <row r="59" s="22" customFormat="1" x14ac:dyDescent="0.25"/>
    <row r="60" s="22" customFormat="1" x14ac:dyDescent="0.25"/>
    <row r="61" s="22" customFormat="1" x14ac:dyDescent="0.25"/>
    <row r="62" s="22" customFormat="1" x14ac:dyDescent="0.25"/>
    <row r="63" s="22" customFormat="1" x14ac:dyDescent="0.25"/>
    <row r="64" s="22" customFormat="1" x14ac:dyDescent="0.25"/>
    <row r="65" s="22" customFormat="1" x14ac:dyDescent="0.25"/>
    <row r="66" s="22" customFormat="1" x14ac:dyDescent="0.25"/>
    <row r="67" s="22" customFormat="1" x14ac:dyDescent="0.25"/>
    <row r="68" s="22" customFormat="1" x14ac:dyDescent="0.25"/>
    <row r="69" s="22" customFormat="1" x14ac:dyDescent="0.25"/>
    <row r="70" s="22" customFormat="1" x14ac:dyDescent="0.25"/>
    <row r="71" s="22" customFormat="1" x14ac:dyDescent="0.25"/>
    <row r="72" s="22" customFormat="1" x14ac:dyDescent="0.25"/>
    <row r="73" s="22" customFormat="1" x14ac:dyDescent="0.25"/>
    <row r="74" s="22" customFormat="1" x14ac:dyDescent="0.25"/>
    <row r="75" s="22" customFormat="1" x14ac:dyDescent="0.25"/>
    <row r="76" s="22" customFormat="1" x14ac:dyDescent="0.25"/>
    <row r="77" s="22" customFormat="1" x14ac:dyDescent="0.25"/>
    <row r="78" s="22" customFormat="1" x14ac:dyDescent="0.25"/>
    <row r="79" s="22" customFormat="1" x14ac:dyDescent="0.25"/>
    <row r="80" s="22" customFormat="1" x14ac:dyDescent="0.25"/>
    <row r="81" s="22" customFormat="1" x14ac:dyDescent="0.25"/>
    <row r="82" s="22" customFormat="1" x14ac:dyDescent="0.25"/>
    <row r="83" s="22" customFormat="1" x14ac:dyDescent="0.25"/>
    <row r="84" s="22" customFormat="1" x14ac:dyDescent="0.25"/>
    <row r="85" s="22" customFormat="1" x14ac:dyDescent="0.25"/>
    <row r="86" s="22" customFormat="1" x14ac:dyDescent="0.25"/>
    <row r="87" s="22" customFormat="1" x14ac:dyDescent="0.25"/>
    <row r="88" s="22" customFormat="1" x14ac:dyDescent="0.25"/>
    <row r="89" s="22" customFormat="1" x14ac:dyDescent="0.25"/>
    <row r="90" s="22" customFormat="1" x14ac:dyDescent="0.25"/>
    <row r="91" s="22" customFormat="1" x14ac:dyDescent="0.25"/>
    <row r="92" s="22" customFormat="1" x14ac:dyDescent="0.25"/>
    <row r="93" s="22" customFormat="1" x14ac:dyDescent="0.25"/>
    <row r="94" s="22" customFormat="1" x14ac:dyDescent="0.25"/>
    <row r="95" s="22" customFormat="1" x14ac:dyDescent="0.25"/>
    <row r="96" s="22" customFormat="1" x14ac:dyDescent="0.25"/>
    <row r="97" spans="1:1" s="22" customFormat="1" x14ac:dyDescent="0.25"/>
    <row r="98" spans="1:1" s="22" customFormat="1" x14ac:dyDescent="0.25"/>
    <row r="99" spans="1:1" s="22" customFormat="1" x14ac:dyDescent="0.25"/>
    <row r="100" spans="1:1" s="22" customFormat="1" x14ac:dyDescent="0.25"/>
    <row r="101" spans="1:1" s="22" customFormat="1" x14ac:dyDescent="0.25"/>
    <row r="102" spans="1:1" s="22" customFormat="1" x14ac:dyDescent="0.25"/>
    <row r="103" spans="1:1" s="22" customFormat="1" x14ac:dyDescent="0.25"/>
    <row r="104" spans="1:1" s="22" customFormat="1" x14ac:dyDescent="0.25"/>
    <row r="105" spans="1:1" s="22" customFormat="1" x14ac:dyDescent="0.25"/>
    <row r="106" spans="1:1" x14ac:dyDescent="0.25">
      <c r="A106" s="21"/>
    </row>
    <row r="107" spans="1:1" s="22" customFormat="1" x14ac:dyDescent="0.25"/>
    <row r="108" spans="1:1" s="22" customFormat="1" x14ac:dyDescent="0.25"/>
    <row r="109" spans="1:1" s="22" customFormat="1" x14ac:dyDescent="0.25"/>
    <row r="110" spans="1:1" s="22" customFormat="1" x14ac:dyDescent="0.25"/>
    <row r="111" spans="1:1" s="22" customFormat="1" x14ac:dyDescent="0.25"/>
    <row r="112" spans="1:1" s="22" customFormat="1" x14ac:dyDescent="0.25"/>
    <row r="113" spans="1:1" s="22" customFormat="1" x14ac:dyDescent="0.25"/>
    <row r="114" spans="1:1" s="22" customFormat="1" x14ac:dyDescent="0.25"/>
    <row r="115" spans="1:1" s="22" customFormat="1" x14ac:dyDescent="0.25"/>
    <row r="116" spans="1:1" s="22" customFormat="1" x14ac:dyDescent="0.25"/>
    <row r="117" spans="1:1" s="22" customFormat="1" x14ac:dyDescent="0.25"/>
    <row r="118" spans="1:1" x14ac:dyDescent="0.25">
      <c r="A118" s="21"/>
    </row>
    <row r="119" spans="1:1" x14ac:dyDescent="0.25">
      <c r="A119" s="21"/>
    </row>
  </sheetData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2" ySplit="8" topLeftCell="C18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H13" sqref="H13"/>
    </sheetView>
  </sheetViews>
  <sheetFormatPr defaultColWidth="8.85546875" defaultRowHeight="15" x14ac:dyDescent="0.25"/>
  <cols>
    <col min="1" max="1" width="18.28515625" style="27" customWidth="1"/>
    <col min="2" max="2" width="13.85546875" style="21" customWidth="1"/>
    <col min="3" max="12" width="9.140625" style="21" customWidth="1"/>
    <col min="13" max="13" width="10" style="21" customWidth="1"/>
    <col min="14" max="19" width="9.140625" style="21" customWidth="1"/>
    <col min="20" max="20" width="11.42578125" style="21" customWidth="1"/>
    <col min="21" max="16384" width="8.85546875" style="21"/>
  </cols>
  <sheetData>
    <row r="1" spans="1:21" s="22" customFormat="1" ht="26.25" x14ac:dyDescent="0.25">
      <c r="A1" s="15" t="s">
        <v>2</v>
      </c>
      <c r="B1" s="24" t="s">
        <v>43</v>
      </c>
      <c r="C1" s="38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s="22" customFormat="1" x14ac:dyDescent="0.25">
      <c r="A2" s="15" t="s">
        <v>0</v>
      </c>
      <c r="B2" s="39" t="str">
        <f>$A$9</f>
        <v>13-10-2022 01:00</v>
      </c>
      <c r="C2" s="12"/>
      <c r="D2" s="11" t="s">
        <v>3</v>
      </c>
      <c r="E2" s="11"/>
      <c r="F2" s="11"/>
      <c r="G2" s="4" t="s">
        <v>4</v>
      </c>
      <c r="H2" s="20"/>
      <c r="I2" s="20"/>
      <c r="J2" s="20"/>
      <c r="K2" s="13"/>
      <c r="L2" s="11" t="s">
        <v>5</v>
      </c>
      <c r="M2" s="13"/>
      <c r="N2" s="8" t="s">
        <v>6</v>
      </c>
      <c r="P2" s="40" t="s">
        <v>7</v>
      </c>
      <c r="Q2" s="13"/>
      <c r="R2" s="9" t="s">
        <v>8</v>
      </c>
      <c r="S2" s="12"/>
      <c r="T2" s="12"/>
      <c r="U2" s="12"/>
    </row>
    <row r="3" spans="1:21" s="22" customFormat="1" x14ac:dyDescent="0.25">
      <c r="A3" s="15" t="s">
        <v>9</v>
      </c>
      <c r="B3" s="13" t="s">
        <v>10</v>
      </c>
      <c r="C3" s="12"/>
      <c r="D3" s="11" t="s">
        <v>11</v>
      </c>
      <c r="E3" s="11"/>
      <c r="F3" s="11"/>
      <c r="G3" s="19" t="s">
        <v>12</v>
      </c>
      <c r="H3" s="20"/>
      <c r="I3" s="20"/>
      <c r="J3" s="20"/>
      <c r="K3" s="12"/>
      <c r="L3" s="11" t="s">
        <v>13</v>
      </c>
      <c r="M3" s="13"/>
      <c r="N3" s="6" t="s">
        <v>14</v>
      </c>
      <c r="O3" s="13"/>
      <c r="P3" s="40" t="s">
        <v>15</v>
      </c>
      <c r="Q3" s="13"/>
      <c r="R3" s="10" t="s">
        <v>15</v>
      </c>
      <c r="S3" s="12"/>
      <c r="T3" s="12"/>
      <c r="U3" s="12"/>
    </row>
    <row r="4" spans="1:21" s="22" customFormat="1" x14ac:dyDescent="0.25">
      <c r="A4" s="15" t="s">
        <v>16</v>
      </c>
      <c r="B4" s="13" t="s">
        <v>39</v>
      </c>
      <c r="C4" s="12"/>
      <c r="D4" s="11" t="s">
        <v>17</v>
      </c>
      <c r="E4" s="11"/>
      <c r="F4" s="11"/>
      <c r="G4" s="5" t="s">
        <v>18</v>
      </c>
      <c r="H4" s="20"/>
      <c r="I4" s="20"/>
      <c r="J4" s="20"/>
      <c r="K4" s="3"/>
      <c r="L4" s="11" t="s">
        <v>19</v>
      </c>
      <c r="M4" s="13"/>
      <c r="N4" s="7" t="s">
        <v>20</v>
      </c>
      <c r="O4" s="13"/>
      <c r="P4" s="13"/>
      <c r="Q4" s="13"/>
      <c r="R4" s="13"/>
      <c r="S4" s="12"/>
      <c r="T4" s="12"/>
      <c r="U4" s="12"/>
    </row>
    <row r="5" spans="1:21" s="22" customFormat="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s="22" customFormat="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s="22" customFormat="1" x14ac:dyDescent="0.25">
      <c r="A7" s="15" t="s">
        <v>21</v>
      </c>
      <c r="B7" s="45" t="s">
        <v>59</v>
      </c>
      <c r="C7" s="45" t="s">
        <v>44</v>
      </c>
      <c r="D7" s="45" t="s">
        <v>45</v>
      </c>
      <c r="E7" s="45" t="s">
        <v>46</v>
      </c>
      <c r="F7" s="45" t="s">
        <v>47</v>
      </c>
      <c r="G7" s="45" t="s">
        <v>48</v>
      </c>
      <c r="H7" s="45" t="s">
        <v>49</v>
      </c>
      <c r="I7" s="45" t="s">
        <v>50</v>
      </c>
      <c r="J7" s="45" t="s">
        <v>51</v>
      </c>
      <c r="K7" s="45" t="s">
        <v>52</v>
      </c>
      <c r="L7" s="45" t="s">
        <v>53</v>
      </c>
      <c r="M7" s="45" t="s">
        <v>54</v>
      </c>
      <c r="N7" s="45" t="s">
        <v>55</v>
      </c>
      <c r="O7" s="45" t="s">
        <v>56</v>
      </c>
      <c r="P7" s="45" t="s">
        <v>57</v>
      </c>
      <c r="Q7" s="45" t="s">
        <v>58</v>
      </c>
      <c r="R7" s="28"/>
      <c r="S7" s="30"/>
      <c r="T7" s="28"/>
      <c r="U7" s="28"/>
    </row>
    <row r="8" spans="1:21" s="22" customFormat="1" x14ac:dyDescent="0.25">
      <c r="A8" s="15"/>
      <c r="B8" s="30" t="s">
        <v>22</v>
      </c>
      <c r="C8" s="30" t="s">
        <v>22</v>
      </c>
      <c r="D8" s="30" t="s">
        <v>22</v>
      </c>
      <c r="E8" s="30" t="s">
        <v>22</v>
      </c>
      <c r="F8" s="30" t="s">
        <v>22</v>
      </c>
      <c r="G8" s="30" t="s">
        <v>23</v>
      </c>
      <c r="H8" s="30" t="s">
        <v>22</v>
      </c>
      <c r="I8" s="30" t="s">
        <v>22</v>
      </c>
      <c r="J8" s="30" t="s">
        <v>24</v>
      </c>
      <c r="K8" s="30" t="s">
        <v>25</v>
      </c>
      <c r="L8" s="28" t="s">
        <v>27</v>
      </c>
      <c r="M8" s="30" t="s">
        <v>26</v>
      </c>
      <c r="N8" s="30" t="s">
        <v>28</v>
      </c>
      <c r="O8" s="28" t="s">
        <v>29</v>
      </c>
      <c r="P8" s="30" t="s">
        <v>22</v>
      </c>
      <c r="Q8" s="30" t="s">
        <v>22</v>
      </c>
      <c r="R8" s="28"/>
      <c r="S8" s="30"/>
      <c r="T8" s="28"/>
      <c r="U8" s="28"/>
    </row>
    <row r="9" spans="1:21" s="12" customFormat="1" x14ac:dyDescent="0.25">
      <c r="A9" s="51" t="s">
        <v>350</v>
      </c>
      <c r="B9" s="52">
        <v>10.08</v>
      </c>
      <c r="C9" s="52">
        <v>25.29</v>
      </c>
      <c r="D9" s="52">
        <v>35.36</v>
      </c>
      <c r="E9" s="52">
        <v>9.8699999999999992</v>
      </c>
      <c r="F9" s="52">
        <v>5.05</v>
      </c>
      <c r="G9" s="52">
        <v>47.13</v>
      </c>
      <c r="H9" s="52">
        <v>5.22</v>
      </c>
      <c r="I9" s="52">
        <v>0.72</v>
      </c>
      <c r="J9" s="52">
        <v>0.2</v>
      </c>
      <c r="K9" s="52">
        <v>320.29000000000002</v>
      </c>
      <c r="L9" s="52">
        <v>31.45</v>
      </c>
      <c r="M9" s="52">
        <v>107.36</v>
      </c>
      <c r="N9" s="52">
        <v>12.4</v>
      </c>
      <c r="O9" s="52">
        <v>0</v>
      </c>
      <c r="P9" s="52">
        <v>0.73</v>
      </c>
      <c r="Q9" s="52">
        <v>167.76</v>
      </c>
      <c r="R9" s="44"/>
      <c r="S9" s="44"/>
      <c r="T9" s="44"/>
      <c r="U9" s="44"/>
    </row>
    <row r="10" spans="1:21" s="12" customFormat="1" x14ac:dyDescent="0.25">
      <c r="A10" s="51" t="s">
        <v>351</v>
      </c>
      <c r="B10" s="52">
        <v>9.34</v>
      </c>
      <c r="C10" s="52">
        <v>20.81</v>
      </c>
      <c r="D10" s="52">
        <v>30.15</v>
      </c>
      <c r="E10" s="52">
        <v>10.220000000000001</v>
      </c>
      <c r="F10" s="52">
        <v>5.22</v>
      </c>
      <c r="G10" s="52">
        <v>33.72</v>
      </c>
      <c r="H10" s="52">
        <v>6.76</v>
      </c>
      <c r="I10" s="52">
        <v>0.69</v>
      </c>
      <c r="J10" s="52">
        <v>0.18</v>
      </c>
      <c r="K10" s="52">
        <v>297.60000000000002</v>
      </c>
      <c r="L10" s="52">
        <v>31.05</v>
      </c>
      <c r="M10" s="52">
        <v>109.1</v>
      </c>
      <c r="N10" s="52">
        <v>12.6</v>
      </c>
      <c r="O10" s="52">
        <v>0</v>
      </c>
      <c r="P10" s="52">
        <v>0.68</v>
      </c>
      <c r="Q10" s="52">
        <v>172.49</v>
      </c>
      <c r="R10" s="44"/>
      <c r="S10" s="44"/>
      <c r="T10" s="44"/>
      <c r="U10" s="44"/>
    </row>
    <row r="11" spans="1:21" s="12" customFormat="1" x14ac:dyDescent="0.25">
      <c r="A11" s="51" t="s">
        <v>352</v>
      </c>
      <c r="B11" s="52">
        <v>9.82</v>
      </c>
      <c r="C11" s="52">
        <v>22.56</v>
      </c>
      <c r="D11" s="52">
        <v>32.33</v>
      </c>
      <c r="E11" s="52">
        <v>10.33</v>
      </c>
      <c r="F11" s="52">
        <v>3.65</v>
      </c>
      <c r="G11" s="52">
        <v>25.82</v>
      </c>
      <c r="H11" s="52">
        <v>3.83</v>
      </c>
      <c r="I11" s="52">
        <v>0.77</v>
      </c>
      <c r="J11" s="52">
        <v>0.11</v>
      </c>
      <c r="K11" s="52">
        <v>269</v>
      </c>
      <c r="L11" s="52">
        <v>25.23</v>
      </c>
      <c r="M11" s="52">
        <v>112.75</v>
      </c>
      <c r="N11" s="52">
        <v>13.2</v>
      </c>
      <c r="O11" s="52">
        <v>0</v>
      </c>
      <c r="P11" s="52">
        <v>0.66</v>
      </c>
      <c r="Q11" s="52">
        <v>170.08</v>
      </c>
      <c r="R11" s="44"/>
      <c r="S11" s="44"/>
      <c r="T11" s="44"/>
      <c r="U11" s="44"/>
    </row>
    <row r="12" spans="1:21" s="12" customFormat="1" x14ac:dyDescent="0.25">
      <c r="A12" s="51" t="s">
        <v>353</v>
      </c>
      <c r="B12" s="52">
        <v>8.44</v>
      </c>
      <c r="C12" s="52">
        <v>21.59</v>
      </c>
      <c r="D12" s="52">
        <v>30.04</v>
      </c>
      <c r="E12" s="52">
        <v>10.53</v>
      </c>
      <c r="F12" s="52">
        <v>4.04</v>
      </c>
      <c r="G12" s="52">
        <v>23.28</v>
      </c>
      <c r="H12" s="52">
        <v>6.24</v>
      </c>
      <c r="I12" s="52">
        <v>0.72</v>
      </c>
      <c r="J12" s="52">
        <v>0.11</v>
      </c>
      <c r="K12" s="52">
        <v>273.83999999999997</v>
      </c>
      <c r="L12" s="52">
        <v>24.93</v>
      </c>
      <c r="M12" s="52">
        <v>112.74</v>
      </c>
      <c r="N12" s="52">
        <v>13.4</v>
      </c>
      <c r="O12" s="52">
        <v>0</v>
      </c>
      <c r="P12" s="52">
        <v>0.57999999999999996</v>
      </c>
      <c r="Q12" s="52">
        <v>155.11000000000001</v>
      </c>
      <c r="R12" s="44"/>
      <c r="S12" s="44"/>
      <c r="T12" s="44"/>
      <c r="U12" s="44"/>
    </row>
    <row r="13" spans="1:21" s="12" customFormat="1" x14ac:dyDescent="0.25">
      <c r="A13" s="51" t="s">
        <v>354</v>
      </c>
      <c r="B13" s="52">
        <v>9.5299999999999994</v>
      </c>
      <c r="C13" s="52">
        <v>26.43</v>
      </c>
      <c r="D13" s="52">
        <v>35.96</v>
      </c>
      <c r="E13" s="52">
        <v>9.58</v>
      </c>
      <c r="F13" s="52">
        <v>4.1500000000000004</v>
      </c>
      <c r="G13" s="52">
        <v>29.33</v>
      </c>
      <c r="H13" s="10" t="s">
        <v>15</v>
      </c>
      <c r="I13" s="52">
        <v>0.65</v>
      </c>
      <c r="J13" s="52">
        <v>0.49</v>
      </c>
      <c r="K13" s="52">
        <v>359.6</v>
      </c>
      <c r="L13" s="52">
        <v>25.11</v>
      </c>
      <c r="M13" s="52">
        <v>108.51</v>
      </c>
      <c r="N13" s="52">
        <v>13.2</v>
      </c>
      <c r="O13" s="52">
        <v>0</v>
      </c>
      <c r="P13" s="52">
        <v>0.5</v>
      </c>
      <c r="Q13" s="52">
        <v>150.85</v>
      </c>
      <c r="R13" s="44"/>
      <c r="S13" s="44"/>
      <c r="T13" s="44"/>
      <c r="U13" s="44"/>
    </row>
    <row r="14" spans="1:21" s="12" customFormat="1" x14ac:dyDescent="0.25">
      <c r="A14" s="51" t="s">
        <v>355</v>
      </c>
      <c r="B14" s="52">
        <v>15.97</v>
      </c>
      <c r="C14" s="52">
        <v>32.07</v>
      </c>
      <c r="D14" s="52">
        <v>48.04</v>
      </c>
      <c r="E14" s="52">
        <v>10.52</v>
      </c>
      <c r="F14" s="52">
        <v>3.88</v>
      </c>
      <c r="G14" s="52">
        <v>81.53</v>
      </c>
      <c r="H14" s="52">
        <v>14.43</v>
      </c>
      <c r="I14" s="52">
        <v>0.76</v>
      </c>
      <c r="J14" s="52">
        <v>0.35</v>
      </c>
      <c r="K14" s="52">
        <v>359.98</v>
      </c>
      <c r="L14" s="52">
        <v>25.12</v>
      </c>
      <c r="M14" s="52">
        <v>110.47</v>
      </c>
      <c r="N14" s="52">
        <v>18.7</v>
      </c>
      <c r="O14" s="52">
        <v>0</v>
      </c>
      <c r="P14" s="52">
        <v>0.56999999999999995</v>
      </c>
      <c r="Q14" s="52">
        <v>171.57</v>
      </c>
      <c r="R14" s="44"/>
      <c r="S14" s="44"/>
      <c r="T14" s="44"/>
      <c r="U14" s="44"/>
    </row>
    <row r="15" spans="1:21" s="12" customFormat="1" x14ac:dyDescent="0.25">
      <c r="A15" s="51" t="s">
        <v>356</v>
      </c>
      <c r="B15" s="52">
        <v>24.33</v>
      </c>
      <c r="C15" s="52">
        <v>37.76</v>
      </c>
      <c r="D15" s="52">
        <v>62.09</v>
      </c>
      <c r="E15" s="52">
        <v>10.35</v>
      </c>
      <c r="F15" s="52">
        <v>3.76</v>
      </c>
      <c r="G15" s="52">
        <v>131.16999999999999</v>
      </c>
      <c r="H15" s="52">
        <v>28.67</v>
      </c>
      <c r="I15" s="52">
        <v>0.83</v>
      </c>
      <c r="J15" s="52">
        <v>0.9</v>
      </c>
      <c r="K15" s="52">
        <v>57.72</v>
      </c>
      <c r="L15" s="52">
        <v>27.74</v>
      </c>
      <c r="M15" s="52">
        <v>111.07</v>
      </c>
      <c r="N15" s="52">
        <v>114.2</v>
      </c>
      <c r="O15" s="52">
        <v>0</v>
      </c>
      <c r="P15" s="52">
        <v>0.71</v>
      </c>
      <c r="Q15" s="52">
        <v>161.51</v>
      </c>
      <c r="R15" s="44"/>
      <c r="S15" s="44"/>
      <c r="T15" s="44"/>
      <c r="U15" s="44"/>
    </row>
    <row r="16" spans="1:21" s="12" customFormat="1" x14ac:dyDescent="0.25">
      <c r="A16" s="51" t="s">
        <v>357</v>
      </c>
      <c r="B16" s="52">
        <v>36.58</v>
      </c>
      <c r="C16" s="52">
        <v>58.46</v>
      </c>
      <c r="D16" s="52">
        <v>95.04</v>
      </c>
      <c r="E16" s="52">
        <v>11.49</v>
      </c>
      <c r="F16" s="52">
        <v>3.98</v>
      </c>
      <c r="G16" s="52">
        <v>252.8</v>
      </c>
      <c r="H16" s="52">
        <v>50.58</v>
      </c>
      <c r="I16" s="52">
        <v>0.82</v>
      </c>
      <c r="J16" s="52">
        <v>0.62</v>
      </c>
      <c r="K16" s="52">
        <v>26.84</v>
      </c>
      <c r="L16" s="52">
        <v>28.48</v>
      </c>
      <c r="M16" s="52">
        <v>106.35</v>
      </c>
      <c r="N16" s="52">
        <v>186.1</v>
      </c>
      <c r="O16" s="52">
        <v>0</v>
      </c>
      <c r="P16" s="52">
        <v>0.98</v>
      </c>
      <c r="Q16" s="52">
        <v>169.68</v>
      </c>
      <c r="R16" s="44"/>
      <c r="S16" s="44"/>
      <c r="T16" s="44"/>
      <c r="U16" s="44"/>
    </row>
    <row r="17" spans="1:21" s="12" customFormat="1" x14ac:dyDescent="0.25">
      <c r="A17" s="51" t="s">
        <v>358</v>
      </c>
      <c r="B17" s="52">
        <v>33.97</v>
      </c>
      <c r="C17" s="52">
        <v>52.76</v>
      </c>
      <c r="D17" s="52">
        <v>86.73</v>
      </c>
      <c r="E17" s="52">
        <v>12.11</v>
      </c>
      <c r="F17" s="52">
        <v>5.6</v>
      </c>
      <c r="G17" s="52">
        <v>290.23</v>
      </c>
      <c r="H17" s="52">
        <v>65.709999999999994</v>
      </c>
      <c r="I17" s="52">
        <v>0.81</v>
      </c>
      <c r="J17" s="52">
        <v>0.48</v>
      </c>
      <c r="K17" s="52">
        <v>132.65</v>
      </c>
      <c r="L17" s="52">
        <v>30.75</v>
      </c>
      <c r="M17" s="52">
        <v>89.83</v>
      </c>
      <c r="N17" s="52">
        <v>422</v>
      </c>
      <c r="O17" s="52">
        <v>0</v>
      </c>
      <c r="P17" s="52">
        <v>0.97</v>
      </c>
      <c r="Q17" s="52">
        <v>180.68</v>
      </c>
      <c r="R17" s="44"/>
      <c r="S17" s="44"/>
      <c r="T17" s="44"/>
      <c r="U17" s="44"/>
    </row>
    <row r="18" spans="1:21" s="12" customFormat="1" x14ac:dyDescent="0.25">
      <c r="A18" s="51" t="s">
        <v>359</v>
      </c>
      <c r="B18" s="52">
        <v>32.1</v>
      </c>
      <c r="C18" s="52">
        <v>53.39</v>
      </c>
      <c r="D18" s="52">
        <v>85.49</v>
      </c>
      <c r="E18" s="52">
        <v>11.87</v>
      </c>
      <c r="F18" s="52">
        <v>5.1100000000000003</v>
      </c>
      <c r="G18" s="52">
        <v>175.02</v>
      </c>
      <c r="H18" s="52">
        <v>56.24</v>
      </c>
      <c r="I18" s="52">
        <v>0.9</v>
      </c>
      <c r="J18" s="52">
        <v>0.3</v>
      </c>
      <c r="K18" s="52">
        <v>217.58</v>
      </c>
      <c r="L18" s="52">
        <v>30.5</v>
      </c>
      <c r="M18" s="52">
        <v>90</v>
      </c>
      <c r="N18" s="52">
        <v>275.7</v>
      </c>
      <c r="O18" s="52">
        <v>0</v>
      </c>
      <c r="P18" s="52">
        <v>0.98</v>
      </c>
      <c r="Q18" s="52">
        <v>195.77</v>
      </c>
      <c r="R18" s="44"/>
      <c r="S18" s="44"/>
      <c r="T18" s="44"/>
      <c r="U18" s="44"/>
    </row>
    <row r="19" spans="1:21" s="12" customFormat="1" x14ac:dyDescent="0.25">
      <c r="A19" s="51" t="s">
        <v>360</v>
      </c>
      <c r="B19" s="52">
        <v>23.46</v>
      </c>
      <c r="C19" s="52">
        <v>50.47</v>
      </c>
      <c r="D19" s="52">
        <v>73.930000000000007</v>
      </c>
      <c r="E19" s="52">
        <v>10.87</v>
      </c>
      <c r="F19" s="52">
        <v>6.39</v>
      </c>
      <c r="G19" s="52">
        <v>177.58</v>
      </c>
      <c r="H19" s="52">
        <v>58.04</v>
      </c>
      <c r="I19" s="52">
        <v>0.87</v>
      </c>
      <c r="J19" s="52">
        <v>0.57999999999999996</v>
      </c>
      <c r="K19" s="52">
        <v>185.24</v>
      </c>
      <c r="L19" s="52">
        <v>31.26</v>
      </c>
      <c r="M19" s="52">
        <v>92.95</v>
      </c>
      <c r="N19" s="52">
        <v>501.8</v>
      </c>
      <c r="O19" s="52">
        <v>0</v>
      </c>
      <c r="P19" s="52">
        <v>0.97</v>
      </c>
      <c r="Q19" s="52">
        <v>166.69</v>
      </c>
      <c r="R19" s="44"/>
      <c r="S19" s="44"/>
      <c r="T19" s="44"/>
      <c r="U19" s="44"/>
    </row>
    <row r="20" spans="1:21" s="12" customFormat="1" x14ac:dyDescent="0.25">
      <c r="A20" s="51" t="s">
        <v>361</v>
      </c>
      <c r="B20" s="52">
        <v>14.32</v>
      </c>
      <c r="C20" s="52">
        <v>45.06</v>
      </c>
      <c r="D20" s="52">
        <v>59.01</v>
      </c>
      <c r="E20" s="52">
        <v>11.06</v>
      </c>
      <c r="F20" s="52">
        <v>9.56</v>
      </c>
      <c r="G20" s="52">
        <v>135.72999999999999</v>
      </c>
      <c r="H20" s="52">
        <v>54.19</v>
      </c>
      <c r="I20" s="52">
        <v>0.81</v>
      </c>
      <c r="J20" s="52">
        <v>1.9</v>
      </c>
      <c r="K20" s="52">
        <v>358.49</v>
      </c>
      <c r="L20" s="52">
        <v>34.450000000000003</v>
      </c>
      <c r="M20" s="52">
        <v>109.49</v>
      </c>
      <c r="N20" s="52">
        <v>854.8</v>
      </c>
      <c r="O20" s="52">
        <v>0</v>
      </c>
      <c r="P20" s="52">
        <v>0.96</v>
      </c>
      <c r="Q20" s="52">
        <v>147.85</v>
      </c>
      <c r="R20" s="44"/>
      <c r="S20" s="44"/>
      <c r="T20" s="44"/>
      <c r="U20" s="44"/>
    </row>
    <row r="21" spans="1:21" s="12" customFormat="1" x14ac:dyDescent="0.25">
      <c r="A21" s="51" t="s">
        <v>362</v>
      </c>
      <c r="B21" s="52">
        <v>8.77</v>
      </c>
      <c r="C21" s="52">
        <v>42.28</v>
      </c>
      <c r="D21" s="52">
        <v>51.05</v>
      </c>
      <c r="E21" s="52">
        <v>9.3699999999999992</v>
      </c>
      <c r="F21" s="52">
        <v>5.58</v>
      </c>
      <c r="G21" s="52">
        <v>90.5</v>
      </c>
      <c r="H21" s="52">
        <v>37.47</v>
      </c>
      <c r="I21" s="52">
        <v>0.84</v>
      </c>
      <c r="J21" s="52">
        <v>1.95</v>
      </c>
      <c r="K21" s="52">
        <v>60.58</v>
      </c>
      <c r="L21" s="52">
        <v>35.22</v>
      </c>
      <c r="M21" s="52">
        <v>109.04</v>
      </c>
      <c r="N21" s="52">
        <v>996.5</v>
      </c>
      <c r="O21" s="52">
        <v>0</v>
      </c>
      <c r="P21" s="52">
        <v>0.98</v>
      </c>
      <c r="Q21" s="52">
        <v>143.05000000000001</v>
      </c>
      <c r="R21" s="44"/>
      <c r="S21" s="44"/>
      <c r="T21" s="44"/>
      <c r="U21" s="44"/>
    </row>
    <row r="22" spans="1:21" s="12" customFormat="1" x14ac:dyDescent="0.25">
      <c r="A22" s="51" t="s">
        <v>363</v>
      </c>
      <c r="B22" s="52">
        <v>5.26</v>
      </c>
      <c r="C22" s="52">
        <v>41.22</v>
      </c>
      <c r="D22" s="52">
        <v>46.47</v>
      </c>
      <c r="E22" s="52">
        <v>9.01</v>
      </c>
      <c r="F22" s="52">
        <v>5.54</v>
      </c>
      <c r="G22" s="52">
        <v>62.13</v>
      </c>
      <c r="H22" s="52">
        <v>25.62</v>
      </c>
      <c r="I22" s="52">
        <v>0.81</v>
      </c>
      <c r="J22" s="52">
        <v>1.7</v>
      </c>
      <c r="K22" s="52">
        <v>109.52</v>
      </c>
      <c r="L22" s="52">
        <v>32.08</v>
      </c>
      <c r="M22" s="52">
        <v>85.29</v>
      </c>
      <c r="N22" s="52">
        <v>794.5</v>
      </c>
      <c r="O22" s="52">
        <v>0</v>
      </c>
      <c r="P22" s="52">
        <v>0.96</v>
      </c>
      <c r="Q22" s="52">
        <v>141.07</v>
      </c>
      <c r="R22" s="44"/>
      <c r="S22" s="44"/>
      <c r="T22" s="44"/>
      <c r="U22" s="44"/>
    </row>
    <row r="23" spans="1:21" s="12" customFormat="1" x14ac:dyDescent="0.25">
      <c r="A23" s="51" t="s">
        <v>364</v>
      </c>
      <c r="B23" s="52">
        <v>6.29</v>
      </c>
      <c r="C23" s="52">
        <v>32.85</v>
      </c>
      <c r="D23" s="52">
        <v>38.15</v>
      </c>
      <c r="E23" s="52">
        <v>9.7899999999999991</v>
      </c>
      <c r="F23" s="52">
        <v>9.7899999999999991</v>
      </c>
      <c r="G23" s="52">
        <v>56.17</v>
      </c>
      <c r="H23" s="52">
        <v>20.34</v>
      </c>
      <c r="I23" s="52">
        <v>0.73</v>
      </c>
      <c r="J23" s="52">
        <v>0.84</v>
      </c>
      <c r="K23" s="52">
        <v>104.06</v>
      </c>
      <c r="L23" s="52">
        <v>33.299999999999997</v>
      </c>
      <c r="M23" s="52">
        <v>134.59</v>
      </c>
      <c r="N23" s="52">
        <v>676.8</v>
      </c>
      <c r="O23" s="52">
        <v>0</v>
      </c>
      <c r="P23" s="52">
        <v>0.78</v>
      </c>
      <c r="Q23" s="52">
        <v>143.4</v>
      </c>
      <c r="R23" s="44"/>
      <c r="S23" s="44"/>
      <c r="T23" s="44"/>
      <c r="U23" s="44"/>
    </row>
    <row r="24" spans="1:21" s="12" customFormat="1" x14ac:dyDescent="0.25">
      <c r="A24" s="51" t="s">
        <v>365</v>
      </c>
      <c r="B24" s="52">
        <v>5.78</v>
      </c>
      <c r="C24" s="52">
        <v>37.950000000000003</v>
      </c>
      <c r="D24" s="52">
        <v>43.73</v>
      </c>
      <c r="E24" s="52">
        <v>10.23</v>
      </c>
      <c r="F24" s="52">
        <v>10.79</v>
      </c>
      <c r="G24" s="52">
        <v>60.6</v>
      </c>
      <c r="H24" s="52">
        <v>21.63</v>
      </c>
      <c r="I24" s="52">
        <v>0.62</v>
      </c>
      <c r="J24" s="52">
        <v>1.01</v>
      </c>
      <c r="K24" s="52">
        <v>98.53</v>
      </c>
      <c r="L24" s="52">
        <v>32.270000000000003</v>
      </c>
      <c r="M24" s="52">
        <v>149.41999999999999</v>
      </c>
      <c r="N24" s="52">
        <v>391.1</v>
      </c>
      <c r="O24" s="52">
        <v>0</v>
      </c>
      <c r="P24" s="52">
        <v>0.75</v>
      </c>
      <c r="Q24" s="52">
        <v>136.63999999999999</v>
      </c>
      <c r="R24" s="44"/>
      <c r="S24" s="44"/>
      <c r="T24" s="44"/>
      <c r="U24" s="44"/>
    </row>
    <row r="25" spans="1:21" s="12" customFormat="1" x14ac:dyDescent="0.25">
      <c r="A25" s="51" t="s">
        <v>366</v>
      </c>
      <c r="B25" s="52">
        <v>4.84</v>
      </c>
      <c r="C25" s="52">
        <v>35.229999999999997</v>
      </c>
      <c r="D25" s="52">
        <v>40</v>
      </c>
      <c r="E25" s="52">
        <v>10.83</v>
      </c>
      <c r="F25" s="52">
        <v>9.73</v>
      </c>
      <c r="G25" s="52">
        <v>66.45</v>
      </c>
      <c r="H25" s="52">
        <v>21.78</v>
      </c>
      <c r="I25" s="52">
        <v>0.65</v>
      </c>
      <c r="J25" s="52">
        <v>0.76</v>
      </c>
      <c r="K25" s="52">
        <v>105.09</v>
      </c>
      <c r="L25" s="52">
        <v>30.81</v>
      </c>
      <c r="M25" s="52">
        <v>68.73</v>
      </c>
      <c r="N25" s="52">
        <v>95</v>
      </c>
      <c r="O25" s="52">
        <v>0</v>
      </c>
      <c r="P25" s="52">
        <v>0.74</v>
      </c>
      <c r="Q25" s="52">
        <v>148.94999999999999</v>
      </c>
      <c r="R25" s="44"/>
      <c r="S25" s="44"/>
      <c r="T25" s="44"/>
      <c r="U25" s="44"/>
    </row>
    <row r="26" spans="1:21" s="12" customFormat="1" x14ac:dyDescent="0.25">
      <c r="A26" s="51" t="s">
        <v>367</v>
      </c>
      <c r="B26" s="52">
        <v>9.2899999999999991</v>
      </c>
      <c r="C26" s="52">
        <v>59.4</v>
      </c>
      <c r="D26" s="52">
        <v>68.69</v>
      </c>
      <c r="E26" s="52">
        <v>10.43</v>
      </c>
      <c r="F26" s="52">
        <v>6.89</v>
      </c>
      <c r="G26" s="52">
        <v>64.81</v>
      </c>
      <c r="H26" s="52">
        <v>15.69</v>
      </c>
      <c r="I26" s="52">
        <v>0.63</v>
      </c>
      <c r="J26" s="52">
        <v>0.56000000000000005</v>
      </c>
      <c r="K26" s="52">
        <v>114.3</v>
      </c>
      <c r="L26" s="52">
        <v>29.64</v>
      </c>
      <c r="M26" s="52">
        <v>73.23</v>
      </c>
      <c r="N26" s="52">
        <v>30.1</v>
      </c>
      <c r="O26" s="52">
        <v>0</v>
      </c>
      <c r="P26" s="52">
        <v>1.04</v>
      </c>
      <c r="Q26" s="52">
        <v>132.08000000000001</v>
      </c>
      <c r="R26" s="44"/>
      <c r="S26" s="44"/>
      <c r="T26" s="44"/>
      <c r="U26" s="44"/>
    </row>
    <row r="27" spans="1:21" s="12" customFormat="1" x14ac:dyDescent="0.25">
      <c r="A27" s="51" t="s">
        <v>368</v>
      </c>
      <c r="B27" s="52">
        <v>11.42</v>
      </c>
      <c r="C27" s="52">
        <v>51.13</v>
      </c>
      <c r="D27" s="52">
        <v>61.94</v>
      </c>
      <c r="E27" s="52">
        <v>10.7</v>
      </c>
      <c r="F27" s="52">
        <v>7.78</v>
      </c>
      <c r="G27" s="52">
        <v>94.98</v>
      </c>
      <c r="H27" s="52">
        <v>16.350000000000001</v>
      </c>
      <c r="I27" s="52">
        <v>0.69</v>
      </c>
      <c r="J27" s="52">
        <v>1.77</v>
      </c>
      <c r="K27" s="52">
        <v>357.37</v>
      </c>
      <c r="L27" s="52">
        <v>29.19</v>
      </c>
      <c r="M27" s="52">
        <v>80.13</v>
      </c>
      <c r="N27" s="52">
        <v>15</v>
      </c>
      <c r="O27" s="52">
        <v>0</v>
      </c>
      <c r="P27" s="52">
        <v>0.98</v>
      </c>
      <c r="Q27" s="52">
        <v>125.65</v>
      </c>
      <c r="R27" s="44"/>
      <c r="S27" s="44"/>
      <c r="T27" s="44"/>
      <c r="U27" s="44"/>
    </row>
    <row r="28" spans="1:21" s="12" customFormat="1" x14ac:dyDescent="0.25">
      <c r="A28" s="51" t="s">
        <v>369</v>
      </c>
      <c r="B28" s="52">
        <v>12.11</v>
      </c>
      <c r="C28" s="52">
        <v>44.78</v>
      </c>
      <c r="D28" s="52">
        <v>56.88</v>
      </c>
      <c r="E28" s="52">
        <v>11.76</v>
      </c>
      <c r="F28" s="52">
        <v>7.65</v>
      </c>
      <c r="G28" s="52">
        <v>103.77</v>
      </c>
      <c r="H28" s="52">
        <v>17.25</v>
      </c>
      <c r="I28" s="52">
        <v>0.76</v>
      </c>
      <c r="J28" s="52">
        <v>0.71</v>
      </c>
      <c r="K28" s="52">
        <v>101.65</v>
      </c>
      <c r="L28" s="52">
        <v>27.84</v>
      </c>
      <c r="M28" s="52">
        <v>86.58</v>
      </c>
      <c r="N28" s="52">
        <v>14.1</v>
      </c>
      <c r="O28" s="52">
        <v>0</v>
      </c>
      <c r="P28" s="52">
        <v>1.01</v>
      </c>
      <c r="Q28" s="52">
        <v>137.97999999999999</v>
      </c>
      <c r="R28" s="44"/>
      <c r="S28" s="44"/>
      <c r="T28" s="44"/>
      <c r="U28" s="44"/>
    </row>
    <row r="29" spans="1:21" s="12" customFormat="1" x14ac:dyDescent="0.25">
      <c r="A29" s="51" t="s">
        <v>370</v>
      </c>
      <c r="B29" s="52">
        <v>15.05</v>
      </c>
      <c r="C29" s="52">
        <v>46.97</v>
      </c>
      <c r="D29" s="52">
        <v>62.02</v>
      </c>
      <c r="E29" s="52">
        <v>9.3800000000000008</v>
      </c>
      <c r="F29" s="52">
        <v>4.33</v>
      </c>
      <c r="G29" s="52">
        <v>64.42</v>
      </c>
      <c r="H29" s="52">
        <v>17.75</v>
      </c>
      <c r="I29" s="52">
        <v>0.78</v>
      </c>
      <c r="J29" s="52">
        <v>0.18</v>
      </c>
      <c r="K29" s="52">
        <v>341.36</v>
      </c>
      <c r="L29" s="52">
        <v>27.63</v>
      </c>
      <c r="M29" s="52">
        <v>94.65</v>
      </c>
      <c r="N29" s="52">
        <v>14.1</v>
      </c>
      <c r="O29" s="52">
        <v>0</v>
      </c>
      <c r="P29" s="52">
        <v>1.27</v>
      </c>
      <c r="Q29" s="52">
        <v>134.19999999999999</v>
      </c>
      <c r="R29" s="44"/>
      <c r="S29" s="44"/>
      <c r="T29" s="44"/>
      <c r="U29" s="44"/>
    </row>
    <row r="30" spans="1:21" s="12" customFormat="1" x14ac:dyDescent="0.25">
      <c r="A30" s="51" t="s">
        <v>371</v>
      </c>
      <c r="B30" s="52">
        <v>20.91</v>
      </c>
      <c r="C30" s="52">
        <v>64.81</v>
      </c>
      <c r="D30" s="52">
        <v>85.72</v>
      </c>
      <c r="E30" s="52">
        <v>9.85</v>
      </c>
      <c r="F30" s="52">
        <v>5.3</v>
      </c>
      <c r="G30" s="52">
        <v>85.18</v>
      </c>
      <c r="H30" s="52">
        <v>16.37</v>
      </c>
      <c r="I30" s="52">
        <v>0.87</v>
      </c>
      <c r="J30" s="52">
        <v>0.83</v>
      </c>
      <c r="K30" s="52">
        <v>68.8</v>
      </c>
      <c r="L30" s="52">
        <v>27.73</v>
      </c>
      <c r="M30" s="52">
        <v>99.02</v>
      </c>
      <c r="N30" s="52">
        <v>14.9</v>
      </c>
      <c r="O30" s="52">
        <v>0</v>
      </c>
      <c r="P30" s="52">
        <v>1.53</v>
      </c>
      <c r="Q30" s="52">
        <v>119.36</v>
      </c>
      <c r="R30" s="44"/>
      <c r="S30" s="44"/>
      <c r="T30" s="44"/>
      <c r="U30" s="44"/>
    </row>
    <row r="31" spans="1:21" s="12" customFormat="1" x14ac:dyDescent="0.25">
      <c r="A31" s="51" t="s">
        <v>372</v>
      </c>
      <c r="B31" s="52">
        <v>18.63</v>
      </c>
      <c r="C31" s="52">
        <v>49.09</v>
      </c>
      <c r="D31" s="52">
        <v>67.73</v>
      </c>
      <c r="E31" s="52">
        <v>11.91</v>
      </c>
      <c r="F31" s="52">
        <v>5.61</v>
      </c>
      <c r="G31" s="52">
        <v>128.19</v>
      </c>
      <c r="H31" s="52">
        <v>23.07</v>
      </c>
      <c r="I31" s="52">
        <v>0.86</v>
      </c>
      <c r="J31" s="52">
        <v>0.93</v>
      </c>
      <c r="K31" s="52">
        <v>357.04</v>
      </c>
      <c r="L31" s="52">
        <v>27.68</v>
      </c>
      <c r="M31" s="52">
        <v>103.3</v>
      </c>
      <c r="N31" s="52">
        <v>14.9</v>
      </c>
      <c r="O31" s="52">
        <v>0</v>
      </c>
      <c r="P31" s="52">
        <v>1.44</v>
      </c>
      <c r="Q31" s="52">
        <v>122.86</v>
      </c>
      <c r="R31" s="44"/>
      <c r="S31" s="44"/>
      <c r="T31" s="44"/>
      <c r="U31" s="44"/>
    </row>
    <row r="32" spans="1:21" s="12" customFormat="1" x14ac:dyDescent="0.25">
      <c r="A32" s="51" t="s">
        <v>373</v>
      </c>
      <c r="B32" s="52">
        <v>17.5</v>
      </c>
      <c r="C32" s="52">
        <v>42.76</v>
      </c>
      <c r="D32" s="52">
        <v>60.2</v>
      </c>
      <c r="E32" s="52">
        <v>11.15</v>
      </c>
      <c r="F32" s="52">
        <v>3.65</v>
      </c>
      <c r="G32" s="52">
        <v>151.43</v>
      </c>
      <c r="H32" s="52">
        <v>29.31</v>
      </c>
      <c r="I32" s="52">
        <v>0.96</v>
      </c>
      <c r="J32" s="52">
        <v>1.24</v>
      </c>
      <c r="K32" s="52">
        <v>17.75</v>
      </c>
      <c r="L32" s="52">
        <v>27</v>
      </c>
      <c r="M32" s="52">
        <v>104.68</v>
      </c>
      <c r="N32" s="52">
        <v>14.9</v>
      </c>
      <c r="O32" s="52">
        <v>0</v>
      </c>
      <c r="P32" s="52">
        <v>1.39</v>
      </c>
      <c r="Q32" s="52">
        <v>128.38</v>
      </c>
      <c r="R32" s="44"/>
      <c r="S32" s="44"/>
      <c r="T32" s="44"/>
      <c r="U32" s="44"/>
    </row>
    <row r="33" spans="1:21" s="22" customFormat="1" x14ac:dyDescent="0.25">
      <c r="A33" s="27"/>
      <c r="B33" s="21"/>
      <c r="C33" s="21"/>
      <c r="D33" s="21"/>
      <c r="E33" s="21"/>
      <c r="F33" s="21"/>
      <c r="G33" s="27"/>
      <c r="H33" s="27"/>
      <c r="I33" s="27"/>
      <c r="J33" s="21"/>
      <c r="K33" s="21"/>
      <c r="L33" s="27"/>
      <c r="M33" s="27"/>
      <c r="N33" s="27"/>
      <c r="O33" s="27"/>
      <c r="P33" s="27"/>
      <c r="Q33" s="21"/>
      <c r="R33" s="21"/>
      <c r="S33" s="21"/>
      <c r="T33" s="21"/>
      <c r="U33" s="21"/>
    </row>
    <row r="34" spans="1:21" s="22" customFormat="1" x14ac:dyDescent="0.25">
      <c r="A34" s="28" t="s">
        <v>30</v>
      </c>
      <c r="B34" s="29">
        <f t="shared" ref="B34:Q34" si="0">MIN(B9:B32)</f>
        <v>4.84</v>
      </c>
      <c r="C34" s="29">
        <f t="shared" si="0"/>
        <v>20.81</v>
      </c>
      <c r="D34" s="29">
        <f t="shared" si="0"/>
        <v>30.04</v>
      </c>
      <c r="E34" s="29">
        <f t="shared" si="0"/>
        <v>9.01</v>
      </c>
      <c r="F34" s="29">
        <f t="shared" si="0"/>
        <v>3.65</v>
      </c>
      <c r="G34" s="29">
        <f t="shared" si="0"/>
        <v>23.28</v>
      </c>
      <c r="H34" s="29">
        <f t="shared" si="0"/>
        <v>3.83</v>
      </c>
      <c r="I34" s="29">
        <f t="shared" si="0"/>
        <v>0.62</v>
      </c>
      <c r="J34" s="29">
        <f t="shared" si="0"/>
        <v>0.11</v>
      </c>
      <c r="K34" s="29">
        <f t="shared" si="0"/>
        <v>17.75</v>
      </c>
      <c r="L34" s="29">
        <f t="shared" si="0"/>
        <v>24.93</v>
      </c>
      <c r="M34" s="29">
        <f t="shared" si="0"/>
        <v>68.73</v>
      </c>
      <c r="N34" s="29">
        <f t="shared" si="0"/>
        <v>12.4</v>
      </c>
      <c r="O34" s="29">
        <f t="shared" si="0"/>
        <v>0</v>
      </c>
      <c r="P34" s="29">
        <f t="shared" si="0"/>
        <v>0.5</v>
      </c>
      <c r="Q34" s="29">
        <f t="shared" si="0"/>
        <v>119.36</v>
      </c>
      <c r="R34" s="29"/>
      <c r="S34" s="29"/>
      <c r="T34" s="29"/>
      <c r="U34" s="29"/>
    </row>
    <row r="35" spans="1:21" s="22" customFormat="1" x14ac:dyDescent="0.25">
      <c r="A35" s="28" t="s">
        <v>31</v>
      </c>
      <c r="B35" s="30">
        <f t="shared" ref="B35:Q35" si="1">MAX(B9:B32)</f>
        <v>36.58</v>
      </c>
      <c r="C35" s="30">
        <f t="shared" si="1"/>
        <v>64.81</v>
      </c>
      <c r="D35" s="30">
        <f t="shared" si="1"/>
        <v>95.04</v>
      </c>
      <c r="E35" s="30">
        <f t="shared" si="1"/>
        <v>12.11</v>
      </c>
      <c r="F35" s="30">
        <f t="shared" si="1"/>
        <v>10.79</v>
      </c>
      <c r="G35" s="30">
        <f t="shared" si="1"/>
        <v>290.23</v>
      </c>
      <c r="H35" s="30">
        <f t="shared" si="1"/>
        <v>65.709999999999994</v>
      </c>
      <c r="I35" s="30">
        <f t="shared" si="1"/>
        <v>0.96</v>
      </c>
      <c r="J35" s="30">
        <f t="shared" si="1"/>
        <v>1.95</v>
      </c>
      <c r="K35" s="30">
        <f t="shared" si="1"/>
        <v>359.98</v>
      </c>
      <c r="L35" s="30">
        <f t="shared" si="1"/>
        <v>35.22</v>
      </c>
      <c r="M35" s="30">
        <f t="shared" si="1"/>
        <v>149.41999999999999</v>
      </c>
      <c r="N35" s="30">
        <f t="shared" si="1"/>
        <v>996.5</v>
      </c>
      <c r="O35" s="30">
        <f t="shared" si="1"/>
        <v>0</v>
      </c>
      <c r="P35" s="30">
        <f t="shared" si="1"/>
        <v>1.53</v>
      </c>
      <c r="Q35" s="30">
        <f t="shared" si="1"/>
        <v>195.77</v>
      </c>
      <c r="R35" s="30"/>
      <c r="S35" s="30"/>
      <c r="T35" s="30"/>
      <c r="U35" s="30"/>
    </row>
    <row r="36" spans="1:21" s="22" customFormat="1" x14ac:dyDescent="0.25">
      <c r="A36" s="28" t="s">
        <v>32</v>
      </c>
      <c r="B36" s="29">
        <f t="shared" ref="B36:Q36" si="2">AVERAGE(B9:B32)</f>
        <v>15.15791666666667</v>
      </c>
      <c r="C36" s="29">
        <f t="shared" si="2"/>
        <v>41.463333333333345</v>
      </c>
      <c r="D36" s="29">
        <f t="shared" si="2"/>
        <v>56.531250000000007</v>
      </c>
      <c r="E36" s="29">
        <f t="shared" si="2"/>
        <v>10.550416666666665</v>
      </c>
      <c r="F36" s="29">
        <f t="shared" si="2"/>
        <v>5.9595833333333355</v>
      </c>
      <c r="G36" s="29">
        <f t="shared" si="2"/>
        <v>101.33208333333333</v>
      </c>
      <c r="H36" s="29">
        <f t="shared" si="2"/>
        <v>26.632173913043477</v>
      </c>
      <c r="I36" s="29">
        <f t="shared" si="2"/>
        <v>0.7729166666666667</v>
      </c>
      <c r="J36" s="29">
        <f t="shared" si="2"/>
        <v>0.77916666666666634</v>
      </c>
      <c r="K36" s="29">
        <f t="shared" si="2"/>
        <v>195.62</v>
      </c>
      <c r="L36" s="29">
        <f t="shared" si="2"/>
        <v>29.435833333333335</v>
      </c>
      <c r="M36" s="29">
        <f t="shared" si="2"/>
        <v>102.05333333333334</v>
      </c>
      <c r="N36" s="29">
        <f t="shared" si="2"/>
        <v>229.58333333333337</v>
      </c>
      <c r="O36" s="29">
        <f t="shared" si="2"/>
        <v>0</v>
      </c>
      <c r="P36" s="29">
        <f t="shared" si="2"/>
        <v>0.92333333333333345</v>
      </c>
      <c r="Q36" s="29">
        <f t="shared" si="2"/>
        <v>150.98583333333335</v>
      </c>
      <c r="R36" s="29"/>
      <c r="S36" s="29"/>
      <c r="T36" s="29"/>
      <c r="U36" s="29"/>
    </row>
    <row r="37" spans="1:21" s="22" customFormat="1" x14ac:dyDescent="0.25">
      <c r="A37" s="28" t="s">
        <v>38</v>
      </c>
      <c r="B37" s="29">
        <f>STDEV(B9:B32)</f>
        <v>9.1825216670948588</v>
      </c>
      <c r="C37" s="29">
        <f t="shared" ref="C37:Q37" si="3">STDEV(C9:C32)</f>
        <v>12.525965264086455</v>
      </c>
      <c r="D37" s="29">
        <f t="shared" si="3"/>
        <v>19.342119687917787</v>
      </c>
      <c r="E37" s="29">
        <f t="shared" si="3"/>
        <v>0.8626525279960473</v>
      </c>
      <c r="F37" s="29">
        <f t="shared" si="3"/>
        <v>2.1756967483037881</v>
      </c>
      <c r="G37" s="29">
        <f t="shared" si="3"/>
        <v>69.038841681247845</v>
      </c>
      <c r="H37" s="29">
        <f t="shared" si="3"/>
        <v>18.327175539103308</v>
      </c>
      <c r="I37" s="29">
        <f t="shared" si="3"/>
        <v>9.0240218868579955E-2</v>
      </c>
      <c r="J37" s="29">
        <f t="shared" si="3"/>
        <v>0.56799354456425577</v>
      </c>
      <c r="K37" s="29">
        <f t="shared" si="3"/>
        <v>124.79766016479918</v>
      </c>
      <c r="L37" s="29">
        <f t="shared" si="3"/>
        <v>2.9506696611575078</v>
      </c>
      <c r="M37" s="29">
        <f t="shared" si="3"/>
        <v>17.836706087671203</v>
      </c>
      <c r="N37" s="29">
        <f t="shared" si="3"/>
        <v>313.94553067671467</v>
      </c>
      <c r="O37" s="29">
        <f t="shared" si="3"/>
        <v>0</v>
      </c>
      <c r="P37" s="29">
        <f t="shared" si="3"/>
        <v>0.27437940515099513</v>
      </c>
      <c r="Q37" s="29">
        <f t="shared" si="3"/>
        <v>20.145662585640878</v>
      </c>
      <c r="R37" s="29"/>
      <c r="S37" s="29"/>
      <c r="T37" s="29"/>
      <c r="U37" s="29"/>
    </row>
    <row r="38" spans="1:21" s="22" customFormat="1" x14ac:dyDescent="0.25">
      <c r="A38" s="32" t="s">
        <v>33</v>
      </c>
      <c r="B38" s="33">
        <f t="shared" ref="B38:Q38" si="4">COUNT(B9:B32)</f>
        <v>24</v>
      </c>
      <c r="C38" s="33">
        <f t="shared" si="4"/>
        <v>24</v>
      </c>
      <c r="D38" s="33">
        <f t="shared" si="4"/>
        <v>24</v>
      </c>
      <c r="E38" s="33">
        <f t="shared" si="4"/>
        <v>24</v>
      </c>
      <c r="F38" s="33">
        <f t="shared" si="4"/>
        <v>24</v>
      </c>
      <c r="G38" s="33">
        <f t="shared" si="4"/>
        <v>24</v>
      </c>
      <c r="H38" s="33">
        <f t="shared" si="4"/>
        <v>23</v>
      </c>
      <c r="I38" s="33">
        <f t="shared" si="4"/>
        <v>24</v>
      </c>
      <c r="J38" s="33">
        <f t="shared" si="4"/>
        <v>24</v>
      </c>
      <c r="K38" s="33">
        <f t="shared" si="4"/>
        <v>24</v>
      </c>
      <c r="L38" s="33">
        <f t="shared" si="4"/>
        <v>24</v>
      </c>
      <c r="M38" s="33">
        <f t="shared" si="4"/>
        <v>24</v>
      </c>
      <c r="N38" s="33">
        <f t="shared" si="4"/>
        <v>24</v>
      </c>
      <c r="O38" s="33">
        <f t="shared" si="4"/>
        <v>24</v>
      </c>
      <c r="P38" s="33">
        <f t="shared" si="4"/>
        <v>24</v>
      </c>
      <c r="Q38" s="33">
        <f t="shared" si="4"/>
        <v>24</v>
      </c>
      <c r="R38" s="33"/>
      <c r="S38" s="33"/>
      <c r="T38" s="33"/>
      <c r="U38" s="33"/>
    </row>
    <row r="39" spans="1:21" s="22" customFormat="1" x14ac:dyDescent="0.25">
      <c r="A39" s="28" t="s">
        <v>34</v>
      </c>
      <c r="B39" s="30" t="str">
        <f>IF(B38&gt;=22,"&gt;90%",IF(B38&lt;=22,"&lt;90%"))</f>
        <v>&gt;90%</v>
      </c>
      <c r="C39" s="30" t="str">
        <f t="shared" ref="C39:P39" si="5">IF(C38&gt;=22,"&gt;90%",IF(C38&lt;=22,"&lt;90%"))</f>
        <v>&gt;90%</v>
      </c>
      <c r="D39" s="30" t="str">
        <f t="shared" si="5"/>
        <v>&gt;90%</v>
      </c>
      <c r="E39" s="30" t="str">
        <f t="shared" si="5"/>
        <v>&gt;90%</v>
      </c>
      <c r="F39" s="30" t="str">
        <f t="shared" si="5"/>
        <v>&gt;90%</v>
      </c>
      <c r="G39" s="30" t="str">
        <f t="shared" si="5"/>
        <v>&gt;90%</v>
      </c>
      <c r="H39" s="30" t="str">
        <f t="shared" si="5"/>
        <v>&gt;90%</v>
      </c>
      <c r="I39" s="30" t="str">
        <f t="shared" si="5"/>
        <v>&gt;90%</v>
      </c>
      <c r="J39" s="30" t="str">
        <f t="shared" si="5"/>
        <v>&gt;90%</v>
      </c>
      <c r="K39" s="30" t="str">
        <f t="shared" si="5"/>
        <v>&gt;90%</v>
      </c>
      <c r="L39" s="30" t="str">
        <f t="shared" si="5"/>
        <v>&gt;90%</v>
      </c>
      <c r="M39" s="30" t="str">
        <f t="shared" si="5"/>
        <v>&gt;90%</v>
      </c>
      <c r="N39" s="30" t="str">
        <f t="shared" si="5"/>
        <v>&gt;90%</v>
      </c>
      <c r="O39" s="30" t="str">
        <f t="shared" si="5"/>
        <v>&gt;90%</v>
      </c>
      <c r="P39" s="30" t="str">
        <f t="shared" si="5"/>
        <v>&gt;90%</v>
      </c>
      <c r="Q39" s="30" t="str">
        <f>IF(Q38&gt;=22,"&gt;90%",IF(Q38&lt;=22,"&lt;90%"))</f>
        <v>&gt;90%</v>
      </c>
      <c r="R39" s="30"/>
      <c r="S39" s="30"/>
      <c r="T39" s="30"/>
      <c r="U39" s="30"/>
    </row>
    <row r="40" spans="1:21" s="22" customFormat="1" x14ac:dyDescent="0.25">
      <c r="A40" s="28" t="s">
        <v>1</v>
      </c>
      <c r="B40" s="30" t="str">
        <f>IF(B38&gt;=22,"OK",IF(B38&lt;=22,"LESS"))</f>
        <v>OK</v>
      </c>
      <c r="C40" s="30" t="str">
        <f t="shared" ref="C40:Q40" si="6">IF(C38&gt;=22,"OK",IF(C38&lt;=22,"LESS"))</f>
        <v>OK</v>
      </c>
      <c r="D40" s="30" t="str">
        <f t="shared" si="6"/>
        <v>OK</v>
      </c>
      <c r="E40" s="30" t="str">
        <f t="shared" si="6"/>
        <v>OK</v>
      </c>
      <c r="F40" s="30" t="str">
        <f t="shared" si="6"/>
        <v>OK</v>
      </c>
      <c r="G40" s="30" t="str">
        <f t="shared" si="6"/>
        <v>OK</v>
      </c>
      <c r="H40" s="30" t="str">
        <f t="shared" si="6"/>
        <v>OK</v>
      </c>
      <c r="I40" s="30" t="str">
        <f t="shared" si="6"/>
        <v>OK</v>
      </c>
      <c r="J40" s="30" t="str">
        <f t="shared" si="6"/>
        <v>OK</v>
      </c>
      <c r="K40" s="30" t="str">
        <f t="shared" si="6"/>
        <v>OK</v>
      </c>
      <c r="L40" s="30" t="str">
        <f t="shared" si="6"/>
        <v>OK</v>
      </c>
      <c r="M40" s="30" t="str">
        <f t="shared" si="6"/>
        <v>OK</v>
      </c>
      <c r="N40" s="30" t="str">
        <f t="shared" si="6"/>
        <v>OK</v>
      </c>
      <c r="O40" s="30" t="str">
        <f t="shared" si="6"/>
        <v>OK</v>
      </c>
      <c r="P40" s="30" t="str">
        <f t="shared" si="6"/>
        <v>OK</v>
      </c>
      <c r="Q40" s="30" t="str">
        <f t="shared" si="6"/>
        <v>OK</v>
      </c>
      <c r="R40" s="30"/>
      <c r="S40" s="30"/>
      <c r="T40" s="30"/>
      <c r="U40" s="30"/>
    </row>
    <row r="41" spans="1:21" s="22" customFormat="1" x14ac:dyDescent="0.25">
      <c r="A41" s="14"/>
      <c r="L41" s="14"/>
      <c r="N41" s="17"/>
      <c r="O41" s="17"/>
      <c r="P41" s="17"/>
      <c r="Q41" s="17"/>
      <c r="R41" s="17"/>
      <c r="S41" s="17"/>
      <c r="T41" s="17"/>
      <c r="U41" s="17"/>
    </row>
    <row r="42" spans="1:21" s="22" customFormat="1" x14ac:dyDescent="0.25">
      <c r="A42" s="14"/>
    </row>
    <row r="43" spans="1:21" s="22" customFormat="1" x14ac:dyDescent="0.25">
      <c r="A43" s="15" t="s">
        <v>35</v>
      </c>
      <c r="B43" s="41" t="s">
        <v>42</v>
      </c>
      <c r="C43" s="43"/>
    </row>
    <row r="44" spans="1:21" s="22" customFormat="1" x14ac:dyDescent="0.25">
      <c r="A44" s="14"/>
      <c r="D44" s="2"/>
      <c r="E44" s="2"/>
      <c r="F44" s="2"/>
      <c r="G44" s="2"/>
      <c r="H44" s="2"/>
      <c r="I44" s="2"/>
    </row>
    <row r="45" spans="1:21" s="22" customFormat="1" ht="15.75" x14ac:dyDescent="0.25">
      <c r="A45" s="18" t="s">
        <v>36</v>
      </c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</row>
    <row r="46" spans="1:21" s="22" customFormat="1" x14ac:dyDescent="0.25"/>
    <row r="47" spans="1:21" s="22" customFormat="1" x14ac:dyDescent="0.25"/>
    <row r="48" spans="1:21" s="22" customFormat="1" x14ac:dyDescent="0.25"/>
    <row r="49" s="22" customFormat="1" x14ac:dyDescent="0.25"/>
    <row r="50" s="22" customFormat="1" x14ac:dyDescent="0.25"/>
    <row r="51" s="22" customFormat="1" x14ac:dyDescent="0.25"/>
    <row r="52" s="22" customFormat="1" x14ac:dyDescent="0.25"/>
    <row r="53" s="22" customFormat="1" x14ac:dyDescent="0.25"/>
    <row r="54" s="22" customFormat="1" x14ac:dyDescent="0.25"/>
    <row r="55" s="22" customFormat="1" x14ac:dyDescent="0.25"/>
    <row r="56" s="22" customFormat="1" x14ac:dyDescent="0.25"/>
    <row r="57" s="22" customFormat="1" x14ac:dyDescent="0.25"/>
    <row r="58" s="22" customFormat="1" x14ac:dyDescent="0.25"/>
    <row r="59" s="22" customFormat="1" x14ac:dyDescent="0.25"/>
    <row r="60" s="22" customFormat="1" x14ac:dyDescent="0.25"/>
    <row r="61" s="22" customFormat="1" x14ac:dyDescent="0.25"/>
    <row r="62" s="22" customFormat="1" x14ac:dyDescent="0.25"/>
    <row r="63" s="22" customFormat="1" x14ac:dyDescent="0.25"/>
    <row r="64" s="22" customFormat="1" x14ac:dyDescent="0.25"/>
    <row r="65" s="22" customFormat="1" x14ac:dyDescent="0.25"/>
    <row r="66" s="22" customFormat="1" x14ac:dyDescent="0.25"/>
    <row r="67" s="22" customFormat="1" x14ac:dyDescent="0.25"/>
    <row r="68" s="22" customFormat="1" x14ac:dyDescent="0.25"/>
    <row r="69" s="22" customFormat="1" x14ac:dyDescent="0.25"/>
    <row r="70" s="22" customFormat="1" x14ac:dyDescent="0.25"/>
    <row r="71" s="22" customFormat="1" x14ac:dyDescent="0.25"/>
    <row r="72" s="22" customFormat="1" x14ac:dyDescent="0.25"/>
    <row r="73" s="22" customFormat="1" x14ac:dyDescent="0.25"/>
    <row r="74" s="22" customFormat="1" x14ac:dyDescent="0.25"/>
    <row r="75" s="22" customFormat="1" x14ac:dyDescent="0.25"/>
    <row r="76" s="22" customFormat="1" x14ac:dyDescent="0.25"/>
    <row r="77" s="22" customFormat="1" x14ac:dyDescent="0.25"/>
    <row r="78" s="22" customFormat="1" x14ac:dyDescent="0.25"/>
    <row r="79" s="22" customFormat="1" x14ac:dyDescent="0.25"/>
    <row r="80" s="22" customFormat="1" x14ac:dyDescent="0.25"/>
    <row r="81" s="22" customFormat="1" x14ac:dyDescent="0.25"/>
    <row r="82" s="22" customFormat="1" x14ac:dyDescent="0.25"/>
    <row r="83" s="22" customFormat="1" x14ac:dyDescent="0.25"/>
    <row r="84" s="22" customFormat="1" x14ac:dyDescent="0.25"/>
    <row r="85" s="22" customFormat="1" x14ac:dyDescent="0.25"/>
    <row r="86" s="22" customFormat="1" x14ac:dyDescent="0.25"/>
    <row r="87" s="22" customFormat="1" x14ac:dyDescent="0.25"/>
    <row r="88" s="22" customFormat="1" x14ac:dyDescent="0.25"/>
    <row r="89" s="22" customFormat="1" x14ac:dyDescent="0.25"/>
    <row r="90" s="22" customFormat="1" x14ac:dyDescent="0.25"/>
    <row r="91" s="22" customFormat="1" x14ac:dyDescent="0.25"/>
    <row r="92" s="22" customFormat="1" x14ac:dyDescent="0.25"/>
    <row r="93" s="22" customFormat="1" x14ac:dyDescent="0.25"/>
    <row r="94" s="22" customFormat="1" x14ac:dyDescent="0.25"/>
    <row r="95" s="22" customFormat="1" x14ac:dyDescent="0.25"/>
    <row r="96" s="22" customFormat="1" x14ac:dyDescent="0.25"/>
    <row r="97" spans="1:1" s="22" customFormat="1" x14ac:dyDescent="0.25"/>
    <row r="98" spans="1:1" s="22" customFormat="1" x14ac:dyDescent="0.25"/>
    <row r="99" spans="1:1" s="22" customFormat="1" x14ac:dyDescent="0.25"/>
    <row r="100" spans="1:1" s="22" customFormat="1" x14ac:dyDescent="0.25"/>
    <row r="101" spans="1:1" s="22" customFormat="1" x14ac:dyDescent="0.25"/>
    <row r="102" spans="1:1" s="22" customFormat="1" x14ac:dyDescent="0.25"/>
    <row r="103" spans="1:1" s="22" customFormat="1" x14ac:dyDescent="0.25"/>
    <row r="104" spans="1:1" s="22" customFormat="1" x14ac:dyDescent="0.25"/>
    <row r="105" spans="1:1" s="22" customFormat="1" x14ac:dyDescent="0.25"/>
    <row r="106" spans="1:1" x14ac:dyDescent="0.25">
      <c r="A106" s="21"/>
    </row>
    <row r="107" spans="1:1" s="22" customFormat="1" x14ac:dyDescent="0.25"/>
    <row r="108" spans="1:1" s="22" customFormat="1" x14ac:dyDescent="0.25"/>
    <row r="109" spans="1:1" s="22" customFormat="1" x14ac:dyDescent="0.25"/>
    <row r="110" spans="1:1" s="22" customFormat="1" x14ac:dyDescent="0.25"/>
    <row r="111" spans="1:1" s="22" customFormat="1" x14ac:dyDescent="0.25"/>
    <row r="112" spans="1:1" s="22" customFormat="1" x14ac:dyDescent="0.25"/>
    <row r="113" spans="1:1" s="22" customFormat="1" x14ac:dyDescent="0.25"/>
    <row r="114" spans="1:1" s="22" customFormat="1" x14ac:dyDescent="0.25"/>
    <row r="115" spans="1:1" s="22" customFormat="1" x14ac:dyDescent="0.25"/>
    <row r="116" spans="1:1" s="22" customFormat="1" x14ac:dyDescent="0.25"/>
    <row r="117" spans="1:1" s="22" customFormat="1" x14ac:dyDescent="0.25"/>
    <row r="118" spans="1:1" x14ac:dyDescent="0.25">
      <c r="A118" s="21"/>
    </row>
    <row r="119" spans="1:1" x14ac:dyDescent="0.25">
      <c r="A119" s="21"/>
    </row>
  </sheetData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1" ySplit="8" topLeftCell="B21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L40" sqref="L40"/>
    </sheetView>
  </sheetViews>
  <sheetFormatPr defaultColWidth="8.85546875" defaultRowHeight="15" x14ac:dyDescent="0.25"/>
  <cols>
    <col min="1" max="1" width="18.28515625" style="27" customWidth="1"/>
    <col min="2" max="2" width="12.7109375" style="21" customWidth="1"/>
    <col min="3" max="12" width="9.140625" style="21" customWidth="1"/>
    <col min="13" max="13" width="10" style="21" customWidth="1"/>
    <col min="14" max="19" width="9.140625" style="21" customWidth="1"/>
    <col min="20" max="20" width="11.42578125" style="21" customWidth="1"/>
    <col min="21" max="16384" width="8.85546875" style="21"/>
  </cols>
  <sheetData>
    <row r="1" spans="1:21" s="22" customFormat="1" ht="26.25" x14ac:dyDescent="0.25">
      <c r="A1" s="15" t="s">
        <v>2</v>
      </c>
      <c r="B1" s="24" t="s">
        <v>43</v>
      </c>
      <c r="C1" s="38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s="22" customFormat="1" x14ac:dyDescent="0.25">
      <c r="A2" s="15" t="s">
        <v>0</v>
      </c>
      <c r="B2" s="39" t="str">
        <f>$A$9</f>
        <v>14-10-2022 01:00</v>
      </c>
      <c r="C2" s="12"/>
      <c r="D2" s="11" t="s">
        <v>3</v>
      </c>
      <c r="E2" s="11"/>
      <c r="F2" s="11"/>
      <c r="G2" s="4" t="s">
        <v>4</v>
      </c>
      <c r="H2" s="20"/>
      <c r="I2" s="20"/>
      <c r="J2" s="20"/>
      <c r="K2" s="13"/>
      <c r="L2" s="11" t="s">
        <v>5</v>
      </c>
      <c r="M2" s="13"/>
      <c r="N2" s="8" t="s">
        <v>6</v>
      </c>
      <c r="P2" s="40" t="s">
        <v>7</v>
      </c>
      <c r="Q2" s="13"/>
      <c r="R2" s="9" t="s">
        <v>8</v>
      </c>
      <c r="S2" s="12"/>
      <c r="T2" s="12"/>
      <c r="U2" s="12"/>
    </row>
    <row r="3" spans="1:21" s="22" customFormat="1" x14ac:dyDescent="0.25">
      <c r="A3" s="15" t="s">
        <v>9</v>
      </c>
      <c r="B3" s="13" t="s">
        <v>10</v>
      </c>
      <c r="C3" s="12"/>
      <c r="D3" s="11" t="s">
        <v>11</v>
      </c>
      <c r="E3" s="11"/>
      <c r="F3" s="11"/>
      <c r="G3" s="19" t="s">
        <v>12</v>
      </c>
      <c r="H3" s="20"/>
      <c r="I3" s="20"/>
      <c r="J3" s="20"/>
      <c r="K3" s="12"/>
      <c r="L3" s="11" t="s">
        <v>13</v>
      </c>
      <c r="M3" s="13"/>
      <c r="N3" s="6" t="s">
        <v>14</v>
      </c>
      <c r="O3" s="13"/>
      <c r="P3" s="40" t="s">
        <v>15</v>
      </c>
      <c r="Q3" s="13"/>
      <c r="R3" s="10" t="s">
        <v>15</v>
      </c>
      <c r="S3" s="12"/>
      <c r="T3" s="12"/>
      <c r="U3" s="12"/>
    </row>
    <row r="4" spans="1:21" s="22" customFormat="1" x14ac:dyDescent="0.25">
      <c r="A4" s="15" t="s">
        <v>16</v>
      </c>
      <c r="B4" s="13" t="s">
        <v>39</v>
      </c>
      <c r="C4" s="12"/>
      <c r="D4" s="11" t="s">
        <v>17</v>
      </c>
      <c r="E4" s="11"/>
      <c r="F4" s="11"/>
      <c r="G4" s="5" t="s">
        <v>18</v>
      </c>
      <c r="H4" s="20"/>
      <c r="I4" s="20"/>
      <c r="J4" s="20"/>
      <c r="K4" s="3"/>
      <c r="L4" s="11" t="s">
        <v>19</v>
      </c>
      <c r="M4" s="13"/>
      <c r="N4" s="7" t="s">
        <v>20</v>
      </c>
      <c r="O4" s="13"/>
      <c r="P4" s="13"/>
      <c r="Q4" s="13"/>
      <c r="R4" s="13"/>
      <c r="S4" s="12"/>
      <c r="T4" s="12"/>
      <c r="U4" s="12"/>
    </row>
    <row r="5" spans="1:21" s="22" customFormat="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s="22" customFormat="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s="22" customFormat="1" x14ac:dyDescent="0.25">
      <c r="A7" s="15" t="s">
        <v>21</v>
      </c>
      <c r="B7" s="45" t="s">
        <v>59</v>
      </c>
      <c r="C7" s="45" t="s">
        <v>44</v>
      </c>
      <c r="D7" s="45" t="s">
        <v>45</v>
      </c>
      <c r="E7" s="45" t="s">
        <v>46</v>
      </c>
      <c r="F7" s="45" t="s">
        <v>47</v>
      </c>
      <c r="G7" s="45" t="s">
        <v>48</v>
      </c>
      <c r="H7" s="45" t="s">
        <v>49</v>
      </c>
      <c r="I7" s="45" t="s">
        <v>50</v>
      </c>
      <c r="J7" s="45" t="s">
        <v>51</v>
      </c>
      <c r="K7" s="45" t="s">
        <v>52</v>
      </c>
      <c r="L7" s="45" t="s">
        <v>53</v>
      </c>
      <c r="M7" s="45" t="s">
        <v>54</v>
      </c>
      <c r="N7" s="45" t="s">
        <v>55</v>
      </c>
      <c r="O7" s="45" t="s">
        <v>56</v>
      </c>
      <c r="P7" s="45" t="s">
        <v>57</v>
      </c>
      <c r="Q7" s="45" t="s">
        <v>58</v>
      </c>
      <c r="R7" s="28"/>
      <c r="S7" s="30"/>
      <c r="T7" s="28"/>
      <c r="U7" s="28"/>
    </row>
    <row r="8" spans="1:21" s="22" customFormat="1" x14ac:dyDescent="0.25">
      <c r="A8" s="15"/>
      <c r="B8" s="30" t="s">
        <v>22</v>
      </c>
      <c r="C8" s="30" t="s">
        <v>22</v>
      </c>
      <c r="D8" s="30" t="s">
        <v>22</v>
      </c>
      <c r="E8" s="30" t="s">
        <v>22</v>
      </c>
      <c r="F8" s="30" t="s">
        <v>22</v>
      </c>
      <c r="G8" s="30" t="s">
        <v>23</v>
      </c>
      <c r="H8" s="30" t="s">
        <v>22</v>
      </c>
      <c r="I8" s="30" t="s">
        <v>22</v>
      </c>
      <c r="J8" s="30" t="s">
        <v>24</v>
      </c>
      <c r="K8" s="30" t="s">
        <v>25</v>
      </c>
      <c r="L8" s="28" t="s">
        <v>27</v>
      </c>
      <c r="M8" s="30" t="s">
        <v>26</v>
      </c>
      <c r="N8" s="30" t="s">
        <v>28</v>
      </c>
      <c r="O8" s="28" t="s">
        <v>29</v>
      </c>
      <c r="P8" s="30" t="s">
        <v>22</v>
      </c>
      <c r="Q8" s="30" t="s">
        <v>22</v>
      </c>
      <c r="R8" s="28"/>
      <c r="S8" s="30"/>
      <c r="T8" s="28"/>
      <c r="U8" s="28"/>
    </row>
    <row r="9" spans="1:21" s="12" customFormat="1" x14ac:dyDescent="0.25">
      <c r="A9" s="62" t="s">
        <v>374</v>
      </c>
      <c r="B9" s="63">
        <v>16.12</v>
      </c>
      <c r="C9" s="63">
        <v>42.15</v>
      </c>
      <c r="D9" s="63">
        <v>58.27</v>
      </c>
      <c r="E9" s="63">
        <v>9.5</v>
      </c>
      <c r="F9" s="63">
        <v>3.55</v>
      </c>
      <c r="G9" s="63">
        <v>155.11000000000001</v>
      </c>
      <c r="H9" s="63">
        <v>33.06</v>
      </c>
      <c r="I9" s="63">
        <v>0.94</v>
      </c>
      <c r="J9" s="63">
        <v>1.26</v>
      </c>
      <c r="K9" s="63">
        <v>38.68</v>
      </c>
      <c r="L9" s="63">
        <v>26.6</v>
      </c>
      <c r="M9" s="63">
        <v>86.81</v>
      </c>
      <c r="N9" s="63">
        <v>14.8</v>
      </c>
      <c r="O9" s="63">
        <v>0</v>
      </c>
      <c r="P9" s="63">
        <v>1.23</v>
      </c>
      <c r="Q9" s="63">
        <v>117.4</v>
      </c>
      <c r="R9" s="44"/>
      <c r="S9" s="44"/>
      <c r="T9" s="44"/>
      <c r="U9" s="44"/>
    </row>
    <row r="10" spans="1:21" s="12" customFormat="1" x14ac:dyDescent="0.25">
      <c r="A10" s="62" t="s">
        <v>375</v>
      </c>
      <c r="B10" s="63">
        <v>11.22</v>
      </c>
      <c r="C10" s="63">
        <v>34.409999999999997</v>
      </c>
      <c r="D10" s="63">
        <v>45.25</v>
      </c>
      <c r="E10" s="63">
        <v>15.49</v>
      </c>
      <c r="F10" s="63">
        <v>4.08</v>
      </c>
      <c r="G10" s="63">
        <v>116.64</v>
      </c>
      <c r="H10" s="63">
        <v>33.840000000000003</v>
      </c>
      <c r="I10" s="63">
        <v>0.75</v>
      </c>
      <c r="J10" s="63">
        <v>0.79</v>
      </c>
      <c r="K10" s="63">
        <v>45.46</v>
      </c>
      <c r="L10" s="63">
        <v>26.66</v>
      </c>
      <c r="M10" s="63">
        <v>66.540000000000006</v>
      </c>
      <c r="N10" s="63">
        <v>14.7</v>
      </c>
      <c r="O10" s="63">
        <v>0</v>
      </c>
      <c r="P10" s="63">
        <v>0.96</v>
      </c>
      <c r="Q10" s="63">
        <v>102.17</v>
      </c>
      <c r="R10" s="44"/>
      <c r="S10" s="44"/>
      <c r="T10" s="44"/>
      <c r="U10" s="44"/>
    </row>
    <row r="11" spans="1:21" s="12" customFormat="1" x14ac:dyDescent="0.25">
      <c r="A11" s="62" t="s">
        <v>376</v>
      </c>
      <c r="B11" s="63">
        <v>10.83</v>
      </c>
      <c r="C11" s="63">
        <v>31.39</v>
      </c>
      <c r="D11" s="63">
        <v>42.22</v>
      </c>
      <c r="E11" s="63">
        <v>14.74</v>
      </c>
      <c r="F11" s="63">
        <v>3.97</v>
      </c>
      <c r="G11" s="63">
        <v>101.63</v>
      </c>
      <c r="H11" s="63">
        <v>30.28</v>
      </c>
      <c r="I11" s="63">
        <v>0.7</v>
      </c>
      <c r="J11" s="63">
        <v>0.86</v>
      </c>
      <c r="K11" s="63">
        <v>25.7</v>
      </c>
      <c r="L11" s="63">
        <v>26.59</v>
      </c>
      <c r="M11" s="63">
        <v>28.17</v>
      </c>
      <c r="N11" s="63">
        <v>14.5</v>
      </c>
      <c r="O11" s="63">
        <v>0</v>
      </c>
      <c r="P11" s="63">
        <v>1.03</v>
      </c>
      <c r="Q11" s="63">
        <v>103.85</v>
      </c>
      <c r="R11" s="44"/>
      <c r="S11" s="44"/>
      <c r="T11" s="44"/>
      <c r="U11" s="44"/>
    </row>
    <row r="12" spans="1:21" s="12" customFormat="1" x14ac:dyDescent="0.25">
      <c r="A12" s="62" t="s">
        <v>377</v>
      </c>
      <c r="B12" s="63">
        <v>10.77</v>
      </c>
      <c r="C12" s="63">
        <v>30.25</v>
      </c>
      <c r="D12" s="63">
        <v>40.950000000000003</v>
      </c>
      <c r="E12" s="63">
        <v>11.51</v>
      </c>
      <c r="F12" s="63">
        <v>3.8</v>
      </c>
      <c r="G12" s="63">
        <v>107.85</v>
      </c>
      <c r="H12" s="63">
        <v>24.31</v>
      </c>
      <c r="I12" s="63">
        <v>0.71</v>
      </c>
      <c r="J12" s="63">
        <v>0.59</v>
      </c>
      <c r="K12" s="63">
        <v>100.24</v>
      </c>
      <c r="L12" s="63">
        <v>26.22</v>
      </c>
      <c r="M12" s="63">
        <v>100.18</v>
      </c>
      <c r="N12" s="63">
        <v>14.5</v>
      </c>
      <c r="O12" s="63">
        <v>0</v>
      </c>
      <c r="P12" s="63">
        <v>1.02</v>
      </c>
      <c r="Q12" s="63">
        <v>109.87</v>
      </c>
      <c r="R12" s="44"/>
      <c r="S12" s="44"/>
      <c r="T12" s="44"/>
      <c r="U12" s="44"/>
    </row>
    <row r="13" spans="1:21" s="12" customFormat="1" x14ac:dyDescent="0.25">
      <c r="A13" s="62" t="s">
        <v>378</v>
      </c>
      <c r="B13" s="63">
        <v>9.76</v>
      </c>
      <c r="C13" s="63">
        <v>29.15</v>
      </c>
      <c r="D13" s="63">
        <v>38.74</v>
      </c>
      <c r="E13" s="63">
        <v>9.57</v>
      </c>
      <c r="F13" s="63">
        <v>3.63</v>
      </c>
      <c r="G13" s="63">
        <v>85.45</v>
      </c>
      <c r="H13" s="63">
        <v>21.97</v>
      </c>
      <c r="I13" s="63">
        <v>0.66</v>
      </c>
      <c r="J13" s="63">
        <v>1.05</v>
      </c>
      <c r="K13" s="63">
        <v>41.41</v>
      </c>
      <c r="L13" s="63">
        <v>26.39</v>
      </c>
      <c r="M13" s="63">
        <v>103.57</v>
      </c>
      <c r="N13" s="63">
        <v>14.2</v>
      </c>
      <c r="O13" s="63">
        <v>0</v>
      </c>
      <c r="P13" s="63">
        <v>0.89</v>
      </c>
      <c r="Q13" s="63">
        <v>101.02</v>
      </c>
      <c r="R13" s="44"/>
      <c r="S13" s="44"/>
      <c r="T13" s="44"/>
      <c r="U13" s="44"/>
    </row>
    <row r="14" spans="1:21" s="12" customFormat="1" x14ac:dyDescent="0.25">
      <c r="A14" s="62" t="s">
        <v>379</v>
      </c>
      <c r="B14" s="63">
        <v>14.79</v>
      </c>
      <c r="C14" s="63">
        <v>33.93</v>
      </c>
      <c r="D14" s="63">
        <v>46.8</v>
      </c>
      <c r="E14" s="63">
        <v>10.59</v>
      </c>
      <c r="F14" s="63">
        <v>4.0199999999999996</v>
      </c>
      <c r="G14" s="63">
        <v>98.22</v>
      </c>
      <c r="H14" s="63">
        <v>20.8</v>
      </c>
      <c r="I14" s="63">
        <v>0.6</v>
      </c>
      <c r="J14" s="63">
        <v>0.8</v>
      </c>
      <c r="K14" s="63">
        <v>37.89</v>
      </c>
      <c r="L14" s="63">
        <v>26.45</v>
      </c>
      <c r="M14" s="63">
        <v>101.89</v>
      </c>
      <c r="N14" s="63">
        <v>16.600000000000001</v>
      </c>
      <c r="O14" s="63">
        <v>0</v>
      </c>
      <c r="P14" s="63">
        <v>0.8</v>
      </c>
      <c r="Q14" s="63">
        <v>99.95</v>
      </c>
      <c r="R14" s="44"/>
      <c r="S14" s="44"/>
      <c r="T14" s="44"/>
      <c r="U14" s="44"/>
    </row>
    <row r="15" spans="1:21" s="12" customFormat="1" x14ac:dyDescent="0.25">
      <c r="A15" s="62" t="s">
        <v>380</v>
      </c>
      <c r="B15" s="63">
        <v>18.100000000000001</v>
      </c>
      <c r="C15" s="63">
        <v>39.409999999999997</v>
      </c>
      <c r="D15" s="63">
        <v>57.51</v>
      </c>
      <c r="E15" s="63">
        <v>10.4</v>
      </c>
      <c r="F15" s="63">
        <v>3.71</v>
      </c>
      <c r="G15" s="63">
        <v>106.83</v>
      </c>
      <c r="H15" s="63">
        <v>23.56</v>
      </c>
      <c r="I15" s="63">
        <v>0.63</v>
      </c>
      <c r="J15" s="63">
        <v>0.65</v>
      </c>
      <c r="K15" s="63">
        <v>100.92</v>
      </c>
      <c r="L15" s="63">
        <v>26.6</v>
      </c>
      <c r="M15" s="63">
        <v>104.25</v>
      </c>
      <c r="N15" s="63">
        <v>49.9</v>
      </c>
      <c r="O15" s="63">
        <v>0</v>
      </c>
      <c r="P15" s="63">
        <v>0.78</v>
      </c>
      <c r="Q15" s="63">
        <v>114.9</v>
      </c>
      <c r="R15" s="44"/>
      <c r="S15" s="44"/>
      <c r="T15" s="44"/>
      <c r="U15" s="44"/>
    </row>
    <row r="16" spans="1:21" s="12" customFormat="1" x14ac:dyDescent="0.25">
      <c r="A16" s="62" t="s">
        <v>381</v>
      </c>
      <c r="B16" s="63">
        <v>19.84</v>
      </c>
      <c r="C16" s="63">
        <v>40.119999999999997</v>
      </c>
      <c r="D16" s="63">
        <v>58.73</v>
      </c>
      <c r="E16" s="63">
        <v>9.69</v>
      </c>
      <c r="F16" s="63">
        <v>3.72</v>
      </c>
      <c r="G16" s="63">
        <v>81.7</v>
      </c>
      <c r="H16" s="63">
        <v>16.07</v>
      </c>
      <c r="I16" s="63">
        <v>0.67</v>
      </c>
      <c r="J16" s="63">
        <v>0.78</v>
      </c>
      <c r="K16" s="63">
        <v>151.07</v>
      </c>
      <c r="L16" s="63">
        <v>26.41</v>
      </c>
      <c r="M16" s="63">
        <v>106.04</v>
      </c>
      <c r="N16" s="63">
        <v>101.9</v>
      </c>
      <c r="O16" s="63">
        <v>5.6</v>
      </c>
      <c r="P16" s="63">
        <v>0.83</v>
      </c>
      <c r="Q16" s="63">
        <v>115.3</v>
      </c>
      <c r="R16" s="44"/>
      <c r="S16" s="44"/>
      <c r="T16" s="44"/>
      <c r="U16" s="44"/>
    </row>
    <row r="17" spans="1:21" s="12" customFormat="1" x14ac:dyDescent="0.25">
      <c r="A17" s="62" t="s">
        <v>382</v>
      </c>
      <c r="B17" s="63">
        <v>25.8</v>
      </c>
      <c r="C17" s="63">
        <v>47.07</v>
      </c>
      <c r="D17" s="63">
        <v>72.86</v>
      </c>
      <c r="E17" s="63">
        <v>10.51</v>
      </c>
      <c r="F17" s="63">
        <v>3.79</v>
      </c>
      <c r="G17" s="63">
        <v>58.63</v>
      </c>
      <c r="H17" s="63">
        <v>16.760000000000002</v>
      </c>
      <c r="I17" s="63">
        <v>0.62</v>
      </c>
      <c r="J17" s="63">
        <v>0.53</v>
      </c>
      <c r="K17" s="63">
        <v>105.8</v>
      </c>
      <c r="L17" s="63">
        <v>26.12</v>
      </c>
      <c r="M17" s="63">
        <v>105.38</v>
      </c>
      <c r="N17" s="63">
        <v>252.9</v>
      </c>
      <c r="O17" s="63">
        <v>0</v>
      </c>
      <c r="P17" s="63">
        <v>0.84</v>
      </c>
      <c r="Q17" s="63">
        <v>111.34</v>
      </c>
      <c r="R17" s="44"/>
      <c r="S17" s="44"/>
      <c r="T17" s="44"/>
      <c r="U17" s="44"/>
    </row>
    <row r="18" spans="1:21" s="12" customFormat="1" x14ac:dyDescent="0.25">
      <c r="A18" s="62" t="s">
        <v>383</v>
      </c>
      <c r="B18" s="63">
        <v>25.17</v>
      </c>
      <c r="C18" s="63">
        <v>47.5</v>
      </c>
      <c r="D18" s="63">
        <v>72.67</v>
      </c>
      <c r="E18" s="63">
        <v>11.13</v>
      </c>
      <c r="F18" s="63">
        <v>4.87</v>
      </c>
      <c r="G18" s="63">
        <v>50.36</v>
      </c>
      <c r="H18" s="63">
        <v>17.73</v>
      </c>
      <c r="I18" s="63">
        <v>0.67</v>
      </c>
      <c r="J18" s="63">
        <v>0.75</v>
      </c>
      <c r="K18" s="63">
        <v>140.66</v>
      </c>
      <c r="L18" s="6" t="s">
        <v>14</v>
      </c>
      <c r="M18" s="10" t="s">
        <v>15</v>
      </c>
      <c r="N18" s="63">
        <v>336.8</v>
      </c>
      <c r="O18" s="63">
        <v>0</v>
      </c>
      <c r="P18" s="63">
        <v>0.85</v>
      </c>
      <c r="Q18" s="63">
        <v>137.18</v>
      </c>
      <c r="R18" s="44"/>
      <c r="S18" s="44"/>
      <c r="T18" s="44"/>
      <c r="U18" s="44"/>
    </row>
    <row r="19" spans="1:21" s="12" customFormat="1" x14ac:dyDescent="0.25">
      <c r="A19" s="62" t="s">
        <v>384</v>
      </c>
      <c r="B19" s="63">
        <v>23.05</v>
      </c>
      <c r="C19" s="63">
        <v>45.95</v>
      </c>
      <c r="D19" s="63">
        <v>66.44</v>
      </c>
      <c r="E19" s="63">
        <v>12.21</v>
      </c>
      <c r="F19" s="63">
        <v>6.77</v>
      </c>
      <c r="G19" s="63">
        <v>61.73</v>
      </c>
      <c r="H19" s="63">
        <v>15</v>
      </c>
      <c r="I19" s="63">
        <v>0.67</v>
      </c>
      <c r="J19" s="63">
        <v>0.73</v>
      </c>
      <c r="K19" s="63">
        <v>143.32</v>
      </c>
      <c r="L19" s="63">
        <v>29.3</v>
      </c>
      <c r="M19" s="63">
        <v>55.48</v>
      </c>
      <c r="N19" s="63">
        <v>576.79999999999995</v>
      </c>
      <c r="O19" s="63">
        <v>0</v>
      </c>
      <c r="P19" s="63">
        <v>0.9</v>
      </c>
      <c r="Q19" s="63">
        <v>145.41</v>
      </c>
      <c r="R19" s="44"/>
      <c r="S19" s="44"/>
      <c r="T19" s="44"/>
      <c r="U19" s="44"/>
    </row>
    <row r="20" spans="1:21" s="12" customFormat="1" x14ac:dyDescent="0.25">
      <c r="A20" s="62" t="s">
        <v>385</v>
      </c>
      <c r="B20" s="63">
        <v>10.18</v>
      </c>
      <c r="C20" s="63">
        <v>54.57</v>
      </c>
      <c r="D20" s="63">
        <v>63.22</v>
      </c>
      <c r="E20" s="63">
        <v>10.62</v>
      </c>
      <c r="F20" s="63">
        <v>6.77</v>
      </c>
      <c r="G20" s="63">
        <v>68.78</v>
      </c>
      <c r="H20" s="63">
        <v>17.48</v>
      </c>
      <c r="I20" s="63">
        <v>0.63</v>
      </c>
      <c r="J20" s="63">
        <v>0.65</v>
      </c>
      <c r="K20" s="63">
        <v>147.66999999999999</v>
      </c>
      <c r="L20" s="63">
        <v>29.25</v>
      </c>
      <c r="M20" s="63">
        <v>55.17</v>
      </c>
      <c r="N20" s="63">
        <v>407.1</v>
      </c>
      <c r="O20" s="63">
        <v>0</v>
      </c>
      <c r="P20" s="63">
        <v>0.93</v>
      </c>
      <c r="Q20" s="63">
        <v>100.15</v>
      </c>
      <c r="R20" s="44"/>
      <c r="S20" s="44"/>
      <c r="T20" s="44"/>
      <c r="U20" s="44"/>
    </row>
    <row r="21" spans="1:21" s="12" customFormat="1" x14ac:dyDescent="0.25">
      <c r="A21" s="62" t="s">
        <v>386</v>
      </c>
      <c r="B21" s="63">
        <v>4.83</v>
      </c>
      <c r="C21" s="63">
        <v>49.02</v>
      </c>
      <c r="D21" s="63">
        <v>53.48</v>
      </c>
      <c r="E21" s="63">
        <v>11.47</v>
      </c>
      <c r="F21" s="63">
        <v>12.77</v>
      </c>
      <c r="G21" s="63">
        <v>79.930000000000007</v>
      </c>
      <c r="H21" s="63">
        <v>18.28</v>
      </c>
      <c r="I21" s="63">
        <v>0.44</v>
      </c>
      <c r="J21" s="63">
        <v>0.78</v>
      </c>
      <c r="K21" s="63">
        <v>342.07</v>
      </c>
      <c r="L21" s="6" t="s">
        <v>14</v>
      </c>
      <c r="M21" s="63">
        <v>55.23</v>
      </c>
      <c r="N21" s="63">
        <v>936.5</v>
      </c>
      <c r="O21" s="63">
        <v>0</v>
      </c>
      <c r="P21" s="63">
        <v>0.93</v>
      </c>
      <c r="Q21" s="63">
        <v>89.94</v>
      </c>
      <c r="R21" s="44"/>
      <c r="S21" s="44"/>
      <c r="T21" s="44"/>
      <c r="U21" s="44"/>
    </row>
    <row r="22" spans="1:21" s="12" customFormat="1" x14ac:dyDescent="0.25">
      <c r="A22" s="62" t="s">
        <v>387</v>
      </c>
      <c r="B22" s="63">
        <v>4.99</v>
      </c>
      <c r="C22" s="63">
        <v>38.049999999999997</v>
      </c>
      <c r="D22" s="63">
        <v>42.93</v>
      </c>
      <c r="E22" s="63">
        <v>6.26</v>
      </c>
      <c r="F22" s="63">
        <v>3.68</v>
      </c>
      <c r="G22" s="63">
        <v>89.13</v>
      </c>
      <c r="H22" s="63">
        <v>19.88</v>
      </c>
      <c r="I22" s="63">
        <v>0.54</v>
      </c>
      <c r="J22" s="63">
        <v>1.85</v>
      </c>
      <c r="K22" s="63">
        <v>359.44</v>
      </c>
      <c r="L22" s="6" t="s">
        <v>14</v>
      </c>
      <c r="M22" s="63">
        <v>26.36</v>
      </c>
      <c r="N22" s="63">
        <v>732.8</v>
      </c>
      <c r="O22" s="63">
        <v>0</v>
      </c>
      <c r="P22" s="63">
        <v>0.93</v>
      </c>
      <c r="Q22" s="63">
        <v>94.2</v>
      </c>
      <c r="R22" s="44"/>
      <c r="S22" s="44"/>
      <c r="T22" s="44"/>
      <c r="U22" s="44"/>
    </row>
    <row r="23" spans="1:21" s="12" customFormat="1" x14ac:dyDescent="0.25">
      <c r="A23" s="62" t="s">
        <v>388</v>
      </c>
      <c r="B23" s="63">
        <v>8.49</v>
      </c>
      <c r="C23" s="63">
        <v>46.34</v>
      </c>
      <c r="D23" s="63">
        <v>53.31</v>
      </c>
      <c r="E23" s="63">
        <v>6.1</v>
      </c>
      <c r="F23" s="63">
        <v>3.44</v>
      </c>
      <c r="G23" s="63">
        <v>96.68</v>
      </c>
      <c r="H23" s="63">
        <v>24.35</v>
      </c>
      <c r="I23" s="63">
        <v>0.51</v>
      </c>
      <c r="J23" s="63">
        <v>1.56</v>
      </c>
      <c r="K23" s="63">
        <v>27.96</v>
      </c>
      <c r="L23" s="6" t="s">
        <v>14</v>
      </c>
      <c r="M23" s="63">
        <v>26.4</v>
      </c>
      <c r="N23" s="63">
        <v>454.2</v>
      </c>
      <c r="O23" s="63">
        <v>0</v>
      </c>
      <c r="P23" s="63">
        <v>0.92</v>
      </c>
      <c r="Q23" s="63">
        <v>63.54</v>
      </c>
      <c r="R23" s="44"/>
      <c r="S23" s="44"/>
      <c r="T23" s="44"/>
      <c r="U23" s="44"/>
    </row>
    <row r="24" spans="1:21" s="12" customFormat="1" x14ac:dyDescent="0.25">
      <c r="A24" s="62" t="s">
        <v>389</v>
      </c>
      <c r="B24" s="63">
        <v>9.57</v>
      </c>
      <c r="C24" s="63">
        <v>47.33</v>
      </c>
      <c r="D24" s="63">
        <v>55.41</v>
      </c>
      <c r="E24" s="63">
        <v>7.93</v>
      </c>
      <c r="F24" s="63">
        <v>8.41</v>
      </c>
      <c r="G24" s="63">
        <v>100.22</v>
      </c>
      <c r="H24" s="63">
        <v>26.64</v>
      </c>
      <c r="I24" s="63">
        <v>0.48</v>
      </c>
      <c r="J24" s="63">
        <v>1.1599999999999999</v>
      </c>
      <c r="K24" s="63">
        <v>120.94</v>
      </c>
      <c r="L24" s="6" t="s">
        <v>14</v>
      </c>
      <c r="M24" s="63">
        <v>26.32</v>
      </c>
      <c r="N24" s="63">
        <v>344.8</v>
      </c>
      <c r="O24" s="63">
        <v>0</v>
      </c>
      <c r="P24" s="63">
        <v>0.93</v>
      </c>
      <c r="Q24" s="63">
        <v>77.86</v>
      </c>
      <c r="R24" s="44"/>
      <c r="S24" s="44"/>
      <c r="T24" s="44"/>
      <c r="U24" s="44"/>
    </row>
    <row r="25" spans="1:21" s="12" customFormat="1" x14ac:dyDescent="0.25">
      <c r="A25" s="62" t="s">
        <v>390</v>
      </c>
      <c r="B25" s="63">
        <v>8.6</v>
      </c>
      <c r="C25" s="63">
        <v>44.16</v>
      </c>
      <c r="D25" s="63">
        <v>50.78</v>
      </c>
      <c r="E25" s="63">
        <v>8.2200000000000006</v>
      </c>
      <c r="F25" s="63">
        <v>10.27</v>
      </c>
      <c r="G25" s="63">
        <v>93.89</v>
      </c>
      <c r="H25" s="63">
        <v>24.64</v>
      </c>
      <c r="I25" s="63">
        <v>0.49</v>
      </c>
      <c r="J25" s="63">
        <v>0.69</v>
      </c>
      <c r="K25" s="63">
        <v>356.42</v>
      </c>
      <c r="L25" s="6" t="s">
        <v>14</v>
      </c>
      <c r="M25" s="63">
        <v>26.12</v>
      </c>
      <c r="N25" s="63">
        <v>73.7</v>
      </c>
      <c r="O25" s="63">
        <v>0</v>
      </c>
      <c r="P25" s="63">
        <v>0.85</v>
      </c>
      <c r="Q25" s="63">
        <v>1210.8800000000001</v>
      </c>
      <c r="R25" s="44"/>
      <c r="S25" s="44"/>
      <c r="T25" s="44"/>
      <c r="U25" s="44"/>
    </row>
    <row r="26" spans="1:21" s="12" customFormat="1" x14ac:dyDescent="0.25">
      <c r="A26" s="62" t="s">
        <v>391</v>
      </c>
      <c r="B26" s="63">
        <v>11.15</v>
      </c>
      <c r="C26" s="63">
        <v>58.6</v>
      </c>
      <c r="D26" s="63">
        <v>67.5</v>
      </c>
      <c r="E26" s="63">
        <v>7.53</v>
      </c>
      <c r="F26" s="63">
        <v>9.57</v>
      </c>
      <c r="G26" s="63">
        <v>86.62</v>
      </c>
      <c r="H26" s="63">
        <v>22.31</v>
      </c>
      <c r="I26" s="63">
        <v>0.45</v>
      </c>
      <c r="J26" s="63">
        <v>0.83</v>
      </c>
      <c r="K26" s="63">
        <v>88.28</v>
      </c>
      <c r="L26" s="63">
        <v>29.03</v>
      </c>
      <c r="M26" s="63">
        <v>25.03</v>
      </c>
      <c r="N26" s="63">
        <v>27.6</v>
      </c>
      <c r="O26" s="63">
        <v>0</v>
      </c>
      <c r="P26" s="63">
        <v>0.91</v>
      </c>
      <c r="Q26" s="63">
        <v>1089.3</v>
      </c>
      <c r="R26" s="44"/>
      <c r="S26" s="44"/>
      <c r="T26" s="44"/>
      <c r="U26" s="44"/>
    </row>
    <row r="27" spans="1:21" s="12" customFormat="1" x14ac:dyDescent="0.25">
      <c r="A27" s="62" t="s">
        <v>392</v>
      </c>
      <c r="B27" s="63">
        <v>8.42</v>
      </c>
      <c r="C27" s="63">
        <v>59.16</v>
      </c>
      <c r="D27" s="63">
        <v>67.02</v>
      </c>
      <c r="E27" s="63">
        <v>6.4</v>
      </c>
      <c r="F27" s="63">
        <v>1.85</v>
      </c>
      <c r="G27" s="63">
        <v>86.01</v>
      </c>
      <c r="H27" s="63">
        <v>21.97</v>
      </c>
      <c r="I27" s="63">
        <v>0.49</v>
      </c>
      <c r="J27" s="63">
        <v>0.97</v>
      </c>
      <c r="K27" s="63">
        <v>93.39</v>
      </c>
      <c r="L27" s="63">
        <v>29.03</v>
      </c>
      <c r="M27" s="63">
        <v>25.03</v>
      </c>
      <c r="N27" s="63">
        <v>5</v>
      </c>
      <c r="O27" s="63">
        <v>0</v>
      </c>
      <c r="P27" s="63">
        <v>0.96</v>
      </c>
      <c r="Q27" s="63">
        <v>772.66</v>
      </c>
      <c r="R27" s="44"/>
      <c r="S27" s="44"/>
      <c r="T27" s="44"/>
      <c r="U27" s="44"/>
    </row>
    <row r="28" spans="1:21" s="12" customFormat="1" x14ac:dyDescent="0.25">
      <c r="A28" s="62" t="s">
        <v>393</v>
      </c>
      <c r="B28" s="63">
        <v>8.61</v>
      </c>
      <c r="C28" s="63">
        <v>56.61</v>
      </c>
      <c r="D28" s="63">
        <v>65.209999999999994</v>
      </c>
      <c r="E28" s="63">
        <v>6.9</v>
      </c>
      <c r="F28" s="63">
        <v>6.32</v>
      </c>
      <c r="G28" s="63">
        <v>87.77</v>
      </c>
      <c r="H28" s="63">
        <v>23.26</v>
      </c>
      <c r="I28" s="63">
        <v>0.55000000000000004</v>
      </c>
      <c r="J28" s="63">
        <v>0.91</v>
      </c>
      <c r="K28" s="63">
        <v>94.81</v>
      </c>
      <c r="L28" s="63">
        <v>29.03</v>
      </c>
      <c r="M28" s="63">
        <v>25.03</v>
      </c>
      <c r="N28" s="63">
        <v>4.9000000000000004</v>
      </c>
      <c r="O28" s="63">
        <v>0</v>
      </c>
      <c r="P28" s="63">
        <v>1.04</v>
      </c>
      <c r="Q28" s="63">
        <v>680.84</v>
      </c>
      <c r="R28" s="44"/>
      <c r="S28" s="44"/>
      <c r="T28" s="44"/>
      <c r="U28" s="44"/>
    </row>
    <row r="29" spans="1:21" s="12" customFormat="1" x14ac:dyDescent="0.25">
      <c r="A29" s="62" t="s">
        <v>394</v>
      </c>
      <c r="B29" s="63">
        <v>11.45</v>
      </c>
      <c r="C29" s="63">
        <v>46.45</v>
      </c>
      <c r="D29" s="63">
        <v>56.97</v>
      </c>
      <c r="E29" s="63">
        <v>7.6</v>
      </c>
      <c r="F29" s="63">
        <v>3.62</v>
      </c>
      <c r="G29" s="63">
        <v>86.87</v>
      </c>
      <c r="H29" s="63">
        <v>23.64</v>
      </c>
      <c r="I29" s="63">
        <v>0.6</v>
      </c>
      <c r="J29" s="63">
        <v>0.79</v>
      </c>
      <c r="K29" s="63">
        <v>90.06</v>
      </c>
      <c r="L29" s="63">
        <v>29.03</v>
      </c>
      <c r="M29" s="63">
        <v>25.03</v>
      </c>
      <c r="N29" s="63">
        <v>5</v>
      </c>
      <c r="O29" s="63">
        <v>0</v>
      </c>
      <c r="P29" s="63">
        <v>1.1100000000000001</v>
      </c>
      <c r="Q29" s="63">
        <v>660.4</v>
      </c>
      <c r="R29" s="44"/>
      <c r="S29" s="44"/>
      <c r="T29" s="44"/>
      <c r="U29" s="44"/>
    </row>
    <row r="30" spans="1:21" s="12" customFormat="1" x14ac:dyDescent="0.25">
      <c r="A30" s="62" t="s">
        <v>395</v>
      </c>
      <c r="B30" s="63">
        <v>25.63</v>
      </c>
      <c r="C30" s="63">
        <v>64.91</v>
      </c>
      <c r="D30" s="63">
        <v>90.54</v>
      </c>
      <c r="E30" s="63">
        <v>7.17</v>
      </c>
      <c r="F30" s="63">
        <v>2.06</v>
      </c>
      <c r="G30" s="63">
        <v>101.78</v>
      </c>
      <c r="H30" s="63">
        <v>25.61</v>
      </c>
      <c r="I30" s="63">
        <v>0.74</v>
      </c>
      <c r="J30" s="63">
        <v>0.39</v>
      </c>
      <c r="K30" s="63">
        <v>354.5</v>
      </c>
      <c r="L30" s="63">
        <v>29.03</v>
      </c>
      <c r="M30" s="63">
        <v>25.03</v>
      </c>
      <c r="N30" s="63">
        <v>5</v>
      </c>
      <c r="O30" s="63">
        <v>0</v>
      </c>
      <c r="P30" s="63">
        <v>1.55</v>
      </c>
      <c r="Q30" s="63">
        <v>597.21</v>
      </c>
      <c r="R30" s="44"/>
      <c r="S30" s="44"/>
      <c r="T30" s="44"/>
      <c r="U30" s="44"/>
    </row>
    <row r="31" spans="1:21" s="12" customFormat="1" x14ac:dyDescent="0.25">
      <c r="A31" s="62" t="s">
        <v>396</v>
      </c>
      <c r="B31" s="63">
        <v>19.72</v>
      </c>
      <c r="C31" s="63">
        <v>57.69</v>
      </c>
      <c r="D31" s="63">
        <v>77.069999999999993</v>
      </c>
      <c r="E31" s="63">
        <v>6.7</v>
      </c>
      <c r="F31" s="63">
        <v>1.92</v>
      </c>
      <c r="G31" s="63">
        <v>105.96</v>
      </c>
      <c r="H31" s="63">
        <v>25.26</v>
      </c>
      <c r="I31" s="63">
        <v>0.83</v>
      </c>
      <c r="J31" s="63">
        <v>0.5</v>
      </c>
      <c r="K31" s="63">
        <v>358.75</v>
      </c>
      <c r="L31" s="63">
        <v>29.03</v>
      </c>
      <c r="M31" s="63">
        <v>25.03</v>
      </c>
      <c r="N31" s="63">
        <v>4.8</v>
      </c>
      <c r="O31" s="63">
        <v>0</v>
      </c>
      <c r="P31" s="63">
        <v>1.66</v>
      </c>
      <c r="Q31" s="63">
        <v>477.5</v>
      </c>
      <c r="R31" s="44"/>
      <c r="S31" s="44"/>
      <c r="T31" s="44"/>
      <c r="U31" s="44"/>
    </row>
    <row r="32" spans="1:21" s="12" customFormat="1" x14ac:dyDescent="0.25">
      <c r="A32" s="62" t="s">
        <v>397</v>
      </c>
      <c r="B32" s="63">
        <v>20.100000000000001</v>
      </c>
      <c r="C32" s="63">
        <v>53.6</v>
      </c>
      <c r="D32" s="63">
        <v>73.69</v>
      </c>
      <c r="E32" s="63">
        <v>6.3</v>
      </c>
      <c r="F32" s="63">
        <v>3.25</v>
      </c>
      <c r="G32" s="63">
        <v>72.709999999999994</v>
      </c>
      <c r="H32" s="63">
        <v>28.11</v>
      </c>
      <c r="I32" s="63">
        <v>0.82</v>
      </c>
      <c r="J32" s="63">
        <v>0.57999999999999996</v>
      </c>
      <c r="K32" s="63">
        <v>352.39</v>
      </c>
      <c r="L32" s="63">
        <v>29.03</v>
      </c>
      <c r="M32" s="63">
        <v>25.03</v>
      </c>
      <c r="N32" s="63">
        <v>4.9000000000000004</v>
      </c>
      <c r="O32" s="63">
        <v>0</v>
      </c>
      <c r="P32" s="63">
        <v>1.53</v>
      </c>
      <c r="Q32" s="63">
        <v>420.61</v>
      </c>
      <c r="R32" s="44"/>
      <c r="S32" s="44"/>
      <c r="T32" s="44"/>
      <c r="U32" s="44"/>
    </row>
    <row r="33" spans="1:21" s="22" customFormat="1" x14ac:dyDescent="0.25">
      <c r="A33" s="27"/>
      <c r="B33" s="21"/>
      <c r="C33" s="21"/>
      <c r="D33" s="21"/>
      <c r="E33" s="21"/>
      <c r="F33" s="21"/>
      <c r="G33" s="27"/>
      <c r="H33" s="27"/>
      <c r="I33" s="27"/>
      <c r="J33" s="21"/>
      <c r="K33" s="21"/>
      <c r="L33" s="27"/>
      <c r="M33" s="27"/>
      <c r="N33" s="27"/>
      <c r="O33" s="27"/>
      <c r="P33" s="27"/>
      <c r="Q33" s="21"/>
      <c r="R33" s="21"/>
      <c r="S33" s="21"/>
      <c r="T33" s="21"/>
      <c r="U33" s="21"/>
    </row>
    <row r="34" spans="1:21" s="22" customFormat="1" x14ac:dyDescent="0.25">
      <c r="A34" s="28" t="s">
        <v>30</v>
      </c>
      <c r="B34" s="29">
        <f t="shared" ref="B34:Q34" si="0">MIN(B9:B32)</f>
        <v>4.83</v>
      </c>
      <c r="C34" s="29">
        <f t="shared" si="0"/>
        <v>29.15</v>
      </c>
      <c r="D34" s="29">
        <f t="shared" si="0"/>
        <v>38.74</v>
      </c>
      <c r="E34" s="29">
        <f t="shared" si="0"/>
        <v>6.1</v>
      </c>
      <c r="F34" s="29">
        <f t="shared" si="0"/>
        <v>1.85</v>
      </c>
      <c r="G34" s="29">
        <f t="shared" si="0"/>
        <v>50.36</v>
      </c>
      <c r="H34" s="29">
        <f t="shared" si="0"/>
        <v>15</v>
      </c>
      <c r="I34" s="29">
        <f t="shared" si="0"/>
        <v>0.44</v>
      </c>
      <c r="J34" s="29">
        <f t="shared" si="0"/>
        <v>0.39</v>
      </c>
      <c r="K34" s="29">
        <f t="shared" si="0"/>
        <v>25.7</v>
      </c>
      <c r="L34" s="29">
        <f t="shared" si="0"/>
        <v>26.12</v>
      </c>
      <c r="M34" s="29">
        <f t="shared" si="0"/>
        <v>25.03</v>
      </c>
      <c r="N34" s="29">
        <f t="shared" si="0"/>
        <v>4.8</v>
      </c>
      <c r="O34" s="29">
        <f t="shared" si="0"/>
        <v>0</v>
      </c>
      <c r="P34" s="29">
        <f t="shared" si="0"/>
        <v>0.78</v>
      </c>
      <c r="Q34" s="29">
        <f t="shared" si="0"/>
        <v>63.54</v>
      </c>
      <c r="R34" s="29"/>
      <c r="S34" s="29"/>
      <c r="T34" s="29"/>
      <c r="U34" s="29"/>
    </row>
    <row r="35" spans="1:21" s="22" customFormat="1" x14ac:dyDescent="0.25">
      <c r="A35" s="28" t="s">
        <v>31</v>
      </c>
      <c r="B35" s="30">
        <f t="shared" ref="B35:Q35" si="1">MAX(B9:B32)</f>
        <v>25.8</v>
      </c>
      <c r="C35" s="30">
        <f t="shared" si="1"/>
        <v>64.91</v>
      </c>
      <c r="D35" s="30">
        <f t="shared" si="1"/>
        <v>90.54</v>
      </c>
      <c r="E35" s="30">
        <f t="shared" si="1"/>
        <v>15.49</v>
      </c>
      <c r="F35" s="30">
        <f t="shared" si="1"/>
        <v>12.77</v>
      </c>
      <c r="G35" s="30">
        <f t="shared" si="1"/>
        <v>155.11000000000001</v>
      </c>
      <c r="H35" s="30">
        <f t="shared" si="1"/>
        <v>33.840000000000003</v>
      </c>
      <c r="I35" s="30">
        <f t="shared" si="1"/>
        <v>0.94</v>
      </c>
      <c r="J35" s="30">
        <f t="shared" si="1"/>
        <v>1.85</v>
      </c>
      <c r="K35" s="30">
        <f t="shared" si="1"/>
        <v>359.44</v>
      </c>
      <c r="L35" s="30">
        <f t="shared" si="1"/>
        <v>29.3</v>
      </c>
      <c r="M35" s="30">
        <f t="shared" si="1"/>
        <v>106.04</v>
      </c>
      <c r="N35" s="30">
        <f t="shared" si="1"/>
        <v>936.5</v>
      </c>
      <c r="O35" s="30">
        <f t="shared" si="1"/>
        <v>5.6</v>
      </c>
      <c r="P35" s="30">
        <f t="shared" si="1"/>
        <v>1.66</v>
      </c>
      <c r="Q35" s="30">
        <f t="shared" si="1"/>
        <v>1210.8800000000001</v>
      </c>
      <c r="R35" s="30"/>
      <c r="S35" s="30"/>
      <c r="T35" s="30"/>
      <c r="U35" s="30"/>
    </row>
    <row r="36" spans="1:21" s="22" customFormat="1" x14ac:dyDescent="0.25">
      <c r="A36" s="28" t="s">
        <v>32</v>
      </c>
      <c r="B36" s="29">
        <f t="shared" ref="B36:Q36" si="2">AVERAGE(B9:B32)</f>
        <v>14.049583333333336</v>
      </c>
      <c r="C36" s="29">
        <f t="shared" si="2"/>
        <v>45.7425</v>
      </c>
      <c r="D36" s="29">
        <f t="shared" si="2"/>
        <v>59.065416666666671</v>
      </c>
      <c r="E36" s="29">
        <f t="shared" si="2"/>
        <v>9.355833333333333</v>
      </c>
      <c r="F36" s="29">
        <f t="shared" si="2"/>
        <v>4.9933333333333332</v>
      </c>
      <c r="G36" s="29">
        <f t="shared" si="2"/>
        <v>90.854166666666686</v>
      </c>
      <c r="H36" s="29">
        <f t="shared" si="2"/>
        <v>23.11708333333333</v>
      </c>
      <c r="I36" s="29">
        <f t="shared" si="2"/>
        <v>0.63291666666666668</v>
      </c>
      <c r="J36" s="29">
        <f t="shared" si="2"/>
        <v>0.85208333333333319</v>
      </c>
      <c r="K36" s="29">
        <f t="shared" si="2"/>
        <v>154.90958333333333</v>
      </c>
      <c r="L36" s="29">
        <f t="shared" si="2"/>
        <v>27.766666666666659</v>
      </c>
      <c r="M36" s="29">
        <f t="shared" si="2"/>
        <v>54.309565217391288</v>
      </c>
      <c r="N36" s="29">
        <f t="shared" si="2"/>
        <v>183.91249999999999</v>
      </c>
      <c r="O36" s="29">
        <f t="shared" si="2"/>
        <v>0.23333333333333331</v>
      </c>
      <c r="P36" s="29">
        <f t="shared" si="2"/>
        <v>1.0158333333333334</v>
      </c>
      <c r="Q36" s="29">
        <f t="shared" si="2"/>
        <v>316.39499999999998</v>
      </c>
      <c r="R36" s="29"/>
      <c r="S36" s="29"/>
      <c r="T36" s="29"/>
      <c r="U36" s="29"/>
    </row>
    <row r="37" spans="1:21" s="22" customFormat="1" x14ac:dyDescent="0.25">
      <c r="A37" s="28" t="s">
        <v>38</v>
      </c>
      <c r="B37" s="29">
        <f>STDEV(B9:B32)</f>
        <v>6.5510686012925055</v>
      </c>
      <c r="C37" s="29">
        <f t="shared" ref="C37:Q37" si="3">STDEV(C9:C32)</f>
        <v>9.9298483941314437</v>
      </c>
      <c r="D37" s="29">
        <f t="shared" si="3"/>
        <v>13.069198098937608</v>
      </c>
      <c r="E37" s="29">
        <f t="shared" si="3"/>
        <v>2.6260002925041523</v>
      </c>
      <c r="F37" s="29">
        <f t="shared" si="3"/>
        <v>2.7892022650504091</v>
      </c>
      <c r="G37" s="29">
        <f t="shared" si="3"/>
        <v>21.49982950724441</v>
      </c>
      <c r="H37" s="29">
        <f t="shared" si="3"/>
        <v>5.0144811853242679</v>
      </c>
      <c r="I37" s="29">
        <f t="shared" si="3"/>
        <v>0.12794289373767836</v>
      </c>
      <c r="J37" s="29">
        <f t="shared" si="3"/>
        <v>0.33317940286391323</v>
      </c>
      <c r="K37" s="29">
        <f t="shared" si="3"/>
        <v>123.11976118995283</v>
      </c>
      <c r="L37" s="29">
        <f t="shared" si="3"/>
        <v>1.363990684805177</v>
      </c>
      <c r="M37" s="29">
        <f t="shared" si="3"/>
        <v>34.114909627511594</v>
      </c>
      <c r="N37" s="29">
        <f t="shared" si="3"/>
        <v>265.70731251494192</v>
      </c>
      <c r="O37" s="29">
        <f t="shared" si="3"/>
        <v>1.1430952132988164</v>
      </c>
      <c r="P37" s="29">
        <f t="shared" si="3"/>
        <v>0.24030626593843929</v>
      </c>
      <c r="Q37" s="29">
        <f t="shared" si="3"/>
        <v>342.09962646294565</v>
      </c>
      <c r="R37" s="29"/>
      <c r="S37" s="29"/>
      <c r="T37" s="29"/>
      <c r="U37" s="29"/>
    </row>
    <row r="38" spans="1:21" s="22" customFormat="1" x14ac:dyDescent="0.25">
      <c r="A38" s="32" t="s">
        <v>33</v>
      </c>
      <c r="B38" s="33">
        <f t="shared" ref="B38:Q38" si="4">COUNT(B9:B32)</f>
        <v>24</v>
      </c>
      <c r="C38" s="33">
        <f t="shared" si="4"/>
        <v>24</v>
      </c>
      <c r="D38" s="33">
        <f t="shared" si="4"/>
        <v>24</v>
      </c>
      <c r="E38" s="33">
        <f t="shared" si="4"/>
        <v>24</v>
      </c>
      <c r="F38" s="33">
        <f t="shared" si="4"/>
        <v>24</v>
      </c>
      <c r="G38" s="33">
        <f t="shared" si="4"/>
        <v>24</v>
      </c>
      <c r="H38" s="33">
        <f t="shared" si="4"/>
        <v>24</v>
      </c>
      <c r="I38" s="33">
        <f t="shared" si="4"/>
        <v>24</v>
      </c>
      <c r="J38" s="33">
        <f t="shared" si="4"/>
        <v>24</v>
      </c>
      <c r="K38" s="33">
        <f t="shared" si="4"/>
        <v>24</v>
      </c>
      <c r="L38" s="33">
        <f>COUNT(L9:L32)+6</f>
        <v>24</v>
      </c>
      <c r="M38" s="33">
        <f t="shared" si="4"/>
        <v>23</v>
      </c>
      <c r="N38" s="33">
        <f t="shared" si="4"/>
        <v>24</v>
      </c>
      <c r="O38" s="33">
        <f t="shared" si="4"/>
        <v>24</v>
      </c>
      <c r="P38" s="33">
        <f t="shared" si="4"/>
        <v>24</v>
      </c>
      <c r="Q38" s="33">
        <f t="shared" si="4"/>
        <v>24</v>
      </c>
      <c r="R38" s="33"/>
      <c r="S38" s="33"/>
      <c r="T38" s="33"/>
      <c r="U38" s="33"/>
    </row>
    <row r="39" spans="1:21" s="22" customFormat="1" x14ac:dyDescent="0.25">
      <c r="A39" s="28" t="s">
        <v>34</v>
      </c>
      <c r="B39" s="30" t="str">
        <f>IF(B38&gt;=22,"&gt;90%",IF(B38&lt;=22,"&lt;90%"))</f>
        <v>&gt;90%</v>
      </c>
      <c r="C39" s="30" t="str">
        <f t="shared" ref="C39:P39" si="5">IF(C38&gt;=22,"&gt;90%",IF(C38&lt;=22,"&lt;90%"))</f>
        <v>&gt;90%</v>
      </c>
      <c r="D39" s="30" t="str">
        <f t="shared" si="5"/>
        <v>&gt;90%</v>
      </c>
      <c r="E39" s="30" t="str">
        <f t="shared" si="5"/>
        <v>&gt;90%</v>
      </c>
      <c r="F39" s="30" t="str">
        <f t="shared" si="5"/>
        <v>&gt;90%</v>
      </c>
      <c r="G39" s="30" t="str">
        <f t="shared" si="5"/>
        <v>&gt;90%</v>
      </c>
      <c r="H39" s="30" t="str">
        <f t="shared" si="5"/>
        <v>&gt;90%</v>
      </c>
      <c r="I39" s="30" t="str">
        <f t="shared" si="5"/>
        <v>&gt;90%</v>
      </c>
      <c r="J39" s="30" t="str">
        <f t="shared" si="5"/>
        <v>&gt;90%</v>
      </c>
      <c r="K39" s="30" t="str">
        <f t="shared" si="5"/>
        <v>&gt;90%</v>
      </c>
      <c r="L39" s="30" t="str">
        <f t="shared" si="5"/>
        <v>&gt;90%</v>
      </c>
      <c r="M39" s="30" t="str">
        <f t="shared" si="5"/>
        <v>&gt;90%</v>
      </c>
      <c r="N39" s="30" t="str">
        <f t="shared" si="5"/>
        <v>&gt;90%</v>
      </c>
      <c r="O39" s="30" t="str">
        <f t="shared" si="5"/>
        <v>&gt;90%</v>
      </c>
      <c r="P39" s="30" t="str">
        <f t="shared" si="5"/>
        <v>&gt;90%</v>
      </c>
      <c r="Q39" s="30" t="str">
        <f>IF(Q38&gt;=22,"&gt;90%",IF(Q38&lt;=22,"&lt;90%"))</f>
        <v>&gt;90%</v>
      </c>
      <c r="R39" s="30"/>
      <c r="S39" s="30"/>
      <c r="T39" s="30"/>
      <c r="U39" s="30"/>
    </row>
    <row r="40" spans="1:21" s="22" customFormat="1" x14ac:dyDescent="0.25">
      <c r="A40" s="28" t="s">
        <v>1</v>
      </c>
      <c r="B40" s="30" t="str">
        <f>IF(B38&gt;=22,"OK",IF(B38&lt;=22,"LESS"))</f>
        <v>OK</v>
      </c>
      <c r="C40" s="30" t="str">
        <f t="shared" ref="C40:Q40" si="6">IF(C38&gt;=22,"OK",IF(C38&lt;=22,"LESS"))</f>
        <v>OK</v>
      </c>
      <c r="D40" s="30" t="str">
        <f t="shared" si="6"/>
        <v>OK</v>
      </c>
      <c r="E40" s="30" t="str">
        <f t="shared" si="6"/>
        <v>OK</v>
      </c>
      <c r="F40" s="30" t="str">
        <f t="shared" si="6"/>
        <v>OK</v>
      </c>
      <c r="G40" s="30" t="str">
        <f t="shared" si="6"/>
        <v>OK</v>
      </c>
      <c r="H40" s="30" t="str">
        <f t="shared" si="6"/>
        <v>OK</v>
      </c>
      <c r="I40" s="30" t="str">
        <f t="shared" si="6"/>
        <v>OK</v>
      </c>
      <c r="J40" s="30" t="str">
        <f t="shared" si="6"/>
        <v>OK</v>
      </c>
      <c r="K40" s="30" t="str">
        <f t="shared" si="6"/>
        <v>OK</v>
      </c>
      <c r="L40" s="30" t="str">
        <f t="shared" si="6"/>
        <v>OK</v>
      </c>
      <c r="M40" s="30" t="str">
        <f t="shared" si="6"/>
        <v>OK</v>
      </c>
      <c r="N40" s="30" t="str">
        <f t="shared" si="6"/>
        <v>OK</v>
      </c>
      <c r="O40" s="30" t="str">
        <f t="shared" si="6"/>
        <v>OK</v>
      </c>
      <c r="P40" s="30" t="str">
        <f t="shared" si="6"/>
        <v>OK</v>
      </c>
      <c r="Q40" s="30" t="str">
        <f t="shared" si="6"/>
        <v>OK</v>
      </c>
      <c r="R40" s="30"/>
      <c r="S40" s="30"/>
      <c r="T40" s="30"/>
      <c r="U40" s="30"/>
    </row>
    <row r="41" spans="1:21" s="22" customFormat="1" x14ac:dyDescent="0.25">
      <c r="A41" s="14"/>
      <c r="L41" s="14"/>
      <c r="N41" s="17"/>
      <c r="O41" s="17"/>
      <c r="P41" s="17"/>
      <c r="Q41" s="17"/>
      <c r="R41" s="17"/>
      <c r="S41" s="17"/>
      <c r="T41" s="17"/>
      <c r="U41" s="17"/>
    </row>
    <row r="42" spans="1:21" s="22" customFormat="1" x14ac:dyDescent="0.25">
      <c r="A42" s="14"/>
    </row>
    <row r="43" spans="1:21" s="22" customFormat="1" x14ac:dyDescent="0.25">
      <c r="A43" s="15" t="s">
        <v>35</v>
      </c>
      <c r="B43" s="41" t="s">
        <v>61</v>
      </c>
      <c r="C43" s="43"/>
    </row>
    <row r="44" spans="1:21" s="22" customFormat="1" x14ac:dyDescent="0.25">
      <c r="A44" s="14"/>
      <c r="D44" s="2"/>
      <c r="E44" s="2"/>
      <c r="F44" s="2"/>
      <c r="G44" s="2"/>
      <c r="H44" s="2"/>
      <c r="I44" s="2"/>
    </row>
    <row r="45" spans="1:21" s="22" customFormat="1" ht="15.75" x14ac:dyDescent="0.25">
      <c r="A45" s="18" t="s">
        <v>36</v>
      </c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</row>
    <row r="46" spans="1:21" s="22" customFormat="1" x14ac:dyDescent="0.25"/>
    <row r="47" spans="1:21" s="22" customFormat="1" x14ac:dyDescent="0.25"/>
    <row r="48" spans="1:21" s="22" customFormat="1" x14ac:dyDescent="0.25"/>
    <row r="49" s="22" customFormat="1" x14ac:dyDescent="0.25"/>
    <row r="50" s="22" customFormat="1" x14ac:dyDescent="0.25"/>
    <row r="51" s="22" customFormat="1" x14ac:dyDescent="0.25"/>
    <row r="52" s="22" customFormat="1" x14ac:dyDescent="0.25"/>
    <row r="53" s="22" customFormat="1" x14ac:dyDescent="0.25"/>
    <row r="54" s="22" customFormat="1" x14ac:dyDescent="0.25"/>
    <row r="55" s="22" customFormat="1" x14ac:dyDescent="0.25"/>
    <row r="56" s="22" customFormat="1" x14ac:dyDescent="0.25"/>
    <row r="57" s="22" customFormat="1" x14ac:dyDescent="0.25"/>
    <row r="58" s="22" customFormat="1" x14ac:dyDescent="0.25"/>
    <row r="59" s="22" customFormat="1" x14ac:dyDescent="0.25"/>
    <row r="60" s="22" customFormat="1" x14ac:dyDescent="0.25"/>
    <row r="61" s="22" customFormat="1" x14ac:dyDescent="0.25"/>
    <row r="62" s="22" customFormat="1" x14ac:dyDescent="0.25"/>
    <row r="63" s="22" customFormat="1" x14ac:dyDescent="0.25"/>
    <row r="64" s="22" customFormat="1" x14ac:dyDescent="0.25"/>
    <row r="65" s="22" customFormat="1" x14ac:dyDescent="0.25"/>
    <row r="66" s="22" customFormat="1" x14ac:dyDescent="0.25"/>
    <row r="67" s="22" customFormat="1" x14ac:dyDescent="0.25"/>
    <row r="68" s="22" customFormat="1" x14ac:dyDescent="0.25"/>
    <row r="69" s="22" customFormat="1" x14ac:dyDescent="0.25"/>
    <row r="70" s="22" customFormat="1" x14ac:dyDescent="0.25"/>
    <row r="71" s="22" customFormat="1" x14ac:dyDescent="0.25"/>
    <row r="72" s="22" customFormat="1" x14ac:dyDescent="0.25"/>
    <row r="73" s="22" customFormat="1" x14ac:dyDescent="0.25"/>
    <row r="74" s="22" customFormat="1" x14ac:dyDescent="0.25"/>
    <row r="75" s="22" customFormat="1" x14ac:dyDescent="0.25"/>
    <row r="76" s="22" customFormat="1" x14ac:dyDescent="0.25"/>
    <row r="77" s="22" customFormat="1" x14ac:dyDescent="0.25"/>
    <row r="78" s="22" customFormat="1" x14ac:dyDescent="0.25"/>
    <row r="79" s="22" customFormat="1" x14ac:dyDescent="0.25"/>
    <row r="80" s="22" customFormat="1" x14ac:dyDescent="0.25"/>
    <row r="81" s="22" customFormat="1" x14ac:dyDescent="0.25"/>
    <row r="82" s="22" customFormat="1" x14ac:dyDescent="0.25"/>
    <row r="83" s="22" customFormat="1" x14ac:dyDescent="0.25"/>
    <row r="84" s="22" customFormat="1" x14ac:dyDescent="0.25"/>
    <row r="85" s="22" customFormat="1" x14ac:dyDescent="0.25"/>
    <row r="86" s="22" customFormat="1" x14ac:dyDescent="0.25"/>
    <row r="87" s="22" customFormat="1" x14ac:dyDescent="0.25"/>
    <row r="88" s="22" customFormat="1" x14ac:dyDescent="0.25"/>
    <row r="89" s="22" customFormat="1" x14ac:dyDescent="0.25"/>
    <row r="90" s="22" customFormat="1" x14ac:dyDescent="0.25"/>
    <row r="91" s="22" customFormat="1" x14ac:dyDescent="0.25"/>
    <row r="92" s="22" customFormat="1" x14ac:dyDescent="0.25"/>
    <row r="93" s="22" customFormat="1" x14ac:dyDescent="0.25"/>
    <row r="94" s="22" customFormat="1" x14ac:dyDescent="0.25"/>
    <row r="95" s="22" customFormat="1" x14ac:dyDescent="0.25"/>
    <row r="96" s="22" customFormat="1" x14ac:dyDescent="0.25"/>
    <row r="97" spans="1:1" s="22" customFormat="1" x14ac:dyDescent="0.25"/>
    <row r="98" spans="1:1" s="22" customFormat="1" x14ac:dyDescent="0.25"/>
    <row r="99" spans="1:1" s="22" customFormat="1" x14ac:dyDescent="0.25"/>
    <row r="100" spans="1:1" s="22" customFormat="1" x14ac:dyDescent="0.25"/>
    <row r="101" spans="1:1" s="22" customFormat="1" x14ac:dyDescent="0.25"/>
    <row r="102" spans="1:1" s="22" customFormat="1" x14ac:dyDescent="0.25"/>
    <row r="103" spans="1:1" s="22" customFormat="1" x14ac:dyDescent="0.25"/>
    <row r="104" spans="1:1" s="22" customFormat="1" x14ac:dyDescent="0.25"/>
    <row r="105" spans="1:1" s="22" customFormat="1" x14ac:dyDescent="0.25"/>
    <row r="106" spans="1:1" x14ac:dyDescent="0.25">
      <c r="A106" s="21"/>
    </row>
    <row r="107" spans="1:1" s="22" customFormat="1" x14ac:dyDescent="0.25"/>
    <row r="108" spans="1:1" s="22" customFormat="1" x14ac:dyDescent="0.25"/>
    <row r="109" spans="1:1" s="22" customFormat="1" x14ac:dyDescent="0.25"/>
    <row r="110" spans="1:1" s="22" customFormat="1" x14ac:dyDescent="0.25"/>
    <row r="111" spans="1:1" s="22" customFormat="1" x14ac:dyDescent="0.25"/>
    <row r="112" spans="1:1" s="22" customFormat="1" x14ac:dyDescent="0.25"/>
    <row r="113" spans="1:1" s="22" customFormat="1" x14ac:dyDescent="0.25"/>
    <row r="114" spans="1:1" s="22" customFormat="1" x14ac:dyDescent="0.25"/>
    <row r="115" spans="1:1" s="22" customFormat="1" x14ac:dyDescent="0.25"/>
    <row r="116" spans="1:1" s="22" customFormat="1" x14ac:dyDescent="0.25"/>
    <row r="117" spans="1:1" s="22" customFormat="1" x14ac:dyDescent="0.25"/>
    <row r="118" spans="1:1" x14ac:dyDescent="0.25">
      <c r="A118" s="21"/>
    </row>
    <row r="119" spans="1:1" x14ac:dyDescent="0.25">
      <c r="A119" s="21"/>
    </row>
  </sheetData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1" ySplit="8" topLeftCell="B21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I39" sqref="I39"/>
    </sheetView>
  </sheetViews>
  <sheetFormatPr defaultColWidth="8.85546875" defaultRowHeight="15" x14ac:dyDescent="0.25"/>
  <cols>
    <col min="1" max="1" width="18.28515625" style="27" customWidth="1"/>
    <col min="2" max="2" width="12.7109375" style="21" customWidth="1"/>
    <col min="3" max="12" width="9.140625" style="21" customWidth="1"/>
    <col min="13" max="13" width="10" style="21" customWidth="1"/>
    <col min="14" max="19" width="9.140625" style="21" customWidth="1"/>
    <col min="20" max="20" width="11.42578125" style="21" customWidth="1"/>
    <col min="21" max="16384" width="8.85546875" style="21"/>
  </cols>
  <sheetData>
    <row r="1" spans="1:21" s="22" customFormat="1" ht="26.25" x14ac:dyDescent="0.25">
      <c r="A1" s="15" t="s">
        <v>2</v>
      </c>
      <c r="B1" s="24" t="s">
        <v>43</v>
      </c>
      <c r="C1" s="38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s="22" customFormat="1" x14ac:dyDescent="0.25">
      <c r="A2" s="15" t="s">
        <v>0</v>
      </c>
      <c r="B2" s="39" t="str">
        <f>$A$9</f>
        <v>15-10-2022 01:00</v>
      </c>
      <c r="C2" s="12"/>
      <c r="D2" s="11" t="s">
        <v>3</v>
      </c>
      <c r="E2" s="11"/>
      <c r="F2" s="11"/>
      <c r="G2" s="4" t="s">
        <v>4</v>
      </c>
      <c r="H2" s="20"/>
      <c r="I2" s="20"/>
      <c r="J2" s="20"/>
      <c r="K2" s="13"/>
      <c r="L2" s="11" t="s">
        <v>5</v>
      </c>
      <c r="M2" s="13"/>
      <c r="N2" s="8" t="s">
        <v>6</v>
      </c>
      <c r="P2" s="40" t="s">
        <v>7</v>
      </c>
      <c r="Q2" s="13"/>
      <c r="R2" s="9" t="s">
        <v>8</v>
      </c>
      <c r="S2" s="12"/>
      <c r="T2" s="12"/>
      <c r="U2" s="12"/>
    </row>
    <row r="3" spans="1:21" s="22" customFormat="1" x14ac:dyDescent="0.25">
      <c r="A3" s="15" t="s">
        <v>9</v>
      </c>
      <c r="B3" s="13" t="s">
        <v>10</v>
      </c>
      <c r="C3" s="12"/>
      <c r="D3" s="11" t="s">
        <v>11</v>
      </c>
      <c r="E3" s="11"/>
      <c r="F3" s="11"/>
      <c r="G3" s="19" t="s">
        <v>12</v>
      </c>
      <c r="H3" s="20"/>
      <c r="I3" s="20"/>
      <c r="J3" s="20"/>
      <c r="K3" s="12"/>
      <c r="L3" s="11" t="s">
        <v>13</v>
      </c>
      <c r="M3" s="13"/>
      <c r="N3" s="6" t="s">
        <v>14</v>
      </c>
      <c r="O3" s="13"/>
      <c r="P3" s="40" t="s">
        <v>15</v>
      </c>
      <c r="Q3" s="13"/>
      <c r="R3" s="10" t="s">
        <v>15</v>
      </c>
      <c r="S3" s="12"/>
      <c r="T3" s="12"/>
      <c r="U3" s="12"/>
    </row>
    <row r="4" spans="1:21" s="22" customFormat="1" x14ac:dyDescent="0.25">
      <c r="A4" s="15" t="s">
        <v>16</v>
      </c>
      <c r="B4" s="13" t="s">
        <v>39</v>
      </c>
      <c r="C4" s="12"/>
      <c r="D4" s="11" t="s">
        <v>17</v>
      </c>
      <c r="E4" s="11"/>
      <c r="F4" s="11"/>
      <c r="G4" s="5" t="s">
        <v>18</v>
      </c>
      <c r="H4" s="20"/>
      <c r="I4" s="20"/>
      <c r="J4" s="20"/>
      <c r="K4" s="3"/>
      <c r="L4" s="11" t="s">
        <v>19</v>
      </c>
      <c r="M4" s="13"/>
      <c r="N4" s="7" t="s">
        <v>20</v>
      </c>
      <c r="O4" s="13"/>
      <c r="P4" s="13"/>
      <c r="Q4" s="13"/>
      <c r="R4" s="13"/>
      <c r="S4" s="12"/>
      <c r="T4" s="12"/>
      <c r="U4" s="12"/>
    </row>
    <row r="5" spans="1:21" s="22" customFormat="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s="22" customFormat="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s="22" customFormat="1" x14ac:dyDescent="0.25">
      <c r="A7" s="15" t="s">
        <v>21</v>
      </c>
      <c r="B7" s="45" t="s">
        <v>59</v>
      </c>
      <c r="C7" s="45" t="s">
        <v>44</v>
      </c>
      <c r="D7" s="45" t="s">
        <v>45</v>
      </c>
      <c r="E7" s="45" t="s">
        <v>46</v>
      </c>
      <c r="F7" s="45" t="s">
        <v>47</v>
      </c>
      <c r="G7" s="45" t="s">
        <v>48</v>
      </c>
      <c r="H7" s="45" t="s">
        <v>49</v>
      </c>
      <c r="I7" s="45" t="s">
        <v>50</v>
      </c>
      <c r="J7" s="45" t="s">
        <v>51</v>
      </c>
      <c r="K7" s="45" t="s">
        <v>52</v>
      </c>
      <c r="L7" s="45" t="s">
        <v>53</v>
      </c>
      <c r="M7" s="45" t="s">
        <v>54</v>
      </c>
      <c r="N7" s="45" t="s">
        <v>55</v>
      </c>
      <c r="O7" s="45" t="s">
        <v>56</v>
      </c>
      <c r="P7" s="45" t="s">
        <v>57</v>
      </c>
      <c r="Q7" s="45" t="s">
        <v>58</v>
      </c>
      <c r="R7" s="28"/>
      <c r="S7" s="30"/>
      <c r="T7" s="28"/>
      <c r="U7" s="28"/>
    </row>
    <row r="8" spans="1:21" s="22" customFormat="1" x14ac:dyDescent="0.25">
      <c r="A8" s="15"/>
      <c r="B8" s="30" t="s">
        <v>22</v>
      </c>
      <c r="C8" s="30" t="s">
        <v>22</v>
      </c>
      <c r="D8" s="30" t="s">
        <v>22</v>
      </c>
      <c r="E8" s="30" t="s">
        <v>22</v>
      </c>
      <c r="F8" s="30" t="s">
        <v>22</v>
      </c>
      <c r="G8" s="30" t="s">
        <v>23</v>
      </c>
      <c r="H8" s="30" t="s">
        <v>22</v>
      </c>
      <c r="I8" s="30" t="s">
        <v>22</v>
      </c>
      <c r="J8" s="30" t="s">
        <v>24</v>
      </c>
      <c r="K8" s="30" t="s">
        <v>25</v>
      </c>
      <c r="L8" s="28" t="s">
        <v>27</v>
      </c>
      <c r="M8" s="30" t="s">
        <v>26</v>
      </c>
      <c r="N8" s="30" t="s">
        <v>28</v>
      </c>
      <c r="O8" s="28" t="s">
        <v>29</v>
      </c>
      <c r="P8" s="30" t="s">
        <v>22</v>
      </c>
      <c r="Q8" s="30" t="s">
        <v>22</v>
      </c>
      <c r="R8" s="28"/>
      <c r="S8" s="30"/>
      <c r="T8" s="28"/>
      <c r="U8" s="28"/>
    </row>
    <row r="9" spans="1:21" s="12" customFormat="1" x14ac:dyDescent="0.25">
      <c r="A9" s="64" t="s">
        <v>398</v>
      </c>
      <c r="B9" s="65">
        <v>16.7</v>
      </c>
      <c r="C9" s="65">
        <v>36.19</v>
      </c>
      <c r="D9" s="65">
        <v>52.75</v>
      </c>
      <c r="E9" s="65">
        <v>6.71</v>
      </c>
      <c r="F9" s="65">
        <v>2.74</v>
      </c>
      <c r="G9" s="65">
        <v>106.17</v>
      </c>
      <c r="H9" s="65">
        <v>29.87</v>
      </c>
      <c r="I9" s="65">
        <v>0.81</v>
      </c>
      <c r="J9" s="65">
        <v>0.4</v>
      </c>
      <c r="K9" s="65">
        <v>71.03</v>
      </c>
      <c r="L9" s="9" t="s">
        <v>8</v>
      </c>
      <c r="M9" s="9" t="s">
        <v>8</v>
      </c>
      <c r="N9" s="65">
        <v>4.9000000000000004</v>
      </c>
      <c r="O9" s="65">
        <v>0</v>
      </c>
      <c r="P9" s="65">
        <v>1.38</v>
      </c>
      <c r="Q9" s="65">
        <v>399.26</v>
      </c>
      <c r="R9" s="44"/>
      <c r="S9" s="44"/>
      <c r="T9" s="44"/>
      <c r="U9" s="44"/>
    </row>
    <row r="10" spans="1:21" s="12" customFormat="1" x14ac:dyDescent="0.25">
      <c r="A10" s="64" t="s">
        <v>399</v>
      </c>
      <c r="B10" s="65">
        <v>14.19</v>
      </c>
      <c r="C10" s="65">
        <v>32.159999999999997</v>
      </c>
      <c r="D10" s="65">
        <v>46.36</v>
      </c>
      <c r="E10" s="65">
        <v>6.41</v>
      </c>
      <c r="F10" s="65">
        <v>1.5</v>
      </c>
      <c r="G10" s="65">
        <v>116.86</v>
      </c>
      <c r="H10" s="65">
        <v>24.49</v>
      </c>
      <c r="I10" s="65">
        <v>0.85</v>
      </c>
      <c r="J10" s="65">
        <v>0.43</v>
      </c>
      <c r="K10" s="65">
        <v>83.01</v>
      </c>
      <c r="L10" s="9" t="s">
        <v>8</v>
      </c>
      <c r="M10" s="9" t="s">
        <v>8</v>
      </c>
      <c r="N10" s="65">
        <v>5</v>
      </c>
      <c r="O10" s="65">
        <v>0</v>
      </c>
      <c r="P10" s="65">
        <v>1.27</v>
      </c>
      <c r="Q10" s="65">
        <v>332.33</v>
      </c>
      <c r="R10" s="44"/>
      <c r="S10" s="44"/>
      <c r="T10" s="44"/>
      <c r="U10" s="44"/>
    </row>
    <row r="11" spans="1:21" s="12" customFormat="1" x14ac:dyDescent="0.25">
      <c r="A11" s="64" t="s">
        <v>400</v>
      </c>
      <c r="B11" s="65">
        <v>10.68</v>
      </c>
      <c r="C11" s="65">
        <v>27.6</v>
      </c>
      <c r="D11" s="65">
        <v>38.28</v>
      </c>
      <c r="E11" s="65">
        <v>6.07</v>
      </c>
      <c r="F11" s="65">
        <v>1.57</v>
      </c>
      <c r="G11" s="65">
        <v>95.89</v>
      </c>
      <c r="H11" s="65">
        <v>21.7</v>
      </c>
      <c r="I11" s="65">
        <v>0.75</v>
      </c>
      <c r="J11" s="65">
        <v>1.1499999999999999</v>
      </c>
      <c r="K11" s="65">
        <v>357.54</v>
      </c>
      <c r="L11" s="9" t="s">
        <v>8</v>
      </c>
      <c r="M11" s="9" t="s">
        <v>8</v>
      </c>
      <c r="N11" s="65">
        <v>5.0999999999999996</v>
      </c>
      <c r="O11" s="65">
        <v>0</v>
      </c>
      <c r="P11" s="65">
        <v>1.1000000000000001</v>
      </c>
      <c r="Q11" s="65">
        <v>272.88</v>
      </c>
      <c r="R11" s="44"/>
      <c r="S11" s="44"/>
      <c r="T11" s="44"/>
      <c r="U11" s="44"/>
    </row>
    <row r="12" spans="1:21" s="12" customFormat="1" x14ac:dyDescent="0.25">
      <c r="A12" s="64" t="s">
        <v>401</v>
      </c>
      <c r="B12" s="65">
        <v>8.6</v>
      </c>
      <c r="C12" s="65">
        <v>27.66</v>
      </c>
      <c r="D12" s="65">
        <v>36.270000000000003</v>
      </c>
      <c r="E12" s="65">
        <v>7.5</v>
      </c>
      <c r="F12" s="65">
        <v>1.88</v>
      </c>
      <c r="G12" s="65">
        <v>70.430000000000007</v>
      </c>
      <c r="H12" s="65">
        <v>17.63</v>
      </c>
      <c r="I12" s="65">
        <v>0.67</v>
      </c>
      <c r="J12" s="65">
        <v>0.84</v>
      </c>
      <c r="K12" s="65">
        <v>351.12</v>
      </c>
      <c r="L12" s="9" t="s">
        <v>8</v>
      </c>
      <c r="M12" s="9" t="s">
        <v>8</v>
      </c>
      <c r="N12" s="65">
        <v>5.0999999999999996</v>
      </c>
      <c r="O12" s="65">
        <v>0</v>
      </c>
      <c r="P12" s="65">
        <v>0.96</v>
      </c>
      <c r="Q12" s="65">
        <v>258.87</v>
      </c>
      <c r="R12" s="44"/>
      <c r="S12" s="44"/>
      <c r="T12" s="44"/>
      <c r="U12" s="44"/>
    </row>
    <row r="13" spans="1:21" s="12" customFormat="1" x14ac:dyDescent="0.25">
      <c r="A13" s="64" t="s">
        <v>402</v>
      </c>
      <c r="B13" s="65">
        <v>10.15</v>
      </c>
      <c r="C13" s="65">
        <v>26.25</v>
      </c>
      <c r="D13" s="65">
        <v>36.4</v>
      </c>
      <c r="E13" s="65">
        <v>7.32</v>
      </c>
      <c r="F13" s="65">
        <v>1</v>
      </c>
      <c r="G13" s="65">
        <v>62.62</v>
      </c>
      <c r="H13" s="65">
        <v>14.1</v>
      </c>
      <c r="I13" s="65">
        <v>0.7</v>
      </c>
      <c r="J13" s="65">
        <v>1.03</v>
      </c>
      <c r="K13" s="65">
        <v>354.66</v>
      </c>
      <c r="L13" s="9" t="s">
        <v>8</v>
      </c>
      <c r="M13" s="9" t="s">
        <v>8</v>
      </c>
      <c r="N13" s="65">
        <v>5.0999999999999996</v>
      </c>
      <c r="O13" s="65">
        <v>0</v>
      </c>
      <c r="P13" s="65">
        <v>0.92</v>
      </c>
      <c r="Q13" s="65">
        <v>238.52</v>
      </c>
      <c r="R13" s="44"/>
      <c r="S13" s="44"/>
      <c r="T13" s="44"/>
      <c r="U13" s="44"/>
    </row>
    <row r="14" spans="1:21" s="12" customFormat="1" x14ac:dyDescent="0.25">
      <c r="A14" s="64" t="s">
        <v>403</v>
      </c>
      <c r="B14" s="65">
        <v>12.42</v>
      </c>
      <c r="C14" s="65">
        <v>30.57</v>
      </c>
      <c r="D14" s="65">
        <v>42.99</v>
      </c>
      <c r="E14" s="65">
        <v>6.45</v>
      </c>
      <c r="F14" s="65">
        <v>0.41</v>
      </c>
      <c r="G14" s="65">
        <v>63.35</v>
      </c>
      <c r="H14" s="65">
        <v>17.46</v>
      </c>
      <c r="I14" s="65">
        <v>0.65</v>
      </c>
      <c r="J14" s="65">
        <v>1.03</v>
      </c>
      <c r="K14" s="65">
        <v>358.78</v>
      </c>
      <c r="L14" s="9" t="s">
        <v>8</v>
      </c>
      <c r="M14" s="9" t="s">
        <v>8</v>
      </c>
      <c r="N14" s="65">
        <v>7.7</v>
      </c>
      <c r="O14" s="65">
        <v>0</v>
      </c>
      <c r="P14" s="65">
        <v>0.92</v>
      </c>
      <c r="Q14" s="65">
        <v>186.2</v>
      </c>
      <c r="R14" s="44"/>
      <c r="S14" s="44"/>
      <c r="T14" s="44"/>
      <c r="U14" s="44"/>
    </row>
    <row r="15" spans="1:21" s="12" customFormat="1" x14ac:dyDescent="0.25">
      <c r="A15" s="64" t="s">
        <v>404</v>
      </c>
      <c r="B15" s="65">
        <v>16.48</v>
      </c>
      <c r="C15" s="65">
        <v>34.57</v>
      </c>
      <c r="D15" s="65">
        <v>51.05</v>
      </c>
      <c r="E15" s="65">
        <v>6.6</v>
      </c>
      <c r="F15" s="65">
        <v>1.66</v>
      </c>
      <c r="G15" s="65">
        <v>73.400000000000006</v>
      </c>
      <c r="H15" s="65">
        <v>19.52</v>
      </c>
      <c r="I15" s="65">
        <v>0.57999999999999996</v>
      </c>
      <c r="J15" s="65">
        <v>0.69</v>
      </c>
      <c r="K15" s="65">
        <v>355.47</v>
      </c>
      <c r="L15" s="9" t="s">
        <v>8</v>
      </c>
      <c r="M15" s="9" t="s">
        <v>8</v>
      </c>
      <c r="N15" s="65">
        <v>81.400000000000006</v>
      </c>
      <c r="O15" s="65">
        <v>0</v>
      </c>
      <c r="P15" s="65">
        <v>0.88</v>
      </c>
      <c r="Q15" s="65">
        <v>171.7</v>
      </c>
      <c r="R15" s="44"/>
      <c r="S15" s="44"/>
      <c r="T15" s="44"/>
      <c r="U15" s="44"/>
    </row>
    <row r="16" spans="1:21" s="12" customFormat="1" x14ac:dyDescent="0.25">
      <c r="A16" s="64" t="s">
        <v>405</v>
      </c>
      <c r="B16" s="65">
        <v>17.3</v>
      </c>
      <c r="C16" s="65">
        <v>37.39</v>
      </c>
      <c r="D16" s="65">
        <v>53.58</v>
      </c>
      <c r="E16" s="65">
        <v>7.14</v>
      </c>
      <c r="F16" s="65">
        <v>0.97</v>
      </c>
      <c r="G16" s="65">
        <v>81.239999999999995</v>
      </c>
      <c r="H16" s="65">
        <v>19.489999999999998</v>
      </c>
      <c r="I16" s="65">
        <v>0.62</v>
      </c>
      <c r="J16" s="65">
        <v>0.62</v>
      </c>
      <c r="K16" s="65">
        <v>62.49</v>
      </c>
      <c r="L16" s="9" t="s">
        <v>8</v>
      </c>
      <c r="M16" s="9" t="s">
        <v>8</v>
      </c>
      <c r="N16" s="65">
        <v>295.7</v>
      </c>
      <c r="O16" s="65">
        <v>0</v>
      </c>
      <c r="P16" s="65">
        <v>0.87</v>
      </c>
      <c r="Q16" s="65">
        <v>184.99</v>
      </c>
      <c r="R16" s="44"/>
      <c r="S16" s="44"/>
      <c r="T16" s="44"/>
      <c r="U16" s="44"/>
    </row>
    <row r="17" spans="1:21" s="12" customFormat="1" x14ac:dyDescent="0.25">
      <c r="A17" s="64" t="s">
        <v>406</v>
      </c>
      <c r="B17" s="65">
        <v>17.3</v>
      </c>
      <c r="C17" s="65">
        <v>32.909999999999997</v>
      </c>
      <c r="D17" s="65">
        <v>49.66</v>
      </c>
      <c r="E17" s="65">
        <v>6.31</v>
      </c>
      <c r="F17" s="65">
        <v>1.1499999999999999</v>
      </c>
      <c r="G17" s="65">
        <v>83</v>
      </c>
      <c r="H17" s="65">
        <v>19.309999999999999</v>
      </c>
      <c r="I17" s="65">
        <v>0.65</v>
      </c>
      <c r="J17" s="65">
        <v>0.81</v>
      </c>
      <c r="K17" s="65">
        <v>74.680000000000007</v>
      </c>
      <c r="L17" s="9" t="s">
        <v>8</v>
      </c>
      <c r="M17" s="9" t="s">
        <v>8</v>
      </c>
      <c r="N17" s="65">
        <v>415.9</v>
      </c>
      <c r="O17" s="65">
        <v>0</v>
      </c>
      <c r="P17" s="65">
        <v>0.87</v>
      </c>
      <c r="Q17" s="65">
        <v>167.33</v>
      </c>
      <c r="R17" s="44"/>
      <c r="S17" s="44"/>
      <c r="T17" s="44"/>
      <c r="U17" s="44"/>
    </row>
    <row r="18" spans="1:21" s="12" customFormat="1" x14ac:dyDescent="0.25">
      <c r="A18" s="64" t="s">
        <v>407</v>
      </c>
      <c r="B18" s="65">
        <v>15.06</v>
      </c>
      <c r="C18" s="65">
        <v>34.67</v>
      </c>
      <c r="D18" s="65">
        <v>47.77</v>
      </c>
      <c r="E18" s="65">
        <v>6.23</v>
      </c>
      <c r="F18" s="65">
        <v>2.57</v>
      </c>
      <c r="G18" s="65">
        <v>83.28</v>
      </c>
      <c r="H18" s="65">
        <v>18.27</v>
      </c>
      <c r="I18" s="65">
        <v>0.63</v>
      </c>
      <c r="J18" s="65">
        <v>1.64</v>
      </c>
      <c r="K18" s="65">
        <v>102.24</v>
      </c>
      <c r="L18" s="9" t="s">
        <v>8</v>
      </c>
      <c r="M18" s="9" t="s">
        <v>8</v>
      </c>
      <c r="N18" s="65">
        <v>654.20000000000005</v>
      </c>
      <c r="O18" s="65">
        <v>0</v>
      </c>
      <c r="P18" s="65">
        <v>0.83</v>
      </c>
      <c r="Q18" s="65">
        <v>153.99</v>
      </c>
      <c r="R18" s="44"/>
      <c r="S18" s="44"/>
      <c r="T18" s="44"/>
      <c r="U18" s="44"/>
    </row>
    <row r="19" spans="1:21" s="12" customFormat="1" x14ac:dyDescent="0.25">
      <c r="A19" s="64" t="s">
        <v>408</v>
      </c>
      <c r="B19" s="65">
        <v>9.08</v>
      </c>
      <c r="C19" s="65">
        <v>38.15</v>
      </c>
      <c r="D19" s="65">
        <v>47.22</v>
      </c>
      <c r="E19" s="65">
        <v>6.18</v>
      </c>
      <c r="F19" s="65">
        <v>5.88</v>
      </c>
      <c r="G19" s="65">
        <v>60.02</v>
      </c>
      <c r="H19" s="65">
        <v>12.23</v>
      </c>
      <c r="I19" s="65">
        <v>0.52</v>
      </c>
      <c r="J19" s="65">
        <v>1.17</v>
      </c>
      <c r="K19" s="65">
        <v>96.88</v>
      </c>
      <c r="L19" s="9" t="s">
        <v>8</v>
      </c>
      <c r="M19" s="9" t="s">
        <v>8</v>
      </c>
      <c r="N19" s="65">
        <v>732.4</v>
      </c>
      <c r="O19" s="65">
        <v>0</v>
      </c>
      <c r="P19" s="65">
        <v>0.73</v>
      </c>
      <c r="Q19" s="65">
        <v>153.52000000000001</v>
      </c>
      <c r="R19" s="44"/>
      <c r="S19" s="44"/>
      <c r="T19" s="44"/>
      <c r="U19" s="44"/>
    </row>
    <row r="20" spans="1:21" s="12" customFormat="1" x14ac:dyDescent="0.25">
      <c r="A20" s="64" t="s">
        <v>409</v>
      </c>
      <c r="B20" s="65">
        <v>6.14</v>
      </c>
      <c r="C20" s="65">
        <v>27.07</v>
      </c>
      <c r="D20" s="65">
        <v>32.630000000000003</v>
      </c>
      <c r="E20" s="65">
        <v>5.76</v>
      </c>
      <c r="F20" s="65">
        <v>4.42</v>
      </c>
      <c r="G20" s="65">
        <v>54.3</v>
      </c>
      <c r="H20" s="65">
        <v>10.44</v>
      </c>
      <c r="I20" s="65">
        <v>0.45</v>
      </c>
      <c r="J20" s="65">
        <v>1.31</v>
      </c>
      <c r="K20" s="65">
        <v>97.05</v>
      </c>
      <c r="L20" s="9" t="s">
        <v>8</v>
      </c>
      <c r="M20" s="9" t="s">
        <v>8</v>
      </c>
      <c r="N20" s="65">
        <v>784.3</v>
      </c>
      <c r="O20" s="65">
        <v>0</v>
      </c>
      <c r="P20" s="65">
        <v>0.63</v>
      </c>
      <c r="Q20" s="65">
        <v>154.61000000000001</v>
      </c>
      <c r="R20" s="44"/>
      <c r="S20" s="44"/>
      <c r="T20" s="44"/>
      <c r="U20" s="44"/>
    </row>
    <row r="21" spans="1:21" s="12" customFormat="1" x14ac:dyDescent="0.25">
      <c r="A21" s="64" t="s">
        <v>410</v>
      </c>
      <c r="B21" s="65">
        <v>4.79</v>
      </c>
      <c r="C21" s="65">
        <v>29.53</v>
      </c>
      <c r="D21" s="65">
        <v>34.32</v>
      </c>
      <c r="E21" s="65">
        <v>3.72</v>
      </c>
      <c r="F21" s="65">
        <v>4.57</v>
      </c>
      <c r="G21" s="65">
        <v>58.63</v>
      </c>
      <c r="H21" s="65">
        <v>10.48</v>
      </c>
      <c r="I21" s="65">
        <v>0.43</v>
      </c>
      <c r="J21" s="65">
        <v>1.96</v>
      </c>
      <c r="K21" s="65">
        <v>104.34</v>
      </c>
      <c r="L21" s="9" t="s">
        <v>8</v>
      </c>
      <c r="M21" s="9" t="s">
        <v>8</v>
      </c>
      <c r="N21" s="65">
        <v>698</v>
      </c>
      <c r="O21" s="65">
        <v>0</v>
      </c>
      <c r="P21" s="65">
        <v>0.56999999999999995</v>
      </c>
      <c r="Q21" s="65">
        <v>114.91</v>
      </c>
      <c r="R21" s="44"/>
      <c r="S21" s="44"/>
      <c r="T21" s="44"/>
      <c r="U21" s="44"/>
    </row>
    <row r="22" spans="1:21" s="12" customFormat="1" x14ac:dyDescent="0.25">
      <c r="A22" s="64" t="s">
        <v>411</v>
      </c>
      <c r="B22" s="65">
        <v>8.43</v>
      </c>
      <c r="C22" s="65">
        <v>34.81</v>
      </c>
      <c r="D22" s="65">
        <v>43.23</v>
      </c>
      <c r="E22" s="65">
        <v>3</v>
      </c>
      <c r="F22" s="65">
        <v>5.77</v>
      </c>
      <c r="G22" s="65">
        <v>43.29</v>
      </c>
      <c r="H22" s="65">
        <v>11.09</v>
      </c>
      <c r="I22" s="9" t="s">
        <v>8</v>
      </c>
      <c r="J22" s="65">
        <v>1.45</v>
      </c>
      <c r="K22" s="65">
        <v>102.57</v>
      </c>
      <c r="L22" s="9" t="s">
        <v>8</v>
      </c>
      <c r="M22" s="9" t="s">
        <v>8</v>
      </c>
      <c r="N22" s="65">
        <v>373.5</v>
      </c>
      <c r="O22" s="65">
        <v>0</v>
      </c>
      <c r="P22" s="65">
        <v>0.55000000000000004</v>
      </c>
      <c r="Q22" s="65">
        <v>152.38</v>
      </c>
      <c r="R22" s="44"/>
      <c r="S22" s="44"/>
      <c r="T22" s="44"/>
      <c r="U22" s="44"/>
    </row>
    <row r="23" spans="1:21" s="12" customFormat="1" x14ac:dyDescent="0.25">
      <c r="A23" s="64" t="s">
        <v>412</v>
      </c>
      <c r="B23" s="65">
        <v>8.16</v>
      </c>
      <c r="C23" s="65">
        <v>36.58</v>
      </c>
      <c r="D23" s="65">
        <v>43.29</v>
      </c>
      <c r="E23" s="65">
        <v>1.91</v>
      </c>
      <c r="F23" s="65">
        <v>9.16</v>
      </c>
      <c r="G23" s="65">
        <v>43.93</v>
      </c>
      <c r="H23" s="65">
        <v>12.26</v>
      </c>
      <c r="I23" s="65">
        <v>0.43</v>
      </c>
      <c r="J23" s="65">
        <v>1.22</v>
      </c>
      <c r="K23" s="65">
        <v>96.66</v>
      </c>
      <c r="L23" s="9" t="s">
        <v>8</v>
      </c>
      <c r="M23" s="9" t="s">
        <v>8</v>
      </c>
      <c r="N23" s="65">
        <v>495.1</v>
      </c>
      <c r="O23" s="65">
        <v>0</v>
      </c>
      <c r="P23" s="65">
        <v>0.48</v>
      </c>
      <c r="Q23" s="65">
        <v>119.55</v>
      </c>
      <c r="R23" s="44"/>
      <c r="S23" s="44"/>
      <c r="T23" s="44"/>
      <c r="U23" s="44"/>
    </row>
    <row r="24" spans="1:21" s="12" customFormat="1" x14ac:dyDescent="0.25">
      <c r="A24" s="64" t="s">
        <v>413</v>
      </c>
      <c r="B24" s="65">
        <v>11.85</v>
      </c>
      <c r="C24" s="65">
        <v>41.17</v>
      </c>
      <c r="D24" s="65">
        <v>53.03</v>
      </c>
      <c r="E24" s="65">
        <v>2.11</v>
      </c>
      <c r="F24" s="65">
        <v>10.71</v>
      </c>
      <c r="G24" s="65">
        <v>42.18</v>
      </c>
      <c r="H24" s="65">
        <v>10.31</v>
      </c>
      <c r="I24" s="65">
        <v>0.35</v>
      </c>
      <c r="J24" s="65">
        <v>1.3</v>
      </c>
      <c r="K24" s="65">
        <v>355.85</v>
      </c>
      <c r="L24" s="9" t="s">
        <v>8</v>
      </c>
      <c r="M24" s="9" t="s">
        <v>8</v>
      </c>
      <c r="N24" s="65">
        <v>352.6</v>
      </c>
      <c r="O24" s="65">
        <v>0</v>
      </c>
      <c r="P24" s="65">
        <v>0.57999999999999996</v>
      </c>
      <c r="Q24" s="65">
        <v>117.21</v>
      </c>
      <c r="R24" s="44"/>
      <c r="S24" s="44"/>
      <c r="T24" s="44"/>
      <c r="U24" s="44"/>
    </row>
    <row r="25" spans="1:21" s="12" customFormat="1" x14ac:dyDescent="0.25">
      <c r="A25" s="64" t="s">
        <v>414</v>
      </c>
      <c r="B25" s="65">
        <v>5.99</v>
      </c>
      <c r="C25" s="65">
        <v>39.1</v>
      </c>
      <c r="D25" s="65">
        <v>45.09</v>
      </c>
      <c r="E25" s="65">
        <v>4.3600000000000003</v>
      </c>
      <c r="F25" s="65">
        <v>2.12</v>
      </c>
      <c r="G25" s="65">
        <v>45.05</v>
      </c>
      <c r="H25" s="65">
        <v>12.66</v>
      </c>
      <c r="I25" s="65">
        <v>0.44</v>
      </c>
      <c r="J25" s="65">
        <v>2.02</v>
      </c>
      <c r="K25" s="65">
        <v>348.28</v>
      </c>
      <c r="L25" s="9" t="s">
        <v>8</v>
      </c>
      <c r="M25" s="9" t="s">
        <v>8</v>
      </c>
      <c r="N25" s="65">
        <v>82.6</v>
      </c>
      <c r="O25" s="65">
        <v>0</v>
      </c>
      <c r="P25" s="65">
        <v>0.7</v>
      </c>
      <c r="Q25" s="65">
        <v>106.77</v>
      </c>
      <c r="R25" s="44"/>
      <c r="S25" s="44"/>
      <c r="T25" s="44"/>
      <c r="U25" s="44"/>
    </row>
    <row r="26" spans="1:21" s="12" customFormat="1" x14ac:dyDescent="0.25">
      <c r="A26" s="64" t="s">
        <v>415</v>
      </c>
      <c r="B26" s="65">
        <v>12.24</v>
      </c>
      <c r="C26" s="65">
        <v>47.05</v>
      </c>
      <c r="D26" s="65">
        <v>59.29</v>
      </c>
      <c r="E26" s="65">
        <v>5.55</v>
      </c>
      <c r="F26" s="65">
        <v>1.83</v>
      </c>
      <c r="G26" s="65">
        <v>61.65</v>
      </c>
      <c r="H26" s="65">
        <v>17.45</v>
      </c>
      <c r="I26" s="65">
        <v>0.5</v>
      </c>
      <c r="J26" s="65">
        <v>1.57</v>
      </c>
      <c r="K26" s="65">
        <v>352.94</v>
      </c>
      <c r="L26" s="9" t="s">
        <v>8</v>
      </c>
      <c r="M26" s="9" t="s">
        <v>8</v>
      </c>
      <c r="N26" s="65">
        <v>35.6</v>
      </c>
      <c r="O26" s="65">
        <v>0</v>
      </c>
      <c r="P26" s="65">
        <v>0.96</v>
      </c>
      <c r="Q26" s="65">
        <v>82.79</v>
      </c>
      <c r="R26" s="44"/>
      <c r="S26" s="44"/>
      <c r="T26" s="44"/>
      <c r="U26" s="44"/>
    </row>
    <row r="27" spans="1:21" s="12" customFormat="1" x14ac:dyDescent="0.25">
      <c r="A27" s="64" t="s">
        <v>416</v>
      </c>
      <c r="B27" s="65">
        <v>21.14</v>
      </c>
      <c r="C27" s="65">
        <v>58.47</v>
      </c>
      <c r="D27" s="65">
        <v>79.61</v>
      </c>
      <c r="E27" s="65">
        <v>10.9</v>
      </c>
      <c r="F27" s="65">
        <v>2.4</v>
      </c>
      <c r="G27" s="65">
        <v>71.2</v>
      </c>
      <c r="H27" s="65">
        <v>20.32</v>
      </c>
      <c r="I27" s="65">
        <v>0.56999999999999995</v>
      </c>
      <c r="J27" s="65">
        <v>0.75</v>
      </c>
      <c r="K27" s="65">
        <v>351.56</v>
      </c>
      <c r="L27" s="9" t="s">
        <v>8</v>
      </c>
      <c r="M27" s="9" t="s">
        <v>8</v>
      </c>
      <c r="N27" s="65">
        <v>5.0999999999999996</v>
      </c>
      <c r="O27" s="65">
        <v>0</v>
      </c>
      <c r="P27" s="65">
        <v>1.21</v>
      </c>
      <c r="Q27" s="65">
        <v>93.54</v>
      </c>
      <c r="R27" s="44"/>
      <c r="S27" s="44"/>
      <c r="T27" s="44"/>
      <c r="U27" s="44"/>
    </row>
    <row r="28" spans="1:21" s="12" customFormat="1" x14ac:dyDescent="0.25">
      <c r="A28" s="64" t="s">
        <v>417</v>
      </c>
      <c r="B28" s="65">
        <v>18.38</v>
      </c>
      <c r="C28" s="65">
        <v>51.65</v>
      </c>
      <c r="D28" s="65">
        <v>68.150000000000006</v>
      </c>
      <c r="E28" s="65">
        <v>10.1</v>
      </c>
      <c r="F28" s="65">
        <v>2.09</v>
      </c>
      <c r="G28" s="65">
        <v>101.28</v>
      </c>
      <c r="H28" s="65">
        <v>22.45</v>
      </c>
      <c r="I28" s="65">
        <v>0.68</v>
      </c>
      <c r="J28" s="65">
        <v>0.9</v>
      </c>
      <c r="K28" s="65">
        <v>354.23</v>
      </c>
      <c r="L28" s="9" t="s">
        <v>8</v>
      </c>
      <c r="M28" s="9" t="s">
        <v>8</v>
      </c>
      <c r="N28" s="65">
        <v>4.9000000000000004</v>
      </c>
      <c r="O28" s="65">
        <v>0</v>
      </c>
      <c r="P28" s="65">
        <v>1.4</v>
      </c>
      <c r="Q28" s="65">
        <v>110.7</v>
      </c>
      <c r="R28" s="44"/>
      <c r="S28" s="44"/>
      <c r="T28" s="44"/>
      <c r="U28" s="44"/>
    </row>
    <row r="29" spans="1:21" s="12" customFormat="1" x14ac:dyDescent="0.25">
      <c r="A29" s="64" t="s">
        <v>418</v>
      </c>
      <c r="B29" s="65">
        <v>20.66</v>
      </c>
      <c r="C29" s="65">
        <v>48.72</v>
      </c>
      <c r="D29" s="65">
        <v>69.11</v>
      </c>
      <c r="E29" s="65">
        <v>7.35</v>
      </c>
      <c r="F29" s="65">
        <v>1.33</v>
      </c>
      <c r="G29" s="65">
        <v>126.8</v>
      </c>
      <c r="H29" s="65">
        <v>22.5</v>
      </c>
      <c r="I29" s="65">
        <v>0.8</v>
      </c>
      <c r="J29" s="65">
        <v>0.38</v>
      </c>
      <c r="K29" s="65">
        <v>65.209999999999994</v>
      </c>
      <c r="L29" s="9" t="s">
        <v>8</v>
      </c>
      <c r="M29" s="9" t="s">
        <v>8</v>
      </c>
      <c r="N29" s="65">
        <v>4.8</v>
      </c>
      <c r="O29" s="65">
        <v>0</v>
      </c>
      <c r="P29" s="65">
        <v>1.53</v>
      </c>
      <c r="Q29" s="65">
        <v>105.87</v>
      </c>
      <c r="R29" s="44"/>
      <c r="S29" s="44"/>
      <c r="T29" s="44"/>
      <c r="U29" s="44"/>
    </row>
    <row r="30" spans="1:21" s="12" customFormat="1" x14ac:dyDescent="0.25">
      <c r="A30" s="64" t="s">
        <v>419</v>
      </c>
      <c r="B30" s="65">
        <v>19.309999999999999</v>
      </c>
      <c r="C30" s="65">
        <v>50.83</v>
      </c>
      <c r="D30" s="65">
        <v>69.81</v>
      </c>
      <c r="E30" s="65">
        <v>6.24</v>
      </c>
      <c r="F30" s="65">
        <v>1.87</v>
      </c>
      <c r="G30" s="65">
        <v>136.76</v>
      </c>
      <c r="H30" s="65">
        <v>24.05</v>
      </c>
      <c r="I30" s="65">
        <v>0.85</v>
      </c>
      <c r="J30" s="65">
        <v>0.87</v>
      </c>
      <c r="K30" s="65">
        <v>89.94</v>
      </c>
      <c r="L30" s="9" t="s">
        <v>8</v>
      </c>
      <c r="M30" s="9" t="s">
        <v>8</v>
      </c>
      <c r="N30" s="65">
        <v>4.8</v>
      </c>
      <c r="O30" s="65">
        <v>0</v>
      </c>
      <c r="P30" s="65">
        <v>1.56</v>
      </c>
      <c r="Q30" s="65">
        <v>110.12</v>
      </c>
      <c r="R30" s="44"/>
      <c r="S30" s="44"/>
      <c r="T30" s="44"/>
      <c r="U30" s="44"/>
    </row>
    <row r="31" spans="1:21" s="12" customFormat="1" x14ac:dyDescent="0.25">
      <c r="A31" s="64" t="s">
        <v>420</v>
      </c>
      <c r="B31" s="65">
        <v>19.7</v>
      </c>
      <c r="C31" s="65">
        <v>49.96</v>
      </c>
      <c r="D31" s="65">
        <v>69.66</v>
      </c>
      <c r="E31" s="65">
        <v>6.6</v>
      </c>
      <c r="F31" s="65">
        <v>1.49</v>
      </c>
      <c r="G31" s="65">
        <v>128.18</v>
      </c>
      <c r="H31" s="65">
        <v>24.64</v>
      </c>
      <c r="I31" s="65">
        <v>0.75</v>
      </c>
      <c r="J31" s="65">
        <v>0.61</v>
      </c>
      <c r="K31" s="65">
        <v>75.36</v>
      </c>
      <c r="L31" s="9" t="s">
        <v>8</v>
      </c>
      <c r="M31" s="9" t="s">
        <v>8</v>
      </c>
      <c r="N31" s="65">
        <v>4.9000000000000004</v>
      </c>
      <c r="O31" s="65">
        <v>0</v>
      </c>
      <c r="P31" s="65">
        <v>1.43</v>
      </c>
      <c r="Q31" s="65">
        <v>123.55</v>
      </c>
      <c r="R31" s="44"/>
      <c r="S31" s="44"/>
      <c r="T31" s="44"/>
      <c r="U31" s="44"/>
    </row>
    <row r="32" spans="1:21" s="12" customFormat="1" x14ac:dyDescent="0.25">
      <c r="A32" s="64" t="s">
        <v>421</v>
      </c>
      <c r="B32" s="65">
        <v>18.09</v>
      </c>
      <c r="C32" s="65">
        <v>43.5</v>
      </c>
      <c r="D32" s="65">
        <v>61.59</v>
      </c>
      <c r="E32" s="65">
        <v>6.36</v>
      </c>
      <c r="F32" s="65">
        <v>1.37</v>
      </c>
      <c r="G32" s="65">
        <v>80.69</v>
      </c>
      <c r="H32" s="65">
        <v>21.38</v>
      </c>
      <c r="I32" s="65">
        <v>0.86</v>
      </c>
      <c r="J32" s="65">
        <v>0.47</v>
      </c>
      <c r="K32" s="65">
        <v>70.86</v>
      </c>
      <c r="L32" s="9" t="s">
        <v>8</v>
      </c>
      <c r="M32" s="9" t="s">
        <v>8</v>
      </c>
      <c r="N32" s="65">
        <v>4.8</v>
      </c>
      <c r="O32" s="65">
        <v>0</v>
      </c>
      <c r="P32" s="65">
        <v>1.36</v>
      </c>
      <c r="Q32" s="65">
        <v>127.46</v>
      </c>
      <c r="R32" s="44"/>
      <c r="S32" s="44"/>
      <c r="T32" s="44"/>
      <c r="U32" s="44"/>
    </row>
    <row r="33" spans="1:21" s="22" customFormat="1" x14ac:dyDescent="0.25">
      <c r="A33" s="27"/>
      <c r="B33" s="21"/>
      <c r="C33" s="21"/>
      <c r="D33" s="21"/>
      <c r="E33" s="21"/>
      <c r="F33" s="21"/>
      <c r="G33" s="27"/>
      <c r="H33" s="27"/>
      <c r="I33" s="27"/>
      <c r="J33" s="21"/>
      <c r="K33" s="21"/>
      <c r="L33" s="27"/>
      <c r="M33" s="27"/>
      <c r="N33" s="27"/>
      <c r="O33" s="27"/>
      <c r="P33" s="27"/>
      <c r="Q33" s="21"/>
      <c r="R33" s="21"/>
      <c r="S33" s="21"/>
      <c r="T33" s="21"/>
      <c r="U33" s="21"/>
    </row>
    <row r="34" spans="1:21" s="22" customFormat="1" x14ac:dyDescent="0.25">
      <c r="A34" s="28" t="s">
        <v>30</v>
      </c>
      <c r="B34" s="29">
        <f t="shared" ref="B34:Q34" si="0">MIN(B9:B32)</f>
        <v>4.79</v>
      </c>
      <c r="C34" s="29">
        <f t="shared" si="0"/>
        <v>26.25</v>
      </c>
      <c r="D34" s="29">
        <f t="shared" si="0"/>
        <v>32.630000000000003</v>
      </c>
      <c r="E34" s="29">
        <f t="shared" si="0"/>
        <v>1.91</v>
      </c>
      <c r="F34" s="29">
        <f t="shared" si="0"/>
        <v>0.41</v>
      </c>
      <c r="G34" s="29">
        <f t="shared" si="0"/>
        <v>42.18</v>
      </c>
      <c r="H34" s="29">
        <f t="shared" si="0"/>
        <v>10.31</v>
      </c>
      <c r="I34" s="29">
        <f t="shared" si="0"/>
        <v>0.35</v>
      </c>
      <c r="J34" s="29">
        <f t="shared" si="0"/>
        <v>0.38</v>
      </c>
      <c r="K34" s="29">
        <f t="shared" si="0"/>
        <v>62.49</v>
      </c>
      <c r="L34" s="29">
        <f t="shared" si="0"/>
        <v>0</v>
      </c>
      <c r="M34" s="29">
        <f t="shared" si="0"/>
        <v>0</v>
      </c>
      <c r="N34" s="29">
        <f t="shared" si="0"/>
        <v>4.8</v>
      </c>
      <c r="O34" s="29">
        <f t="shared" si="0"/>
        <v>0</v>
      </c>
      <c r="P34" s="29">
        <f t="shared" si="0"/>
        <v>0.48</v>
      </c>
      <c r="Q34" s="29">
        <f t="shared" si="0"/>
        <v>82.79</v>
      </c>
      <c r="R34" s="29"/>
      <c r="S34" s="29"/>
      <c r="T34" s="29"/>
      <c r="U34" s="29"/>
    </row>
    <row r="35" spans="1:21" s="22" customFormat="1" x14ac:dyDescent="0.25">
      <c r="A35" s="28" t="s">
        <v>31</v>
      </c>
      <c r="B35" s="30">
        <f t="shared" ref="B35:Q35" si="1">MAX(B9:B32)</f>
        <v>21.14</v>
      </c>
      <c r="C35" s="30">
        <f t="shared" si="1"/>
        <v>58.47</v>
      </c>
      <c r="D35" s="30">
        <f t="shared" si="1"/>
        <v>79.61</v>
      </c>
      <c r="E35" s="30">
        <f t="shared" si="1"/>
        <v>10.9</v>
      </c>
      <c r="F35" s="30">
        <f t="shared" si="1"/>
        <v>10.71</v>
      </c>
      <c r="G35" s="30">
        <f t="shared" si="1"/>
        <v>136.76</v>
      </c>
      <c r="H35" s="30">
        <f t="shared" si="1"/>
        <v>29.87</v>
      </c>
      <c r="I35" s="30">
        <f t="shared" si="1"/>
        <v>0.86</v>
      </c>
      <c r="J35" s="30">
        <f t="shared" si="1"/>
        <v>2.02</v>
      </c>
      <c r="K35" s="30">
        <f t="shared" si="1"/>
        <v>358.78</v>
      </c>
      <c r="L35" s="30">
        <f t="shared" si="1"/>
        <v>0</v>
      </c>
      <c r="M35" s="30">
        <f t="shared" si="1"/>
        <v>0</v>
      </c>
      <c r="N35" s="30">
        <f t="shared" si="1"/>
        <v>784.3</v>
      </c>
      <c r="O35" s="30">
        <f t="shared" si="1"/>
        <v>0</v>
      </c>
      <c r="P35" s="30">
        <f t="shared" si="1"/>
        <v>1.56</v>
      </c>
      <c r="Q35" s="30">
        <f t="shared" si="1"/>
        <v>399.26</v>
      </c>
      <c r="R35" s="30"/>
      <c r="S35" s="30"/>
      <c r="T35" s="30"/>
      <c r="U35" s="30"/>
    </row>
    <row r="36" spans="1:21" s="22" customFormat="1" x14ac:dyDescent="0.25">
      <c r="A36" s="28" t="s">
        <v>32</v>
      </c>
      <c r="B36" s="29">
        <f t="shared" ref="B36:Q36" si="2">AVERAGE(B9:B32)</f>
        <v>13.451666666666666</v>
      </c>
      <c r="C36" s="29">
        <f t="shared" si="2"/>
        <v>38.19</v>
      </c>
      <c r="D36" s="29">
        <f t="shared" si="2"/>
        <v>51.297499999999992</v>
      </c>
      <c r="E36" s="29">
        <f t="shared" si="2"/>
        <v>6.120000000000001</v>
      </c>
      <c r="F36" s="29">
        <f t="shared" si="2"/>
        <v>2.9358333333333331</v>
      </c>
      <c r="G36" s="29">
        <f t="shared" si="2"/>
        <v>78.75833333333334</v>
      </c>
      <c r="H36" s="29">
        <f t="shared" si="2"/>
        <v>18.087500000000002</v>
      </c>
      <c r="I36" s="29">
        <f t="shared" si="2"/>
        <v>0.63217391304347825</v>
      </c>
      <c r="J36" s="29">
        <f t="shared" si="2"/>
        <v>1.0258333333333332</v>
      </c>
      <c r="K36" s="29">
        <f t="shared" si="2"/>
        <v>197.19791666666666</v>
      </c>
      <c r="L36" s="29" t="e">
        <f t="shared" si="2"/>
        <v>#DIV/0!</v>
      </c>
      <c r="M36" s="29" t="e">
        <f t="shared" si="2"/>
        <v>#DIV/0!</v>
      </c>
      <c r="N36" s="29">
        <f t="shared" si="2"/>
        <v>210.97916666666674</v>
      </c>
      <c r="O36" s="29">
        <f t="shared" si="2"/>
        <v>0</v>
      </c>
      <c r="P36" s="29">
        <f t="shared" si="2"/>
        <v>0.9870833333333332</v>
      </c>
      <c r="Q36" s="29">
        <f t="shared" si="2"/>
        <v>168.29374999999999</v>
      </c>
      <c r="R36" s="29"/>
      <c r="S36" s="29"/>
      <c r="T36" s="29"/>
      <c r="U36" s="29"/>
    </row>
    <row r="37" spans="1:21" s="22" customFormat="1" x14ac:dyDescent="0.25">
      <c r="A37" s="28" t="s">
        <v>38</v>
      </c>
      <c r="B37" s="29">
        <f>STDEV(B9:B32)</f>
        <v>5.0494077712717713</v>
      </c>
      <c r="C37" s="29">
        <f t="shared" ref="C37:Q37" si="3">STDEV(C9:C32)</f>
        <v>8.965481630652393</v>
      </c>
      <c r="D37" s="29">
        <f t="shared" si="3"/>
        <v>12.870240445711783</v>
      </c>
      <c r="E37" s="29">
        <f t="shared" si="3"/>
        <v>2.0701333710447312</v>
      </c>
      <c r="F37" s="29">
        <f t="shared" si="3"/>
        <v>2.603697899838457</v>
      </c>
      <c r="G37" s="29">
        <f t="shared" si="3"/>
        <v>28.293773268991536</v>
      </c>
      <c r="H37" s="29">
        <f t="shared" si="3"/>
        <v>5.4040220528626595</v>
      </c>
      <c r="I37" s="29">
        <f t="shared" si="3"/>
        <v>0.15249311524665099</v>
      </c>
      <c r="J37" s="29">
        <f t="shared" si="3"/>
        <v>0.46925395614988591</v>
      </c>
      <c r="K37" s="29">
        <f t="shared" si="3"/>
        <v>135.89212998228857</v>
      </c>
      <c r="L37" s="29" t="e">
        <f t="shared" si="3"/>
        <v>#DIV/0!</v>
      </c>
      <c r="M37" s="29" t="e">
        <f t="shared" si="3"/>
        <v>#DIV/0!</v>
      </c>
      <c r="N37" s="29">
        <f t="shared" si="3"/>
        <v>278.41435804299442</v>
      </c>
      <c r="O37" s="29">
        <f t="shared" si="3"/>
        <v>0</v>
      </c>
      <c r="P37" s="29">
        <f t="shared" si="3"/>
        <v>0.33385077591599244</v>
      </c>
      <c r="Q37" s="29">
        <f t="shared" si="3"/>
        <v>79.287454998307922</v>
      </c>
      <c r="R37" s="29"/>
      <c r="S37" s="29"/>
      <c r="T37" s="29"/>
      <c r="U37" s="29"/>
    </row>
    <row r="38" spans="1:21" s="22" customFormat="1" x14ac:dyDescent="0.25">
      <c r="A38" s="32" t="s">
        <v>33</v>
      </c>
      <c r="B38" s="33">
        <f t="shared" ref="B38:Q38" si="4">COUNT(B9:B32)</f>
        <v>24</v>
      </c>
      <c r="C38" s="33">
        <f t="shared" si="4"/>
        <v>24</v>
      </c>
      <c r="D38" s="33">
        <f t="shared" si="4"/>
        <v>24</v>
      </c>
      <c r="E38" s="33">
        <f t="shared" si="4"/>
        <v>24</v>
      </c>
      <c r="F38" s="33">
        <f t="shared" si="4"/>
        <v>24</v>
      </c>
      <c r="G38" s="33">
        <f t="shared" si="4"/>
        <v>24</v>
      </c>
      <c r="H38" s="33">
        <f t="shared" si="4"/>
        <v>24</v>
      </c>
      <c r="I38" s="33">
        <f>COUNT(I9:I32)+1</f>
        <v>24</v>
      </c>
      <c r="J38" s="33">
        <f t="shared" si="4"/>
        <v>24</v>
      </c>
      <c r="K38" s="33">
        <f t="shared" si="4"/>
        <v>24</v>
      </c>
      <c r="L38" s="33">
        <f>COUNT(L9:L32)+24</f>
        <v>24</v>
      </c>
      <c r="M38" s="33">
        <f>COUNT(M9:M32)+24</f>
        <v>24</v>
      </c>
      <c r="N38" s="33">
        <f t="shared" si="4"/>
        <v>24</v>
      </c>
      <c r="O38" s="33">
        <f t="shared" si="4"/>
        <v>24</v>
      </c>
      <c r="P38" s="33">
        <f t="shared" si="4"/>
        <v>24</v>
      </c>
      <c r="Q38" s="33">
        <f t="shared" si="4"/>
        <v>24</v>
      </c>
      <c r="R38" s="33"/>
      <c r="S38" s="33"/>
      <c r="T38" s="33"/>
      <c r="U38" s="33"/>
    </row>
    <row r="39" spans="1:21" s="22" customFormat="1" x14ac:dyDescent="0.25">
      <c r="A39" s="28" t="s">
        <v>34</v>
      </c>
      <c r="B39" s="30" t="str">
        <f>IF(B38&gt;=22,"&gt;90%",IF(B38&lt;=22,"&lt;90%"))</f>
        <v>&gt;90%</v>
      </c>
      <c r="C39" s="30" t="str">
        <f t="shared" ref="C39:P39" si="5">IF(C38&gt;=22,"&gt;90%",IF(C38&lt;=22,"&lt;90%"))</f>
        <v>&gt;90%</v>
      </c>
      <c r="D39" s="30" t="str">
        <f t="shared" si="5"/>
        <v>&gt;90%</v>
      </c>
      <c r="E39" s="30" t="str">
        <f t="shared" si="5"/>
        <v>&gt;90%</v>
      </c>
      <c r="F39" s="30" t="str">
        <f t="shared" si="5"/>
        <v>&gt;90%</v>
      </c>
      <c r="G39" s="30" t="str">
        <f t="shared" si="5"/>
        <v>&gt;90%</v>
      </c>
      <c r="H39" s="30" t="str">
        <f t="shared" si="5"/>
        <v>&gt;90%</v>
      </c>
      <c r="I39" s="30" t="str">
        <f t="shared" si="5"/>
        <v>&gt;90%</v>
      </c>
      <c r="J39" s="30" t="str">
        <f t="shared" si="5"/>
        <v>&gt;90%</v>
      </c>
      <c r="K39" s="30" t="str">
        <f t="shared" si="5"/>
        <v>&gt;90%</v>
      </c>
      <c r="L39" s="30" t="str">
        <f t="shared" si="5"/>
        <v>&gt;90%</v>
      </c>
      <c r="M39" s="30" t="str">
        <f t="shared" si="5"/>
        <v>&gt;90%</v>
      </c>
      <c r="N39" s="30" t="str">
        <f t="shared" si="5"/>
        <v>&gt;90%</v>
      </c>
      <c r="O39" s="30" t="str">
        <f t="shared" si="5"/>
        <v>&gt;90%</v>
      </c>
      <c r="P39" s="30" t="str">
        <f t="shared" si="5"/>
        <v>&gt;90%</v>
      </c>
      <c r="Q39" s="30" t="str">
        <f>IF(Q38&gt;=22,"&gt;90%",IF(Q38&lt;=22,"&lt;90%"))</f>
        <v>&gt;90%</v>
      </c>
      <c r="R39" s="30"/>
      <c r="S39" s="30"/>
      <c r="T39" s="30"/>
      <c r="U39" s="30"/>
    </row>
    <row r="40" spans="1:21" s="22" customFormat="1" x14ac:dyDescent="0.25">
      <c r="A40" s="28" t="s">
        <v>1</v>
      </c>
      <c r="B40" s="30" t="str">
        <f>IF(B38&gt;=22,"OK",IF(B38&lt;=22,"LESS"))</f>
        <v>OK</v>
      </c>
      <c r="C40" s="30" t="str">
        <f t="shared" ref="C40:Q40" si="6">IF(C38&gt;=22,"OK",IF(C38&lt;=22,"LESS"))</f>
        <v>OK</v>
      </c>
      <c r="D40" s="30" t="str">
        <f t="shared" si="6"/>
        <v>OK</v>
      </c>
      <c r="E40" s="30" t="str">
        <f t="shared" si="6"/>
        <v>OK</v>
      </c>
      <c r="F40" s="30" t="str">
        <f t="shared" si="6"/>
        <v>OK</v>
      </c>
      <c r="G40" s="30" t="str">
        <f t="shared" si="6"/>
        <v>OK</v>
      </c>
      <c r="H40" s="30" t="str">
        <f t="shared" si="6"/>
        <v>OK</v>
      </c>
      <c r="I40" s="30" t="str">
        <f t="shared" si="6"/>
        <v>OK</v>
      </c>
      <c r="J40" s="30" t="str">
        <f t="shared" si="6"/>
        <v>OK</v>
      </c>
      <c r="K40" s="30" t="str">
        <f t="shared" si="6"/>
        <v>OK</v>
      </c>
      <c r="L40" s="30" t="str">
        <f t="shared" si="6"/>
        <v>OK</v>
      </c>
      <c r="M40" s="30" t="str">
        <f t="shared" si="6"/>
        <v>OK</v>
      </c>
      <c r="N40" s="30" t="str">
        <f t="shared" si="6"/>
        <v>OK</v>
      </c>
      <c r="O40" s="30" t="str">
        <f t="shared" si="6"/>
        <v>OK</v>
      </c>
      <c r="P40" s="30" t="str">
        <f t="shared" si="6"/>
        <v>OK</v>
      </c>
      <c r="Q40" s="30" t="str">
        <f t="shared" si="6"/>
        <v>OK</v>
      </c>
      <c r="R40" s="30"/>
      <c r="S40" s="30"/>
      <c r="T40" s="30"/>
      <c r="U40" s="30"/>
    </row>
    <row r="41" spans="1:21" s="22" customFormat="1" x14ac:dyDescent="0.25">
      <c r="A41" s="14"/>
      <c r="L41" s="14"/>
      <c r="N41" s="17"/>
      <c r="O41" s="17"/>
      <c r="P41" s="17"/>
      <c r="Q41" s="17"/>
      <c r="R41" s="17"/>
      <c r="S41" s="17"/>
      <c r="T41" s="17"/>
      <c r="U41" s="17"/>
    </row>
    <row r="42" spans="1:21" s="22" customFormat="1" x14ac:dyDescent="0.25">
      <c r="A42" s="14"/>
    </row>
    <row r="43" spans="1:21" s="22" customFormat="1" x14ac:dyDescent="0.25">
      <c r="A43" s="15" t="s">
        <v>35</v>
      </c>
      <c r="B43" s="41" t="s">
        <v>42</v>
      </c>
      <c r="C43" s="43"/>
    </row>
    <row r="44" spans="1:21" s="22" customFormat="1" x14ac:dyDescent="0.25">
      <c r="A44" s="14"/>
      <c r="D44" s="2"/>
      <c r="E44" s="2"/>
      <c r="F44" s="2"/>
      <c r="G44" s="2"/>
      <c r="H44" s="2"/>
      <c r="I44" s="2"/>
    </row>
    <row r="45" spans="1:21" s="22" customFormat="1" ht="15.75" x14ac:dyDescent="0.25">
      <c r="A45" s="18" t="s">
        <v>36</v>
      </c>
      <c r="B45" s="42" t="s">
        <v>785</v>
      </c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</row>
    <row r="46" spans="1:21" s="22" customFormat="1" x14ac:dyDescent="0.25"/>
    <row r="47" spans="1:21" s="22" customFormat="1" x14ac:dyDescent="0.25"/>
    <row r="48" spans="1:21" s="22" customFormat="1" x14ac:dyDescent="0.25"/>
    <row r="49" s="22" customFormat="1" x14ac:dyDescent="0.25"/>
    <row r="50" s="22" customFormat="1" x14ac:dyDescent="0.25"/>
    <row r="51" s="22" customFormat="1" x14ac:dyDescent="0.25"/>
    <row r="52" s="22" customFormat="1" x14ac:dyDescent="0.25"/>
    <row r="53" s="22" customFormat="1" x14ac:dyDescent="0.25"/>
    <row r="54" s="22" customFormat="1" x14ac:dyDescent="0.25"/>
    <row r="55" s="22" customFormat="1" x14ac:dyDescent="0.25"/>
    <row r="56" s="22" customFormat="1" x14ac:dyDescent="0.25"/>
    <row r="57" s="22" customFormat="1" x14ac:dyDescent="0.25"/>
    <row r="58" s="22" customFormat="1" x14ac:dyDescent="0.25"/>
    <row r="59" s="22" customFormat="1" x14ac:dyDescent="0.25"/>
    <row r="60" s="22" customFormat="1" x14ac:dyDescent="0.25"/>
    <row r="61" s="22" customFormat="1" x14ac:dyDescent="0.25"/>
    <row r="62" s="22" customFormat="1" x14ac:dyDescent="0.25"/>
    <row r="63" s="22" customFormat="1" x14ac:dyDescent="0.25"/>
    <row r="64" s="22" customFormat="1" x14ac:dyDescent="0.25"/>
    <row r="65" s="22" customFormat="1" x14ac:dyDescent="0.25"/>
    <row r="66" s="22" customFormat="1" x14ac:dyDescent="0.25"/>
    <row r="67" s="22" customFormat="1" x14ac:dyDescent="0.25"/>
    <row r="68" s="22" customFormat="1" x14ac:dyDescent="0.25"/>
    <row r="69" s="22" customFormat="1" x14ac:dyDescent="0.25"/>
    <row r="70" s="22" customFormat="1" x14ac:dyDescent="0.25"/>
    <row r="71" s="22" customFormat="1" x14ac:dyDescent="0.25"/>
    <row r="72" s="22" customFormat="1" x14ac:dyDescent="0.25"/>
    <row r="73" s="22" customFormat="1" x14ac:dyDescent="0.25"/>
    <row r="74" s="22" customFormat="1" x14ac:dyDescent="0.25"/>
    <row r="75" s="22" customFormat="1" x14ac:dyDescent="0.25"/>
    <row r="76" s="22" customFormat="1" x14ac:dyDescent="0.25"/>
    <row r="77" s="22" customFormat="1" x14ac:dyDescent="0.25"/>
    <row r="78" s="22" customFormat="1" x14ac:dyDescent="0.25"/>
    <row r="79" s="22" customFormat="1" x14ac:dyDescent="0.25"/>
    <row r="80" s="22" customFormat="1" x14ac:dyDescent="0.25"/>
    <row r="81" s="22" customFormat="1" x14ac:dyDescent="0.25"/>
    <row r="82" s="22" customFormat="1" x14ac:dyDescent="0.25"/>
    <row r="83" s="22" customFormat="1" x14ac:dyDescent="0.25"/>
    <row r="84" s="22" customFormat="1" x14ac:dyDescent="0.25"/>
    <row r="85" s="22" customFormat="1" x14ac:dyDescent="0.25"/>
    <row r="86" s="22" customFormat="1" x14ac:dyDescent="0.25"/>
    <row r="87" s="22" customFormat="1" x14ac:dyDescent="0.25"/>
    <row r="88" s="22" customFormat="1" x14ac:dyDescent="0.25"/>
    <row r="89" s="22" customFormat="1" x14ac:dyDescent="0.25"/>
    <row r="90" s="22" customFormat="1" x14ac:dyDescent="0.25"/>
    <row r="91" s="22" customFormat="1" x14ac:dyDescent="0.25"/>
    <row r="92" s="22" customFormat="1" x14ac:dyDescent="0.25"/>
    <row r="93" s="22" customFormat="1" x14ac:dyDescent="0.25"/>
    <row r="94" s="22" customFormat="1" x14ac:dyDescent="0.25"/>
    <row r="95" s="22" customFormat="1" x14ac:dyDescent="0.25"/>
    <row r="96" s="22" customFormat="1" x14ac:dyDescent="0.25"/>
    <row r="97" spans="1:1" s="22" customFormat="1" x14ac:dyDescent="0.25"/>
    <row r="98" spans="1:1" s="22" customFormat="1" x14ac:dyDescent="0.25"/>
    <row r="99" spans="1:1" s="22" customFormat="1" x14ac:dyDescent="0.25"/>
    <row r="100" spans="1:1" s="22" customFormat="1" x14ac:dyDescent="0.25"/>
    <row r="101" spans="1:1" s="22" customFormat="1" x14ac:dyDescent="0.25"/>
    <row r="102" spans="1:1" s="22" customFormat="1" x14ac:dyDescent="0.25"/>
    <row r="103" spans="1:1" s="22" customFormat="1" x14ac:dyDescent="0.25"/>
    <row r="104" spans="1:1" s="22" customFormat="1" x14ac:dyDescent="0.25"/>
    <row r="105" spans="1:1" s="22" customFormat="1" x14ac:dyDescent="0.25"/>
    <row r="106" spans="1:1" x14ac:dyDescent="0.25">
      <c r="A106" s="21"/>
    </row>
    <row r="107" spans="1:1" s="22" customFormat="1" x14ac:dyDescent="0.25"/>
    <row r="108" spans="1:1" s="22" customFormat="1" x14ac:dyDescent="0.25"/>
    <row r="109" spans="1:1" s="22" customFormat="1" x14ac:dyDescent="0.25"/>
    <row r="110" spans="1:1" s="22" customFormat="1" x14ac:dyDescent="0.25"/>
    <row r="111" spans="1:1" s="22" customFormat="1" x14ac:dyDescent="0.25"/>
    <row r="112" spans="1:1" s="22" customFormat="1" x14ac:dyDescent="0.25"/>
    <row r="113" spans="1:1" s="22" customFormat="1" x14ac:dyDescent="0.25"/>
    <row r="114" spans="1:1" s="22" customFormat="1" x14ac:dyDescent="0.25"/>
    <row r="115" spans="1:1" s="22" customFormat="1" x14ac:dyDescent="0.25"/>
    <row r="116" spans="1:1" s="22" customFormat="1" x14ac:dyDescent="0.25"/>
    <row r="117" spans="1:1" s="22" customFormat="1" x14ac:dyDescent="0.25"/>
    <row r="118" spans="1:1" x14ac:dyDescent="0.25">
      <c r="A118" s="21"/>
    </row>
    <row r="119" spans="1:1" x14ac:dyDescent="0.25">
      <c r="A119" s="21"/>
    </row>
  </sheetData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1" ySplit="8" topLeftCell="B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I19" sqref="I19"/>
    </sheetView>
  </sheetViews>
  <sheetFormatPr defaultColWidth="8.85546875" defaultRowHeight="15" x14ac:dyDescent="0.25"/>
  <cols>
    <col min="1" max="1" width="18.28515625" style="27" customWidth="1"/>
    <col min="2" max="2" width="12.7109375" style="21" customWidth="1"/>
    <col min="3" max="12" width="9.140625" style="21" customWidth="1"/>
    <col min="13" max="13" width="10" style="21" customWidth="1"/>
    <col min="14" max="19" width="9.140625" style="21" customWidth="1"/>
    <col min="20" max="20" width="11.42578125" style="21" customWidth="1"/>
    <col min="21" max="16384" width="8.85546875" style="21"/>
  </cols>
  <sheetData>
    <row r="1" spans="1:21" s="22" customFormat="1" ht="26.25" x14ac:dyDescent="0.25">
      <c r="A1" s="15" t="s">
        <v>2</v>
      </c>
      <c r="B1" s="24" t="s">
        <v>43</v>
      </c>
      <c r="C1" s="38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s="22" customFormat="1" x14ac:dyDescent="0.25">
      <c r="A2" s="15" t="s">
        <v>0</v>
      </c>
      <c r="B2" s="39" t="str">
        <f>$A$9</f>
        <v>16-10-2022 01:00</v>
      </c>
      <c r="C2" s="12"/>
      <c r="D2" s="11" t="s">
        <v>3</v>
      </c>
      <c r="E2" s="11"/>
      <c r="F2" s="11"/>
      <c r="G2" s="4" t="s">
        <v>4</v>
      </c>
      <c r="H2" s="20"/>
      <c r="I2" s="20"/>
      <c r="J2" s="20"/>
      <c r="K2" s="13"/>
      <c r="L2" s="11" t="s">
        <v>5</v>
      </c>
      <c r="M2" s="13"/>
      <c r="N2" s="8" t="s">
        <v>6</v>
      </c>
      <c r="P2" s="40" t="s">
        <v>7</v>
      </c>
      <c r="Q2" s="13"/>
      <c r="R2" s="9" t="s">
        <v>8</v>
      </c>
      <c r="S2" s="12"/>
      <c r="T2" s="12"/>
      <c r="U2" s="12"/>
    </row>
    <row r="3" spans="1:21" s="22" customFormat="1" x14ac:dyDescent="0.25">
      <c r="A3" s="15" t="s">
        <v>9</v>
      </c>
      <c r="B3" s="13" t="s">
        <v>10</v>
      </c>
      <c r="C3" s="12"/>
      <c r="D3" s="11" t="s">
        <v>11</v>
      </c>
      <c r="E3" s="11"/>
      <c r="F3" s="11"/>
      <c r="G3" s="19" t="s">
        <v>12</v>
      </c>
      <c r="H3" s="20"/>
      <c r="I3" s="20"/>
      <c r="J3" s="20"/>
      <c r="K3" s="12"/>
      <c r="L3" s="11" t="s">
        <v>13</v>
      </c>
      <c r="M3" s="13"/>
      <c r="N3" s="6" t="s">
        <v>14</v>
      </c>
      <c r="O3" s="13"/>
      <c r="P3" s="40" t="s">
        <v>15</v>
      </c>
      <c r="Q3" s="13"/>
      <c r="R3" s="10" t="s">
        <v>15</v>
      </c>
      <c r="S3" s="12"/>
      <c r="T3" s="12"/>
      <c r="U3" s="12"/>
    </row>
    <row r="4" spans="1:21" s="22" customFormat="1" x14ac:dyDescent="0.25">
      <c r="A4" s="15" t="s">
        <v>16</v>
      </c>
      <c r="B4" s="13" t="s">
        <v>39</v>
      </c>
      <c r="C4" s="12"/>
      <c r="D4" s="11" t="s">
        <v>17</v>
      </c>
      <c r="E4" s="11"/>
      <c r="F4" s="11"/>
      <c r="G4" s="5" t="s">
        <v>18</v>
      </c>
      <c r="H4" s="20"/>
      <c r="I4" s="20"/>
      <c r="J4" s="20"/>
      <c r="K4" s="3"/>
      <c r="L4" s="11" t="s">
        <v>19</v>
      </c>
      <c r="M4" s="13"/>
      <c r="N4" s="7" t="s">
        <v>20</v>
      </c>
      <c r="O4" s="13"/>
      <c r="P4" s="13"/>
      <c r="Q4" s="13"/>
      <c r="R4" s="13"/>
      <c r="S4" s="12"/>
      <c r="T4" s="12"/>
      <c r="U4" s="12"/>
    </row>
    <row r="5" spans="1:21" s="22" customFormat="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s="22" customFormat="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s="22" customFormat="1" x14ac:dyDescent="0.25">
      <c r="A7" s="15" t="s">
        <v>21</v>
      </c>
      <c r="B7" s="45" t="s">
        <v>59</v>
      </c>
      <c r="C7" s="45" t="s">
        <v>44</v>
      </c>
      <c r="D7" s="45" t="s">
        <v>45</v>
      </c>
      <c r="E7" s="45" t="s">
        <v>46</v>
      </c>
      <c r="F7" s="45" t="s">
        <v>47</v>
      </c>
      <c r="G7" s="45" t="s">
        <v>48</v>
      </c>
      <c r="H7" s="45" t="s">
        <v>49</v>
      </c>
      <c r="I7" s="45" t="s">
        <v>50</v>
      </c>
      <c r="J7" s="45" t="s">
        <v>51</v>
      </c>
      <c r="K7" s="45" t="s">
        <v>52</v>
      </c>
      <c r="L7" s="45" t="s">
        <v>53</v>
      </c>
      <c r="M7" s="45" t="s">
        <v>54</v>
      </c>
      <c r="N7" s="45" t="s">
        <v>55</v>
      </c>
      <c r="O7" s="45" t="s">
        <v>56</v>
      </c>
      <c r="P7" s="45" t="s">
        <v>57</v>
      </c>
      <c r="Q7" s="45" t="s">
        <v>58</v>
      </c>
      <c r="R7" s="28"/>
      <c r="S7" s="30"/>
      <c r="T7" s="28"/>
      <c r="U7" s="28"/>
    </row>
    <row r="8" spans="1:21" s="22" customFormat="1" x14ac:dyDescent="0.25">
      <c r="A8" s="15"/>
      <c r="B8" s="30" t="s">
        <v>22</v>
      </c>
      <c r="C8" s="30" t="s">
        <v>22</v>
      </c>
      <c r="D8" s="30" t="s">
        <v>22</v>
      </c>
      <c r="E8" s="30" t="s">
        <v>22</v>
      </c>
      <c r="F8" s="30" t="s">
        <v>22</v>
      </c>
      <c r="G8" s="30" t="s">
        <v>23</v>
      </c>
      <c r="H8" s="30" t="s">
        <v>22</v>
      </c>
      <c r="I8" s="30" t="s">
        <v>22</v>
      </c>
      <c r="J8" s="30" t="s">
        <v>24</v>
      </c>
      <c r="K8" s="30" t="s">
        <v>25</v>
      </c>
      <c r="L8" s="28" t="s">
        <v>27</v>
      </c>
      <c r="M8" s="30" t="s">
        <v>26</v>
      </c>
      <c r="N8" s="30" t="s">
        <v>28</v>
      </c>
      <c r="O8" s="28" t="s">
        <v>29</v>
      </c>
      <c r="P8" s="30" t="s">
        <v>22</v>
      </c>
      <c r="Q8" s="30" t="s">
        <v>22</v>
      </c>
      <c r="R8" s="28"/>
      <c r="S8" s="30"/>
      <c r="T8" s="28"/>
      <c r="U8" s="28"/>
    </row>
    <row r="9" spans="1:21" s="12" customFormat="1" x14ac:dyDescent="0.25">
      <c r="A9" s="62" t="s">
        <v>422</v>
      </c>
      <c r="B9" s="63">
        <v>15.57</v>
      </c>
      <c r="C9" s="63">
        <v>33.11</v>
      </c>
      <c r="D9" s="63">
        <v>48.68</v>
      </c>
      <c r="E9" s="63">
        <v>6.24</v>
      </c>
      <c r="F9" s="63">
        <v>1.05</v>
      </c>
      <c r="G9" s="63">
        <v>46.07</v>
      </c>
      <c r="H9" s="63">
        <v>22.81</v>
      </c>
      <c r="I9" s="63">
        <v>0.8</v>
      </c>
      <c r="J9" s="63">
        <v>0.88</v>
      </c>
      <c r="K9" s="63">
        <v>86.87</v>
      </c>
      <c r="L9" s="9" t="s">
        <v>8</v>
      </c>
      <c r="M9" s="9" t="s">
        <v>8</v>
      </c>
      <c r="N9" s="63">
        <v>4.9000000000000004</v>
      </c>
      <c r="O9" s="63">
        <v>0</v>
      </c>
      <c r="P9" s="63">
        <v>1.21</v>
      </c>
      <c r="Q9" s="63">
        <v>112.47</v>
      </c>
      <c r="R9" s="44"/>
      <c r="S9" s="44"/>
      <c r="T9" s="44"/>
      <c r="U9" s="44"/>
    </row>
    <row r="10" spans="1:21" s="12" customFormat="1" x14ac:dyDescent="0.25">
      <c r="A10" s="62" t="s">
        <v>423</v>
      </c>
      <c r="B10" s="63">
        <v>10.11</v>
      </c>
      <c r="C10" s="63">
        <v>28.25</v>
      </c>
      <c r="D10" s="63">
        <v>38.36</v>
      </c>
      <c r="E10" s="63">
        <v>6.19</v>
      </c>
      <c r="F10" s="63">
        <v>2.02</v>
      </c>
      <c r="G10" s="63">
        <v>23.15</v>
      </c>
      <c r="H10" s="63">
        <v>22.45</v>
      </c>
      <c r="I10" s="63">
        <v>0.7</v>
      </c>
      <c r="J10" s="63">
        <v>1.18</v>
      </c>
      <c r="K10" s="63">
        <v>101.97</v>
      </c>
      <c r="L10" s="9" t="s">
        <v>8</v>
      </c>
      <c r="M10" s="9" t="s">
        <v>8</v>
      </c>
      <c r="N10" s="63">
        <v>4.9000000000000004</v>
      </c>
      <c r="O10" s="63">
        <v>0</v>
      </c>
      <c r="P10" s="63">
        <v>0.98</v>
      </c>
      <c r="Q10" s="63">
        <v>123.37</v>
      </c>
      <c r="R10" s="44"/>
      <c r="S10" s="44"/>
      <c r="T10" s="44"/>
      <c r="U10" s="44"/>
    </row>
    <row r="11" spans="1:21" s="12" customFormat="1" x14ac:dyDescent="0.25">
      <c r="A11" s="62" t="s">
        <v>424</v>
      </c>
      <c r="B11" s="63">
        <v>7.61</v>
      </c>
      <c r="C11" s="63">
        <v>24.1</v>
      </c>
      <c r="D11" s="63">
        <v>31.71</v>
      </c>
      <c r="E11" s="63">
        <v>7.16</v>
      </c>
      <c r="F11" s="63">
        <v>1.79</v>
      </c>
      <c r="G11" s="63">
        <v>11.31</v>
      </c>
      <c r="H11" s="63">
        <v>23.32</v>
      </c>
      <c r="I11" s="63">
        <v>0.7</v>
      </c>
      <c r="J11" s="63">
        <v>0.84</v>
      </c>
      <c r="K11" s="63">
        <v>93.44</v>
      </c>
      <c r="L11" s="9" t="s">
        <v>8</v>
      </c>
      <c r="M11" s="9" t="s">
        <v>8</v>
      </c>
      <c r="N11" s="63">
        <v>5</v>
      </c>
      <c r="O11" s="63">
        <v>0</v>
      </c>
      <c r="P11" s="63">
        <v>0.87</v>
      </c>
      <c r="Q11" s="63">
        <v>132.27000000000001</v>
      </c>
      <c r="R11" s="44"/>
      <c r="S11" s="44"/>
      <c r="T11" s="44"/>
      <c r="U11" s="44"/>
    </row>
    <row r="12" spans="1:21" s="12" customFormat="1" x14ac:dyDescent="0.25">
      <c r="A12" s="62" t="s">
        <v>425</v>
      </c>
      <c r="B12" s="63">
        <v>6.61</v>
      </c>
      <c r="C12" s="63">
        <v>21.97</v>
      </c>
      <c r="D12" s="63">
        <v>28.58</v>
      </c>
      <c r="E12" s="63">
        <v>6.81</v>
      </c>
      <c r="F12" s="63">
        <v>0.71</v>
      </c>
      <c r="G12" s="63">
        <v>27.03</v>
      </c>
      <c r="H12" s="63">
        <v>19.86</v>
      </c>
      <c r="I12" s="63">
        <v>0.67</v>
      </c>
      <c r="J12" s="63">
        <v>0.56999999999999995</v>
      </c>
      <c r="K12" s="63">
        <v>100.81</v>
      </c>
      <c r="L12" s="9" t="s">
        <v>8</v>
      </c>
      <c r="M12" s="9" t="s">
        <v>8</v>
      </c>
      <c r="N12" s="63">
        <v>5.0999999999999996</v>
      </c>
      <c r="O12" s="63">
        <v>0</v>
      </c>
      <c r="P12" s="63">
        <v>0.81</v>
      </c>
      <c r="Q12" s="63">
        <v>127.67</v>
      </c>
      <c r="R12" s="44"/>
      <c r="S12" s="44"/>
      <c r="T12" s="44"/>
      <c r="U12" s="44"/>
    </row>
    <row r="13" spans="1:21" s="12" customFormat="1" x14ac:dyDescent="0.25">
      <c r="A13" s="62" t="s">
        <v>426</v>
      </c>
      <c r="B13" s="63">
        <v>5.0999999999999996</v>
      </c>
      <c r="C13" s="63">
        <v>18.78</v>
      </c>
      <c r="D13" s="63">
        <v>23.23</v>
      </c>
      <c r="E13" s="63">
        <v>5.78</v>
      </c>
      <c r="F13" s="63">
        <v>1.74</v>
      </c>
      <c r="G13" s="63">
        <v>34.520000000000003</v>
      </c>
      <c r="H13" s="63">
        <v>21.31</v>
      </c>
      <c r="I13" s="63">
        <v>0.65</v>
      </c>
      <c r="J13" s="63">
        <v>0.9</v>
      </c>
      <c r="K13" s="63">
        <v>95.59</v>
      </c>
      <c r="L13" s="9" t="s">
        <v>8</v>
      </c>
      <c r="M13" s="9" t="s">
        <v>8</v>
      </c>
      <c r="N13" s="63">
        <v>5.0999999999999996</v>
      </c>
      <c r="O13" s="63">
        <v>0</v>
      </c>
      <c r="P13" s="63">
        <v>0.74</v>
      </c>
      <c r="Q13" s="63">
        <v>101.51</v>
      </c>
      <c r="R13" s="44"/>
      <c r="S13" s="44"/>
      <c r="T13" s="44"/>
      <c r="U13" s="44"/>
    </row>
    <row r="14" spans="1:21" s="12" customFormat="1" x14ac:dyDescent="0.25">
      <c r="A14" s="62" t="s">
        <v>427</v>
      </c>
      <c r="B14" s="63">
        <v>7.09</v>
      </c>
      <c r="C14" s="63">
        <v>23.32</v>
      </c>
      <c r="D14" s="63">
        <v>30.4</v>
      </c>
      <c r="E14" s="63">
        <v>5.76</v>
      </c>
      <c r="F14" s="63">
        <v>1.69</v>
      </c>
      <c r="G14" s="63">
        <v>34.46</v>
      </c>
      <c r="H14" s="63">
        <v>16.829999999999998</v>
      </c>
      <c r="I14" s="63">
        <v>0.61</v>
      </c>
      <c r="J14" s="63">
        <v>0.5</v>
      </c>
      <c r="K14" s="63">
        <v>81.84</v>
      </c>
      <c r="L14" s="9" t="s">
        <v>8</v>
      </c>
      <c r="M14" s="9" t="s">
        <v>8</v>
      </c>
      <c r="N14" s="63">
        <v>10.1</v>
      </c>
      <c r="O14" s="63">
        <v>0</v>
      </c>
      <c r="P14" s="63">
        <v>0.64</v>
      </c>
      <c r="Q14" s="63">
        <v>109.15</v>
      </c>
      <c r="R14" s="44"/>
      <c r="S14" s="44"/>
      <c r="T14" s="44"/>
      <c r="U14" s="44"/>
    </row>
    <row r="15" spans="1:21" s="12" customFormat="1" x14ac:dyDescent="0.25">
      <c r="A15" s="62" t="s">
        <v>428</v>
      </c>
      <c r="B15" s="63">
        <v>7.63</v>
      </c>
      <c r="C15" s="63">
        <v>23.22</v>
      </c>
      <c r="D15" s="63">
        <v>30.34</v>
      </c>
      <c r="E15" s="63">
        <v>6.12</v>
      </c>
      <c r="F15" s="63">
        <v>0.86</v>
      </c>
      <c r="G15" s="63">
        <v>39.35</v>
      </c>
      <c r="H15" s="63">
        <v>16.91</v>
      </c>
      <c r="I15" s="63">
        <v>0.66</v>
      </c>
      <c r="J15" s="63">
        <v>0.61</v>
      </c>
      <c r="K15" s="63">
        <v>89.87</v>
      </c>
      <c r="L15" s="9" t="s">
        <v>8</v>
      </c>
      <c r="M15" s="9" t="s">
        <v>8</v>
      </c>
      <c r="N15" s="63">
        <v>127.7</v>
      </c>
      <c r="O15" s="63">
        <v>0</v>
      </c>
      <c r="P15" s="63">
        <v>0.64</v>
      </c>
      <c r="Q15" s="63">
        <v>122.9</v>
      </c>
      <c r="R15" s="44"/>
      <c r="S15" s="44"/>
      <c r="T15" s="44"/>
      <c r="U15" s="44"/>
    </row>
    <row r="16" spans="1:21" s="12" customFormat="1" x14ac:dyDescent="0.25">
      <c r="A16" s="62" t="s">
        <v>429</v>
      </c>
      <c r="B16" s="63">
        <v>8.7100000000000009</v>
      </c>
      <c r="C16" s="63">
        <v>22.41</v>
      </c>
      <c r="D16" s="63">
        <v>31.07</v>
      </c>
      <c r="E16" s="63">
        <v>6.14</v>
      </c>
      <c r="F16" s="63">
        <v>0.8</v>
      </c>
      <c r="G16" s="63">
        <v>41.29</v>
      </c>
      <c r="H16" s="63">
        <v>16.649999999999999</v>
      </c>
      <c r="I16" s="63">
        <v>0.66</v>
      </c>
      <c r="J16" s="63">
        <v>1.27</v>
      </c>
      <c r="K16" s="63">
        <v>97.24</v>
      </c>
      <c r="L16" s="9" t="s">
        <v>8</v>
      </c>
      <c r="M16" s="9" t="s">
        <v>8</v>
      </c>
      <c r="N16" s="63">
        <v>391.9</v>
      </c>
      <c r="O16" s="63">
        <v>0</v>
      </c>
      <c r="P16" s="63">
        <v>0.64</v>
      </c>
      <c r="Q16" s="63">
        <v>114.43</v>
      </c>
      <c r="R16" s="44"/>
      <c r="S16" s="44"/>
      <c r="T16" s="44"/>
      <c r="U16" s="44"/>
    </row>
    <row r="17" spans="1:21" s="12" customFormat="1" x14ac:dyDescent="0.25">
      <c r="A17" s="62" t="s">
        <v>430</v>
      </c>
      <c r="B17" s="63">
        <v>7.76</v>
      </c>
      <c r="C17" s="63">
        <v>22.14</v>
      </c>
      <c r="D17" s="63">
        <v>29.66</v>
      </c>
      <c r="E17" s="63">
        <v>6.19</v>
      </c>
      <c r="F17" s="63">
        <v>1.46</v>
      </c>
      <c r="G17" s="63">
        <v>47.95</v>
      </c>
      <c r="H17" s="63">
        <v>18.16</v>
      </c>
      <c r="I17" s="63">
        <v>0.57999999999999996</v>
      </c>
      <c r="J17" s="63">
        <v>1.45</v>
      </c>
      <c r="K17" s="63">
        <v>103.38</v>
      </c>
      <c r="L17" s="9" t="s">
        <v>8</v>
      </c>
      <c r="M17" s="9" t="s">
        <v>8</v>
      </c>
      <c r="N17" s="63">
        <v>634.70000000000005</v>
      </c>
      <c r="O17" s="63">
        <v>0</v>
      </c>
      <c r="P17" s="63">
        <v>0.6</v>
      </c>
      <c r="Q17" s="63">
        <v>116.4</v>
      </c>
      <c r="R17" s="44"/>
      <c r="S17" s="44"/>
      <c r="T17" s="44"/>
      <c r="U17" s="44"/>
    </row>
    <row r="18" spans="1:21" s="12" customFormat="1" x14ac:dyDescent="0.25">
      <c r="A18" s="62" t="s">
        <v>431</v>
      </c>
      <c r="B18" s="63">
        <v>6.38</v>
      </c>
      <c r="C18" s="63">
        <v>20.68</v>
      </c>
      <c r="D18" s="63">
        <v>27.05</v>
      </c>
      <c r="E18" s="63">
        <v>6.38</v>
      </c>
      <c r="F18" s="63">
        <v>1.56</v>
      </c>
      <c r="G18" s="63">
        <v>46.96</v>
      </c>
      <c r="H18" s="63">
        <v>16.95</v>
      </c>
      <c r="I18" s="63">
        <v>0.56999999999999995</v>
      </c>
      <c r="J18" s="63">
        <v>1.7</v>
      </c>
      <c r="K18" s="63">
        <v>110.36</v>
      </c>
      <c r="L18" s="9" t="s">
        <v>8</v>
      </c>
      <c r="M18" s="9" t="s">
        <v>8</v>
      </c>
      <c r="N18" s="63">
        <v>801.2</v>
      </c>
      <c r="O18" s="63">
        <v>0</v>
      </c>
      <c r="P18" s="63">
        <v>0.56000000000000005</v>
      </c>
      <c r="Q18" s="63">
        <v>120.6</v>
      </c>
      <c r="R18" s="44"/>
      <c r="S18" s="44"/>
      <c r="T18" s="44"/>
      <c r="U18" s="44"/>
    </row>
    <row r="19" spans="1:21" s="12" customFormat="1" x14ac:dyDescent="0.25">
      <c r="A19" s="62" t="s">
        <v>432</v>
      </c>
      <c r="B19" s="63">
        <v>5.62</v>
      </c>
      <c r="C19" s="63">
        <v>18.91</v>
      </c>
      <c r="D19" s="63">
        <v>24.53</v>
      </c>
      <c r="E19" s="63">
        <v>6.29</v>
      </c>
      <c r="F19" s="63">
        <v>1.1399999999999999</v>
      </c>
      <c r="G19" s="63">
        <v>25.66</v>
      </c>
      <c r="H19" s="63">
        <v>11.68</v>
      </c>
      <c r="I19" s="63">
        <v>0.52</v>
      </c>
      <c r="J19" s="63">
        <v>1.01</v>
      </c>
      <c r="K19" s="63">
        <v>103.15</v>
      </c>
      <c r="L19" s="9" t="s">
        <v>8</v>
      </c>
      <c r="M19" s="9" t="s">
        <v>8</v>
      </c>
      <c r="N19" s="63">
        <v>890.8</v>
      </c>
      <c r="O19" s="63">
        <v>0</v>
      </c>
      <c r="P19" s="63">
        <v>0.52</v>
      </c>
      <c r="Q19" s="63">
        <v>124.25</v>
      </c>
      <c r="R19" s="44"/>
      <c r="S19" s="44"/>
      <c r="T19" s="44"/>
      <c r="U19" s="44"/>
    </row>
    <row r="20" spans="1:21" s="12" customFormat="1" x14ac:dyDescent="0.25">
      <c r="A20" s="62" t="s">
        <v>433</v>
      </c>
      <c r="B20" s="63">
        <v>3.22</v>
      </c>
      <c r="C20" s="63">
        <v>18.02</v>
      </c>
      <c r="D20" s="63">
        <v>20.34</v>
      </c>
      <c r="E20" s="63">
        <v>5.04</v>
      </c>
      <c r="F20" s="63">
        <v>4.17</v>
      </c>
      <c r="G20" s="63">
        <v>13.9</v>
      </c>
      <c r="H20" s="63">
        <v>12</v>
      </c>
      <c r="I20" s="63">
        <v>0.49</v>
      </c>
      <c r="J20" s="63">
        <v>1.55</v>
      </c>
      <c r="K20" s="63">
        <v>106.01</v>
      </c>
      <c r="L20" s="9" t="s">
        <v>8</v>
      </c>
      <c r="M20" s="9" t="s">
        <v>8</v>
      </c>
      <c r="N20" s="63">
        <v>808.3</v>
      </c>
      <c r="O20" s="63">
        <v>0</v>
      </c>
      <c r="P20" s="63">
        <v>0.47</v>
      </c>
      <c r="Q20" s="63">
        <v>95.07</v>
      </c>
      <c r="R20" s="44"/>
      <c r="S20" s="44"/>
      <c r="T20" s="44"/>
      <c r="U20" s="44"/>
    </row>
    <row r="21" spans="1:21" s="12" customFormat="1" x14ac:dyDescent="0.25">
      <c r="A21" s="62" t="s">
        <v>434</v>
      </c>
      <c r="B21" s="63">
        <v>2.96</v>
      </c>
      <c r="C21" s="63">
        <v>19.98</v>
      </c>
      <c r="D21" s="63">
        <v>22.47</v>
      </c>
      <c r="E21" s="63">
        <v>4.42</v>
      </c>
      <c r="F21" s="63">
        <v>3.79</v>
      </c>
      <c r="G21" s="63">
        <v>7.19</v>
      </c>
      <c r="H21" s="63">
        <v>8.0299999999999994</v>
      </c>
      <c r="I21" s="63">
        <v>0.47</v>
      </c>
      <c r="J21" s="63">
        <v>1.19</v>
      </c>
      <c r="K21" s="63">
        <v>97.4</v>
      </c>
      <c r="L21" s="9" t="s">
        <v>8</v>
      </c>
      <c r="M21" s="9" t="s">
        <v>8</v>
      </c>
      <c r="N21" s="63">
        <v>600.1</v>
      </c>
      <c r="O21" s="63">
        <v>0</v>
      </c>
      <c r="P21" s="63">
        <v>0.41</v>
      </c>
      <c r="Q21" s="63">
        <v>96.29</v>
      </c>
      <c r="R21" s="44"/>
      <c r="S21" s="44"/>
      <c r="T21" s="44"/>
      <c r="U21" s="44"/>
    </row>
    <row r="22" spans="1:21" s="12" customFormat="1" x14ac:dyDescent="0.25">
      <c r="A22" s="62" t="s">
        <v>435</v>
      </c>
      <c r="B22" s="63">
        <v>2.72</v>
      </c>
      <c r="C22" s="63">
        <v>17.03</v>
      </c>
      <c r="D22" s="63">
        <v>19.739999999999998</v>
      </c>
      <c r="E22" s="63">
        <v>4.54</v>
      </c>
      <c r="F22" s="63">
        <v>4.76</v>
      </c>
      <c r="G22" s="63">
        <v>3.25</v>
      </c>
      <c r="H22" s="63">
        <v>5.65</v>
      </c>
      <c r="I22" s="63">
        <v>0.45</v>
      </c>
      <c r="J22" s="63">
        <v>1.29</v>
      </c>
      <c r="K22" s="63">
        <v>126.09</v>
      </c>
      <c r="L22" s="9" t="s">
        <v>8</v>
      </c>
      <c r="M22" s="9" t="s">
        <v>8</v>
      </c>
      <c r="N22" s="63">
        <v>797.1</v>
      </c>
      <c r="O22" s="63">
        <v>0</v>
      </c>
      <c r="P22" s="63">
        <v>0.36</v>
      </c>
      <c r="Q22" s="63">
        <v>99.93</v>
      </c>
      <c r="R22" s="44"/>
      <c r="S22" s="44"/>
      <c r="T22" s="44"/>
      <c r="U22" s="44"/>
    </row>
    <row r="23" spans="1:21" s="12" customFormat="1" x14ac:dyDescent="0.25">
      <c r="A23" s="62" t="s">
        <v>436</v>
      </c>
      <c r="B23" s="63">
        <v>2.13</v>
      </c>
      <c r="C23" s="63">
        <v>14.44</v>
      </c>
      <c r="D23" s="63">
        <v>16.329999999999998</v>
      </c>
      <c r="E23" s="63">
        <v>4.45</v>
      </c>
      <c r="F23" s="63">
        <v>3.22</v>
      </c>
      <c r="G23" s="63">
        <v>17.96</v>
      </c>
      <c r="H23" s="63">
        <v>6.03</v>
      </c>
      <c r="I23" s="63">
        <v>0.46</v>
      </c>
      <c r="J23" s="63">
        <v>1.51</v>
      </c>
      <c r="K23" s="63">
        <v>150.32</v>
      </c>
      <c r="L23" s="9" t="s">
        <v>8</v>
      </c>
      <c r="M23" s="9" t="s">
        <v>8</v>
      </c>
      <c r="N23" s="63">
        <v>715.6</v>
      </c>
      <c r="O23" s="63">
        <v>0</v>
      </c>
      <c r="P23" s="63">
        <v>0.33</v>
      </c>
      <c r="Q23" s="63">
        <v>85.87</v>
      </c>
      <c r="R23" s="44"/>
      <c r="S23" s="44"/>
      <c r="T23" s="44"/>
      <c r="U23" s="44"/>
    </row>
    <row r="24" spans="1:21" s="12" customFormat="1" x14ac:dyDescent="0.25">
      <c r="A24" s="62" t="s">
        <v>437</v>
      </c>
      <c r="B24" s="63">
        <v>2.1800000000000002</v>
      </c>
      <c r="C24" s="63">
        <v>17.07</v>
      </c>
      <c r="D24" s="63">
        <v>19.25</v>
      </c>
      <c r="E24" s="63">
        <v>4.4400000000000004</v>
      </c>
      <c r="F24" s="63">
        <v>7.46</v>
      </c>
      <c r="G24" s="63">
        <v>29.14</v>
      </c>
      <c r="H24" s="63">
        <v>4.07</v>
      </c>
      <c r="I24" s="63">
        <v>0.41</v>
      </c>
      <c r="J24" s="63">
        <v>1.61</v>
      </c>
      <c r="K24" s="63">
        <v>102.02</v>
      </c>
      <c r="L24" s="9" t="s">
        <v>8</v>
      </c>
      <c r="M24" s="9" t="s">
        <v>8</v>
      </c>
      <c r="N24" s="63">
        <v>525.29999999999995</v>
      </c>
      <c r="O24" s="63">
        <v>0</v>
      </c>
      <c r="P24" s="63">
        <v>0.3</v>
      </c>
      <c r="Q24" s="63">
        <v>79.430000000000007</v>
      </c>
      <c r="R24" s="44"/>
      <c r="S24" s="44"/>
      <c r="T24" s="44"/>
      <c r="U24" s="44"/>
    </row>
    <row r="25" spans="1:21" s="12" customFormat="1" x14ac:dyDescent="0.25">
      <c r="A25" s="62" t="s">
        <v>438</v>
      </c>
      <c r="B25" s="63">
        <v>2</v>
      </c>
      <c r="C25" s="63">
        <v>17.649999999999999</v>
      </c>
      <c r="D25" s="63">
        <v>19.649999999999999</v>
      </c>
      <c r="E25" s="63">
        <v>3.56</v>
      </c>
      <c r="F25" s="63">
        <v>5.19</v>
      </c>
      <c r="G25" s="63">
        <v>18.29</v>
      </c>
      <c r="H25" s="63">
        <v>3.64</v>
      </c>
      <c r="I25" s="63">
        <v>0.36</v>
      </c>
      <c r="J25" s="63">
        <v>1.32</v>
      </c>
      <c r="K25" s="63">
        <v>113.3</v>
      </c>
      <c r="L25" s="9" t="s">
        <v>8</v>
      </c>
      <c r="M25" s="9" t="s">
        <v>8</v>
      </c>
      <c r="N25" s="63">
        <v>52.5</v>
      </c>
      <c r="O25" s="63">
        <v>0</v>
      </c>
      <c r="P25" s="63">
        <v>0.28000000000000003</v>
      </c>
      <c r="Q25" s="63">
        <v>87.19</v>
      </c>
      <c r="R25" s="44"/>
      <c r="S25" s="44"/>
      <c r="T25" s="44"/>
      <c r="U25" s="44"/>
    </row>
    <row r="26" spans="1:21" s="12" customFormat="1" x14ac:dyDescent="0.25">
      <c r="A26" s="62" t="s">
        <v>439</v>
      </c>
      <c r="B26" s="63">
        <v>3.58</v>
      </c>
      <c r="C26" s="63">
        <v>24.52</v>
      </c>
      <c r="D26" s="63">
        <v>28.09</v>
      </c>
      <c r="E26" s="63">
        <v>4.12</v>
      </c>
      <c r="F26" s="63">
        <v>3.16</v>
      </c>
      <c r="G26" s="63">
        <v>32.92</v>
      </c>
      <c r="H26" s="10" t="s">
        <v>15</v>
      </c>
      <c r="I26" s="63">
        <v>0.4</v>
      </c>
      <c r="J26" s="63">
        <v>1.64</v>
      </c>
      <c r="K26" s="63">
        <v>104.21</v>
      </c>
      <c r="L26" s="9" t="s">
        <v>8</v>
      </c>
      <c r="M26" s="9" t="s">
        <v>8</v>
      </c>
      <c r="N26" s="63">
        <v>22.2</v>
      </c>
      <c r="O26" s="63">
        <v>0</v>
      </c>
      <c r="P26" s="63">
        <v>0.42</v>
      </c>
      <c r="Q26" s="63">
        <v>95.51</v>
      </c>
      <c r="R26" s="44"/>
      <c r="S26" s="44"/>
      <c r="T26" s="44"/>
      <c r="U26" s="44"/>
    </row>
    <row r="27" spans="1:21" s="12" customFormat="1" x14ac:dyDescent="0.25">
      <c r="A27" s="62" t="s">
        <v>440</v>
      </c>
      <c r="B27" s="63">
        <v>15.04</v>
      </c>
      <c r="C27" s="63">
        <v>46.03</v>
      </c>
      <c r="D27" s="63">
        <v>61.07</v>
      </c>
      <c r="E27" s="63">
        <v>4.34</v>
      </c>
      <c r="F27" s="63">
        <v>2.9</v>
      </c>
      <c r="G27" s="63">
        <v>49.29</v>
      </c>
      <c r="H27" s="10" t="s">
        <v>15</v>
      </c>
      <c r="I27" s="63">
        <v>0.51</v>
      </c>
      <c r="J27" s="63">
        <v>0.49</v>
      </c>
      <c r="K27" s="63">
        <v>86.49</v>
      </c>
      <c r="L27" s="9" t="s">
        <v>8</v>
      </c>
      <c r="M27" s="9" t="s">
        <v>8</v>
      </c>
      <c r="N27" s="63">
        <v>4.9000000000000004</v>
      </c>
      <c r="O27" s="63">
        <v>0</v>
      </c>
      <c r="P27" s="63">
        <v>0.88</v>
      </c>
      <c r="Q27" s="63">
        <v>79.31</v>
      </c>
      <c r="R27" s="44"/>
      <c r="S27" s="44"/>
      <c r="T27" s="44"/>
      <c r="U27" s="44"/>
    </row>
    <row r="28" spans="1:21" s="12" customFormat="1" x14ac:dyDescent="0.25">
      <c r="A28" s="62" t="s">
        <v>441</v>
      </c>
      <c r="B28" s="63">
        <v>22.51</v>
      </c>
      <c r="C28" s="63">
        <v>55.02</v>
      </c>
      <c r="D28" s="63">
        <v>77.53</v>
      </c>
      <c r="E28" s="63">
        <v>3.91</v>
      </c>
      <c r="F28" s="63">
        <v>1.0900000000000001</v>
      </c>
      <c r="G28" s="63">
        <v>60.46</v>
      </c>
      <c r="H28" s="10" t="s">
        <v>15</v>
      </c>
      <c r="I28" s="63">
        <v>0.68</v>
      </c>
      <c r="J28" s="63">
        <v>0.41</v>
      </c>
      <c r="K28" s="63">
        <v>78.64</v>
      </c>
      <c r="L28" s="9" t="s">
        <v>8</v>
      </c>
      <c r="M28" s="9" t="s">
        <v>8</v>
      </c>
      <c r="N28" s="63">
        <v>5</v>
      </c>
      <c r="O28" s="63">
        <v>0</v>
      </c>
      <c r="P28" s="63">
        <v>1.3</v>
      </c>
      <c r="Q28" s="63">
        <v>79.78</v>
      </c>
      <c r="R28" s="44"/>
      <c r="S28" s="44"/>
      <c r="T28" s="44"/>
      <c r="U28" s="44"/>
    </row>
    <row r="29" spans="1:21" s="12" customFormat="1" x14ac:dyDescent="0.25">
      <c r="A29" s="62" t="s">
        <v>442</v>
      </c>
      <c r="B29" s="63">
        <v>24.93</v>
      </c>
      <c r="C29" s="63">
        <v>51.43</v>
      </c>
      <c r="D29" s="63">
        <v>76.36</v>
      </c>
      <c r="E29" s="63">
        <v>4.2</v>
      </c>
      <c r="F29" s="63">
        <v>1.53</v>
      </c>
      <c r="G29" s="63">
        <v>65.2</v>
      </c>
      <c r="H29" s="63">
        <v>6.45</v>
      </c>
      <c r="I29" s="63">
        <v>0.71</v>
      </c>
      <c r="J29" s="63">
        <v>0.46</v>
      </c>
      <c r="K29" s="63">
        <v>78.58</v>
      </c>
      <c r="L29" s="9" t="s">
        <v>8</v>
      </c>
      <c r="M29" s="9" t="s">
        <v>8</v>
      </c>
      <c r="N29" s="63">
        <v>4.9000000000000004</v>
      </c>
      <c r="O29" s="63">
        <v>0</v>
      </c>
      <c r="P29" s="63">
        <v>1.1499999999999999</v>
      </c>
      <c r="Q29" s="63">
        <v>104.25</v>
      </c>
      <c r="R29" s="44"/>
      <c r="S29" s="44"/>
      <c r="T29" s="44"/>
      <c r="U29" s="44"/>
    </row>
    <row r="30" spans="1:21" s="12" customFormat="1" x14ac:dyDescent="0.25">
      <c r="A30" s="62" t="s">
        <v>443</v>
      </c>
      <c r="B30" s="63">
        <v>30.38</v>
      </c>
      <c r="C30" s="63">
        <v>56.46</v>
      </c>
      <c r="D30" s="63">
        <v>86.84</v>
      </c>
      <c r="E30" s="63">
        <v>4.6500000000000004</v>
      </c>
      <c r="F30" s="63">
        <v>0.66</v>
      </c>
      <c r="G30" s="63">
        <v>72.150000000000006</v>
      </c>
      <c r="H30" s="63">
        <v>10.36</v>
      </c>
      <c r="I30" s="63">
        <v>0.92</v>
      </c>
      <c r="J30" s="63">
        <v>0.36</v>
      </c>
      <c r="K30" s="63">
        <v>73.97</v>
      </c>
      <c r="L30" s="9" t="s">
        <v>8</v>
      </c>
      <c r="M30" s="9" t="s">
        <v>8</v>
      </c>
      <c r="N30" s="63">
        <v>4.8</v>
      </c>
      <c r="O30" s="63">
        <v>0</v>
      </c>
      <c r="P30" s="63">
        <v>1.24</v>
      </c>
      <c r="Q30" s="63">
        <v>102.75</v>
      </c>
      <c r="R30" s="44"/>
      <c r="S30" s="44"/>
      <c r="T30" s="44"/>
      <c r="U30" s="44"/>
    </row>
    <row r="31" spans="1:21" s="12" customFormat="1" x14ac:dyDescent="0.25">
      <c r="A31" s="62" t="s">
        <v>444</v>
      </c>
      <c r="B31" s="63">
        <v>29.35</v>
      </c>
      <c r="C31" s="63">
        <v>53.96</v>
      </c>
      <c r="D31" s="63">
        <v>82.95</v>
      </c>
      <c r="E31" s="63">
        <v>4.32</v>
      </c>
      <c r="F31" s="63">
        <v>1.28</v>
      </c>
      <c r="G31" s="63">
        <v>90.28</v>
      </c>
      <c r="H31" s="63">
        <v>11.38</v>
      </c>
      <c r="I31" s="63">
        <v>0.89</v>
      </c>
      <c r="J31" s="63">
        <v>0.35</v>
      </c>
      <c r="K31" s="63">
        <v>97.32</v>
      </c>
      <c r="L31" s="9" t="s">
        <v>8</v>
      </c>
      <c r="M31" s="9" t="s">
        <v>8</v>
      </c>
      <c r="N31" s="63">
        <v>4.8</v>
      </c>
      <c r="O31" s="63">
        <v>0</v>
      </c>
      <c r="P31" s="63">
        <v>1.21</v>
      </c>
      <c r="Q31" s="63">
        <v>95.2</v>
      </c>
      <c r="R31" s="44"/>
      <c r="S31" s="44"/>
      <c r="T31" s="44"/>
      <c r="U31" s="44"/>
    </row>
    <row r="32" spans="1:21" s="12" customFormat="1" x14ac:dyDescent="0.25">
      <c r="A32" s="62" t="s">
        <v>445</v>
      </c>
      <c r="B32" s="63">
        <v>25.28</v>
      </c>
      <c r="C32" s="63">
        <v>47.47</v>
      </c>
      <c r="D32" s="63">
        <v>72.75</v>
      </c>
      <c r="E32" s="63">
        <v>5.51</v>
      </c>
      <c r="F32" s="63">
        <v>1.05</v>
      </c>
      <c r="G32" s="63">
        <v>95.46</v>
      </c>
      <c r="H32" s="63">
        <v>11.14</v>
      </c>
      <c r="I32" s="63">
        <v>0.76</v>
      </c>
      <c r="J32" s="63">
        <v>0.55000000000000004</v>
      </c>
      <c r="K32" s="63">
        <v>96.56</v>
      </c>
      <c r="L32" s="9" t="s">
        <v>8</v>
      </c>
      <c r="M32" s="9" t="s">
        <v>8</v>
      </c>
      <c r="N32" s="63">
        <v>4.9000000000000004</v>
      </c>
      <c r="O32" s="63">
        <v>0</v>
      </c>
      <c r="P32" s="63">
        <v>1.1599999999999999</v>
      </c>
      <c r="Q32" s="63">
        <v>97.04</v>
      </c>
      <c r="R32" s="44"/>
      <c r="S32" s="44"/>
      <c r="T32" s="44"/>
      <c r="U32" s="44"/>
    </row>
    <row r="33" spans="1:21" s="22" customFormat="1" x14ac:dyDescent="0.25">
      <c r="A33" s="27"/>
      <c r="B33" s="21"/>
      <c r="C33" s="21"/>
      <c r="D33" s="21"/>
      <c r="E33" s="21"/>
      <c r="F33" s="21"/>
      <c r="G33" s="27"/>
      <c r="H33" s="27"/>
      <c r="I33" s="27"/>
      <c r="J33" s="21"/>
      <c r="K33" s="21"/>
      <c r="L33" s="27"/>
      <c r="M33" s="27"/>
      <c r="N33" s="27"/>
      <c r="O33" s="27"/>
      <c r="P33" s="27"/>
      <c r="Q33" s="21"/>
      <c r="R33" s="21"/>
      <c r="S33" s="21"/>
      <c r="T33" s="21"/>
      <c r="U33" s="21"/>
    </row>
    <row r="34" spans="1:21" s="22" customFormat="1" x14ac:dyDescent="0.25">
      <c r="A34" s="28" t="s">
        <v>30</v>
      </c>
      <c r="B34" s="29">
        <f t="shared" ref="B34:Q34" si="0">MIN(B9:B32)</f>
        <v>2</v>
      </c>
      <c r="C34" s="29">
        <f t="shared" si="0"/>
        <v>14.44</v>
      </c>
      <c r="D34" s="29">
        <f t="shared" si="0"/>
        <v>16.329999999999998</v>
      </c>
      <c r="E34" s="29">
        <f t="shared" si="0"/>
        <v>3.56</v>
      </c>
      <c r="F34" s="29">
        <f t="shared" si="0"/>
        <v>0.66</v>
      </c>
      <c r="G34" s="29">
        <f t="shared" si="0"/>
        <v>3.25</v>
      </c>
      <c r="H34" s="29">
        <f t="shared" si="0"/>
        <v>3.64</v>
      </c>
      <c r="I34" s="29">
        <f t="shared" si="0"/>
        <v>0.36</v>
      </c>
      <c r="J34" s="29">
        <f t="shared" si="0"/>
        <v>0.35</v>
      </c>
      <c r="K34" s="29">
        <f t="shared" si="0"/>
        <v>73.97</v>
      </c>
      <c r="L34" s="29">
        <f t="shared" si="0"/>
        <v>0</v>
      </c>
      <c r="M34" s="29">
        <f t="shared" si="0"/>
        <v>0</v>
      </c>
      <c r="N34" s="29">
        <f t="shared" si="0"/>
        <v>4.8</v>
      </c>
      <c r="O34" s="29">
        <f t="shared" si="0"/>
        <v>0</v>
      </c>
      <c r="P34" s="29">
        <f t="shared" si="0"/>
        <v>0.28000000000000003</v>
      </c>
      <c r="Q34" s="29">
        <f t="shared" si="0"/>
        <v>79.31</v>
      </c>
      <c r="R34" s="29"/>
      <c r="S34" s="29"/>
      <c r="T34" s="29"/>
      <c r="U34" s="29"/>
    </row>
    <row r="35" spans="1:21" s="22" customFormat="1" x14ac:dyDescent="0.25">
      <c r="A35" s="28" t="s">
        <v>31</v>
      </c>
      <c r="B35" s="30">
        <f t="shared" ref="B35:Q35" si="1">MAX(B9:B32)</f>
        <v>30.38</v>
      </c>
      <c r="C35" s="30">
        <f t="shared" si="1"/>
        <v>56.46</v>
      </c>
      <c r="D35" s="30">
        <f t="shared" si="1"/>
        <v>86.84</v>
      </c>
      <c r="E35" s="30">
        <f t="shared" si="1"/>
        <v>7.16</v>
      </c>
      <c r="F35" s="30">
        <f t="shared" si="1"/>
        <v>7.46</v>
      </c>
      <c r="G35" s="30">
        <f t="shared" si="1"/>
        <v>95.46</v>
      </c>
      <c r="H35" s="30">
        <f t="shared" si="1"/>
        <v>23.32</v>
      </c>
      <c r="I35" s="30">
        <f t="shared" si="1"/>
        <v>0.92</v>
      </c>
      <c r="J35" s="30">
        <f t="shared" si="1"/>
        <v>1.7</v>
      </c>
      <c r="K35" s="30">
        <f t="shared" si="1"/>
        <v>150.32</v>
      </c>
      <c r="L35" s="30">
        <f t="shared" si="1"/>
        <v>0</v>
      </c>
      <c r="M35" s="30">
        <f t="shared" si="1"/>
        <v>0</v>
      </c>
      <c r="N35" s="30">
        <f t="shared" si="1"/>
        <v>890.8</v>
      </c>
      <c r="O35" s="30">
        <f t="shared" si="1"/>
        <v>0</v>
      </c>
      <c r="P35" s="30">
        <f t="shared" si="1"/>
        <v>1.3</v>
      </c>
      <c r="Q35" s="30">
        <f t="shared" si="1"/>
        <v>132.27000000000001</v>
      </c>
      <c r="R35" s="30"/>
      <c r="S35" s="30"/>
      <c r="T35" s="30"/>
      <c r="U35" s="30"/>
    </row>
    <row r="36" spans="1:21" s="22" customFormat="1" x14ac:dyDescent="0.25">
      <c r="A36" s="28" t="s">
        <v>32</v>
      </c>
      <c r="B36" s="29">
        <f t="shared" ref="B36:Q36" si="2">AVERAGE(B9:B32)</f>
        <v>10.602916666666667</v>
      </c>
      <c r="C36" s="29">
        <f t="shared" si="2"/>
        <v>28.998750000000001</v>
      </c>
      <c r="D36" s="29">
        <f t="shared" si="2"/>
        <v>39.457500000000003</v>
      </c>
      <c r="E36" s="29">
        <f t="shared" si="2"/>
        <v>5.2733333333333352</v>
      </c>
      <c r="F36" s="29">
        <f t="shared" si="2"/>
        <v>2.2949999999999995</v>
      </c>
      <c r="G36" s="29">
        <f t="shared" si="2"/>
        <v>38.884999999999998</v>
      </c>
      <c r="H36" s="29">
        <f t="shared" si="2"/>
        <v>13.603809523809522</v>
      </c>
      <c r="I36" s="29">
        <f t="shared" si="2"/>
        <v>0.60958333333333348</v>
      </c>
      <c r="J36" s="29">
        <f t="shared" si="2"/>
        <v>0.98499999999999999</v>
      </c>
      <c r="K36" s="29">
        <f t="shared" si="2"/>
        <v>98.976249999999993</v>
      </c>
      <c r="L36" s="29" t="e">
        <f t="shared" si="2"/>
        <v>#DIV/0!</v>
      </c>
      <c r="M36" s="29" t="e">
        <f t="shared" si="2"/>
        <v>#DIV/0!</v>
      </c>
      <c r="N36" s="29">
        <f t="shared" si="2"/>
        <v>267.99166666666667</v>
      </c>
      <c r="O36" s="29">
        <f t="shared" si="2"/>
        <v>0</v>
      </c>
      <c r="P36" s="29">
        <f t="shared" si="2"/>
        <v>0.7383333333333334</v>
      </c>
      <c r="Q36" s="29">
        <f t="shared" si="2"/>
        <v>104.27666666666666</v>
      </c>
      <c r="R36" s="29"/>
      <c r="S36" s="29"/>
      <c r="T36" s="29"/>
      <c r="U36" s="29"/>
    </row>
    <row r="37" spans="1:21" s="22" customFormat="1" x14ac:dyDescent="0.25">
      <c r="A37" s="28" t="s">
        <v>38</v>
      </c>
      <c r="B37" s="29">
        <f>STDEV(B9:B32)</f>
        <v>9.1401372262397</v>
      </c>
      <c r="C37" s="29">
        <f t="shared" ref="C37:Q37" si="3">STDEV(C9:C32)</f>
        <v>14.079427271114714</v>
      </c>
      <c r="D37" s="29">
        <f t="shared" si="3"/>
        <v>23.094638611779487</v>
      </c>
      <c r="E37" s="29">
        <f t="shared" si="3"/>
        <v>1.0415150614313684</v>
      </c>
      <c r="F37" s="29">
        <f t="shared" si="3"/>
        <v>1.7204448363090896</v>
      </c>
      <c r="G37" s="29">
        <f t="shared" si="3"/>
        <v>24.382142253492933</v>
      </c>
      <c r="H37" s="29">
        <f t="shared" si="3"/>
        <v>6.4782918089496988</v>
      </c>
      <c r="I37" s="29">
        <f t="shared" si="3"/>
        <v>0.15089527513468048</v>
      </c>
      <c r="J37" s="29">
        <f t="shared" si="3"/>
        <v>0.46301469598237605</v>
      </c>
      <c r="K37" s="29">
        <f t="shared" si="3"/>
        <v>16.193781364811276</v>
      </c>
      <c r="L37" s="29" t="e">
        <f t="shared" si="3"/>
        <v>#DIV/0!</v>
      </c>
      <c r="M37" s="29" t="e">
        <f t="shared" si="3"/>
        <v>#DIV/0!</v>
      </c>
      <c r="N37" s="29">
        <f t="shared" si="3"/>
        <v>344.20635104752097</v>
      </c>
      <c r="O37" s="29">
        <f t="shared" si="3"/>
        <v>0</v>
      </c>
      <c r="P37" s="29">
        <f t="shared" si="3"/>
        <v>0.33499729611714335</v>
      </c>
      <c r="Q37" s="29">
        <f t="shared" si="3"/>
        <v>16.028731720872702</v>
      </c>
      <c r="R37" s="29"/>
      <c r="S37" s="29"/>
      <c r="T37" s="29"/>
      <c r="U37" s="29"/>
    </row>
    <row r="38" spans="1:21" s="22" customFormat="1" x14ac:dyDescent="0.25">
      <c r="A38" s="32" t="s">
        <v>33</v>
      </c>
      <c r="B38" s="33">
        <f t="shared" ref="B38:Q38" si="4">COUNT(B9:B32)</f>
        <v>24</v>
      </c>
      <c r="C38" s="33">
        <f t="shared" si="4"/>
        <v>24</v>
      </c>
      <c r="D38" s="33">
        <f t="shared" si="4"/>
        <v>24</v>
      </c>
      <c r="E38" s="33">
        <f t="shared" si="4"/>
        <v>24</v>
      </c>
      <c r="F38" s="33">
        <f t="shared" si="4"/>
        <v>24</v>
      </c>
      <c r="G38" s="33">
        <f t="shared" si="4"/>
        <v>24</v>
      </c>
      <c r="H38" s="33">
        <f t="shared" si="4"/>
        <v>21</v>
      </c>
      <c r="I38" s="33">
        <f t="shared" si="4"/>
        <v>24</v>
      </c>
      <c r="J38" s="33">
        <f t="shared" si="4"/>
        <v>24</v>
      </c>
      <c r="K38" s="33">
        <f t="shared" si="4"/>
        <v>24</v>
      </c>
      <c r="L38" s="33">
        <f>COUNT(L9:L32)+24</f>
        <v>24</v>
      </c>
      <c r="M38" s="33">
        <f>COUNT(M9:M32)+24</f>
        <v>24</v>
      </c>
      <c r="N38" s="33">
        <f t="shared" si="4"/>
        <v>24</v>
      </c>
      <c r="O38" s="33">
        <f t="shared" si="4"/>
        <v>24</v>
      </c>
      <c r="P38" s="33">
        <f t="shared" si="4"/>
        <v>24</v>
      </c>
      <c r="Q38" s="33">
        <f t="shared" si="4"/>
        <v>24</v>
      </c>
      <c r="R38" s="33"/>
      <c r="S38" s="33"/>
      <c r="T38" s="33"/>
      <c r="U38" s="33"/>
    </row>
    <row r="39" spans="1:21" s="22" customFormat="1" x14ac:dyDescent="0.25">
      <c r="A39" s="28" t="s">
        <v>34</v>
      </c>
      <c r="B39" s="30" t="str">
        <f>IF(B38&gt;=22,"&gt;90%",IF(B38&lt;=22,"&lt;90%"))</f>
        <v>&gt;90%</v>
      </c>
      <c r="C39" s="30" t="str">
        <f t="shared" ref="C39:P39" si="5">IF(C38&gt;=22,"&gt;90%",IF(C38&lt;=22,"&lt;90%"))</f>
        <v>&gt;90%</v>
      </c>
      <c r="D39" s="30" t="str">
        <f t="shared" si="5"/>
        <v>&gt;90%</v>
      </c>
      <c r="E39" s="30" t="str">
        <f t="shared" si="5"/>
        <v>&gt;90%</v>
      </c>
      <c r="F39" s="30" t="str">
        <f t="shared" si="5"/>
        <v>&gt;90%</v>
      </c>
      <c r="G39" s="30" t="str">
        <f t="shared" si="5"/>
        <v>&gt;90%</v>
      </c>
      <c r="H39" s="30" t="str">
        <f t="shared" si="5"/>
        <v>&lt;90%</v>
      </c>
      <c r="I39" s="30" t="str">
        <f t="shared" si="5"/>
        <v>&gt;90%</v>
      </c>
      <c r="J39" s="30" t="str">
        <f t="shared" si="5"/>
        <v>&gt;90%</v>
      </c>
      <c r="K39" s="30" t="str">
        <f t="shared" si="5"/>
        <v>&gt;90%</v>
      </c>
      <c r="L39" s="30" t="str">
        <f t="shared" si="5"/>
        <v>&gt;90%</v>
      </c>
      <c r="M39" s="30" t="str">
        <f t="shared" si="5"/>
        <v>&gt;90%</v>
      </c>
      <c r="N39" s="30" t="str">
        <f t="shared" si="5"/>
        <v>&gt;90%</v>
      </c>
      <c r="O39" s="30" t="str">
        <f t="shared" si="5"/>
        <v>&gt;90%</v>
      </c>
      <c r="P39" s="30" t="str">
        <f t="shared" si="5"/>
        <v>&gt;90%</v>
      </c>
      <c r="Q39" s="30" t="str">
        <f>IF(Q38&gt;=22,"&gt;90%",IF(Q38&lt;=22,"&lt;90%"))</f>
        <v>&gt;90%</v>
      </c>
      <c r="R39" s="30"/>
      <c r="S39" s="30"/>
      <c r="T39" s="30"/>
      <c r="U39" s="30"/>
    </row>
    <row r="40" spans="1:21" s="22" customFormat="1" x14ac:dyDescent="0.25">
      <c r="A40" s="28" t="s">
        <v>1</v>
      </c>
      <c r="B40" s="30" t="str">
        <f>IF(B38&gt;=22,"OK",IF(B38&lt;=22,"LESS"))</f>
        <v>OK</v>
      </c>
      <c r="C40" s="30" t="str">
        <f t="shared" ref="C40:Q40" si="6">IF(C38&gt;=22,"OK",IF(C38&lt;=22,"LESS"))</f>
        <v>OK</v>
      </c>
      <c r="D40" s="30" t="str">
        <f t="shared" si="6"/>
        <v>OK</v>
      </c>
      <c r="E40" s="30" t="str">
        <f t="shared" si="6"/>
        <v>OK</v>
      </c>
      <c r="F40" s="30" t="str">
        <f t="shared" si="6"/>
        <v>OK</v>
      </c>
      <c r="G40" s="30" t="str">
        <f t="shared" si="6"/>
        <v>OK</v>
      </c>
      <c r="H40" s="30" t="str">
        <f t="shared" si="6"/>
        <v>LESS</v>
      </c>
      <c r="I40" s="30" t="str">
        <f t="shared" si="6"/>
        <v>OK</v>
      </c>
      <c r="J40" s="30" t="str">
        <f t="shared" si="6"/>
        <v>OK</v>
      </c>
      <c r="K40" s="30" t="str">
        <f t="shared" si="6"/>
        <v>OK</v>
      </c>
      <c r="L40" s="30" t="str">
        <f t="shared" si="6"/>
        <v>OK</v>
      </c>
      <c r="M40" s="30" t="str">
        <f t="shared" si="6"/>
        <v>OK</v>
      </c>
      <c r="N40" s="30" t="str">
        <f t="shared" si="6"/>
        <v>OK</v>
      </c>
      <c r="O40" s="30" t="str">
        <f t="shared" si="6"/>
        <v>OK</v>
      </c>
      <c r="P40" s="30" t="str">
        <f t="shared" si="6"/>
        <v>OK</v>
      </c>
      <c r="Q40" s="30" t="str">
        <f t="shared" si="6"/>
        <v>OK</v>
      </c>
      <c r="R40" s="30"/>
      <c r="S40" s="30"/>
      <c r="T40" s="30"/>
      <c r="U40" s="30"/>
    </row>
    <row r="41" spans="1:21" s="22" customFormat="1" x14ac:dyDescent="0.25">
      <c r="A41" s="14"/>
      <c r="L41" s="14"/>
      <c r="N41" s="17"/>
      <c r="O41" s="17"/>
      <c r="P41" s="17"/>
      <c r="Q41" s="17"/>
      <c r="R41" s="17"/>
      <c r="S41" s="17"/>
      <c r="T41" s="17"/>
      <c r="U41" s="17"/>
    </row>
    <row r="42" spans="1:21" s="22" customFormat="1" x14ac:dyDescent="0.25">
      <c r="A42" s="14"/>
    </row>
    <row r="43" spans="1:21" s="22" customFormat="1" x14ac:dyDescent="0.25">
      <c r="A43" s="15" t="s">
        <v>35</v>
      </c>
      <c r="B43" s="41" t="s">
        <v>42</v>
      </c>
      <c r="C43" s="43"/>
    </row>
    <row r="44" spans="1:21" s="22" customFormat="1" x14ac:dyDescent="0.25">
      <c r="A44" s="14"/>
      <c r="D44" s="2"/>
      <c r="E44" s="2"/>
      <c r="F44" s="2"/>
      <c r="G44" s="2"/>
      <c r="H44" s="2"/>
      <c r="I44" s="2"/>
    </row>
    <row r="45" spans="1:21" s="22" customFormat="1" ht="15.75" x14ac:dyDescent="0.25">
      <c r="A45" s="18" t="s">
        <v>36</v>
      </c>
      <c r="B45" s="42" t="s">
        <v>785</v>
      </c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</row>
    <row r="46" spans="1:21" s="22" customFormat="1" x14ac:dyDescent="0.25"/>
    <row r="47" spans="1:21" s="22" customFormat="1" x14ac:dyDescent="0.25"/>
    <row r="48" spans="1:21" s="22" customFormat="1" x14ac:dyDescent="0.25"/>
    <row r="49" s="22" customFormat="1" x14ac:dyDescent="0.25"/>
    <row r="50" s="22" customFormat="1" x14ac:dyDescent="0.25"/>
    <row r="51" s="22" customFormat="1" x14ac:dyDescent="0.25"/>
    <row r="52" s="22" customFormat="1" x14ac:dyDescent="0.25"/>
    <row r="53" s="22" customFormat="1" x14ac:dyDescent="0.25"/>
    <row r="54" s="22" customFormat="1" x14ac:dyDescent="0.25"/>
    <row r="55" s="22" customFormat="1" x14ac:dyDescent="0.25"/>
    <row r="56" s="22" customFormat="1" x14ac:dyDescent="0.25"/>
    <row r="57" s="22" customFormat="1" x14ac:dyDescent="0.25"/>
    <row r="58" s="22" customFormat="1" x14ac:dyDescent="0.25"/>
    <row r="59" s="22" customFormat="1" x14ac:dyDescent="0.25"/>
    <row r="60" s="22" customFormat="1" x14ac:dyDescent="0.25"/>
    <row r="61" s="22" customFormat="1" x14ac:dyDescent="0.25"/>
    <row r="62" s="22" customFormat="1" x14ac:dyDescent="0.25"/>
    <row r="63" s="22" customFormat="1" x14ac:dyDescent="0.25"/>
    <row r="64" s="22" customFormat="1" x14ac:dyDescent="0.25"/>
    <row r="65" s="22" customFormat="1" x14ac:dyDescent="0.25"/>
    <row r="66" s="22" customFormat="1" x14ac:dyDescent="0.25"/>
    <row r="67" s="22" customFormat="1" x14ac:dyDescent="0.25"/>
    <row r="68" s="22" customFormat="1" x14ac:dyDescent="0.25"/>
    <row r="69" s="22" customFormat="1" x14ac:dyDescent="0.25"/>
    <row r="70" s="22" customFormat="1" x14ac:dyDescent="0.25"/>
    <row r="71" s="22" customFormat="1" x14ac:dyDescent="0.25"/>
    <row r="72" s="22" customFormat="1" x14ac:dyDescent="0.25"/>
    <row r="73" s="22" customFormat="1" x14ac:dyDescent="0.25"/>
    <row r="74" s="22" customFormat="1" x14ac:dyDescent="0.25"/>
    <row r="75" s="22" customFormat="1" x14ac:dyDescent="0.25"/>
    <row r="76" s="22" customFormat="1" x14ac:dyDescent="0.25"/>
    <row r="77" s="22" customFormat="1" x14ac:dyDescent="0.25"/>
    <row r="78" s="22" customFormat="1" x14ac:dyDescent="0.25"/>
    <row r="79" s="22" customFormat="1" x14ac:dyDescent="0.25"/>
    <row r="80" s="22" customFormat="1" x14ac:dyDescent="0.25"/>
    <row r="81" s="22" customFormat="1" x14ac:dyDescent="0.25"/>
    <row r="82" s="22" customFormat="1" x14ac:dyDescent="0.25"/>
    <row r="83" s="22" customFormat="1" x14ac:dyDescent="0.25"/>
    <row r="84" s="22" customFormat="1" x14ac:dyDescent="0.25"/>
    <row r="85" s="22" customFormat="1" x14ac:dyDescent="0.25"/>
    <row r="86" s="22" customFormat="1" x14ac:dyDescent="0.25"/>
    <row r="87" s="22" customFormat="1" x14ac:dyDescent="0.25"/>
    <row r="88" s="22" customFormat="1" x14ac:dyDescent="0.25"/>
    <row r="89" s="22" customFormat="1" x14ac:dyDescent="0.25"/>
    <row r="90" s="22" customFormat="1" x14ac:dyDescent="0.25"/>
    <row r="91" s="22" customFormat="1" x14ac:dyDescent="0.25"/>
    <row r="92" s="22" customFormat="1" x14ac:dyDescent="0.25"/>
    <row r="93" s="22" customFormat="1" x14ac:dyDescent="0.25"/>
    <row r="94" s="22" customFormat="1" x14ac:dyDescent="0.25"/>
    <row r="95" s="22" customFormat="1" x14ac:dyDescent="0.25"/>
    <row r="96" s="22" customFormat="1" x14ac:dyDescent="0.25"/>
    <row r="97" spans="1:1" s="22" customFormat="1" x14ac:dyDescent="0.25"/>
    <row r="98" spans="1:1" s="22" customFormat="1" x14ac:dyDescent="0.25"/>
    <row r="99" spans="1:1" s="22" customFormat="1" x14ac:dyDescent="0.25"/>
    <row r="100" spans="1:1" s="22" customFormat="1" x14ac:dyDescent="0.25"/>
    <row r="101" spans="1:1" s="22" customFormat="1" x14ac:dyDescent="0.25"/>
    <row r="102" spans="1:1" s="22" customFormat="1" x14ac:dyDescent="0.25"/>
    <row r="103" spans="1:1" s="22" customFormat="1" x14ac:dyDescent="0.25"/>
    <row r="104" spans="1:1" s="22" customFormat="1" x14ac:dyDescent="0.25"/>
    <row r="105" spans="1:1" s="22" customFormat="1" x14ac:dyDescent="0.25"/>
    <row r="106" spans="1:1" x14ac:dyDescent="0.25">
      <c r="A106" s="21"/>
    </row>
    <row r="107" spans="1:1" s="22" customFormat="1" x14ac:dyDescent="0.25"/>
    <row r="108" spans="1:1" s="22" customFormat="1" x14ac:dyDescent="0.25"/>
    <row r="109" spans="1:1" s="22" customFormat="1" x14ac:dyDescent="0.25"/>
    <row r="110" spans="1:1" s="22" customFormat="1" x14ac:dyDescent="0.25"/>
    <row r="111" spans="1:1" s="22" customFormat="1" x14ac:dyDescent="0.25"/>
    <row r="112" spans="1:1" s="22" customFormat="1" x14ac:dyDescent="0.25"/>
    <row r="113" spans="1:1" s="22" customFormat="1" x14ac:dyDescent="0.25"/>
    <row r="114" spans="1:1" s="22" customFormat="1" x14ac:dyDescent="0.25"/>
    <row r="115" spans="1:1" s="22" customFormat="1" x14ac:dyDescent="0.25"/>
    <row r="116" spans="1:1" s="22" customFormat="1" x14ac:dyDescent="0.25"/>
    <row r="117" spans="1:1" s="22" customFormat="1" x14ac:dyDescent="0.25"/>
    <row r="118" spans="1:1" x14ac:dyDescent="0.25">
      <c r="A118" s="21"/>
    </row>
    <row r="119" spans="1:1" x14ac:dyDescent="0.25">
      <c r="A119" s="21"/>
    </row>
  </sheetData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1" ySplit="8" topLeftCell="B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32" sqref="G32"/>
    </sheetView>
  </sheetViews>
  <sheetFormatPr defaultColWidth="8.85546875" defaultRowHeight="15" x14ac:dyDescent="0.25"/>
  <cols>
    <col min="1" max="1" width="18.28515625" style="27" customWidth="1"/>
    <col min="2" max="2" width="12.7109375" style="21" customWidth="1"/>
    <col min="3" max="12" width="9.140625" style="21" customWidth="1"/>
    <col min="13" max="13" width="10" style="21" customWidth="1"/>
    <col min="14" max="19" width="9.140625" style="21" customWidth="1"/>
    <col min="20" max="20" width="11.42578125" style="21" customWidth="1"/>
    <col min="21" max="16384" width="8.85546875" style="21"/>
  </cols>
  <sheetData>
    <row r="1" spans="1:21" s="22" customFormat="1" ht="26.25" x14ac:dyDescent="0.25">
      <c r="A1" s="15" t="s">
        <v>2</v>
      </c>
      <c r="B1" s="24" t="s">
        <v>43</v>
      </c>
      <c r="C1" s="38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s="22" customFormat="1" x14ac:dyDescent="0.25">
      <c r="A2" s="15" t="s">
        <v>0</v>
      </c>
      <c r="B2" s="39" t="str">
        <f>$A$9</f>
        <v>17-10-2022 01:00</v>
      </c>
      <c r="C2" s="12"/>
      <c r="D2" s="11" t="s">
        <v>3</v>
      </c>
      <c r="E2" s="11"/>
      <c r="F2" s="11"/>
      <c r="G2" s="4" t="s">
        <v>4</v>
      </c>
      <c r="H2" s="20"/>
      <c r="I2" s="20"/>
      <c r="J2" s="20"/>
      <c r="K2" s="13"/>
      <c r="L2" s="11" t="s">
        <v>5</v>
      </c>
      <c r="M2" s="13"/>
      <c r="N2" s="8" t="s">
        <v>6</v>
      </c>
      <c r="P2" s="40" t="s">
        <v>7</v>
      </c>
      <c r="Q2" s="13"/>
      <c r="R2" s="9" t="s">
        <v>8</v>
      </c>
      <c r="S2" s="12"/>
      <c r="T2" s="12"/>
      <c r="U2" s="12"/>
    </row>
    <row r="3" spans="1:21" s="22" customFormat="1" x14ac:dyDescent="0.25">
      <c r="A3" s="15" t="s">
        <v>9</v>
      </c>
      <c r="B3" s="13" t="s">
        <v>10</v>
      </c>
      <c r="C3" s="12"/>
      <c r="D3" s="11" t="s">
        <v>11</v>
      </c>
      <c r="E3" s="11"/>
      <c r="F3" s="11"/>
      <c r="G3" s="19" t="s">
        <v>12</v>
      </c>
      <c r="H3" s="20"/>
      <c r="I3" s="20"/>
      <c r="J3" s="20"/>
      <c r="K3" s="12"/>
      <c r="L3" s="11" t="s">
        <v>13</v>
      </c>
      <c r="M3" s="13"/>
      <c r="N3" s="6" t="s">
        <v>14</v>
      </c>
      <c r="O3" s="13"/>
      <c r="P3" s="40" t="s">
        <v>15</v>
      </c>
      <c r="Q3" s="13"/>
      <c r="R3" s="10" t="s">
        <v>15</v>
      </c>
      <c r="S3" s="12"/>
      <c r="T3" s="12"/>
      <c r="U3" s="12"/>
    </row>
    <row r="4" spans="1:21" s="22" customFormat="1" x14ac:dyDescent="0.25">
      <c r="A4" s="15" t="s">
        <v>16</v>
      </c>
      <c r="B4" s="13" t="s">
        <v>39</v>
      </c>
      <c r="C4" s="12"/>
      <c r="D4" s="11" t="s">
        <v>17</v>
      </c>
      <c r="E4" s="11"/>
      <c r="F4" s="11"/>
      <c r="G4" s="5" t="s">
        <v>18</v>
      </c>
      <c r="H4" s="20"/>
      <c r="I4" s="20"/>
      <c r="J4" s="20"/>
      <c r="K4" s="3"/>
      <c r="L4" s="11" t="s">
        <v>19</v>
      </c>
      <c r="M4" s="13"/>
      <c r="N4" s="7" t="s">
        <v>20</v>
      </c>
      <c r="O4" s="13"/>
      <c r="P4" s="13"/>
      <c r="Q4" s="13"/>
      <c r="R4" s="13"/>
      <c r="S4" s="12"/>
      <c r="T4" s="12"/>
      <c r="U4" s="12"/>
    </row>
    <row r="5" spans="1:21" s="22" customFormat="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s="22" customFormat="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s="22" customFormat="1" x14ac:dyDescent="0.25">
      <c r="A7" s="15" t="s">
        <v>21</v>
      </c>
      <c r="B7" s="45" t="s">
        <v>59</v>
      </c>
      <c r="C7" s="45" t="s">
        <v>44</v>
      </c>
      <c r="D7" s="45" t="s">
        <v>45</v>
      </c>
      <c r="E7" s="45" t="s">
        <v>46</v>
      </c>
      <c r="F7" s="45" t="s">
        <v>47</v>
      </c>
      <c r="G7" s="45" t="s">
        <v>48</v>
      </c>
      <c r="H7" s="45" t="s">
        <v>49</v>
      </c>
      <c r="I7" s="45" t="s">
        <v>50</v>
      </c>
      <c r="J7" s="45" t="s">
        <v>51</v>
      </c>
      <c r="K7" s="45" t="s">
        <v>52</v>
      </c>
      <c r="L7" s="45" t="s">
        <v>53</v>
      </c>
      <c r="M7" s="45" t="s">
        <v>54</v>
      </c>
      <c r="N7" s="45" t="s">
        <v>55</v>
      </c>
      <c r="O7" s="45" t="s">
        <v>56</v>
      </c>
      <c r="P7" s="45" t="s">
        <v>57</v>
      </c>
      <c r="Q7" s="45" t="s">
        <v>58</v>
      </c>
      <c r="R7" s="28"/>
      <c r="S7" s="30"/>
      <c r="T7" s="28"/>
      <c r="U7" s="28"/>
    </row>
    <row r="8" spans="1:21" s="22" customFormat="1" x14ac:dyDescent="0.25">
      <c r="A8" s="15"/>
      <c r="B8" s="30" t="s">
        <v>22</v>
      </c>
      <c r="C8" s="30" t="s">
        <v>22</v>
      </c>
      <c r="D8" s="30" t="s">
        <v>22</v>
      </c>
      <c r="E8" s="30" t="s">
        <v>22</v>
      </c>
      <c r="F8" s="30" t="s">
        <v>22</v>
      </c>
      <c r="G8" s="30" t="s">
        <v>23</v>
      </c>
      <c r="H8" s="30" t="s">
        <v>22</v>
      </c>
      <c r="I8" s="30" t="s">
        <v>22</v>
      </c>
      <c r="J8" s="30" t="s">
        <v>24</v>
      </c>
      <c r="K8" s="30" t="s">
        <v>25</v>
      </c>
      <c r="L8" s="28" t="s">
        <v>27</v>
      </c>
      <c r="M8" s="30" t="s">
        <v>26</v>
      </c>
      <c r="N8" s="30" t="s">
        <v>28</v>
      </c>
      <c r="O8" s="28" t="s">
        <v>29</v>
      </c>
      <c r="P8" s="30" t="s">
        <v>22</v>
      </c>
      <c r="Q8" s="30" t="s">
        <v>22</v>
      </c>
      <c r="R8" s="28"/>
      <c r="S8" s="30"/>
      <c r="T8" s="28"/>
      <c r="U8" s="28"/>
    </row>
    <row r="9" spans="1:21" s="12" customFormat="1" x14ac:dyDescent="0.25">
      <c r="A9" s="62" t="s">
        <v>446</v>
      </c>
      <c r="B9" s="63">
        <v>23.28</v>
      </c>
      <c r="C9" s="63">
        <v>42.6</v>
      </c>
      <c r="D9" s="63">
        <v>64.489999999999995</v>
      </c>
      <c r="E9" s="63">
        <v>6.56</v>
      </c>
      <c r="F9" s="63">
        <v>1.01</v>
      </c>
      <c r="G9" s="63">
        <v>78.25</v>
      </c>
      <c r="H9" s="63">
        <v>9.83</v>
      </c>
      <c r="I9" s="63">
        <v>0.84</v>
      </c>
      <c r="J9" s="63">
        <v>0.8</v>
      </c>
      <c r="K9" s="63">
        <v>107.25</v>
      </c>
      <c r="L9" s="9" t="s">
        <v>8</v>
      </c>
      <c r="M9" s="9" t="s">
        <v>8</v>
      </c>
      <c r="N9" s="63">
        <v>4.9000000000000004</v>
      </c>
      <c r="O9" s="63">
        <v>0</v>
      </c>
      <c r="P9" s="63">
        <v>1.0900000000000001</v>
      </c>
      <c r="Q9" s="63">
        <v>102.32</v>
      </c>
      <c r="R9" s="44"/>
      <c r="S9" s="44"/>
      <c r="T9" s="44"/>
      <c r="U9" s="44"/>
    </row>
    <row r="10" spans="1:21" s="12" customFormat="1" x14ac:dyDescent="0.25">
      <c r="A10" s="62" t="s">
        <v>447</v>
      </c>
      <c r="B10" s="63">
        <v>21.45</v>
      </c>
      <c r="C10" s="63">
        <v>37.020000000000003</v>
      </c>
      <c r="D10" s="63">
        <v>58.47</v>
      </c>
      <c r="E10" s="63">
        <v>6.39</v>
      </c>
      <c r="F10" s="63">
        <v>0.67</v>
      </c>
      <c r="G10" s="63">
        <v>68.39</v>
      </c>
      <c r="H10" s="63">
        <v>10.7</v>
      </c>
      <c r="I10" s="63">
        <v>0.92</v>
      </c>
      <c r="J10" s="63">
        <v>0.7</v>
      </c>
      <c r="K10" s="63">
        <v>97.08</v>
      </c>
      <c r="L10" s="9" t="s">
        <v>8</v>
      </c>
      <c r="M10" s="9" t="s">
        <v>8</v>
      </c>
      <c r="N10" s="10" t="s">
        <v>15</v>
      </c>
      <c r="O10" s="63">
        <v>0</v>
      </c>
      <c r="P10" s="63">
        <v>0.99</v>
      </c>
      <c r="Q10" s="63">
        <v>89.08</v>
      </c>
      <c r="R10" s="44"/>
      <c r="S10" s="44"/>
      <c r="T10" s="44"/>
      <c r="U10" s="44"/>
    </row>
    <row r="11" spans="1:21" s="12" customFormat="1" x14ac:dyDescent="0.25">
      <c r="A11" s="62" t="s">
        <v>448</v>
      </c>
      <c r="B11" s="63">
        <v>15.81</v>
      </c>
      <c r="C11" s="63">
        <v>32.57</v>
      </c>
      <c r="D11" s="63">
        <v>48.38</v>
      </c>
      <c r="E11" s="63">
        <v>5.72</v>
      </c>
      <c r="F11" s="63">
        <v>1.1499999999999999</v>
      </c>
      <c r="G11" s="63">
        <v>53.89</v>
      </c>
      <c r="H11" s="63">
        <v>8.85</v>
      </c>
      <c r="I11" s="63">
        <v>0.79</v>
      </c>
      <c r="J11" s="63">
        <v>0.68</v>
      </c>
      <c r="K11" s="63">
        <v>93.57</v>
      </c>
      <c r="L11" s="9" t="s">
        <v>8</v>
      </c>
      <c r="M11" s="9" t="s">
        <v>8</v>
      </c>
      <c r="N11" s="10" t="s">
        <v>15</v>
      </c>
      <c r="O11" s="63">
        <v>0</v>
      </c>
      <c r="P11" s="63">
        <v>0.81</v>
      </c>
      <c r="Q11" s="63">
        <v>86.85</v>
      </c>
      <c r="R11" s="44"/>
      <c r="S11" s="44"/>
      <c r="T11" s="44"/>
      <c r="U11" s="44"/>
    </row>
    <row r="12" spans="1:21" s="12" customFormat="1" x14ac:dyDescent="0.25">
      <c r="A12" s="62" t="s">
        <v>449</v>
      </c>
      <c r="B12" s="63">
        <v>14.17</v>
      </c>
      <c r="C12" s="63">
        <v>27.95</v>
      </c>
      <c r="D12" s="63">
        <v>41.01</v>
      </c>
      <c r="E12" s="63">
        <v>5.71</v>
      </c>
      <c r="F12" s="63">
        <v>1.17</v>
      </c>
      <c r="G12" s="63">
        <v>46.93</v>
      </c>
      <c r="H12" s="63">
        <v>6.12</v>
      </c>
      <c r="I12" s="63">
        <v>0.69</v>
      </c>
      <c r="J12" s="63">
        <v>0.23</v>
      </c>
      <c r="K12" s="63">
        <v>253.43</v>
      </c>
      <c r="L12" s="9" t="s">
        <v>8</v>
      </c>
      <c r="M12" s="9" t="s">
        <v>8</v>
      </c>
      <c r="N12" s="10" t="s">
        <v>15</v>
      </c>
      <c r="O12" s="63">
        <v>0</v>
      </c>
      <c r="P12" s="63">
        <v>0.78</v>
      </c>
      <c r="Q12" s="63">
        <v>90.42</v>
      </c>
      <c r="R12" s="44"/>
      <c r="S12" s="44"/>
      <c r="T12" s="44"/>
      <c r="U12" s="44"/>
    </row>
    <row r="13" spans="1:21" s="12" customFormat="1" x14ac:dyDescent="0.25">
      <c r="A13" s="62" t="s">
        <v>450</v>
      </c>
      <c r="B13" s="63">
        <v>14.81</v>
      </c>
      <c r="C13" s="63">
        <v>27.42</v>
      </c>
      <c r="D13" s="63">
        <v>42.24</v>
      </c>
      <c r="E13" s="63">
        <v>7.45</v>
      </c>
      <c r="F13" s="63">
        <v>0.53</v>
      </c>
      <c r="G13" s="63">
        <v>40.85</v>
      </c>
      <c r="H13" s="63">
        <v>6.42</v>
      </c>
      <c r="I13" s="63">
        <v>0.85</v>
      </c>
      <c r="J13" s="63">
        <v>0.17</v>
      </c>
      <c r="K13" s="63">
        <v>251.22</v>
      </c>
      <c r="L13" s="9" t="s">
        <v>8</v>
      </c>
      <c r="M13" s="9" t="s">
        <v>8</v>
      </c>
      <c r="N13" s="63">
        <v>4.9000000000000004</v>
      </c>
      <c r="O13" s="63">
        <v>0</v>
      </c>
      <c r="P13" s="63">
        <v>0.74</v>
      </c>
      <c r="Q13" s="63">
        <v>93.79</v>
      </c>
      <c r="R13" s="44"/>
      <c r="S13" s="44"/>
      <c r="T13" s="44"/>
      <c r="U13" s="44"/>
    </row>
    <row r="14" spans="1:21" s="12" customFormat="1" x14ac:dyDescent="0.25">
      <c r="A14" s="62" t="s">
        <v>451</v>
      </c>
      <c r="B14" s="63">
        <v>24.13</v>
      </c>
      <c r="C14" s="63">
        <v>43.56</v>
      </c>
      <c r="D14" s="63">
        <v>67.69</v>
      </c>
      <c r="E14" s="63">
        <v>7.53</v>
      </c>
      <c r="F14" s="63">
        <v>0.48</v>
      </c>
      <c r="G14" s="63">
        <v>44.58</v>
      </c>
      <c r="H14" s="63">
        <v>3.97</v>
      </c>
      <c r="I14" s="63">
        <v>0.79</v>
      </c>
      <c r="J14" s="63">
        <v>0.17</v>
      </c>
      <c r="K14" s="63">
        <v>357.9</v>
      </c>
      <c r="L14" s="9" t="s">
        <v>8</v>
      </c>
      <c r="M14" s="9" t="s">
        <v>8</v>
      </c>
      <c r="N14" s="63">
        <v>8.1999999999999993</v>
      </c>
      <c r="O14" s="63">
        <v>0</v>
      </c>
      <c r="P14" s="63">
        <v>0.75</v>
      </c>
      <c r="Q14" s="63">
        <v>74.89</v>
      </c>
      <c r="R14" s="44"/>
      <c r="S14" s="44"/>
      <c r="T14" s="44"/>
      <c r="U14" s="44"/>
    </row>
    <row r="15" spans="1:21" s="12" customFormat="1" x14ac:dyDescent="0.25">
      <c r="A15" s="62" t="s">
        <v>452</v>
      </c>
      <c r="B15" s="63">
        <v>28.43</v>
      </c>
      <c r="C15" s="63">
        <v>41.92</v>
      </c>
      <c r="D15" s="63">
        <v>70.349999999999994</v>
      </c>
      <c r="E15" s="63">
        <v>7.36</v>
      </c>
      <c r="F15" s="63">
        <v>0.49</v>
      </c>
      <c r="G15" s="63">
        <v>53.86</v>
      </c>
      <c r="H15" s="63">
        <v>4.76</v>
      </c>
      <c r="I15" s="63">
        <v>0.74</v>
      </c>
      <c r="J15" s="63">
        <v>0.45</v>
      </c>
      <c r="K15" s="63">
        <v>352.16</v>
      </c>
      <c r="L15" s="9" t="s">
        <v>8</v>
      </c>
      <c r="M15" s="9" t="s">
        <v>8</v>
      </c>
      <c r="N15" s="63">
        <v>202.4</v>
      </c>
      <c r="O15" s="63">
        <v>0</v>
      </c>
      <c r="P15" s="63">
        <v>0.8</v>
      </c>
      <c r="Q15" s="63">
        <v>84.73</v>
      </c>
      <c r="R15" s="44"/>
      <c r="S15" s="44"/>
      <c r="T15" s="44"/>
      <c r="U15" s="44"/>
    </row>
    <row r="16" spans="1:21" s="12" customFormat="1" x14ac:dyDescent="0.25">
      <c r="A16" s="62" t="s">
        <v>453</v>
      </c>
      <c r="B16" s="63">
        <v>25.6</v>
      </c>
      <c r="C16" s="63">
        <v>39.950000000000003</v>
      </c>
      <c r="D16" s="63">
        <v>65</v>
      </c>
      <c r="E16" s="63">
        <v>7.65</v>
      </c>
      <c r="F16" s="63">
        <v>1.1599999999999999</v>
      </c>
      <c r="G16" s="63">
        <v>70.56</v>
      </c>
      <c r="H16" s="63">
        <v>6.78</v>
      </c>
      <c r="I16" s="63">
        <v>0.82</v>
      </c>
      <c r="J16" s="63">
        <v>0.78</v>
      </c>
      <c r="K16" s="63">
        <v>352.43</v>
      </c>
      <c r="L16" s="9" t="s">
        <v>8</v>
      </c>
      <c r="M16" s="9" t="s">
        <v>8</v>
      </c>
      <c r="N16" s="63">
        <v>192.9</v>
      </c>
      <c r="O16" s="63">
        <v>0</v>
      </c>
      <c r="P16" s="63">
        <v>0.75</v>
      </c>
      <c r="Q16" s="63">
        <v>102.11</v>
      </c>
      <c r="R16" s="44"/>
      <c r="S16" s="44"/>
      <c r="T16" s="44"/>
      <c r="U16" s="44"/>
    </row>
    <row r="17" spans="1:21" s="12" customFormat="1" x14ac:dyDescent="0.25">
      <c r="A17" s="62" t="s">
        <v>454</v>
      </c>
      <c r="B17" s="63">
        <v>26.5</v>
      </c>
      <c r="C17" s="63">
        <v>40.090000000000003</v>
      </c>
      <c r="D17" s="63">
        <v>64.28</v>
      </c>
      <c r="E17" s="63">
        <v>5.98</v>
      </c>
      <c r="F17" s="63">
        <v>1.02</v>
      </c>
      <c r="G17" s="63">
        <v>80.650000000000006</v>
      </c>
      <c r="H17" s="63">
        <v>7.89</v>
      </c>
      <c r="I17" s="63">
        <v>0.85</v>
      </c>
      <c r="J17" s="63">
        <v>0.67</v>
      </c>
      <c r="K17" s="63">
        <v>98.73</v>
      </c>
      <c r="L17" s="9" t="s">
        <v>8</v>
      </c>
      <c r="M17" s="9" t="s">
        <v>8</v>
      </c>
      <c r="N17" s="63">
        <v>556.1</v>
      </c>
      <c r="O17" s="63">
        <v>0</v>
      </c>
      <c r="P17" s="63">
        <v>0.77</v>
      </c>
      <c r="Q17" s="63">
        <v>97.7</v>
      </c>
      <c r="R17" s="44"/>
      <c r="S17" s="44"/>
      <c r="T17" s="44"/>
      <c r="U17" s="44"/>
    </row>
    <row r="18" spans="1:21" s="12" customFormat="1" x14ac:dyDescent="0.25">
      <c r="A18" s="62" t="s">
        <v>455</v>
      </c>
      <c r="B18" s="63">
        <v>22.42</v>
      </c>
      <c r="C18" s="63">
        <v>41.46</v>
      </c>
      <c r="D18" s="63">
        <v>63.88</v>
      </c>
      <c r="E18" s="63">
        <v>6.06</v>
      </c>
      <c r="F18" s="63">
        <v>2.85</v>
      </c>
      <c r="G18" s="63">
        <v>83.76</v>
      </c>
      <c r="H18" s="63">
        <v>10.1</v>
      </c>
      <c r="I18" s="63">
        <v>0.78</v>
      </c>
      <c r="J18" s="63">
        <v>0.87</v>
      </c>
      <c r="K18" s="63">
        <v>104.52</v>
      </c>
      <c r="L18" s="9" t="s">
        <v>8</v>
      </c>
      <c r="M18" s="9" t="s">
        <v>8</v>
      </c>
      <c r="N18" s="63">
        <v>857.7</v>
      </c>
      <c r="O18" s="63">
        <v>0</v>
      </c>
      <c r="P18" s="63">
        <v>0.76</v>
      </c>
      <c r="Q18" s="63">
        <v>96.02</v>
      </c>
      <c r="R18" s="44"/>
      <c r="S18" s="44"/>
      <c r="T18" s="44"/>
      <c r="U18" s="44"/>
    </row>
    <row r="19" spans="1:21" s="12" customFormat="1" x14ac:dyDescent="0.25">
      <c r="A19" s="62" t="s">
        <v>456</v>
      </c>
      <c r="B19" s="63">
        <v>10.78</v>
      </c>
      <c r="C19" s="63">
        <v>53.81</v>
      </c>
      <c r="D19" s="63">
        <v>64.59</v>
      </c>
      <c r="E19" s="63">
        <v>5.3</v>
      </c>
      <c r="F19" s="63">
        <v>15.04</v>
      </c>
      <c r="G19" s="63">
        <v>81.099999999999994</v>
      </c>
      <c r="H19" s="63">
        <v>7.73</v>
      </c>
      <c r="I19" s="63">
        <v>0.72</v>
      </c>
      <c r="J19" s="63">
        <v>1.1200000000000001</v>
      </c>
      <c r="K19" s="63">
        <v>124.62</v>
      </c>
      <c r="L19" s="9" t="s">
        <v>8</v>
      </c>
      <c r="M19" s="9" t="s">
        <v>8</v>
      </c>
      <c r="N19" s="63">
        <v>842.1</v>
      </c>
      <c r="O19" s="63">
        <v>0</v>
      </c>
      <c r="P19" s="63">
        <v>0.68</v>
      </c>
      <c r="Q19" s="63">
        <v>66.83</v>
      </c>
      <c r="R19" s="44"/>
      <c r="S19" s="44"/>
      <c r="T19" s="44"/>
      <c r="U19" s="44"/>
    </row>
    <row r="20" spans="1:21" s="12" customFormat="1" x14ac:dyDescent="0.25">
      <c r="A20" s="62" t="s">
        <v>457</v>
      </c>
      <c r="B20" s="63">
        <v>1.67</v>
      </c>
      <c r="C20" s="63">
        <v>22.91</v>
      </c>
      <c r="D20" s="63">
        <v>24.58</v>
      </c>
      <c r="E20" s="63">
        <v>5.38</v>
      </c>
      <c r="F20" s="63">
        <v>4.37</v>
      </c>
      <c r="G20" s="19" t="s">
        <v>12</v>
      </c>
      <c r="H20" s="19" t="s">
        <v>12</v>
      </c>
      <c r="I20" s="63">
        <v>0.23</v>
      </c>
      <c r="J20" s="63">
        <v>0.93</v>
      </c>
      <c r="K20" s="63">
        <v>151.72999999999999</v>
      </c>
      <c r="L20" s="9" t="s">
        <v>8</v>
      </c>
      <c r="M20" s="9" t="s">
        <v>8</v>
      </c>
      <c r="N20" s="63">
        <v>950</v>
      </c>
      <c r="O20" s="63">
        <v>0</v>
      </c>
      <c r="P20" s="19" t="s">
        <v>12</v>
      </c>
      <c r="Q20" s="63">
        <v>112.52</v>
      </c>
      <c r="R20" s="44"/>
      <c r="S20" s="44"/>
      <c r="T20" s="44"/>
      <c r="U20" s="44"/>
    </row>
    <row r="21" spans="1:21" s="12" customFormat="1" x14ac:dyDescent="0.25">
      <c r="A21" s="62" t="s">
        <v>458</v>
      </c>
      <c r="B21" s="63">
        <v>2.16</v>
      </c>
      <c r="C21" s="63">
        <v>22.72</v>
      </c>
      <c r="D21" s="63">
        <v>24.88</v>
      </c>
      <c r="E21" s="63">
        <v>5.07</v>
      </c>
      <c r="F21" s="63">
        <v>5.99</v>
      </c>
      <c r="G21" s="63">
        <v>27.56</v>
      </c>
      <c r="H21" s="63">
        <v>8.91</v>
      </c>
      <c r="I21" s="63">
        <v>0.32</v>
      </c>
      <c r="J21" s="63">
        <v>1.2</v>
      </c>
      <c r="K21" s="63">
        <v>173.95</v>
      </c>
      <c r="L21" s="9" t="s">
        <v>8</v>
      </c>
      <c r="M21" s="9" t="s">
        <v>8</v>
      </c>
      <c r="N21" s="63">
        <v>937.1</v>
      </c>
      <c r="O21" s="63">
        <v>0</v>
      </c>
      <c r="P21" s="63">
        <v>0.32</v>
      </c>
      <c r="Q21" s="63">
        <v>110.04</v>
      </c>
      <c r="R21" s="44"/>
      <c r="S21" s="44"/>
      <c r="T21" s="44"/>
      <c r="U21" s="44"/>
    </row>
    <row r="22" spans="1:21" s="12" customFormat="1" x14ac:dyDescent="0.25">
      <c r="A22" s="62" t="s">
        <v>459</v>
      </c>
      <c r="B22" s="63">
        <v>1.1000000000000001</v>
      </c>
      <c r="C22" s="63">
        <v>16.38</v>
      </c>
      <c r="D22" s="63">
        <v>17.11</v>
      </c>
      <c r="E22" s="63">
        <v>5.61</v>
      </c>
      <c r="F22" s="63">
        <v>7.03</v>
      </c>
      <c r="G22" s="63">
        <v>28.1</v>
      </c>
      <c r="H22" s="63">
        <v>8.91</v>
      </c>
      <c r="I22" s="63">
        <v>0.42</v>
      </c>
      <c r="J22" s="63">
        <v>0.79</v>
      </c>
      <c r="K22" s="63">
        <v>144.02000000000001</v>
      </c>
      <c r="L22" s="9" t="s">
        <v>8</v>
      </c>
      <c r="M22" s="9" t="s">
        <v>8</v>
      </c>
      <c r="N22" s="63">
        <v>850.7</v>
      </c>
      <c r="O22" s="63">
        <v>0</v>
      </c>
      <c r="P22" s="63">
        <v>0.28999999999999998</v>
      </c>
      <c r="Q22" s="63">
        <v>122.84</v>
      </c>
      <c r="R22" s="44"/>
      <c r="S22" s="44"/>
      <c r="T22" s="44"/>
      <c r="U22" s="44"/>
    </row>
    <row r="23" spans="1:21" s="12" customFormat="1" x14ac:dyDescent="0.25">
      <c r="A23" s="62" t="s">
        <v>460</v>
      </c>
      <c r="B23" s="63">
        <v>5.7</v>
      </c>
      <c r="C23" s="63">
        <v>30.64</v>
      </c>
      <c r="D23" s="63">
        <v>36.340000000000003</v>
      </c>
      <c r="E23" s="63">
        <v>5.38</v>
      </c>
      <c r="F23" s="63">
        <v>11.12</v>
      </c>
      <c r="G23" s="63">
        <v>31.2</v>
      </c>
      <c r="H23" s="63">
        <v>4.2300000000000004</v>
      </c>
      <c r="I23" s="63">
        <v>0.39</v>
      </c>
      <c r="J23" s="63">
        <v>0.88</v>
      </c>
      <c r="K23" s="63">
        <v>351.62</v>
      </c>
      <c r="L23" s="9" t="s">
        <v>8</v>
      </c>
      <c r="M23" s="9" t="s">
        <v>8</v>
      </c>
      <c r="N23" s="63">
        <v>703.4</v>
      </c>
      <c r="O23" s="63">
        <v>0</v>
      </c>
      <c r="P23" s="63">
        <v>0.43</v>
      </c>
      <c r="Q23" s="63">
        <v>131.72999999999999</v>
      </c>
      <c r="R23" s="44"/>
      <c r="S23" s="44"/>
      <c r="T23" s="44"/>
      <c r="U23" s="44"/>
    </row>
    <row r="24" spans="1:21" s="12" customFormat="1" x14ac:dyDescent="0.25">
      <c r="A24" s="62" t="s">
        <v>461</v>
      </c>
      <c r="B24" s="63">
        <v>8.44</v>
      </c>
      <c r="C24" s="63">
        <v>39.130000000000003</v>
      </c>
      <c r="D24" s="63">
        <v>47.56</v>
      </c>
      <c r="E24" s="63">
        <v>6.11</v>
      </c>
      <c r="F24" s="63">
        <v>7.06</v>
      </c>
      <c r="G24" s="63">
        <v>31.2</v>
      </c>
      <c r="H24" s="63">
        <v>3.78</v>
      </c>
      <c r="I24" s="63">
        <v>0.5</v>
      </c>
      <c r="J24" s="63">
        <v>3.05</v>
      </c>
      <c r="K24" s="63">
        <v>21.76</v>
      </c>
      <c r="L24" s="9" t="s">
        <v>8</v>
      </c>
      <c r="M24" s="9" t="s">
        <v>8</v>
      </c>
      <c r="N24" s="63">
        <v>90.7</v>
      </c>
      <c r="O24" s="63">
        <v>9.1999999999999993</v>
      </c>
      <c r="P24" s="63">
        <v>0.57999999999999996</v>
      </c>
      <c r="Q24" s="63">
        <v>120.53</v>
      </c>
      <c r="R24" s="44"/>
      <c r="S24" s="44"/>
      <c r="T24" s="44"/>
      <c r="U24" s="44"/>
    </row>
    <row r="25" spans="1:21" s="12" customFormat="1" x14ac:dyDescent="0.25">
      <c r="A25" s="62" t="s">
        <v>462</v>
      </c>
      <c r="B25" s="63">
        <v>3.67</v>
      </c>
      <c r="C25" s="63">
        <v>42.58</v>
      </c>
      <c r="D25" s="63">
        <v>44.95</v>
      </c>
      <c r="E25" s="63">
        <v>5.57</v>
      </c>
      <c r="F25" s="63">
        <v>14.61</v>
      </c>
      <c r="G25" s="63">
        <v>20.71</v>
      </c>
      <c r="H25" s="63">
        <v>4.7699999999999996</v>
      </c>
      <c r="I25" s="63">
        <v>0.5</v>
      </c>
      <c r="J25" s="63">
        <v>3.59</v>
      </c>
      <c r="K25" s="63">
        <v>339.14</v>
      </c>
      <c r="L25" s="9" t="s">
        <v>8</v>
      </c>
      <c r="M25" s="9" t="s">
        <v>8</v>
      </c>
      <c r="N25" s="63">
        <v>17.8</v>
      </c>
      <c r="O25" s="63">
        <v>18.8</v>
      </c>
      <c r="P25" s="63">
        <v>0.52</v>
      </c>
      <c r="Q25" s="63">
        <v>76.83</v>
      </c>
      <c r="R25" s="44"/>
      <c r="S25" s="44"/>
      <c r="T25" s="44"/>
      <c r="U25" s="44"/>
    </row>
    <row r="26" spans="1:21" s="12" customFormat="1" x14ac:dyDescent="0.25">
      <c r="A26" s="62" t="s">
        <v>463</v>
      </c>
      <c r="B26" s="63">
        <v>12.99</v>
      </c>
      <c r="C26" s="63">
        <v>58.1</v>
      </c>
      <c r="D26" s="63">
        <v>71.09</v>
      </c>
      <c r="E26" s="63">
        <v>6.49</v>
      </c>
      <c r="F26" s="63">
        <v>3.3</v>
      </c>
      <c r="G26" s="63">
        <v>13.37</v>
      </c>
      <c r="H26" s="63">
        <v>4.7699999999999996</v>
      </c>
      <c r="I26" s="10" t="s">
        <v>15</v>
      </c>
      <c r="J26" s="63">
        <v>1.78</v>
      </c>
      <c r="K26" s="63">
        <v>358.88</v>
      </c>
      <c r="L26" s="9" t="s">
        <v>8</v>
      </c>
      <c r="M26" s="9" t="s">
        <v>8</v>
      </c>
      <c r="N26" s="63">
        <v>7.3</v>
      </c>
      <c r="O26" s="63">
        <v>1.6</v>
      </c>
      <c r="P26" s="63">
        <v>0.86</v>
      </c>
      <c r="Q26" s="63">
        <v>63.76</v>
      </c>
      <c r="R26" s="44"/>
      <c r="S26" s="44"/>
      <c r="T26" s="44"/>
      <c r="U26" s="44"/>
    </row>
    <row r="27" spans="1:21" s="12" customFormat="1" x14ac:dyDescent="0.25">
      <c r="A27" s="62" t="s">
        <v>464</v>
      </c>
      <c r="B27" s="63">
        <v>28.35</v>
      </c>
      <c r="C27" s="63">
        <v>70.260000000000005</v>
      </c>
      <c r="D27" s="63">
        <v>96.59</v>
      </c>
      <c r="E27" s="63">
        <v>5.78</v>
      </c>
      <c r="F27" s="63">
        <v>0.41</v>
      </c>
      <c r="G27" s="10" t="s">
        <v>15</v>
      </c>
      <c r="H27" s="63">
        <v>9.56</v>
      </c>
      <c r="I27" s="63">
        <v>0.49</v>
      </c>
      <c r="J27" s="63">
        <v>1.38</v>
      </c>
      <c r="K27" s="63">
        <v>114.89</v>
      </c>
      <c r="L27" s="9" t="s">
        <v>8</v>
      </c>
      <c r="M27" s="9" t="s">
        <v>8</v>
      </c>
      <c r="N27" s="63">
        <v>5.8</v>
      </c>
      <c r="O27" s="63">
        <v>0</v>
      </c>
      <c r="P27" s="63">
        <v>1.29</v>
      </c>
      <c r="Q27" s="63">
        <v>107.82</v>
      </c>
      <c r="R27" s="44"/>
      <c r="S27" s="44"/>
      <c r="T27" s="44"/>
      <c r="U27" s="44"/>
    </row>
    <row r="28" spans="1:21" s="12" customFormat="1" x14ac:dyDescent="0.25">
      <c r="A28" s="62" t="s">
        <v>465</v>
      </c>
      <c r="B28" s="63">
        <v>28.73</v>
      </c>
      <c r="C28" s="63">
        <v>58.3</v>
      </c>
      <c r="D28" s="63">
        <v>85.9</v>
      </c>
      <c r="E28" s="63">
        <v>6.01</v>
      </c>
      <c r="F28" s="63">
        <v>0.39</v>
      </c>
      <c r="G28" s="10" t="s">
        <v>15</v>
      </c>
      <c r="H28" s="63">
        <v>14.83</v>
      </c>
      <c r="I28" s="63">
        <v>0.62</v>
      </c>
      <c r="J28" s="63">
        <v>0.54</v>
      </c>
      <c r="K28" s="63">
        <v>192.21</v>
      </c>
      <c r="L28" s="9" t="s">
        <v>8</v>
      </c>
      <c r="M28" s="9" t="s">
        <v>8</v>
      </c>
      <c r="N28" s="63">
        <v>5.7</v>
      </c>
      <c r="O28" s="63">
        <v>0</v>
      </c>
      <c r="P28" s="63">
        <v>1.29</v>
      </c>
      <c r="Q28" s="63">
        <v>116.91</v>
      </c>
      <c r="R28" s="44"/>
      <c r="S28" s="44"/>
      <c r="T28" s="44"/>
      <c r="U28" s="44"/>
    </row>
    <row r="29" spans="1:21" s="12" customFormat="1" x14ac:dyDescent="0.25">
      <c r="A29" s="62" t="s">
        <v>466</v>
      </c>
      <c r="B29" s="63">
        <v>32.1</v>
      </c>
      <c r="C29" s="63">
        <v>54.8</v>
      </c>
      <c r="D29" s="63">
        <v>86.9</v>
      </c>
      <c r="E29" s="63">
        <v>6.29</v>
      </c>
      <c r="F29" s="63">
        <v>0.56000000000000005</v>
      </c>
      <c r="G29" s="10" t="s">
        <v>15</v>
      </c>
      <c r="H29" s="63">
        <v>15.88</v>
      </c>
      <c r="I29" s="63">
        <v>0.69</v>
      </c>
      <c r="J29" s="63">
        <v>0.47</v>
      </c>
      <c r="K29" s="63">
        <v>359.39</v>
      </c>
      <c r="L29" s="9" t="s">
        <v>8</v>
      </c>
      <c r="M29" s="9" t="s">
        <v>8</v>
      </c>
      <c r="N29" s="63">
        <v>5.6</v>
      </c>
      <c r="O29" s="63">
        <v>0</v>
      </c>
      <c r="P29" s="63">
        <v>1.36</v>
      </c>
      <c r="Q29" s="63">
        <v>103.57</v>
      </c>
      <c r="R29" s="44"/>
      <c r="S29" s="44"/>
      <c r="T29" s="44"/>
      <c r="U29" s="44"/>
    </row>
    <row r="30" spans="1:21" s="12" customFormat="1" x14ac:dyDescent="0.25">
      <c r="A30" s="62" t="s">
        <v>467</v>
      </c>
      <c r="B30" s="63">
        <v>33.29</v>
      </c>
      <c r="C30" s="63">
        <v>50.65</v>
      </c>
      <c r="D30" s="63">
        <v>83.94</v>
      </c>
      <c r="E30" s="63">
        <v>6.86</v>
      </c>
      <c r="F30" s="63">
        <v>0.53</v>
      </c>
      <c r="G30" s="63">
        <v>56.6</v>
      </c>
      <c r="H30" s="63">
        <v>15.88</v>
      </c>
      <c r="I30" s="63">
        <v>0.76</v>
      </c>
      <c r="J30" s="63">
        <v>0.56999999999999995</v>
      </c>
      <c r="K30" s="63">
        <v>353.7</v>
      </c>
      <c r="L30" s="9" t="s">
        <v>8</v>
      </c>
      <c r="M30" s="9" t="s">
        <v>8</v>
      </c>
      <c r="N30" s="63">
        <v>5</v>
      </c>
      <c r="O30" s="63">
        <v>0</v>
      </c>
      <c r="P30" s="63">
        <v>1.43</v>
      </c>
      <c r="Q30" s="63">
        <v>119.7</v>
      </c>
      <c r="R30" s="44"/>
      <c r="S30" s="44"/>
      <c r="T30" s="44"/>
      <c r="U30" s="44"/>
    </row>
    <row r="31" spans="1:21" s="12" customFormat="1" x14ac:dyDescent="0.25">
      <c r="A31" s="62" t="s">
        <v>468</v>
      </c>
      <c r="B31" s="63">
        <v>34.89</v>
      </c>
      <c r="C31" s="63">
        <v>50.19</v>
      </c>
      <c r="D31" s="63">
        <v>85.08</v>
      </c>
      <c r="E31" s="63">
        <v>7.19</v>
      </c>
      <c r="F31" s="63">
        <v>0.46</v>
      </c>
      <c r="G31" s="63">
        <v>56.6</v>
      </c>
      <c r="H31" s="63">
        <v>19.21</v>
      </c>
      <c r="I31" s="63">
        <v>0.81</v>
      </c>
      <c r="J31" s="63">
        <v>0.1</v>
      </c>
      <c r="K31" s="63">
        <v>292.22000000000003</v>
      </c>
      <c r="L31" s="9" t="s">
        <v>8</v>
      </c>
      <c r="M31" s="9" t="s">
        <v>8</v>
      </c>
      <c r="N31" s="63">
        <v>5</v>
      </c>
      <c r="O31" s="63">
        <v>0</v>
      </c>
      <c r="P31" s="63">
        <v>1.44</v>
      </c>
      <c r="Q31" s="63">
        <v>124.57</v>
      </c>
      <c r="R31" s="44"/>
      <c r="S31" s="44"/>
      <c r="T31" s="44"/>
      <c r="U31" s="44"/>
    </row>
    <row r="32" spans="1:21" s="12" customFormat="1" x14ac:dyDescent="0.25">
      <c r="A32" s="62" t="s">
        <v>469</v>
      </c>
      <c r="B32" s="63">
        <v>34.380000000000003</v>
      </c>
      <c r="C32" s="63">
        <v>49.41</v>
      </c>
      <c r="D32" s="63">
        <v>83.79</v>
      </c>
      <c r="E32" s="63">
        <v>6.68</v>
      </c>
      <c r="F32" s="63">
        <v>0.62</v>
      </c>
      <c r="G32" s="10" t="s">
        <v>15</v>
      </c>
      <c r="H32" s="63">
        <v>24.63</v>
      </c>
      <c r="I32" s="63">
        <v>0.84</v>
      </c>
      <c r="J32" s="63">
        <v>0.59</v>
      </c>
      <c r="K32" s="63">
        <v>356.87</v>
      </c>
      <c r="L32" s="9" t="s">
        <v>8</v>
      </c>
      <c r="M32" s="9" t="s">
        <v>8</v>
      </c>
      <c r="N32" s="63">
        <v>4.9000000000000004</v>
      </c>
      <c r="O32" s="63">
        <v>0</v>
      </c>
      <c r="P32" s="63">
        <v>1.39</v>
      </c>
      <c r="Q32" s="63">
        <v>121.33</v>
      </c>
      <c r="R32" s="44"/>
      <c r="S32" s="44"/>
      <c r="T32" s="44"/>
      <c r="U32" s="44"/>
    </row>
    <row r="33" spans="1:21" s="22" customFormat="1" x14ac:dyDescent="0.25">
      <c r="A33" s="27"/>
      <c r="B33" s="21"/>
      <c r="C33" s="21"/>
      <c r="D33" s="21"/>
      <c r="E33" s="21"/>
      <c r="F33" s="21"/>
      <c r="G33" s="27"/>
      <c r="H33" s="27"/>
      <c r="I33" s="27"/>
      <c r="J33" s="21"/>
      <c r="K33" s="21"/>
      <c r="L33" s="27"/>
      <c r="M33" s="27"/>
      <c r="N33" s="27"/>
      <c r="O33" s="27"/>
      <c r="P33" s="27"/>
      <c r="Q33" s="21"/>
      <c r="R33" s="21"/>
      <c r="S33" s="21"/>
      <c r="T33" s="21"/>
      <c r="U33" s="21"/>
    </row>
    <row r="34" spans="1:21" s="22" customFormat="1" x14ac:dyDescent="0.25">
      <c r="A34" s="28" t="s">
        <v>30</v>
      </c>
      <c r="B34" s="29">
        <f t="shared" ref="B34:Q34" si="0">MIN(B9:B32)</f>
        <v>1.1000000000000001</v>
      </c>
      <c r="C34" s="29">
        <f t="shared" si="0"/>
        <v>16.38</v>
      </c>
      <c r="D34" s="29">
        <f t="shared" si="0"/>
        <v>17.11</v>
      </c>
      <c r="E34" s="29">
        <f t="shared" si="0"/>
        <v>5.07</v>
      </c>
      <c r="F34" s="29">
        <f t="shared" si="0"/>
        <v>0.39</v>
      </c>
      <c r="G34" s="29">
        <f t="shared" si="0"/>
        <v>13.37</v>
      </c>
      <c r="H34" s="29">
        <f t="shared" si="0"/>
        <v>3.78</v>
      </c>
      <c r="I34" s="29">
        <f t="shared" si="0"/>
        <v>0.23</v>
      </c>
      <c r="J34" s="29">
        <f t="shared" si="0"/>
        <v>0.1</v>
      </c>
      <c r="K34" s="29">
        <f t="shared" si="0"/>
        <v>21.76</v>
      </c>
      <c r="L34" s="29">
        <f t="shared" si="0"/>
        <v>0</v>
      </c>
      <c r="M34" s="29">
        <f t="shared" si="0"/>
        <v>0</v>
      </c>
      <c r="N34" s="29">
        <f t="shared" si="0"/>
        <v>4.9000000000000004</v>
      </c>
      <c r="O34" s="29">
        <f t="shared" si="0"/>
        <v>0</v>
      </c>
      <c r="P34" s="29">
        <f t="shared" si="0"/>
        <v>0.28999999999999998</v>
      </c>
      <c r="Q34" s="29">
        <f t="shared" si="0"/>
        <v>63.76</v>
      </c>
      <c r="R34" s="29"/>
      <c r="S34" s="29"/>
      <c r="T34" s="29"/>
      <c r="U34" s="29"/>
    </row>
    <row r="35" spans="1:21" s="22" customFormat="1" x14ac:dyDescent="0.25">
      <c r="A35" s="28" t="s">
        <v>31</v>
      </c>
      <c r="B35" s="30">
        <f t="shared" ref="B35:Q35" si="1">MAX(B9:B32)</f>
        <v>34.89</v>
      </c>
      <c r="C35" s="30">
        <f t="shared" si="1"/>
        <v>70.260000000000005</v>
      </c>
      <c r="D35" s="30">
        <f t="shared" si="1"/>
        <v>96.59</v>
      </c>
      <c r="E35" s="30">
        <f t="shared" si="1"/>
        <v>7.65</v>
      </c>
      <c r="F35" s="30">
        <f t="shared" si="1"/>
        <v>15.04</v>
      </c>
      <c r="G35" s="30">
        <f t="shared" si="1"/>
        <v>83.76</v>
      </c>
      <c r="H35" s="30">
        <f t="shared" si="1"/>
        <v>24.63</v>
      </c>
      <c r="I35" s="30">
        <f t="shared" si="1"/>
        <v>0.92</v>
      </c>
      <c r="J35" s="30">
        <f t="shared" si="1"/>
        <v>3.59</v>
      </c>
      <c r="K35" s="30">
        <f t="shared" si="1"/>
        <v>359.39</v>
      </c>
      <c r="L35" s="30">
        <f t="shared" si="1"/>
        <v>0</v>
      </c>
      <c r="M35" s="30">
        <f t="shared" si="1"/>
        <v>0</v>
      </c>
      <c r="N35" s="30">
        <f t="shared" si="1"/>
        <v>950</v>
      </c>
      <c r="O35" s="30">
        <f t="shared" si="1"/>
        <v>18.8</v>
      </c>
      <c r="P35" s="30">
        <f t="shared" si="1"/>
        <v>1.44</v>
      </c>
      <c r="Q35" s="30">
        <f t="shared" si="1"/>
        <v>131.72999999999999</v>
      </c>
      <c r="R35" s="30"/>
      <c r="S35" s="30"/>
      <c r="T35" s="30"/>
      <c r="U35" s="30"/>
    </row>
    <row r="36" spans="1:21" s="22" customFormat="1" x14ac:dyDescent="0.25">
      <c r="A36" s="28" t="s">
        <v>32</v>
      </c>
      <c r="B36" s="29">
        <f t="shared" ref="B36:Q36" si="2">AVERAGE(B9:B32)</f>
        <v>18.952083333333334</v>
      </c>
      <c r="C36" s="29">
        <f t="shared" si="2"/>
        <v>41.434166666666663</v>
      </c>
      <c r="D36" s="29">
        <f t="shared" si="2"/>
        <v>59.962083333333347</v>
      </c>
      <c r="E36" s="29">
        <f t="shared" si="2"/>
        <v>6.2554166666666662</v>
      </c>
      <c r="F36" s="29">
        <f t="shared" si="2"/>
        <v>3.4175</v>
      </c>
      <c r="G36" s="29">
        <f t="shared" si="2"/>
        <v>50.95578947368422</v>
      </c>
      <c r="H36" s="29">
        <f t="shared" si="2"/>
        <v>9.5004347826086946</v>
      </c>
      <c r="I36" s="29">
        <f t="shared" si="2"/>
        <v>0.66782608695652179</v>
      </c>
      <c r="J36" s="29">
        <f t="shared" si="2"/>
        <v>0.93791666666666662</v>
      </c>
      <c r="K36" s="29">
        <f t="shared" si="2"/>
        <v>225.13708333333332</v>
      </c>
      <c r="L36" s="29" t="e">
        <f t="shared" si="2"/>
        <v>#DIV/0!</v>
      </c>
      <c r="M36" s="29" t="e">
        <f t="shared" si="2"/>
        <v>#DIV/0!</v>
      </c>
      <c r="N36" s="29">
        <f t="shared" si="2"/>
        <v>298.00952380952378</v>
      </c>
      <c r="O36" s="29">
        <f t="shared" si="2"/>
        <v>1.2333333333333334</v>
      </c>
      <c r="P36" s="29">
        <f t="shared" si="2"/>
        <v>0.87478260869565205</v>
      </c>
      <c r="Q36" s="29">
        <f t="shared" si="2"/>
        <v>100.70375</v>
      </c>
      <c r="R36" s="29"/>
      <c r="S36" s="29"/>
      <c r="T36" s="29"/>
      <c r="U36" s="29"/>
    </row>
    <row r="37" spans="1:21" s="22" customFormat="1" x14ac:dyDescent="0.25">
      <c r="A37" s="28" t="s">
        <v>38</v>
      </c>
      <c r="B37" s="29">
        <f>STDEV(B9:B32)</f>
        <v>11.190925275172413</v>
      </c>
      <c r="C37" s="29">
        <f t="shared" ref="C37:Q37" si="3">STDEV(C9:C32)</f>
        <v>12.989572043915015</v>
      </c>
      <c r="D37" s="29">
        <f t="shared" si="3"/>
        <v>21.841477291008065</v>
      </c>
      <c r="E37" s="29">
        <f t="shared" si="3"/>
        <v>0.76742357878511713</v>
      </c>
      <c r="F37" s="29">
        <f t="shared" si="3"/>
        <v>4.4967004811740914</v>
      </c>
      <c r="G37" s="29">
        <f t="shared" si="3"/>
        <v>22.006768230551607</v>
      </c>
      <c r="H37" s="29">
        <f t="shared" si="3"/>
        <v>5.3443670245671431</v>
      </c>
      <c r="I37" s="29">
        <f t="shared" si="3"/>
        <v>0.19470155534092129</v>
      </c>
      <c r="J37" s="29">
        <f t="shared" si="3"/>
        <v>0.83468285654761898</v>
      </c>
      <c r="K37" s="29">
        <f t="shared" si="3"/>
        <v>116.49951664311622</v>
      </c>
      <c r="L37" s="29" t="e">
        <f t="shared" si="3"/>
        <v>#DIV/0!</v>
      </c>
      <c r="M37" s="29" t="e">
        <f t="shared" si="3"/>
        <v>#DIV/0!</v>
      </c>
      <c r="N37" s="29">
        <f t="shared" si="3"/>
        <v>385.69442037027437</v>
      </c>
      <c r="O37" s="29">
        <f t="shared" si="3"/>
        <v>4.1917793945714301</v>
      </c>
      <c r="P37" s="29">
        <f t="shared" si="3"/>
        <v>0.35186347514105526</v>
      </c>
      <c r="Q37" s="29">
        <f t="shared" si="3"/>
        <v>18.961963027277225</v>
      </c>
      <c r="R37" s="29"/>
      <c r="S37" s="29"/>
      <c r="T37" s="29"/>
      <c r="U37" s="29"/>
    </row>
    <row r="38" spans="1:21" s="22" customFormat="1" x14ac:dyDescent="0.25">
      <c r="A38" s="32" t="s">
        <v>33</v>
      </c>
      <c r="B38" s="33">
        <f t="shared" ref="B38:Q38" si="4">COUNT(B9:B32)</f>
        <v>24</v>
      </c>
      <c r="C38" s="33">
        <f t="shared" si="4"/>
        <v>24</v>
      </c>
      <c r="D38" s="33">
        <f t="shared" si="4"/>
        <v>24</v>
      </c>
      <c r="E38" s="33">
        <f t="shared" si="4"/>
        <v>24</v>
      </c>
      <c r="F38" s="33">
        <f t="shared" si="4"/>
        <v>24</v>
      </c>
      <c r="G38" s="33">
        <f>COUNT(G9:G32)+1</f>
        <v>20</v>
      </c>
      <c r="H38" s="33">
        <f>COUNT(H9:H32)+1</f>
        <v>24</v>
      </c>
      <c r="I38" s="33">
        <f t="shared" si="4"/>
        <v>23</v>
      </c>
      <c r="J38" s="33">
        <f t="shared" si="4"/>
        <v>24</v>
      </c>
      <c r="K38" s="33">
        <f t="shared" si="4"/>
        <v>24</v>
      </c>
      <c r="L38" s="33">
        <f>COUNT(L9:L32)+24</f>
        <v>24</v>
      </c>
      <c r="M38" s="33">
        <f>COUNT(M9:M32)+24</f>
        <v>24</v>
      </c>
      <c r="N38" s="33">
        <f t="shared" si="4"/>
        <v>21</v>
      </c>
      <c r="O38" s="33">
        <f t="shared" si="4"/>
        <v>24</v>
      </c>
      <c r="P38" s="33">
        <f>COUNT(P9:P32)+1</f>
        <v>24</v>
      </c>
      <c r="Q38" s="33">
        <f t="shared" si="4"/>
        <v>24</v>
      </c>
      <c r="R38" s="33"/>
      <c r="S38" s="33"/>
      <c r="T38" s="33"/>
      <c r="U38" s="33"/>
    </row>
    <row r="39" spans="1:21" s="22" customFormat="1" x14ac:dyDescent="0.25">
      <c r="A39" s="28" t="s">
        <v>34</v>
      </c>
      <c r="B39" s="30" t="str">
        <f>IF(B38&gt;=22,"&gt;90%",IF(B38&lt;=22,"&lt;90%"))</f>
        <v>&gt;90%</v>
      </c>
      <c r="C39" s="30" t="str">
        <f t="shared" ref="C39:P39" si="5">IF(C38&gt;=22,"&gt;90%",IF(C38&lt;=22,"&lt;90%"))</f>
        <v>&gt;90%</v>
      </c>
      <c r="D39" s="30" t="str">
        <f t="shared" si="5"/>
        <v>&gt;90%</v>
      </c>
      <c r="E39" s="30" t="str">
        <f t="shared" si="5"/>
        <v>&gt;90%</v>
      </c>
      <c r="F39" s="30" t="str">
        <f t="shared" si="5"/>
        <v>&gt;90%</v>
      </c>
      <c r="G39" s="30" t="str">
        <f t="shared" si="5"/>
        <v>&lt;90%</v>
      </c>
      <c r="H39" s="30" t="str">
        <f t="shared" si="5"/>
        <v>&gt;90%</v>
      </c>
      <c r="I39" s="30" t="str">
        <f t="shared" si="5"/>
        <v>&gt;90%</v>
      </c>
      <c r="J39" s="30" t="str">
        <f t="shared" si="5"/>
        <v>&gt;90%</v>
      </c>
      <c r="K39" s="30" t="str">
        <f t="shared" si="5"/>
        <v>&gt;90%</v>
      </c>
      <c r="L39" s="30" t="str">
        <f t="shared" si="5"/>
        <v>&gt;90%</v>
      </c>
      <c r="M39" s="30" t="str">
        <f t="shared" si="5"/>
        <v>&gt;90%</v>
      </c>
      <c r="N39" s="30" t="str">
        <f t="shared" si="5"/>
        <v>&lt;90%</v>
      </c>
      <c r="O39" s="30" t="str">
        <f t="shared" si="5"/>
        <v>&gt;90%</v>
      </c>
      <c r="P39" s="30" t="str">
        <f t="shared" si="5"/>
        <v>&gt;90%</v>
      </c>
      <c r="Q39" s="30" t="str">
        <f>IF(Q38&gt;=22,"&gt;90%",IF(Q38&lt;=22,"&lt;90%"))</f>
        <v>&gt;90%</v>
      </c>
      <c r="R39" s="30"/>
      <c r="S39" s="30"/>
      <c r="T39" s="30"/>
      <c r="U39" s="30"/>
    </row>
    <row r="40" spans="1:21" s="22" customFormat="1" x14ac:dyDescent="0.25">
      <c r="A40" s="28" t="s">
        <v>1</v>
      </c>
      <c r="B40" s="30" t="str">
        <f>IF(B38&gt;=22,"OK",IF(B38&lt;=22,"LESS"))</f>
        <v>OK</v>
      </c>
      <c r="C40" s="30" t="str">
        <f t="shared" ref="C40:Q40" si="6">IF(C38&gt;=22,"OK",IF(C38&lt;=22,"LESS"))</f>
        <v>OK</v>
      </c>
      <c r="D40" s="30" t="str">
        <f t="shared" si="6"/>
        <v>OK</v>
      </c>
      <c r="E40" s="30" t="str">
        <f t="shared" si="6"/>
        <v>OK</v>
      </c>
      <c r="F40" s="30" t="str">
        <f t="shared" si="6"/>
        <v>OK</v>
      </c>
      <c r="G40" s="30" t="str">
        <f t="shared" si="6"/>
        <v>LESS</v>
      </c>
      <c r="H40" s="30" t="str">
        <f t="shared" si="6"/>
        <v>OK</v>
      </c>
      <c r="I40" s="30" t="str">
        <f t="shared" si="6"/>
        <v>OK</v>
      </c>
      <c r="J40" s="30" t="str">
        <f t="shared" si="6"/>
        <v>OK</v>
      </c>
      <c r="K40" s="30" t="str">
        <f t="shared" si="6"/>
        <v>OK</v>
      </c>
      <c r="L40" s="30" t="str">
        <f t="shared" si="6"/>
        <v>OK</v>
      </c>
      <c r="M40" s="30" t="str">
        <f t="shared" si="6"/>
        <v>OK</v>
      </c>
      <c r="N40" s="30" t="str">
        <f t="shared" si="6"/>
        <v>LESS</v>
      </c>
      <c r="O40" s="30" t="str">
        <f t="shared" si="6"/>
        <v>OK</v>
      </c>
      <c r="P40" s="30" t="str">
        <f t="shared" si="6"/>
        <v>OK</v>
      </c>
      <c r="Q40" s="30" t="str">
        <f t="shared" si="6"/>
        <v>OK</v>
      </c>
      <c r="R40" s="30"/>
      <c r="S40" s="30"/>
      <c r="T40" s="30"/>
      <c r="U40" s="30"/>
    </row>
    <row r="41" spans="1:21" s="22" customFormat="1" x14ac:dyDescent="0.25">
      <c r="A41" s="14"/>
      <c r="L41" s="14"/>
      <c r="N41" s="17"/>
      <c r="O41" s="17"/>
      <c r="P41" s="17"/>
      <c r="Q41" s="17"/>
      <c r="R41" s="17"/>
      <c r="S41" s="17"/>
      <c r="T41" s="17"/>
      <c r="U41" s="17"/>
    </row>
    <row r="42" spans="1:21" s="22" customFormat="1" x14ac:dyDescent="0.25">
      <c r="A42" s="14"/>
    </row>
    <row r="43" spans="1:21" s="22" customFormat="1" x14ac:dyDescent="0.25">
      <c r="A43" s="15" t="s">
        <v>35</v>
      </c>
      <c r="B43" s="41" t="s">
        <v>61</v>
      </c>
      <c r="C43" s="43"/>
    </row>
    <row r="44" spans="1:21" s="22" customFormat="1" x14ac:dyDescent="0.25">
      <c r="A44" s="14"/>
      <c r="D44" s="2"/>
      <c r="E44" s="2"/>
      <c r="F44" s="2"/>
      <c r="G44" s="2"/>
      <c r="H44" s="2"/>
      <c r="I44" s="2"/>
    </row>
    <row r="45" spans="1:21" s="22" customFormat="1" ht="15.75" x14ac:dyDescent="0.25">
      <c r="A45" s="18" t="s">
        <v>36</v>
      </c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</row>
    <row r="46" spans="1:21" s="22" customFormat="1" x14ac:dyDescent="0.25"/>
    <row r="47" spans="1:21" s="22" customFormat="1" x14ac:dyDescent="0.25"/>
    <row r="48" spans="1:21" s="22" customFormat="1" x14ac:dyDescent="0.25"/>
    <row r="49" s="22" customFormat="1" x14ac:dyDescent="0.25"/>
    <row r="50" s="22" customFormat="1" x14ac:dyDescent="0.25"/>
    <row r="51" s="22" customFormat="1" x14ac:dyDescent="0.25"/>
    <row r="52" s="22" customFormat="1" x14ac:dyDescent="0.25"/>
    <row r="53" s="22" customFormat="1" x14ac:dyDescent="0.25"/>
    <row r="54" s="22" customFormat="1" x14ac:dyDescent="0.25"/>
    <row r="55" s="22" customFormat="1" x14ac:dyDescent="0.25"/>
    <row r="56" s="22" customFormat="1" x14ac:dyDescent="0.25"/>
    <row r="57" s="22" customFormat="1" x14ac:dyDescent="0.25"/>
    <row r="58" s="22" customFormat="1" x14ac:dyDescent="0.25"/>
    <row r="59" s="22" customFormat="1" x14ac:dyDescent="0.25"/>
    <row r="60" s="22" customFormat="1" x14ac:dyDescent="0.25"/>
    <row r="61" s="22" customFormat="1" x14ac:dyDescent="0.25"/>
    <row r="62" s="22" customFormat="1" x14ac:dyDescent="0.25"/>
    <row r="63" s="22" customFormat="1" x14ac:dyDescent="0.25"/>
    <row r="64" s="22" customFormat="1" x14ac:dyDescent="0.25"/>
    <row r="65" s="22" customFormat="1" x14ac:dyDescent="0.25"/>
    <row r="66" s="22" customFormat="1" x14ac:dyDescent="0.25"/>
    <row r="67" s="22" customFormat="1" x14ac:dyDescent="0.25"/>
    <row r="68" s="22" customFormat="1" x14ac:dyDescent="0.25"/>
    <row r="69" s="22" customFormat="1" x14ac:dyDescent="0.25"/>
    <row r="70" s="22" customFormat="1" x14ac:dyDescent="0.25"/>
    <row r="71" s="22" customFormat="1" x14ac:dyDescent="0.25"/>
    <row r="72" s="22" customFormat="1" x14ac:dyDescent="0.25"/>
    <row r="73" s="22" customFormat="1" x14ac:dyDescent="0.25"/>
    <row r="74" s="22" customFormat="1" x14ac:dyDescent="0.25"/>
    <row r="75" s="22" customFormat="1" x14ac:dyDescent="0.25"/>
    <row r="76" s="22" customFormat="1" x14ac:dyDescent="0.25"/>
    <row r="77" s="22" customFormat="1" x14ac:dyDescent="0.25"/>
    <row r="78" s="22" customFormat="1" x14ac:dyDescent="0.25"/>
    <row r="79" s="22" customFormat="1" x14ac:dyDescent="0.25"/>
    <row r="80" s="22" customFormat="1" x14ac:dyDescent="0.25"/>
    <row r="81" s="22" customFormat="1" x14ac:dyDescent="0.25"/>
    <row r="82" s="22" customFormat="1" x14ac:dyDescent="0.25"/>
    <row r="83" s="22" customFormat="1" x14ac:dyDescent="0.25"/>
    <row r="84" s="22" customFormat="1" x14ac:dyDescent="0.25"/>
    <row r="85" s="22" customFormat="1" x14ac:dyDescent="0.25"/>
    <row r="86" s="22" customFormat="1" x14ac:dyDescent="0.25"/>
    <row r="87" s="22" customFormat="1" x14ac:dyDescent="0.25"/>
    <row r="88" s="22" customFormat="1" x14ac:dyDescent="0.25"/>
    <row r="89" s="22" customFormat="1" x14ac:dyDescent="0.25"/>
    <row r="90" s="22" customFormat="1" x14ac:dyDescent="0.25"/>
    <row r="91" s="22" customFormat="1" x14ac:dyDescent="0.25"/>
    <row r="92" s="22" customFormat="1" x14ac:dyDescent="0.25"/>
    <row r="93" s="22" customFormat="1" x14ac:dyDescent="0.25"/>
    <row r="94" s="22" customFormat="1" x14ac:dyDescent="0.25"/>
    <row r="95" s="22" customFormat="1" x14ac:dyDescent="0.25"/>
    <row r="96" s="22" customFormat="1" x14ac:dyDescent="0.25"/>
    <row r="97" spans="1:1" s="22" customFormat="1" x14ac:dyDescent="0.25"/>
    <row r="98" spans="1:1" s="22" customFormat="1" x14ac:dyDescent="0.25"/>
    <row r="99" spans="1:1" s="22" customFormat="1" x14ac:dyDescent="0.25"/>
    <row r="100" spans="1:1" s="22" customFormat="1" x14ac:dyDescent="0.25"/>
    <row r="101" spans="1:1" s="22" customFormat="1" x14ac:dyDescent="0.25"/>
    <row r="102" spans="1:1" s="22" customFormat="1" x14ac:dyDescent="0.25"/>
    <row r="103" spans="1:1" s="22" customFormat="1" x14ac:dyDescent="0.25"/>
    <row r="104" spans="1:1" s="22" customFormat="1" x14ac:dyDescent="0.25"/>
    <row r="105" spans="1:1" s="22" customFormat="1" x14ac:dyDescent="0.25"/>
    <row r="106" spans="1:1" x14ac:dyDescent="0.25">
      <c r="A106" s="21"/>
    </row>
    <row r="107" spans="1:1" s="22" customFormat="1" x14ac:dyDescent="0.25"/>
    <row r="108" spans="1:1" s="22" customFormat="1" x14ac:dyDescent="0.25"/>
    <row r="109" spans="1:1" s="22" customFormat="1" x14ac:dyDescent="0.25"/>
    <row r="110" spans="1:1" s="22" customFormat="1" x14ac:dyDescent="0.25"/>
    <row r="111" spans="1:1" s="22" customFormat="1" x14ac:dyDescent="0.25"/>
    <row r="112" spans="1:1" s="22" customFormat="1" x14ac:dyDescent="0.25"/>
    <row r="113" spans="1:1" s="22" customFormat="1" x14ac:dyDescent="0.25"/>
    <row r="114" spans="1:1" s="22" customFormat="1" x14ac:dyDescent="0.25"/>
    <row r="115" spans="1:1" s="22" customFormat="1" x14ac:dyDescent="0.25"/>
    <row r="116" spans="1:1" s="22" customFormat="1" x14ac:dyDescent="0.25"/>
    <row r="117" spans="1:1" s="22" customFormat="1" x14ac:dyDescent="0.25"/>
    <row r="118" spans="1:1" x14ac:dyDescent="0.25">
      <c r="A118" s="21"/>
    </row>
    <row r="119" spans="1:1" x14ac:dyDescent="0.25">
      <c r="A119" s="21"/>
    </row>
  </sheetData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1" ySplit="8" topLeftCell="B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32" sqref="G32"/>
    </sheetView>
  </sheetViews>
  <sheetFormatPr defaultColWidth="8.85546875" defaultRowHeight="15" x14ac:dyDescent="0.25"/>
  <cols>
    <col min="1" max="1" width="18.28515625" style="27" customWidth="1"/>
    <col min="2" max="2" width="12.7109375" style="21" customWidth="1"/>
    <col min="3" max="12" width="9.140625" style="21" customWidth="1"/>
    <col min="13" max="13" width="10" style="21" customWidth="1"/>
    <col min="14" max="19" width="9.140625" style="21" customWidth="1"/>
    <col min="20" max="20" width="11.42578125" style="21" customWidth="1"/>
    <col min="21" max="16384" width="8.85546875" style="21"/>
  </cols>
  <sheetData>
    <row r="1" spans="1:21" s="22" customFormat="1" ht="26.25" x14ac:dyDescent="0.25">
      <c r="A1" s="15" t="s">
        <v>2</v>
      </c>
      <c r="B1" s="24" t="s">
        <v>43</v>
      </c>
      <c r="C1" s="38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s="22" customFormat="1" x14ac:dyDescent="0.25">
      <c r="A2" s="15" t="s">
        <v>0</v>
      </c>
      <c r="B2" s="39" t="str">
        <f>$A$9</f>
        <v>18-10-2022 01:00</v>
      </c>
      <c r="C2" s="12"/>
      <c r="D2" s="11" t="s">
        <v>3</v>
      </c>
      <c r="E2" s="11"/>
      <c r="F2" s="11"/>
      <c r="G2" s="4" t="s">
        <v>4</v>
      </c>
      <c r="H2" s="20"/>
      <c r="I2" s="20"/>
      <c r="J2" s="20"/>
      <c r="K2" s="13"/>
      <c r="L2" s="11" t="s">
        <v>5</v>
      </c>
      <c r="M2" s="13"/>
      <c r="N2" s="8" t="s">
        <v>6</v>
      </c>
      <c r="P2" s="40" t="s">
        <v>7</v>
      </c>
      <c r="Q2" s="13"/>
      <c r="R2" s="9" t="s">
        <v>8</v>
      </c>
      <c r="S2" s="12"/>
      <c r="T2" s="12"/>
      <c r="U2" s="12"/>
    </row>
    <row r="3" spans="1:21" s="22" customFormat="1" x14ac:dyDescent="0.25">
      <c r="A3" s="15" t="s">
        <v>9</v>
      </c>
      <c r="B3" s="13" t="s">
        <v>10</v>
      </c>
      <c r="C3" s="12"/>
      <c r="D3" s="11" t="s">
        <v>11</v>
      </c>
      <c r="E3" s="11"/>
      <c r="F3" s="11"/>
      <c r="G3" s="19" t="s">
        <v>12</v>
      </c>
      <c r="H3" s="20"/>
      <c r="I3" s="20"/>
      <c r="J3" s="20"/>
      <c r="K3" s="12"/>
      <c r="L3" s="11" t="s">
        <v>13</v>
      </c>
      <c r="M3" s="13"/>
      <c r="N3" s="6" t="s">
        <v>14</v>
      </c>
      <c r="O3" s="13"/>
      <c r="P3" s="40" t="s">
        <v>15</v>
      </c>
      <c r="Q3" s="13"/>
      <c r="R3" s="10" t="s">
        <v>15</v>
      </c>
      <c r="S3" s="12"/>
      <c r="T3" s="12"/>
      <c r="U3" s="12"/>
    </row>
    <row r="4" spans="1:21" s="22" customFormat="1" x14ac:dyDescent="0.25">
      <c r="A4" s="15" t="s">
        <v>16</v>
      </c>
      <c r="B4" s="13" t="s">
        <v>39</v>
      </c>
      <c r="C4" s="12"/>
      <c r="D4" s="11" t="s">
        <v>17</v>
      </c>
      <c r="E4" s="11"/>
      <c r="F4" s="11"/>
      <c r="G4" s="5" t="s">
        <v>18</v>
      </c>
      <c r="H4" s="20"/>
      <c r="I4" s="20"/>
      <c r="J4" s="20"/>
      <c r="K4" s="3"/>
      <c r="L4" s="11" t="s">
        <v>19</v>
      </c>
      <c r="M4" s="13"/>
      <c r="N4" s="7" t="s">
        <v>20</v>
      </c>
      <c r="O4" s="13"/>
      <c r="P4" s="13"/>
      <c r="Q4" s="13"/>
      <c r="R4" s="13"/>
      <c r="S4" s="12"/>
      <c r="T4" s="12"/>
      <c r="U4" s="12"/>
    </row>
    <row r="5" spans="1:21" s="22" customFormat="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s="22" customFormat="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s="22" customFormat="1" x14ac:dyDescent="0.25">
      <c r="A7" s="15" t="s">
        <v>21</v>
      </c>
      <c r="B7" s="45" t="s">
        <v>59</v>
      </c>
      <c r="C7" s="45" t="s">
        <v>44</v>
      </c>
      <c r="D7" s="45" t="s">
        <v>45</v>
      </c>
      <c r="E7" s="45" t="s">
        <v>46</v>
      </c>
      <c r="F7" s="45" t="s">
        <v>47</v>
      </c>
      <c r="G7" s="45" t="s">
        <v>48</v>
      </c>
      <c r="H7" s="45" t="s">
        <v>49</v>
      </c>
      <c r="I7" s="45" t="s">
        <v>50</v>
      </c>
      <c r="J7" s="45" t="s">
        <v>51</v>
      </c>
      <c r="K7" s="45" t="s">
        <v>52</v>
      </c>
      <c r="L7" s="45" t="s">
        <v>53</v>
      </c>
      <c r="M7" s="45" t="s">
        <v>54</v>
      </c>
      <c r="N7" s="45" t="s">
        <v>55</v>
      </c>
      <c r="O7" s="45" t="s">
        <v>56</v>
      </c>
      <c r="P7" s="45" t="s">
        <v>57</v>
      </c>
      <c r="Q7" s="45" t="s">
        <v>58</v>
      </c>
      <c r="R7" s="28"/>
      <c r="S7" s="30"/>
      <c r="T7" s="28"/>
      <c r="U7" s="28"/>
    </row>
    <row r="8" spans="1:21" s="22" customFormat="1" x14ac:dyDescent="0.25">
      <c r="A8" s="15"/>
      <c r="B8" s="30" t="s">
        <v>22</v>
      </c>
      <c r="C8" s="30" t="s">
        <v>22</v>
      </c>
      <c r="D8" s="30" t="s">
        <v>22</v>
      </c>
      <c r="E8" s="30" t="s">
        <v>22</v>
      </c>
      <c r="F8" s="30" t="s">
        <v>22</v>
      </c>
      <c r="G8" s="30" t="s">
        <v>23</v>
      </c>
      <c r="H8" s="30" t="s">
        <v>22</v>
      </c>
      <c r="I8" s="30" t="s">
        <v>22</v>
      </c>
      <c r="J8" s="30" t="s">
        <v>24</v>
      </c>
      <c r="K8" s="30" t="s">
        <v>25</v>
      </c>
      <c r="L8" s="28" t="s">
        <v>27</v>
      </c>
      <c r="M8" s="30" t="s">
        <v>26</v>
      </c>
      <c r="N8" s="30" t="s">
        <v>28</v>
      </c>
      <c r="O8" s="28" t="s">
        <v>29</v>
      </c>
      <c r="P8" s="30" t="s">
        <v>22</v>
      </c>
      <c r="Q8" s="30" t="s">
        <v>22</v>
      </c>
      <c r="R8" s="28"/>
      <c r="S8" s="30"/>
      <c r="T8" s="28"/>
      <c r="U8" s="28"/>
    </row>
    <row r="9" spans="1:21" s="12" customFormat="1" x14ac:dyDescent="0.25">
      <c r="A9" s="62" t="s">
        <v>470</v>
      </c>
      <c r="B9" s="63">
        <v>31.74</v>
      </c>
      <c r="C9" s="63">
        <v>45.3</v>
      </c>
      <c r="D9" s="63">
        <v>77.040000000000006</v>
      </c>
      <c r="E9" s="63">
        <v>8.1199999999999992</v>
      </c>
      <c r="F9" s="63">
        <v>0.81</v>
      </c>
      <c r="G9" s="10" t="s">
        <v>15</v>
      </c>
      <c r="H9" s="63">
        <v>24.63</v>
      </c>
      <c r="I9" s="63">
        <v>0.82</v>
      </c>
      <c r="J9" s="63">
        <v>0.87</v>
      </c>
      <c r="K9" s="63">
        <v>40.85</v>
      </c>
      <c r="L9" s="9" t="s">
        <v>8</v>
      </c>
      <c r="M9" s="9" t="s">
        <v>8</v>
      </c>
      <c r="N9" s="63">
        <v>4.9000000000000004</v>
      </c>
      <c r="O9" s="63">
        <v>0</v>
      </c>
      <c r="P9" s="63">
        <v>1.24</v>
      </c>
      <c r="Q9" s="63">
        <v>95.51</v>
      </c>
      <c r="R9" s="44"/>
      <c r="S9" s="44"/>
      <c r="T9" s="44"/>
      <c r="U9" s="44"/>
    </row>
    <row r="10" spans="1:21" s="12" customFormat="1" x14ac:dyDescent="0.25">
      <c r="A10" s="62" t="s">
        <v>471</v>
      </c>
      <c r="B10" s="63">
        <v>29.08</v>
      </c>
      <c r="C10" s="63">
        <v>42.06</v>
      </c>
      <c r="D10" s="63">
        <v>71.13</v>
      </c>
      <c r="E10" s="63">
        <v>8.4600000000000009</v>
      </c>
      <c r="F10" s="63">
        <v>0.32</v>
      </c>
      <c r="G10" s="10" t="s">
        <v>15</v>
      </c>
      <c r="H10" s="63">
        <v>22.41</v>
      </c>
      <c r="I10" s="63">
        <v>0.82</v>
      </c>
      <c r="J10" s="63">
        <v>0.33</v>
      </c>
      <c r="K10" s="63">
        <v>358.29</v>
      </c>
      <c r="L10" s="9" t="s">
        <v>8</v>
      </c>
      <c r="M10" s="9" t="s">
        <v>8</v>
      </c>
      <c r="N10" s="63">
        <v>5</v>
      </c>
      <c r="O10" s="63">
        <v>0</v>
      </c>
      <c r="P10" s="63">
        <v>1.1000000000000001</v>
      </c>
      <c r="Q10" s="63">
        <v>117.81</v>
      </c>
      <c r="R10" s="44"/>
      <c r="S10" s="44"/>
      <c r="T10" s="44"/>
      <c r="U10" s="44"/>
    </row>
    <row r="11" spans="1:21" s="12" customFormat="1" x14ac:dyDescent="0.25">
      <c r="A11" s="62" t="s">
        <v>472</v>
      </c>
      <c r="B11" s="63">
        <v>26.18</v>
      </c>
      <c r="C11" s="63">
        <v>40.07</v>
      </c>
      <c r="D11" s="63">
        <v>66.25</v>
      </c>
      <c r="E11" s="63">
        <v>8.44</v>
      </c>
      <c r="F11" s="63">
        <v>0.61</v>
      </c>
      <c r="G11" s="9" t="s">
        <v>8</v>
      </c>
      <c r="H11" s="63">
        <v>22.55</v>
      </c>
      <c r="I11" s="63">
        <v>0.78</v>
      </c>
      <c r="J11" s="63">
        <v>0.14000000000000001</v>
      </c>
      <c r="K11" s="63">
        <v>337.97</v>
      </c>
      <c r="L11" s="9" t="s">
        <v>8</v>
      </c>
      <c r="M11" s="9" t="s">
        <v>8</v>
      </c>
      <c r="N11" s="63">
        <v>4.9000000000000004</v>
      </c>
      <c r="O11" s="63">
        <v>0</v>
      </c>
      <c r="P11" s="63">
        <v>1.01</v>
      </c>
      <c r="Q11" s="63">
        <v>113.69</v>
      </c>
      <c r="R11" s="44"/>
      <c r="S11" s="44"/>
      <c r="T11" s="44"/>
      <c r="U11" s="44"/>
    </row>
    <row r="12" spans="1:21" s="12" customFormat="1" x14ac:dyDescent="0.25">
      <c r="A12" s="62" t="s">
        <v>473</v>
      </c>
      <c r="B12" s="63">
        <v>22.78</v>
      </c>
      <c r="C12" s="63">
        <v>37.92</v>
      </c>
      <c r="D12" s="63">
        <v>60.7</v>
      </c>
      <c r="E12" s="63">
        <v>8.2100000000000009</v>
      </c>
      <c r="F12" s="63">
        <v>0.37</v>
      </c>
      <c r="G12" s="9" t="s">
        <v>8</v>
      </c>
      <c r="H12" s="63">
        <v>32.119999999999997</v>
      </c>
      <c r="I12" s="63">
        <v>0.74</v>
      </c>
      <c r="J12" s="63">
        <v>0.09</v>
      </c>
      <c r="K12" s="63">
        <v>339.45</v>
      </c>
      <c r="L12" s="9" t="s">
        <v>8</v>
      </c>
      <c r="M12" s="9" t="s">
        <v>8</v>
      </c>
      <c r="N12" s="63">
        <v>4.9000000000000004</v>
      </c>
      <c r="O12" s="63">
        <v>0</v>
      </c>
      <c r="P12" s="63">
        <v>0.93</v>
      </c>
      <c r="Q12" s="63">
        <v>101.79</v>
      </c>
      <c r="R12" s="44"/>
      <c r="S12" s="44"/>
      <c r="T12" s="44"/>
      <c r="U12" s="44"/>
    </row>
    <row r="13" spans="1:21" s="12" customFormat="1" x14ac:dyDescent="0.25">
      <c r="A13" s="62" t="s">
        <v>474</v>
      </c>
      <c r="B13" s="63">
        <v>21.09</v>
      </c>
      <c r="C13" s="63">
        <v>33.25</v>
      </c>
      <c r="D13" s="63">
        <v>54.34</v>
      </c>
      <c r="E13" s="63">
        <v>8.23</v>
      </c>
      <c r="F13" s="63">
        <v>0.37</v>
      </c>
      <c r="G13" s="9" t="s">
        <v>8</v>
      </c>
      <c r="H13" s="63">
        <v>32.119999999999997</v>
      </c>
      <c r="I13" s="63">
        <v>0.74</v>
      </c>
      <c r="J13" s="63">
        <v>0.28999999999999998</v>
      </c>
      <c r="K13" s="63">
        <v>346.43</v>
      </c>
      <c r="L13" s="9" t="s">
        <v>8</v>
      </c>
      <c r="M13" s="9" t="s">
        <v>8</v>
      </c>
      <c r="N13" s="63">
        <v>4.9000000000000004</v>
      </c>
      <c r="O13" s="63">
        <v>0</v>
      </c>
      <c r="P13" s="63">
        <v>0.89</v>
      </c>
      <c r="Q13" s="63">
        <v>89.52</v>
      </c>
      <c r="R13" s="44"/>
      <c r="S13" s="44"/>
      <c r="T13" s="44"/>
      <c r="U13" s="44"/>
    </row>
    <row r="14" spans="1:21" s="12" customFormat="1" x14ac:dyDescent="0.25">
      <c r="A14" s="62" t="s">
        <v>475</v>
      </c>
      <c r="B14" s="63">
        <v>20.59</v>
      </c>
      <c r="C14" s="63">
        <v>36.840000000000003</v>
      </c>
      <c r="D14" s="63">
        <v>57.18</v>
      </c>
      <c r="E14" s="63">
        <v>8.27</v>
      </c>
      <c r="F14" s="63">
        <v>0.33</v>
      </c>
      <c r="G14" s="9" t="s">
        <v>8</v>
      </c>
      <c r="H14" s="63">
        <v>30.04</v>
      </c>
      <c r="I14" s="63">
        <v>0.76</v>
      </c>
      <c r="J14" s="63">
        <v>0.51</v>
      </c>
      <c r="K14" s="63">
        <v>123.93</v>
      </c>
      <c r="L14" s="9" t="s">
        <v>8</v>
      </c>
      <c r="M14" s="9" t="s">
        <v>8</v>
      </c>
      <c r="N14" s="63">
        <v>6.1</v>
      </c>
      <c r="O14" s="63">
        <v>0</v>
      </c>
      <c r="P14" s="63">
        <v>0.85</v>
      </c>
      <c r="Q14" s="63">
        <v>115.38</v>
      </c>
      <c r="R14" s="44"/>
      <c r="S14" s="44"/>
      <c r="T14" s="44"/>
      <c r="U14" s="44"/>
    </row>
    <row r="15" spans="1:21" s="12" customFormat="1" x14ac:dyDescent="0.25">
      <c r="A15" s="62" t="s">
        <v>476</v>
      </c>
      <c r="B15" s="63">
        <v>23.3</v>
      </c>
      <c r="C15" s="63">
        <v>40.83</v>
      </c>
      <c r="D15" s="63">
        <v>64.13</v>
      </c>
      <c r="E15" s="63">
        <v>8.25</v>
      </c>
      <c r="F15" s="63">
        <v>0.52</v>
      </c>
      <c r="G15" s="63">
        <v>112.9</v>
      </c>
      <c r="H15" s="63">
        <v>29.88</v>
      </c>
      <c r="I15" s="63">
        <v>0.71</v>
      </c>
      <c r="J15" s="63">
        <v>0.44</v>
      </c>
      <c r="K15" s="63">
        <v>149.49</v>
      </c>
      <c r="L15" s="9" t="s">
        <v>8</v>
      </c>
      <c r="M15" s="9" t="s">
        <v>8</v>
      </c>
      <c r="N15" s="63">
        <v>122.7</v>
      </c>
      <c r="O15" s="63">
        <v>0</v>
      </c>
      <c r="P15" s="63">
        <v>0.8</v>
      </c>
      <c r="Q15" s="63">
        <v>113.03</v>
      </c>
      <c r="R15" s="44"/>
      <c r="S15" s="44"/>
      <c r="T15" s="44"/>
      <c r="U15" s="44"/>
    </row>
    <row r="16" spans="1:21" s="12" customFormat="1" x14ac:dyDescent="0.25">
      <c r="A16" s="62" t="s">
        <v>477</v>
      </c>
      <c r="B16" s="63">
        <v>26.2</v>
      </c>
      <c r="C16" s="63">
        <v>43.89</v>
      </c>
      <c r="D16" s="63">
        <v>70.09</v>
      </c>
      <c r="E16" s="63">
        <v>9.58</v>
      </c>
      <c r="F16" s="63">
        <v>0.64</v>
      </c>
      <c r="G16" s="63">
        <v>112.9</v>
      </c>
      <c r="H16" s="63">
        <v>47.06</v>
      </c>
      <c r="I16" s="63">
        <v>0.77</v>
      </c>
      <c r="J16" s="63">
        <v>0.75</v>
      </c>
      <c r="K16" s="63">
        <v>146.49</v>
      </c>
      <c r="L16" s="9" t="s">
        <v>8</v>
      </c>
      <c r="M16" s="9" t="s">
        <v>8</v>
      </c>
      <c r="N16" s="63">
        <v>227</v>
      </c>
      <c r="O16" s="63">
        <v>0</v>
      </c>
      <c r="P16" s="63">
        <v>0.97</v>
      </c>
      <c r="Q16" s="63">
        <v>117.33</v>
      </c>
      <c r="R16" s="44"/>
      <c r="S16" s="44"/>
      <c r="T16" s="44"/>
      <c r="U16" s="44"/>
    </row>
    <row r="17" spans="1:21" s="12" customFormat="1" x14ac:dyDescent="0.25">
      <c r="A17" s="62" t="s">
        <v>478</v>
      </c>
      <c r="B17" s="63">
        <v>22.89</v>
      </c>
      <c r="C17" s="63">
        <v>37.61</v>
      </c>
      <c r="D17" s="63">
        <v>59.96</v>
      </c>
      <c r="E17" s="63">
        <v>9.73</v>
      </c>
      <c r="F17" s="63">
        <v>0.83</v>
      </c>
      <c r="G17" s="10" t="s">
        <v>15</v>
      </c>
      <c r="H17" s="63">
        <v>47.06</v>
      </c>
      <c r="I17" s="63">
        <v>0.83</v>
      </c>
      <c r="J17" s="63">
        <v>0.65</v>
      </c>
      <c r="K17" s="63">
        <v>120.77</v>
      </c>
      <c r="L17" s="9" t="s">
        <v>8</v>
      </c>
      <c r="M17" s="9" t="s">
        <v>8</v>
      </c>
      <c r="N17" s="63">
        <v>428.5</v>
      </c>
      <c r="O17" s="63">
        <v>0</v>
      </c>
      <c r="P17" s="63">
        <v>1</v>
      </c>
      <c r="Q17" s="63">
        <v>152.24</v>
      </c>
      <c r="R17" s="44"/>
      <c r="S17" s="44"/>
      <c r="T17" s="44"/>
      <c r="U17" s="44"/>
    </row>
    <row r="18" spans="1:21" s="12" customFormat="1" x14ac:dyDescent="0.25">
      <c r="A18" s="62" t="s">
        <v>479</v>
      </c>
      <c r="B18" s="63">
        <v>18.32</v>
      </c>
      <c r="C18" s="63">
        <v>39.01</v>
      </c>
      <c r="D18" s="63">
        <v>55.67</v>
      </c>
      <c r="E18" s="63">
        <v>9.17</v>
      </c>
      <c r="F18" s="63">
        <v>0.92</v>
      </c>
      <c r="G18" s="9" t="s">
        <v>8</v>
      </c>
      <c r="H18" s="63">
        <v>45.66</v>
      </c>
      <c r="I18" s="63">
        <v>0.83</v>
      </c>
      <c r="J18" s="63">
        <v>0.36</v>
      </c>
      <c r="K18" s="63">
        <v>150.19999999999999</v>
      </c>
      <c r="L18" s="9" t="s">
        <v>8</v>
      </c>
      <c r="M18" s="9" t="s">
        <v>8</v>
      </c>
      <c r="N18" s="63">
        <v>598</v>
      </c>
      <c r="O18" s="63">
        <v>0</v>
      </c>
      <c r="P18" s="63">
        <v>1.01</v>
      </c>
      <c r="Q18" s="63">
        <v>151.76</v>
      </c>
      <c r="R18" s="44"/>
      <c r="S18" s="44"/>
      <c r="T18" s="44"/>
      <c r="U18" s="44"/>
    </row>
    <row r="19" spans="1:21" s="12" customFormat="1" x14ac:dyDescent="0.25">
      <c r="A19" s="62" t="s">
        <v>480</v>
      </c>
      <c r="B19" s="63">
        <v>12.63</v>
      </c>
      <c r="C19" s="63">
        <v>118.25</v>
      </c>
      <c r="D19" s="63">
        <v>130.88</v>
      </c>
      <c r="E19" s="63">
        <v>9.67</v>
      </c>
      <c r="F19" s="63">
        <v>8.89</v>
      </c>
      <c r="G19" s="9" t="s">
        <v>8</v>
      </c>
      <c r="H19" s="63">
        <v>36.409999999999997</v>
      </c>
      <c r="I19" s="63">
        <v>0.8</v>
      </c>
      <c r="J19" s="63">
        <v>1.08</v>
      </c>
      <c r="K19" s="63">
        <v>154.66</v>
      </c>
      <c r="L19" s="9" t="s">
        <v>8</v>
      </c>
      <c r="M19" s="9" t="s">
        <v>8</v>
      </c>
      <c r="N19" s="63">
        <v>809.2</v>
      </c>
      <c r="O19" s="63">
        <v>0</v>
      </c>
      <c r="P19" s="63">
        <v>0.91</v>
      </c>
      <c r="Q19" s="63">
        <v>133.07</v>
      </c>
      <c r="R19" s="44"/>
      <c r="S19" s="44"/>
      <c r="T19" s="44"/>
      <c r="U19" s="44"/>
    </row>
    <row r="20" spans="1:21" s="12" customFormat="1" x14ac:dyDescent="0.25">
      <c r="A20" s="62" t="s">
        <v>481</v>
      </c>
      <c r="B20" s="63">
        <v>4.22</v>
      </c>
      <c r="C20" s="63">
        <v>77.209999999999994</v>
      </c>
      <c r="D20" s="63">
        <v>80.510000000000005</v>
      </c>
      <c r="E20" s="63">
        <v>9.15</v>
      </c>
      <c r="F20" s="63">
        <v>25.71</v>
      </c>
      <c r="G20" s="9" t="s">
        <v>8</v>
      </c>
      <c r="H20" s="63">
        <v>3</v>
      </c>
      <c r="I20" s="63">
        <v>0.28000000000000003</v>
      </c>
      <c r="J20" s="63">
        <v>0.84</v>
      </c>
      <c r="K20" s="63">
        <v>156.66999999999999</v>
      </c>
      <c r="L20" s="9" t="s">
        <v>8</v>
      </c>
      <c r="M20" s="9" t="s">
        <v>8</v>
      </c>
      <c r="N20" s="63">
        <v>873</v>
      </c>
      <c r="O20" s="63">
        <v>0</v>
      </c>
      <c r="P20" s="63">
        <v>0.75</v>
      </c>
      <c r="Q20" s="63">
        <v>80.010000000000005</v>
      </c>
      <c r="R20" s="44"/>
      <c r="S20" s="44"/>
      <c r="T20" s="44"/>
      <c r="U20" s="44"/>
    </row>
    <row r="21" spans="1:21" s="12" customFormat="1" x14ac:dyDescent="0.25">
      <c r="A21" s="62" t="s">
        <v>482</v>
      </c>
      <c r="B21" s="63">
        <v>1.1499999999999999</v>
      </c>
      <c r="C21" s="63">
        <v>38.880000000000003</v>
      </c>
      <c r="D21" s="63">
        <v>40.04</v>
      </c>
      <c r="E21" s="63">
        <v>7.04</v>
      </c>
      <c r="F21" s="63">
        <v>21.06</v>
      </c>
      <c r="G21" s="63">
        <v>117.8</v>
      </c>
      <c r="H21" s="63">
        <v>15.85</v>
      </c>
      <c r="I21" s="63">
        <v>0.28000000000000003</v>
      </c>
      <c r="J21" s="63">
        <v>1.62</v>
      </c>
      <c r="K21" s="63">
        <v>172.58</v>
      </c>
      <c r="L21" s="9" t="s">
        <v>8</v>
      </c>
      <c r="M21" s="9" t="s">
        <v>8</v>
      </c>
      <c r="N21" s="63">
        <v>863.1</v>
      </c>
      <c r="O21" s="63">
        <v>0</v>
      </c>
      <c r="P21" s="63">
        <v>0.63</v>
      </c>
      <c r="Q21" s="63">
        <v>64.7</v>
      </c>
      <c r="R21" s="44"/>
      <c r="S21" s="44"/>
      <c r="T21" s="44"/>
      <c r="U21" s="44"/>
    </row>
    <row r="22" spans="1:21" s="12" customFormat="1" x14ac:dyDescent="0.25">
      <c r="A22" s="62" t="s">
        <v>483</v>
      </c>
      <c r="B22" s="63">
        <v>5.78</v>
      </c>
      <c r="C22" s="63">
        <v>46.53</v>
      </c>
      <c r="D22" s="63">
        <v>52.31</v>
      </c>
      <c r="E22" s="63">
        <v>10.199999999999999</v>
      </c>
      <c r="F22" s="63">
        <v>10.56</v>
      </c>
      <c r="G22" s="63">
        <v>87.38</v>
      </c>
      <c r="H22" s="63">
        <v>39.79</v>
      </c>
      <c r="I22" s="63">
        <v>0.28000000000000003</v>
      </c>
      <c r="J22" s="63">
        <v>0.95</v>
      </c>
      <c r="K22" s="63">
        <v>59.62</v>
      </c>
      <c r="L22" s="9" t="s">
        <v>8</v>
      </c>
      <c r="M22" s="9" t="s">
        <v>8</v>
      </c>
      <c r="N22" s="63">
        <v>603.9</v>
      </c>
      <c r="O22" s="63">
        <v>0</v>
      </c>
      <c r="P22" s="63">
        <v>0.78</v>
      </c>
      <c r="Q22" s="63">
        <v>72.19</v>
      </c>
      <c r="R22" s="44"/>
      <c r="S22" s="44"/>
      <c r="T22" s="44"/>
      <c r="U22" s="44"/>
    </row>
    <row r="23" spans="1:21" s="12" customFormat="1" x14ac:dyDescent="0.25">
      <c r="A23" s="62" t="s">
        <v>484</v>
      </c>
      <c r="B23" s="63">
        <v>5.27</v>
      </c>
      <c r="C23" s="63">
        <v>44.48</v>
      </c>
      <c r="D23" s="63">
        <v>49.62</v>
      </c>
      <c r="E23" s="63">
        <v>15.98</v>
      </c>
      <c r="F23" s="63">
        <v>10.71</v>
      </c>
      <c r="G23" s="63">
        <v>43.42</v>
      </c>
      <c r="H23" s="63">
        <v>47.23</v>
      </c>
      <c r="I23" s="63">
        <v>0.41</v>
      </c>
      <c r="J23" s="63">
        <v>0.63</v>
      </c>
      <c r="K23" s="63">
        <v>68.53</v>
      </c>
      <c r="L23" s="9" t="s">
        <v>8</v>
      </c>
      <c r="M23" s="9" t="s">
        <v>8</v>
      </c>
      <c r="N23" s="63">
        <v>488.2</v>
      </c>
      <c r="O23" s="63">
        <v>0</v>
      </c>
      <c r="P23" s="63">
        <v>0.89</v>
      </c>
      <c r="Q23" s="63">
        <v>60.29</v>
      </c>
      <c r="R23" s="44"/>
      <c r="S23" s="44"/>
      <c r="T23" s="44"/>
      <c r="U23" s="44"/>
    </row>
    <row r="24" spans="1:21" s="12" customFormat="1" x14ac:dyDescent="0.25">
      <c r="A24" s="62" t="s">
        <v>485</v>
      </c>
      <c r="B24" s="63">
        <v>7.87</v>
      </c>
      <c r="C24" s="63">
        <v>51.93</v>
      </c>
      <c r="D24" s="63">
        <v>59.8</v>
      </c>
      <c r="E24" s="63">
        <v>16.59</v>
      </c>
      <c r="F24" s="63">
        <v>7.07</v>
      </c>
      <c r="G24" s="63">
        <v>197.47</v>
      </c>
      <c r="H24" s="63">
        <v>55.76</v>
      </c>
      <c r="I24" s="63">
        <v>0.53</v>
      </c>
      <c r="J24" s="63">
        <v>0.77</v>
      </c>
      <c r="K24" s="63">
        <v>56.29</v>
      </c>
      <c r="L24" s="9" t="s">
        <v>8</v>
      </c>
      <c r="M24" s="9" t="s">
        <v>8</v>
      </c>
      <c r="N24" s="63">
        <v>351.9</v>
      </c>
      <c r="O24" s="63">
        <v>0</v>
      </c>
      <c r="P24" s="63">
        <v>1.06</v>
      </c>
      <c r="Q24" s="63">
        <v>85.56</v>
      </c>
      <c r="R24" s="44"/>
      <c r="S24" s="44"/>
      <c r="T24" s="44"/>
      <c r="U24" s="44"/>
    </row>
    <row r="25" spans="1:21" s="12" customFormat="1" x14ac:dyDescent="0.25">
      <c r="A25" s="62" t="s">
        <v>486</v>
      </c>
      <c r="B25" s="63">
        <v>8.9600000000000009</v>
      </c>
      <c r="C25" s="63">
        <v>56.89</v>
      </c>
      <c r="D25" s="63">
        <v>65.86</v>
      </c>
      <c r="E25" s="63">
        <v>21.22</v>
      </c>
      <c r="F25" s="63">
        <v>8.89</v>
      </c>
      <c r="G25" s="63">
        <v>147.91999999999999</v>
      </c>
      <c r="H25" s="63">
        <v>69.7</v>
      </c>
      <c r="I25" s="63">
        <v>0.56000000000000005</v>
      </c>
      <c r="J25" s="63">
        <v>0.43</v>
      </c>
      <c r="K25" s="63">
        <v>78.31</v>
      </c>
      <c r="L25" s="9" t="s">
        <v>8</v>
      </c>
      <c r="M25" s="9" t="s">
        <v>8</v>
      </c>
      <c r="N25" s="63">
        <v>98.1</v>
      </c>
      <c r="O25" s="63">
        <v>0</v>
      </c>
      <c r="P25" s="63">
        <v>1.28</v>
      </c>
      <c r="Q25" s="63">
        <v>92.15</v>
      </c>
      <c r="R25" s="44"/>
      <c r="S25" s="44"/>
      <c r="T25" s="44"/>
      <c r="U25" s="44"/>
    </row>
    <row r="26" spans="1:21" s="12" customFormat="1" x14ac:dyDescent="0.25">
      <c r="A26" s="62" t="s">
        <v>487</v>
      </c>
      <c r="B26" s="63">
        <v>28.76</v>
      </c>
      <c r="C26" s="63">
        <v>104.44</v>
      </c>
      <c r="D26" s="63">
        <v>133.19999999999999</v>
      </c>
      <c r="E26" s="63">
        <v>23.78</v>
      </c>
      <c r="F26" s="63">
        <v>7.33</v>
      </c>
      <c r="G26" s="10" t="s">
        <v>15</v>
      </c>
      <c r="H26" s="63">
        <v>73.72</v>
      </c>
      <c r="I26" s="63">
        <v>0.71</v>
      </c>
      <c r="J26" s="63">
        <v>0.41</v>
      </c>
      <c r="K26" s="63">
        <v>43.45</v>
      </c>
      <c r="L26" s="9" t="s">
        <v>8</v>
      </c>
      <c r="M26" s="9" t="s">
        <v>8</v>
      </c>
      <c r="N26" s="63">
        <v>24.3</v>
      </c>
      <c r="O26" s="63">
        <v>0</v>
      </c>
      <c r="P26" s="63">
        <v>2.15</v>
      </c>
      <c r="Q26" s="63">
        <v>94.89</v>
      </c>
      <c r="R26" s="44"/>
      <c r="S26" s="44"/>
      <c r="T26" s="44"/>
      <c r="U26" s="44"/>
    </row>
    <row r="27" spans="1:21" s="12" customFormat="1" x14ac:dyDescent="0.25">
      <c r="A27" s="62" t="s">
        <v>488</v>
      </c>
      <c r="B27" s="63">
        <v>36.69</v>
      </c>
      <c r="C27" s="63">
        <v>105.32</v>
      </c>
      <c r="D27" s="63">
        <v>139.59</v>
      </c>
      <c r="E27" s="63">
        <v>18.09</v>
      </c>
      <c r="F27" s="63">
        <v>3.28</v>
      </c>
      <c r="G27" s="10" t="s">
        <v>15</v>
      </c>
      <c r="H27" s="63">
        <v>85.03</v>
      </c>
      <c r="I27" s="63">
        <v>1.03</v>
      </c>
      <c r="J27" s="63">
        <v>0.36</v>
      </c>
      <c r="K27" s="63">
        <v>91.66</v>
      </c>
      <c r="L27" s="9" t="s">
        <v>8</v>
      </c>
      <c r="M27" s="9" t="s">
        <v>8</v>
      </c>
      <c r="N27" s="63">
        <v>5.0999999999999996</v>
      </c>
      <c r="O27" s="63">
        <v>0</v>
      </c>
      <c r="P27" s="63">
        <v>2.33</v>
      </c>
      <c r="Q27" s="63">
        <v>99.32</v>
      </c>
      <c r="R27" s="44"/>
      <c r="S27" s="44"/>
      <c r="T27" s="44"/>
      <c r="U27" s="44"/>
    </row>
    <row r="28" spans="1:21" s="12" customFormat="1" x14ac:dyDescent="0.25">
      <c r="A28" s="62" t="s">
        <v>489</v>
      </c>
      <c r="B28" s="63">
        <v>34.020000000000003</v>
      </c>
      <c r="C28" s="63">
        <v>103.45</v>
      </c>
      <c r="D28" s="63">
        <v>137.47</v>
      </c>
      <c r="E28" s="63">
        <v>14.5</v>
      </c>
      <c r="F28" s="63">
        <v>1.07</v>
      </c>
      <c r="G28" s="10" t="s">
        <v>15</v>
      </c>
      <c r="H28" s="63">
        <v>93.68</v>
      </c>
      <c r="I28" s="63">
        <v>1.32</v>
      </c>
      <c r="J28" s="63">
        <v>0.14000000000000001</v>
      </c>
      <c r="K28" s="63">
        <v>141.35</v>
      </c>
      <c r="L28" s="9" t="s">
        <v>8</v>
      </c>
      <c r="M28" s="9" t="s">
        <v>8</v>
      </c>
      <c r="N28" s="63">
        <v>5</v>
      </c>
      <c r="O28" s="63">
        <v>0</v>
      </c>
      <c r="P28" s="63">
        <v>3.08</v>
      </c>
      <c r="Q28" s="63">
        <v>129.94999999999999</v>
      </c>
      <c r="R28" s="44"/>
      <c r="S28" s="44"/>
      <c r="T28" s="44"/>
      <c r="U28" s="44"/>
    </row>
    <row r="29" spans="1:21" s="12" customFormat="1" x14ac:dyDescent="0.25">
      <c r="A29" s="62" t="s">
        <v>490</v>
      </c>
      <c r="B29" s="63">
        <v>47.84</v>
      </c>
      <c r="C29" s="63">
        <v>115.06</v>
      </c>
      <c r="D29" s="63">
        <v>162.91</v>
      </c>
      <c r="E29" s="63">
        <v>9.43</v>
      </c>
      <c r="F29" s="63">
        <v>1.5</v>
      </c>
      <c r="G29" s="9" t="s">
        <v>8</v>
      </c>
      <c r="H29" s="63">
        <v>108.59</v>
      </c>
      <c r="I29" s="63">
        <v>1.62</v>
      </c>
      <c r="J29" s="63">
        <v>0.15</v>
      </c>
      <c r="K29" s="63">
        <v>335.51</v>
      </c>
      <c r="L29" s="9" t="s">
        <v>8</v>
      </c>
      <c r="M29" s="9" t="s">
        <v>8</v>
      </c>
      <c r="N29" s="63">
        <v>5.0999999999999996</v>
      </c>
      <c r="O29" s="63">
        <v>0</v>
      </c>
      <c r="P29" s="63">
        <v>3</v>
      </c>
      <c r="Q29" s="63">
        <v>135.27000000000001</v>
      </c>
      <c r="R29" s="44"/>
      <c r="S29" s="44"/>
      <c r="T29" s="44"/>
      <c r="U29" s="44"/>
    </row>
    <row r="30" spans="1:21" s="12" customFormat="1" x14ac:dyDescent="0.25">
      <c r="A30" s="62" t="s">
        <v>491</v>
      </c>
      <c r="B30" s="63">
        <v>46.33</v>
      </c>
      <c r="C30" s="63">
        <v>117.38</v>
      </c>
      <c r="D30" s="63">
        <v>161.06</v>
      </c>
      <c r="E30" s="63">
        <v>10.06</v>
      </c>
      <c r="F30" s="63">
        <v>0.71</v>
      </c>
      <c r="G30" s="9" t="s">
        <v>8</v>
      </c>
      <c r="H30" s="63">
        <v>118.01</v>
      </c>
      <c r="I30" s="63">
        <v>1.72</v>
      </c>
      <c r="J30" s="63">
        <v>0.22</v>
      </c>
      <c r="K30" s="63">
        <v>222.45</v>
      </c>
      <c r="L30" s="9" t="s">
        <v>8</v>
      </c>
      <c r="M30" s="9" t="s">
        <v>8</v>
      </c>
      <c r="N30" s="63">
        <v>5</v>
      </c>
      <c r="O30" s="63">
        <v>0</v>
      </c>
      <c r="P30" s="63">
        <v>2.96</v>
      </c>
      <c r="Q30" s="63">
        <v>118.8</v>
      </c>
      <c r="R30" s="44"/>
      <c r="S30" s="44"/>
      <c r="T30" s="44"/>
      <c r="U30" s="44"/>
    </row>
    <row r="31" spans="1:21" s="12" customFormat="1" x14ac:dyDescent="0.25">
      <c r="A31" s="62" t="s">
        <v>492</v>
      </c>
      <c r="B31" s="63">
        <v>59.41</v>
      </c>
      <c r="C31" s="63">
        <v>105.82</v>
      </c>
      <c r="D31" s="63">
        <v>165.23</v>
      </c>
      <c r="E31" s="63">
        <v>9.9499999999999993</v>
      </c>
      <c r="F31" s="63">
        <v>1.22</v>
      </c>
      <c r="G31" s="10" t="s">
        <v>15</v>
      </c>
      <c r="H31" s="63">
        <v>120.21</v>
      </c>
      <c r="I31" s="63">
        <v>1.73</v>
      </c>
      <c r="J31" s="63">
        <v>0.22</v>
      </c>
      <c r="K31" s="63">
        <v>287.13</v>
      </c>
      <c r="L31" s="9" t="s">
        <v>8</v>
      </c>
      <c r="M31" s="9" t="s">
        <v>8</v>
      </c>
      <c r="N31" s="63">
        <v>4.9000000000000004</v>
      </c>
      <c r="O31" s="63">
        <v>0</v>
      </c>
      <c r="P31" s="63">
        <v>3.33</v>
      </c>
      <c r="Q31" s="63">
        <v>136.26</v>
      </c>
      <c r="R31" s="44"/>
      <c r="S31" s="44"/>
      <c r="T31" s="44"/>
      <c r="U31" s="44"/>
    </row>
    <row r="32" spans="1:21" s="12" customFormat="1" x14ac:dyDescent="0.25">
      <c r="A32" s="62" t="s">
        <v>493</v>
      </c>
      <c r="B32" s="63">
        <v>34.409999999999997</v>
      </c>
      <c r="C32" s="63">
        <v>57.88</v>
      </c>
      <c r="D32" s="63">
        <v>92.29</v>
      </c>
      <c r="E32" s="63">
        <v>7.83</v>
      </c>
      <c r="F32" s="63">
        <v>1.05</v>
      </c>
      <c r="G32" s="10" t="s">
        <v>15</v>
      </c>
      <c r="H32" s="63">
        <v>112.74</v>
      </c>
      <c r="I32" s="63">
        <v>1.65</v>
      </c>
      <c r="J32" s="63">
        <v>0.73</v>
      </c>
      <c r="K32" s="63">
        <v>198.61</v>
      </c>
      <c r="L32" s="9" t="s">
        <v>8</v>
      </c>
      <c r="M32" s="9" t="s">
        <v>8</v>
      </c>
      <c r="N32" s="63">
        <v>5</v>
      </c>
      <c r="O32" s="63">
        <v>0</v>
      </c>
      <c r="P32" s="63">
        <v>2.58</v>
      </c>
      <c r="Q32" s="63">
        <v>137.29</v>
      </c>
      <c r="R32" s="44"/>
      <c r="S32" s="44"/>
      <c r="T32" s="44"/>
      <c r="U32" s="44"/>
    </row>
    <row r="33" spans="1:21" s="22" customFormat="1" x14ac:dyDescent="0.25">
      <c r="A33" s="27"/>
      <c r="B33" s="21"/>
      <c r="C33" s="21"/>
      <c r="D33" s="21"/>
      <c r="E33" s="21"/>
      <c r="F33" s="21"/>
      <c r="G33" s="27"/>
      <c r="H33" s="27"/>
      <c r="I33" s="27"/>
      <c r="J33" s="21"/>
      <c r="K33" s="21"/>
      <c r="L33" s="27"/>
      <c r="M33" s="27"/>
      <c r="N33" s="27"/>
      <c r="O33" s="27"/>
      <c r="P33" s="27"/>
      <c r="Q33" s="21"/>
      <c r="R33" s="21"/>
      <c r="S33" s="21"/>
      <c r="T33" s="21"/>
      <c r="U33" s="21"/>
    </row>
    <row r="34" spans="1:21" s="22" customFormat="1" x14ac:dyDescent="0.25">
      <c r="A34" s="28" t="s">
        <v>30</v>
      </c>
      <c r="B34" s="29">
        <f t="shared" ref="B34:Q34" si="0">MIN(B9:B32)</f>
        <v>1.1499999999999999</v>
      </c>
      <c r="C34" s="29">
        <f t="shared" si="0"/>
        <v>33.25</v>
      </c>
      <c r="D34" s="29">
        <f t="shared" si="0"/>
        <v>40.04</v>
      </c>
      <c r="E34" s="29">
        <f t="shared" si="0"/>
        <v>7.04</v>
      </c>
      <c r="F34" s="29">
        <f t="shared" si="0"/>
        <v>0.32</v>
      </c>
      <c r="G34" s="29">
        <f t="shared" si="0"/>
        <v>43.42</v>
      </c>
      <c r="H34" s="29">
        <f t="shared" si="0"/>
        <v>3</v>
      </c>
      <c r="I34" s="29">
        <f t="shared" si="0"/>
        <v>0.28000000000000003</v>
      </c>
      <c r="J34" s="29">
        <f t="shared" si="0"/>
        <v>0.09</v>
      </c>
      <c r="K34" s="29">
        <f t="shared" si="0"/>
        <v>40.85</v>
      </c>
      <c r="L34" s="29">
        <f t="shared" si="0"/>
        <v>0</v>
      </c>
      <c r="M34" s="29">
        <f t="shared" si="0"/>
        <v>0</v>
      </c>
      <c r="N34" s="29">
        <f t="shared" si="0"/>
        <v>4.9000000000000004</v>
      </c>
      <c r="O34" s="29">
        <f t="shared" si="0"/>
        <v>0</v>
      </c>
      <c r="P34" s="29">
        <f t="shared" si="0"/>
        <v>0.63</v>
      </c>
      <c r="Q34" s="29">
        <f t="shared" si="0"/>
        <v>60.29</v>
      </c>
      <c r="R34" s="29"/>
      <c r="S34" s="29"/>
      <c r="T34" s="29"/>
      <c r="U34" s="29"/>
    </row>
    <row r="35" spans="1:21" s="22" customFormat="1" x14ac:dyDescent="0.25">
      <c r="A35" s="28" t="s">
        <v>31</v>
      </c>
      <c r="B35" s="30">
        <f t="shared" ref="B35:Q35" si="1">MAX(B9:B32)</f>
        <v>59.41</v>
      </c>
      <c r="C35" s="30">
        <f t="shared" si="1"/>
        <v>118.25</v>
      </c>
      <c r="D35" s="30">
        <f t="shared" si="1"/>
        <v>165.23</v>
      </c>
      <c r="E35" s="30">
        <f t="shared" si="1"/>
        <v>23.78</v>
      </c>
      <c r="F35" s="30">
        <f t="shared" si="1"/>
        <v>25.71</v>
      </c>
      <c r="G35" s="30">
        <f t="shared" si="1"/>
        <v>197.47</v>
      </c>
      <c r="H35" s="30">
        <f t="shared" si="1"/>
        <v>120.21</v>
      </c>
      <c r="I35" s="30">
        <f t="shared" si="1"/>
        <v>1.73</v>
      </c>
      <c r="J35" s="30">
        <f t="shared" si="1"/>
        <v>1.62</v>
      </c>
      <c r="K35" s="30">
        <f t="shared" si="1"/>
        <v>358.29</v>
      </c>
      <c r="L35" s="30">
        <f t="shared" si="1"/>
        <v>0</v>
      </c>
      <c r="M35" s="30">
        <f t="shared" si="1"/>
        <v>0</v>
      </c>
      <c r="N35" s="30">
        <f t="shared" si="1"/>
        <v>873</v>
      </c>
      <c r="O35" s="30">
        <f t="shared" si="1"/>
        <v>0</v>
      </c>
      <c r="P35" s="30">
        <f t="shared" si="1"/>
        <v>3.33</v>
      </c>
      <c r="Q35" s="30">
        <f t="shared" si="1"/>
        <v>152.24</v>
      </c>
      <c r="R35" s="30"/>
      <c r="S35" s="30"/>
      <c r="T35" s="30"/>
      <c r="U35" s="30"/>
    </row>
    <row r="36" spans="1:21" s="22" customFormat="1" x14ac:dyDescent="0.25">
      <c r="A36" s="28" t="s">
        <v>32</v>
      </c>
      <c r="B36" s="29">
        <f t="shared" ref="B36:Q36" si="2">AVERAGE(B9:B32)</f>
        <v>23.979583333333327</v>
      </c>
      <c r="C36" s="29">
        <f t="shared" si="2"/>
        <v>64.17916666666666</v>
      </c>
      <c r="D36" s="29">
        <f t="shared" si="2"/>
        <v>87.802500000000009</v>
      </c>
      <c r="E36" s="29">
        <f t="shared" si="2"/>
        <v>11.247916666666667</v>
      </c>
      <c r="F36" s="29">
        <f t="shared" si="2"/>
        <v>4.7820833333333326</v>
      </c>
      <c r="G36" s="29">
        <f t="shared" si="2"/>
        <v>117.11285714285714</v>
      </c>
      <c r="H36" s="29">
        <f t="shared" si="2"/>
        <v>54.718750000000007</v>
      </c>
      <c r="I36" s="29">
        <f t="shared" si="2"/>
        <v>0.86333333333333317</v>
      </c>
      <c r="J36" s="29">
        <f t="shared" si="2"/>
        <v>0.54083333333333339</v>
      </c>
      <c r="K36" s="29">
        <f t="shared" si="2"/>
        <v>174.19541666666666</v>
      </c>
      <c r="L36" s="29" t="e">
        <f t="shared" si="2"/>
        <v>#DIV/0!</v>
      </c>
      <c r="M36" s="29" t="e">
        <f t="shared" si="2"/>
        <v>#DIV/0!</v>
      </c>
      <c r="N36" s="29">
        <f t="shared" si="2"/>
        <v>231.19583333333335</v>
      </c>
      <c r="O36" s="29">
        <f t="shared" si="2"/>
        <v>0</v>
      </c>
      <c r="P36" s="29">
        <f t="shared" si="2"/>
        <v>1.4804166666666665</v>
      </c>
      <c r="Q36" s="29">
        <f t="shared" si="2"/>
        <v>108.65875000000001</v>
      </c>
      <c r="R36" s="29"/>
      <c r="S36" s="29"/>
      <c r="T36" s="29"/>
      <c r="U36" s="29"/>
    </row>
    <row r="37" spans="1:21" s="22" customFormat="1" x14ac:dyDescent="0.25">
      <c r="A37" s="28" t="s">
        <v>38</v>
      </c>
      <c r="B37" s="29">
        <f>STDEV(B9:B32)</f>
        <v>14.855796549602735</v>
      </c>
      <c r="C37" s="29">
        <f t="shared" ref="C37:Q37" si="3">STDEV(C9:C32)</f>
        <v>31.486034435805877</v>
      </c>
      <c r="D37" s="29">
        <f t="shared" si="3"/>
        <v>41.039849271907258</v>
      </c>
      <c r="E37" s="29">
        <f t="shared" si="3"/>
        <v>4.5665675237836343</v>
      </c>
      <c r="F37" s="29">
        <f t="shared" si="3"/>
        <v>6.803645428973236</v>
      </c>
      <c r="G37" s="29">
        <f t="shared" si="3"/>
        <v>47.883537433473514</v>
      </c>
      <c r="H37" s="29">
        <f t="shared" si="3"/>
        <v>34.777149833525421</v>
      </c>
      <c r="I37" s="29">
        <f t="shared" si="3"/>
        <v>0.4401547817348555</v>
      </c>
      <c r="J37" s="29">
        <f t="shared" si="3"/>
        <v>0.36528626852239399</v>
      </c>
      <c r="K37" s="29">
        <f t="shared" si="3"/>
        <v>105.82360938924106</v>
      </c>
      <c r="L37" s="29" t="e">
        <f t="shared" si="3"/>
        <v>#DIV/0!</v>
      </c>
      <c r="M37" s="29" t="e">
        <f t="shared" si="3"/>
        <v>#DIV/0!</v>
      </c>
      <c r="N37" s="29">
        <f t="shared" si="3"/>
        <v>310.97538764509073</v>
      </c>
      <c r="O37" s="29">
        <f t="shared" si="3"/>
        <v>0</v>
      </c>
      <c r="P37" s="29">
        <f t="shared" si="3"/>
        <v>0.88817585003180033</v>
      </c>
      <c r="Q37" s="29">
        <f t="shared" si="3"/>
        <v>25.99268648184475</v>
      </c>
      <c r="R37" s="29"/>
      <c r="S37" s="29"/>
      <c r="T37" s="29"/>
      <c r="U37" s="29"/>
    </row>
    <row r="38" spans="1:21" s="22" customFormat="1" x14ac:dyDescent="0.25">
      <c r="A38" s="32" t="s">
        <v>33</v>
      </c>
      <c r="B38" s="33">
        <f t="shared" ref="B38:Q38" si="4">COUNT(B9:B32)</f>
        <v>24</v>
      </c>
      <c r="C38" s="33">
        <f t="shared" si="4"/>
        <v>24</v>
      </c>
      <c r="D38" s="33">
        <f t="shared" si="4"/>
        <v>24</v>
      </c>
      <c r="E38" s="33">
        <f t="shared" si="4"/>
        <v>24</v>
      </c>
      <c r="F38" s="33">
        <f t="shared" si="4"/>
        <v>24</v>
      </c>
      <c r="G38" s="33">
        <f>COUNT(G9:G32)+9</f>
        <v>16</v>
      </c>
      <c r="H38" s="33">
        <f t="shared" si="4"/>
        <v>24</v>
      </c>
      <c r="I38" s="33">
        <f t="shared" si="4"/>
        <v>24</v>
      </c>
      <c r="J38" s="33">
        <f t="shared" si="4"/>
        <v>24</v>
      </c>
      <c r="K38" s="33">
        <f t="shared" si="4"/>
        <v>24</v>
      </c>
      <c r="L38" s="33">
        <f>COUNT(L9:L32)+24</f>
        <v>24</v>
      </c>
      <c r="M38" s="33">
        <f>COUNT(M9:M32)+24</f>
        <v>24</v>
      </c>
      <c r="N38" s="33">
        <f t="shared" si="4"/>
        <v>24</v>
      </c>
      <c r="O38" s="33">
        <f t="shared" si="4"/>
        <v>24</v>
      </c>
      <c r="P38" s="33">
        <f t="shared" si="4"/>
        <v>24</v>
      </c>
      <c r="Q38" s="33">
        <f t="shared" si="4"/>
        <v>24</v>
      </c>
      <c r="R38" s="33"/>
      <c r="S38" s="33"/>
      <c r="T38" s="33"/>
      <c r="U38" s="33"/>
    </row>
    <row r="39" spans="1:21" s="22" customFormat="1" x14ac:dyDescent="0.25">
      <c r="A39" s="28" t="s">
        <v>34</v>
      </c>
      <c r="B39" s="30" t="str">
        <f>IF(B38&gt;=22,"&gt;90%",IF(B38&lt;=22,"&lt;90%"))</f>
        <v>&gt;90%</v>
      </c>
      <c r="C39" s="30" t="str">
        <f t="shared" ref="C39:P39" si="5">IF(C38&gt;=22,"&gt;90%",IF(C38&lt;=22,"&lt;90%"))</f>
        <v>&gt;90%</v>
      </c>
      <c r="D39" s="30" t="str">
        <f t="shared" si="5"/>
        <v>&gt;90%</v>
      </c>
      <c r="E39" s="30" t="str">
        <f t="shared" si="5"/>
        <v>&gt;90%</v>
      </c>
      <c r="F39" s="30" t="str">
        <f t="shared" si="5"/>
        <v>&gt;90%</v>
      </c>
      <c r="G39" s="30" t="str">
        <f t="shared" si="5"/>
        <v>&lt;90%</v>
      </c>
      <c r="H39" s="30" t="str">
        <f t="shared" si="5"/>
        <v>&gt;90%</v>
      </c>
      <c r="I39" s="30" t="str">
        <f t="shared" si="5"/>
        <v>&gt;90%</v>
      </c>
      <c r="J39" s="30" t="str">
        <f t="shared" si="5"/>
        <v>&gt;90%</v>
      </c>
      <c r="K39" s="30" t="str">
        <f t="shared" si="5"/>
        <v>&gt;90%</v>
      </c>
      <c r="L39" s="30" t="str">
        <f t="shared" si="5"/>
        <v>&gt;90%</v>
      </c>
      <c r="M39" s="30" t="str">
        <f t="shared" si="5"/>
        <v>&gt;90%</v>
      </c>
      <c r="N39" s="30" t="str">
        <f t="shared" si="5"/>
        <v>&gt;90%</v>
      </c>
      <c r="O39" s="30" t="str">
        <f t="shared" si="5"/>
        <v>&gt;90%</v>
      </c>
      <c r="P39" s="30" t="str">
        <f t="shared" si="5"/>
        <v>&gt;90%</v>
      </c>
      <c r="Q39" s="30" t="str">
        <f>IF(Q38&gt;=22,"&gt;90%",IF(Q38&lt;=22,"&lt;90%"))</f>
        <v>&gt;90%</v>
      </c>
      <c r="R39" s="30"/>
      <c r="S39" s="30"/>
      <c r="T39" s="30"/>
      <c r="U39" s="30"/>
    </row>
    <row r="40" spans="1:21" s="22" customFormat="1" x14ac:dyDescent="0.25">
      <c r="A40" s="28" t="s">
        <v>1</v>
      </c>
      <c r="B40" s="30" t="str">
        <f>IF(B38&gt;=22,"OK",IF(B38&lt;=22,"LESS"))</f>
        <v>OK</v>
      </c>
      <c r="C40" s="30" t="str">
        <f t="shared" ref="C40:Q40" si="6">IF(C38&gt;=22,"OK",IF(C38&lt;=22,"LESS"))</f>
        <v>OK</v>
      </c>
      <c r="D40" s="30" t="str">
        <f t="shared" si="6"/>
        <v>OK</v>
      </c>
      <c r="E40" s="30" t="str">
        <f t="shared" si="6"/>
        <v>OK</v>
      </c>
      <c r="F40" s="30" t="str">
        <f t="shared" si="6"/>
        <v>OK</v>
      </c>
      <c r="G40" s="30" t="str">
        <f t="shared" si="6"/>
        <v>LESS</v>
      </c>
      <c r="H40" s="30" t="str">
        <f t="shared" si="6"/>
        <v>OK</v>
      </c>
      <c r="I40" s="30" t="str">
        <f t="shared" si="6"/>
        <v>OK</v>
      </c>
      <c r="J40" s="30" t="str">
        <f t="shared" si="6"/>
        <v>OK</v>
      </c>
      <c r="K40" s="30" t="str">
        <f t="shared" si="6"/>
        <v>OK</v>
      </c>
      <c r="L40" s="30" t="str">
        <f t="shared" si="6"/>
        <v>OK</v>
      </c>
      <c r="M40" s="30" t="str">
        <f t="shared" si="6"/>
        <v>OK</v>
      </c>
      <c r="N40" s="30" t="str">
        <f t="shared" si="6"/>
        <v>OK</v>
      </c>
      <c r="O40" s="30" t="str">
        <f t="shared" si="6"/>
        <v>OK</v>
      </c>
      <c r="P40" s="30" t="str">
        <f t="shared" si="6"/>
        <v>OK</v>
      </c>
      <c r="Q40" s="30" t="str">
        <f t="shared" si="6"/>
        <v>OK</v>
      </c>
      <c r="R40" s="30"/>
      <c r="S40" s="30"/>
      <c r="T40" s="30"/>
      <c r="U40" s="30"/>
    </row>
    <row r="41" spans="1:21" s="22" customFormat="1" x14ac:dyDescent="0.25">
      <c r="A41" s="14"/>
      <c r="L41" s="14"/>
      <c r="N41" s="17"/>
      <c r="O41" s="17"/>
      <c r="P41" s="17"/>
      <c r="Q41" s="17"/>
      <c r="R41" s="17"/>
      <c r="S41" s="17"/>
      <c r="T41" s="17"/>
      <c r="U41" s="17"/>
    </row>
    <row r="42" spans="1:21" s="22" customFormat="1" x14ac:dyDescent="0.25">
      <c r="A42" s="14"/>
    </row>
    <row r="43" spans="1:21" s="22" customFormat="1" x14ac:dyDescent="0.25">
      <c r="A43" s="15" t="s">
        <v>35</v>
      </c>
      <c r="B43" s="41" t="s">
        <v>61</v>
      </c>
      <c r="C43" s="43"/>
    </row>
    <row r="44" spans="1:21" s="22" customFormat="1" x14ac:dyDescent="0.25">
      <c r="A44" s="14"/>
      <c r="D44" s="2"/>
      <c r="E44" s="2"/>
      <c r="F44" s="2"/>
      <c r="G44" s="2"/>
      <c r="H44" s="2"/>
      <c r="I44" s="2"/>
    </row>
    <row r="45" spans="1:21" s="22" customFormat="1" ht="15.75" x14ac:dyDescent="0.25">
      <c r="A45" s="18" t="s">
        <v>36</v>
      </c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</row>
    <row r="46" spans="1:21" s="22" customFormat="1" x14ac:dyDescent="0.25"/>
    <row r="47" spans="1:21" s="22" customFormat="1" x14ac:dyDescent="0.25"/>
    <row r="48" spans="1:21" s="22" customFormat="1" x14ac:dyDescent="0.25"/>
    <row r="49" s="22" customFormat="1" x14ac:dyDescent="0.25"/>
    <row r="50" s="22" customFormat="1" x14ac:dyDescent="0.25"/>
    <row r="51" s="22" customFormat="1" x14ac:dyDescent="0.25"/>
    <row r="52" s="22" customFormat="1" x14ac:dyDescent="0.25"/>
    <row r="53" s="22" customFormat="1" x14ac:dyDescent="0.25"/>
    <row r="54" s="22" customFormat="1" x14ac:dyDescent="0.25"/>
    <row r="55" s="22" customFormat="1" x14ac:dyDescent="0.25"/>
    <row r="56" s="22" customFormat="1" x14ac:dyDescent="0.25"/>
    <row r="57" s="22" customFormat="1" x14ac:dyDescent="0.25"/>
    <row r="58" s="22" customFormat="1" x14ac:dyDescent="0.25"/>
    <row r="59" s="22" customFormat="1" x14ac:dyDescent="0.25"/>
    <row r="60" s="22" customFormat="1" x14ac:dyDescent="0.25"/>
    <row r="61" s="22" customFormat="1" x14ac:dyDescent="0.25"/>
    <row r="62" s="22" customFormat="1" x14ac:dyDescent="0.25"/>
    <row r="63" s="22" customFormat="1" x14ac:dyDescent="0.25"/>
    <row r="64" s="22" customFormat="1" x14ac:dyDescent="0.25"/>
    <row r="65" s="22" customFormat="1" x14ac:dyDescent="0.25"/>
    <row r="66" s="22" customFormat="1" x14ac:dyDescent="0.25"/>
    <row r="67" s="22" customFormat="1" x14ac:dyDescent="0.25"/>
    <row r="68" s="22" customFormat="1" x14ac:dyDescent="0.25"/>
    <row r="69" s="22" customFormat="1" x14ac:dyDescent="0.25"/>
    <row r="70" s="22" customFormat="1" x14ac:dyDescent="0.25"/>
    <row r="71" s="22" customFormat="1" x14ac:dyDescent="0.25"/>
    <row r="72" s="22" customFormat="1" x14ac:dyDescent="0.25"/>
    <row r="73" s="22" customFormat="1" x14ac:dyDescent="0.25"/>
    <row r="74" s="22" customFormat="1" x14ac:dyDescent="0.25"/>
    <row r="75" s="22" customFormat="1" x14ac:dyDescent="0.25"/>
    <row r="76" s="22" customFormat="1" x14ac:dyDescent="0.25"/>
    <row r="77" s="22" customFormat="1" x14ac:dyDescent="0.25"/>
    <row r="78" s="22" customFormat="1" x14ac:dyDescent="0.25"/>
    <row r="79" s="22" customFormat="1" x14ac:dyDescent="0.25"/>
    <row r="80" s="22" customFormat="1" x14ac:dyDescent="0.25"/>
    <row r="81" s="22" customFormat="1" x14ac:dyDescent="0.25"/>
    <row r="82" s="22" customFormat="1" x14ac:dyDescent="0.25"/>
    <row r="83" s="22" customFormat="1" x14ac:dyDescent="0.25"/>
    <row r="84" s="22" customFormat="1" x14ac:dyDescent="0.25"/>
    <row r="85" s="22" customFormat="1" x14ac:dyDescent="0.25"/>
    <row r="86" s="22" customFormat="1" x14ac:dyDescent="0.25"/>
    <row r="87" s="22" customFormat="1" x14ac:dyDescent="0.25"/>
    <row r="88" s="22" customFormat="1" x14ac:dyDescent="0.25"/>
    <row r="89" s="22" customFormat="1" x14ac:dyDescent="0.25"/>
    <row r="90" s="22" customFormat="1" x14ac:dyDescent="0.25"/>
    <row r="91" s="22" customFormat="1" x14ac:dyDescent="0.25"/>
    <row r="92" s="22" customFormat="1" x14ac:dyDescent="0.25"/>
    <row r="93" s="22" customFormat="1" x14ac:dyDescent="0.25"/>
    <row r="94" s="22" customFormat="1" x14ac:dyDescent="0.25"/>
    <row r="95" s="22" customFormat="1" x14ac:dyDescent="0.25"/>
    <row r="96" s="22" customFormat="1" x14ac:dyDescent="0.25"/>
    <row r="97" spans="1:1" s="22" customFormat="1" x14ac:dyDescent="0.25"/>
    <row r="98" spans="1:1" s="22" customFormat="1" x14ac:dyDescent="0.25"/>
    <row r="99" spans="1:1" s="22" customFormat="1" x14ac:dyDescent="0.25"/>
    <row r="100" spans="1:1" s="22" customFormat="1" x14ac:dyDescent="0.25"/>
    <row r="101" spans="1:1" s="22" customFormat="1" x14ac:dyDescent="0.25"/>
    <row r="102" spans="1:1" s="22" customFormat="1" x14ac:dyDescent="0.25"/>
    <row r="103" spans="1:1" s="22" customFormat="1" x14ac:dyDescent="0.25"/>
    <row r="104" spans="1:1" s="22" customFormat="1" x14ac:dyDescent="0.25"/>
    <row r="105" spans="1:1" s="22" customFormat="1" x14ac:dyDescent="0.25"/>
    <row r="106" spans="1:1" x14ac:dyDescent="0.25">
      <c r="A106" s="21"/>
    </row>
    <row r="107" spans="1:1" s="22" customFormat="1" x14ac:dyDescent="0.25"/>
    <row r="108" spans="1:1" s="22" customFormat="1" x14ac:dyDescent="0.25"/>
    <row r="109" spans="1:1" s="22" customFormat="1" x14ac:dyDescent="0.25"/>
    <row r="110" spans="1:1" s="22" customFormat="1" x14ac:dyDescent="0.25"/>
    <row r="111" spans="1:1" s="22" customFormat="1" x14ac:dyDescent="0.25"/>
    <row r="112" spans="1:1" s="22" customFormat="1" x14ac:dyDescent="0.25"/>
    <row r="113" spans="1:1" s="22" customFormat="1" x14ac:dyDescent="0.25"/>
    <row r="114" spans="1:1" s="22" customFormat="1" x14ac:dyDescent="0.25"/>
    <row r="115" spans="1:1" s="22" customFormat="1" x14ac:dyDescent="0.25"/>
    <row r="116" spans="1:1" s="22" customFormat="1" x14ac:dyDescent="0.25"/>
    <row r="117" spans="1:1" s="22" customFormat="1" x14ac:dyDescent="0.25"/>
    <row r="118" spans="1:1" x14ac:dyDescent="0.25">
      <c r="A118" s="21"/>
    </row>
    <row r="119" spans="1:1" x14ac:dyDescent="0.25">
      <c r="A119" s="21"/>
    </row>
  </sheetData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1" ySplit="8" topLeftCell="B21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25" sqref="G25"/>
    </sheetView>
  </sheetViews>
  <sheetFormatPr defaultColWidth="8.85546875" defaultRowHeight="15" x14ac:dyDescent="0.25"/>
  <cols>
    <col min="1" max="1" width="18.28515625" style="27" customWidth="1"/>
    <col min="2" max="2" width="12.7109375" style="21" customWidth="1"/>
    <col min="3" max="12" width="9.140625" style="21" customWidth="1"/>
    <col min="13" max="13" width="10" style="21" customWidth="1"/>
    <col min="14" max="19" width="9.140625" style="21" customWidth="1"/>
    <col min="20" max="20" width="11.42578125" style="21" customWidth="1"/>
    <col min="21" max="16384" width="8.85546875" style="21"/>
  </cols>
  <sheetData>
    <row r="1" spans="1:21" s="22" customFormat="1" ht="26.25" x14ac:dyDescent="0.25">
      <c r="A1" s="15" t="s">
        <v>2</v>
      </c>
      <c r="B1" s="24" t="s">
        <v>43</v>
      </c>
      <c r="C1" s="38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s="22" customFormat="1" x14ac:dyDescent="0.25">
      <c r="A2" s="15" t="s">
        <v>0</v>
      </c>
      <c r="B2" s="39" t="str">
        <f>$A$9</f>
        <v>19-10-2022 01:00</v>
      </c>
      <c r="C2" s="12"/>
      <c r="D2" s="11" t="s">
        <v>3</v>
      </c>
      <c r="E2" s="11"/>
      <c r="F2" s="11"/>
      <c r="G2" s="4" t="s">
        <v>4</v>
      </c>
      <c r="H2" s="20"/>
      <c r="I2" s="20"/>
      <c r="J2" s="20"/>
      <c r="K2" s="13"/>
      <c r="L2" s="11" t="s">
        <v>5</v>
      </c>
      <c r="M2" s="13"/>
      <c r="N2" s="8" t="s">
        <v>6</v>
      </c>
      <c r="P2" s="40" t="s">
        <v>7</v>
      </c>
      <c r="Q2" s="13"/>
      <c r="R2" s="9" t="s">
        <v>8</v>
      </c>
      <c r="S2" s="12"/>
      <c r="T2" s="12"/>
      <c r="U2" s="12"/>
    </row>
    <row r="3" spans="1:21" s="22" customFormat="1" x14ac:dyDescent="0.25">
      <c r="A3" s="15" t="s">
        <v>9</v>
      </c>
      <c r="B3" s="13" t="s">
        <v>10</v>
      </c>
      <c r="C3" s="12"/>
      <c r="D3" s="11" t="s">
        <v>11</v>
      </c>
      <c r="E3" s="11"/>
      <c r="F3" s="11"/>
      <c r="G3" s="19" t="s">
        <v>12</v>
      </c>
      <c r="H3" s="20"/>
      <c r="I3" s="20"/>
      <c r="J3" s="20"/>
      <c r="K3" s="12"/>
      <c r="L3" s="11" t="s">
        <v>13</v>
      </c>
      <c r="M3" s="13"/>
      <c r="N3" s="6" t="s">
        <v>14</v>
      </c>
      <c r="O3" s="13"/>
      <c r="P3" s="40" t="s">
        <v>15</v>
      </c>
      <c r="Q3" s="13"/>
      <c r="R3" s="10" t="s">
        <v>15</v>
      </c>
      <c r="S3" s="12"/>
      <c r="T3" s="12"/>
      <c r="U3" s="12"/>
    </row>
    <row r="4" spans="1:21" s="22" customFormat="1" x14ac:dyDescent="0.25">
      <c r="A4" s="15" t="s">
        <v>16</v>
      </c>
      <c r="B4" s="13" t="s">
        <v>39</v>
      </c>
      <c r="C4" s="12"/>
      <c r="D4" s="11" t="s">
        <v>17</v>
      </c>
      <c r="E4" s="11"/>
      <c r="F4" s="11"/>
      <c r="G4" s="5" t="s">
        <v>18</v>
      </c>
      <c r="H4" s="20"/>
      <c r="I4" s="20"/>
      <c r="J4" s="20"/>
      <c r="K4" s="3"/>
      <c r="L4" s="11" t="s">
        <v>19</v>
      </c>
      <c r="M4" s="13"/>
      <c r="N4" s="7" t="s">
        <v>20</v>
      </c>
      <c r="O4" s="13"/>
      <c r="P4" s="13"/>
      <c r="Q4" s="13"/>
      <c r="R4" s="13"/>
      <c r="S4" s="12"/>
      <c r="T4" s="12"/>
      <c r="U4" s="12"/>
    </row>
    <row r="5" spans="1:21" s="22" customFormat="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s="22" customFormat="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s="22" customFormat="1" x14ac:dyDescent="0.25">
      <c r="A7" s="15" t="s">
        <v>21</v>
      </c>
      <c r="B7" s="45" t="s">
        <v>59</v>
      </c>
      <c r="C7" s="45" t="s">
        <v>44</v>
      </c>
      <c r="D7" s="45" t="s">
        <v>45</v>
      </c>
      <c r="E7" s="45" t="s">
        <v>46</v>
      </c>
      <c r="F7" s="45" t="s">
        <v>47</v>
      </c>
      <c r="G7" s="45" t="s">
        <v>48</v>
      </c>
      <c r="H7" s="45" t="s">
        <v>49</v>
      </c>
      <c r="I7" s="45" t="s">
        <v>50</v>
      </c>
      <c r="J7" s="45" t="s">
        <v>51</v>
      </c>
      <c r="K7" s="45" t="s">
        <v>52</v>
      </c>
      <c r="L7" s="45" t="s">
        <v>53</v>
      </c>
      <c r="M7" s="45" t="s">
        <v>54</v>
      </c>
      <c r="N7" s="45" t="s">
        <v>55</v>
      </c>
      <c r="O7" s="45" t="s">
        <v>56</v>
      </c>
      <c r="P7" s="45" t="s">
        <v>57</v>
      </c>
      <c r="Q7" s="45" t="s">
        <v>58</v>
      </c>
      <c r="R7" s="28"/>
      <c r="S7" s="30"/>
      <c r="T7" s="28"/>
      <c r="U7" s="28"/>
    </row>
    <row r="8" spans="1:21" s="22" customFormat="1" x14ac:dyDescent="0.25">
      <c r="A8" s="15"/>
      <c r="B8" s="30" t="s">
        <v>22</v>
      </c>
      <c r="C8" s="30" t="s">
        <v>22</v>
      </c>
      <c r="D8" s="30" t="s">
        <v>22</v>
      </c>
      <c r="E8" s="30" t="s">
        <v>22</v>
      </c>
      <c r="F8" s="30" t="s">
        <v>22</v>
      </c>
      <c r="G8" s="30" t="s">
        <v>23</v>
      </c>
      <c r="H8" s="30" t="s">
        <v>22</v>
      </c>
      <c r="I8" s="30" t="s">
        <v>22</v>
      </c>
      <c r="J8" s="30" t="s">
        <v>24</v>
      </c>
      <c r="K8" s="30" t="s">
        <v>25</v>
      </c>
      <c r="L8" s="28" t="s">
        <v>27</v>
      </c>
      <c r="M8" s="30" t="s">
        <v>26</v>
      </c>
      <c r="N8" s="30" t="s">
        <v>28</v>
      </c>
      <c r="O8" s="28" t="s">
        <v>29</v>
      </c>
      <c r="P8" s="30" t="s">
        <v>22</v>
      </c>
      <c r="Q8" s="30" t="s">
        <v>22</v>
      </c>
      <c r="R8" s="28"/>
      <c r="S8" s="30"/>
      <c r="T8" s="28"/>
      <c r="U8" s="28"/>
    </row>
    <row r="9" spans="1:21" s="12" customFormat="1" x14ac:dyDescent="0.25">
      <c r="A9" s="51" t="s">
        <v>494</v>
      </c>
      <c r="B9" s="52">
        <v>27.7</v>
      </c>
      <c r="C9" s="52">
        <v>45.34</v>
      </c>
      <c r="D9" s="52">
        <v>73.040000000000006</v>
      </c>
      <c r="E9" s="52">
        <v>8.4600000000000009</v>
      </c>
      <c r="F9" s="52">
        <v>1.63</v>
      </c>
      <c r="G9" s="10" t="s">
        <v>15</v>
      </c>
      <c r="H9" s="52">
        <v>89.31</v>
      </c>
      <c r="I9" s="52">
        <v>1.55</v>
      </c>
      <c r="J9" s="52">
        <v>0.3</v>
      </c>
      <c r="K9" s="52">
        <v>347.77</v>
      </c>
      <c r="L9" s="9" t="s">
        <v>8</v>
      </c>
      <c r="M9" s="9" t="s">
        <v>8</v>
      </c>
      <c r="N9" s="52">
        <v>5.0999999999999996</v>
      </c>
      <c r="O9" s="52">
        <v>0</v>
      </c>
      <c r="P9" s="52">
        <v>2.14</v>
      </c>
      <c r="Q9" s="52">
        <v>122.59</v>
      </c>
      <c r="R9" s="44"/>
      <c r="S9" s="44"/>
      <c r="T9" s="44"/>
      <c r="U9" s="44"/>
    </row>
    <row r="10" spans="1:21" s="12" customFormat="1" x14ac:dyDescent="0.25">
      <c r="A10" s="51" t="s">
        <v>495</v>
      </c>
      <c r="B10" s="52">
        <v>21.46</v>
      </c>
      <c r="C10" s="52">
        <v>36.72</v>
      </c>
      <c r="D10" s="52">
        <v>58.19</v>
      </c>
      <c r="E10" s="52">
        <v>8.0500000000000007</v>
      </c>
      <c r="F10" s="52">
        <v>1.62</v>
      </c>
      <c r="G10" s="10" t="s">
        <v>15</v>
      </c>
      <c r="H10" s="52">
        <v>65.459999999999994</v>
      </c>
      <c r="I10" s="52">
        <v>1.18</v>
      </c>
      <c r="J10" s="52">
        <v>0.13</v>
      </c>
      <c r="K10" s="52">
        <v>324.49</v>
      </c>
      <c r="L10" s="9" t="s">
        <v>8</v>
      </c>
      <c r="M10" s="9" t="s">
        <v>8</v>
      </c>
      <c r="N10" s="52">
        <v>5</v>
      </c>
      <c r="O10" s="52">
        <v>0</v>
      </c>
      <c r="P10" s="52">
        <v>1.63</v>
      </c>
      <c r="Q10" s="52">
        <v>97.43</v>
      </c>
      <c r="R10" s="44"/>
      <c r="S10" s="44"/>
      <c r="T10" s="44"/>
      <c r="U10" s="44"/>
    </row>
    <row r="11" spans="1:21" s="12" customFormat="1" x14ac:dyDescent="0.25">
      <c r="A11" s="51" t="s">
        <v>496</v>
      </c>
      <c r="B11" s="52">
        <v>22.16</v>
      </c>
      <c r="C11" s="52">
        <v>36.18</v>
      </c>
      <c r="D11" s="52">
        <v>57.59</v>
      </c>
      <c r="E11" s="52">
        <v>8.7799999999999994</v>
      </c>
      <c r="F11" s="52">
        <v>0.96</v>
      </c>
      <c r="G11" s="10" t="s">
        <v>15</v>
      </c>
      <c r="H11" s="52">
        <v>49.97</v>
      </c>
      <c r="I11" s="52">
        <v>1.22</v>
      </c>
      <c r="J11" s="52">
        <v>0.69</v>
      </c>
      <c r="K11" s="52">
        <v>100.95</v>
      </c>
      <c r="L11" s="9" t="s">
        <v>8</v>
      </c>
      <c r="M11" s="9" t="s">
        <v>8</v>
      </c>
      <c r="N11" s="52">
        <v>5</v>
      </c>
      <c r="O11" s="52">
        <v>0</v>
      </c>
      <c r="P11" s="52">
        <v>1.62</v>
      </c>
      <c r="Q11" s="52">
        <v>111.03</v>
      </c>
      <c r="R11" s="44"/>
      <c r="S11" s="44"/>
      <c r="T11" s="44"/>
      <c r="U11" s="44"/>
    </row>
    <row r="12" spans="1:21" s="12" customFormat="1" x14ac:dyDescent="0.25">
      <c r="A12" s="51" t="s">
        <v>497</v>
      </c>
      <c r="B12" s="52">
        <v>19.2</v>
      </c>
      <c r="C12" s="52">
        <v>31</v>
      </c>
      <c r="D12" s="52">
        <v>50.2</v>
      </c>
      <c r="E12" s="52">
        <v>8.41</v>
      </c>
      <c r="F12" s="52">
        <v>0.78</v>
      </c>
      <c r="G12" s="10" t="s">
        <v>15</v>
      </c>
      <c r="H12" s="52">
        <v>45.26</v>
      </c>
      <c r="I12" s="52">
        <v>1.1100000000000001</v>
      </c>
      <c r="J12" s="52">
        <v>0.28999999999999998</v>
      </c>
      <c r="K12" s="52">
        <v>258.83</v>
      </c>
      <c r="L12" s="9" t="s">
        <v>8</v>
      </c>
      <c r="M12" s="9" t="s">
        <v>8</v>
      </c>
      <c r="N12" s="52">
        <v>5</v>
      </c>
      <c r="O12" s="52">
        <v>0</v>
      </c>
      <c r="P12" s="52">
        <v>1.39</v>
      </c>
      <c r="Q12" s="52">
        <v>106.39</v>
      </c>
      <c r="R12" s="44"/>
      <c r="S12" s="44"/>
      <c r="T12" s="44"/>
      <c r="U12" s="44"/>
    </row>
    <row r="13" spans="1:21" s="12" customFormat="1" x14ac:dyDescent="0.25">
      <c r="A13" s="51" t="s">
        <v>498</v>
      </c>
      <c r="B13" s="52">
        <v>18.61</v>
      </c>
      <c r="C13" s="52">
        <v>42.35</v>
      </c>
      <c r="D13" s="52">
        <v>60.95</v>
      </c>
      <c r="E13" s="52">
        <v>9.01</v>
      </c>
      <c r="F13" s="52">
        <v>0.96</v>
      </c>
      <c r="G13" s="9" t="s">
        <v>8</v>
      </c>
      <c r="H13" s="52">
        <v>44.81</v>
      </c>
      <c r="I13" s="52">
        <v>0.94</v>
      </c>
      <c r="J13" s="52">
        <v>0.75</v>
      </c>
      <c r="K13" s="52">
        <v>40.98</v>
      </c>
      <c r="L13" s="9" t="s">
        <v>8</v>
      </c>
      <c r="M13" s="9" t="s">
        <v>8</v>
      </c>
      <c r="N13" s="52">
        <v>5</v>
      </c>
      <c r="O13" s="52">
        <v>0</v>
      </c>
      <c r="P13" s="52">
        <v>1.28</v>
      </c>
      <c r="Q13" s="52">
        <v>91.8</v>
      </c>
      <c r="R13" s="44"/>
      <c r="S13" s="44"/>
      <c r="T13" s="44"/>
      <c r="U13" s="44"/>
    </row>
    <row r="14" spans="1:21" s="12" customFormat="1" x14ac:dyDescent="0.25">
      <c r="A14" s="51" t="s">
        <v>499</v>
      </c>
      <c r="B14" s="52">
        <v>17.55</v>
      </c>
      <c r="C14" s="52">
        <v>35.270000000000003</v>
      </c>
      <c r="D14" s="52">
        <v>52.28</v>
      </c>
      <c r="E14" s="52">
        <v>8.93</v>
      </c>
      <c r="F14" s="52">
        <v>0.54</v>
      </c>
      <c r="G14" s="9" t="s">
        <v>8</v>
      </c>
      <c r="H14" s="52">
        <v>78.78</v>
      </c>
      <c r="I14" s="52">
        <v>0.91</v>
      </c>
      <c r="J14" s="52">
        <v>0.81</v>
      </c>
      <c r="K14" s="52">
        <v>65.52</v>
      </c>
      <c r="L14" s="9" t="s">
        <v>8</v>
      </c>
      <c r="M14" s="9" t="s">
        <v>8</v>
      </c>
      <c r="N14" s="52">
        <v>6.2</v>
      </c>
      <c r="O14" s="52">
        <v>0</v>
      </c>
      <c r="P14" s="52">
        <v>1.35</v>
      </c>
      <c r="Q14" s="52">
        <v>96.3</v>
      </c>
      <c r="R14" s="44"/>
      <c r="S14" s="44"/>
      <c r="T14" s="44"/>
      <c r="U14" s="44"/>
    </row>
    <row r="15" spans="1:21" s="12" customFormat="1" x14ac:dyDescent="0.25">
      <c r="A15" s="51" t="s">
        <v>500</v>
      </c>
      <c r="B15" s="52">
        <v>18.3</v>
      </c>
      <c r="C15" s="52">
        <v>34.43</v>
      </c>
      <c r="D15" s="52">
        <v>52.74</v>
      </c>
      <c r="E15" s="52">
        <v>8.3800000000000008</v>
      </c>
      <c r="F15" s="52">
        <v>0.51</v>
      </c>
      <c r="G15" s="52">
        <v>123.86</v>
      </c>
      <c r="H15" s="52">
        <v>78.19</v>
      </c>
      <c r="I15" s="52">
        <v>0.9</v>
      </c>
      <c r="J15" s="52">
        <v>1.17</v>
      </c>
      <c r="K15" s="52">
        <v>49.3</v>
      </c>
      <c r="L15" s="9" t="s">
        <v>8</v>
      </c>
      <c r="M15" s="9" t="s">
        <v>8</v>
      </c>
      <c r="N15" s="52">
        <v>58.3</v>
      </c>
      <c r="O15" s="52">
        <v>0</v>
      </c>
      <c r="P15" s="52">
        <v>1.33</v>
      </c>
      <c r="Q15" s="52">
        <v>110.39</v>
      </c>
      <c r="R15" s="44"/>
      <c r="S15" s="44"/>
      <c r="T15" s="44"/>
      <c r="U15" s="44"/>
    </row>
    <row r="16" spans="1:21" s="12" customFormat="1" x14ac:dyDescent="0.25">
      <c r="A16" s="51" t="s">
        <v>501</v>
      </c>
      <c r="B16" s="52">
        <v>24.57</v>
      </c>
      <c r="C16" s="52">
        <v>42.96</v>
      </c>
      <c r="D16" s="52">
        <v>67.53</v>
      </c>
      <c r="E16" s="52">
        <v>8.1999999999999993</v>
      </c>
      <c r="F16" s="52">
        <v>0.77</v>
      </c>
      <c r="G16" s="52">
        <v>94.97</v>
      </c>
      <c r="H16" s="52">
        <v>80.489999999999995</v>
      </c>
      <c r="I16" s="52">
        <v>0.78</v>
      </c>
      <c r="J16" s="52">
        <v>0.86</v>
      </c>
      <c r="K16" s="52">
        <v>99.02</v>
      </c>
      <c r="L16" s="9" t="s">
        <v>8</v>
      </c>
      <c r="M16" s="9" t="s">
        <v>8</v>
      </c>
      <c r="N16" s="52">
        <v>82.9</v>
      </c>
      <c r="O16" s="52">
        <v>0</v>
      </c>
      <c r="P16" s="52">
        <v>1.23</v>
      </c>
      <c r="Q16" s="52">
        <v>111.36</v>
      </c>
      <c r="R16" s="44"/>
      <c r="S16" s="44"/>
      <c r="T16" s="44"/>
      <c r="U16" s="44"/>
    </row>
    <row r="17" spans="1:21" s="12" customFormat="1" x14ac:dyDescent="0.25">
      <c r="A17" s="51" t="s">
        <v>502</v>
      </c>
      <c r="B17" s="52">
        <v>25.12</v>
      </c>
      <c r="C17" s="52">
        <v>41.31</v>
      </c>
      <c r="D17" s="52">
        <v>66.430000000000007</v>
      </c>
      <c r="E17" s="52">
        <v>7.84</v>
      </c>
      <c r="F17" s="52">
        <v>1.05</v>
      </c>
      <c r="G17" s="10" t="s">
        <v>15</v>
      </c>
      <c r="H17" s="52">
        <v>78.5</v>
      </c>
      <c r="I17" s="52">
        <v>0.79</v>
      </c>
      <c r="J17" s="52">
        <v>1.1499999999999999</v>
      </c>
      <c r="K17" s="52">
        <v>110.83</v>
      </c>
      <c r="L17" s="9" t="s">
        <v>8</v>
      </c>
      <c r="M17" s="9" t="s">
        <v>8</v>
      </c>
      <c r="N17" s="52">
        <v>241.6</v>
      </c>
      <c r="O17" s="52">
        <v>0</v>
      </c>
      <c r="P17" s="52">
        <v>1.18</v>
      </c>
      <c r="Q17" s="52">
        <v>123.3</v>
      </c>
      <c r="R17" s="44"/>
      <c r="S17" s="44"/>
      <c r="T17" s="44"/>
      <c r="U17" s="44"/>
    </row>
    <row r="18" spans="1:21" s="12" customFormat="1" x14ac:dyDescent="0.25">
      <c r="A18" s="51" t="s">
        <v>503</v>
      </c>
      <c r="B18" s="52">
        <v>22.1</v>
      </c>
      <c r="C18" s="52">
        <v>41.17</v>
      </c>
      <c r="D18" s="52">
        <v>62.94</v>
      </c>
      <c r="E18" s="52">
        <v>8.66</v>
      </c>
      <c r="F18" s="52">
        <v>2.71</v>
      </c>
      <c r="G18" s="52">
        <v>160.94999999999999</v>
      </c>
      <c r="H18" s="52">
        <v>73.8</v>
      </c>
      <c r="I18" s="52">
        <v>0.74</v>
      </c>
      <c r="J18" s="52">
        <v>1.1599999999999999</v>
      </c>
      <c r="K18" s="52">
        <v>125.09</v>
      </c>
      <c r="L18" s="9" t="s">
        <v>8</v>
      </c>
      <c r="M18" s="9" t="s">
        <v>8</v>
      </c>
      <c r="N18" s="52">
        <v>586</v>
      </c>
      <c r="O18" s="52">
        <v>0</v>
      </c>
      <c r="P18" s="52">
        <v>1.08</v>
      </c>
      <c r="Q18" s="52">
        <v>145.54</v>
      </c>
      <c r="R18" s="44"/>
      <c r="S18" s="44"/>
      <c r="T18" s="44"/>
      <c r="U18" s="44"/>
    </row>
    <row r="19" spans="1:21" s="12" customFormat="1" x14ac:dyDescent="0.25">
      <c r="A19" s="51" t="s">
        <v>504</v>
      </c>
      <c r="B19" s="52">
        <v>12.03</v>
      </c>
      <c r="C19" s="52">
        <v>68.63</v>
      </c>
      <c r="D19" s="52">
        <v>78.52</v>
      </c>
      <c r="E19" s="52">
        <v>9.82</v>
      </c>
      <c r="F19" s="52">
        <v>19.43</v>
      </c>
      <c r="G19" s="52">
        <v>92.35</v>
      </c>
      <c r="H19" s="52">
        <v>61.84</v>
      </c>
      <c r="I19" s="52">
        <v>0.71</v>
      </c>
      <c r="J19" s="52">
        <v>1.87</v>
      </c>
      <c r="K19" s="52">
        <v>166.55</v>
      </c>
      <c r="L19" s="9" t="s">
        <v>8</v>
      </c>
      <c r="M19" s="9" t="s">
        <v>8</v>
      </c>
      <c r="N19" s="52">
        <v>770.9</v>
      </c>
      <c r="O19" s="52">
        <v>0</v>
      </c>
      <c r="P19" s="52">
        <v>0.98</v>
      </c>
      <c r="Q19" s="52">
        <v>92.26</v>
      </c>
      <c r="R19" s="44"/>
      <c r="S19" s="44"/>
      <c r="T19" s="44"/>
      <c r="U19" s="44"/>
    </row>
    <row r="20" spans="1:21" s="12" customFormat="1" x14ac:dyDescent="0.25">
      <c r="A20" s="51" t="s">
        <v>505</v>
      </c>
      <c r="B20" s="52">
        <v>5.9</v>
      </c>
      <c r="C20" s="52">
        <v>40.07</v>
      </c>
      <c r="D20" s="52">
        <v>45.98</v>
      </c>
      <c r="E20" s="52">
        <v>9.9499999999999993</v>
      </c>
      <c r="F20" s="52">
        <v>9.81</v>
      </c>
      <c r="G20" s="52">
        <v>103.98</v>
      </c>
      <c r="H20" s="52">
        <v>51.32</v>
      </c>
      <c r="I20" s="52">
        <v>0.23</v>
      </c>
      <c r="J20" s="52">
        <v>1.07</v>
      </c>
      <c r="K20" s="52">
        <v>150.56</v>
      </c>
      <c r="L20" s="9" t="s">
        <v>8</v>
      </c>
      <c r="M20" s="9" t="s">
        <v>8</v>
      </c>
      <c r="N20" s="52">
        <v>752.1</v>
      </c>
      <c r="O20" s="52">
        <v>0</v>
      </c>
      <c r="P20" s="52">
        <v>0.72</v>
      </c>
      <c r="Q20" s="52">
        <v>60.32</v>
      </c>
      <c r="R20" s="44"/>
      <c r="S20" s="44"/>
      <c r="T20" s="44"/>
      <c r="U20" s="44"/>
    </row>
    <row r="21" spans="1:21" s="12" customFormat="1" x14ac:dyDescent="0.25">
      <c r="A21" s="51" t="s">
        <v>506</v>
      </c>
      <c r="B21" s="52">
        <v>4.6500000000000004</v>
      </c>
      <c r="C21" s="52">
        <v>40.54</v>
      </c>
      <c r="D21" s="52">
        <v>45.19</v>
      </c>
      <c r="E21" s="52">
        <v>9.9499999999999993</v>
      </c>
      <c r="F21" s="52">
        <v>11.52</v>
      </c>
      <c r="G21" s="52">
        <v>58.7</v>
      </c>
      <c r="H21" s="52">
        <v>51.26</v>
      </c>
      <c r="I21" s="52">
        <v>0.31</v>
      </c>
      <c r="J21" s="52">
        <v>1.25</v>
      </c>
      <c r="K21" s="52">
        <v>105.77</v>
      </c>
      <c r="L21" s="9" t="s">
        <v>8</v>
      </c>
      <c r="M21" s="9" t="s">
        <v>8</v>
      </c>
      <c r="N21" s="52">
        <v>733.1</v>
      </c>
      <c r="O21" s="52">
        <v>0</v>
      </c>
      <c r="P21" s="52">
        <v>0.74</v>
      </c>
      <c r="Q21" s="52">
        <v>70.900000000000006</v>
      </c>
      <c r="R21" s="44"/>
      <c r="S21" s="44"/>
      <c r="T21" s="44"/>
      <c r="U21" s="44"/>
    </row>
    <row r="22" spans="1:21" s="12" customFormat="1" x14ac:dyDescent="0.25">
      <c r="A22" s="51" t="s">
        <v>507</v>
      </c>
      <c r="B22" s="52">
        <v>4.6500000000000004</v>
      </c>
      <c r="C22" s="52">
        <v>40.54</v>
      </c>
      <c r="D22" s="52">
        <v>45.19</v>
      </c>
      <c r="E22" s="52">
        <v>9.9499999999999993</v>
      </c>
      <c r="F22" s="52">
        <v>11.52</v>
      </c>
      <c r="G22" s="9" t="s">
        <v>8</v>
      </c>
      <c r="H22" s="52">
        <v>51.16</v>
      </c>
      <c r="I22" s="52">
        <v>0.31</v>
      </c>
      <c r="J22" s="52">
        <v>0.61</v>
      </c>
      <c r="K22" s="52">
        <v>72.84</v>
      </c>
      <c r="L22" s="9" t="s">
        <v>8</v>
      </c>
      <c r="M22" s="9" t="s">
        <v>8</v>
      </c>
      <c r="N22" s="52">
        <v>645.79999999999995</v>
      </c>
      <c r="O22" s="52">
        <v>0</v>
      </c>
      <c r="P22" s="52">
        <v>0.74</v>
      </c>
      <c r="Q22" s="52">
        <v>70.900000000000006</v>
      </c>
      <c r="R22" s="44"/>
      <c r="S22" s="44"/>
      <c r="T22" s="44"/>
      <c r="U22" s="44"/>
    </row>
    <row r="23" spans="1:21" s="12" customFormat="1" x14ac:dyDescent="0.25">
      <c r="A23" s="51" t="s">
        <v>508</v>
      </c>
      <c r="B23" s="52">
        <v>5.65</v>
      </c>
      <c r="C23" s="52">
        <v>41.94</v>
      </c>
      <c r="D23" s="52">
        <v>47.59</v>
      </c>
      <c r="E23" s="52">
        <v>12.9</v>
      </c>
      <c r="F23" s="52">
        <v>6.5</v>
      </c>
      <c r="G23" s="52">
        <v>87.63</v>
      </c>
      <c r="H23" s="52">
        <v>49.44</v>
      </c>
      <c r="I23" s="52">
        <v>0.42</v>
      </c>
      <c r="J23" s="52">
        <v>1.07</v>
      </c>
      <c r="K23" s="52">
        <v>120.21</v>
      </c>
      <c r="L23" s="9" t="s">
        <v>8</v>
      </c>
      <c r="M23" s="9" t="s">
        <v>8</v>
      </c>
      <c r="N23" s="52">
        <v>521.29999999999995</v>
      </c>
      <c r="O23" s="52">
        <v>0</v>
      </c>
      <c r="P23" s="52">
        <v>0.73</v>
      </c>
      <c r="Q23" s="52">
        <v>92.62</v>
      </c>
      <c r="R23" s="44"/>
      <c r="S23" s="44"/>
      <c r="T23" s="44"/>
      <c r="U23" s="44"/>
    </row>
    <row r="24" spans="1:21" s="12" customFormat="1" x14ac:dyDescent="0.25">
      <c r="A24" s="51" t="s">
        <v>509</v>
      </c>
      <c r="B24" s="52">
        <v>7.36</v>
      </c>
      <c r="C24" s="52">
        <v>44.63</v>
      </c>
      <c r="D24" s="52">
        <v>51.4</v>
      </c>
      <c r="E24" s="52">
        <v>12.87</v>
      </c>
      <c r="F24" s="52">
        <v>9.93</v>
      </c>
      <c r="G24" s="52">
        <v>51.77</v>
      </c>
      <c r="H24" s="52">
        <v>48.13</v>
      </c>
      <c r="I24" s="52">
        <v>0.43</v>
      </c>
      <c r="J24" s="52">
        <v>2.46</v>
      </c>
      <c r="K24" s="52">
        <v>102.89</v>
      </c>
      <c r="L24" s="9" t="s">
        <v>8</v>
      </c>
      <c r="M24" s="9" t="s">
        <v>8</v>
      </c>
      <c r="N24" s="52">
        <v>273.2</v>
      </c>
      <c r="O24" s="52">
        <v>0</v>
      </c>
      <c r="P24" s="52">
        <v>0.74</v>
      </c>
      <c r="Q24" s="52">
        <v>91</v>
      </c>
      <c r="R24" s="44"/>
      <c r="S24" s="44"/>
      <c r="T24" s="44"/>
      <c r="U24" s="44"/>
    </row>
    <row r="25" spans="1:21" s="12" customFormat="1" x14ac:dyDescent="0.25">
      <c r="A25" s="51" t="s">
        <v>510</v>
      </c>
      <c r="B25" s="52">
        <v>26.79</v>
      </c>
      <c r="C25" s="52">
        <v>151.63999999999999</v>
      </c>
      <c r="D25" s="52">
        <v>165.98</v>
      </c>
      <c r="E25" s="52">
        <v>17.059999999999999</v>
      </c>
      <c r="F25" s="52">
        <v>11.61</v>
      </c>
      <c r="G25" s="10" t="s">
        <v>15</v>
      </c>
      <c r="H25" s="52">
        <v>58.86</v>
      </c>
      <c r="I25" s="52">
        <v>0.43</v>
      </c>
      <c r="J25" s="52">
        <v>0.96</v>
      </c>
      <c r="K25" s="52">
        <v>359.86</v>
      </c>
      <c r="L25" s="9" t="s">
        <v>8</v>
      </c>
      <c r="M25" s="9" t="s">
        <v>8</v>
      </c>
      <c r="N25" s="52">
        <v>99.5</v>
      </c>
      <c r="O25" s="52">
        <v>0</v>
      </c>
      <c r="P25" s="52">
        <v>1.1599999999999999</v>
      </c>
      <c r="Q25" s="52">
        <v>117.4</v>
      </c>
      <c r="R25" s="44"/>
      <c r="S25" s="44"/>
      <c r="T25" s="44"/>
      <c r="U25" s="44"/>
    </row>
    <row r="26" spans="1:21" s="12" customFormat="1" x14ac:dyDescent="0.25">
      <c r="A26" s="51" t="s">
        <v>511</v>
      </c>
      <c r="B26" s="52">
        <v>13.95</v>
      </c>
      <c r="C26" s="52">
        <v>108.28</v>
      </c>
      <c r="D26" s="52">
        <v>111.87</v>
      </c>
      <c r="E26" s="52">
        <v>13.8</v>
      </c>
      <c r="F26" s="52">
        <v>5.51</v>
      </c>
      <c r="G26" s="52">
        <v>253.31</v>
      </c>
      <c r="H26" s="52">
        <v>60.77</v>
      </c>
      <c r="I26" s="52">
        <v>0.41</v>
      </c>
      <c r="J26" s="52">
        <v>0.77</v>
      </c>
      <c r="K26" s="52">
        <v>74.17</v>
      </c>
      <c r="L26" s="9" t="s">
        <v>8</v>
      </c>
      <c r="M26" s="9" t="s">
        <v>8</v>
      </c>
      <c r="N26" s="52">
        <v>23.7</v>
      </c>
      <c r="O26" s="52">
        <v>0</v>
      </c>
      <c r="P26" s="52">
        <v>1.38</v>
      </c>
      <c r="Q26" s="52">
        <v>96.76</v>
      </c>
      <c r="R26" s="44"/>
      <c r="S26" s="44"/>
      <c r="T26" s="44"/>
      <c r="U26" s="44"/>
    </row>
    <row r="27" spans="1:21" s="12" customFormat="1" x14ac:dyDescent="0.25">
      <c r="A27" s="51" t="s">
        <v>512</v>
      </c>
      <c r="B27" s="52">
        <v>14.83</v>
      </c>
      <c r="C27" s="52">
        <v>89.36</v>
      </c>
      <c r="D27" s="52">
        <v>60.31</v>
      </c>
      <c r="E27" s="52">
        <v>12.86</v>
      </c>
      <c r="F27" s="52">
        <v>4.24</v>
      </c>
      <c r="G27" s="52">
        <v>195.66</v>
      </c>
      <c r="H27" s="52">
        <v>59.45</v>
      </c>
      <c r="I27" s="52">
        <v>0.52</v>
      </c>
      <c r="J27" s="52">
        <v>0.52</v>
      </c>
      <c r="K27" s="52">
        <v>76.48</v>
      </c>
      <c r="L27" s="9" t="s">
        <v>8</v>
      </c>
      <c r="M27" s="9" t="s">
        <v>8</v>
      </c>
      <c r="N27" s="52">
        <v>4.8</v>
      </c>
      <c r="O27" s="52">
        <v>0</v>
      </c>
      <c r="P27" s="52">
        <v>1.4</v>
      </c>
      <c r="Q27" s="52">
        <v>93.94</v>
      </c>
      <c r="R27" s="44"/>
      <c r="S27" s="44"/>
      <c r="T27" s="44"/>
      <c r="U27" s="44"/>
    </row>
    <row r="28" spans="1:21" s="12" customFormat="1" x14ac:dyDescent="0.25">
      <c r="A28" s="51" t="s">
        <v>513</v>
      </c>
      <c r="B28" s="4" t="s">
        <v>4</v>
      </c>
      <c r="C28" s="4" t="s">
        <v>4</v>
      </c>
      <c r="D28" s="4" t="s">
        <v>4</v>
      </c>
      <c r="E28" s="4" t="s">
        <v>4</v>
      </c>
      <c r="F28" s="4" t="s">
        <v>4</v>
      </c>
      <c r="G28" s="4" t="s">
        <v>4</v>
      </c>
      <c r="H28" s="4" t="s">
        <v>4</v>
      </c>
      <c r="I28" s="4" t="s">
        <v>4</v>
      </c>
      <c r="J28" s="4" t="s">
        <v>4</v>
      </c>
      <c r="K28" s="4" t="s">
        <v>4</v>
      </c>
      <c r="L28" s="4" t="s">
        <v>4</v>
      </c>
      <c r="M28" s="4" t="s">
        <v>4</v>
      </c>
      <c r="N28" s="4" t="s">
        <v>4</v>
      </c>
      <c r="O28" s="4" t="s">
        <v>4</v>
      </c>
      <c r="P28" s="4" t="s">
        <v>4</v>
      </c>
      <c r="Q28" s="4" t="s">
        <v>4</v>
      </c>
      <c r="R28" s="44"/>
      <c r="S28" s="44"/>
      <c r="T28" s="44"/>
      <c r="U28" s="44"/>
    </row>
    <row r="29" spans="1:21" s="12" customFormat="1" x14ac:dyDescent="0.25">
      <c r="A29" s="51" t="s">
        <v>514</v>
      </c>
      <c r="B29" s="4" t="s">
        <v>4</v>
      </c>
      <c r="C29" s="4" t="s">
        <v>4</v>
      </c>
      <c r="D29" s="4" t="s">
        <v>4</v>
      </c>
      <c r="E29" s="4" t="s">
        <v>4</v>
      </c>
      <c r="F29" s="4" t="s">
        <v>4</v>
      </c>
      <c r="G29" s="4" t="s">
        <v>4</v>
      </c>
      <c r="H29" s="4" t="s">
        <v>4</v>
      </c>
      <c r="I29" s="4" t="s">
        <v>4</v>
      </c>
      <c r="J29" s="4" t="s">
        <v>4</v>
      </c>
      <c r="K29" s="4" t="s">
        <v>4</v>
      </c>
      <c r="L29" s="4" t="s">
        <v>4</v>
      </c>
      <c r="M29" s="4" t="s">
        <v>4</v>
      </c>
      <c r="N29" s="4" t="s">
        <v>4</v>
      </c>
      <c r="O29" s="4" t="s">
        <v>4</v>
      </c>
      <c r="P29" s="4" t="s">
        <v>4</v>
      </c>
      <c r="Q29" s="4" t="s">
        <v>4</v>
      </c>
      <c r="R29" s="44"/>
      <c r="S29" s="44"/>
      <c r="T29" s="44"/>
      <c r="U29" s="44"/>
    </row>
    <row r="30" spans="1:21" s="12" customFormat="1" x14ac:dyDescent="0.25">
      <c r="A30" s="51" t="s">
        <v>515</v>
      </c>
      <c r="B30" s="4" t="s">
        <v>4</v>
      </c>
      <c r="C30" s="4" t="s">
        <v>4</v>
      </c>
      <c r="D30" s="4" t="s">
        <v>4</v>
      </c>
      <c r="E30" s="4" t="s">
        <v>4</v>
      </c>
      <c r="F30" s="4" t="s">
        <v>4</v>
      </c>
      <c r="G30" s="4" t="s">
        <v>4</v>
      </c>
      <c r="H30" s="4" t="s">
        <v>4</v>
      </c>
      <c r="I30" s="4" t="s">
        <v>4</v>
      </c>
      <c r="J30" s="4" t="s">
        <v>4</v>
      </c>
      <c r="K30" s="4" t="s">
        <v>4</v>
      </c>
      <c r="L30" s="4" t="s">
        <v>4</v>
      </c>
      <c r="M30" s="4" t="s">
        <v>4</v>
      </c>
      <c r="N30" s="4" t="s">
        <v>4</v>
      </c>
      <c r="O30" s="4" t="s">
        <v>4</v>
      </c>
      <c r="P30" s="4" t="s">
        <v>4</v>
      </c>
      <c r="Q30" s="4" t="s">
        <v>4</v>
      </c>
      <c r="R30" s="44"/>
      <c r="S30" s="44"/>
      <c r="T30" s="44"/>
      <c r="U30" s="44"/>
    </row>
    <row r="31" spans="1:21" s="12" customFormat="1" x14ac:dyDescent="0.25">
      <c r="A31" s="51" t="s">
        <v>516</v>
      </c>
      <c r="B31" s="4" t="s">
        <v>4</v>
      </c>
      <c r="C31" s="4" t="s">
        <v>4</v>
      </c>
      <c r="D31" s="4" t="s">
        <v>4</v>
      </c>
      <c r="E31" s="4" t="s">
        <v>4</v>
      </c>
      <c r="F31" s="4" t="s">
        <v>4</v>
      </c>
      <c r="G31" s="4" t="s">
        <v>4</v>
      </c>
      <c r="H31" s="4" t="s">
        <v>4</v>
      </c>
      <c r="I31" s="4" t="s">
        <v>4</v>
      </c>
      <c r="J31" s="4" t="s">
        <v>4</v>
      </c>
      <c r="K31" s="4" t="s">
        <v>4</v>
      </c>
      <c r="L31" s="4" t="s">
        <v>4</v>
      </c>
      <c r="M31" s="4" t="s">
        <v>4</v>
      </c>
      <c r="N31" s="4" t="s">
        <v>4</v>
      </c>
      <c r="O31" s="4" t="s">
        <v>4</v>
      </c>
      <c r="P31" s="4" t="s">
        <v>4</v>
      </c>
      <c r="Q31" s="4" t="s">
        <v>4</v>
      </c>
      <c r="R31" s="44"/>
      <c r="S31" s="44"/>
      <c r="T31" s="44"/>
      <c r="U31" s="44"/>
    </row>
    <row r="32" spans="1:21" s="12" customFormat="1" x14ac:dyDescent="0.25">
      <c r="A32" s="51" t="s">
        <v>517</v>
      </c>
      <c r="B32" s="4" t="s">
        <v>4</v>
      </c>
      <c r="C32" s="4" t="s">
        <v>4</v>
      </c>
      <c r="D32" s="4" t="s">
        <v>4</v>
      </c>
      <c r="E32" s="4" t="s">
        <v>4</v>
      </c>
      <c r="F32" s="4" t="s">
        <v>4</v>
      </c>
      <c r="G32" s="4" t="s">
        <v>4</v>
      </c>
      <c r="H32" s="4" t="s">
        <v>4</v>
      </c>
      <c r="I32" s="4" t="s">
        <v>4</v>
      </c>
      <c r="J32" s="4" t="s">
        <v>4</v>
      </c>
      <c r="K32" s="4" t="s">
        <v>4</v>
      </c>
      <c r="L32" s="4" t="s">
        <v>4</v>
      </c>
      <c r="M32" s="4" t="s">
        <v>4</v>
      </c>
      <c r="N32" s="4" t="s">
        <v>4</v>
      </c>
      <c r="O32" s="4" t="s">
        <v>4</v>
      </c>
      <c r="P32" s="4" t="s">
        <v>4</v>
      </c>
      <c r="Q32" s="4" t="s">
        <v>4</v>
      </c>
      <c r="R32" s="44"/>
      <c r="S32" s="44"/>
      <c r="T32" s="44"/>
      <c r="U32" s="44"/>
    </row>
    <row r="33" spans="1:21" s="22" customFormat="1" x14ac:dyDescent="0.25">
      <c r="A33" s="27"/>
      <c r="B33" s="21"/>
      <c r="C33" s="21"/>
      <c r="D33" s="21"/>
      <c r="E33" s="21"/>
      <c r="F33" s="21"/>
      <c r="G33" s="27"/>
      <c r="H33" s="27"/>
      <c r="I33" s="27"/>
      <c r="J33" s="21"/>
      <c r="K33" s="21"/>
      <c r="L33" s="27"/>
      <c r="M33" s="27"/>
      <c r="N33" s="27"/>
      <c r="O33" s="27"/>
      <c r="P33" s="27"/>
      <c r="Q33" s="21"/>
      <c r="R33" s="21"/>
      <c r="S33" s="21"/>
      <c r="T33" s="21"/>
      <c r="U33" s="21"/>
    </row>
    <row r="34" spans="1:21" s="22" customFormat="1" x14ac:dyDescent="0.25">
      <c r="A34" s="28" t="s">
        <v>30</v>
      </c>
      <c r="B34" s="29">
        <f t="shared" ref="B34:Q34" si="0">MIN(B9:B32)</f>
        <v>4.6500000000000004</v>
      </c>
      <c r="C34" s="29">
        <f t="shared" si="0"/>
        <v>31</v>
      </c>
      <c r="D34" s="29">
        <f t="shared" si="0"/>
        <v>45.19</v>
      </c>
      <c r="E34" s="29">
        <f t="shared" si="0"/>
        <v>7.84</v>
      </c>
      <c r="F34" s="29">
        <f t="shared" si="0"/>
        <v>0.51</v>
      </c>
      <c r="G34" s="29">
        <f t="shared" si="0"/>
        <v>51.77</v>
      </c>
      <c r="H34" s="29">
        <f t="shared" si="0"/>
        <v>44.81</v>
      </c>
      <c r="I34" s="29">
        <f t="shared" si="0"/>
        <v>0.23</v>
      </c>
      <c r="J34" s="29">
        <f t="shared" si="0"/>
        <v>0.13</v>
      </c>
      <c r="K34" s="29">
        <f t="shared" si="0"/>
        <v>40.98</v>
      </c>
      <c r="L34" s="29">
        <f t="shared" si="0"/>
        <v>0</v>
      </c>
      <c r="M34" s="29">
        <f t="shared" si="0"/>
        <v>0</v>
      </c>
      <c r="N34" s="29">
        <f t="shared" si="0"/>
        <v>4.8</v>
      </c>
      <c r="O34" s="29">
        <f t="shared" si="0"/>
        <v>0</v>
      </c>
      <c r="P34" s="29">
        <f t="shared" si="0"/>
        <v>0.72</v>
      </c>
      <c r="Q34" s="29">
        <f t="shared" si="0"/>
        <v>60.32</v>
      </c>
      <c r="R34" s="29"/>
      <c r="S34" s="29"/>
      <c r="T34" s="29"/>
      <c r="U34" s="29"/>
    </row>
    <row r="35" spans="1:21" s="22" customFormat="1" x14ac:dyDescent="0.25">
      <c r="A35" s="28" t="s">
        <v>31</v>
      </c>
      <c r="B35" s="30">
        <f t="shared" ref="B35:Q35" si="1">MAX(B9:B32)</f>
        <v>27.7</v>
      </c>
      <c r="C35" s="30">
        <f t="shared" si="1"/>
        <v>151.63999999999999</v>
      </c>
      <c r="D35" s="30">
        <f t="shared" si="1"/>
        <v>165.98</v>
      </c>
      <c r="E35" s="30">
        <f t="shared" si="1"/>
        <v>17.059999999999999</v>
      </c>
      <c r="F35" s="30">
        <f t="shared" si="1"/>
        <v>19.43</v>
      </c>
      <c r="G35" s="30">
        <f t="shared" si="1"/>
        <v>253.31</v>
      </c>
      <c r="H35" s="30">
        <f t="shared" si="1"/>
        <v>89.31</v>
      </c>
      <c r="I35" s="30">
        <f t="shared" si="1"/>
        <v>1.55</v>
      </c>
      <c r="J35" s="30">
        <f t="shared" si="1"/>
        <v>2.46</v>
      </c>
      <c r="K35" s="30">
        <f t="shared" si="1"/>
        <v>359.86</v>
      </c>
      <c r="L35" s="30">
        <f t="shared" si="1"/>
        <v>0</v>
      </c>
      <c r="M35" s="30">
        <f t="shared" si="1"/>
        <v>0</v>
      </c>
      <c r="N35" s="30">
        <f t="shared" si="1"/>
        <v>770.9</v>
      </c>
      <c r="O35" s="30">
        <f t="shared" si="1"/>
        <v>0</v>
      </c>
      <c r="P35" s="30">
        <f t="shared" si="1"/>
        <v>2.14</v>
      </c>
      <c r="Q35" s="30">
        <f t="shared" si="1"/>
        <v>145.54</v>
      </c>
      <c r="R35" s="30"/>
      <c r="S35" s="30"/>
      <c r="T35" s="30"/>
      <c r="U35" s="30"/>
    </row>
    <row r="36" spans="1:21" s="22" customFormat="1" x14ac:dyDescent="0.25">
      <c r="A36" s="28" t="s">
        <v>32</v>
      </c>
      <c r="B36" s="29">
        <f t="shared" ref="B36:Q36" si="2">AVERAGE(B9:B32)</f>
        <v>16.451578947368422</v>
      </c>
      <c r="C36" s="29">
        <f t="shared" si="2"/>
        <v>53.282105263157895</v>
      </c>
      <c r="D36" s="29">
        <f t="shared" si="2"/>
        <v>65.995789473684212</v>
      </c>
      <c r="E36" s="29">
        <f t="shared" si="2"/>
        <v>10.204210526315789</v>
      </c>
      <c r="F36" s="29">
        <f t="shared" si="2"/>
        <v>5.3473684210526322</v>
      </c>
      <c r="G36" s="29">
        <f t="shared" si="2"/>
        <v>122.31800000000001</v>
      </c>
      <c r="H36" s="29">
        <f t="shared" si="2"/>
        <v>61.936842105263153</v>
      </c>
      <c r="I36" s="29">
        <f t="shared" si="2"/>
        <v>0.73105263157894729</v>
      </c>
      <c r="J36" s="29">
        <f t="shared" si="2"/>
        <v>0.94157894736842107</v>
      </c>
      <c r="K36" s="29">
        <f t="shared" si="2"/>
        <v>144.84789473684208</v>
      </c>
      <c r="L36" s="29" t="e">
        <f t="shared" si="2"/>
        <v>#DIV/0!</v>
      </c>
      <c r="M36" s="29" t="e">
        <f t="shared" si="2"/>
        <v>#DIV/0!</v>
      </c>
      <c r="N36" s="29">
        <f t="shared" si="2"/>
        <v>253.92105263157896</v>
      </c>
      <c r="O36" s="29">
        <f t="shared" si="2"/>
        <v>0</v>
      </c>
      <c r="P36" s="29">
        <f t="shared" si="2"/>
        <v>1.2010526315789471</v>
      </c>
      <c r="Q36" s="29">
        <f t="shared" si="2"/>
        <v>100.11736842105265</v>
      </c>
      <c r="R36" s="29"/>
      <c r="S36" s="29"/>
      <c r="T36" s="29"/>
      <c r="U36" s="29"/>
    </row>
    <row r="37" spans="1:21" s="22" customFormat="1" x14ac:dyDescent="0.25">
      <c r="A37" s="28" t="s">
        <v>38</v>
      </c>
      <c r="B37" s="29">
        <f>STDEV(B9:B32)</f>
        <v>7.8121346230349351</v>
      </c>
      <c r="C37" s="29">
        <f t="shared" ref="C37:Q37" si="3">STDEV(C9:C32)</f>
        <v>30.96708316529152</v>
      </c>
      <c r="D37" s="29">
        <f t="shared" si="3"/>
        <v>28.810268099294337</v>
      </c>
      <c r="E37" s="29">
        <f t="shared" si="3"/>
        <v>2.5055367927617951</v>
      </c>
      <c r="F37" s="29">
        <f t="shared" si="3"/>
        <v>5.4629965750444471</v>
      </c>
      <c r="G37" s="29">
        <f t="shared" si="3"/>
        <v>63.458268141791848</v>
      </c>
      <c r="H37" s="29">
        <f t="shared" si="3"/>
        <v>13.92475375909615</v>
      </c>
      <c r="I37" s="29">
        <f t="shared" si="3"/>
        <v>0.36490325562388776</v>
      </c>
      <c r="J37" s="29">
        <f t="shared" si="3"/>
        <v>0.54646605219247635</v>
      </c>
      <c r="K37" s="29">
        <f t="shared" si="3"/>
        <v>101.02511038674976</v>
      </c>
      <c r="L37" s="29" t="e">
        <f t="shared" si="3"/>
        <v>#DIV/0!</v>
      </c>
      <c r="M37" s="29" t="e">
        <f t="shared" si="3"/>
        <v>#DIV/0!</v>
      </c>
      <c r="N37" s="29">
        <f t="shared" si="3"/>
        <v>303.54128142999554</v>
      </c>
      <c r="O37" s="29">
        <f t="shared" si="3"/>
        <v>0</v>
      </c>
      <c r="P37" s="29">
        <f t="shared" si="3"/>
        <v>0.37645856695203411</v>
      </c>
      <c r="Q37" s="29">
        <f t="shared" si="3"/>
        <v>20.313286796277783</v>
      </c>
      <c r="R37" s="29"/>
      <c r="S37" s="29"/>
      <c r="T37" s="29"/>
      <c r="U37" s="29"/>
    </row>
    <row r="38" spans="1:21" s="22" customFormat="1" x14ac:dyDescent="0.25">
      <c r="A38" s="32" t="s">
        <v>33</v>
      </c>
      <c r="B38" s="33">
        <f>COUNT(B9:B32)+5</f>
        <v>24</v>
      </c>
      <c r="C38" s="33">
        <f t="shared" ref="C38:Q38" si="4">COUNT(C9:C32)+5</f>
        <v>24</v>
      </c>
      <c r="D38" s="33">
        <f t="shared" si="4"/>
        <v>24</v>
      </c>
      <c r="E38" s="33">
        <f t="shared" si="4"/>
        <v>24</v>
      </c>
      <c r="F38" s="33">
        <f t="shared" si="4"/>
        <v>24</v>
      </c>
      <c r="G38" s="33">
        <f>COUNT(G9:G32)+8</f>
        <v>18</v>
      </c>
      <c r="H38" s="33">
        <f t="shared" si="4"/>
        <v>24</v>
      </c>
      <c r="I38" s="33">
        <f t="shared" si="4"/>
        <v>24</v>
      </c>
      <c r="J38" s="33">
        <f t="shared" si="4"/>
        <v>24</v>
      </c>
      <c r="K38" s="33">
        <f t="shared" si="4"/>
        <v>24</v>
      </c>
      <c r="L38" s="33">
        <f>COUNT(L9:L32)+24</f>
        <v>24</v>
      </c>
      <c r="M38" s="33">
        <f>COUNT(M9:M32)+24</f>
        <v>24</v>
      </c>
      <c r="N38" s="33">
        <f t="shared" si="4"/>
        <v>24</v>
      </c>
      <c r="O38" s="33">
        <f t="shared" si="4"/>
        <v>24</v>
      </c>
      <c r="P38" s="33">
        <f t="shared" si="4"/>
        <v>24</v>
      </c>
      <c r="Q38" s="33">
        <f t="shared" si="4"/>
        <v>24</v>
      </c>
      <c r="R38" s="33"/>
      <c r="S38" s="33"/>
      <c r="T38" s="33"/>
      <c r="U38" s="33"/>
    </row>
    <row r="39" spans="1:21" s="22" customFormat="1" x14ac:dyDescent="0.25">
      <c r="A39" s="28" t="s">
        <v>34</v>
      </c>
      <c r="B39" s="30" t="str">
        <f>IF(B38&gt;=22,"&gt;90%",IF(B38&lt;=22,"&lt;90%"))</f>
        <v>&gt;90%</v>
      </c>
      <c r="C39" s="30" t="str">
        <f t="shared" ref="C39:P39" si="5">IF(C38&gt;=22,"&gt;90%",IF(C38&lt;=22,"&lt;90%"))</f>
        <v>&gt;90%</v>
      </c>
      <c r="D39" s="30" t="str">
        <f t="shared" si="5"/>
        <v>&gt;90%</v>
      </c>
      <c r="E39" s="30" t="str">
        <f t="shared" si="5"/>
        <v>&gt;90%</v>
      </c>
      <c r="F39" s="30" t="str">
        <f t="shared" si="5"/>
        <v>&gt;90%</v>
      </c>
      <c r="G39" s="30" t="str">
        <f t="shared" si="5"/>
        <v>&lt;90%</v>
      </c>
      <c r="H39" s="30" t="str">
        <f t="shared" si="5"/>
        <v>&gt;90%</v>
      </c>
      <c r="I39" s="30" t="str">
        <f t="shared" si="5"/>
        <v>&gt;90%</v>
      </c>
      <c r="J39" s="30" t="str">
        <f t="shared" si="5"/>
        <v>&gt;90%</v>
      </c>
      <c r="K39" s="30" t="str">
        <f t="shared" si="5"/>
        <v>&gt;90%</v>
      </c>
      <c r="L39" s="30" t="str">
        <f t="shared" si="5"/>
        <v>&gt;90%</v>
      </c>
      <c r="M39" s="30" t="str">
        <f t="shared" si="5"/>
        <v>&gt;90%</v>
      </c>
      <c r="N39" s="30" t="str">
        <f t="shared" si="5"/>
        <v>&gt;90%</v>
      </c>
      <c r="O39" s="30" t="str">
        <f t="shared" si="5"/>
        <v>&gt;90%</v>
      </c>
      <c r="P39" s="30" t="str">
        <f t="shared" si="5"/>
        <v>&gt;90%</v>
      </c>
      <c r="Q39" s="30" t="str">
        <f>IF(Q38&gt;=22,"&gt;90%",IF(Q38&lt;=22,"&lt;90%"))</f>
        <v>&gt;90%</v>
      </c>
      <c r="R39" s="30"/>
      <c r="S39" s="30"/>
      <c r="T39" s="30"/>
      <c r="U39" s="30"/>
    </row>
    <row r="40" spans="1:21" s="22" customFormat="1" x14ac:dyDescent="0.25">
      <c r="A40" s="28" t="s">
        <v>1</v>
      </c>
      <c r="B40" s="30" t="str">
        <f>IF(B38&gt;=22,"OK",IF(B38&lt;=22,"LESS"))</f>
        <v>OK</v>
      </c>
      <c r="C40" s="30" t="str">
        <f t="shared" ref="C40:Q40" si="6">IF(C38&gt;=22,"OK",IF(C38&lt;=22,"LESS"))</f>
        <v>OK</v>
      </c>
      <c r="D40" s="30" t="str">
        <f t="shared" si="6"/>
        <v>OK</v>
      </c>
      <c r="E40" s="30" t="str">
        <f t="shared" si="6"/>
        <v>OK</v>
      </c>
      <c r="F40" s="30" t="str">
        <f t="shared" si="6"/>
        <v>OK</v>
      </c>
      <c r="G40" s="30" t="str">
        <f t="shared" si="6"/>
        <v>LESS</v>
      </c>
      <c r="H40" s="30" t="str">
        <f t="shared" si="6"/>
        <v>OK</v>
      </c>
      <c r="I40" s="30" t="str">
        <f t="shared" si="6"/>
        <v>OK</v>
      </c>
      <c r="J40" s="30" t="str">
        <f t="shared" si="6"/>
        <v>OK</v>
      </c>
      <c r="K40" s="30" t="str">
        <f t="shared" si="6"/>
        <v>OK</v>
      </c>
      <c r="L40" s="30" t="str">
        <f t="shared" si="6"/>
        <v>OK</v>
      </c>
      <c r="M40" s="30" t="str">
        <f t="shared" si="6"/>
        <v>OK</v>
      </c>
      <c r="N40" s="30" t="str">
        <f t="shared" si="6"/>
        <v>OK</v>
      </c>
      <c r="O40" s="30" t="str">
        <f t="shared" si="6"/>
        <v>OK</v>
      </c>
      <c r="P40" s="30" t="str">
        <f t="shared" si="6"/>
        <v>OK</v>
      </c>
      <c r="Q40" s="30" t="str">
        <f t="shared" si="6"/>
        <v>OK</v>
      </c>
      <c r="R40" s="30"/>
      <c r="S40" s="30"/>
      <c r="T40" s="30"/>
      <c r="U40" s="30"/>
    </row>
    <row r="41" spans="1:21" s="22" customFormat="1" x14ac:dyDescent="0.25">
      <c r="A41" s="14"/>
      <c r="L41" s="14"/>
      <c r="N41" s="17"/>
      <c r="O41" s="17"/>
      <c r="P41" s="17"/>
      <c r="Q41" s="17"/>
      <c r="R41" s="17"/>
      <c r="S41" s="17"/>
      <c r="T41" s="17"/>
      <c r="U41" s="17"/>
    </row>
    <row r="42" spans="1:21" s="22" customFormat="1" x14ac:dyDescent="0.25">
      <c r="A42" s="14"/>
    </row>
    <row r="43" spans="1:21" s="22" customFormat="1" x14ac:dyDescent="0.25">
      <c r="A43" s="15" t="s">
        <v>35</v>
      </c>
      <c r="B43" s="41" t="s">
        <v>61</v>
      </c>
      <c r="C43" s="43"/>
    </row>
    <row r="44" spans="1:21" s="22" customFormat="1" x14ac:dyDescent="0.25">
      <c r="A44" s="14"/>
      <c r="D44" s="2"/>
      <c r="E44" s="2"/>
      <c r="F44" s="2"/>
      <c r="G44" s="2"/>
      <c r="H44" s="2"/>
      <c r="I44" s="2"/>
    </row>
    <row r="45" spans="1:21" s="22" customFormat="1" ht="15.75" x14ac:dyDescent="0.25">
      <c r="A45" s="18" t="s">
        <v>36</v>
      </c>
      <c r="B45" s="42" t="s">
        <v>518</v>
      </c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</row>
    <row r="46" spans="1:21" s="22" customFormat="1" x14ac:dyDescent="0.25"/>
    <row r="47" spans="1:21" s="22" customFormat="1" x14ac:dyDescent="0.25"/>
    <row r="48" spans="1:21" s="22" customFormat="1" x14ac:dyDescent="0.25"/>
    <row r="49" s="22" customFormat="1" x14ac:dyDescent="0.25"/>
    <row r="50" s="22" customFormat="1" x14ac:dyDescent="0.25"/>
    <row r="51" s="22" customFormat="1" x14ac:dyDescent="0.25"/>
    <row r="52" s="22" customFormat="1" x14ac:dyDescent="0.25"/>
    <row r="53" s="22" customFormat="1" x14ac:dyDescent="0.25"/>
    <row r="54" s="22" customFormat="1" x14ac:dyDescent="0.25"/>
    <row r="55" s="22" customFormat="1" x14ac:dyDescent="0.25"/>
    <row r="56" s="22" customFormat="1" x14ac:dyDescent="0.25"/>
    <row r="57" s="22" customFormat="1" x14ac:dyDescent="0.25"/>
    <row r="58" s="22" customFormat="1" x14ac:dyDescent="0.25"/>
    <row r="59" s="22" customFormat="1" x14ac:dyDescent="0.25"/>
    <row r="60" s="22" customFormat="1" x14ac:dyDescent="0.25"/>
    <row r="61" s="22" customFormat="1" x14ac:dyDescent="0.25"/>
    <row r="62" s="22" customFormat="1" x14ac:dyDescent="0.25"/>
    <row r="63" s="22" customFormat="1" x14ac:dyDescent="0.25"/>
    <row r="64" s="22" customFormat="1" x14ac:dyDescent="0.25"/>
    <row r="65" s="22" customFormat="1" x14ac:dyDescent="0.25"/>
    <row r="66" s="22" customFormat="1" x14ac:dyDescent="0.25"/>
    <row r="67" s="22" customFormat="1" x14ac:dyDescent="0.25"/>
    <row r="68" s="22" customFormat="1" x14ac:dyDescent="0.25"/>
    <row r="69" s="22" customFormat="1" x14ac:dyDescent="0.25"/>
    <row r="70" s="22" customFormat="1" x14ac:dyDescent="0.25"/>
    <row r="71" s="22" customFormat="1" x14ac:dyDescent="0.25"/>
    <row r="72" s="22" customFormat="1" x14ac:dyDescent="0.25"/>
    <row r="73" s="22" customFormat="1" x14ac:dyDescent="0.25"/>
    <row r="74" s="22" customFormat="1" x14ac:dyDescent="0.25"/>
    <row r="75" s="22" customFormat="1" x14ac:dyDescent="0.25"/>
    <row r="76" s="22" customFormat="1" x14ac:dyDescent="0.25"/>
    <row r="77" s="22" customFormat="1" x14ac:dyDescent="0.25"/>
    <row r="78" s="22" customFormat="1" x14ac:dyDescent="0.25"/>
    <row r="79" s="22" customFormat="1" x14ac:dyDescent="0.25"/>
    <row r="80" s="22" customFormat="1" x14ac:dyDescent="0.25"/>
    <row r="81" s="22" customFormat="1" x14ac:dyDescent="0.25"/>
    <row r="82" s="22" customFormat="1" x14ac:dyDescent="0.25"/>
    <row r="83" s="22" customFormat="1" x14ac:dyDescent="0.25"/>
    <row r="84" s="22" customFormat="1" x14ac:dyDescent="0.25"/>
    <row r="85" s="22" customFormat="1" x14ac:dyDescent="0.25"/>
    <row r="86" s="22" customFormat="1" x14ac:dyDescent="0.25"/>
    <row r="87" s="22" customFormat="1" x14ac:dyDescent="0.25"/>
    <row r="88" s="22" customFormat="1" x14ac:dyDescent="0.25"/>
    <row r="89" s="22" customFormat="1" x14ac:dyDescent="0.25"/>
    <row r="90" s="22" customFormat="1" x14ac:dyDescent="0.25"/>
    <row r="91" s="22" customFormat="1" x14ac:dyDescent="0.25"/>
    <row r="92" s="22" customFormat="1" x14ac:dyDescent="0.25"/>
    <row r="93" s="22" customFormat="1" x14ac:dyDescent="0.25"/>
    <row r="94" s="22" customFormat="1" x14ac:dyDescent="0.25"/>
    <row r="95" s="22" customFormat="1" x14ac:dyDescent="0.25"/>
    <row r="96" s="22" customFormat="1" x14ac:dyDescent="0.25"/>
    <row r="97" spans="1:1" s="22" customFormat="1" x14ac:dyDescent="0.25"/>
    <row r="98" spans="1:1" s="22" customFormat="1" x14ac:dyDescent="0.25"/>
    <row r="99" spans="1:1" s="22" customFormat="1" x14ac:dyDescent="0.25"/>
    <row r="100" spans="1:1" s="22" customFormat="1" x14ac:dyDescent="0.25"/>
    <row r="101" spans="1:1" s="22" customFormat="1" x14ac:dyDescent="0.25"/>
    <row r="102" spans="1:1" s="22" customFormat="1" x14ac:dyDescent="0.25"/>
    <row r="103" spans="1:1" s="22" customFormat="1" x14ac:dyDescent="0.25"/>
    <row r="104" spans="1:1" s="22" customFormat="1" x14ac:dyDescent="0.25"/>
    <row r="105" spans="1:1" s="22" customFormat="1" x14ac:dyDescent="0.25"/>
    <row r="106" spans="1:1" x14ac:dyDescent="0.25">
      <c r="A106" s="21"/>
    </row>
    <row r="107" spans="1:1" s="22" customFormat="1" x14ac:dyDescent="0.25"/>
    <row r="108" spans="1:1" s="22" customFormat="1" x14ac:dyDescent="0.25"/>
    <row r="109" spans="1:1" s="22" customFormat="1" x14ac:dyDescent="0.25"/>
    <row r="110" spans="1:1" s="22" customFormat="1" x14ac:dyDescent="0.25"/>
    <row r="111" spans="1:1" s="22" customFormat="1" x14ac:dyDescent="0.25"/>
    <row r="112" spans="1:1" s="22" customFormat="1" x14ac:dyDescent="0.25"/>
    <row r="113" spans="1:1" s="22" customFormat="1" x14ac:dyDescent="0.25"/>
    <row r="114" spans="1:1" s="22" customFormat="1" x14ac:dyDescent="0.25"/>
    <row r="115" spans="1:1" s="22" customFormat="1" x14ac:dyDescent="0.25"/>
    <row r="116" spans="1:1" s="22" customFormat="1" x14ac:dyDescent="0.25"/>
    <row r="117" spans="1:1" s="22" customFormat="1" x14ac:dyDescent="0.25"/>
    <row r="118" spans="1:1" x14ac:dyDescent="0.25">
      <c r="A118" s="21"/>
    </row>
    <row r="119" spans="1:1" x14ac:dyDescent="0.25">
      <c r="A119" s="21"/>
    </row>
  </sheetData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1" ySplit="8" topLeftCell="B30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F45" sqref="F45"/>
    </sheetView>
  </sheetViews>
  <sheetFormatPr defaultColWidth="8.85546875" defaultRowHeight="15" x14ac:dyDescent="0.25"/>
  <cols>
    <col min="1" max="1" width="18.28515625" style="27" customWidth="1"/>
    <col min="2" max="2" width="12.7109375" style="21" customWidth="1"/>
    <col min="3" max="12" width="9.140625" style="21" customWidth="1"/>
    <col min="13" max="13" width="10" style="21" customWidth="1"/>
    <col min="14" max="19" width="9.140625" style="21" customWidth="1"/>
    <col min="20" max="20" width="11.42578125" style="21" customWidth="1"/>
    <col min="21" max="16384" width="8.85546875" style="21"/>
  </cols>
  <sheetData>
    <row r="1" spans="1:21" s="22" customFormat="1" ht="26.25" x14ac:dyDescent="0.25">
      <c r="A1" s="15" t="s">
        <v>2</v>
      </c>
      <c r="B1" s="24" t="s">
        <v>43</v>
      </c>
      <c r="C1" s="38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s="22" customFormat="1" x14ac:dyDescent="0.25">
      <c r="A2" s="15" t="s">
        <v>0</v>
      </c>
      <c r="B2" s="39" t="str">
        <f>$A$9</f>
        <v>20-10-2022 01:00</v>
      </c>
      <c r="C2" s="12"/>
      <c r="D2" s="11" t="s">
        <v>3</v>
      </c>
      <c r="E2" s="11"/>
      <c r="F2" s="11"/>
      <c r="G2" s="4" t="s">
        <v>4</v>
      </c>
      <c r="H2" s="20"/>
      <c r="I2" s="20"/>
      <c r="J2" s="20"/>
      <c r="K2" s="13"/>
      <c r="L2" s="11" t="s">
        <v>5</v>
      </c>
      <c r="M2" s="13"/>
      <c r="N2" s="8" t="s">
        <v>6</v>
      </c>
      <c r="P2" s="40" t="s">
        <v>7</v>
      </c>
      <c r="Q2" s="13"/>
      <c r="R2" s="9" t="s">
        <v>8</v>
      </c>
      <c r="S2" s="12"/>
      <c r="T2" s="12"/>
      <c r="U2" s="12"/>
    </row>
    <row r="3" spans="1:21" s="22" customFormat="1" x14ac:dyDescent="0.25">
      <c r="A3" s="15" t="s">
        <v>9</v>
      </c>
      <c r="B3" s="13" t="s">
        <v>10</v>
      </c>
      <c r="C3" s="12"/>
      <c r="D3" s="11" t="s">
        <v>11</v>
      </c>
      <c r="E3" s="11"/>
      <c r="F3" s="11"/>
      <c r="G3" s="19" t="s">
        <v>12</v>
      </c>
      <c r="H3" s="20"/>
      <c r="I3" s="20"/>
      <c r="J3" s="20"/>
      <c r="K3" s="12"/>
      <c r="L3" s="11" t="s">
        <v>13</v>
      </c>
      <c r="M3" s="13"/>
      <c r="N3" s="6" t="s">
        <v>14</v>
      </c>
      <c r="O3" s="13"/>
      <c r="P3" s="40" t="s">
        <v>15</v>
      </c>
      <c r="Q3" s="13"/>
      <c r="R3" s="10" t="s">
        <v>15</v>
      </c>
      <c r="S3" s="12"/>
      <c r="T3" s="12"/>
      <c r="U3" s="12"/>
    </row>
    <row r="4" spans="1:21" s="22" customFormat="1" x14ac:dyDescent="0.25">
      <c r="A4" s="15" t="s">
        <v>16</v>
      </c>
      <c r="B4" s="13" t="s">
        <v>39</v>
      </c>
      <c r="C4" s="12"/>
      <c r="D4" s="11" t="s">
        <v>17</v>
      </c>
      <c r="E4" s="11"/>
      <c r="F4" s="11"/>
      <c r="G4" s="5" t="s">
        <v>18</v>
      </c>
      <c r="H4" s="20"/>
      <c r="I4" s="20"/>
      <c r="J4" s="20"/>
      <c r="K4" s="3"/>
      <c r="L4" s="11" t="s">
        <v>19</v>
      </c>
      <c r="M4" s="13"/>
      <c r="N4" s="7" t="s">
        <v>20</v>
      </c>
      <c r="O4" s="13"/>
      <c r="P4" s="13"/>
      <c r="Q4" s="13"/>
      <c r="R4" s="13"/>
      <c r="S4" s="12"/>
      <c r="T4" s="12"/>
      <c r="U4" s="12"/>
    </row>
    <row r="5" spans="1:21" s="22" customFormat="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s="22" customFormat="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s="22" customFormat="1" x14ac:dyDescent="0.25">
      <c r="A7" s="68" t="s">
        <v>21</v>
      </c>
      <c r="B7" s="69" t="s">
        <v>59</v>
      </c>
      <c r="C7" s="69" t="s">
        <v>44</v>
      </c>
      <c r="D7" s="69" t="s">
        <v>45</v>
      </c>
      <c r="E7" s="69" t="s">
        <v>46</v>
      </c>
      <c r="F7" s="69" t="s">
        <v>47</v>
      </c>
      <c r="G7" s="69" t="s">
        <v>48</v>
      </c>
      <c r="H7" s="69" t="s">
        <v>49</v>
      </c>
      <c r="I7" s="69" t="s">
        <v>50</v>
      </c>
      <c r="J7" s="69" t="s">
        <v>51</v>
      </c>
      <c r="K7" s="69" t="s">
        <v>52</v>
      </c>
      <c r="L7" s="69" t="s">
        <v>53</v>
      </c>
      <c r="M7" s="69" t="s">
        <v>54</v>
      </c>
      <c r="N7" s="69" t="s">
        <v>55</v>
      </c>
      <c r="O7" s="69" t="s">
        <v>56</v>
      </c>
      <c r="P7" s="69" t="s">
        <v>57</v>
      </c>
      <c r="Q7" s="69" t="s">
        <v>58</v>
      </c>
      <c r="R7" s="68"/>
      <c r="S7" s="30"/>
      <c r="T7" s="28"/>
      <c r="U7" s="28"/>
    </row>
    <row r="8" spans="1:21" s="22" customFormat="1" x14ac:dyDescent="0.25">
      <c r="A8" s="68"/>
      <c r="B8" s="70" t="s">
        <v>22</v>
      </c>
      <c r="C8" s="70" t="s">
        <v>22</v>
      </c>
      <c r="D8" s="70" t="s">
        <v>22</v>
      </c>
      <c r="E8" s="70" t="s">
        <v>22</v>
      </c>
      <c r="F8" s="70" t="s">
        <v>22</v>
      </c>
      <c r="G8" s="70" t="s">
        <v>23</v>
      </c>
      <c r="H8" s="70" t="s">
        <v>22</v>
      </c>
      <c r="I8" s="70" t="s">
        <v>22</v>
      </c>
      <c r="J8" s="70" t="s">
        <v>24</v>
      </c>
      <c r="K8" s="70" t="s">
        <v>25</v>
      </c>
      <c r="L8" s="68" t="s">
        <v>27</v>
      </c>
      <c r="M8" s="70" t="s">
        <v>26</v>
      </c>
      <c r="N8" s="70" t="s">
        <v>28</v>
      </c>
      <c r="O8" s="68" t="s">
        <v>29</v>
      </c>
      <c r="P8" s="70" t="s">
        <v>22</v>
      </c>
      <c r="Q8" s="70" t="s">
        <v>22</v>
      </c>
      <c r="R8" s="68"/>
      <c r="S8" s="30"/>
      <c r="T8" s="28"/>
      <c r="U8" s="28"/>
    </row>
    <row r="9" spans="1:21" s="67" customFormat="1" x14ac:dyDescent="0.25">
      <c r="A9" s="62" t="s">
        <v>519</v>
      </c>
      <c r="B9" s="4" t="s">
        <v>4</v>
      </c>
      <c r="C9" s="4" t="s">
        <v>4</v>
      </c>
      <c r="D9" s="4" t="s">
        <v>4</v>
      </c>
      <c r="E9" s="4" t="s">
        <v>4</v>
      </c>
      <c r="F9" s="4" t="s">
        <v>4</v>
      </c>
      <c r="G9" s="4" t="s">
        <v>4</v>
      </c>
      <c r="H9" s="4" t="s">
        <v>4</v>
      </c>
      <c r="I9" s="4" t="s">
        <v>4</v>
      </c>
      <c r="J9" s="4" t="s">
        <v>4</v>
      </c>
      <c r="K9" s="4" t="s">
        <v>4</v>
      </c>
      <c r="L9" s="4" t="s">
        <v>4</v>
      </c>
      <c r="M9" s="4" t="s">
        <v>4</v>
      </c>
      <c r="N9" s="4" t="s">
        <v>4</v>
      </c>
      <c r="O9" s="4" t="s">
        <v>4</v>
      </c>
      <c r="P9" s="4" t="s">
        <v>4</v>
      </c>
      <c r="Q9" s="4" t="s">
        <v>4</v>
      </c>
      <c r="R9" s="71"/>
      <c r="S9" s="66"/>
      <c r="T9" s="66"/>
      <c r="U9" s="66"/>
    </row>
    <row r="10" spans="1:21" s="67" customFormat="1" x14ac:dyDescent="0.25">
      <c r="A10" s="62" t="s">
        <v>520</v>
      </c>
      <c r="B10" s="4" t="s">
        <v>4</v>
      </c>
      <c r="C10" s="4" t="s">
        <v>4</v>
      </c>
      <c r="D10" s="4" t="s">
        <v>4</v>
      </c>
      <c r="E10" s="4" t="s">
        <v>4</v>
      </c>
      <c r="F10" s="4" t="s">
        <v>4</v>
      </c>
      <c r="G10" s="4" t="s">
        <v>4</v>
      </c>
      <c r="H10" s="4" t="s">
        <v>4</v>
      </c>
      <c r="I10" s="4" t="s">
        <v>4</v>
      </c>
      <c r="J10" s="4" t="s">
        <v>4</v>
      </c>
      <c r="K10" s="4" t="s">
        <v>4</v>
      </c>
      <c r="L10" s="4" t="s">
        <v>4</v>
      </c>
      <c r="M10" s="4" t="s">
        <v>4</v>
      </c>
      <c r="N10" s="4" t="s">
        <v>4</v>
      </c>
      <c r="O10" s="4" t="s">
        <v>4</v>
      </c>
      <c r="P10" s="4" t="s">
        <v>4</v>
      </c>
      <c r="Q10" s="4" t="s">
        <v>4</v>
      </c>
      <c r="R10" s="71"/>
      <c r="S10" s="66"/>
      <c r="T10" s="66"/>
      <c r="U10" s="66"/>
    </row>
    <row r="11" spans="1:21" s="67" customFormat="1" x14ac:dyDescent="0.25">
      <c r="A11" s="62" t="s">
        <v>521</v>
      </c>
      <c r="B11" s="4" t="s">
        <v>4</v>
      </c>
      <c r="C11" s="4" t="s">
        <v>4</v>
      </c>
      <c r="D11" s="4" t="s">
        <v>4</v>
      </c>
      <c r="E11" s="4" t="s">
        <v>4</v>
      </c>
      <c r="F11" s="4" t="s">
        <v>4</v>
      </c>
      <c r="G11" s="4" t="s">
        <v>4</v>
      </c>
      <c r="H11" s="4" t="s">
        <v>4</v>
      </c>
      <c r="I11" s="4" t="s">
        <v>4</v>
      </c>
      <c r="J11" s="4" t="s">
        <v>4</v>
      </c>
      <c r="K11" s="4" t="s">
        <v>4</v>
      </c>
      <c r="L11" s="4" t="s">
        <v>4</v>
      </c>
      <c r="M11" s="4" t="s">
        <v>4</v>
      </c>
      <c r="N11" s="4" t="s">
        <v>4</v>
      </c>
      <c r="O11" s="4" t="s">
        <v>4</v>
      </c>
      <c r="P11" s="4" t="s">
        <v>4</v>
      </c>
      <c r="Q11" s="4" t="s">
        <v>4</v>
      </c>
      <c r="R11" s="71"/>
      <c r="S11" s="66"/>
      <c r="T11" s="66"/>
      <c r="U11" s="66"/>
    </row>
    <row r="12" spans="1:21" s="67" customFormat="1" x14ac:dyDescent="0.25">
      <c r="A12" s="62" t="s">
        <v>522</v>
      </c>
      <c r="B12" s="4" t="s">
        <v>4</v>
      </c>
      <c r="C12" s="4" t="s">
        <v>4</v>
      </c>
      <c r="D12" s="4" t="s">
        <v>4</v>
      </c>
      <c r="E12" s="4" t="s">
        <v>4</v>
      </c>
      <c r="F12" s="4" t="s">
        <v>4</v>
      </c>
      <c r="G12" s="4" t="s">
        <v>4</v>
      </c>
      <c r="H12" s="4" t="s">
        <v>4</v>
      </c>
      <c r="I12" s="4" t="s">
        <v>4</v>
      </c>
      <c r="J12" s="4" t="s">
        <v>4</v>
      </c>
      <c r="K12" s="4" t="s">
        <v>4</v>
      </c>
      <c r="L12" s="4" t="s">
        <v>4</v>
      </c>
      <c r="M12" s="4" t="s">
        <v>4</v>
      </c>
      <c r="N12" s="4" t="s">
        <v>4</v>
      </c>
      <c r="O12" s="4" t="s">
        <v>4</v>
      </c>
      <c r="P12" s="4" t="s">
        <v>4</v>
      </c>
      <c r="Q12" s="4" t="s">
        <v>4</v>
      </c>
      <c r="R12" s="71"/>
      <c r="S12" s="66"/>
      <c r="T12" s="66"/>
      <c r="U12" s="66"/>
    </row>
    <row r="13" spans="1:21" s="67" customFormat="1" x14ac:dyDescent="0.25">
      <c r="A13" s="62" t="s">
        <v>523</v>
      </c>
      <c r="B13" s="4" t="s">
        <v>4</v>
      </c>
      <c r="C13" s="4" t="s">
        <v>4</v>
      </c>
      <c r="D13" s="4" t="s">
        <v>4</v>
      </c>
      <c r="E13" s="4" t="s">
        <v>4</v>
      </c>
      <c r="F13" s="4" t="s">
        <v>4</v>
      </c>
      <c r="G13" s="4" t="s">
        <v>4</v>
      </c>
      <c r="H13" s="4" t="s">
        <v>4</v>
      </c>
      <c r="I13" s="4" t="s">
        <v>4</v>
      </c>
      <c r="J13" s="4" t="s">
        <v>4</v>
      </c>
      <c r="K13" s="4" t="s">
        <v>4</v>
      </c>
      <c r="L13" s="4" t="s">
        <v>4</v>
      </c>
      <c r="M13" s="4" t="s">
        <v>4</v>
      </c>
      <c r="N13" s="4" t="s">
        <v>4</v>
      </c>
      <c r="O13" s="4" t="s">
        <v>4</v>
      </c>
      <c r="P13" s="4" t="s">
        <v>4</v>
      </c>
      <c r="Q13" s="4" t="s">
        <v>4</v>
      </c>
      <c r="R13" s="71"/>
      <c r="S13" s="66"/>
      <c r="T13" s="66"/>
      <c r="U13" s="66"/>
    </row>
    <row r="14" spans="1:21" s="67" customFormat="1" x14ac:dyDescent="0.25">
      <c r="A14" s="62" t="s">
        <v>524</v>
      </c>
      <c r="B14" s="4" t="s">
        <v>4</v>
      </c>
      <c r="C14" s="4" t="s">
        <v>4</v>
      </c>
      <c r="D14" s="4" t="s">
        <v>4</v>
      </c>
      <c r="E14" s="4" t="s">
        <v>4</v>
      </c>
      <c r="F14" s="4" t="s">
        <v>4</v>
      </c>
      <c r="G14" s="4" t="s">
        <v>4</v>
      </c>
      <c r="H14" s="4" t="s">
        <v>4</v>
      </c>
      <c r="I14" s="4" t="s">
        <v>4</v>
      </c>
      <c r="J14" s="4" t="s">
        <v>4</v>
      </c>
      <c r="K14" s="4" t="s">
        <v>4</v>
      </c>
      <c r="L14" s="4" t="s">
        <v>4</v>
      </c>
      <c r="M14" s="4" t="s">
        <v>4</v>
      </c>
      <c r="N14" s="4" t="s">
        <v>4</v>
      </c>
      <c r="O14" s="4" t="s">
        <v>4</v>
      </c>
      <c r="P14" s="4" t="s">
        <v>4</v>
      </c>
      <c r="Q14" s="4" t="s">
        <v>4</v>
      </c>
      <c r="R14" s="71"/>
      <c r="S14" s="66"/>
      <c r="T14" s="66"/>
      <c r="U14" s="66"/>
    </row>
    <row r="15" spans="1:21" s="67" customFormat="1" x14ac:dyDescent="0.25">
      <c r="A15" s="62" t="s">
        <v>525</v>
      </c>
      <c r="B15" s="4" t="s">
        <v>4</v>
      </c>
      <c r="C15" s="4" t="s">
        <v>4</v>
      </c>
      <c r="D15" s="4" t="s">
        <v>4</v>
      </c>
      <c r="E15" s="4" t="s">
        <v>4</v>
      </c>
      <c r="F15" s="4" t="s">
        <v>4</v>
      </c>
      <c r="G15" s="4" t="s">
        <v>4</v>
      </c>
      <c r="H15" s="4" t="s">
        <v>4</v>
      </c>
      <c r="I15" s="4" t="s">
        <v>4</v>
      </c>
      <c r="J15" s="4" t="s">
        <v>4</v>
      </c>
      <c r="K15" s="4" t="s">
        <v>4</v>
      </c>
      <c r="L15" s="4" t="s">
        <v>4</v>
      </c>
      <c r="M15" s="4" t="s">
        <v>4</v>
      </c>
      <c r="N15" s="4" t="s">
        <v>4</v>
      </c>
      <c r="O15" s="4" t="s">
        <v>4</v>
      </c>
      <c r="P15" s="4" t="s">
        <v>4</v>
      </c>
      <c r="Q15" s="4" t="s">
        <v>4</v>
      </c>
      <c r="R15" s="71"/>
      <c r="S15" s="66"/>
      <c r="T15" s="66"/>
      <c r="U15" s="66"/>
    </row>
    <row r="16" spans="1:21" s="67" customFormat="1" x14ac:dyDescent="0.25">
      <c r="A16" s="62" t="s">
        <v>526</v>
      </c>
      <c r="B16" s="4" t="s">
        <v>4</v>
      </c>
      <c r="C16" s="4" t="s">
        <v>4</v>
      </c>
      <c r="D16" s="4" t="s">
        <v>4</v>
      </c>
      <c r="E16" s="4" t="s">
        <v>4</v>
      </c>
      <c r="F16" s="4" t="s">
        <v>4</v>
      </c>
      <c r="G16" s="4" t="s">
        <v>4</v>
      </c>
      <c r="H16" s="4" t="s">
        <v>4</v>
      </c>
      <c r="I16" s="4" t="s">
        <v>4</v>
      </c>
      <c r="J16" s="4" t="s">
        <v>4</v>
      </c>
      <c r="K16" s="4" t="s">
        <v>4</v>
      </c>
      <c r="L16" s="4" t="s">
        <v>4</v>
      </c>
      <c r="M16" s="4" t="s">
        <v>4</v>
      </c>
      <c r="N16" s="4" t="s">
        <v>4</v>
      </c>
      <c r="O16" s="4" t="s">
        <v>4</v>
      </c>
      <c r="P16" s="4" t="s">
        <v>4</v>
      </c>
      <c r="Q16" s="4" t="s">
        <v>4</v>
      </c>
      <c r="R16" s="71"/>
      <c r="S16" s="66"/>
      <c r="T16" s="66"/>
      <c r="U16" s="66"/>
    </row>
    <row r="17" spans="1:21" s="67" customFormat="1" x14ac:dyDescent="0.25">
      <c r="A17" s="62" t="s">
        <v>527</v>
      </c>
      <c r="B17" s="4" t="s">
        <v>4</v>
      </c>
      <c r="C17" s="4" t="s">
        <v>4</v>
      </c>
      <c r="D17" s="4" t="s">
        <v>4</v>
      </c>
      <c r="E17" s="4" t="s">
        <v>4</v>
      </c>
      <c r="F17" s="4" t="s">
        <v>4</v>
      </c>
      <c r="G17" s="4" t="s">
        <v>4</v>
      </c>
      <c r="H17" s="4" t="s">
        <v>4</v>
      </c>
      <c r="I17" s="4" t="s">
        <v>4</v>
      </c>
      <c r="J17" s="4" t="s">
        <v>4</v>
      </c>
      <c r="K17" s="4" t="s">
        <v>4</v>
      </c>
      <c r="L17" s="4" t="s">
        <v>4</v>
      </c>
      <c r="M17" s="4" t="s">
        <v>4</v>
      </c>
      <c r="N17" s="4" t="s">
        <v>4</v>
      </c>
      <c r="O17" s="4" t="s">
        <v>4</v>
      </c>
      <c r="P17" s="4" t="s">
        <v>4</v>
      </c>
      <c r="Q17" s="4" t="s">
        <v>4</v>
      </c>
      <c r="R17" s="71"/>
      <c r="S17" s="66"/>
      <c r="T17" s="66"/>
      <c r="U17" s="66"/>
    </row>
    <row r="18" spans="1:21" s="67" customFormat="1" x14ac:dyDescent="0.25">
      <c r="A18" s="62" t="s">
        <v>528</v>
      </c>
      <c r="B18" s="4" t="s">
        <v>4</v>
      </c>
      <c r="C18" s="4" t="s">
        <v>4</v>
      </c>
      <c r="D18" s="4" t="s">
        <v>4</v>
      </c>
      <c r="E18" s="4" t="s">
        <v>4</v>
      </c>
      <c r="F18" s="4" t="s">
        <v>4</v>
      </c>
      <c r="G18" s="4" t="s">
        <v>4</v>
      </c>
      <c r="H18" s="4" t="s">
        <v>4</v>
      </c>
      <c r="I18" s="4" t="s">
        <v>4</v>
      </c>
      <c r="J18" s="4" t="s">
        <v>4</v>
      </c>
      <c r="K18" s="4" t="s">
        <v>4</v>
      </c>
      <c r="L18" s="4" t="s">
        <v>4</v>
      </c>
      <c r="M18" s="4" t="s">
        <v>4</v>
      </c>
      <c r="N18" s="4" t="s">
        <v>4</v>
      </c>
      <c r="O18" s="4" t="s">
        <v>4</v>
      </c>
      <c r="P18" s="4" t="s">
        <v>4</v>
      </c>
      <c r="Q18" s="4" t="s">
        <v>4</v>
      </c>
      <c r="R18" s="71"/>
      <c r="S18" s="66"/>
      <c r="T18" s="66"/>
      <c r="U18" s="66"/>
    </row>
    <row r="19" spans="1:21" s="67" customFormat="1" x14ac:dyDescent="0.25">
      <c r="A19" s="62" t="s">
        <v>529</v>
      </c>
      <c r="B19" s="4" t="s">
        <v>4</v>
      </c>
      <c r="C19" s="4" t="s">
        <v>4</v>
      </c>
      <c r="D19" s="4" t="s">
        <v>4</v>
      </c>
      <c r="E19" s="4" t="s">
        <v>4</v>
      </c>
      <c r="F19" s="4" t="s">
        <v>4</v>
      </c>
      <c r="G19" s="4" t="s">
        <v>4</v>
      </c>
      <c r="H19" s="4" t="s">
        <v>4</v>
      </c>
      <c r="I19" s="4" t="s">
        <v>4</v>
      </c>
      <c r="J19" s="4" t="s">
        <v>4</v>
      </c>
      <c r="K19" s="4" t="s">
        <v>4</v>
      </c>
      <c r="L19" s="4" t="s">
        <v>4</v>
      </c>
      <c r="M19" s="4" t="s">
        <v>4</v>
      </c>
      <c r="N19" s="4" t="s">
        <v>4</v>
      </c>
      <c r="O19" s="4" t="s">
        <v>4</v>
      </c>
      <c r="P19" s="4" t="s">
        <v>4</v>
      </c>
      <c r="Q19" s="4" t="s">
        <v>4</v>
      </c>
      <c r="R19" s="71"/>
      <c r="S19" s="66"/>
      <c r="T19" s="66"/>
      <c r="U19" s="66"/>
    </row>
    <row r="20" spans="1:21" s="67" customFormat="1" x14ac:dyDescent="0.25">
      <c r="A20" s="62" t="s">
        <v>530</v>
      </c>
      <c r="B20" s="4" t="s">
        <v>4</v>
      </c>
      <c r="C20" s="4" t="s">
        <v>4</v>
      </c>
      <c r="D20" s="4" t="s">
        <v>4</v>
      </c>
      <c r="E20" s="4" t="s">
        <v>4</v>
      </c>
      <c r="F20" s="4" t="s">
        <v>4</v>
      </c>
      <c r="G20" s="4" t="s">
        <v>4</v>
      </c>
      <c r="H20" s="4" t="s">
        <v>4</v>
      </c>
      <c r="I20" s="4" t="s">
        <v>4</v>
      </c>
      <c r="J20" s="4" t="s">
        <v>4</v>
      </c>
      <c r="K20" s="4" t="s">
        <v>4</v>
      </c>
      <c r="L20" s="4" t="s">
        <v>4</v>
      </c>
      <c r="M20" s="4" t="s">
        <v>4</v>
      </c>
      <c r="N20" s="4" t="s">
        <v>4</v>
      </c>
      <c r="O20" s="4" t="s">
        <v>4</v>
      </c>
      <c r="P20" s="4" t="s">
        <v>4</v>
      </c>
      <c r="Q20" s="4" t="s">
        <v>4</v>
      </c>
      <c r="R20" s="71"/>
      <c r="S20" s="66"/>
      <c r="T20" s="66"/>
      <c r="U20" s="66"/>
    </row>
    <row r="21" spans="1:21" s="67" customFormat="1" x14ac:dyDescent="0.25">
      <c r="A21" s="62" t="s">
        <v>531</v>
      </c>
      <c r="B21" s="4" t="s">
        <v>4</v>
      </c>
      <c r="C21" s="4" t="s">
        <v>4</v>
      </c>
      <c r="D21" s="4" t="s">
        <v>4</v>
      </c>
      <c r="E21" s="4" t="s">
        <v>4</v>
      </c>
      <c r="F21" s="4" t="s">
        <v>4</v>
      </c>
      <c r="G21" s="4" t="s">
        <v>4</v>
      </c>
      <c r="H21" s="4" t="s">
        <v>4</v>
      </c>
      <c r="I21" s="4" t="s">
        <v>4</v>
      </c>
      <c r="J21" s="4" t="s">
        <v>4</v>
      </c>
      <c r="K21" s="4" t="s">
        <v>4</v>
      </c>
      <c r="L21" s="4" t="s">
        <v>4</v>
      </c>
      <c r="M21" s="4" t="s">
        <v>4</v>
      </c>
      <c r="N21" s="4" t="s">
        <v>4</v>
      </c>
      <c r="O21" s="4" t="s">
        <v>4</v>
      </c>
      <c r="P21" s="4" t="s">
        <v>4</v>
      </c>
      <c r="Q21" s="4" t="s">
        <v>4</v>
      </c>
      <c r="R21" s="71"/>
      <c r="S21" s="66"/>
      <c r="T21" s="66"/>
      <c r="U21" s="66"/>
    </row>
    <row r="22" spans="1:21" s="67" customFormat="1" x14ac:dyDescent="0.25">
      <c r="A22" s="62" t="s">
        <v>532</v>
      </c>
      <c r="B22" s="4" t="s">
        <v>4</v>
      </c>
      <c r="C22" s="4" t="s">
        <v>4</v>
      </c>
      <c r="D22" s="4" t="s">
        <v>4</v>
      </c>
      <c r="E22" s="4" t="s">
        <v>4</v>
      </c>
      <c r="F22" s="4" t="s">
        <v>4</v>
      </c>
      <c r="G22" s="4" t="s">
        <v>4</v>
      </c>
      <c r="H22" s="4" t="s">
        <v>4</v>
      </c>
      <c r="I22" s="4" t="s">
        <v>4</v>
      </c>
      <c r="J22" s="4" t="s">
        <v>4</v>
      </c>
      <c r="K22" s="4" t="s">
        <v>4</v>
      </c>
      <c r="L22" s="4" t="s">
        <v>4</v>
      </c>
      <c r="M22" s="4" t="s">
        <v>4</v>
      </c>
      <c r="N22" s="4" t="s">
        <v>4</v>
      </c>
      <c r="O22" s="4" t="s">
        <v>4</v>
      </c>
      <c r="P22" s="4" t="s">
        <v>4</v>
      </c>
      <c r="Q22" s="4" t="s">
        <v>4</v>
      </c>
      <c r="R22" s="71"/>
      <c r="S22" s="66"/>
      <c r="T22" s="66"/>
      <c r="U22" s="66"/>
    </row>
    <row r="23" spans="1:21" s="67" customFormat="1" x14ac:dyDescent="0.25">
      <c r="A23" s="62" t="s">
        <v>533</v>
      </c>
      <c r="B23" s="4" t="s">
        <v>4</v>
      </c>
      <c r="C23" s="4" t="s">
        <v>4</v>
      </c>
      <c r="D23" s="4" t="s">
        <v>4</v>
      </c>
      <c r="E23" s="4" t="s">
        <v>4</v>
      </c>
      <c r="F23" s="4" t="s">
        <v>4</v>
      </c>
      <c r="G23" s="4" t="s">
        <v>4</v>
      </c>
      <c r="H23" s="4" t="s">
        <v>4</v>
      </c>
      <c r="I23" s="4" t="s">
        <v>4</v>
      </c>
      <c r="J23" s="4" t="s">
        <v>4</v>
      </c>
      <c r="K23" s="4" t="s">
        <v>4</v>
      </c>
      <c r="L23" s="4" t="s">
        <v>4</v>
      </c>
      <c r="M23" s="4" t="s">
        <v>4</v>
      </c>
      <c r="N23" s="4" t="s">
        <v>4</v>
      </c>
      <c r="O23" s="4" t="s">
        <v>4</v>
      </c>
      <c r="P23" s="4" t="s">
        <v>4</v>
      </c>
      <c r="Q23" s="4" t="s">
        <v>4</v>
      </c>
      <c r="R23" s="71"/>
      <c r="S23" s="66"/>
      <c r="T23" s="66"/>
      <c r="U23" s="66"/>
    </row>
    <row r="24" spans="1:21" s="67" customFormat="1" x14ac:dyDescent="0.25">
      <c r="A24" s="62" t="s">
        <v>534</v>
      </c>
      <c r="B24" s="4" t="s">
        <v>4</v>
      </c>
      <c r="C24" s="4" t="s">
        <v>4</v>
      </c>
      <c r="D24" s="4" t="s">
        <v>4</v>
      </c>
      <c r="E24" s="4" t="s">
        <v>4</v>
      </c>
      <c r="F24" s="4" t="s">
        <v>4</v>
      </c>
      <c r="G24" s="4" t="s">
        <v>4</v>
      </c>
      <c r="H24" s="4" t="s">
        <v>4</v>
      </c>
      <c r="I24" s="4" t="s">
        <v>4</v>
      </c>
      <c r="J24" s="4" t="s">
        <v>4</v>
      </c>
      <c r="K24" s="4" t="s">
        <v>4</v>
      </c>
      <c r="L24" s="4" t="s">
        <v>4</v>
      </c>
      <c r="M24" s="4" t="s">
        <v>4</v>
      </c>
      <c r="N24" s="4" t="s">
        <v>4</v>
      </c>
      <c r="O24" s="4" t="s">
        <v>4</v>
      </c>
      <c r="P24" s="4" t="s">
        <v>4</v>
      </c>
      <c r="Q24" s="4" t="s">
        <v>4</v>
      </c>
      <c r="R24" s="71"/>
      <c r="S24" s="66"/>
      <c r="T24" s="66"/>
      <c r="U24" s="66"/>
    </row>
    <row r="25" spans="1:21" s="67" customFormat="1" x14ac:dyDescent="0.25">
      <c r="A25" s="62" t="s">
        <v>535</v>
      </c>
      <c r="B25" s="4" t="s">
        <v>4</v>
      </c>
      <c r="C25" s="4" t="s">
        <v>4</v>
      </c>
      <c r="D25" s="4" t="s">
        <v>4</v>
      </c>
      <c r="E25" s="4" t="s">
        <v>4</v>
      </c>
      <c r="F25" s="4" t="s">
        <v>4</v>
      </c>
      <c r="G25" s="4" t="s">
        <v>4</v>
      </c>
      <c r="H25" s="4" t="s">
        <v>4</v>
      </c>
      <c r="I25" s="4" t="s">
        <v>4</v>
      </c>
      <c r="J25" s="4" t="s">
        <v>4</v>
      </c>
      <c r="K25" s="4" t="s">
        <v>4</v>
      </c>
      <c r="L25" s="4" t="s">
        <v>4</v>
      </c>
      <c r="M25" s="4" t="s">
        <v>4</v>
      </c>
      <c r="N25" s="4" t="s">
        <v>4</v>
      </c>
      <c r="O25" s="4" t="s">
        <v>4</v>
      </c>
      <c r="P25" s="4" t="s">
        <v>4</v>
      </c>
      <c r="Q25" s="4" t="s">
        <v>4</v>
      </c>
      <c r="R25" s="71"/>
      <c r="S25" s="66"/>
      <c r="T25" s="66"/>
      <c r="U25" s="66"/>
    </row>
    <row r="26" spans="1:21" s="67" customFormat="1" x14ac:dyDescent="0.25">
      <c r="A26" s="62" t="s">
        <v>536</v>
      </c>
      <c r="B26" s="4" t="s">
        <v>4</v>
      </c>
      <c r="C26" s="4" t="s">
        <v>4</v>
      </c>
      <c r="D26" s="4" t="s">
        <v>4</v>
      </c>
      <c r="E26" s="4" t="s">
        <v>4</v>
      </c>
      <c r="F26" s="4" t="s">
        <v>4</v>
      </c>
      <c r="G26" s="4" t="s">
        <v>4</v>
      </c>
      <c r="H26" s="4" t="s">
        <v>4</v>
      </c>
      <c r="I26" s="4" t="s">
        <v>4</v>
      </c>
      <c r="J26" s="4" t="s">
        <v>4</v>
      </c>
      <c r="K26" s="4" t="s">
        <v>4</v>
      </c>
      <c r="L26" s="4" t="s">
        <v>4</v>
      </c>
      <c r="M26" s="4" t="s">
        <v>4</v>
      </c>
      <c r="N26" s="4" t="s">
        <v>4</v>
      </c>
      <c r="O26" s="4" t="s">
        <v>4</v>
      </c>
      <c r="P26" s="4" t="s">
        <v>4</v>
      </c>
      <c r="Q26" s="4" t="s">
        <v>4</v>
      </c>
      <c r="R26" s="71"/>
      <c r="S26" s="66"/>
      <c r="T26" s="66"/>
      <c r="U26" s="66"/>
    </row>
    <row r="27" spans="1:21" s="67" customFormat="1" x14ac:dyDescent="0.25">
      <c r="A27" s="62" t="s">
        <v>537</v>
      </c>
      <c r="B27" s="4" t="s">
        <v>4</v>
      </c>
      <c r="C27" s="4" t="s">
        <v>4</v>
      </c>
      <c r="D27" s="4" t="s">
        <v>4</v>
      </c>
      <c r="E27" s="4" t="s">
        <v>4</v>
      </c>
      <c r="F27" s="4" t="s">
        <v>4</v>
      </c>
      <c r="G27" s="4" t="s">
        <v>4</v>
      </c>
      <c r="H27" s="4" t="s">
        <v>4</v>
      </c>
      <c r="I27" s="4" t="s">
        <v>4</v>
      </c>
      <c r="J27" s="4" t="s">
        <v>4</v>
      </c>
      <c r="K27" s="4" t="s">
        <v>4</v>
      </c>
      <c r="L27" s="4" t="s">
        <v>4</v>
      </c>
      <c r="M27" s="4" t="s">
        <v>4</v>
      </c>
      <c r="N27" s="4" t="s">
        <v>4</v>
      </c>
      <c r="O27" s="4" t="s">
        <v>4</v>
      </c>
      <c r="P27" s="4" t="s">
        <v>4</v>
      </c>
      <c r="Q27" s="4" t="s">
        <v>4</v>
      </c>
      <c r="R27" s="71"/>
      <c r="S27" s="66"/>
      <c r="T27" s="66"/>
      <c r="U27" s="66"/>
    </row>
    <row r="28" spans="1:21" s="67" customFormat="1" x14ac:dyDescent="0.25">
      <c r="A28" s="62" t="s">
        <v>538</v>
      </c>
      <c r="B28" s="4" t="s">
        <v>4</v>
      </c>
      <c r="C28" s="4" t="s">
        <v>4</v>
      </c>
      <c r="D28" s="4" t="s">
        <v>4</v>
      </c>
      <c r="E28" s="4" t="s">
        <v>4</v>
      </c>
      <c r="F28" s="4" t="s">
        <v>4</v>
      </c>
      <c r="G28" s="4" t="s">
        <v>4</v>
      </c>
      <c r="H28" s="4" t="s">
        <v>4</v>
      </c>
      <c r="I28" s="4" t="s">
        <v>4</v>
      </c>
      <c r="J28" s="4" t="s">
        <v>4</v>
      </c>
      <c r="K28" s="4" t="s">
        <v>4</v>
      </c>
      <c r="L28" s="4" t="s">
        <v>4</v>
      </c>
      <c r="M28" s="4" t="s">
        <v>4</v>
      </c>
      <c r="N28" s="4" t="s">
        <v>4</v>
      </c>
      <c r="O28" s="4" t="s">
        <v>4</v>
      </c>
      <c r="P28" s="4" t="s">
        <v>4</v>
      </c>
      <c r="Q28" s="4" t="s">
        <v>4</v>
      </c>
      <c r="R28" s="71"/>
      <c r="S28" s="66"/>
      <c r="T28" s="66"/>
      <c r="U28" s="66"/>
    </row>
    <row r="29" spans="1:21" s="67" customFormat="1" x14ac:dyDescent="0.25">
      <c r="A29" s="62" t="s">
        <v>539</v>
      </c>
      <c r="B29" s="4" t="s">
        <v>4</v>
      </c>
      <c r="C29" s="4" t="s">
        <v>4</v>
      </c>
      <c r="D29" s="4" t="s">
        <v>4</v>
      </c>
      <c r="E29" s="4" t="s">
        <v>4</v>
      </c>
      <c r="F29" s="4" t="s">
        <v>4</v>
      </c>
      <c r="G29" s="4" t="s">
        <v>4</v>
      </c>
      <c r="H29" s="4" t="s">
        <v>4</v>
      </c>
      <c r="I29" s="4" t="s">
        <v>4</v>
      </c>
      <c r="J29" s="4" t="s">
        <v>4</v>
      </c>
      <c r="K29" s="4" t="s">
        <v>4</v>
      </c>
      <c r="L29" s="4" t="s">
        <v>4</v>
      </c>
      <c r="M29" s="4" t="s">
        <v>4</v>
      </c>
      <c r="N29" s="4" t="s">
        <v>4</v>
      </c>
      <c r="O29" s="4" t="s">
        <v>4</v>
      </c>
      <c r="P29" s="4" t="s">
        <v>4</v>
      </c>
      <c r="Q29" s="4" t="s">
        <v>4</v>
      </c>
      <c r="R29" s="71"/>
      <c r="S29" s="66"/>
      <c r="T29" s="66"/>
      <c r="U29" s="66"/>
    </row>
    <row r="30" spans="1:21" s="67" customFormat="1" x14ac:dyDescent="0.25">
      <c r="A30" s="62" t="s">
        <v>540</v>
      </c>
      <c r="B30" s="4" t="s">
        <v>4</v>
      </c>
      <c r="C30" s="4" t="s">
        <v>4</v>
      </c>
      <c r="D30" s="4" t="s">
        <v>4</v>
      </c>
      <c r="E30" s="4" t="s">
        <v>4</v>
      </c>
      <c r="F30" s="4" t="s">
        <v>4</v>
      </c>
      <c r="G30" s="4" t="s">
        <v>4</v>
      </c>
      <c r="H30" s="4" t="s">
        <v>4</v>
      </c>
      <c r="I30" s="4" t="s">
        <v>4</v>
      </c>
      <c r="J30" s="4" t="s">
        <v>4</v>
      </c>
      <c r="K30" s="4" t="s">
        <v>4</v>
      </c>
      <c r="L30" s="4" t="s">
        <v>4</v>
      </c>
      <c r="M30" s="4" t="s">
        <v>4</v>
      </c>
      <c r="N30" s="4" t="s">
        <v>4</v>
      </c>
      <c r="O30" s="4" t="s">
        <v>4</v>
      </c>
      <c r="P30" s="4" t="s">
        <v>4</v>
      </c>
      <c r="Q30" s="4" t="s">
        <v>4</v>
      </c>
      <c r="R30" s="71"/>
      <c r="S30" s="66"/>
      <c r="T30" s="66"/>
      <c r="U30" s="66"/>
    </row>
    <row r="31" spans="1:21" s="67" customFormat="1" x14ac:dyDescent="0.25">
      <c r="A31" s="62" t="s">
        <v>541</v>
      </c>
      <c r="B31" s="4" t="s">
        <v>4</v>
      </c>
      <c r="C31" s="4" t="s">
        <v>4</v>
      </c>
      <c r="D31" s="4" t="s">
        <v>4</v>
      </c>
      <c r="E31" s="4" t="s">
        <v>4</v>
      </c>
      <c r="F31" s="4" t="s">
        <v>4</v>
      </c>
      <c r="G31" s="4" t="s">
        <v>4</v>
      </c>
      <c r="H31" s="4" t="s">
        <v>4</v>
      </c>
      <c r="I31" s="4" t="s">
        <v>4</v>
      </c>
      <c r="J31" s="4" t="s">
        <v>4</v>
      </c>
      <c r="K31" s="4" t="s">
        <v>4</v>
      </c>
      <c r="L31" s="4" t="s">
        <v>4</v>
      </c>
      <c r="M31" s="4" t="s">
        <v>4</v>
      </c>
      <c r="N31" s="4" t="s">
        <v>4</v>
      </c>
      <c r="O31" s="4" t="s">
        <v>4</v>
      </c>
      <c r="P31" s="4" t="s">
        <v>4</v>
      </c>
      <c r="Q31" s="4" t="s">
        <v>4</v>
      </c>
      <c r="R31" s="71"/>
      <c r="S31" s="66"/>
      <c r="T31" s="66"/>
      <c r="U31" s="66"/>
    </row>
    <row r="32" spans="1:21" s="67" customFormat="1" x14ac:dyDescent="0.25">
      <c r="A32" s="62" t="s">
        <v>542</v>
      </c>
      <c r="B32" s="4" t="s">
        <v>4</v>
      </c>
      <c r="C32" s="4" t="s">
        <v>4</v>
      </c>
      <c r="D32" s="4" t="s">
        <v>4</v>
      </c>
      <c r="E32" s="4" t="s">
        <v>4</v>
      </c>
      <c r="F32" s="4" t="s">
        <v>4</v>
      </c>
      <c r="G32" s="4" t="s">
        <v>4</v>
      </c>
      <c r="H32" s="4" t="s">
        <v>4</v>
      </c>
      <c r="I32" s="4" t="s">
        <v>4</v>
      </c>
      <c r="J32" s="4" t="s">
        <v>4</v>
      </c>
      <c r="K32" s="4" t="s">
        <v>4</v>
      </c>
      <c r="L32" s="4" t="s">
        <v>4</v>
      </c>
      <c r="M32" s="4" t="s">
        <v>4</v>
      </c>
      <c r="N32" s="4" t="s">
        <v>4</v>
      </c>
      <c r="O32" s="4" t="s">
        <v>4</v>
      </c>
      <c r="P32" s="4" t="s">
        <v>4</v>
      </c>
      <c r="Q32" s="4" t="s">
        <v>4</v>
      </c>
      <c r="R32" s="71"/>
      <c r="S32" s="66"/>
      <c r="T32" s="66"/>
      <c r="U32" s="66"/>
    </row>
    <row r="33" spans="1:21" s="22" customFormat="1" x14ac:dyDescent="0.25">
      <c r="A33" s="72"/>
      <c r="B33" s="63"/>
      <c r="C33" s="63"/>
      <c r="D33" s="63"/>
      <c r="E33" s="63"/>
      <c r="F33" s="63"/>
      <c r="G33" s="72"/>
      <c r="H33" s="72"/>
      <c r="I33" s="72"/>
      <c r="J33" s="63"/>
      <c r="K33" s="63"/>
      <c r="L33" s="72"/>
      <c r="M33" s="72"/>
      <c r="N33" s="72"/>
      <c r="O33" s="72"/>
      <c r="P33" s="72"/>
      <c r="Q33" s="63"/>
      <c r="R33" s="63"/>
      <c r="S33" s="21"/>
      <c r="T33" s="21"/>
      <c r="U33" s="21"/>
    </row>
    <row r="34" spans="1:21" s="22" customFormat="1" x14ac:dyDescent="0.25">
      <c r="A34" s="28" t="s">
        <v>30</v>
      </c>
      <c r="B34" s="29">
        <f t="shared" ref="B34:Q34" si="0">MIN(B9:B32)</f>
        <v>0</v>
      </c>
      <c r="C34" s="29">
        <f t="shared" si="0"/>
        <v>0</v>
      </c>
      <c r="D34" s="29">
        <f t="shared" si="0"/>
        <v>0</v>
      </c>
      <c r="E34" s="29">
        <f t="shared" si="0"/>
        <v>0</v>
      </c>
      <c r="F34" s="29">
        <f t="shared" si="0"/>
        <v>0</v>
      </c>
      <c r="G34" s="29">
        <f t="shared" si="0"/>
        <v>0</v>
      </c>
      <c r="H34" s="29">
        <f t="shared" si="0"/>
        <v>0</v>
      </c>
      <c r="I34" s="29">
        <f t="shared" si="0"/>
        <v>0</v>
      </c>
      <c r="J34" s="29">
        <f t="shared" si="0"/>
        <v>0</v>
      </c>
      <c r="K34" s="29">
        <f t="shared" si="0"/>
        <v>0</v>
      </c>
      <c r="L34" s="29">
        <f t="shared" si="0"/>
        <v>0</v>
      </c>
      <c r="M34" s="29">
        <f t="shared" si="0"/>
        <v>0</v>
      </c>
      <c r="N34" s="29">
        <f t="shared" si="0"/>
        <v>0</v>
      </c>
      <c r="O34" s="29">
        <f t="shared" si="0"/>
        <v>0</v>
      </c>
      <c r="P34" s="29">
        <f t="shared" si="0"/>
        <v>0</v>
      </c>
      <c r="Q34" s="29">
        <f t="shared" si="0"/>
        <v>0</v>
      </c>
      <c r="R34" s="29"/>
      <c r="S34" s="29"/>
      <c r="T34" s="29"/>
      <c r="U34" s="29"/>
    </row>
    <row r="35" spans="1:21" s="22" customFormat="1" x14ac:dyDescent="0.25">
      <c r="A35" s="28" t="s">
        <v>31</v>
      </c>
      <c r="B35" s="30">
        <f t="shared" ref="B35:Q35" si="1">MAX(B9:B32)</f>
        <v>0</v>
      </c>
      <c r="C35" s="30">
        <f t="shared" si="1"/>
        <v>0</v>
      </c>
      <c r="D35" s="30">
        <f t="shared" si="1"/>
        <v>0</v>
      </c>
      <c r="E35" s="30">
        <f t="shared" si="1"/>
        <v>0</v>
      </c>
      <c r="F35" s="30">
        <f t="shared" si="1"/>
        <v>0</v>
      </c>
      <c r="G35" s="30">
        <f t="shared" si="1"/>
        <v>0</v>
      </c>
      <c r="H35" s="30">
        <f t="shared" si="1"/>
        <v>0</v>
      </c>
      <c r="I35" s="30">
        <f t="shared" si="1"/>
        <v>0</v>
      </c>
      <c r="J35" s="30">
        <f t="shared" si="1"/>
        <v>0</v>
      </c>
      <c r="K35" s="30">
        <f t="shared" si="1"/>
        <v>0</v>
      </c>
      <c r="L35" s="30">
        <f t="shared" si="1"/>
        <v>0</v>
      </c>
      <c r="M35" s="30">
        <f t="shared" si="1"/>
        <v>0</v>
      </c>
      <c r="N35" s="30">
        <f t="shared" si="1"/>
        <v>0</v>
      </c>
      <c r="O35" s="30">
        <f t="shared" si="1"/>
        <v>0</v>
      </c>
      <c r="P35" s="30">
        <f t="shared" si="1"/>
        <v>0</v>
      </c>
      <c r="Q35" s="30">
        <f t="shared" si="1"/>
        <v>0</v>
      </c>
      <c r="R35" s="30"/>
      <c r="S35" s="30"/>
      <c r="T35" s="30"/>
      <c r="U35" s="30"/>
    </row>
    <row r="36" spans="1:21" s="22" customFormat="1" x14ac:dyDescent="0.25">
      <c r="A36" s="28" t="s">
        <v>32</v>
      </c>
      <c r="B36" s="29" t="e">
        <f t="shared" ref="B36:Q36" si="2">AVERAGE(B9:B32)</f>
        <v>#DIV/0!</v>
      </c>
      <c r="C36" s="29" t="e">
        <f t="shared" si="2"/>
        <v>#DIV/0!</v>
      </c>
      <c r="D36" s="29" t="e">
        <f t="shared" si="2"/>
        <v>#DIV/0!</v>
      </c>
      <c r="E36" s="29" t="e">
        <f t="shared" si="2"/>
        <v>#DIV/0!</v>
      </c>
      <c r="F36" s="29" t="e">
        <f t="shared" si="2"/>
        <v>#DIV/0!</v>
      </c>
      <c r="G36" s="29" t="e">
        <f t="shared" si="2"/>
        <v>#DIV/0!</v>
      </c>
      <c r="H36" s="29" t="e">
        <f t="shared" si="2"/>
        <v>#DIV/0!</v>
      </c>
      <c r="I36" s="29" t="e">
        <f t="shared" si="2"/>
        <v>#DIV/0!</v>
      </c>
      <c r="J36" s="29" t="e">
        <f t="shared" si="2"/>
        <v>#DIV/0!</v>
      </c>
      <c r="K36" s="29" t="e">
        <f t="shared" si="2"/>
        <v>#DIV/0!</v>
      </c>
      <c r="L36" s="29" t="e">
        <f t="shared" si="2"/>
        <v>#DIV/0!</v>
      </c>
      <c r="M36" s="29" t="e">
        <f t="shared" si="2"/>
        <v>#DIV/0!</v>
      </c>
      <c r="N36" s="29" t="e">
        <f t="shared" si="2"/>
        <v>#DIV/0!</v>
      </c>
      <c r="O36" s="29" t="e">
        <f t="shared" si="2"/>
        <v>#DIV/0!</v>
      </c>
      <c r="P36" s="29" t="e">
        <f t="shared" si="2"/>
        <v>#DIV/0!</v>
      </c>
      <c r="Q36" s="29" t="e">
        <f t="shared" si="2"/>
        <v>#DIV/0!</v>
      </c>
      <c r="R36" s="29"/>
      <c r="S36" s="29"/>
      <c r="T36" s="29"/>
      <c r="U36" s="29"/>
    </row>
    <row r="37" spans="1:21" s="22" customFormat="1" x14ac:dyDescent="0.25">
      <c r="A37" s="28" t="s">
        <v>38</v>
      </c>
      <c r="B37" s="29" t="e">
        <f>STDEV(B9:B32)</f>
        <v>#DIV/0!</v>
      </c>
      <c r="C37" s="29" t="e">
        <f t="shared" ref="C37:Q37" si="3">STDEV(C9:C32)</f>
        <v>#DIV/0!</v>
      </c>
      <c r="D37" s="29" t="e">
        <f t="shared" si="3"/>
        <v>#DIV/0!</v>
      </c>
      <c r="E37" s="29" t="e">
        <f t="shared" si="3"/>
        <v>#DIV/0!</v>
      </c>
      <c r="F37" s="29" t="e">
        <f t="shared" si="3"/>
        <v>#DIV/0!</v>
      </c>
      <c r="G37" s="29" t="e">
        <f t="shared" si="3"/>
        <v>#DIV/0!</v>
      </c>
      <c r="H37" s="29" t="e">
        <f t="shared" si="3"/>
        <v>#DIV/0!</v>
      </c>
      <c r="I37" s="29" t="e">
        <f t="shared" si="3"/>
        <v>#DIV/0!</v>
      </c>
      <c r="J37" s="29" t="e">
        <f t="shared" si="3"/>
        <v>#DIV/0!</v>
      </c>
      <c r="K37" s="29" t="e">
        <f t="shared" si="3"/>
        <v>#DIV/0!</v>
      </c>
      <c r="L37" s="29" t="e">
        <f t="shared" si="3"/>
        <v>#DIV/0!</v>
      </c>
      <c r="M37" s="29" t="e">
        <f t="shared" si="3"/>
        <v>#DIV/0!</v>
      </c>
      <c r="N37" s="29" t="e">
        <f t="shared" si="3"/>
        <v>#DIV/0!</v>
      </c>
      <c r="O37" s="29" t="e">
        <f t="shared" si="3"/>
        <v>#DIV/0!</v>
      </c>
      <c r="P37" s="29" t="e">
        <f t="shared" si="3"/>
        <v>#DIV/0!</v>
      </c>
      <c r="Q37" s="29" t="e">
        <f t="shared" si="3"/>
        <v>#DIV/0!</v>
      </c>
      <c r="R37" s="29"/>
      <c r="S37" s="29"/>
      <c r="T37" s="29"/>
      <c r="U37" s="29"/>
    </row>
    <row r="38" spans="1:21" s="22" customFormat="1" x14ac:dyDescent="0.25">
      <c r="A38" s="32" t="s">
        <v>33</v>
      </c>
      <c r="B38" s="33">
        <f>COUNT(B9:B32)+24</f>
        <v>24</v>
      </c>
      <c r="C38" s="33">
        <f t="shared" ref="C38:Q38" si="4">COUNT(C9:C32)+24</f>
        <v>24</v>
      </c>
      <c r="D38" s="33">
        <f t="shared" si="4"/>
        <v>24</v>
      </c>
      <c r="E38" s="33">
        <f t="shared" si="4"/>
        <v>24</v>
      </c>
      <c r="F38" s="33">
        <f t="shared" si="4"/>
        <v>24</v>
      </c>
      <c r="G38" s="33">
        <f t="shared" si="4"/>
        <v>24</v>
      </c>
      <c r="H38" s="33">
        <f t="shared" si="4"/>
        <v>24</v>
      </c>
      <c r="I38" s="33">
        <f t="shared" si="4"/>
        <v>24</v>
      </c>
      <c r="J38" s="33">
        <f t="shared" si="4"/>
        <v>24</v>
      </c>
      <c r="K38" s="33">
        <f t="shared" si="4"/>
        <v>24</v>
      </c>
      <c r="L38" s="33">
        <f t="shared" si="4"/>
        <v>24</v>
      </c>
      <c r="M38" s="33">
        <f t="shared" si="4"/>
        <v>24</v>
      </c>
      <c r="N38" s="33">
        <f t="shared" si="4"/>
        <v>24</v>
      </c>
      <c r="O38" s="33">
        <f t="shared" si="4"/>
        <v>24</v>
      </c>
      <c r="P38" s="33">
        <f t="shared" si="4"/>
        <v>24</v>
      </c>
      <c r="Q38" s="33">
        <f t="shared" si="4"/>
        <v>24</v>
      </c>
      <c r="R38" s="33"/>
      <c r="S38" s="33"/>
      <c r="T38" s="33"/>
      <c r="U38" s="33"/>
    </row>
    <row r="39" spans="1:21" s="22" customFormat="1" x14ac:dyDescent="0.25">
      <c r="A39" s="28" t="s">
        <v>34</v>
      </c>
      <c r="B39" s="30" t="str">
        <f>IF(B38&gt;=22,"&gt;90%",IF(B38&lt;=22,"&lt;90%"))</f>
        <v>&gt;90%</v>
      </c>
      <c r="C39" s="30" t="str">
        <f t="shared" ref="C39:P39" si="5">IF(C38&gt;=22,"&gt;90%",IF(C38&lt;=22,"&lt;90%"))</f>
        <v>&gt;90%</v>
      </c>
      <c r="D39" s="30" t="str">
        <f t="shared" si="5"/>
        <v>&gt;90%</v>
      </c>
      <c r="E39" s="30" t="str">
        <f t="shared" si="5"/>
        <v>&gt;90%</v>
      </c>
      <c r="F39" s="30" t="str">
        <f t="shared" si="5"/>
        <v>&gt;90%</v>
      </c>
      <c r="G39" s="30" t="str">
        <f t="shared" si="5"/>
        <v>&gt;90%</v>
      </c>
      <c r="H39" s="30" t="str">
        <f t="shared" si="5"/>
        <v>&gt;90%</v>
      </c>
      <c r="I39" s="30" t="str">
        <f t="shared" si="5"/>
        <v>&gt;90%</v>
      </c>
      <c r="J39" s="30" t="str">
        <f t="shared" si="5"/>
        <v>&gt;90%</v>
      </c>
      <c r="K39" s="30" t="str">
        <f t="shared" si="5"/>
        <v>&gt;90%</v>
      </c>
      <c r="L39" s="30" t="str">
        <f t="shared" si="5"/>
        <v>&gt;90%</v>
      </c>
      <c r="M39" s="30" t="str">
        <f t="shared" si="5"/>
        <v>&gt;90%</v>
      </c>
      <c r="N39" s="30" t="str">
        <f t="shared" si="5"/>
        <v>&gt;90%</v>
      </c>
      <c r="O39" s="30" t="str">
        <f t="shared" si="5"/>
        <v>&gt;90%</v>
      </c>
      <c r="P39" s="30" t="str">
        <f t="shared" si="5"/>
        <v>&gt;90%</v>
      </c>
      <c r="Q39" s="30" t="str">
        <f>IF(Q38&gt;=22,"&gt;90%",IF(Q38&lt;=22,"&lt;90%"))</f>
        <v>&gt;90%</v>
      </c>
      <c r="R39" s="30"/>
      <c r="S39" s="30"/>
      <c r="T39" s="30"/>
      <c r="U39" s="30"/>
    </row>
    <row r="40" spans="1:21" s="22" customFormat="1" x14ac:dyDescent="0.25">
      <c r="A40" s="28" t="s">
        <v>1</v>
      </c>
      <c r="B40" s="30" t="str">
        <f>IF(B38&gt;=22,"OK",IF(B38&lt;=22,"LESS"))</f>
        <v>OK</v>
      </c>
      <c r="C40" s="30" t="str">
        <f t="shared" ref="C40:Q40" si="6">IF(C38&gt;=22,"OK",IF(C38&lt;=22,"LESS"))</f>
        <v>OK</v>
      </c>
      <c r="D40" s="30" t="str">
        <f t="shared" si="6"/>
        <v>OK</v>
      </c>
      <c r="E40" s="30" t="str">
        <f t="shared" si="6"/>
        <v>OK</v>
      </c>
      <c r="F40" s="30" t="str">
        <f t="shared" si="6"/>
        <v>OK</v>
      </c>
      <c r="G40" s="30" t="str">
        <f t="shared" si="6"/>
        <v>OK</v>
      </c>
      <c r="H40" s="30" t="str">
        <f t="shared" si="6"/>
        <v>OK</v>
      </c>
      <c r="I40" s="30" t="str">
        <f t="shared" si="6"/>
        <v>OK</v>
      </c>
      <c r="J40" s="30" t="str">
        <f t="shared" si="6"/>
        <v>OK</v>
      </c>
      <c r="K40" s="30" t="str">
        <f t="shared" si="6"/>
        <v>OK</v>
      </c>
      <c r="L40" s="30" t="str">
        <f t="shared" si="6"/>
        <v>OK</v>
      </c>
      <c r="M40" s="30" t="str">
        <f t="shared" si="6"/>
        <v>OK</v>
      </c>
      <c r="N40" s="30" t="str">
        <f t="shared" si="6"/>
        <v>OK</v>
      </c>
      <c r="O40" s="30" t="str">
        <f t="shared" si="6"/>
        <v>OK</v>
      </c>
      <c r="P40" s="30" t="str">
        <f t="shared" si="6"/>
        <v>OK</v>
      </c>
      <c r="Q40" s="30" t="str">
        <f t="shared" si="6"/>
        <v>OK</v>
      </c>
      <c r="R40" s="30"/>
      <c r="S40" s="30"/>
      <c r="T40" s="30"/>
      <c r="U40" s="30"/>
    </row>
    <row r="41" spans="1:21" s="22" customFormat="1" x14ac:dyDescent="0.25">
      <c r="A41" s="14"/>
      <c r="L41" s="14"/>
      <c r="N41" s="17"/>
      <c r="O41" s="17"/>
      <c r="P41" s="17"/>
      <c r="Q41" s="17"/>
      <c r="R41" s="17"/>
      <c r="S41" s="17"/>
      <c r="T41" s="17"/>
      <c r="U41" s="17"/>
    </row>
    <row r="42" spans="1:21" s="22" customFormat="1" x14ac:dyDescent="0.25">
      <c r="A42" s="14"/>
    </row>
    <row r="43" spans="1:21" s="22" customFormat="1" x14ac:dyDescent="0.25">
      <c r="A43" s="15" t="s">
        <v>35</v>
      </c>
      <c r="B43" s="41" t="s">
        <v>61</v>
      </c>
      <c r="C43" s="43"/>
    </row>
    <row r="44" spans="1:21" s="22" customFormat="1" x14ac:dyDescent="0.25">
      <c r="A44" s="14"/>
      <c r="D44" s="2"/>
      <c r="E44" s="2"/>
      <c r="F44" s="2"/>
      <c r="G44" s="2"/>
      <c r="H44" s="2"/>
      <c r="I44" s="2"/>
    </row>
    <row r="45" spans="1:21" s="22" customFormat="1" ht="15.75" x14ac:dyDescent="0.25">
      <c r="A45" s="18" t="s">
        <v>36</v>
      </c>
      <c r="B45" s="42" t="s">
        <v>518</v>
      </c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</row>
    <row r="46" spans="1:21" s="22" customFormat="1" x14ac:dyDescent="0.25"/>
    <row r="47" spans="1:21" s="22" customFormat="1" x14ac:dyDescent="0.25"/>
    <row r="48" spans="1:21" s="22" customFormat="1" x14ac:dyDescent="0.25"/>
    <row r="49" s="22" customFormat="1" x14ac:dyDescent="0.25"/>
    <row r="50" s="22" customFormat="1" x14ac:dyDescent="0.25"/>
    <row r="51" s="22" customFormat="1" x14ac:dyDescent="0.25"/>
    <row r="52" s="22" customFormat="1" x14ac:dyDescent="0.25"/>
    <row r="53" s="22" customFormat="1" x14ac:dyDescent="0.25"/>
    <row r="54" s="22" customFormat="1" x14ac:dyDescent="0.25"/>
    <row r="55" s="22" customFormat="1" x14ac:dyDescent="0.25"/>
    <row r="56" s="22" customFormat="1" x14ac:dyDescent="0.25"/>
    <row r="57" s="22" customFormat="1" x14ac:dyDescent="0.25"/>
    <row r="58" s="22" customFormat="1" x14ac:dyDescent="0.25"/>
    <row r="59" s="22" customFormat="1" x14ac:dyDescent="0.25"/>
    <row r="60" s="22" customFormat="1" x14ac:dyDescent="0.25"/>
    <row r="61" s="22" customFormat="1" x14ac:dyDescent="0.25"/>
    <row r="62" s="22" customFormat="1" x14ac:dyDescent="0.25"/>
    <row r="63" s="22" customFormat="1" x14ac:dyDescent="0.25"/>
    <row r="64" s="22" customFormat="1" x14ac:dyDescent="0.25"/>
    <row r="65" s="22" customFormat="1" x14ac:dyDescent="0.25"/>
    <row r="66" s="22" customFormat="1" x14ac:dyDescent="0.25"/>
    <row r="67" s="22" customFormat="1" x14ac:dyDescent="0.25"/>
    <row r="68" s="22" customFormat="1" x14ac:dyDescent="0.25"/>
    <row r="69" s="22" customFormat="1" x14ac:dyDescent="0.25"/>
    <row r="70" s="22" customFormat="1" x14ac:dyDescent="0.25"/>
    <row r="71" s="22" customFormat="1" x14ac:dyDescent="0.25"/>
    <row r="72" s="22" customFormat="1" x14ac:dyDescent="0.25"/>
    <row r="73" s="22" customFormat="1" x14ac:dyDescent="0.25"/>
    <row r="74" s="22" customFormat="1" x14ac:dyDescent="0.25"/>
    <row r="75" s="22" customFormat="1" x14ac:dyDescent="0.25"/>
    <row r="76" s="22" customFormat="1" x14ac:dyDescent="0.25"/>
    <row r="77" s="22" customFormat="1" x14ac:dyDescent="0.25"/>
    <row r="78" s="22" customFormat="1" x14ac:dyDescent="0.25"/>
    <row r="79" s="22" customFormat="1" x14ac:dyDescent="0.25"/>
    <row r="80" s="22" customFormat="1" x14ac:dyDescent="0.25"/>
    <row r="81" s="22" customFormat="1" x14ac:dyDescent="0.25"/>
    <row r="82" s="22" customFormat="1" x14ac:dyDescent="0.25"/>
    <row r="83" s="22" customFormat="1" x14ac:dyDescent="0.25"/>
    <row r="84" s="22" customFormat="1" x14ac:dyDescent="0.25"/>
    <row r="85" s="22" customFormat="1" x14ac:dyDescent="0.25"/>
    <row r="86" s="22" customFormat="1" x14ac:dyDescent="0.25"/>
    <row r="87" s="22" customFormat="1" x14ac:dyDescent="0.25"/>
    <row r="88" s="22" customFormat="1" x14ac:dyDescent="0.25"/>
    <row r="89" s="22" customFormat="1" x14ac:dyDescent="0.25"/>
    <row r="90" s="22" customFormat="1" x14ac:dyDescent="0.25"/>
    <row r="91" s="22" customFormat="1" x14ac:dyDescent="0.25"/>
    <row r="92" s="22" customFormat="1" x14ac:dyDescent="0.25"/>
    <row r="93" s="22" customFormat="1" x14ac:dyDescent="0.25"/>
    <row r="94" s="22" customFormat="1" x14ac:dyDescent="0.25"/>
    <row r="95" s="22" customFormat="1" x14ac:dyDescent="0.25"/>
    <row r="96" s="22" customFormat="1" x14ac:dyDescent="0.25"/>
    <row r="97" spans="1:1" s="22" customFormat="1" x14ac:dyDescent="0.25"/>
    <row r="98" spans="1:1" s="22" customFormat="1" x14ac:dyDescent="0.25"/>
    <row r="99" spans="1:1" s="22" customFormat="1" x14ac:dyDescent="0.25"/>
    <row r="100" spans="1:1" s="22" customFormat="1" x14ac:dyDescent="0.25"/>
    <row r="101" spans="1:1" s="22" customFormat="1" x14ac:dyDescent="0.25"/>
    <row r="102" spans="1:1" s="22" customFormat="1" x14ac:dyDescent="0.25"/>
    <row r="103" spans="1:1" s="22" customFormat="1" x14ac:dyDescent="0.25"/>
    <row r="104" spans="1:1" s="22" customFormat="1" x14ac:dyDescent="0.25"/>
    <row r="105" spans="1:1" s="22" customFormat="1" x14ac:dyDescent="0.25"/>
    <row r="106" spans="1:1" x14ac:dyDescent="0.25">
      <c r="A106" s="21"/>
    </row>
    <row r="107" spans="1:1" s="22" customFormat="1" x14ac:dyDescent="0.25"/>
    <row r="108" spans="1:1" s="22" customFormat="1" x14ac:dyDescent="0.25"/>
    <row r="109" spans="1:1" s="22" customFormat="1" x14ac:dyDescent="0.25"/>
    <row r="110" spans="1:1" s="22" customFormat="1" x14ac:dyDescent="0.25"/>
    <row r="111" spans="1:1" s="22" customFormat="1" x14ac:dyDescent="0.25"/>
    <row r="112" spans="1:1" s="22" customFormat="1" x14ac:dyDescent="0.25"/>
    <row r="113" spans="1:1" s="22" customFormat="1" x14ac:dyDescent="0.25"/>
    <row r="114" spans="1:1" s="22" customFormat="1" x14ac:dyDescent="0.25"/>
    <row r="115" spans="1:1" s="22" customFormat="1" x14ac:dyDescent="0.25"/>
    <row r="116" spans="1:1" s="22" customFormat="1" x14ac:dyDescent="0.25"/>
    <row r="117" spans="1:1" s="22" customFormat="1" x14ac:dyDescent="0.25"/>
    <row r="118" spans="1:1" x14ac:dyDescent="0.25">
      <c r="A118" s="21"/>
    </row>
    <row r="119" spans="1:1" x14ac:dyDescent="0.25">
      <c r="A119" s="21"/>
    </row>
  </sheetData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1" ySplit="8" topLeftCell="B27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E45" sqref="E45"/>
    </sheetView>
  </sheetViews>
  <sheetFormatPr defaultColWidth="8.85546875" defaultRowHeight="15" x14ac:dyDescent="0.25"/>
  <cols>
    <col min="1" max="1" width="18.28515625" style="27" customWidth="1"/>
    <col min="2" max="2" width="12.7109375" style="21" customWidth="1"/>
    <col min="3" max="12" width="9.140625" style="21" customWidth="1"/>
    <col min="13" max="13" width="10" style="21" customWidth="1"/>
    <col min="14" max="19" width="9.140625" style="21" customWidth="1"/>
    <col min="20" max="20" width="11.42578125" style="21" customWidth="1"/>
    <col min="21" max="16384" width="8.85546875" style="21"/>
  </cols>
  <sheetData>
    <row r="1" spans="1:21" s="22" customFormat="1" ht="26.25" x14ac:dyDescent="0.25">
      <c r="A1" s="15" t="s">
        <v>2</v>
      </c>
      <c r="B1" s="24" t="s">
        <v>43</v>
      </c>
      <c r="C1" s="38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s="22" customFormat="1" x14ac:dyDescent="0.25">
      <c r="A2" s="15" t="s">
        <v>0</v>
      </c>
      <c r="B2" s="39" t="str">
        <f>$A$9</f>
        <v>21-10-2022 01:00</v>
      </c>
      <c r="C2" s="12"/>
      <c r="D2" s="11" t="s">
        <v>3</v>
      </c>
      <c r="E2" s="11"/>
      <c r="F2" s="11"/>
      <c r="G2" s="4" t="s">
        <v>4</v>
      </c>
      <c r="H2" s="20"/>
      <c r="I2" s="20"/>
      <c r="J2" s="20"/>
      <c r="K2" s="13"/>
      <c r="L2" s="11" t="s">
        <v>5</v>
      </c>
      <c r="M2" s="13"/>
      <c r="N2" s="8" t="s">
        <v>6</v>
      </c>
      <c r="P2" s="40" t="s">
        <v>7</v>
      </c>
      <c r="Q2" s="13"/>
      <c r="R2" s="9" t="s">
        <v>8</v>
      </c>
      <c r="S2" s="12"/>
      <c r="T2" s="12"/>
      <c r="U2" s="12"/>
    </row>
    <row r="3" spans="1:21" s="22" customFormat="1" x14ac:dyDescent="0.25">
      <c r="A3" s="15" t="s">
        <v>9</v>
      </c>
      <c r="B3" s="13" t="s">
        <v>10</v>
      </c>
      <c r="C3" s="12"/>
      <c r="D3" s="11" t="s">
        <v>11</v>
      </c>
      <c r="E3" s="11"/>
      <c r="F3" s="11"/>
      <c r="G3" s="19" t="s">
        <v>12</v>
      </c>
      <c r="H3" s="20"/>
      <c r="I3" s="20"/>
      <c r="J3" s="20"/>
      <c r="K3" s="12"/>
      <c r="L3" s="11" t="s">
        <v>13</v>
      </c>
      <c r="M3" s="13"/>
      <c r="N3" s="6" t="s">
        <v>14</v>
      </c>
      <c r="O3" s="13"/>
      <c r="P3" s="40" t="s">
        <v>15</v>
      </c>
      <c r="Q3" s="13"/>
      <c r="R3" s="10" t="s">
        <v>15</v>
      </c>
      <c r="S3" s="12"/>
      <c r="T3" s="12"/>
      <c r="U3" s="12"/>
    </row>
    <row r="4" spans="1:21" s="22" customFormat="1" x14ac:dyDescent="0.25">
      <c r="A4" s="15" t="s">
        <v>16</v>
      </c>
      <c r="B4" s="13" t="s">
        <v>39</v>
      </c>
      <c r="C4" s="12"/>
      <c r="D4" s="11" t="s">
        <v>17</v>
      </c>
      <c r="E4" s="11"/>
      <c r="F4" s="11"/>
      <c r="G4" s="5" t="s">
        <v>18</v>
      </c>
      <c r="H4" s="20"/>
      <c r="I4" s="20"/>
      <c r="J4" s="20"/>
      <c r="K4" s="3"/>
      <c r="L4" s="11" t="s">
        <v>19</v>
      </c>
      <c r="M4" s="13"/>
      <c r="N4" s="7" t="s">
        <v>20</v>
      </c>
      <c r="O4" s="13"/>
      <c r="P4" s="13"/>
      <c r="Q4" s="13"/>
      <c r="R4" s="13"/>
      <c r="S4" s="12"/>
      <c r="T4" s="12"/>
      <c r="U4" s="12"/>
    </row>
    <row r="5" spans="1:21" s="22" customFormat="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s="22" customFormat="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s="22" customFormat="1" x14ac:dyDescent="0.25">
      <c r="A7" s="73" t="s">
        <v>21</v>
      </c>
      <c r="B7" s="74" t="s">
        <v>59</v>
      </c>
      <c r="C7" s="74" t="s">
        <v>44</v>
      </c>
      <c r="D7" s="74" t="s">
        <v>45</v>
      </c>
      <c r="E7" s="74" t="s">
        <v>46</v>
      </c>
      <c r="F7" s="74" t="s">
        <v>47</v>
      </c>
      <c r="G7" s="74" t="s">
        <v>48</v>
      </c>
      <c r="H7" s="74" t="s">
        <v>49</v>
      </c>
      <c r="I7" s="74" t="s">
        <v>50</v>
      </c>
      <c r="J7" s="74" t="s">
        <v>51</v>
      </c>
      <c r="K7" s="74" t="s">
        <v>52</v>
      </c>
      <c r="L7" s="74" t="s">
        <v>53</v>
      </c>
      <c r="M7" s="74" t="s">
        <v>54</v>
      </c>
      <c r="N7" s="74" t="s">
        <v>55</v>
      </c>
      <c r="O7" s="74" t="s">
        <v>56</v>
      </c>
      <c r="P7" s="74" t="s">
        <v>57</v>
      </c>
      <c r="Q7" s="74" t="s">
        <v>58</v>
      </c>
      <c r="R7" s="28"/>
      <c r="S7" s="30"/>
      <c r="T7" s="28"/>
      <c r="U7" s="28"/>
    </row>
    <row r="8" spans="1:21" s="22" customFormat="1" x14ac:dyDescent="0.25">
      <c r="A8" s="73"/>
      <c r="B8" s="75" t="s">
        <v>22</v>
      </c>
      <c r="C8" s="75" t="s">
        <v>22</v>
      </c>
      <c r="D8" s="75" t="s">
        <v>22</v>
      </c>
      <c r="E8" s="75" t="s">
        <v>22</v>
      </c>
      <c r="F8" s="75" t="s">
        <v>22</v>
      </c>
      <c r="G8" s="75" t="s">
        <v>23</v>
      </c>
      <c r="H8" s="75" t="s">
        <v>22</v>
      </c>
      <c r="I8" s="75" t="s">
        <v>22</v>
      </c>
      <c r="J8" s="75" t="s">
        <v>24</v>
      </c>
      <c r="K8" s="75" t="s">
        <v>25</v>
      </c>
      <c r="L8" s="73" t="s">
        <v>27</v>
      </c>
      <c r="M8" s="75" t="s">
        <v>26</v>
      </c>
      <c r="N8" s="75" t="s">
        <v>28</v>
      </c>
      <c r="O8" s="73" t="s">
        <v>29</v>
      </c>
      <c r="P8" s="75" t="s">
        <v>22</v>
      </c>
      <c r="Q8" s="75" t="s">
        <v>22</v>
      </c>
      <c r="R8" s="28"/>
      <c r="S8" s="30"/>
      <c r="T8" s="28"/>
      <c r="U8" s="28"/>
    </row>
    <row r="9" spans="1:21" s="67" customFormat="1" x14ac:dyDescent="0.25">
      <c r="A9" s="62" t="s">
        <v>543</v>
      </c>
      <c r="B9" s="4" t="s">
        <v>4</v>
      </c>
      <c r="C9" s="4" t="s">
        <v>4</v>
      </c>
      <c r="D9" s="4" t="s">
        <v>4</v>
      </c>
      <c r="E9" s="4" t="s">
        <v>4</v>
      </c>
      <c r="F9" s="4" t="s">
        <v>4</v>
      </c>
      <c r="G9" s="4" t="s">
        <v>4</v>
      </c>
      <c r="H9" s="4" t="s">
        <v>4</v>
      </c>
      <c r="I9" s="4" t="s">
        <v>4</v>
      </c>
      <c r="J9" s="4" t="s">
        <v>4</v>
      </c>
      <c r="K9" s="4" t="s">
        <v>4</v>
      </c>
      <c r="L9" s="4" t="s">
        <v>4</v>
      </c>
      <c r="M9" s="4" t="s">
        <v>4</v>
      </c>
      <c r="N9" s="4" t="s">
        <v>4</v>
      </c>
      <c r="O9" s="4" t="s">
        <v>4</v>
      </c>
      <c r="P9" s="4" t="s">
        <v>4</v>
      </c>
      <c r="Q9" s="4" t="s">
        <v>4</v>
      </c>
      <c r="R9" s="66"/>
      <c r="S9" s="66"/>
      <c r="T9" s="66"/>
      <c r="U9" s="66"/>
    </row>
    <row r="10" spans="1:21" s="67" customFormat="1" x14ac:dyDescent="0.25">
      <c r="A10" s="62" t="s">
        <v>544</v>
      </c>
      <c r="B10" s="4" t="s">
        <v>4</v>
      </c>
      <c r="C10" s="4" t="s">
        <v>4</v>
      </c>
      <c r="D10" s="4" t="s">
        <v>4</v>
      </c>
      <c r="E10" s="4" t="s">
        <v>4</v>
      </c>
      <c r="F10" s="4" t="s">
        <v>4</v>
      </c>
      <c r="G10" s="4" t="s">
        <v>4</v>
      </c>
      <c r="H10" s="4" t="s">
        <v>4</v>
      </c>
      <c r="I10" s="4" t="s">
        <v>4</v>
      </c>
      <c r="J10" s="4" t="s">
        <v>4</v>
      </c>
      <c r="K10" s="4" t="s">
        <v>4</v>
      </c>
      <c r="L10" s="4" t="s">
        <v>4</v>
      </c>
      <c r="M10" s="4" t="s">
        <v>4</v>
      </c>
      <c r="N10" s="4" t="s">
        <v>4</v>
      </c>
      <c r="O10" s="4" t="s">
        <v>4</v>
      </c>
      <c r="P10" s="4" t="s">
        <v>4</v>
      </c>
      <c r="Q10" s="4" t="s">
        <v>4</v>
      </c>
      <c r="R10" s="66"/>
      <c r="S10" s="66"/>
      <c r="T10" s="66"/>
      <c r="U10" s="66"/>
    </row>
    <row r="11" spans="1:21" s="67" customFormat="1" x14ac:dyDescent="0.25">
      <c r="A11" s="62" t="s">
        <v>545</v>
      </c>
      <c r="B11" s="4" t="s">
        <v>4</v>
      </c>
      <c r="C11" s="4" t="s">
        <v>4</v>
      </c>
      <c r="D11" s="4" t="s">
        <v>4</v>
      </c>
      <c r="E11" s="4" t="s">
        <v>4</v>
      </c>
      <c r="F11" s="4" t="s">
        <v>4</v>
      </c>
      <c r="G11" s="4" t="s">
        <v>4</v>
      </c>
      <c r="H11" s="4" t="s">
        <v>4</v>
      </c>
      <c r="I11" s="4" t="s">
        <v>4</v>
      </c>
      <c r="J11" s="4" t="s">
        <v>4</v>
      </c>
      <c r="K11" s="4" t="s">
        <v>4</v>
      </c>
      <c r="L11" s="4" t="s">
        <v>4</v>
      </c>
      <c r="M11" s="4" t="s">
        <v>4</v>
      </c>
      <c r="N11" s="4" t="s">
        <v>4</v>
      </c>
      <c r="O11" s="4" t="s">
        <v>4</v>
      </c>
      <c r="P11" s="4" t="s">
        <v>4</v>
      </c>
      <c r="Q11" s="4" t="s">
        <v>4</v>
      </c>
      <c r="R11" s="66"/>
      <c r="S11" s="66"/>
      <c r="T11" s="66"/>
      <c r="U11" s="66"/>
    </row>
    <row r="12" spans="1:21" s="67" customFormat="1" x14ac:dyDescent="0.25">
      <c r="A12" s="62" t="s">
        <v>546</v>
      </c>
      <c r="B12" s="4" t="s">
        <v>4</v>
      </c>
      <c r="C12" s="4" t="s">
        <v>4</v>
      </c>
      <c r="D12" s="4" t="s">
        <v>4</v>
      </c>
      <c r="E12" s="4" t="s">
        <v>4</v>
      </c>
      <c r="F12" s="4" t="s">
        <v>4</v>
      </c>
      <c r="G12" s="4" t="s">
        <v>4</v>
      </c>
      <c r="H12" s="4" t="s">
        <v>4</v>
      </c>
      <c r="I12" s="4" t="s">
        <v>4</v>
      </c>
      <c r="J12" s="4" t="s">
        <v>4</v>
      </c>
      <c r="K12" s="4" t="s">
        <v>4</v>
      </c>
      <c r="L12" s="4" t="s">
        <v>4</v>
      </c>
      <c r="M12" s="4" t="s">
        <v>4</v>
      </c>
      <c r="N12" s="4" t="s">
        <v>4</v>
      </c>
      <c r="O12" s="4" t="s">
        <v>4</v>
      </c>
      <c r="P12" s="4" t="s">
        <v>4</v>
      </c>
      <c r="Q12" s="4" t="s">
        <v>4</v>
      </c>
      <c r="R12" s="66"/>
      <c r="S12" s="66"/>
      <c r="T12" s="66"/>
      <c r="U12" s="66"/>
    </row>
    <row r="13" spans="1:21" s="67" customFormat="1" x14ac:dyDescent="0.25">
      <c r="A13" s="62" t="s">
        <v>547</v>
      </c>
      <c r="B13" s="4" t="s">
        <v>4</v>
      </c>
      <c r="C13" s="4" t="s">
        <v>4</v>
      </c>
      <c r="D13" s="4" t="s">
        <v>4</v>
      </c>
      <c r="E13" s="4" t="s">
        <v>4</v>
      </c>
      <c r="F13" s="4" t="s">
        <v>4</v>
      </c>
      <c r="G13" s="4" t="s">
        <v>4</v>
      </c>
      <c r="H13" s="4" t="s">
        <v>4</v>
      </c>
      <c r="I13" s="4" t="s">
        <v>4</v>
      </c>
      <c r="J13" s="4" t="s">
        <v>4</v>
      </c>
      <c r="K13" s="4" t="s">
        <v>4</v>
      </c>
      <c r="L13" s="4" t="s">
        <v>4</v>
      </c>
      <c r="M13" s="4" t="s">
        <v>4</v>
      </c>
      <c r="N13" s="4" t="s">
        <v>4</v>
      </c>
      <c r="O13" s="4" t="s">
        <v>4</v>
      </c>
      <c r="P13" s="4" t="s">
        <v>4</v>
      </c>
      <c r="Q13" s="4" t="s">
        <v>4</v>
      </c>
      <c r="R13" s="66"/>
      <c r="S13" s="66"/>
      <c r="T13" s="66"/>
      <c r="U13" s="66"/>
    </row>
    <row r="14" spans="1:21" s="67" customFormat="1" x14ac:dyDescent="0.25">
      <c r="A14" s="62" t="s">
        <v>548</v>
      </c>
      <c r="B14" s="4" t="s">
        <v>4</v>
      </c>
      <c r="C14" s="4" t="s">
        <v>4</v>
      </c>
      <c r="D14" s="4" t="s">
        <v>4</v>
      </c>
      <c r="E14" s="4" t="s">
        <v>4</v>
      </c>
      <c r="F14" s="4" t="s">
        <v>4</v>
      </c>
      <c r="G14" s="4" t="s">
        <v>4</v>
      </c>
      <c r="H14" s="4" t="s">
        <v>4</v>
      </c>
      <c r="I14" s="4" t="s">
        <v>4</v>
      </c>
      <c r="J14" s="4" t="s">
        <v>4</v>
      </c>
      <c r="K14" s="4" t="s">
        <v>4</v>
      </c>
      <c r="L14" s="4" t="s">
        <v>4</v>
      </c>
      <c r="M14" s="4" t="s">
        <v>4</v>
      </c>
      <c r="N14" s="4" t="s">
        <v>4</v>
      </c>
      <c r="O14" s="4" t="s">
        <v>4</v>
      </c>
      <c r="P14" s="4" t="s">
        <v>4</v>
      </c>
      <c r="Q14" s="4" t="s">
        <v>4</v>
      </c>
      <c r="R14" s="66"/>
      <c r="S14" s="66"/>
      <c r="T14" s="66"/>
      <c r="U14" s="66"/>
    </row>
    <row r="15" spans="1:21" s="67" customFormat="1" x14ac:dyDescent="0.25">
      <c r="A15" s="62" t="s">
        <v>549</v>
      </c>
      <c r="B15" s="4" t="s">
        <v>4</v>
      </c>
      <c r="C15" s="4" t="s">
        <v>4</v>
      </c>
      <c r="D15" s="4" t="s">
        <v>4</v>
      </c>
      <c r="E15" s="4" t="s">
        <v>4</v>
      </c>
      <c r="F15" s="4" t="s">
        <v>4</v>
      </c>
      <c r="G15" s="4" t="s">
        <v>4</v>
      </c>
      <c r="H15" s="4" t="s">
        <v>4</v>
      </c>
      <c r="I15" s="4" t="s">
        <v>4</v>
      </c>
      <c r="J15" s="4" t="s">
        <v>4</v>
      </c>
      <c r="K15" s="4" t="s">
        <v>4</v>
      </c>
      <c r="L15" s="4" t="s">
        <v>4</v>
      </c>
      <c r="M15" s="4" t="s">
        <v>4</v>
      </c>
      <c r="N15" s="4" t="s">
        <v>4</v>
      </c>
      <c r="O15" s="4" t="s">
        <v>4</v>
      </c>
      <c r="P15" s="4" t="s">
        <v>4</v>
      </c>
      <c r="Q15" s="4" t="s">
        <v>4</v>
      </c>
      <c r="R15" s="66"/>
      <c r="S15" s="66"/>
      <c r="T15" s="66"/>
      <c r="U15" s="66"/>
    </row>
    <row r="16" spans="1:21" s="67" customFormat="1" x14ac:dyDescent="0.25">
      <c r="A16" s="62" t="s">
        <v>550</v>
      </c>
      <c r="B16" s="4" t="s">
        <v>4</v>
      </c>
      <c r="C16" s="4" t="s">
        <v>4</v>
      </c>
      <c r="D16" s="4" t="s">
        <v>4</v>
      </c>
      <c r="E16" s="4" t="s">
        <v>4</v>
      </c>
      <c r="F16" s="4" t="s">
        <v>4</v>
      </c>
      <c r="G16" s="4" t="s">
        <v>4</v>
      </c>
      <c r="H16" s="4" t="s">
        <v>4</v>
      </c>
      <c r="I16" s="4" t="s">
        <v>4</v>
      </c>
      <c r="J16" s="4" t="s">
        <v>4</v>
      </c>
      <c r="K16" s="4" t="s">
        <v>4</v>
      </c>
      <c r="L16" s="4" t="s">
        <v>4</v>
      </c>
      <c r="M16" s="4" t="s">
        <v>4</v>
      </c>
      <c r="N16" s="4" t="s">
        <v>4</v>
      </c>
      <c r="O16" s="4" t="s">
        <v>4</v>
      </c>
      <c r="P16" s="4" t="s">
        <v>4</v>
      </c>
      <c r="Q16" s="4" t="s">
        <v>4</v>
      </c>
      <c r="R16" s="66"/>
      <c r="S16" s="66"/>
      <c r="T16" s="66"/>
      <c r="U16" s="66"/>
    </row>
    <row r="17" spans="1:21" s="67" customFormat="1" x14ac:dyDescent="0.25">
      <c r="A17" s="62" t="s">
        <v>551</v>
      </c>
      <c r="B17" s="4" t="s">
        <v>4</v>
      </c>
      <c r="C17" s="4" t="s">
        <v>4</v>
      </c>
      <c r="D17" s="4" t="s">
        <v>4</v>
      </c>
      <c r="E17" s="4" t="s">
        <v>4</v>
      </c>
      <c r="F17" s="4" t="s">
        <v>4</v>
      </c>
      <c r="G17" s="4" t="s">
        <v>4</v>
      </c>
      <c r="H17" s="4" t="s">
        <v>4</v>
      </c>
      <c r="I17" s="4" t="s">
        <v>4</v>
      </c>
      <c r="J17" s="4" t="s">
        <v>4</v>
      </c>
      <c r="K17" s="4" t="s">
        <v>4</v>
      </c>
      <c r="L17" s="4" t="s">
        <v>4</v>
      </c>
      <c r="M17" s="4" t="s">
        <v>4</v>
      </c>
      <c r="N17" s="4" t="s">
        <v>4</v>
      </c>
      <c r="O17" s="4" t="s">
        <v>4</v>
      </c>
      <c r="P17" s="4" t="s">
        <v>4</v>
      </c>
      <c r="Q17" s="4" t="s">
        <v>4</v>
      </c>
      <c r="R17" s="66"/>
      <c r="S17" s="66"/>
      <c r="T17" s="66"/>
      <c r="U17" s="66"/>
    </row>
    <row r="18" spans="1:21" s="67" customFormat="1" x14ac:dyDescent="0.25">
      <c r="A18" s="62" t="s">
        <v>552</v>
      </c>
      <c r="B18" s="4" t="s">
        <v>4</v>
      </c>
      <c r="C18" s="4" t="s">
        <v>4</v>
      </c>
      <c r="D18" s="4" t="s">
        <v>4</v>
      </c>
      <c r="E18" s="4" t="s">
        <v>4</v>
      </c>
      <c r="F18" s="4" t="s">
        <v>4</v>
      </c>
      <c r="G18" s="4" t="s">
        <v>4</v>
      </c>
      <c r="H18" s="4" t="s">
        <v>4</v>
      </c>
      <c r="I18" s="4" t="s">
        <v>4</v>
      </c>
      <c r="J18" s="4" t="s">
        <v>4</v>
      </c>
      <c r="K18" s="4" t="s">
        <v>4</v>
      </c>
      <c r="L18" s="4" t="s">
        <v>4</v>
      </c>
      <c r="M18" s="4" t="s">
        <v>4</v>
      </c>
      <c r="N18" s="4" t="s">
        <v>4</v>
      </c>
      <c r="O18" s="4" t="s">
        <v>4</v>
      </c>
      <c r="P18" s="4" t="s">
        <v>4</v>
      </c>
      <c r="Q18" s="4" t="s">
        <v>4</v>
      </c>
      <c r="R18" s="66"/>
      <c r="S18" s="66"/>
      <c r="T18" s="66"/>
      <c r="U18" s="66"/>
    </row>
    <row r="19" spans="1:21" s="67" customFormat="1" x14ac:dyDescent="0.25">
      <c r="A19" s="62" t="s">
        <v>553</v>
      </c>
      <c r="B19" s="4" t="s">
        <v>4</v>
      </c>
      <c r="C19" s="4" t="s">
        <v>4</v>
      </c>
      <c r="D19" s="4" t="s">
        <v>4</v>
      </c>
      <c r="E19" s="4" t="s">
        <v>4</v>
      </c>
      <c r="F19" s="4" t="s">
        <v>4</v>
      </c>
      <c r="G19" s="4" t="s">
        <v>4</v>
      </c>
      <c r="H19" s="4" t="s">
        <v>4</v>
      </c>
      <c r="I19" s="4" t="s">
        <v>4</v>
      </c>
      <c r="J19" s="4" t="s">
        <v>4</v>
      </c>
      <c r="K19" s="4" t="s">
        <v>4</v>
      </c>
      <c r="L19" s="4" t="s">
        <v>4</v>
      </c>
      <c r="M19" s="4" t="s">
        <v>4</v>
      </c>
      <c r="N19" s="4" t="s">
        <v>4</v>
      </c>
      <c r="O19" s="4" t="s">
        <v>4</v>
      </c>
      <c r="P19" s="4" t="s">
        <v>4</v>
      </c>
      <c r="Q19" s="4" t="s">
        <v>4</v>
      </c>
      <c r="R19" s="66"/>
      <c r="S19" s="66"/>
      <c r="T19" s="66"/>
      <c r="U19" s="66"/>
    </row>
    <row r="20" spans="1:21" s="67" customFormat="1" x14ac:dyDescent="0.25">
      <c r="A20" s="62" t="s">
        <v>554</v>
      </c>
      <c r="B20" s="4" t="s">
        <v>4</v>
      </c>
      <c r="C20" s="4" t="s">
        <v>4</v>
      </c>
      <c r="D20" s="4" t="s">
        <v>4</v>
      </c>
      <c r="E20" s="4" t="s">
        <v>4</v>
      </c>
      <c r="F20" s="4" t="s">
        <v>4</v>
      </c>
      <c r="G20" s="4" t="s">
        <v>4</v>
      </c>
      <c r="H20" s="4" t="s">
        <v>4</v>
      </c>
      <c r="I20" s="4" t="s">
        <v>4</v>
      </c>
      <c r="J20" s="4" t="s">
        <v>4</v>
      </c>
      <c r="K20" s="4" t="s">
        <v>4</v>
      </c>
      <c r="L20" s="4" t="s">
        <v>4</v>
      </c>
      <c r="M20" s="4" t="s">
        <v>4</v>
      </c>
      <c r="N20" s="4" t="s">
        <v>4</v>
      </c>
      <c r="O20" s="4" t="s">
        <v>4</v>
      </c>
      <c r="P20" s="4" t="s">
        <v>4</v>
      </c>
      <c r="Q20" s="4" t="s">
        <v>4</v>
      </c>
      <c r="R20" s="66"/>
      <c r="S20" s="66"/>
      <c r="T20" s="66"/>
      <c r="U20" s="66"/>
    </row>
    <row r="21" spans="1:21" s="67" customFormat="1" x14ac:dyDescent="0.25">
      <c r="A21" s="62" t="s">
        <v>555</v>
      </c>
      <c r="B21" s="4" t="s">
        <v>4</v>
      </c>
      <c r="C21" s="4" t="s">
        <v>4</v>
      </c>
      <c r="D21" s="4" t="s">
        <v>4</v>
      </c>
      <c r="E21" s="4" t="s">
        <v>4</v>
      </c>
      <c r="F21" s="4" t="s">
        <v>4</v>
      </c>
      <c r="G21" s="4" t="s">
        <v>4</v>
      </c>
      <c r="H21" s="4" t="s">
        <v>4</v>
      </c>
      <c r="I21" s="4" t="s">
        <v>4</v>
      </c>
      <c r="J21" s="4" t="s">
        <v>4</v>
      </c>
      <c r="K21" s="4" t="s">
        <v>4</v>
      </c>
      <c r="L21" s="4" t="s">
        <v>4</v>
      </c>
      <c r="M21" s="4" t="s">
        <v>4</v>
      </c>
      <c r="N21" s="4" t="s">
        <v>4</v>
      </c>
      <c r="O21" s="4" t="s">
        <v>4</v>
      </c>
      <c r="P21" s="4" t="s">
        <v>4</v>
      </c>
      <c r="Q21" s="4" t="s">
        <v>4</v>
      </c>
      <c r="R21" s="66"/>
      <c r="S21" s="66"/>
      <c r="T21" s="66"/>
      <c r="U21" s="66"/>
    </row>
    <row r="22" spans="1:21" s="67" customFormat="1" x14ac:dyDescent="0.25">
      <c r="A22" s="62" t="s">
        <v>556</v>
      </c>
      <c r="B22" s="4" t="s">
        <v>4</v>
      </c>
      <c r="C22" s="4" t="s">
        <v>4</v>
      </c>
      <c r="D22" s="4" t="s">
        <v>4</v>
      </c>
      <c r="E22" s="4" t="s">
        <v>4</v>
      </c>
      <c r="F22" s="4" t="s">
        <v>4</v>
      </c>
      <c r="G22" s="4" t="s">
        <v>4</v>
      </c>
      <c r="H22" s="4" t="s">
        <v>4</v>
      </c>
      <c r="I22" s="4" t="s">
        <v>4</v>
      </c>
      <c r="J22" s="4" t="s">
        <v>4</v>
      </c>
      <c r="K22" s="4" t="s">
        <v>4</v>
      </c>
      <c r="L22" s="4" t="s">
        <v>4</v>
      </c>
      <c r="M22" s="4" t="s">
        <v>4</v>
      </c>
      <c r="N22" s="4" t="s">
        <v>4</v>
      </c>
      <c r="O22" s="4" t="s">
        <v>4</v>
      </c>
      <c r="P22" s="4" t="s">
        <v>4</v>
      </c>
      <c r="Q22" s="4" t="s">
        <v>4</v>
      </c>
      <c r="R22" s="66"/>
      <c r="S22" s="66"/>
      <c r="T22" s="66"/>
      <c r="U22" s="66"/>
    </row>
    <row r="23" spans="1:21" s="67" customFormat="1" x14ac:dyDescent="0.25">
      <c r="A23" s="62" t="s">
        <v>557</v>
      </c>
      <c r="B23" s="4" t="s">
        <v>4</v>
      </c>
      <c r="C23" s="4" t="s">
        <v>4</v>
      </c>
      <c r="D23" s="4" t="s">
        <v>4</v>
      </c>
      <c r="E23" s="4" t="s">
        <v>4</v>
      </c>
      <c r="F23" s="4" t="s">
        <v>4</v>
      </c>
      <c r="G23" s="4" t="s">
        <v>4</v>
      </c>
      <c r="H23" s="4" t="s">
        <v>4</v>
      </c>
      <c r="I23" s="4" t="s">
        <v>4</v>
      </c>
      <c r="J23" s="4" t="s">
        <v>4</v>
      </c>
      <c r="K23" s="4" t="s">
        <v>4</v>
      </c>
      <c r="L23" s="4" t="s">
        <v>4</v>
      </c>
      <c r="M23" s="4" t="s">
        <v>4</v>
      </c>
      <c r="N23" s="4" t="s">
        <v>4</v>
      </c>
      <c r="O23" s="4" t="s">
        <v>4</v>
      </c>
      <c r="P23" s="4" t="s">
        <v>4</v>
      </c>
      <c r="Q23" s="4" t="s">
        <v>4</v>
      </c>
      <c r="R23" s="66"/>
      <c r="S23" s="66"/>
      <c r="T23" s="66"/>
      <c r="U23" s="66"/>
    </row>
    <row r="24" spans="1:21" s="67" customFormat="1" x14ac:dyDescent="0.25">
      <c r="A24" s="62" t="s">
        <v>558</v>
      </c>
      <c r="B24" s="4" t="s">
        <v>4</v>
      </c>
      <c r="C24" s="4" t="s">
        <v>4</v>
      </c>
      <c r="D24" s="4" t="s">
        <v>4</v>
      </c>
      <c r="E24" s="4" t="s">
        <v>4</v>
      </c>
      <c r="F24" s="4" t="s">
        <v>4</v>
      </c>
      <c r="G24" s="4" t="s">
        <v>4</v>
      </c>
      <c r="H24" s="4" t="s">
        <v>4</v>
      </c>
      <c r="I24" s="4" t="s">
        <v>4</v>
      </c>
      <c r="J24" s="4" t="s">
        <v>4</v>
      </c>
      <c r="K24" s="4" t="s">
        <v>4</v>
      </c>
      <c r="L24" s="4" t="s">
        <v>4</v>
      </c>
      <c r="M24" s="4" t="s">
        <v>4</v>
      </c>
      <c r="N24" s="4" t="s">
        <v>4</v>
      </c>
      <c r="O24" s="4" t="s">
        <v>4</v>
      </c>
      <c r="P24" s="4" t="s">
        <v>4</v>
      </c>
      <c r="Q24" s="4" t="s">
        <v>4</v>
      </c>
      <c r="R24" s="66"/>
      <c r="S24" s="66"/>
      <c r="T24" s="66"/>
      <c r="U24" s="66"/>
    </row>
    <row r="25" spans="1:21" s="67" customFormat="1" x14ac:dyDescent="0.25">
      <c r="A25" s="62" t="s">
        <v>559</v>
      </c>
      <c r="B25" s="4" t="s">
        <v>4</v>
      </c>
      <c r="C25" s="4" t="s">
        <v>4</v>
      </c>
      <c r="D25" s="4" t="s">
        <v>4</v>
      </c>
      <c r="E25" s="4" t="s">
        <v>4</v>
      </c>
      <c r="F25" s="4" t="s">
        <v>4</v>
      </c>
      <c r="G25" s="4" t="s">
        <v>4</v>
      </c>
      <c r="H25" s="4" t="s">
        <v>4</v>
      </c>
      <c r="I25" s="4" t="s">
        <v>4</v>
      </c>
      <c r="J25" s="4" t="s">
        <v>4</v>
      </c>
      <c r="K25" s="4" t="s">
        <v>4</v>
      </c>
      <c r="L25" s="4" t="s">
        <v>4</v>
      </c>
      <c r="M25" s="4" t="s">
        <v>4</v>
      </c>
      <c r="N25" s="4" t="s">
        <v>4</v>
      </c>
      <c r="O25" s="4" t="s">
        <v>4</v>
      </c>
      <c r="P25" s="4" t="s">
        <v>4</v>
      </c>
      <c r="Q25" s="4" t="s">
        <v>4</v>
      </c>
      <c r="R25" s="66"/>
      <c r="S25" s="66"/>
      <c r="T25" s="66"/>
      <c r="U25" s="66"/>
    </row>
    <row r="26" spans="1:21" s="67" customFormat="1" x14ac:dyDescent="0.25">
      <c r="A26" s="62" t="s">
        <v>560</v>
      </c>
      <c r="B26" s="4" t="s">
        <v>4</v>
      </c>
      <c r="C26" s="4" t="s">
        <v>4</v>
      </c>
      <c r="D26" s="4" t="s">
        <v>4</v>
      </c>
      <c r="E26" s="4" t="s">
        <v>4</v>
      </c>
      <c r="F26" s="4" t="s">
        <v>4</v>
      </c>
      <c r="G26" s="4" t="s">
        <v>4</v>
      </c>
      <c r="H26" s="4" t="s">
        <v>4</v>
      </c>
      <c r="I26" s="4" t="s">
        <v>4</v>
      </c>
      <c r="J26" s="4" t="s">
        <v>4</v>
      </c>
      <c r="K26" s="4" t="s">
        <v>4</v>
      </c>
      <c r="L26" s="4" t="s">
        <v>4</v>
      </c>
      <c r="M26" s="4" t="s">
        <v>4</v>
      </c>
      <c r="N26" s="4" t="s">
        <v>4</v>
      </c>
      <c r="O26" s="4" t="s">
        <v>4</v>
      </c>
      <c r="P26" s="4" t="s">
        <v>4</v>
      </c>
      <c r="Q26" s="4" t="s">
        <v>4</v>
      </c>
      <c r="R26" s="66"/>
      <c r="S26" s="66"/>
      <c r="T26" s="66"/>
      <c r="U26" s="66"/>
    </row>
    <row r="27" spans="1:21" s="67" customFormat="1" x14ac:dyDescent="0.25">
      <c r="A27" s="62" t="s">
        <v>561</v>
      </c>
      <c r="B27" s="4" t="s">
        <v>4</v>
      </c>
      <c r="C27" s="4" t="s">
        <v>4</v>
      </c>
      <c r="D27" s="4" t="s">
        <v>4</v>
      </c>
      <c r="E27" s="4" t="s">
        <v>4</v>
      </c>
      <c r="F27" s="4" t="s">
        <v>4</v>
      </c>
      <c r="G27" s="4" t="s">
        <v>4</v>
      </c>
      <c r="H27" s="4" t="s">
        <v>4</v>
      </c>
      <c r="I27" s="4" t="s">
        <v>4</v>
      </c>
      <c r="J27" s="4" t="s">
        <v>4</v>
      </c>
      <c r="K27" s="4" t="s">
        <v>4</v>
      </c>
      <c r="L27" s="4" t="s">
        <v>4</v>
      </c>
      <c r="M27" s="4" t="s">
        <v>4</v>
      </c>
      <c r="N27" s="4" t="s">
        <v>4</v>
      </c>
      <c r="O27" s="4" t="s">
        <v>4</v>
      </c>
      <c r="P27" s="4" t="s">
        <v>4</v>
      </c>
      <c r="Q27" s="4" t="s">
        <v>4</v>
      </c>
      <c r="R27" s="66"/>
      <c r="S27" s="66"/>
      <c r="T27" s="66"/>
      <c r="U27" s="66"/>
    </row>
    <row r="28" spans="1:21" s="67" customFormat="1" x14ac:dyDescent="0.25">
      <c r="A28" s="62" t="s">
        <v>562</v>
      </c>
      <c r="B28" s="4" t="s">
        <v>4</v>
      </c>
      <c r="C28" s="4" t="s">
        <v>4</v>
      </c>
      <c r="D28" s="4" t="s">
        <v>4</v>
      </c>
      <c r="E28" s="4" t="s">
        <v>4</v>
      </c>
      <c r="F28" s="4" t="s">
        <v>4</v>
      </c>
      <c r="G28" s="4" t="s">
        <v>4</v>
      </c>
      <c r="H28" s="4" t="s">
        <v>4</v>
      </c>
      <c r="I28" s="4" t="s">
        <v>4</v>
      </c>
      <c r="J28" s="4" t="s">
        <v>4</v>
      </c>
      <c r="K28" s="4" t="s">
        <v>4</v>
      </c>
      <c r="L28" s="4" t="s">
        <v>4</v>
      </c>
      <c r="M28" s="4" t="s">
        <v>4</v>
      </c>
      <c r="N28" s="4" t="s">
        <v>4</v>
      </c>
      <c r="O28" s="4" t="s">
        <v>4</v>
      </c>
      <c r="P28" s="4" t="s">
        <v>4</v>
      </c>
      <c r="Q28" s="4" t="s">
        <v>4</v>
      </c>
      <c r="R28" s="66"/>
      <c r="S28" s="66"/>
      <c r="T28" s="66"/>
      <c r="U28" s="66"/>
    </row>
    <row r="29" spans="1:21" s="67" customFormat="1" x14ac:dyDescent="0.25">
      <c r="A29" s="62" t="s">
        <v>563</v>
      </c>
      <c r="B29" s="4" t="s">
        <v>4</v>
      </c>
      <c r="C29" s="4" t="s">
        <v>4</v>
      </c>
      <c r="D29" s="4" t="s">
        <v>4</v>
      </c>
      <c r="E29" s="4" t="s">
        <v>4</v>
      </c>
      <c r="F29" s="4" t="s">
        <v>4</v>
      </c>
      <c r="G29" s="4" t="s">
        <v>4</v>
      </c>
      <c r="H29" s="4" t="s">
        <v>4</v>
      </c>
      <c r="I29" s="4" t="s">
        <v>4</v>
      </c>
      <c r="J29" s="4" t="s">
        <v>4</v>
      </c>
      <c r="K29" s="4" t="s">
        <v>4</v>
      </c>
      <c r="L29" s="4" t="s">
        <v>4</v>
      </c>
      <c r="M29" s="4" t="s">
        <v>4</v>
      </c>
      <c r="N29" s="4" t="s">
        <v>4</v>
      </c>
      <c r="O29" s="4" t="s">
        <v>4</v>
      </c>
      <c r="P29" s="4" t="s">
        <v>4</v>
      </c>
      <c r="Q29" s="4" t="s">
        <v>4</v>
      </c>
      <c r="R29" s="66"/>
      <c r="S29" s="66"/>
      <c r="T29" s="66"/>
      <c r="U29" s="66"/>
    </row>
    <row r="30" spans="1:21" s="67" customFormat="1" x14ac:dyDescent="0.25">
      <c r="A30" s="62" t="s">
        <v>564</v>
      </c>
      <c r="B30" s="4" t="s">
        <v>4</v>
      </c>
      <c r="C30" s="4" t="s">
        <v>4</v>
      </c>
      <c r="D30" s="4" t="s">
        <v>4</v>
      </c>
      <c r="E30" s="4" t="s">
        <v>4</v>
      </c>
      <c r="F30" s="4" t="s">
        <v>4</v>
      </c>
      <c r="G30" s="4" t="s">
        <v>4</v>
      </c>
      <c r="H30" s="4" t="s">
        <v>4</v>
      </c>
      <c r="I30" s="4" t="s">
        <v>4</v>
      </c>
      <c r="J30" s="4" t="s">
        <v>4</v>
      </c>
      <c r="K30" s="4" t="s">
        <v>4</v>
      </c>
      <c r="L30" s="4" t="s">
        <v>4</v>
      </c>
      <c r="M30" s="4" t="s">
        <v>4</v>
      </c>
      <c r="N30" s="4" t="s">
        <v>4</v>
      </c>
      <c r="O30" s="4" t="s">
        <v>4</v>
      </c>
      <c r="P30" s="4" t="s">
        <v>4</v>
      </c>
      <c r="Q30" s="4" t="s">
        <v>4</v>
      </c>
      <c r="R30" s="66"/>
      <c r="S30" s="66"/>
      <c r="T30" s="66"/>
      <c r="U30" s="66"/>
    </row>
    <row r="31" spans="1:21" s="67" customFormat="1" x14ac:dyDescent="0.25">
      <c r="A31" s="62" t="s">
        <v>565</v>
      </c>
      <c r="B31" s="4" t="s">
        <v>4</v>
      </c>
      <c r="C31" s="4" t="s">
        <v>4</v>
      </c>
      <c r="D31" s="4" t="s">
        <v>4</v>
      </c>
      <c r="E31" s="4" t="s">
        <v>4</v>
      </c>
      <c r="F31" s="4" t="s">
        <v>4</v>
      </c>
      <c r="G31" s="4" t="s">
        <v>4</v>
      </c>
      <c r="H31" s="4" t="s">
        <v>4</v>
      </c>
      <c r="I31" s="4" t="s">
        <v>4</v>
      </c>
      <c r="J31" s="4" t="s">
        <v>4</v>
      </c>
      <c r="K31" s="4" t="s">
        <v>4</v>
      </c>
      <c r="L31" s="4" t="s">
        <v>4</v>
      </c>
      <c r="M31" s="4" t="s">
        <v>4</v>
      </c>
      <c r="N31" s="4" t="s">
        <v>4</v>
      </c>
      <c r="O31" s="4" t="s">
        <v>4</v>
      </c>
      <c r="P31" s="4" t="s">
        <v>4</v>
      </c>
      <c r="Q31" s="4" t="s">
        <v>4</v>
      </c>
      <c r="R31" s="66"/>
      <c r="S31" s="66"/>
      <c r="T31" s="66"/>
      <c r="U31" s="66"/>
    </row>
    <row r="32" spans="1:21" s="67" customFormat="1" x14ac:dyDescent="0.25">
      <c r="A32" s="62" t="s">
        <v>566</v>
      </c>
      <c r="B32" s="4" t="s">
        <v>4</v>
      </c>
      <c r="C32" s="4" t="s">
        <v>4</v>
      </c>
      <c r="D32" s="4" t="s">
        <v>4</v>
      </c>
      <c r="E32" s="4" t="s">
        <v>4</v>
      </c>
      <c r="F32" s="4" t="s">
        <v>4</v>
      </c>
      <c r="G32" s="4" t="s">
        <v>4</v>
      </c>
      <c r="H32" s="4" t="s">
        <v>4</v>
      </c>
      <c r="I32" s="4" t="s">
        <v>4</v>
      </c>
      <c r="J32" s="4" t="s">
        <v>4</v>
      </c>
      <c r="K32" s="4" t="s">
        <v>4</v>
      </c>
      <c r="L32" s="4" t="s">
        <v>4</v>
      </c>
      <c r="M32" s="4" t="s">
        <v>4</v>
      </c>
      <c r="N32" s="4" t="s">
        <v>4</v>
      </c>
      <c r="O32" s="4" t="s">
        <v>4</v>
      </c>
      <c r="P32" s="4" t="s">
        <v>4</v>
      </c>
      <c r="Q32" s="4" t="s">
        <v>4</v>
      </c>
      <c r="R32" s="66"/>
      <c r="S32" s="66"/>
      <c r="T32" s="66"/>
      <c r="U32" s="66"/>
    </row>
    <row r="33" spans="1:21" s="22" customFormat="1" x14ac:dyDescent="0.25">
      <c r="A33" s="76"/>
      <c r="B33" s="77"/>
      <c r="C33" s="77"/>
      <c r="D33" s="77"/>
      <c r="E33" s="77"/>
      <c r="F33" s="77"/>
      <c r="G33" s="76"/>
      <c r="H33" s="76"/>
      <c r="I33" s="76"/>
      <c r="J33" s="77"/>
      <c r="K33" s="77"/>
      <c r="L33" s="76"/>
      <c r="M33" s="76"/>
      <c r="N33" s="76"/>
      <c r="O33" s="76"/>
      <c r="P33" s="76"/>
      <c r="Q33" s="77"/>
      <c r="R33" s="21"/>
      <c r="S33" s="21"/>
      <c r="T33" s="21"/>
      <c r="U33" s="21"/>
    </row>
    <row r="34" spans="1:21" s="22" customFormat="1" x14ac:dyDescent="0.25">
      <c r="A34" s="28" t="s">
        <v>30</v>
      </c>
      <c r="B34" s="29">
        <f t="shared" ref="B34:Q34" si="0">MIN(B9:B32)</f>
        <v>0</v>
      </c>
      <c r="C34" s="29">
        <f t="shared" si="0"/>
        <v>0</v>
      </c>
      <c r="D34" s="29">
        <f t="shared" si="0"/>
        <v>0</v>
      </c>
      <c r="E34" s="29">
        <f t="shared" si="0"/>
        <v>0</v>
      </c>
      <c r="F34" s="29">
        <f t="shared" si="0"/>
        <v>0</v>
      </c>
      <c r="G34" s="29">
        <f t="shared" si="0"/>
        <v>0</v>
      </c>
      <c r="H34" s="29">
        <f t="shared" si="0"/>
        <v>0</v>
      </c>
      <c r="I34" s="29">
        <f t="shared" si="0"/>
        <v>0</v>
      </c>
      <c r="J34" s="29">
        <f t="shared" si="0"/>
        <v>0</v>
      </c>
      <c r="K34" s="29">
        <f t="shared" si="0"/>
        <v>0</v>
      </c>
      <c r="L34" s="29">
        <f t="shared" si="0"/>
        <v>0</v>
      </c>
      <c r="M34" s="29">
        <f t="shared" si="0"/>
        <v>0</v>
      </c>
      <c r="N34" s="29">
        <f t="shared" si="0"/>
        <v>0</v>
      </c>
      <c r="O34" s="29">
        <f t="shared" si="0"/>
        <v>0</v>
      </c>
      <c r="P34" s="29">
        <f t="shared" si="0"/>
        <v>0</v>
      </c>
      <c r="Q34" s="29">
        <f t="shared" si="0"/>
        <v>0</v>
      </c>
      <c r="R34" s="29"/>
      <c r="S34" s="29"/>
      <c r="T34" s="29"/>
      <c r="U34" s="29"/>
    </row>
    <row r="35" spans="1:21" s="22" customFormat="1" x14ac:dyDescent="0.25">
      <c r="A35" s="28" t="s">
        <v>31</v>
      </c>
      <c r="B35" s="30">
        <f t="shared" ref="B35:Q35" si="1">MAX(B9:B32)</f>
        <v>0</v>
      </c>
      <c r="C35" s="30">
        <f t="shared" si="1"/>
        <v>0</v>
      </c>
      <c r="D35" s="30">
        <f t="shared" si="1"/>
        <v>0</v>
      </c>
      <c r="E35" s="30">
        <f t="shared" si="1"/>
        <v>0</v>
      </c>
      <c r="F35" s="30">
        <f t="shared" si="1"/>
        <v>0</v>
      </c>
      <c r="G35" s="30">
        <f t="shared" si="1"/>
        <v>0</v>
      </c>
      <c r="H35" s="30">
        <f t="shared" si="1"/>
        <v>0</v>
      </c>
      <c r="I35" s="30">
        <f t="shared" si="1"/>
        <v>0</v>
      </c>
      <c r="J35" s="30">
        <f t="shared" si="1"/>
        <v>0</v>
      </c>
      <c r="K35" s="30">
        <f t="shared" si="1"/>
        <v>0</v>
      </c>
      <c r="L35" s="30">
        <f t="shared" si="1"/>
        <v>0</v>
      </c>
      <c r="M35" s="30">
        <f t="shared" si="1"/>
        <v>0</v>
      </c>
      <c r="N35" s="30">
        <f t="shared" si="1"/>
        <v>0</v>
      </c>
      <c r="O35" s="30">
        <f t="shared" si="1"/>
        <v>0</v>
      </c>
      <c r="P35" s="30">
        <f t="shared" si="1"/>
        <v>0</v>
      </c>
      <c r="Q35" s="30">
        <f t="shared" si="1"/>
        <v>0</v>
      </c>
      <c r="R35" s="30"/>
      <c r="S35" s="30"/>
      <c r="T35" s="30"/>
      <c r="U35" s="30"/>
    </row>
    <row r="36" spans="1:21" s="22" customFormat="1" x14ac:dyDescent="0.25">
      <c r="A36" s="28" t="s">
        <v>32</v>
      </c>
      <c r="B36" s="29" t="e">
        <f t="shared" ref="B36:Q36" si="2">AVERAGE(B9:B32)</f>
        <v>#DIV/0!</v>
      </c>
      <c r="C36" s="29" t="e">
        <f t="shared" si="2"/>
        <v>#DIV/0!</v>
      </c>
      <c r="D36" s="29" t="e">
        <f t="shared" si="2"/>
        <v>#DIV/0!</v>
      </c>
      <c r="E36" s="29" t="e">
        <f t="shared" si="2"/>
        <v>#DIV/0!</v>
      </c>
      <c r="F36" s="29" t="e">
        <f t="shared" si="2"/>
        <v>#DIV/0!</v>
      </c>
      <c r="G36" s="29" t="e">
        <f t="shared" si="2"/>
        <v>#DIV/0!</v>
      </c>
      <c r="H36" s="29" t="e">
        <f t="shared" si="2"/>
        <v>#DIV/0!</v>
      </c>
      <c r="I36" s="29" t="e">
        <f t="shared" si="2"/>
        <v>#DIV/0!</v>
      </c>
      <c r="J36" s="29" t="e">
        <f t="shared" si="2"/>
        <v>#DIV/0!</v>
      </c>
      <c r="K36" s="29" t="e">
        <f t="shared" si="2"/>
        <v>#DIV/0!</v>
      </c>
      <c r="L36" s="29" t="e">
        <f t="shared" si="2"/>
        <v>#DIV/0!</v>
      </c>
      <c r="M36" s="29" t="e">
        <f t="shared" si="2"/>
        <v>#DIV/0!</v>
      </c>
      <c r="N36" s="29" t="e">
        <f t="shared" si="2"/>
        <v>#DIV/0!</v>
      </c>
      <c r="O36" s="29" t="e">
        <f t="shared" si="2"/>
        <v>#DIV/0!</v>
      </c>
      <c r="P36" s="29" t="e">
        <f t="shared" si="2"/>
        <v>#DIV/0!</v>
      </c>
      <c r="Q36" s="29" t="e">
        <f t="shared" si="2"/>
        <v>#DIV/0!</v>
      </c>
      <c r="R36" s="29"/>
      <c r="S36" s="29"/>
      <c r="T36" s="29"/>
      <c r="U36" s="29"/>
    </row>
    <row r="37" spans="1:21" s="22" customFormat="1" x14ac:dyDescent="0.25">
      <c r="A37" s="28" t="s">
        <v>38</v>
      </c>
      <c r="B37" s="29" t="e">
        <f>STDEV(B9:B32)</f>
        <v>#DIV/0!</v>
      </c>
      <c r="C37" s="29" t="e">
        <f t="shared" ref="C37:Q37" si="3">STDEV(C9:C32)</f>
        <v>#DIV/0!</v>
      </c>
      <c r="D37" s="29" t="e">
        <f t="shared" si="3"/>
        <v>#DIV/0!</v>
      </c>
      <c r="E37" s="29" t="e">
        <f t="shared" si="3"/>
        <v>#DIV/0!</v>
      </c>
      <c r="F37" s="29" t="e">
        <f t="shared" si="3"/>
        <v>#DIV/0!</v>
      </c>
      <c r="G37" s="29" t="e">
        <f t="shared" si="3"/>
        <v>#DIV/0!</v>
      </c>
      <c r="H37" s="29" t="e">
        <f t="shared" si="3"/>
        <v>#DIV/0!</v>
      </c>
      <c r="I37" s="29" t="e">
        <f t="shared" si="3"/>
        <v>#DIV/0!</v>
      </c>
      <c r="J37" s="29" t="e">
        <f t="shared" si="3"/>
        <v>#DIV/0!</v>
      </c>
      <c r="K37" s="29" t="e">
        <f t="shared" si="3"/>
        <v>#DIV/0!</v>
      </c>
      <c r="L37" s="29" t="e">
        <f t="shared" si="3"/>
        <v>#DIV/0!</v>
      </c>
      <c r="M37" s="29" t="e">
        <f t="shared" si="3"/>
        <v>#DIV/0!</v>
      </c>
      <c r="N37" s="29" t="e">
        <f t="shared" si="3"/>
        <v>#DIV/0!</v>
      </c>
      <c r="O37" s="29" t="e">
        <f t="shared" si="3"/>
        <v>#DIV/0!</v>
      </c>
      <c r="P37" s="29" t="e">
        <f t="shared" si="3"/>
        <v>#DIV/0!</v>
      </c>
      <c r="Q37" s="29" t="e">
        <f t="shared" si="3"/>
        <v>#DIV/0!</v>
      </c>
      <c r="R37" s="29"/>
      <c r="S37" s="29"/>
      <c r="T37" s="29"/>
      <c r="U37" s="29"/>
    </row>
    <row r="38" spans="1:21" s="22" customFormat="1" x14ac:dyDescent="0.25">
      <c r="A38" s="32" t="s">
        <v>33</v>
      </c>
      <c r="B38" s="33">
        <f>COUNT(B9:B32)+24</f>
        <v>24</v>
      </c>
      <c r="C38" s="33">
        <f t="shared" ref="C38:Q38" si="4">COUNT(C9:C32)+24</f>
        <v>24</v>
      </c>
      <c r="D38" s="33">
        <f t="shared" si="4"/>
        <v>24</v>
      </c>
      <c r="E38" s="33">
        <f t="shared" si="4"/>
        <v>24</v>
      </c>
      <c r="F38" s="33">
        <f t="shared" si="4"/>
        <v>24</v>
      </c>
      <c r="G38" s="33">
        <f t="shared" si="4"/>
        <v>24</v>
      </c>
      <c r="H38" s="33">
        <f t="shared" si="4"/>
        <v>24</v>
      </c>
      <c r="I38" s="33">
        <f t="shared" si="4"/>
        <v>24</v>
      </c>
      <c r="J38" s="33">
        <f t="shared" si="4"/>
        <v>24</v>
      </c>
      <c r="K38" s="33">
        <f t="shared" si="4"/>
        <v>24</v>
      </c>
      <c r="L38" s="33">
        <f t="shared" si="4"/>
        <v>24</v>
      </c>
      <c r="M38" s="33">
        <f t="shared" si="4"/>
        <v>24</v>
      </c>
      <c r="N38" s="33">
        <f t="shared" si="4"/>
        <v>24</v>
      </c>
      <c r="O38" s="33">
        <f t="shared" si="4"/>
        <v>24</v>
      </c>
      <c r="P38" s="33">
        <f t="shared" si="4"/>
        <v>24</v>
      </c>
      <c r="Q38" s="33">
        <f t="shared" si="4"/>
        <v>24</v>
      </c>
      <c r="R38" s="33"/>
      <c r="S38" s="33"/>
      <c r="T38" s="33"/>
      <c r="U38" s="33"/>
    </row>
    <row r="39" spans="1:21" s="22" customFormat="1" x14ac:dyDescent="0.25">
      <c r="A39" s="28" t="s">
        <v>34</v>
      </c>
      <c r="B39" s="30" t="str">
        <f>IF(B38&gt;=22,"&gt;90%",IF(B38&lt;=22,"&lt;90%"))</f>
        <v>&gt;90%</v>
      </c>
      <c r="C39" s="30" t="str">
        <f t="shared" ref="C39:P39" si="5">IF(C38&gt;=22,"&gt;90%",IF(C38&lt;=22,"&lt;90%"))</f>
        <v>&gt;90%</v>
      </c>
      <c r="D39" s="30" t="str">
        <f t="shared" si="5"/>
        <v>&gt;90%</v>
      </c>
      <c r="E39" s="30" t="str">
        <f t="shared" si="5"/>
        <v>&gt;90%</v>
      </c>
      <c r="F39" s="30" t="str">
        <f t="shared" si="5"/>
        <v>&gt;90%</v>
      </c>
      <c r="G39" s="30" t="str">
        <f t="shared" si="5"/>
        <v>&gt;90%</v>
      </c>
      <c r="H39" s="30" t="str">
        <f t="shared" si="5"/>
        <v>&gt;90%</v>
      </c>
      <c r="I39" s="30" t="str">
        <f t="shared" si="5"/>
        <v>&gt;90%</v>
      </c>
      <c r="J39" s="30" t="str">
        <f t="shared" si="5"/>
        <v>&gt;90%</v>
      </c>
      <c r="K39" s="30" t="str">
        <f t="shared" si="5"/>
        <v>&gt;90%</v>
      </c>
      <c r="L39" s="30" t="str">
        <f t="shared" si="5"/>
        <v>&gt;90%</v>
      </c>
      <c r="M39" s="30" t="str">
        <f t="shared" si="5"/>
        <v>&gt;90%</v>
      </c>
      <c r="N39" s="30" t="str">
        <f t="shared" si="5"/>
        <v>&gt;90%</v>
      </c>
      <c r="O39" s="30" t="str">
        <f t="shared" si="5"/>
        <v>&gt;90%</v>
      </c>
      <c r="P39" s="30" t="str">
        <f t="shared" si="5"/>
        <v>&gt;90%</v>
      </c>
      <c r="Q39" s="30" t="str">
        <f>IF(Q38&gt;=22,"&gt;90%",IF(Q38&lt;=22,"&lt;90%"))</f>
        <v>&gt;90%</v>
      </c>
      <c r="R39" s="30"/>
      <c r="S39" s="30"/>
      <c r="T39" s="30"/>
      <c r="U39" s="30"/>
    </row>
    <row r="40" spans="1:21" s="22" customFormat="1" x14ac:dyDescent="0.25">
      <c r="A40" s="28" t="s">
        <v>1</v>
      </c>
      <c r="B40" s="30" t="str">
        <f>IF(B38&gt;=22,"OK",IF(B38&lt;=22,"LESS"))</f>
        <v>OK</v>
      </c>
      <c r="C40" s="30" t="str">
        <f t="shared" ref="C40:Q40" si="6">IF(C38&gt;=22,"OK",IF(C38&lt;=22,"LESS"))</f>
        <v>OK</v>
      </c>
      <c r="D40" s="30" t="str">
        <f t="shared" si="6"/>
        <v>OK</v>
      </c>
      <c r="E40" s="30" t="str">
        <f t="shared" si="6"/>
        <v>OK</v>
      </c>
      <c r="F40" s="30" t="str">
        <f t="shared" si="6"/>
        <v>OK</v>
      </c>
      <c r="G40" s="30" t="str">
        <f t="shared" si="6"/>
        <v>OK</v>
      </c>
      <c r="H40" s="30" t="str">
        <f t="shared" si="6"/>
        <v>OK</v>
      </c>
      <c r="I40" s="30" t="str">
        <f t="shared" si="6"/>
        <v>OK</v>
      </c>
      <c r="J40" s="30" t="str">
        <f t="shared" si="6"/>
        <v>OK</v>
      </c>
      <c r="K40" s="30" t="str">
        <f t="shared" si="6"/>
        <v>OK</v>
      </c>
      <c r="L40" s="30" t="str">
        <f t="shared" si="6"/>
        <v>OK</v>
      </c>
      <c r="M40" s="30" t="str">
        <f t="shared" si="6"/>
        <v>OK</v>
      </c>
      <c r="N40" s="30" t="str">
        <f t="shared" si="6"/>
        <v>OK</v>
      </c>
      <c r="O40" s="30" t="str">
        <f t="shared" si="6"/>
        <v>OK</v>
      </c>
      <c r="P40" s="30" t="str">
        <f t="shared" si="6"/>
        <v>OK</v>
      </c>
      <c r="Q40" s="30" t="str">
        <f t="shared" si="6"/>
        <v>OK</v>
      </c>
      <c r="R40" s="30"/>
      <c r="S40" s="30"/>
      <c r="T40" s="30"/>
      <c r="U40" s="30"/>
    </row>
    <row r="41" spans="1:21" s="22" customFormat="1" x14ac:dyDescent="0.25">
      <c r="A41" s="14"/>
      <c r="L41" s="14"/>
      <c r="N41" s="17"/>
      <c r="O41" s="17"/>
      <c r="P41" s="17"/>
      <c r="Q41" s="17"/>
      <c r="R41" s="17"/>
      <c r="S41" s="17"/>
      <c r="T41" s="17"/>
      <c r="U41" s="17"/>
    </row>
    <row r="42" spans="1:21" s="22" customFormat="1" x14ac:dyDescent="0.25">
      <c r="A42" s="14"/>
    </row>
    <row r="43" spans="1:21" s="22" customFormat="1" x14ac:dyDescent="0.25">
      <c r="A43" s="15" t="s">
        <v>35</v>
      </c>
      <c r="B43" s="41" t="s">
        <v>61</v>
      </c>
      <c r="C43" s="43"/>
    </row>
    <row r="44" spans="1:21" s="22" customFormat="1" x14ac:dyDescent="0.25">
      <c r="A44" s="14"/>
      <c r="D44" s="2"/>
      <c r="E44" s="2"/>
      <c r="F44" s="2"/>
      <c r="G44" s="2"/>
      <c r="H44" s="2"/>
      <c r="I44" s="2"/>
    </row>
    <row r="45" spans="1:21" s="22" customFormat="1" ht="15.75" x14ac:dyDescent="0.25">
      <c r="A45" s="18" t="s">
        <v>36</v>
      </c>
      <c r="B45" s="42" t="s">
        <v>518</v>
      </c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</row>
    <row r="46" spans="1:21" s="22" customFormat="1" x14ac:dyDescent="0.25"/>
    <row r="47" spans="1:21" s="22" customFormat="1" x14ac:dyDescent="0.25"/>
    <row r="48" spans="1:21" s="22" customFormat="1" x14ac:dyDescent="0.25"/>
    <row r="49" s="22" customFormat="1" x14ac:dyDescent="0.25"/>
    <row r="50" s="22" customFormat="1" x14ac:dyDescent="0.25"/>
    <row r="51" s="22" customFormat="1" x14ac:dyDescent="0.25"/>
    <row r="52" s="22" customFormat="1" x14ac:dyDescent="0.25"/>
    <row r="53" s="22" customFormat="1" x14ac:dyDescent="0.25"/>
    <row r="54" s="22" customFormat="1" x14ac:dyDescent="0.25"/>
    <row r="55" s="22" customFormat="1" x14ac:dyDescent="0.25"/>
    <row r="56" s="22" customFormat="1" x14ac:dyDescent="0.25"/>
    <row r="57" s="22" customFormat="1" x14ac:dyDescent="0.25"/>
    <row r="58" s="22" customFormat="1" x14ac:dyDescent="0.25"/>
    <row r="59" s="22" customFormat="1" x14ac:dyDescent="0.25"/>
    <row r="60" s="22" customFormat="1" x14ac:dyDescent="0.25"/>
    <row r="61" s="22" customFormat="1" x14ac:dyDescent="0.25"/>
    <row r="62" s="22" customFormat="1" x14ac:dyDescent="0.25"/>
    <row r="63" s="22" customFormat="1" x14ac:dyDescent="0.25"/>
    <row r="64" s="22" customFormat="1" x14ac:dyDescent="0.25"/>
    <row r="65" s="22" customFormat="1" x14ac:dyDescent="0.25"/>
    <row r="66" s="22" customFormat="1" x14ac:dyDescent="0.25"/>
    <row r="67" s="22" customFormat="1" x14ac:dyDescent="0.25"/>
    <row r="68" s="22" customFormat="1" x14ac:dyDescent="0.25"/>
    <row r="69" s="22" customFormat="1" x14ac:dyDescent="0.25"/>
    <row r="70" s="22" customFormat="1" x14ac:dyDescent="0.25"/>
    <row r="71" s="22" customFormat="1" x14ac:dyDescent="0.25"/>
    <row r="72" s="22" customFormat="1" x14ac:dyDescent="0.25"/>
    <row r="73" s="22" customFormat="1" x14ac:dyDescent="0.25"/>
    <row r="74" s="22" customFormat="1" x14ac:dyDescent="0.25"/>
    <row r="75" s="22" customFormat="1" x14ac:dyDescent="0.25"/>
    <row r="76" s="22" customFormat="1" x14ac:dyDescent="0.25"/>
    <row r="77" s="22" customFormat="1" x14ac:dyDescent="0.25"/>
    <row r="78" s="22" customFormat="1" x14ac:dyDescent="0.25"/>
    <row r="79" s="22" customFormat="1" x14ac:dyDescent="0.25"/>
    <row r="80" s="22" customFormat="1" x14ac:dyDescent="0.25"/>
    <row r="81" s="22" customFormat="1" x14ac:dyDescent="0.25"/>
    <row r="82" s="22" customFormat="1" x14ac:dyDescent="0.25"/>
    <row r="83" s="22" customFormat="1" x14ac:dyDescent="0.25"/>
    <row r="84" s="22" customFormat="1" x14ac:dyDescent="0.25"/>
    <row r="85" s="22" customFormat="1" x14ac:dyDescent="0.25"/>
    <row r="86" s="22" customFormat="1" x14ac:dyDescent="0.25"/>
    <row r="87" s="22" customFormat="1" x14ac:dyDescent="0.25"/>
    <row r="88" s="22" customFormat="1" x14ac:dyDescent="0.25"/>
    <row r="89" s="22" customFormat="1" x14ac:dyDescent="0.25"/>
    <row r="90" s="22" customFormat="1" x14ac:dyDescent="0.25"/>
    <row r="91" s="22" customFormat="1" x14ac:dyDescent="0.25"/>
    <row r="92" s="22" customFormat="1" x14ac:dyDescent="0.25"/>
    <row r="93" s="22" customFormat="1" x14ac:dyDescent="0.25"/>
    <row r="94" s="22" customFormat="1" x14ac:dyDescent="0.25"/>
    <row r="95" s="22" customFormat="1" x14ac:dyDescent="0.25"/>
    <row r="96" s="22" customFormat="1" x14ac:dyDescent="0.25"/>
    <row r="97" spans="1:1" s="22" customFormat="1" x14ac:dyDescent="0.25"/>
    <row r="98" spans="1:1" s="22" customFormat="1" x14ac:dyDescent="0.25"/>
    <row r="99" spans="1:1" s="22" customFormat="1" x14ac:dyDescent="0.25"/>
    <row r="100" spans="1:1" s="22" customFormat="1" x14ac:dyDescent="0.25"/>
    <row r="101" spans="1:1" s="22" customFormat="1" x14ac:dyDescent="0.25"/>
    <row r="102" spans="1:1" s="22" customFormat="1" x14ac:dyDescent="0.25"/>
    <row r="103" spans="1:1" s="22" customFormat="1" x14ac:dyDescent="0.25"/>
    <row r="104" spans="1:1" s="22" customFormat="1" x14ac:dyDescent="0.25"/>
    <row r="105" spans="1:1" s="22" customFormat="1" x14ac:dyDescent="0.25"/>
    <row r="106" spans="1:1" x14ac:dyDescent="0.25">
      <c r="A106" s="21"/>
    </row>
    <row r="107" spans="1:1" s="22" customFormat="1" x14ac:dyDescent="0.25"/>
    <row r="108" spans="1:1" s="22" customFormat="1" x14ac:dyDescent="0.25"/>
    <row r="109" spans="1:1" s="22" customFormat="1" x14ac:dyDescent="0.25"/>
    <row r="110" spans="1:1" s="22" customFormat="1" x14ac:dyDescent="0.25"/>
    <row r="111" spans="1:1" s="22" customFormat="1" x14ac:dyDescent="0.25"/>
    <row r="112" spans="1:1" s="22" customFormat="1" x14ac:dyDescent="0.25"/>
    <row r="113" spans="1:1" s="22" customFormat="1" x14ac:dyDescent="0.25"/>
    <row r="114" spans="1:1" s="22" customFormat="1" x14ac:dyDescent="0.25"/>
    <row r="115" spans="1:1" s="22" customFormat="1" x14ac:dyDescent="0.25"/>
    <row r="116" spans="1:1" s="22" customFormat="1" x14ac:dyDescent="0.25"/>
    <row r="117" spans="1:1" s="22" customFormat="1" x14ac:dyDescent="0.25"/>
    <row r="118" spans="1:1" x14ac:dyDescent="0.25">
      <c r="A118" s="21"/>
    </row>
    <row r="119" spans="1:1" x14ac:dyDescent="0.25">
      <c r="A119" s="21"/>
    </row>
  </sheetData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1" ySplit="8" topLeftCell="B12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B45" sqref="B45"/>
    </sheetView>
  </sheetViews>
  <sheetFormatPr defaultColWidth="8.85546875" defaultRowHeight="15" x14ac:dyDescent="0.25"/>
  <cols>
    <col min="1" max="1" width="18.28515625" style="27" customWidth="1"/>
    <col min="2" max="2" width="12.7109375" style="21" customWidth="1"/>
    <col min="3" max="12" width="9.140625" style="21" customWidth="1"/>
    <col min="13" max="13" width="10" style="21" customWidth="1"/>
    <col min="14" max="19" width="9.140625" style="21" customWidth="1"/>
    <col min="20" max="20" width="11.42578125" style="21" customWidth="1"/>
    <col min="21" max="16384" width="8.85546875" style="21"/>
  </cols>
  <sheetData>
    <row r="1" spans="1:21" s="22" customFormat="1" ht="26.25" x14ac:dyDescent="0.25">
      <c r="A1" s="15" t="s">
        <v>2</v>
      </c>
      <c r="B1" s="24" t="s">
        <v>43</v>
      </c>
      <c r="C1" s="38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s="22" customFormat="1" x14ac:dyDescent="0.25">
      <c r="A2" s="15" t="s">
        <v>0</v>
      </c>
      <c r="B2" s="39" t="str">
        <f>$A$9</f>
        <v>22-10-2022 01:00</v>
      </c>
      <c r="C2" s="12"/>
      <c r="D2" s="11" t="s">
        <v>3</v>
      </c>
      <c r="E2" s="11"/>
      <c r="F2" s="11"/>
      <c r="G2" s="4" t="s">
        <v>4</v>
      </c>
      <c r="H2" s="20"/>
      <c r="I2" s="20"/>
      <c r="J2" s="20"/>
      <c r="K2" s="13"/>
      <c r="L2" s="11" t="s">
        <v>5</v>
      </c>
      <c r="M2" s="13"/>
      <c r="N2" s="8" t="s">
        <v>6</v>
      </c>
      <c r="P2" s="40" t="s">
        <v>7</v>
      </c>
      <c r="Q2" s="13"/>
      <c r="R2" s="9" t="s">
        <v>8</v>
      </c>
      <c r="S2" s="12"/>
      <c r="T2" s="12"/>
      <c r="U2" s="12"/>
    </row>
    <row r="3" spans="1:21" s="22" customFormat="1" x14ac:dyDescent="0.25">
      <c r="A3" s="15" t="s">
        <v>9</v>
      </c>
      <c r="B3" s="13" t="s">
        <v>10</v>
      </c>
      <c r="C3" s="12"/>
      <c r="D3" s="11" t="s">
        <v>11</v>
      </c>
      <c r="E3" s="11"/>
      <c r="F3" s="11"/>
      <c r="G3" s="19" t="s">
        <v>12</v>
      </c>
      <c r="H3" s="20"/>
      <c r="I3" s="20"/>
      <c r="J3" s="20"/>
      <c r="K3" s="12"/>
      <c r="L3" s="11" t="s">
        <v>13</v>
      </c>
      <c r="M3" s="13"/>
      <c r="N3" s="6" t="s">
        <v>14</v>
      </c>
      <c r="O3" s="13"/>
      <c r="P3" s="40" t="s">
        <v>15</v>
      </c>
      <c r="Q3" s="13"/>
      <c r="R3" s="10" t="s">
        <v>15</v>
      </c>
      <c r="S3" s="12"/>
      <c r="T3" s="12"/>
      <c r="U3" s="12"/>
    </row>
    <row r="4" spans="1:21" s="22" customFormat="1" x14ac:dyDescent="0.25">
      <c r="A4" s="15" t="s">
        <v>16</v>
      </c>
      <c r="B4" s="13" t="s">
        <v>39</v>
      </c>
      <c r="C4" s="12"/>
      <c r="D4" s="11" t="s">
        <v>17</v>
      </c>
      <c r="E4" s="11"/>
      <c r="F4" s="11"/>
      <c r="G4" s="5" t="s">
        <v>18</v>
      </c>
      <c r="H4" s="20"/>
      <c r="I4" s="20"/>
      <c r="J4" s="20"/>
      <c r="K4" s="3"/>
      <c r="L4" s="11" t="s">
        <v>19</v>
      </c>
      <c r="M4" s="13"/>
      <c r="N4" s="7" t="s">
        <v>20</v>
      </c>
      <c r="O4" s="13"/>
      <c r="P4" s="13"/>
      <c r="Q4" s="13"/>
      <c r="R4" s="13"/>
      <c r="S4" s="12"/>
      <c r="T4" s="12"/>
      <c r="U4" s="12"/>
    </row>
    <row r="5" spans="1:21" s="22" customFormat="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s="22" customFormat="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s="22" customFormat="1" x14ac:dyDescent="0.25">
      <c r="A7" s="15" t="s">
        <v>21</v>
      </c>
      <c r="B7" s="45" t="s">
        <v>59</v>
      </c>
      <c r="C7" s="45" t="s">
        <v>44</v>
      </c>
      <c r="D7" s="45" t="s">
        <v>45</v>
      </c>
      <c r="E7" s="45" t="s">
        <v>46</v>
      </c>
      <c r="F7" s="45" t="s">
        <v>47</v>
      </c>
      <c r="G7" s="45" t="s">
        <v>48</v>
      </c>
      <c r="H7" s="45" t="s">
        <v>49</v>
      </c>
      <c r="I7" s="45" t="s">
        <v>50</v>
      </c>
      <c r="J7" s="45" t="s">
        <v>51</v>
      </c>
      <c r="K7" s="45" t="s">
        <v>52</v>
      </c>
      <c r="L7" s="45" t="s">
        <v>53</v>
      </c>
      <c r="M7" s="45" t="s">
        <v>54</v>
      </c>
      <c r="N7" s="45" t="s">
        <v>55</v>
      </c>
      <c r="O7" s="45" t="s">
        <v>56</v>
      </c>
      <c r="P7" s="45" t="s">
        <v>57</v>
      </c>
      <c r="Q7" s="45" t="s">
        <v>58</v>
      </c>
      <c r="R7" s="28"/>
      <c r="S7" s="30"/>
      <c r="T7" s="28"/>
      <c r="U7" s="28"/>
    </row>
    <row r="8" spans="1:21" s="22" customFormat="1" x14ac:dyDescent="0.25">
      <c r="A8" s="15"/>
      <c r="B8" s="30" t="s">
        <v>22</v>
      </c>
      <c r="C8" s="30" t="s">
        <v>22</v>
      </c>
      <c r="D8" s="30" t="s">
        <v>22</v>
      </c>
      <c r="E8" s="30" t="s">
        <v>22</v>
      </c>
      <c r="F8" s="30" t="s">
        <v>22</v>
      </c>
      <c r="G8" s="30" t="s">
        <v>23</v>
      </c>
      <c r="H8" s="30" t="s">
        <v>22</v>
      </c>
      <c r="I8" s="30" t="s">
        <v>22</v>
      </c>
      <c r="J8" s="30" t="s">
        <v>24</v>
      </c>
      <c r="K8" s="30" t="s">
        <v>25</v>
      </c>
      <c r="L8" s="28" t="s">
        <v>27</v>
      </c>
      <c r="M8" s="30" t="s">
        <v>26</v>
      </c>
      <c r="N8" s="30" t="s">
        <v>28</v>
      </c>
      <c r="O8" s="28" t="s">
        <v>29</v>
      </c>
      <c r="P8" s="30" t="s">
        <v>22</v>
      </c>
      <c r="Q8" s="30" t="s">
        <v>22</v>
      </c>
      <c r="R8" s="28"/>
      <c r="S8" s="30"/>
      <c r="T8" s="28"/>
      <c r="U8" s="28"/>
    </row>
    <row r="9" spans="1:21" s="12" customFormat="1" x14ac:dyDescent="0.25">
      <c r="A9" s="62" t="s">
        <v>567</v>
      </c>
      <c r="B9" s="4" t="s">
        <v>4</v>
      </c>
      <c r="C9" s="4" t="s">
        <v>4</v>
      </c>
      <c r="D9" s="4" t="s">
        <v>4</v>
      </c>
      <c r="E9" s="4" t="s">
        <v>4</v>
      </c>
      <c r="F9" s="4" t="s">
        <v>4</v>
      </c>
      <c r="G9" s="4" t="s">
        <v>4</v>
      </c>
      <c r="H9" s="4" t="s">
        <v>4</v>
      </c>
      <c r="I9" s="4" t="s">
        <v>4</v>
      </c>
      <c r="J9" s="4" t="s">
        <v>4</v>
      </c>
      <c r="K9" s="4" t="s">
        <v>4</v>
      </c>
      <c r="L9" s="4" t="s">
        <v>4</v>
      </c>
      <c r="M9" s="4" t="s">
        <v>4</v>
      </c>
      <c r="N9" s="4" t="s">
        <v>4</v>
      </c>
      <c r="O9" s="4" t="s">
        <v>4</v>
      </c>
      <c r="P9" s="4" t="s">
        <v>4</v>
      </c>
      <c r="Q9" s="4" t="s">
        <v>4</v>
      </c>
      <c r="R9" s="44"/>
      <c r="S9" s="44"/>
      <c r="T9" s="44"/>
      <c r="U9" s="44"/>
    </row>
    <row r="10" spans="1:21" s="12" customFormat="1" x14ac:dyDescent="0.25">
      <c r="A10" s="62" t="s">
        <v>568</v>
      </c>
      <c r="B10" s="4" t="s">
        <v>4</v>
      </c>
      <c r="C10" s="4" t="s">
        <v>4</v>
      </c>
      <c r="D10" s="4" t="s">
        <v>4</v>
      </c>
      <c r="E10" s="4" t="s">
        <v>4</v>
      </c>
      <c r="F10" s="4" t="s">
        <v>4</v>
      </c>
      <c r="G10" s="4" t="s">
        <v>4</v>
      </c>
      <c r="H10" s="4" t="s">
        <v>4</v>
      </c>
      <c r="I10" s="4" t="s">
        <v>4</v>
      </c>
      <c r="J10" s="4" t="s">
        <v>4</v>
      </c>
      <c r="K10" s="4" t="s">
        <v>4</v>
      </c>
      <c r="L10" s="4" t="s">
        <v>4</v>
      </c>
      <c r="M10" s="4" t="s">
        <v>4</v>
      </c>
      <c r="N10" s="4" t="s">
        <v>4</v>
      </c>
      <c r="O10" s="4" t="s">
        <v>4</v>
      </c>
      <c r="P10" s="4" t="s">
        <v>4</v>
      </c>
      <c r="Q10" s="4" t="s">
        <v>4</v>
      </c>
      <c r="R10" s="44"/>
      <c r="S10" s="44"/>
      <c r="T10" s="44"/>
      <c r="U10" s="44"/>
    </row>
    <row r="11" spans="1:21" s="12" customFormat="1" x14ac:dyDescent="0.25">
      <c r="A11" s="62" t="s">
        <v>569</v>
      </c>
      <c r="B11" s="4" t="s">
        <v>4</v>
      </c>
      <c r="C11" s="4" t="s">
        <v>4</v>
      </c>
      <c r="D11" s="4" t="s">
        <v>4</v>
      </c>
      <c r="E11" s="4" t="s">
        <v>4</v>
      </c>
      <c r="F11" s="4" t="s">
        <v>4</v>
      </c>
      <c r="G11" s="4" t="s">
        <v>4</v>
      </c>
      <c r="H11" s="4" t="s">
        <v>4</v>
      </c>
      <c r="I11" s="4" t="s">
        <v>4</v>
      </c>
      <c r="J11" s="4" t="s">
        <v>4</v>
      </c>
      <c r="K11" s="4" t="s">
        <v>4</v>
      </c>
      <c r="L11" s="4" t="s">
        <v>4</v>
      </c>
      <c r="M11" s="4" t="s">
        <v>4</v>
      </c>
      <c r="N11" s="4" t="s">
        <v>4</v>
      </c>
      <c r="O11" s="4" t="s">
        <v>4</v>
      </c>
      <c r="P11" s="4" t="s">
        <v>4</v>
      </c>
      <c r="Q11" s="4" t="s">
        <v>4</v>
      </c>
      <c r="R11" s="44"/>
      <c r="S11" s="44"/>
      <c r="T11" s="44"/>
      <c r="U11" s="44"/>
    </row>
    <row r="12" spans="1:21" s="12" customFormat="1" x14ac:dyDescent="0.25">
      <c r="A12" s="62" t="s">
        <v>570</v>
      </c>
      <c r="B12" s="4" t="s">
        <v>4</v>
      </c>
      <c r="C12" s="4" t="s">
        <v>4</v>
      </c>
      <c r="D12" s="4" t="s">
        <v>4</v>
      </c>
      <c r="E12" s="4" t="s">
        <v>4</v>
      </c>
      <c r="F12" s="4" t="s">
        <v>4</v>
      </c>
      <c r="G12" s="4" t="s">
        <v>4</v>
      </c>
      <c r="H12" s="4" t="s">
        <v>4</v>
      </c>
      <c r="I12" s="4" t="s">
        <v>4</v>
      </c>
      <c r="J12" s="4" t="s">
        <v>4</v>
      </c>
      <c r="K12" s="4" t="s">
        <v>4</v>
      </c>
      <c r="L12" s="4" t="s">
        <v>4</v>
      </c>
      <c r="M12" s="4" t="s">
        <v>4</v>
      </c>
      <c r="N12" s="4" t="s">
        <v>4</v>
      </c>
      <c r="O12" s="4" t="s">
        <v>4</v>
      </c>
      <c r="P12" s="4" t="s">
        <v>4</v>
      </c>
      <c r="Q12" s="4" t="s">
        <v>4</v>
      </c>
      <c r="R12" s="44"/>
      <c r="S12" s="44"/>
      <c r="T12" s="44"/>
      <c r="U12" s="44"/>
    </row>
    <row r="13" spans="1:21" s="12" customFormat="1" x14ac:dyDescent="0.25">
      <c r="A13" s="62" t="s">
        <v>571</v>
      </c>
      <c r="B13" s="4" t="s">
        <v>4</v>
      </c>
      <c r="C13" s="4" t="s">
        <v>4</v>
      </c>
      <c r="D13" s="4" t="s">
        <v>4</v>
      </c>
      <c r="E13" s="4" t="s">
        <v>4</v>
      </c>
      <c r="F13" s="4" t="s">
        <v>4</v>
      </c>
      <c r="G13" s="4" t="s">
        <v>4</v>
      </c>
      <c r="H13" s="4" t="s">
        <v>4</v>
      </c>
      <c r="I13" s="4" t="s">
        <v>4</v>
      </c>
      <c r="J13" s="4" t="s">
        <v>4</v>
      </c>
      <c r="K13" s="4" t="s">
        <v>4</v>
      </c>
      <c r="L13" s="4" t="s">
        <v>4</v>
      </c>
      <c r="M13" s="4" t="s">
        <v>4</v>
      </c>
      <c r="N13" s="4" t="s">
        <v>4</v>
      </c>
      <c r="O13" s="4" t="s">
        <v>4</v>
      </c>
      <c r="P13" s="4" t="s">
        <v>4</v>
      </c>
      <c r="Q13" s="4" t="s">
        <v>4</v>
      </c>
      <c r="R13" s="44"/>
      <c r="S13" s="44"/>
      <c r="T13" s="44"/>
      <c r="U13" s="44"/>
    </row>
    <row r="14" spans="1:21" s="12" customFormat="1" x14ac:dyDescent="0.25">
      <c r="A14" s="62" t="s">
        <v>572</v>
      </c>
      <c r="B14" s="4" t="s">
        <v>4</v>
      </c>
      <c r="C14" s="4" t="s">
        <v>4</v>
      </c>
      <c r="D14" s="4" t="s">
        <v>4</v>
      </c>
      <c r="E14" s="4" t="s">
        <v>4</v>
      </c>
      <c r="F14" s="4" t="s">
        <v>4</v>
      </c>
      <c r="G14" s="4" t="s">
        <v>4</v>
      </c>
      <c r="H14" s="4" t="s">
        <v>4</v>
      </c>
      <c r="I14" s="4" t="s">
        <v>4</v>
      </c>
      <c r="J14" s="4" t="s">
        <v>4</v>
      </c>
      <c r="K14" s="4" t="s">
        <v>4</v>
      </c>
      <c r="L14" s="4" t="s">
        <v>4</v>
      </c>
      <c r="M14" s="4" t="s">
        <v>4</v>
      </c>
      <c r="N14" s="4" t="s">
        <v>4</v>
      </c>
      <c r="O14" s="4" t="s">
        <v>4</v>
      </c>
      <c r="P14" s="4" t="s">
        <v>4</v>
      </c>
      <c r="Q14" s="4" t="s">
        <v>4</v>
      </c>
      <c r="R14" s="44"/>
      <c r="S14" s="44"/>
      <c r="T14" s="44"/>
      <c r="U14" s="44"/>
    </row>
    <row r="15" spans="1:21" s="12" customFormat="1" x14ac:dyDescent="0.25">
      <c r="A15" s="62" t="s">
        <v>573</v>
      </c>
      <c r="B15" s="4" t="s">
        <v>4</v>
      </c>
      <c r="C15" s="4" t="s">
        <v>4</v>
      </c>
      <c r="D15" s="4" t="s">
        <v>4</v>
      </c>
      <c r="E15" s="4" t="s">
        <v>4</v>
      </c>
      <c r="F15" s="4" t="s">
        <v>4</v>
      </c>
      <c r="G15" s="4" t="s">
        <v>4</v>
      </c>
      <c r="H15" s="4" t="s">
        <v>4</v>
      </c>
      <c r="I15" s="4" t="s">
        <v>4</v>
      </c>
      <c r="J15" s="4" t="s">
        <v>4</v>
      </c>
      <c r="K15" s="4" t="s">
        <v>4</v>
      </c>
      <c r="L15" s="4" t="s">
        <v>4</v>
      </c>
      <c r="M15" s="4" t="s">
        <v>4</v>
      </c>
      <c r="N15" s="4" t="s">
        <v>4</v>
      </c>
      <c r="O15" s="4" t="s">
        <v>4</v>
      </c>
      <c r="P15" s="4" t="s">
        <v>4</v>
      </c>
      <c r="Q15" s="4" t="s">
        <v>4</v>
      </c>
      <c r="R15" s="44"/>
      <c r="S15" s="44"/>
      <c r="T15" s="44"/>
      <c r="U15" s="44"/>
    </row>
    <row r="16" spans="1:21" s="12" customFormat="1" x14ac:dyDescent="0.25">
      <c r="A16" s="62" t="s">
        <v>574</v>
      </c>
      <c r="B16" s="4" t="s">
        <v>4</v>
      </c>
      <c r="C16" s="4" t="s">
        <v>4</v>
      </c>
      <c r="D16" s="4" t="s">
        <v>4</v>
      </c>
      <c r="E16" s="4" t="s">
        <v>4</v>
      </c>
      <c r="F16" s="4" t="s">
        <v>4</v>
      </c>
      <c r="G16" s="4" t="s">
        <v>4</v>
      </c>
      <c r="H16" s="4" t="s">
        <v>4</v>
      </c>
      <c r="I16" s="4" t="s">
        <v>4</v>
      </c>
      <c r="J16" s="4" t="s">
        <v>4</v>
      </c>
      <c r="K16" s="4" t="s">
        <v>4</v>
      </c>
      <c r="L16" s="4" t="s">
        <v>4</v>
      </c>
      <c r="M16" s="4" t="s">
        <v>4</v>
      </c>
      <c r="N16" s="4" t="s">
        <v>4</v>
      </c>
      <c r="O16" s="4" t="s">
        <v>4</v>
      </c>
      <c r="P16" s="4" t="s">
        <v>4</v>
      </c>
      <c r="Q16" s="4" t="s">
        <v>4</v>
      </c>
      <c r="R16" s="44"/>
      <c r="S16" s="44"/>
      <c r="T16" s="44"/>
      <c r="U16" s="44"/>
    </row>
    <row r="17" spans="1:21" s="12" customFormat="1" x14ac:dyDescent="0.25">
      <c r="A17" s="62" t="s">
        <v>575</v>
      </c>
      <c r="B17" s="4" t="s">
        <v>4</v>
      </c>
      <c r="C17" s="4" t="s">
        <v>4</v>
      </c>
      <c r="D17" s="4" t="s">
        <v>4</v>
      </c>
      <c r="E17" s="4" t="s">
        <v>4</v>
      </c>
      <c r="F17" s="4" t="s">
        <v>4</v>
      </c>
      <c r="G17" s="4" t="s">
        <v>4</v>
      </c>
      <c r="H17" s="4" t="s">
        <v>4</v>
      </c>
      <c r="I17" s="4" t="s">
        <v>4</v>
      </c>
      <c r="J17" s="4" t="s">
        <v>4</v>
      </c>
      <c r="K17" s="4" t="s">
        <v>4</v>
      </c>
      <c r="L17" s="4" t="s">
        <v>4</v>
      </c>
      <c r="M17" s="4" t="s">
        <v>4</v>
      </c>
      <c r="N17" s="4" t="s">
        <v>4</v>
      </c>
      <c r="O17" s="4" t="s">
        <v>4</v>
      </c>
      <c r="P17" s="4" t="s">
        <v>4</v>
      </c>
      <c r="Q17" s="4" t="s">
        <v>4</v>
      </c>
      <c r="R17" s="44"/>
      <c r="S17" s="44"/>
      <c r="T17" s="44"/>
      <c r="U17" s="44"/>
    </row>
    <row r="18" spans="1:21" s="12" customFormat="1" x14ac:dyDescent="0.25">
      <c r="A18" s="62" t="s">
        <v>576</v>
      </c>
      <c r="B18" s="4" t="s">
        <v>4</v>
      </c>
      <c r="C18" s="4" t="s">
        <v>4</v>
      </c>
      <c r="D18" s="4" t="s">
        <v>4</v>
      </c>
      <c r="E18" s="4" t="s">
        <v>4</v>
      </c>
      <c r="F18" s="4" t="s">
        <v>4</v>
      </c>
      <c r="G18" s="4" t="s">
        <v>4</v>
      </c>
      <c r="H18" s="4" t="s">
        <v>4</v>
      </c>
      <c r="I18" s="4" t="s">
        <v>4</v>
      </c>
      <c r="J18" s="4" t="s">
        <v>4</v>
      </c>
      <c r="K18" s="4" t="s">
        <v>4</v>
      </c>
      <c r="L18" s="4" t="s">
        <v>4</v>
      </c>
      <c r="M18" s="4" t="s">
        <v>4</v>
      </c>
      <c r="N18" s="4" t="s">
        <v>4</v>
      </c>
      <c r="O18" s="4" t="s">
        <v>4</v>
      </c>
      <c r="P18" s="4" t="s">
        <v>4</v>
      </c>
      <c r="Q18" s="4" t="s">
        <v>4</v>
      </c>
      <c r="R18" s="44"/>
      <c r="S18" s="44"/>
      <c r="T18" s="44"/>
      <c r="U18" s="44"/>
    </row>
    <row r="19" spans="1:21" s="12" customFormat="1" x14ac:dyDescent="0.25">
      <c r="A19" s="62" t="s">
        <v>577</v>
      </c>
      <c r="B19" s="4" t="s">
        <v>4</v>
      </c>
      <c r="C19" s="4" t="s">
        <v>4</v>
      </c>
      <c r="D19" s="4" t="s">
        <v>4</v>
      </c>
      <c r="E19" s="4" t="s">
        <v>4</v>
      </c>
      <c r="F19" s="4" t="s">
        <v>4</v>
      </c>
      <c r="G19" s="4" t="s">
        <v>4</v>
      </c>
      <c r="H19" s="4" t="s">
        <v>4</v>
      </c>
      <c r="I19" s="4" t="s">
        <v>4</v>
      </c>
      <c r="J19" s="4" t="s">
        <v>4</v>
      </c>
      <c r="K19" s="4" t="s">
        <v>4</v>
      </c>
      <c r="L19" s="4" t="s">
        <v>4</v>
      </c>
      <c r="M19" s="4" t="s">
        <v>4</v>
      </c>
      <c r="N19" s="4" t="s">
        <v>4</v>
      </c>
      <c r="O19" s="4" t="s">
        <v>4</v>
      </c>
      <c r="P19" s="4" t="s">
        <v>4</v>
      </c>
      <c r="Q19" s="4" t="s">
        <v>4</v>
      </c>
      <c r="R19" s="44"/>
      <c r="S19" s="44"/>
      <c r="T19" s="44"/>
      <c r="U19" s="44"/>
    </row>
    <row r="20" spans="1:21" s="12" customFormat="1" x14ac:dyDescent="0.25">
      <c r="A20" s="62" t="s">
        <v>578</v>
      </c>
      <c r="B20" s="4" t="s">
        <v>4</v>
      </c>
      <c r="C20" s="4" t="s">
        <v>4</v>
      </c>
      <c r="D20" s="4" t="s">
        <v>4</v>
      </c>
      <c r="E20" s="4" t="s">
        <v>4</v>
      </c>
      <c r="F20" s="4" t="s">
        <v>4</v>
      </c>
      <c r="G20" s="4" t="s">
        <v>4</v>
      </c>
      <c r="H20" s="4" t="s">
        <v>4</v>
      </c>
      <c r="I20" s="4" t="s">
        <v>4</v>
      </c>
      <c r="J20" s="4" t="s">
        <v>4</v>
      </c>
      <c r="K20" s="4" t="s">
        <v>4</v>
      </c>
      <c r="L20" s="4" t="s">
        <v>4</v>
      </c>
      <c r="M20" s="4" t="s">
        <v>4</v>
      </c>
      <c r="N20" s="4" t="s">
        <v>4</v>
      </c>
      <c r="O20" s="4" t="s">
        <v>4</v>
      </c>
      <c r="P20" s="4" t="s">
        <v>4</v>
      </c>
      <c r="Q20" s="4" t="s">
        <v>4</v>
      </c>
      <c r="R20" s="44"/>
      <c r="S20" s="44"/>
      <c r="T20" s="44"/>
      <c r="U20" s="44"/>
    </row>
    <row r="21" spans="1:21" s="12" customFormat="1" x14ac:dyDescent="0.25">
      <c r="A21" s="62" t="s">
        <v>579</v>
      </c>
      <c r="B21" s="4" t="s">
        <v>4</v>
      </c>
      <c r="C21" s="4" t="s">
        <v>4</v>
      </c>
      <c r="D21" s="4" t="s">
        <v>4</v>
      </c>
      <c r="E21" s="4" t="s">
        <v>4</v>
      </c>
      <c r="F21" s="4" t="s">
        <v>4</v>
      </c>
      <c r="G21" s="4" t="s">
        <v>4</v>
      </c>
      <c r="H21" s="4" t="s">
        <v>4</v>
      </c>
      <c r="I21" s="4" t="s">
        <v>4</v>
      </c>
      <c r="J21" s="4" t="s">
        <v>4</v>
      </c>
      <c r="K21" s="4" t="s">
        <v>4</v>
      </c>
      <c r="L21" s="4" t="s">
        <v>4</v>
      </c>
      <c r="M21" s="4" t="s">
        <v>4</v>
      </c>
      <c r="N21" s="4" t="s">
        <v>4</v>
      </c>
      <c r="O21" s="4" t="s">
        <v>4</v>
      </c>
      <c r="P21" s="4" t="s">
        <v>4</v>
      </c>
      <c r="Q21" s="4" t="s">
        <v>4</v>
      </c>
      <c r="R21" s="44"/>
      <c r="S21" s="44"/>
      <c r="T21" s="44"/>
      <c r="U21" s="44"/>
    </row>
    <row r="22" spans="1:21" s="12" customFormat="1" x14ac:dyDescent="0.25">
      <c r="A22" s="62" t="s">
        <v>580</v>
      </c>
      <c r="B22" s="4" t="s">
        <v>4</v>
      </c>
      <c r="C22" s="4" t="s">
        <v>4</v>
      </c>
      <c r="D22" s="4" t="s">
        <v>4</v>
      </c>
      <c r="E22" s="4" t="s">
        <v>4</v>
      </c>
      <c r="F22" s="4" t="s">
        <v>4</v>
      </c>
      <c r="G22" s="4" t="s">
        <v>4</v>
      </c>
      <c r="H22" s="4" t="s">
        <v>4</v>
      </c>
      <c r="I22" s="4" t="s">
        <v>4</v>
      </c>
      <c r="J22" s="4" t="s">
        <v>4</v>
      </c>
      <c r="K22" s="4" t="s">
        <v>4</v>
      </c>
      <c r="L22" s="4" t="s">
        <v>4</v>
      </c>
      <c r="M22" s="4" t="s">
        <v>4</v>
      </c>
      <c r="N22" s="4" t="s">
        <v>4</v>
      </c>
      <c r="O22" s="4" t="s">
        <v>4</v>
      </c>
      <c r="P22" s="4" t="s">
        <v>4</v>
      </c>
      <c r="Q22" s="4" t="s">
        <v>4</v>
      </c>
      <c r="R22" s="44"/>
      <c r="S22" s="44"/>
      <c r="T22" s="44"/>
      <c r="U22" s="44"/>
    </row>
    <row r="23" spans="1:21" s="12" customFormat="1" x14ac:dyDescent="0.25">
      <c r="A23" s="62" t="s">
        <v>581</v>
      </c>
      <c r="B23" s="4" t="s">
        <v>4</v>
      </c>
      <c r="C23" s="4" t="s">
        <v>4</v>
      </c>
      <c r="D23" s="4" t="s">
        <v>4</v>
      </c>
      <c r="E23" s="4" t="s">
        <v>4</v>
      </c>
      <c r="F23" s="4" t="s">
        <v>4</v>
      </c>
      <c r="G23" s="4" t="s">
        <v>4</v>
      </c>
      <c r="H23" s="4" t="s">
        <v>4</v>
      </c>
      <c r="I23" s="4" t="s">
        <v>4</v>
      </c>
      <c r="J23" s="4" t="s">
        <v>4</v>
      </c>
      <c r="K23" s="4" t="s">
        <v>4</v>
      </c>
      <c r="L23" s="4" t="s">
        <v>4</v>
      </c>
      <c r="M23" s="4" t="s">
        <v>4</v>
      </c>
      <c r="N23" s="4" t="s">
        <v>4</v>
      </c>
      <c r="O23" s="4" t="s">
        <v>4</v>
      </c>
      <c r="P23" s="4" t="s">
        <v>4</v>
      </c>
      <c r="Q23" s="4" t="s">
        <v>4</v>
      </c>
      <c r="R23" s="44"/>
      <c r="S23" s="44"/>
      <c r="T23" s="44"/>
      <c r="U23" s="44"/>
    </row>
    <row r="24" spans="1:21" s="12" customFormat="1" x14ac:dyDescent="0.25">
      <c r="A24" s="62" t="s">
        <v>582</v>
      </c>
      <c r="B24" s="4" t="s">
        <v>4</v>
      </c>
      <c r="C24" s="4" t="s">
        <v>4</v>
      </c>
      <c r="D24" s="4" t="s">
        <v>4</v>
      </c>
      <c r="E24" s="4" t="s">
        <v>4</v>
      </c>
      <c r="F24" s="4" t="s">
        <v>4</v>
      </c>
      <c r="G24" s="4" t="s">
        <v>4</v>
      </c>
      <c r="H24" s="4" t="s">
        <v>4</v>
      </c>
      <c r="I24" s="4" t="s">
        <v>4</v>
      </c>
      <c r="J24" s="4" t="s">
        <v>4</v>
      </c>
      <c r="K24" s="4" t="s">
        <v>4</v>
      </c>
      <c r="L24" s="4" t="s">
        <v>4</v>
      </c>
      <c r="M24" s="4" t="s">
        <v>4</v>
      </c>
      <c r="N24" s="4" t="s">
        <v>4</v>
      </c>
      <c r="O24" s="4" t="s">
        <v>4</v>
      </c>
      <c r="P24" s="4" t="s">
        <v>4</v>
      </c>
      <c r="Q24" s="4" t="s">
        <v>4</v>
      </c>
      <c r="R24" s="44"/>
      <c r="S24" s="44"/>
      <c r="T24" s="44"/>
      <c r="U24" s="44"/>
    </row>
    <row r="25" spans="1:21" s="12" customFormat="1" x14ac:dyDescent="0.25">
      <c r="A25" s="62" t="s">
        <v>583</v>
      </c>
      <c r="B25" s="4" t="s">
        <v>4</v>
      </c>
      <c r="C25" s="4" t="s">
        <v>4</v>
      </c>
      <c r="D25" s="4" t="s">
        <v>4</v>
      </c>
      <c r="E25" s="4" t="s">
        <v>4</v>
      </c>
      <c r="F25" s="4" t="s">
        <v>4</v>
      </c>
      <c r="G25" s="4" t="s">
        <v>4</v>
      </c>
      <c r="H25" s="4" t="s">
        <v>4</v>
      </c>
      <c r="I25" s="4" t="s">
        <v>4</v>
      </c>
      <c r="J25" s="4" t="s">
        <v>4</v>
      </c>
      <c r="K25" s="4" t="s">
        <v>4</v>
      </c>
      <c r="L25" s="4" t="s">
        <v>4</v>
      </c>
      <c r="M25" s="4" t="s">
        <v>4</v>
      </c>
      <c r="N25" s="4" t="s">
        <v>4</v>
      </c>
      <c r="O25" s="4" t="s">
        <v>4</v>
      </c>
      <c r="P25" s="4" t="s">
        <v>4</v>
      </c>
      <c r="Q25" s="4" t="s">
        <v>4</v>
      </c>
      <c r="R25" s="44"/>
      <c r="S25" s="44"/>
      <c r="T25" s="44"/>
      <c r="U25" s="44"/>
    </row>
    <row r="26" spans="1:21" s="12" customFormat="1" x14ac:dyDescent="0.25">
      <c r="A26" s="62" t="s">
        <v>584</v>
      </c>
      <c r="B26" s="4" t="s">
        <v>4</v>
      </c>
      <c r="C26" s="4" t="s">
        <v>4</v>
      </c>
      <c r="D26" s="4" t="s">
        <v>4</v>
      </c>
      <c r="E26" s="4" t="s">
        <v>4</v>
      </c>
      <c r="F26" s="4" t="s">
        <v>4</v>
      </c>
      <c r="G26" s="4" t="s">
        <v>4</v>
      </c>
      <c r="H26" s="4" t="s">
        <v>4</v>
      </c>
      <c r="I26" s="4" t="s">
        <v>4</v>
      </c>
      <c r="J26" s="4" t="s">
        <v>4</v>
      </c>
      <c r="K26" s="4" t="s">
        <v>4</v>
      </c>
      <c r="L26" s="4" t="s">
        <v>4</v>
      </c>
      <c r="M26" s="4" t="s">
        <v>4</v>
      </c>
      <c r="N26" s="4" t="s">
        <v>4</v>
      </c>
      <c r="O26" s="4" t="s">
        <v>4</v>
      </c>
      <c r="P26" s="4" t="s">
        <v>4</v>
      </c>
      <c r="Q26" s="4" t="s">
        <v>4</v>
      </c>
      <c r="R26" s="44"/>
      <c r="S26" s="44"/>
      <c r="T26" s="44"/>
      <c r="U26" s="44"/>
    </row>
    <row r="27" spans="1:21" s="12" customFormat="1" x14ac:dyDescent="0.25">
      <c r="A27" s="62" t="s">
        <v>585</v>
      </c>
      <c r="B27" s="4" t="s">
        <v>4</v>
      </c>
      <c r="C27" s="4" t="s">
        <v>4</v>
      </c>
      <c r="D27" s="4" t="s">
        <v>4</v>
      </c>
      <c r="E27" s="4" t="s">
        <v>4</v>
      </c>
      <c r="F27" s="4" t="s">
        <v>4</v>
      </c>
      <c r="G27" s="4" t="s">
        <v>4</v>
      </c>
      <c r="H27" s="4" t="s">
        <v>4</v>
      </c>
      <c r="I27" s="4" t="s">
        <v>4</v>
      </c>
      <c r="J27" s="4" t="s">
        <v>4</v>
      </c>
      <c r="K27" s="4" t="s">
        <v>4</v>
      </c>
      <c r="L27" s="4" t="s">
        <v>4</v>
      </c>
      <c r="M27" s="4" t="s">
        <v>4</v>
      </c>
      <c r="N27" s="4" t="s">
        <v>4</v>
      </c>
      <c r="O27" s="4" t="s">
        <v>4</v>
      </c>
      <c r="P27" s="4" t="s">
        <v>4</v>
      </c>
      <c r="Q27" s="4" t="s">
        <v>4</v>
      </c>
      <c r="R27" s="44"/>
      <c r="S27" s="44"/>
      <c r="T27" s="44"/>
      <c r="U27" s="44"/>
    </row>
    <row r="28" spans="1:21" s="12" customFormat="1" x14ac:dyDescent="0.25">
      <c r="A28" s="62" t="s">
        <v>586</v>
      </c>
      <c r="B28" s="4" t="s">
        <v>4</v>
      </c>
      <c r="C28" s="4" t="s">
        <v>4</v>
      </c>
      <c r="D28" s="4" t="s">
        <v>4</v>
      </c>
      <c r="E28" s="4" t="s">
        <v>4</v>
      </c>
      <c r="F28" s="4" t="s">
        <v>4</v>
      </c>
      <c r="G28" s="4" t="s">
        <v>4</v>
      </c>
      <c r="H28" s="4" t="s">
        <v>4</v>
      </c>
      <c r="I28" s="4" t="s">
        <v>4</v>
      </c>
      <c r="J28" s="4" t="s">
        <v>4</v>
      </c>
      <c r="K28" s="4" t="s">
        <v>4</v>
      </c>
      <c r="L28" s="4" t="s">
        <v>4</v>
      </c>
      <c r="M28" s="4" t="s">
        <v>4</v>
      </c>
      <c r="N28" s="4" t="s">
        <v>4</v>
      </c>
      <c r="O28" s="4" t="s">
        <v>4</v>
      </c>
      <c r="P28" s="4" t="s">
        <v>4</v>
      </c>
      <c r="Q28" s="4" t="s">
        <v>4</v>
      </c>
      <c r="R28" s="44"/>
      <c r="S28" s="44"/>
      <c r="T28" s="44"/>
      <c r="U28" s="44"/>
    </row>
    <row r="29" spans="1:21" s="12" customFormat="1" x14ac:dyDescent="0.25">
      <c r="A29" s="62" t="s">
        <v>587</v>
      </c>
      <c r="B29" s="4" t="s">
        <v>4</v>
      </c>
      <c r="C29" s="4" t="s">
        <v>4</v>
      </c>
      <c r="D29" s="4" t="s">
        <v>4</v>
      </c>
      <c r="E29" s="4" t="s">
        <v>4</v>
      </c>
      <c r="F29" s="4" t="s">
        <v>4</v>
      </c>
      <c r="G29" s="4" t="s">
        <v>4</v>
      </c>
      <c r="H29" s="4" t="s">
        <v>4</v>
      </c>
      <c r="I29" s="4" t="s">
        <v>4</v>
      </c>
      <c r="J29" s="4" t="s">
        <v>4</v>
      </c>
      <c r="K29" s="4" t="s">
        <v>4</v>
      </c>
      <c r="L29" s="4" t="s">
        <v>4</v>
      </c>
      <c r="M29" s="4" t="s">
        <v>4</v>
      </c>
      <c r="N29" s="4" t="s">
        <v>4</v>
      </c>
      <c r="O29" s="4" t="s">
        <v>4</v>
      </c>
      <c r="P29" s="4" t="s">
        <v>4</v>
      </c>
      <c r="Q29" s="4" t="s">
        <v>4</v>
      </c>
      <c r="R29" s="44"/>
      <c r="S29" s="44"/>
      <c r="T29" s="44"/>
      <c r="U29" s="44"/>
    </row>
    <row r="30" spans="1:21" s="12" customFormat="1" x14ac:dyDescent="0.25">
      <c r="A30" s="62" t="s">
        <v>588</v>
      </c>
      <c r="B30" s="4" t="s">
        <v>4</v>
      </c>
      <c r="C30" s="4" t="s">
        <v>4</v>
      </c>
      <c r="D30" s="4" t="s">
        <v>4</v>
      </c>
      <c r="E30" s="4" t="s">
        <v>4</v>
      </c>
      <c r="F30" s="4" t="s">
        <v>4</v>
      </c>
      <c r="G30" s="4" t="s">
        <v>4</v>
      </c>
      <c r="H30" s="4" t="s">
        <v>4</v>
      </c>
      <c r="I30" s="4" t="s">
        <v>4</v>
      </c>
      <c r="J30" s="4" t="s">
        <v>4</v>
      </c>
      <c r="K30" s="4" t="s">
        <v>4</v>
      </c>
      <c r="L30" s="4" t="s">
        <v>4</v>
      </c>
      <c r="M30" s="4" t="s">
        <v>4</v>
      </c>
      <c r="N30" s="4" t="s">
        <v>4</v>
      </c>
      <c r="O30" s="4" t="s">
        <v>4</v>
      </c>
      <c r="P30" s="4" t="s">
        <v>4</v>
      </c>
      <c r="Q30" s="4" t="s">
        <v>4</v>
      </c>
      <c r="R30" s="44"/>
      <c r="S30" s="44"/>
      <c r="T30" s="44"/>
      <c r="U30" s="44"/>
    </row>
    <row r="31" spans="1:21" s="12" customFormat="1" x14ac:dyDescent="0.25">
      <c r="A31" s="62" t="s">
        <v>589</v>
      </c>
      <c r="B31" s="4" t="s">
        <v>4</v>
      </c>
      <c r="C31" s="4" t="s">
        <v>4</v>
      </c>
      <c r="D31" s="4" t="s">
        <v>4</v>
      </c>
      <c r="E31" s="4" t="s">
        <v>4</v>
      </c>
      <c r="F31" s="4" t="s">
        <v>4</v>
      </c>
      <c r="G31" s="4" t="s">
        <v>4</v>
      </c>
      <c r="H31" s="4" t="s">
        <v>4</v>
      </c>
      <c r="I31" s="4" t="s">
        <v>4</v>
      </c>
      <c r="J31" s="4" t="s">
        <v>4</v>
      </c>
      <c r="K31" s="4" t="s">
        <v>4</v>
      </c>
      <c r="L31" s="4" t="s">
        <v>4</v>
      </c>
      <c r="M31" s="4" t="s">
        <v>4</v>
      </c>
      <c r="N31" s="4" t="s">
        <v>4</v>
      </c>
      <c r="O31" s="4" t="s">
        <v>4</v>
      </c>
      <c r="P31" s="4" t="s">
        <v>4</v>
      </c>
      <c r="Q31" s="4" t="s">
        <v>4</v>
      </c>
      <c r="R31" s="44"/>
      <c r="S31" s="44"/>
      <c r="T31" s="44"/>
      <c r="U31" s="44"/>
    </row>
    <row r="32" spans="1:21" s="12" customFormat="1" x14ac:dyDescent="0.25">
      <c r="A32" s="62" t="s">
        <v>590</v>
      </c>
      <c r="B32" s="4" t="s">
        <v>4</v>
      </c>
      <c r="C32" s="4" t="s">
        <v>4</v>
      </c>
      <c r="D32" s="4" t="s">
        <v>4</v>
      </c>
      <c r="E32" s="4" t="s">
        <v>4</v>
      </c>
      <c r="F32" s="4" t="s">
        <v>4</v>
      </c>
      <c r="G32" s="4" t="s">
        <v>4</v>
      </c>
      <c r="H32" s="4" t="s">
        <v>4</v>
      </c>
      <c r="I32" s="4" t="s">
        <v>4</v>
      </c>
      <c r="J32" s="4" t="s">
        <v>4</v>
      </c>
      <c r="K32" s="4" t="s">
        <v>4</v>
      </c>
      <c r="L32" s="4" t="s">
        <v>4</v>
      </c>
      <c r="M32" s="4" t="s">
        <v>4</v>
      </c>
      <c r="N32" s="4" t="s">
        <v>4</v>
      </c>
      <c r="O32" s="4" t="s">
        <v>4</v>
      </c>
      <c r="P32" s="4" t="s">
        <v>4</v>
      </c>
      <c r="Q32" s="4" t="s">
        <v>4</v>
      </c>
      <c r="R32" s="44"/>
      <c r="S32" s="44"/>
      <c r="T32" s="44"/>
      <c r="U32" s="44"/>
    </row>
    <row r="33" spans="1:21" s="22" customFormat="1" x14ac:dyDescent="0.25">
      <c r="A33" s="27"/>
      <c r="B33" s="21"/>
      <c r="C33" s="21"/>
      <c r="D33" s="21"/>
      <c r="E33" s="21"/>
      <c r="F33" s="21"/>
      <c r="G33" s="27"/>
      <c r="H33" s="27"/>
      <c r="I33" s="27"/>
      <c r="J33" s="21"/>
      <c r="K33" s="21"/>
      <c r="L33" s="27"/>
      <c r="M33" s="27"/>
      <c r="N33" s="27"/>
      <c r="O33" s="27"/>
      <c r="P33" s="27"/>
      <c r="Q33" s="21"/>
      <c r="R33" s="21"/>
      <c r="S33" s="21"/>
      <c r="T33" s="21"/>
      <c r="U33" s="21"/>
    </row>
    <row r="34" spans="1:21" s="22" customFormat="1" x14ac:dyDescent="0.25">
      <c r="A34" s="28" t="s">
        <v>30</v>
      </c>
      <c r="B34" s="29">
        <f t="shared" ref="B34:Q34" si="0">MIN(B9:B32)</f>
        <v>0</v>
      </c>
      <c r="C34" s="29">
        <f t="shared" si="0"/>
        <v>0</v>
      </c>
      <c r="D34" s="29">
        <f t="shared" si="0"/>
        <v>0</v>
      </c>
      <c r="E34" s="29">
        <f t="shared" si="0"/>
        <v>0</v>
      </c>
      <c r="F34" s="29">
        <f t="shared" si="0"/>
        <v>0</v>
      </c>
      <c r="G34" s="29">
        <f t="shared" si="0"/>
        <v>0</v>
      </c>
      <c r="H34" s="29">
        <f t="shared" si="0"/>
        <v>0</v>
      </c>
      <c r="I34" s="29">
        <f t="shared" si="0"/>
        <v>0</v>
      </c>
      <c r="J34" s="29">
        <f t="shared" si="0"/>
        <v>0</v>
      </c>
      <c r="K34" s="29">
        <f t="shared" si="0"/>
        <v>0</v>
      </c>
      <c r="L34" s="29">
        <f t="shared" si="0"/>
        <v>0</v>
      </c>
      <c r="M34" s="29">
        <f t="shared" si="0"/>
        <v>0</v>
      </c>
      <c r="N34" s="29">
        <f t="shared" si="0"/>
        <v>0</v>
      </c>
      <c r="O34" s="29">
        <f t="shared" si="0"/>
        <v>0</v>
      </c>
      <c r="P34" s="29">
        <f t="shared" si="0"/>
        <v>0</v>
      </c>
      <c r="Q34" s="29">
        <f t="shared" si="0"/>
        <v>0</v>
      </c>
      <c r="R34" s="29"/>
      <c r="S34" s="29"/>
      <c r="T34" s="29"/>
      <c r="U34" s="29"/>
    </row>
    <row r="35" spans="1:21" s="22" customFormat="1" x14ac:dyDescent="0.25">
      <c r="A35" s="28" t="s">
        <v>31</v>
      </c>
      <c r="B35" s="30">
        <f t="shared" ref="B35:Q35" si="1">MAX(B9:B32)</f>
        <v>0</v>
      </c>
      <c r="C35" s="30">
        <f t="shared" si="1"/>
        <v>0</v>
      </c>
      <c r="D35" s="30">
        <f t="shared" si="1"/>
        <v>0</v>
      </c>
      <c r="E35" s="30">
        <f t="shared" si="1"/>
        <v>0</v>
      </c>
      <c r="F35" s="30">
        <f t="shared" si="1"/>
        <v>0</v>
      </c>
      <c r="G35" s="30">
        <f t="shared" si="1"/>
        <v>0</v>
      </c>
      <c r="H35" s="30">
        <f t="shared" si="1"/>
        <v>0</v>
      </c>
      <c r="I35" s="30">
        <f t="shared" si="1"/>
        <v>0</v>
      </c>
      <c r="J35" s="30">
        <f t="shared" si="1"/>
        <v>0</v>
      </c>
      <c r="K35" s="30">
        <f t="shared" si="1"/>
        <v>0</v>
      </c>
      <c r="L35" s="30">
        <f t="shared" si="1"/>
        <v>0</v>
      </c>
      <c r="M35" s="30">
        <f t="shared" si="1"/>
        <v>0</v>
      </c>
      <c r="N35" s="30">
        <f t="shared" si="1"/>
        <v>0</v>
      </c>
      <c r="O35" s="30">
        <f t="shared" si="1"/>
        <v>0</v>
      </c>
      <c r="P35" s="30">
        <f t="shared" si="1"/>
        <v>0</v>
      </c>
      <c r="Q35" s="30">
        <f t="shared" si="1"/>
        <v>0</v>
      </c>
      <c r="R35" s="30"/>
      <c r="S35" s="30"/>
      <c r="T35" s="30"/>
      <c r="U35" s="30"/>
    </row>
    <row r="36" spans="1:21" s="22" customFormat="1" x14ac:dyDescent="0.25">
      <c r="A36" s="28" t="s">
        <v>32</v>
      </c>
      <c r="B36" s="29" t="e">
        <f t="shared" ref="B36:Q36" si="2">AVERAGE(B9:B32)</f>
        <v>#DIV/0!</v>
      </c>
      <c r="C36" s="29" t="e">
        <f t="shared" si="2"/>
        <v>#DIV/0!</v>
      </c>
      <c r="D36" s="29" t="e">
        <f t="shared" si="2"/>
        <v>#DIV/0!</v>
      </c>
      <c r="E36" s="29" t="e">
        <f t="shared" si="2"/>
        <v>#DIV/0!</v>
      </c>
      <c r="F36" s="29" t="e">
        <f t="shared" si="2"/>
        <v>#DIV/0!</v>
      </c>
      <c r="G36" s="29" t="e">
        <f t="shared" si="2"/>
        <v>#DIV/0!</v>
      </c>
      <c r="H36" s="29" t="e">
        <f t="shared" si="2"/>
        <v>#DIV/0!</v>
      </c>
      <c r="I36" s="29" t="e">
        <f t="shared" si="2"/>
        <v>#DIV/0!</v>
      </c>
      <c r="J36" s="29" t="e">
        <f t="shared" si="2"/>
        <v>#DIV/0!</v>
      </c>
      <c r="K36" s="29" t="e">
        <f t="shared" si="2"/>
        <v>#DIV/0!</v>
      </c>
      <c r="L36" s="29" t="e">
        <f t="shared" si="2"/>
        <v>#DIV/0!</v>
      </c>
      <c r="M36" s="29" t="e">
        <f t="shared" si="2"/>
        <v>#DIV/0!</v>
      </c>
      <c r="N36" s="29" t="e">
        <f t="shared" si="2"/>
        <v>#DIV/0!</v>
      </c>
      <c r="O36" s="29" t="e">
        <f t="shared" si="2"/>
        <v>#DIV/0!</v>
      </c>
      <c r="P36" s="29" t="e">
        <f t="shared" si="2"/>
        <v>#DIV/0!</v>
      </c>
      <c r="Q36" s="29" t="e">
        <f t="shared" si="2"/>
        <v>#DIV/0!</v>
      </c>
      <c r="R36" s="29"/>
      <c r="S36" s="29"/>
      <c r="T36" s="29"/>
      <c r="U36" s="29"/>
    </row>
    <row r="37" spans="1:21" s="22" customFormat="1" x14ac:dyDescent="0.25">
      <c r="A37" s="28" t="s">
        <v>38</v>
      </c>
      <c r="B37" s="29" t="e">
        <f>STDEV(B9:B32)</f>
        <v>#DIV/0!</v>
      </c>
      <c r="C37" s="29" t="e">
        <f t="shared" ref="C37:Q37" si="3">STDEV(C9:C32)</f>
        <v>#DIV/0!</v>
      </c>
      <c r="D37" s="29" t="e">
        <f t="shared" si="3"/>
        <v>#DIV/0!</v>
      </c>
      <c r="E37" s="29" t="e">
        <f t="shared" si="3"/>
        <v>#DIV/0!</v>
      </c>
      <c r="F37" s="29" t="e">
        <f t="shared" si="3"/>
        <v>#DIV/0!</v>
      </c>
      <c r="G37" s="29" t="e">
        <f t="shared" si="3"/>
        <v>#DIV/0!</v>
      </c>
      <c r="H37" s="29" t="e">
        <f t="shared" si="3"/>
        <v>#DIV/0!</v>
      </c>
      <c r="I37" s="29" t="e">
        <f t="shared" si="3"/>
        <v>#DIV/0!</v>
      </c>
      <c r="J37" s="29" t="e">
        <f t="shared" si="3"/>
        <v>#DIV/0!</v>
      </c>
      <c r="K37" s="29" t="e">
        <f t="shared" si="3"/>
        <v>#DIV/0!</v>
      </c>
      <c r="L37" s="29" t="e">
        <f t="shared" si="3"/>
        <v>#DIV/0!</v>
      </c>
      <c r="M37" s="29" t="e">
        <f t="shared" si="3"/>
        <v>#DIV/0!</v>
      </c>
      <c r="N37" s="29" t="e">
        <f t="shared" si="3"/>
        <v>#DIV/0!</v>
      </c>
      <c r="O37" s="29" t="e">
        <f t="shared" si="3"/>
        <v>#DIV/0!</v>
      </c>
      <c r="P37" s="29" t="e">
        <f t="shared" si="3"/>
        <v>#DIV/0!</v>
      </c>
      <c r="Q37" s="29" t="e">
        <f t="shared" si="3"/>
        <v>#DIV/0!</v>
      </c>
      <c r="R37" s="29"/>
      <c r="S37" s="29"/>
      <c r="T37" s="29"/>
      <c r="U37" s="29"/>
    </row>
    <row r="38" spans="1:21" s="22" customFormat="1" x14ac:dyDescent="0.25">
      <c r="A38" s="32" t="s">
        <v>33</v>
      </c>
      <c r="B38" s="33">
        <f>COUNT(B9:B32)+24</f>
        <v>24</v>
      </c>
      <c r="C38" s="33">
        <f t="shared" ref="C38:Q38" si="4">COUNT(C9:C32)+24</f>
        <v>24</v>
      </c>
      <c r="D38" s="33">
        <f t="shared" si="4"/>
        <v>24</v>
      </c>
      <c r="E38" s="33">
        <f t="shared" si="4"/>
        <v>24</v>
      </c>
      <c r="F38" s="33">
        <f t="shared" si="4"/>
        <v>24</v>
      </c>
      <c r="G38" s="33">
        <f t="shared" si="4"/>
        <v>24</v>
      </c>
      <c r="H38" s="33">
        <f t="shared" si="4"/>
        <v>24</v>
      </c>
      <c r="I38" s="33">
        <f t="shared" si="4"/>
        <v>24</v>
      </c>
      <c r="J38" s="33">
        <f t="shared" si="4"/>
        <v>24</v>
      </c>
      <c r="K38" s="33">
        <f t="shared" si="4"/>
        <v>24</v>
      </c>
      <c r="L38" s="33">
        <f t="shared" si="4"/>
        <v>24</v>
      </c>
      <c r="M38" s="33">
        <f t="shared" si="4"/>
        <v>24</v>
      </c>
      <c r="N38" s="33">
        <f t="shared" si="4"/>
        <v>24</v>
      </c>
      <c r="O38" s="33">
        <f t="shared" si="4"/>
        <v>24</v>
      </c>
      <c r="P38" s="33">
        <f t="shared" si="4"/>
        <v>24</v>
      </c>
      <c r="Q38" s="33">
        <f t="shared" si="4"/>
        <v>24</v>
      </c>
      <c r="R38" s="33"/>
      <c r="S38" s="33"/>
      <c r="T38" s="33"/>
      <c r="U38" s="33"/>
    </row>
    <row r="39" spans="1:21" s="22" customFormat="1" x14ac:dyDescent="0.25">
      <c r="A39" s="28" t="s">
        <v>34</v>
      </c>
      <c r="B39" s="30" t="str">
        <f>IF(B38&gt;=22,"&gt;90%",IF(B38&lt;=22,"&lt;90%"))</f>
        <v>&gt;90%</v>
      </c>
      <c r="C39" s="30" t="str">
        <f t="shared" ref="C39:P39" si="5">IF(C38&gt;=22,"&gt;90%",IF(C38&lt;=22,"&lt;90%"))</f>
        <v>&gt;90%</v>
      </c>
      <c r="D39" s="30" t="str">
        <f t="shared" si="5"/>
        <v>&gt;90%</v>
      </c>
      <c r="E39" s="30" t="str">
        <f t="shared" si="5"/>
        <v>&gt;90%</v>
      </c>
      <c r="F39" s="30" t="str">
        <f t="shared" si="5"/>
        <v>&gt;90%</v>
      </c>
      <c r="G39" s="30" t="str">
        <f t="shared" si="5"/>
        <v>&gt;90%</v>
      </c>
      <c r="H39" s="30" t="str">
        <f t="shared" si="5"/>
        <v>&gt;90%</v>
      </c>
      <c r="I39" s="30" t="str">
        <f t="shared" si="5"/>
        <v>&gt;90%</v>
      </c>
      <c r="J39" s="30" t="str">
        <f t="shared" si="5"/>
        <v>&gt;90%</v>
      </c>
      <c r="K39" s="30" t="str">
        <f t="shared" si="5"/>
        <v>&gt;90%</v>
      </c>
      <c r="L39" s="30" t="str">
        <f t="shared" si="5"/>
        <v>&gt;90%</v>
      </c>
      <c r="M39" s="30" t="str">
        <f t="shared" si="5"/>
        <v>&gt;90%</v>
      </c>
      <c r="N39" s="30" t="str">
        <f t="shared" si="5"/>
        <v>&gt;90%</v>
      </c>
      <c r="O39" s="30" t="str">
        <f t="shared" si="5"/>
        <v>&gt;90%</v>
      </c>
      <c r="P39" s="30" t="str">
        <f t="shared" si="5"/>
        <v>&gt;90%</v>
      </c>
      <c r="Q39" s="30" t="str">
        <f>IF(Q38&gt;=22,"&gt;90%",IF(Q38&lt;=22,"&lt;90%"))</f>
        <v>&gt;90%</v>
      </c>
      <c r="R39" s="30"/>
      <c r="S39" s="30"/>
      <c r="T39" s="30"/>
      <c r="U39" s="30"/>
    </row>
    <row r="40" spans="1:21" s="22" customFormat="1" x14ac:dyDescent="0.25">
      <c r="A40" s="28" t="s">
        <v>1</v>
      </c>
      <c r="B40" s="30" t="str">
        <f>IF(B38&gt;=22,"OK",IF(B38&lt;=22,"LESS"))</f>
        <v>OK</v>
      </c>
      <c r="C40" s="30" t="str">
        <f t="shared" ref="C40:Q40" si="6">IF(C38&gt;=22,"OK",IF(C38&lt;=22,"LESS"))</f>
        <v>OK</v>
      </c>
      <c r="D40" s="30" t="str">
        <f t="shared" si="6"/>
        <v>OK</v>
      </c>
      <c r="E40" s="30" t="str">
        <f t="shared" si="6"/>
        <v>OK</v>
      </c>
      <c r="F40" s="30" t="str">
        <f t="shared" si="6"/>
        <v>OK</v>
      </c>
      <c r="G40" s="30" t="str">
        <f t="shared" si="6"/>
        <v>OK</v>
      </c>
      <c r="H40" s="30" t="str">
        <f t="shared" si="6"/>
        <v>OK</v>
      </c>
      <c r="I40" s="30" t="str">
        <f t="shared" si="6"/>
        <v>OK</v>
      </c>
      <c r="J40" s="30" t="str">
        <f t="shared" si="6"/>
        <v>OK</v>
      </c>
      <c r="K40" s="30" t="str">
        <f t="shared" si="6"/>
        <v>OK</v>
      </c>
      <c r="L40" s="30" t="str">
        <f t="shared" si="6"/>
        <v>OK</v>
      </c>
      <c r="M40" s="30" t="str">
        <f t="shared" si="6"/>
        <v>OK</v>
      </c>
      <c r="N40" s="30" t="str">
        <f t="shared" si="6"/>
        <v>OK</v>
      </c>
      <c r="O40" s="30" t="str">
        <f t="shared" si="6"/>
        <v>OK</v>
      </c>
      <c r="P40" s="30" t="str">
        <f t="shared" si="6"/>
        <v>OK</v>
      </c>
      <c r="Q40" s="30" t="str">
        <f t="shared" si="6"/>
        <v>OK</v>
      </c>
      <c r="R40" s="30"/>
      <c r="S40" s="30"/>
      <c r="T40" s="30"/>
      <c r="U40" s="30"/>
    </row>
    <row r="41" spans="1:21" s="22" customFormat="1" x14ac:dyDescent="0.25">
      <c r="A41" s="14"/>
      <c r="L41" s="14"/>
      <c r="N41" s="17"/>
      <c r="O41" s="17"/>
      <c r="P41" s="17"/>
      <c r="Q41" s="17"/>
      <c r="R41" s="17"/>
      <c r="S41" s="17"/>
      <c r="T41" s="17"/>
      <c r="U41" s="17"/>
    </row>
    <row r="42" spans="1:21" s="22" customFormat="1" x14ac:dyDescent="0.25">
      <c r="A42" s="14"/>
    </row>
    <row r="43" spans="1:21" s="22" customFormat="1" x14ac:dyDescent="0.25">
      <c r="A43" s="15" t="s">
        <v>35</v>
      </c>
      <c r="B43" s="41" t="s">
        <v>61</v>
      </c>
      <c r="C43" s="43"/>
    </row>
    <row r="44" spans="1:21" s="22" customFormat="1" x14ac:dyDescent="0.25">
      <c r="A44" s="14"/>
      <c r="D44" s="2"/>
      <c r="E44" s="2"/>
      <c r="F44" s="2"/>
      <c r="G44" s="2"/>
      <c r="H44" s="2"/>
      <c r="I44" s="2"/>
    </row>
    <row r="45" spans="1:21" s="22" customFormat="1" ht="15.75" x14ac:dyDescent="0.25">
      <c r="A45" s="18" t="s">
        <v>36</v>
      </c>
      <c r="B45" s="42" t="s">
        <v>518</v>
      </c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</row>
    <row r="46" spans="1:21" s="22" customFormat="1" x14ac:dyDescent="0.25"/>
    <row r="47" spans="1:21" s="22" customFormat="1" x14ac:dyDescent="0.25"/>
    <row r="48" spans="1:21" s="22" customFormat="1" x14ac:dyDescent="0.25"/>
    <row r="49" s="22" customFormat="1" x14ac:dyDescent="0.25"/>
    <row r="50" s="22" customFormat="1" x14ac:dyDescent="0.25"/>
    <row r="51" s="22" customFormat="1" x14ac:dyDescent="0.25"/>
    <row r="52" s="22" customFormat="1" x14ac:dyDescent="0.25"/>
    <row r="53" s="22" customFormat="1" x14ac:dyDescent="0.25"/>
    <row r="54" s="22" customFormat="1" x14ac:dyDescent="0.25"/>
    <row r="55" s="22" customFormat="1" x14ac:dyDescent="0.25"/>
    <row r="56" s="22" customFormat="1" x14ac:dyDescent="0.25"/>
    <row r="57" s="22" customFormat="1" x14ac:dyDescent="0.25"/>
    <row r="58" s="22" customFormat="1" x14ac:dyDescent="0.25"/>
    <row r="59" s="22" customFormat="1" x14ac:dyDescent="0.25"/>
    <row r="60" s="22" customFormat="1" x14ac:dyDescent="0.25"/>
    <row r="61" s="22" customFormat="1" x14ac:dyDescent="0.25"/>
    <row r="62" s="22" customFormat="1" x14ac:dyDescent="0.25"/>
    <row r="63" s="22" customFormat="1" x14ac:dyDescent="0.25"/>
    <row r="64" s="22" customFormat="1" x14ac:dyDescent="0.25"/>
    <row r="65" s="22" customFormat="1" x14ac:dyDescent="0.25"/>
    <row r="66" s="22" customFormat="1" x14ac:dyDescent="0.25"/>
    <row r="67" s="22" customFormat="1" x14ac:dyDescent="0.25"/>
    <row r="68" s="22" customFormat="1" x14ac:dyDescent="0.25"/>
    <row r="69" s="22" customFormat="1" x14ac:dyDescent="0.25"/>
    <row r="70" s="22" customFormat="1" x14ac:dyDescent="0.25"/>
    <row r="71" s="22" customFormat="1" x14ac:dyDescent="0.25"/>
    <row r="72" s="22" customFormat="1" x14ac:dyDescent="0.25"/>
    <row r="73" s="22" customFormat="1" x14ac:dyDescent="0.25"/>
    <row r="74" s="22" customFormat="1" x14ac:dyDescent="0.25"/>
    <row r="75" s="22" customFormat="1" x14ac:dyDescent="0.25"/>
    <row r="76" s="22" customFormat="1" x14ac:dyDescent="0.25"/>
    <row r="77" s="22" customFormat="1" x14ac:dyDescent="0.25"/>
    <row r="78" s="22" customFormat="1" x14ac:dyDescent="0.25"/>
    <row r="79" s="22" customFormat="1" x14ac:dyDescent="0.25"/>
    <row r="80" s="22" customFormat="1" x14ac:dyDescent="0.25"/>
    <row r="81" s="22" customFormat="1" x14ac:dyDescent="0.25"/>
    <row r="82" s="22" customFormat="1" x14ac:dyDescent="0.25"/>
    <row r="83" s="22" customFormat="1" x14ac:dyDescent="0.25"/>
    <row r="84" s="22" customFormat="1" x14ac:dyDescent="0.25"/>
    <row r="85" s="22" customFormat="1" x14ac:dyDescent="0.25"/>
    <row r="86" s="22" customFormat="1" x14ac:dyDescent="0.25"/>
    <row r="87" s="22" customFormat="1" x14ac:dyDescent="0.25"/>
    <row r="88" s="22" customFormat="1" x14ac:dyDescent="0.25"/>
    <row r="89" s="22" customFormat="1" x14ac:dyDescent="0.25"/>
    <row r="90" s="22" customFormat="1" x14ac:dyDescent="0.25"/>
    <row r="91" s="22" customFormat="1" x14ac:dyDescent="0.25"/>
    <row r="92" s="22" customFormat="1" x14ac:dyDescent="0.25"/>
    <row r="93" s="22" customFormat="1" x14ac:dyDescent="0.25"/>
    <row r="94" s="22" customFormat="1" x14ac:dyDescent="0.25"/>
    <row r="95" s="22" customFormat="1" x14ac:dyDescent="0.25"/>
    <row r="96" s="22" customFormat="1" x14ac:dyDescent="0.25"/>
    <row r="97" spans="1:1" s="22" customFormat="1" x14ac:dyDescent="0.25"/>
    <row r="98" spans="1:1" s="22" customFormat="1" x14ac:dyDescent="0.25"/>
    <row r="99" spans="1:1" s="22" customFormat="1" x14ac:dyDescent="0.25"/>
    <row r="100" spans="1:1" s="22" customFormat="1" x14ac:dyDescent="0.25"/>
    <row r="101" spans="1:1" s="22" customFormat="1" x14ac:dyDescent="0.25"/>
    <row r="102" spans="1:1" s="22" customFormat="1" x14ac:dyDescent="0.25"/>
    <row r="103" spans="1:1" s="22" customFormat="1" x14ac:dyDescent="0.25"/>
    <row r="104" spans="1:1" s="22" customFormat="1" x14ac:dyDescent="0.25"/>
    <row r="105" spans="1:1" s="22" customFormat="1" x14ac:dyDescent="0.25"/>
    <row r="106" spans="1:1" x14ac:dyDescent="0.25">
      <c r="A106" s="21"/>
    </row>
    <row r="107" spans="1:1" s="22" customFormat="1" x14ac:dyDescent="0.25"/>
    <row r="108" spans="1:1" s="22" customFormat="1" x14ac:dyDescent="0.25"/>
    <row r="109" spans="1:1" s="22" customFormat="1" x14ac:dyDescent="0.25"/>
    <row r="110" spans="1:1" s="22" customFormat="1" x14ac:dyDescent="0.25"/>
    <row r="111" spans="1:1" s="22" customFormat="1" x14ac:dyDescent="0.25"/>
    <row r="112" spans="1:1" s="22" customFormat="1" x14ac:dyDescent="0.25"/>
    <row r="113" spans="1:1" s="22" customFormat="1" x14ac:dyDescent="0.25"/>
    <row r="114" spans="1:1" s="22" customFormat="1" x14ac:dyDescent="0.25"/>
    <row r="115" spans="1:1" s="22" customFormat="1" x14ac:dyDescent="0.25"/>
    <row r="116" spans="1:1" s="22" customFormat="1" x14ac:dyDescent="0.25"/>
    <row r="117" spans="1:1" s="22" customFormat="1" x14ac:dyDescent="0.25"/>
    <row r="118" spans="1:1" x14ac:dyDescent="0.25">
      <c r="A118" s="21"/>
    </row>
    <row r="119" spans="1:1" x14ac:dyDescent="0.25">
      <c r="A119" s="21"/>
    </row>
  </sheetData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1" ySplit="8" topLeftCell="B18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46" sqref="G46"/>
    </sheetView>
  </sheetViews>
  <sheetFormatPr defaultColWidth="8.85546875" defaultRowHeight="15" x14ac:dyDescent="0.25"/>
  <cols>
    <col min="1" max="1" width="18.28515625" style="27" customWidth="1"/>
    <col min="2" max="2" width="14.85546875" style="21" customWidth="1"/>
    <col min="3" max="12" width="9.140625" style="21" customWidth="1"/>
    <col min="13" max="13" width="10" style="21" customWidth="1"/>
    <col min="14" max="19" width="9.140625" style="21" customWidth="1"/>
    <col min="20" max="20" width="11.42578125" style="21" customWidth="1"/>
    <col min="21" max="16384" width="8.85546875" style="21"/>
  </cols>
  <sheetData>
    <row r="1" spans="1:21" s="22" customFormat="1" ht="26.25" x14ac:dyDescent="0.25">
      <c r="A1" s="15" t="s">
        <v>2</v>
      </c>
      <c r="B1" s="24" t="s">
        <v>43</v>
      </c>
      <c r="C1" s="38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s="22" customFormat="1" x14ac:dyDescent="0.25">
      <c r="A2" s="15" t="s">
        <v>0</v>
      </c>
      <c r="B2" s="39" t="str">
        <f>$A$9</f>
        <v>23-10-2022 01:00</v>
      </c>
      <c r="C2" s="12"/>
      <c r="D2" s="11" t="s">
        <v>3</v>
      </c>
      <c r="E2" s="11"/>
      <c r="F2" s="11"/>
      <c r="G2" s="4" t="s">
        <v>4</v>
      </c>
      <c r="H2" s="20"/>
      <c r="I2" s="20"/>
      <c r="J2" s="20"/>
      <c r="K2" s="13"/>
      <c r="L2" s="11" t="s">
        <v>5</v>
      </c>
      <c r="M2" s="13"/>
      <c r="N2" s="8" t="s">
        <v>6</v>
      </c>
      <c r="P2" s="40" t="s">
        <v>7</v>
      </c>
      <c r="Q2" s="13"/>
      <c r="R2" s="9" t="s">
        <v>8</v>
      </c>
      <c r="S2" s="12"/>
      <c r="T2" s="12"/>
      <c r="U2" s="12"/>
    </row>
    <row r="3" spans="1:21" s="22" customFormat="1" x14ac:dyDescent="0.25">
      <c r="A3" s="15" t="s">
        <v>9</v>
      </c>
      <c r="B3" s="13" t="s">
        <v>10</v>
      </c>
      <c r="C3" s="12"/>
      <c r="D3" s="11" t="s">
        <v>11</v>
      </c>
      <c r="E3" s="11"/>
      <c r="F3" s="11"/>
      <c r="G3" s="19" t="s">
        <v>12</v>
      </c>
      <c r="H3" s="20"/>
      <c r="I3" s="20"/>
      <c r="J3" s="20"/>
      <c r="K3" s="12"/>
      <c r="L3" s="11" t="s">
        <v>13</v>
      </c>
      <c r="M3" s="13"/>
      <c r="N3" s="6" t="s">
        <v>14</v>
      </c>
      <c r="O3" s="13"/>
      <c r="P3" s="40" t="s">
        <v>15</v>
      </c>
      <c r="Q3" s="13"/>
      <c r="R3" s="10" t="s">
        <v>15</v>
      </c>
      <c r="S3" s="12"/>
      <c r="T3" s="12"/>
      <c r="U3" s="12"/>
    </row>
    <row r="4" spans="1:21" s="22" customFormat="1" x14ac:dyDescent="0.25">
      <c r="A4" s="15" t="s">
        <v>16</v>
      </c>
      <c r="B4" s="13" t="s">
        <v>39</v>
      </c>
      <c r="C4" s="12"/>
      <c r="D4" s="11" t="s">
        <v>17</v>
      </c>
      <c r="E4" s="11"/>
      <c r="F4" s="11"/>
      <c r="G4" s="5" t="s">
        <v>18</v>
      </c>
      <c r="H4" s="20"/>
      <c r="I4" s="20"/>
      <c r="J4" s="20"/>
      <c r="K4" s="3"/>
      <c r="L4" s="11" t="s">
        <v>19</v>
      </c>
      <c r="M4" s="13"/>
      <c r="N4" s="7" t="s">
        <v>20</v>
      </c>
      <c r="O4" s="13"/>
      <c r="P4" s="13"/>
      <c r="Q4" s="13"/>
      <c r="R4" s="13"/>
      <c r="S4" s="12"/>
      <c r="T4" s="12"/>
      <c r="U4" s="12"/>
    </row>
    <row r="5" spans="1:21" s="22" customFormat="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s="22" customFormat="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s="22" customFormat="1" x14ac:dyDescent="0.25">
      <c r="A7" s="15" t="s">
        <v>21</v>
      </c>
      <c r="B7" s="45" t="s">
        <v>59</v>
      </c>
      <c r="C7" s="45" t="s">
        <v>44</v>
      </c>
      <c r="D7" s="45" t="s">
        <v>45</v>
      </c>
      <c r="E7" s="45" t="s">
        <v>46</v>
      </c>
      <c r="F7" s="45" t="s">
        <v>47</v>
      </c>
      <c r="G7" s="45" t="s">
        <v>48</v>
      </c>
      <c r="H7" s="45" t="s">
        <v>49</v>
      </c>
      <c r="I7" s="45" t="s">
        <v>50</v>
      </c>
      <c r="J7" s="45" t="s">
        <v>51</v>
      </c>
      <c r="K7" s="45" t="s">
        <v>52</v>
      </c>
      <c r="L7" s="45" t="s">
        <v>53</v>
      </c>
      <c r="M7" s="45" t="s">
        <v>54</v>
      </c>
      <c r="N7" s="45" t="s">
        <v>55</v>
      </c>
      <c r="O7" s="45" t="s">
        <v>56</v>
      </c>
      <c r="P7" s="45" t="s">
        <v>57</v>
      </c>
      <c r="Q7" s="45" t="s">
        <v>58</v>
      </c>
      <c r="R7" s="28"/>
      <c r="S7" s="30"/>
      <c r="T7" s="28"/>
      <c r="U7" s="28"/>
    </row>
    <row r="8" spans="1:21" s="22" customFormat="1" x14ac:dyDescent="0.25">
      <c r="A8" s="15"/>
      <c r="B8" s="30" t="s">
        <v>22</v>
      </c>
      <c r="C8" s="30" t="s">
        <v>22</v>
      </c>
      <c r="D8" s="30" t="s">
        <v>22</v>
      </c>
      <c r="E8" s="30" t="s">
        <v>22</v>
      </c>
      <c r="F8" s="30" t="s">
        <v>22</v>
      </c>
      <c r="G8" s="30" t="s">
        <v>23</v>
      </c>
      <c r="H8" s="30" t="s">
        <v>22</v>
      </c>
      <c r="I8" s="30" t="s">
        <v>22</v>
      </c>
      <c r="J8" s="30" t="s">
        <v>24</v>
      </c>
      <c r="K8" s="30" t="s">
        <v>25</v>
      </c>
      <c r="L8" s="28" t="s">
        <v>27</v>
      </c>
      <c r="M8" s="30" t="s">
        <v>26</v>
      </c>
      <c r="N8" s="30" t="s">
        <v>28</v>
      </c>
      <c r="O8" s="28" t="s">
        <v>29</v>
      </c>
      <c r="P8" s="30" t="s">
        <v>22</v>
      </c>
      <c r="Q8" s="30" t="s">
        <v>22</v>
      </c>
      <c r="R8" s="28"/>
      <c r="S8" s="30"/>
      <c r="T8" s="28"/>
      <c r="U8" s="28"/>
    </row>
    <row r="9" spans="1:21" s="12" customFormat="1" x14ac:dyDescent="0.25">
      <c r="A9" s="62" t="s">
        <v>591</v>
      </c>
      <c r="B9" s="4" t="s">
        <v>4</v>
      </c>
      <c r="C9" s="4" t="s">
        <v>4</v>
      </c>
      <c r="D9" s="4" t="s">
        <v>4</v>
      </c>
      <c r="E9" s="4" t="s">
        <v>4</v>
      </c>
      <c r="F9" s="4" t="s">
        <v>4</v>
      </c>
      <c r="G9" s="4" t="s">
        <v>4</v>
      </c>
      <c r="H9" s="4" t="s">
        <v>4</v>
      </c>
      <c r="I9" s="4" t="s">
        <v>4</v>
      </c>
      <c r="J9" s="4" t="s">
        <v>4</v>
      </c>
      <c r="K9" s="4" t="s">
        <v>4</v>
      </c>
      <c r="L9" s="4" t="s">
        <v>4</v>
      </c>
      <c r="M9" s="4" t="s">
        <v>4</v>
      </c>
      <c r="N9" s="4" t="s">
        <v>4</v>
      </c>
      <c r="O9" s="4" t="s">
        <v>4</v>
      </c>
      <c r="P9" s="4" t="s">
        <v>4</v>
      </c>
      <c r="Q9" s="4" t="s">
        <v>4</v>
      </c>
      <c r="R9" s="44"/>
      <c r="S9" s="44"/>
      <c r="T9" s="44"/>
      <c r="U9" s="44"/>
    </row>
    <row r="10" spans="1:21" s="12" customFormat="1" x14ac:dyDescent="0.25">
      <c r="A10" s="62" t="s">
        <v>592</v>
      </c>
      <c r="B10" s="4" t="s">
        <v>4</v>
      </c>
      <c r="C10" s="4" t="s">
        <v>4</v>
      </c>
      <c r="D10" s="4" t="s">
        <v>4</v>
      </c>
      <c r="E10" s="4" t="s">
        <v>4</v>
      </c>
      <c r="F10" s="4" t="s">
        <v>4</v>
      </c>
      <c r="G10" s="4" t="s">
        <v>4</v>
      </c>
      <c r="H10" s="4" t="s">
        <v>4</v>
      </c>
      <c r="I10" s="4" t="s">
        <v>4</v>
      </c>
      <c r="J10" s="4" t="s">
        <v>4</v>
      </c>
      <c r="K10" s="4" t="s">
        <v>4</v>
      </c>
      <c r="L10" s="4" t="s">
        <v>4</v>
      </c>
      <c r="M10" s="4" t="s">
        <v>4</v>
      </c>
      <c r="N10" s="4" t="s">
        <v>4</v>
      </c>
      <c r="O10" s="4" t="s">
        <v>4</v>
      </c>
      <c r="P10" s="4" t="s">
        <v>4</v>
      </c>
      <c r="Q10" s="4" t="s">
        <v>4</v>
      </c>
      <c r="R10" s="44"/>
      <c r="S10" s="44"/>
      <c r="T10" s="44"/>
      <c r="U10" s="44"/>
    </row>
    <row r="11" spans="1:21" s="12" customFormat="1" x14ac:dyDescent="0.25">
      <c r="A11" s="62" t="s">
        <v>593</v>
      </c>
      <c r="B11" s="4" t="s">
        <v>4</v>
      </c>
      <c r="C11" s="4" t="s">
        <v>4</v>
      </c>
      <c r="D11" s="4" t="s">
        <v>4</v>
      </c>
      <c r="E11" s="4" t="s">
        <v>4</v>
      </c>
      <c r="F11" s="4" t="s">
        <v>4</v>
      </c>
      <c r="G11" s="4" t="s">
        <v>4</v>
      </c>
      <c r="H11" s="4" t="s">
        <v>4</v>
      </c>
      <c r="I11" s="4" t="s">
        <v>4</v>
      </c>
      <c r="J11" s="4" t="s">
        <v>4</v>
      </c>
      <c r="K11" s="4" t="s">
        <v>4</v>
      </c>
      <c r="L11" s="4" t="s">
        <v>4</v>
      </c>
      <c r="M11" s="4" t="s">
        <v>4</v>
      </c>
      <c r="N11" s="4" t="s">
        <v>4</v>
      </c>
      <c r="O11" s="4" t="s">
        <v>4</v>
      </c>
      <c r="P11" s="4" t="s">
        <v>4</v>
      </c>
      <c r="Q11" s="4" t="s">
        <v>4</v>
      </c>
      <c r="R11" s="44"/>
      <c r="S11" s="44"/>
      <c r="T11" s="44"/>
      <c r="U11" s="44"/>
    </row>
    <row r="12" spans="1:21" s="12" customFormat="1" x14ac:dyDescent="0.25">
      <c r="A12" s="62" t="s">
        <v>594</v>
      </c>
      <c r="B12" s="4" t="s">
        <v>4</v>
      </c>
      <c r="C12" s="4" t="s">
        <v>4</v>
      </c>
      <c r="D12" s="4" t="s">
        <v>4</v>
      </c>
      <c r="E12" s="4" t="s">
        <v>4</v>
      </c>
      <c r="F12" s="4" t="s">
        <v>4</v>
      </c>
      <c r="G12" s="4" t="s">
        <v>4</v>
      </c>
      <c r="H12" s="4" t="s">
        <v>4</v>
      </c>
      <c r="I12" s="4" t="s">
        <v>4</v>
      </c>
      <c r="J12" s="4" t="s">
        <v>4</v>
      </c>
      <c r="K12" s="4" t="s">
        <v>4</v>
      </c>
      <c r="L12" s="4" t="s">
        <v>4</v>
      </c>
      <c r="M12" s="4" t="s">
        <v>4</v>
      </c>
      <c r="N12" s="4" t="s">
        <v>4</v>
      </c>
      <c r="O12" s="4" t="s">
        <v>4</v>
      </c>
      <c r="P12" s="4" t="s">
        <v>4</v>
      </c>
      <c r="Q12" s="4" t="s">
        <v>4</v>
      </c>
      <c r="R12" s="44"/>
      <c r="S12" s="44"/>
      <c r="T12" s="44"/>
      <c r="U12" s="44"/>
    </row>
    <row r="13" spans="1:21" s="12" customFormat="1" x14ac:dyDescent="0.25">
      <c r="A13" s="62" t="s">
        <v>595</v>
      </c>
      <c r="B13" s="4" t="s">
        <v>4</v>
      </c>
      <c r="C13" s="4" t="s">
        <v>4</v>
      </c>
      <c r="D13" s="4" t="s">
        <v>4</v>
      </c>
      <c r="E13" s="4" t="s">
        <v>4</v>
      </c>
      <c r="F13" s="4" t="s">
        <v>4</v>
      </c>
      <c r="G13" s="4" t="s">
        <v>4</v>
      </c>
      <c r="H13" s="4" t="s">
        <v>4</v>
      </c>
      <c r="I13" s="4" t="s">
        <v>4</v>
      </c>
      <c r="J13" s="4" t="s">
        <v>4</v>
      </c>
      <c r="K13" s="4" t="s">
        <v>4</v>
      </c>
      <c r="L13" s="4" t="s">
        <v>4</v>
      </c>
      <c r="M13" s="4" t="s">
        <v>4</v>
      </c>
      <c r="N13" s="4" t="s">
        <v>4</v>
      </c>
      <c r="O13" s="4" t="s">
        <v>4</v>
      </c>
      <c r="P13" s="4" t="s">
        <v>4</v>
      </c>
      <c r="Q13" s="4" t="s">
        <v>4</v>
      </c>
      <c r="R13" s="44"/>
      <c r="S13" s="44"/>
      <c r="T13" s="44"/>
      <c r="U13" s="44"/>
    </row>
    <row r="14" spans="1:21" s="12" customFormat="1" x14ac:dyDescent="0.25">
      <c r="A14" s="62" t="s">
        <v>596</v>
      </c>
      <c r="B14" s="4" t="s">
        <v>4</v>
      </c>
      <c r="C14" s="4" t="s">
        <v>4</v>
      </c>
      <c r="D14" s="4" t="s">
        <v>4</v>
      </c>
      <c r="E14" s="4" t="s">
        <v>4</v>
      </c>
      <c r="F14" s="4" t="s">
        <v>4</v>
      </c>
      <c r="G14" s="4" t="s">
        <v>4</v>
      </c>
      <c r="H14" s="4" t="s">
        <v>4</v>
      </c>
      <c r="I14" s="4" t="s">
        <v>4</v>
      </c>
      <c r="J14" s="4" t="s">
        <v>4</v>
      </c>
      <c r="K14" s="4" t="s">
        <v>4</v>
      </c>
      <c r="L14" s="4" t="s">
        <v>4</v>
      </c>
      <c r="M14" s="4" t="s">
        <v>4</v>
      </c>
      <c r="N14" s="4" t="s">
        <v>4</v>
      </c>
      <c r="O14" s="4" t="s">
        <v>4</v>
      </c>
      <c r="P14" s="4" t="s">
        <v>4</v>
      </c>
      <c r="Q14" s="4" t="s">
        <v>4</v>
      </c>
      <c r="R14" s="44"/>
      <c r="S14" s="44"/>
      <c r="T14" s="44"/>
      <c r="U14" s="44"/>
    </row>
    <row r="15" spans="1:21" s="12" customFormat="1" x14ac:dyDescent="0.25">
      <c r="A15" s="62" t="s">
        <v>597</v>
      </c>
      <c r="B15" s="4" t="s">
        <v>4</v>
      </c>
      <c r="C15" s="4" t="s">
        <v>4</v>
      </c>
      <c r="D15" s="4" t="s">
        <v>4</v>
      </c>
      <c r="E15" s="4" t="s">
        <v>4</v>
      </c>
      <c r="F15" s="4" t="s">
        <v>4</v>
      </c>
      <c r="G15" s="4" t="s">
        <v>4</v>
      </c>
      <c r="H15" s="4" t="s">
        <v>4</v>
      </c>
      <c r="I15" s="4" t="s">
        <v>4</v>
      </c>
      <c r="J15" s="4" t="s">
        <v>4</v>
      </c>
      <c r="K15" s="4" t="s">
        <v>4</v>
      </c>
      <c r="L15" s="4" t="s">
        <v>4</v>
      </c>
      <c r="M15" s="4" t="s">
        <v>4</v>
      </c>
      <c r="N15" s="4" t="s">
        <v>4</v>
      </c>
      <c r="O15" s="4" t="s">
        <v>4</v>
      </c>
      <c r="P15" s="4" t="s">
        <v>4</v>
      </c>
      <c r="Q15" s="4" t="s">
        <v>4</v>
      </c>
      <c r="R15" s="44"/>
      <c r="S15" s="44"/>
      <c r="T15" s="44"/>
      <c r="U15" s="44"/>
    </row>
    <row r="16" spans="1:21" s="12" customFormat="1" x14ac:dyDescent="0.25">
      <c r="A16" s="62" t="s">
        <v>598</v>
      </c>
      <c r="B16" s="4" t="s">
        <v>4</v>
      </c>
      <c r="C16" s="4" t="s">
        <v>4</v>
      </c>
      <c r="D16" s="4" t="s">
        <v>4</v>
      </c>
      <c r="E16" s="4" t="s">
        <v>4</v>
      </c>
      <c r="F16" s="4" t="s">
        <v>4</v>
      </c>
      <c r="G16" s="4" t="s">
        <v>4</v>
      </c>
      <c r="H16" s="4" t="s">
        <v>4</v>
      </c>
      <c r="I16" s="4" t="s">
        <v>4</v>
      </c>
      <c r="J16" s="4" t="s">
        <v>4</v>
      </c>
      <c r="K16" s="4" t="s">
        <v>4</v>
      </c>
      <c r="L16" s="4" t="s">
        <v>4</v>
      </c>
      <c r="M16" s="4" t="s">
        <v>4</v>
      </c>
      <c r="N16" s="4" t="s">
        <v>4</v>
      </c>
      <c r="O16" s="4" t="s">
        <v>4</v>
      </c>
      <c r="P16" s="4" t="s">
        <v>4</v>
      </c>
      <c r="Q16" s="4" t="s">
        <v>4</v>
      </c>
      <c r="R16" s="44"/>
      <c r="S16" s="44"/>
      <c r="T16" s="44"/>
      <c r="U16" s="44"/>
    </row>
    <row r="17" spans="1:21" s="12" customFormat="1" x14ac:dyDescent="0.25">
      <c r="A17" s="62" t="s">
        <v>599</v>
      </c>
      <c r="B17" s="4" t="s">
        <v>4</v>
      </c>
      <c r="C17" s="4" t="s">
        <v>4</v>
      </c>
      <c r="D17" s="4" t="s">
        <v>4</v>
      </c>
      <c r="E17" s="4" t="s">
        <v>4</v>
      </c>
      <c r="F17" s="4" t="s">
        <v>4</v>
      </c>
      <c r="G17" s="4" t="s">
        <v>4</v>
      </c>
      <c r="H17" s="4" t="s">
        <v>4</v>
      </c>
      <c r="I17" s="4" t="s">
        <v>4</v>
      </c>
      <c r="J17" s="4" t="s">
        <v>4</v>
      </c>
      <c r="K17" s="4" t="s">
        <v>4</v>
      </c>
      <c r="L17" s="4" t="s">
        <v>4</v>
      </c>
      <c r="M17" s="4" t="s">
        <v>4</v>
      </c>
      <c r="N17" s="4" t="s">
        <v>4</v>
      </c>
      <c r="O17" s="4" t="s">
        <v>4</v>
      </c>
      <c r="P17" s="4" t="s">
        <v>4</v>
      </c>
      <c r="Q17" s="4" t="s">
        <v>4</v>
      </c>
      <c r="R17" s="44"/>
      <c r="S17" s="44"/>
      <c r="T17" s="44"/>
      <c r="U17" s="44"/>
    </row>
    <row r="18" spans="1:21" s="12" customFormat="1" x14ac:dyDescent="0.25">
      <c r="A18" s="62" t="s">
        <v>600</v>
      </c>
      <c r="B18" s="4" t="s">
        <v>4</v>
      </c>
      <c r="C18" s="4" t="s">
        <v>4</v>
      </c>
      <c r="D18" s="4" t="s">
        <v>4</v>
      </c>
      <c r="E18" s="4" t="s">
        <v>4</v>
      </c>
      <c r="F18" s="4" t="s">
        <v>4</v>
      </c>
      <c r="G18" s="4" t="s">
        <v>4</v>
      </c>
      <c r="H18" s="4" t="s">
        <v>4</v>
      </c>
      <c r="I18" s="4" t="s">
        <v>4</v>
      </c>
      <c r="J18" s="4" t="s">
        <v>4</v>
      </c>
      <c r="K18" s="4" t="s">
        <v>4</v>
      </c>
      <c r="L18" s="4" t="s">
        <v>4</v>
      </c>
      <c r="M18" s="4" t="s">
        <v>4</v>
      </c>
      <c r="N18" s="4" t="s">
        <v>4</v>
      </c>
      <c r="O18" s="4" t="s">
        <v>4</v>
      </c>
      <c r="P18" s="4" t="s">
        <v>4</v>
      </c>
      <c r="Q18" s="4" t="s">
        <v>4</v>
      </c>
      <c r="R18" s="44"/>
      <c r="S18" s="44"/>
      <c r="T18" s="44"/>
      <c r="U18" s="44"/>
    </row>
    <row r="19" spans="1:21" s="12" customFormat="1" x14ac:dyDescent="0.25">
      <c r="A19" s="62" t="s">
        <v>601</v>
      </c>
      <c r="B19" s="4" t="s">
        <v>4</v>
      </c>
      <c r="C19" s="4" t="s">
        <v>4</v>
      </c>
      <c r="D19" s="4" t="s">
        <v>4</v>
      </c>
      <c r="E19" s="4" t="s">
        <v>4</v>
      </c>
      <c r="F19" s="4" t="s">
        <v>4</v>
      </c>
      <c r="G19" s="4" t="s">
        <v>4</v>
      </c>
      <c r="H19" s="4" t="s">
        <v>4</v>
      </c>
      <c r="I19" s="4" t="s">
        <v>4</v>
      </c>
      <c r="J19" s="4" t="s">
        <v>4</v>
      </c>
      <c r="K19" s="4" t="s">
        <v>4</v>
      </c>
      <c r="L19" s="4" t="s">
        <v>4</v>
      </c>
      <c r="M19" s="4" t="s">
        <v>4</v>
      </c>
      <c r="N19" s="4" t="s">
        <v>4</v>
      </c>
      <c r="O19" s="4" t="s">
        <v>4</v>
      </c>
      <c r="P19" s="4" t="s">
        <v>4</v>
      </c>
      <c r="Q19" s="4" t="s">
        <v>4</v>
      </c>
      <c r="R19" s="44"/>
      <c r="S19" s="44"/>
      <c r="T19" s="44"/>
      <c r="U19" s="44"/>
    </row>
    <row r="20" spans="1:21" s="12" customFormat="1" x14ac:dyDescent="0.25">
      <c r="A20" s="62" t="s">
        <v>602</v>
      </c>
      <c r="B20" s="4" t="s">
        <v>4</v>
      </c>
      <c r="C20" s="4" t="s">
        <v>4</v>
      </c>
      <c r="D20" s="4" t="s">
        <v>4</v>
      </c>
      <c r="E20" s="4" t="s">
        <v>4</v>
      </c>
      <c r="F20" s="4" t="s">
        <v>4</v>
      </c>
      <c r="G20" s="4" t="s">
        <v>4</v>
      </c>
      <c r="H20" s="4" t="s">
        <v>4</v>
      </c>
      <c r="I20" s="4" t="s">
        <v>4</v>
      </c>
      <c r="J20" s="4" t="s">
        <v>4</v>
      </c>
      <c r="K20" s="4" t="s">
        <v>4</v>
      </c>
      <c r="L20" s="4" t="s">
        <v>4</v>
      </c>
      <c r="M20" s="4" t="s">
        <v>4</v>
      </c>
      <c r="N20" s="4" t="s">
        <v>4</v>
      </c>
      <c r="O20" s="4" t="s">
        <v>4</v>
      </c>
      <c r="P20" s="4" t="s">
        <v>4</v>
      </c>
      <c r="Q20" s="4" t="s">
        <v>4</v>
      </c>
      <c r="R20" s="44"/>
      <c r="S20" s="44"/>
      <c r="T20" s="44"/>
      <c r="U20" s="44"/>
    </row>
    <row r="21" spans="1:21" s="12" customFormat="1" x14ac:dyDescent="0.25">
      <c r="A21" s="62" t="s">
        <v>603</v>
      </c>
      <c r="B21" s="4" t="s">
        <v>4</v>
      </c>
      <c r="C21" s="4" t="s">
        <v>4</v>
      </c>
      <c r="D21" s="4" t="s">
        <v>4</v>
      </c>
      <c r="E21" s="4" t="s">
        <v>4</v>
      </c>
      <c r="F21" s="4" t="s">
        <v>4</v>
      </c>
      <c r="G21" s="4" t="s">
        <v>4</v>
      </c>
      <c r="H21" s="4" t="s">
        <v>4</v>
      </c>
      <c r="I21" s="4" t="s">
        <v>4</v>
      </c>
      <c r="J21" s="4" t="s">
        <v>4</v>
      </c>
      <c r="K21" s="4" t="s">
        <v>4</v>
      </c>
      <c r="L21" s="4" t="s">
        <v>4</v>
      </c>
      <c r="M21" s="4" t="s">
        <v>4</v>
      </c>
      <c r="N21" s="4" t="s">
        <v>4</v>
      </c>
      <c r="O21" s="4" t="s">
        <v>4</v>
      </c>
      <c r="P21" s="4" t="s">
        <v>4</v>
      </c>
      <c r="Q21" s="4" t="s">
        <v>4</v>
      </c>
      <c r="R21" s="44"/>
      <c r="S21" s="44"/>
      <c r="T21" s="44"/>
      <c r="U21" s="44"/>
    </row>
    <row r="22" spans="1:21" s="12" customFormat="1" x14ac:dyDescent="0.25">
      <c r="A22" s="62" t="s">
        <v>604</v>
      </c>
      <c r="B22" s="4" t="s">
        <v>4</v>
      </c>
      <c r="C22" s="4" t="s">
        <v>4</v>
      </c>
      <c r="D22" s="4" t="s">
        <v>4</v>
      </c>
      <c r="E22" s="4" t="s">
        <v>4</v>
      </c>
      <c r="F22" s="4" t="s">
        <v>4</v>
      </c>
      <c r="G22" s="4" t="s">
        <v>4</v>
      </c>
      <c r="H22" s="4" t="s">
        <v>4</v>
      </c>
      <c r="I22" s="4" t="s">
        <v>4</v>
      </c>
      <c r="J22" s="4" t="s">
        <v>4</v>
      </c>
      <c r="K22" s="4" t="s">
        <v>4</v>
      </c>
      <c r="L22" s="4" t="s">
        <v>4</v>
      </c>
      <c r="M22" s="4" t="s">
        <v>4</v>
      </c>
      <c r="N22" s="4" t="s">
        <v>4</v>
      </c>
      <c r="O22" s="4" t="s">
        <v>4</v>
      </c>
      <c r="P22" s="4" t="s">
        <v>4</v>
      </c>
      <c r="Q22" s="4" t="s">
        <v>4</v>
      </c>
      <c r="R22" s="44"/>
      <c r="S22" s="44"/>
      <c r="T22" s="44"/>
      <c r="U22" s="44"/>
    </row>
    <row r="23" spans="1:21" s="12" customFormat="1" x14ac:dyDescent="0.25">
      <c r="A23" s="62" t="s">
        <v>605</v>
      </c>
      <c r="B23" s="4" t="s">
        <v>4</v>
      </c>
      <c r="C23" s="4" t="s">
        <v>4</v>
      </c>
      <c r="D23" s="4" t="s">
        <v>4</v>
      </c>
      <c r="E23" s="4" t="s">
        <v>4</v>
      </c>
      <c r="F23" s="4" t="s">
        <v>4</v>
      </c>
      <c r="G23" s="4" t="s">
        <v>4</v>
      </c>
      <c r="H23" s="4" t="s">
        <v>4</v>
      </c>
      <c r="I23" s="4" t="s">
        <v>4</v>
      </c>
      <c r="J23" s="4" t="s">
        <v>4</v>
      </c>
      <c r="K23" s="4" t="s">
        <v>4</v>
      </c>
      <c r="L23" s="4" t="s">
        <v>4</v>
      </c>
      <c r="M23" s="4" t="s">
        <v>4</v>
      </c>
      <c r="N23" s="4" t="s">
        <v>4</v>
      </c>
      <c r="O23" s="4" t="s">
        <v>4</v>
      </c>
      <c r="P23" s="4" t="s">
        <v>4</v>
      </c>
      <c r="Q23" s="4" t="s">
        <v>4</v>
      </c>
      <c r="R23" s="44"/>
      <c r="S23" s="44"/>
      <c r="T23" s="44"/>
      <c r="U23" s="44"/>
    </row>
    <row r="24" spans="1:21" s="12" customFormat="1" x14ac:dyDescent="0.25">
      <c r="A24" s="62" t="s">
        <v>606</v>
      </c>
      <c r="B24" s="4" t="s">
        <v>4</v>
      </c>
      <c r="C24" s="4" t="s">
        <v>4</v>
      </c>
      <c r="D24" s="4" t="s">
        <v>4</v>
      </c>
      <c r="E24" s="4" t="s">
        <v>4</v>
      </c>
      <c r="F24" s="4" t="s">
        <v>4</v>
      </c>
      <c r="G24" s="4" t="s">
        <v>4</v>
      </c>
      <c r="H24" s="4" t="s">
        <v>4</v>
      </c>
      <c r="I24" s="4" t="s">
        <v>4</v>
      </c>
      <c r="J24" s="4" t="s">
        <v>4</v>
      </c>
      <c r="K24" s="4" t="s">
        <v>4</v>
      </c>
      <c r="L24" s="4" t="s">
        <v>4</v>
      </c>
      <c r="M24" s="4" t="s">
        <v>4</v>
      </c>
      <c r="N24" s="4" t="s">
        <v>4</v>
      </c>
      <c r="O24" s="4" t="s">
        <v>4</v>
      </c>
      <c r="P24" s="4" t="s">
        <v>4</v>
      </c>
      <c r="Q24" s="4" t="s">
        <v>4</v>
      </c>
      <c r="R24" s="44"/>
      <c r="S24" s="44"/>
      <c r="T24" s="44"/>
      <c r="U24" s="44"/>
    </row>
    <row r="25" spans="1:21" s="12" customFormat="1" x14ac:dyDescent="0.25">
      <c r="A25" s="62" t="s">
        <v>607</v>
      </c>
      <c r="B25" s="4" t="s">
        <v>4</v>
      </c>
      <c r="C25" s="4" t="s">
        <v>4</v>
      </c>
      <c r="D25" s="4" t="s">
        <v>4</v>
      </c>
      <c r="E25" s="4" t="s">
        <v>4</v>
      </c>
      <c r="F25" s="4" t="s">
        <v>4</v>
      </c>
      <c r="G25" s="4" t="s">
        <v>4</v>
      </c>
      <c r="H25" s="4" t="s">
        <v>4</v>
      </c>
      <c r="I25" s="4" t="s">
        <v>4</v>
      </c>
      <c r="J25" s="4" t="s">
        <v>4</v>
      </c>
      <c r="K25" s="4" t="s">
        <v>4</v>
      </c>
      <c r="L25" s="4" t="s">
        <v>4</v>
      </c>
      <c r="M25" s="4" t="s">
        <v>4</v>
      </c>
      <c r="N25" s="4" t="s">
        <v>4</v>
      </c>
      <c r="O25" s="4" t="s">
        <v>4</v>
      </c>
      <c r="P25" s="4" t="s">
        <v>4</v>
      </c>
      <c r="Q25" s="4" t="s">
        <v>4</v>
      </c>
      <c r="R25" s="44"/>
      <c r="S25" s="44"/>
      <c r="T25" s="44"/>
      <c r="U25" s="44"/>
    </row>
    <row r="26" spans="1:21" s="12" customFormat="1" x14ac:dyDescent="0.25">
      <c r="A26" s="62" t="s">
        <v>608</v>
      </c>
      <c r="B26" s="4" t="s">
        <v>4</v>
      </c>
      <c r="C26" s="4" t="s">
        <v>4</v>
      </c>
      <c r="D26" s="4" t="s">
        <v>4</v>
      </c>
      <c r="E26" s="4" t="s">
        <v>4</v>
      </c>
      <c r="F26" s="4" t="s">
        <v>4</v>
      </c>
      <c r="G26" s="4" t="s">
        <v>4</v>
      </c>
      <c r="H26" s="4" t="s">
        <v>4</v>
      </c>
      <c r="I26" s="4" t="s">
        <v>4</v>
      </c>
      <c r="J26" s="4" t="s">
        <v>4</v>
      </c>
      <c r="K26" s="4" t="s">
        <v>4</v>
      </c>
      <c r="L26" s="4" t="s">
        <v>4</v>
      </c>
      <c r="M26" s="4" t="s">
        <v>4</v>
      </c>
      <c r="N26" s="4" t="s">
        <v>4</v>
      </c>
      <c r="O26" s="4" t="s">
        <v>4</v>
      </c>
      <c r="P26" s="4" t="s">
        <v>4</v>
      </c>
      <c r="Q26" s="4" t="s">
        <v>4</v>
      </c>
      <c r="R26" s="44"/>
      <c r="S26" s="44"/>
      <c r="T26" s="44"/>
      <c r="U26" s="44"/>
    </row>
    <row r="27" spans="1:21" s="12" customFormat="1" x14ac:dyDescent="0.25">
      <c r="A27" s="62" t="s">
        <v>609</v>
      </c>
      <c r="B27" s="4" t="s">
        <v>4</v>
      </c>
      <c r="C27" s="4" t="s">
        <v>4</v>
      </c>
      <c r="D27" s="4" t="s">
        <v>4</v>
      </c>
      <c r="E27" s="4" t="s">
        <v>4</v>
      </c>
      <c r="F27" s="4" t="s">
        <v>4</v>
      </c>
      <c r="G27" s="4" t="s">
        <v>4</v>
      </c>
      <c r="H27" s="4" t="s">
        <v>4</v>
      </c>
      <c r="I27" s="4" t="s">
        <v>4</v>
      </c>
      <c r="J27" s="4" t="s">
        <v>4</v>
      </c>
      <c r="K27" s="4" t="s">
        <v>4</v>
      </c>
      <c r="L27" s="4" t="s">
        <v>4</v>
      </c>
      <c r="M27" s="4" t="s">
        <v>4</v>
      </c>
      <c r="N27" s="4" t="s">
        <v>4</v>
      </c>
      <c r="O27" s="4" t="s">
        <v>4</v>
      </c>
      <c r="P27" s="4" t="s">
        <v>4</v>
      </c>
      <c r="Q27" s="4" t="s">
        <v>4</v>
      </c>
      <c r="R27" s="44"/>
      <c r="S27" s="44"/>
      <c r="T27" s="44"/>
      <c r="U27" s="44"/>
    </row>
    <row r="28" spans="1:21" s="12" customFormat="1" x14ac:dyDescent="0.25">
      <c r="A28" s="62" t="s">
        <v>610</v>
      </c>
      <c r="B28" s="4" t="s">
        <v>4</v>
      </c>
      <c r="C28" s="4" t="s">
        <v>4</v>
      </c>
      <c r="D28" s="4" t="s">
        <v>4</v>
      </c>
      <c r="E28" s="4" t="s">
        <v>4</v>
      </c>
      <c r="F28" s="4" t="s">
        <v>4</v>
      </c>
      <c r="G28" s="4" t="s">
        <v>4</v>
      </c>
      <c r="H28" s="4" t="s">
        <v>4</v>
      </c>
      <c r="I28" s="4" t="s">
        <v>4</v>
      </c>
      <c r="J28" s="4" t="s">
        <v>4</v>
      </c>
      <c r="K28" s="4" t="s">
        <v>4</v>
      </c>
      <c r="L28" s="4" t="s">
        <v>4</v>
      </c>
      <c r="M28" s="4" t="s">
        <v>4</v>
      </c>
      <c r="N28" s="4" t="s">
        <v>4</v>
      </c>
      <c r="O28" s="4" t="s">
        <v>4</v>
      </c>
      <c r="P28" s="4" t="s">
        <v>4</v>
      </c>
      <c r="Q28" s="4" t="s">
        <v>4</v>
      </c>
      <c r="R28" s="44"/>
      <c r="S28" s="44"/>
      <c r="T28" s="44"/>
      <c r="U28" s="44"/>
    </row>
    <row r="29" spans="1:21" s="12" customFormat="1" x14ac:dyDescent="0.25">
      <c r="A29" s="62" t="s">
        <v>611</v>
      </c>
      <c r="B29" s="4" t="s">
        <v>4</v>
      </c>
      <c r="C29" s="4" t="s">
        <v>4</v>
      </c>
      <c r="D29" s="4" t="s">
        <v>4</v>
      </c>
      <c r="E29" s="4" t="s">
        <v>4</v>
      </c>
      <c r="F29" s="4" t="s">
        <v>4</v>
      </c>
      <c r="G29" s="4" t="s">
        <v>4</v>
      </c>
      <c r="H29" s="4" t="s">
        <v>4</v>
      </c>
      <c r="I29" s="4" t="s">
        <v>4</v>
      </c>
      <c r="J29" s="4" t="s">
        <v>4</v>
      </c>
      <c r="K29" s="4" t="s">
        <v>4</v>
      </c>
      <c r="L29" s="4" t="s">
        <v>4</v>
      </c>
      <c r="M29" s="4" t="s">
        <v>4</v>
      </c>
      <c r="N29" s="4" t="s">
        <v>4</v>
      </c>
      <c r="O29" s="4" t="s">
        <v>4</v>
      </c>
      <c r="P29" s="4" t="s">
        <v>4</v>
      </c>
      <c r="Q29" s="4" t="s">
        <v>4</v>
      </c>
      <c r="R29" s="44"/>
      <c r="S29" s="44"/>
      <c r="T29" s="44"/>
      <c r="U29" s="44"/>
    </row>
    <row r="30" spans="1:21" s="12" customFormat="1" x14ac:dyDescent="0.25">
      <c r="A30" s="62" t="s">
        <v>612</v>
      </c>
      <c r="B30" s="4" t="s">
        <v>4</v>
      </c>
      <c r="C30" s="4" t="s">
        <v>4</v>
      </c>
      <c r="D30" s="4" t="s">
        <v>4</v>
      </c>
      <c r="E30" s="4" t="s">
        <v>4</v>
      </c>
      <c r="F30" s="4" t="s">
        <v>4</v>
      </c>
      <c r="G30" s="4" t="s">
        <v>4</v>
      </c>
      <c r="H30" s="4" t="s">
        <v>4</v>
      </c>
      <c r="I30" s="4" t="s">
        <v>4</v>
      </c>
      <c r="J30" s="4" t="s">
        <v>4</v>
      </c>
      <c r="K30" s="4" t="s">
        <v>4</v>
      </c>
      <c r="L30" s="4" t="s">
        <v>4</v>
      </c>
      <c r="M30" s="4" t="s">
        <v>4</v>
      </c>
      <c r="N30" s="4" t="s">
        <v>4</v>
      </c>
      <c r="O30" s="4" t="s">
        <v>4</v>
      </c>
      <c r="P30" s="4" t="s">
        <v>4</v>
      </c>
      <c r="Q30" s="4" t="s">
        <v>4</v>
      </c>
      <c r="R30" s="44"/>
      <c r="S30" s="44"/>
      <c r="T30" s="44"/>
      <c r="U30" s="44"/>
    </row>
    <row r="31" spans="1:21" s="12" customFormat="1" x14ac:dyDescent="0.25">
      <c r="A31" s="62" t="s">
        <v>613</v>
      </c>
      <c r="B31" s="4" t="s">
        <v>4</v>
      </c>
      <c r="C31" s="4" t="s">
        <v>4</v>
      </c>
      <c r="D31" s="4" t="s">
        <v>4</v>
      </c>
      <c r="E31" s="4" t="s">
        <v>4</v>
      </c>
      <c r="F31" s="4" t="s">
        <v>4</v>
      </c>
      <c r="G31" s="4" t="s">
        <v>4</v>
      </c>
      <c r="H31" s="4" t="s">
        <v>4</v>
      </c>
      <c r="I31" s="4" t="s">
        <v>4</v>
      </c>
      <c r="J31" s="4" t="s">
        <v>4</v>
      </c>
      <c r="K31" s="4" t="s">
        <v>4</v>
      </c>
      <c r="L31" s="4" t="s">
        <v>4</v>
      </c>
      <c r="M31" s="4" t="s">
        <v>4</v>
      </c>
      <c r="N31" s="4" t="s">
        <v>4</v>
      </c>
      <c r="O31" s="4" t="s">
        <v>4</v>
      </c>
      <c r="P31" s="4" t="s">
        <v>4</v>
      </c>
      <c r="Q31" s="4" t="s">
        <v>4</v>
      </c>
      <c r="R31" s="44"/>
      <c r="S31" s="44"/>
      <c r="T31" s="44"/>
      <c r="U31" s="44"/>
    </row>
    <row r="32" spans="1:21" s="12" customFormat="1" x14ac:dyDescent="0.25">
      <c r="A32" s="62" t="s">
        <v>614</v>
      </c>
      <c r="B32" s="4" t="s">
        <v>4</v>
      </c>
      <c r="C32" s="4" t="s">
        <v>4</v>
      </c>
      <c r="D32" s="4" t="s">
        <v>4</v>
      </c>
      <c r="E32" s="4" t="s">
        <v>4</v>
      </c>
      <c r="F32" s="4" t="s">
        <v>4</v>
      </c>
      <c r="G32" s="4" t="s">
        <v>4</v>
      </c>
      <c r="H32" s="4" t="s">
        <v>4</v>
      </c>
      <c r="I32" s="4" t="s">
        <v>4</v>
      </c>
      <c r="J32" s="4" t="s">
        <v>4</v>
      </c>
      <c r="K32" s="4" t="s">
        <v>4</v>
      </c>
      <c r="L32" s="4" t="s">
        <v>4</v>
      </c>
      <c r="M32" s="4" t="s">
        <v>4</v>
      </c>
      <c r="N32" s="4" t="s">
        <v>4</v>
      </c>
      <c r="O32" s="4" t="s">
        <v>4</v>
      </c>
      <c r="P32" s="4" t="s">
        <v>4</v>
      </c>
      <c r="Q32" s="4" t="s">
        <v>4</v>
      </c>
      <c r="R32" s="44"/>
      <c r="S32" s="44"/>
      <c r="T32" s="44"/>
      <c r="U32" s="44"/>
    </row>
    <row r="33" spans="1:21" s="22" customFormat="1" x14ac:dyDescent="0.25">
      <c r="A33" s="27"/>
      <c r="B33" s="21"/>
      <c r="C33" s="21"/>
      <c r="D33" s="21"/>
      <c r="E33" s="21"/>
      <c r="F33" s="21"/>
      <c r="G33" s="27"/>
      <c r="H33" s="27"/>
      <c r="I33" s="27"/>
      <c r="J33" s="21"/>
      <c r="K33" s="21"/>
      <c r="L33" s="27"/>
      <c r="M33" s="27"/>
      <c r="N33" s="27"/>
      <c r="O33" s="27"/>
      <c r="P33" s="27"/>
      <c r="Q33" s="21"/>
      <c r="R33" s="21"/>
      <c r="S33" s="21"/>
      <c r="T33" s="21"/>
      <c r="U33" s="21"/>
    </row>
    <row r="34" spans="1:21" s="22" customFormat="1" x14ac:dyDescent="0.25">
      <c r="A34" s="28" t="s">
        <v>30</v>
      </c>
      <c r="B34" s="29">
        <f t="shared" ref="B34:Q34" si="0">MIN(B9:B32)</f>
        <v>0</v>
      </c>
      <c r="C34" s="29">
        <f t="shared" si="0"/>
        <v>0</v>
      </c>
      <c r="D34" s="29">
        <f t="shared" si="0"/>
        <v>0</v>
      </c>
      <c r="E34" s="29">
        <f t="shared" si="0"/>
        <v>0</v>
      </c>
      <c r="F34" s="29">
        <f t="shared" si="0"/>
        <v>0</v>
      </c>
      <c r="G34" s="29">
        <f t="shared" si="0"/>
        <v>0</v>
      </c>
      <c r="H34" s="29">
        <f t="shared" si="0"/>
        <v>0</v>
      </c>
      <c r="I34" s="29">
        <f t="shared" si="0"/>
        <v>0</v>
      </c>
      <c r="J34" s="29">
        <f t="shared" si="0"/>
        <v>0</v>
      </c>
      <c r="K34" s="29">
        <f t="shared" si="0"/>
        <v>0</v>
      </c>
      <c r="L34" s="29">
        <f t="shared" si="0"/>
        <v>0</v>
      </c>
      <c r="M34" s="29">
        <f t="shared" si="0"/>
        <v>0</v>
      </c>
      <c r="N34" s="29">
        <f t="shared" si="0"/>
        <v>0</v>
      </c>
      <c r="O34" s="29">
        <f t="shared" si="0"/>
        <v>0</v>
      </c>
      <c r="P34" s="29">
        <f t="shared" si="0"/>
        <v>0</v>
      </c>
      <c r="Q34" s="29">
        <f t="shared" si="0"/>
        <v>0</v>
      </c>
      <c r="R34" s="29"/>
      <c r="S34" s="29"/>
      <c r="T34" s="29"/>
      <c r="U34" s="29"/>
    </row>
    <row r="35" spans="1:21" s="22" customFormat="1" x14ac:dyDescent="0.25">
      <c r="A35" s="28" t="s">
        <v>31</v>
      </c>
      <c r="B35" s="30">
        <f t="shared" ref="B35:Q35" si="1">MAX(B9:B32)</f>
        <v>0</v>
      </c>
      <c r="C35" s="30">
        <f t="shared" si="1"/>
        <v>0</v>
      </c>
      <c r="D35" s="30">
        <f t="shared" si="1"/>
        <v>0</v>
      </c>
      <c r="E35" s="30">
        <f t="shared" si="1"/>
        <v>0</v>
      </c>
      <c r="F35" s="30">
        <f t="shared" si="1"/>
        <v>0</v>
      </c>
      <c r="G35" s="30">
        <f t="shared" si="1"/>
        <v>0</v>
      </c>
      <c r="H35" s="30">
        <f t="shared" si="1"/>
        <v>0</v>
      </c>
      <c r="I35" s="30">
        <f t="shared" si="1"/>
        <v>0</v>
      </c>
      <c r="J35" s="30">
        <f t="shared" si="1"/>
        <v>0</v>
      </c>
      <c r="K35" s="30">
        <f t="shared" si="1"/>
        <v>0</v>
      </c>
      <c r="L35" s="30">
        <f t="shared" si="1"/>
        <v>0</v>
      </c>
      <c r="M35" s="30">
        <f t="shared" si="1"/>
        <v>0</v>
      </c>
      <c r="N35" s="30">
        <f t="shared" si="1"/>
        <v>0</v>
      </c>
      <c r="O35" s="30">
        <f t="shared" si="1"/>
        <v>0</v>
      </c>
      <c r="P35" s="30">
        <f t="shared" si="1"/>
        <v>0</v>
      </c>
      <c r="Q35" s="30">
        <f t="shared" si="1"/>
        <v>0</v>
      </c>
      <c r="R35" s="30"/>
      <c r="S35" s="30"/>
      <c r="T35" s="30"/>
      <c r="U35" s="30"/>
    </row>
    <row r="36" spans="1:21" s="22" customFormat="1" x14ac:dyDescent="0.25">
      <c r="A36" s="28" t="s">
        <v>32</v>
      </c>
      <c r="B36" s="29" t="e">
        <f t="shared" ref="B36:Q36" si="2">AVERAGE(B9:B32)</f>
        <v>#DIV/0!</v>
      </c>
      <c r="C36" s="29" t="e">
        <f t="shared" si="2"/>
        <v>#DIV/0!</v>
      </c>
      <c r="D36" s="29" t="e">
        <f t="shared" si="2"/>
        <v>#DIV/0!</v>
      </c>
      <c r="E36" s="29" t="e">
        <f t="shared" si="2"/>
        <v>#DIV/0!</v>
      </c>
      <c r="F36" s="29" t="e">
        <f t="shared" si="2"/>
        <v>#DIV/0!</v>
      </c>
      <c r="G36" s="29" t="e">
        <f t="shared" si="2"/>
        <v>#DIV/0!</v>
      </c>
      <c r="H36" s="29" t="e">
        <f t="shared" si="2"/>
        <v>#DIV/0!</v>
      </c>
      <c r="I36" s="29" t="e">
        <f t="shared" si="2"/>
        <v>#DIV/0!</v>
      </c>
      <c r="J36" s="29" t="e">
        <f t="shared" si="2"/>
        <v>#DIV/0!</v>
      </c>
      <c r="K36" s="29" t="e">
        <f t="shared" si="2"/>
        <v>#DIV/0!</v>
      </c>
      <c r="L36" s="29" t="e">
        <f t="shared" si="2"/>
        <v>#DIV/0!</v>
      </c>
      <c r="M36" s="29" t="e">
        <f t="shared" si="2"/>
        <v>#DIV/0!</v>
      </c>
      <c r="N36" s="29" t="e">
        <f t="shared" si="2"/>
        <v>#DIV/0!</v>
      </c>
      <c r="O36" s="29" t="e">
        <f t="shared" si="2"/>
        <v>#DIV/0!</v>
      </c>
      <c r="P36" s="29" t="e">
        <f t="shared" si="2"/>
        <v>#DIV/0!</v>
      </c>
      <c r="Q36" s="29" t="e">
        <f t="shared" si="2"/>
        <v>#DIV/0!</v>
      </c>
      <c r="R36" s="29"/>
      <c r="S36" s="29"/>
      <c r="T36" s="29"/>
      <c r="U36" s="29"/>
    </row>
    <row r="37" spans="1:21" s="22" customFormat="1" x14ac:dyDescent="0.25">
      <c r="A37" s="28" t="s">
        <v>38</v>
      </c>
      <c r="B37" s="29" t="e">
        <f>STDEV(B9:B32)</f>
        <v>#DIV/0!</v>
      </c>
      <c r="C37" s="29" t="e">
        <f t="shared" ref="C37:Q37" si="3">STDEV(C9:C32)</f>
        <v>#DIV/0!</v>
      </c>
      <c r="D37" s="29" t="e">
        <f t="shared" si="3"/>
        <v>#DIV/0!</v>
      </c>
      <c r="E37" s="29" t="e">
        <f t="shared" si="3"/>
        <v>#DIV/0!</v>
      </c>
      <c r="F37" s="29" t="e">
        <f t="shared" si="3"/>
        <v>#DIV/0!</v>
      </c>
      <c r="G37" s="29" t="e">
        <f t="shared" si="3"/>
        <v>#DIV/0!</v>
      </c>
      <c r="H37" s="29" t="e">
        <f t="shared" si="3"/>
        <v>#DIV/0!</v>
      </c>
      <c r="I37" s="29" t="e">
        <f t="shared" si="3"/>
        <v>#DIV/0!</v>
      </c>
      <c r="J37" s="29" t="e">
        <f t="shared" si="3"/>
        <v>#DIV/0!</v>
      </c>
      <c r="K37" s="29" t="e">
        <f t="shared" si="3"/>
        <v>#DIV/0!</v>
      </c>
      <c r="L37" s="29" t="e">
        <f t="shared" si="3"/>
        <v>#DIV/0!</v>
      </c>
      <c r="M37" s="29" t="e">
        <f t="shared" si="3"/>
        <v>#DIV/0!</v>
      </c>
      <c r="N37" s="29" t="e">
        <f t="shared" si="3"/>
        <v>#DIV/0!</v>
      </c>
      <c r="O37" s="29" t="e">
        <f t="shared" si="3"/>
        <v>#DIV/0!</v>
      </c>
      <c r="P37" s="29" t="e">
        <f t="shared" si="3"/>
        <v>#DIV/0!</v>
      </c>
      <c r="Q37" s="29" t="e">
        <f t="shared" si="3"/>
        <v>#DIV/0!</v>
      </c>
      <c r="R37" s="29"/>
      <c r="S37" s="29"/>
      <c r="T37" s="29"/>
      <c r="U37" s="29"/>
    </row>
    <row r="38" spans="1:21" s="22" customFormat="1" x14ac:dyDescent="0.25">
      <c r="A38" s="32" t="s">
        <v>33</v>
      </c>
      <c r="B38" s="33">
        <f>COUNT(B9:B32)+24</f>
        <v>24</v>
      </c>
      <c r="C38" s="33">
        <f t="shared" ref="C38:P38" si="4">COUNT(C9:C32)+24</f>
        <v>24</v>
      </c>
      <c r="D38" s="33">
        <f t="shared" si="4"/>
        <v>24</v>
      </c>
      <c r="E38" s="33">
        <f t="shared" si="4"/>
        <v>24</v>
      </c>
      <c r="F38" s="33">
        <f t="shared" si="4"/>
        <v>24</v>
      </c>
      <c r="G38" s="33">
        <f t="shared" si="4"/>
        <v>24</v>
      </c>
      <c r="H38" s="33">
        <f t="shared" si="4"/>
        <v>24</v>
      </c>
      <c r="I38" s="33">
        <f t="shared" si="4"/>
        <v>24</v>
      </c>
      <c r="J38" s="33">
        <f t="shared" si="4"/>
        <v>24</v>
      </c>
      <c r="K38" s="33">
        <f t="shared" si="4"/>
        <v>24</v>
      </c>
      <c r="L38" s="33">
        <f t="shared" si="4"/>
        <v>24</v>
      </c>
      <c r="M38" s="33">
        <f t="shared" si="4"/>
        <v>24</v>
      </c>
      <c r="N38" s="33">
        <f t="shared" si="4"/>
        <v>24</v>
      </c>
      <c r="O38" s="33">
        <f t="shared" si="4"/>
        <v>24</v>
      </c>
      <c r="P38" s="33">
        <f t="shared" si="4"/>
        <v>24</v>
      </c>
      <c r="Q38" s="33">
        <f>COUNT(Q9:Q32)+24</f>
        <v>24</v>
      </c>
      <c r="R38" s="33"/>
      <c r="S38" s="33"/>
      <c r="T38" s="33"/>
      <c r="U38" s="33"/>
    </row>
    <row r="39" spans="1:21" s="22" customFormat="1" x14ac:dyDescent="0.25">
      <c r="A39" s="28" t="s">
        <v>34</v>
      </c>
      <c r="B39" s="30" t="str">
        <f>IF(B38&gt;=22,"&gt;90%",IF(B38&lt;=22,"&lt;90%"))</f>
        <v>&gt;90%</v>
      </c>
      <c r="C39" s="30" t="str">
        <f t="shared" ref="C39:P39" si="5">IF(C38&gt;=22,"&gt;90%",IF(C38&lt;=22,"&lt;90%"))</f>
        <v>&gt;90%</v>
      </c>
      <c r="D39" s="30" t="str">
        <f t="shared" si="5"/>
        <v>&gt;90%</v>
      </c>
      <c r="E39" s="30" t="str">
        <f t="shared" si="5"/>
        <v>&gt;90%</v>
      </c>
      <c r="F39" s="30" t="str">
        <f t="shared" si="5"/>
        <v>&gt;90%</v>
      </c>
      <c r="G39" s="30" t="str">
        <f t="shared" si="5"/>
        <v>&gt;90%</v>
      </c>
      <c r="H39" s="30" t="str">
        <f t="shared" si="5"/>
        <v>&gt;90%</v>
      </c>
      <c r="I39" s="30" t="str">
        <f t="shared" si="5"/>
        <v>&gt;90%</v>
      </c>
      <c r="J39" s="30" t="str">
        <f t="shared" si="5"/>
        <v>&gt;90%</v>
      </c>
      <c r="K39" s="30" t="str">
        <f t="shared" si="5"/>
        <v>&gt;90%</v>
      </c>
      <c r="L39" s="30" t="str">
        <f t="shared" si="5"/>
        <v>&gt;90%</v>
      </c>
      <c r="M39" s="30" t="str">
        <f t="shared" si="5"/>
        <v>&gt;90%</v>
      </c>
      <c r="N39" s="30" t="str">
        <f t="shared" si="5"/>
        <v>&gt;90%</v>
      </c>
      <c r="O39" s="30" t="str">
        <f t="shared" si="5"/>
        <v>&gt;90%</v>
      </c>
      <c r="P39" s="30" t="str">
        <f t="shared" si="5"/>
        <v>&gt;90%</v>
      </c>
      <c r="Q39" s="30" t="str">
        <f>IF(Q38&gt;=22,"&gt;90%",IF(Q38&lt;=22,"&lt;90%"))</f>
        <v>&gt;90%</v>
      </c>
      <c r="R39" s="30"/>
      <c r="S39" s="30"/>
      <c r="T39" s="30"/>
      <c r="U39" s="30"/>
    </row>
    <row r="40" spans="1:21" s="22" customFormat="1" x14ac:dyDescent="0.25">
      <c r="A40" s="28" t="s">
        <v>1</v>
      </c>
      <c r="B40" s="30" t="str">
        <f>IF(B38&gt;=22,"OK",IF(B38&lt;=22,"LESS"))</f>
        <v>OK</v>
      </c>
      <c r="C40" s="30" t="str">
        <f t="shared" ref="C40:Q40" si="6">IF(C38&gt;=22,"OK",IF(C38&lt;=22,"LESS"))</f>
        <v>OK</v>
      </c>
      <c r="D40" s="30" t="str">
        <f t="shared" si="6"/>
        <v>OK</v>
      </c>
      <c r="E40" s="30" t="str">
        <f t="shared" si="6"/>
        <v>OK</v>
      </c>
      <c r="F40" s="30" t="str">
        <f t="shared" si="6"/>
        <v>OK</v>
      </c>
      <c r="G40" s="30" t="str">
        <f t="shared" si="6"/>
        <v>OK</v>
      </c>
      <c r="H40" s="30" t="str">
        <f t="shared" si="6"/>
        <v>OK</v>
      </c>
      <c r="I40" s="30" t="str">
        <f t="shared" si="6"/>
        <v>OK</v>
      </c>
      <c r="J40" s="30" t="str">
        <f t="shared" si="6"/>
        <v>OK</v>
      </c>
      <c r="K40" s="30" t="str">
        <f t="shared" si="6"/>
        <v>OK</v>
      </c>
      <c r="L40" s="30" t="str">
        <f t="shared" si="6"/>
        <v>OK</v>
      </c>
      <c r="M40" s="30" t="str">
        <f t="shared" si="6"/>
        <v>OK</v>
      </c>
      <c r="N40" s="30" t="str">
        <f t="shared" si="6"/>
        <v>OK</v>
      </c>
      <c r="O40" s="30" t="str">
        <f t="shared" si="6"/>
        <v>OK</v>
      </c>
      <c r="P40" s="30" t="str">
        <f t="shared" si="6"/>
        <v>OK</v>
      </c>
      <c r="Q40" s="30" t="str">
        <f t="shared" si="6"/>
        <v>OK</v>
      </c>
      <c r="R40" s="30"/>
      <c r="S40" s="30"/>
      <c r="T40" s="30"/>
      <c r="U40" s="30"/>
    </row>
    <row r="41" spans="1:21" s="22" customFormat="1" x14ac:dyDescent="0.25">
      <c r="A41" s="14"/>
      <c r="L41" s="14"/>
      <c r="N41" s="17"/>
      <c r="O41" s="17"/>
      <c r="P41" s="17"/>
      <c r="Q41" s="17"/>
      <c r="R41" s="17"/>
      <c r="S41" s="17"/>
      <c r="T41" s="17"/>
      <c r="U41" s="17"/>
    </row>
    <row r="42" spans="1:21" s="22" customFormat="1" x14ac:dyDescent="0.25">
      <c r="A42" s="14"/>
    </row>
    <row r="43" spans="1:21" s="22" customFormat="1" x14ac:dyDescent="0.25">
      <c r="A43" s="15" t="s">
        <v>35</v>
      </c>
      <c r="B43" s="41" t="s">
        <v>61</v>
      </c>
      <c r="C43" s="43"/>
    </row>
    <row r="44" spans="1:21" s="22" customFormat="1" x14ac:dyDescent="0.25">
      <c r="A44" s="14"/>
      <c r="D44" s="2"/>
      <c r="E44" s="2"/>
      <c r="F44" s="2"/>
      <c r="G44" s="2"/>
      <c r="H44" s="2"/>
      <c r="I44" s="2"/>
    </row>
    <row r="45" spans="1:21" s="22" customFormat="1" ht="15.75" x14ac:dyDescent="0.25">
      <c r="A45" s="18" t="s">
        <v>36</v>
      </c>
      <c r="B45" s="42" t="s">
        <v>518</v>
      </c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</row>
    <row r="46" spans="1:21" s="22" customFormat="1" x14ac:dyDescent="0.25"/>
    <row r="47" spans="1:21" s="22" customFormat="1" x14ac:dyDescent="0.25"/>
    <row r="48" spans="1:21" s="22" customFormat="1" x14ac:dyDescent="0.25"/>
    <row r="49" s="22" customFormat="1" x14ac:dyDescent="0.25"/>
    <row r="50" s="22" customFormat="1" x14ac:dyDescent="0.25"/>
    <row r="51" s="22" customFormat="1" x14ac:dyDescent="0.25"/>
    <row r="52" s="22" customFormat="1" x14ac:dyDescent="0.25"/>
    <row r="53" s="22" customFormat="1" x14ac:dyDescent="0.25"/>
    <row r="54" s="22" customFormat="1" x14ac:dyDescent="0.25"/>
    <row r="55" s="22" customFormat="1" x14ac:dyDescent="0.25"/>
    <row r="56" s="22" customFormat="1" x14ac:dyDescent="0.25"/>
    <row r="57" s="22" customFormat="1" x14ac:dyDescent="0.25"/>
    <row r="58" s="22" customFormat="1" x14ac:dyDescent="0.25"/>
    <row r="59" s="22" customFormat="1" x14ac:dyDescent="0.25"/>
    <row r="60" s="22" customFormat="1" x14ac:dyDescent="0.25"/>
    <row r="61" s="22" customFormat="1" x14ac:dyDescent="0.25"/>
    <row r="62" s="22" customFormat="1" x14ac:dyDescent="0.25"/>
    <row r="63" s="22" customFormat="1" x14ac:dyDescent="0.25"/>
    <row r="64" s="22" customFormat="1" x14ac:dyDescent="0.25"/>
    <row r="65" s="22" customFormat="1" x14ac:dyDescent="0.25"/>
    <row r="66" s="22" customFormat="1" x14ac:dyDescent="0.25"/>
    <row r="67" s="22" customFormat="1" x14ac:dyDescent="0.25"/>
    <row r="68" s="22" customFormat="1" x14ac:dyDescent="0.25"/>
    <row r="69" s="22" customFormat="1" x14ac:dyDescent="0.25"/>
    <row r="70" s="22" customFormat="1" x14ac:dyDescent="0.25"/>
    <row r="71" s="22" customFormat="1" x14ac:dyDescent="0.25"/>
    <row r="72" s="22" customFormat="1" x14ac:dyDescent="0.25"/>
    <row r="73" s="22" customFormat="1" x14ac:dyDescent="0.25"/>
    <row r="74" s="22" customFormat="1" x14ac:dyDescent="0.25"/>
    <row r="75" s="22" customFormat="1" x14ac:dyDescent="0.25"/>
    <row r="76" s="22" customFormat="1" x14ac:dyDescent="0.25"/>
    <row r="77" s="22" customFormat="1" x14ac:dyDescent="0.25"/>
    <row r="78" s="22" customFormat="1" x14ac:dyDescent="0.25"/>
    <row r="79" s="22" customFormat="1" x14ac:dyDescent="0.25"/>
    <row r="80" s="22" customFormat="1" x14ac:dyDescent="0.25"/>
    <row r="81" s="22" customFormat="1" x14ac:dyDescent="0.25"/>
    <row r="82" s="22" customFormat="1" x14ac:dyDescent="0.25"/>
    <row r="83" s="22" customFormat="1" x14ac:dyDescent="0.25"/>
    <row r="84" s="22" customFormat="1" x14ac:dyDescent="0.25"/>
    <row r="85" s="22" customFormat="1" x14ac:dyDescent="0.25"/>
    <row r="86" s="22" customFormat="1" x14ac:dyDescent="0.25"/>
    <row r="87" s="22" customFormat="1" x14ac:dyDescent="0.25"/>
    <row r="88" s="22" customFormat="1" x14ac:dyDescent="0.25"/>
    <row r="89" s="22" customFormat="1" x14ac:dyDescent="0.25"/>
    <row r="90" s="22" customFormat="1" x14ac:dyDescent="0.25"/>
    <row r="91" s="22" customFormat="1" x14ac:dyDescent="0.25"/>
    <row r="92" s="22" customFormat="1" x14ac:dyDescent="0.25"/>
    <row r="93" s="22" customFormat="1" x14ac:dyDescent="0.25"/>
    <row r="94" s="22" customFormat="1" x14ac:dyDescent="0.25"/>
    <row r="95" s="22" customFormat="1" x14ac:dyDescent="0.25"/>
    <row r="96" s="22" customFormat="1" x14ac:dyDescent="0.25"/>
    <row r="97" spans="1:1" s="22" customFormat="1" x14ac:dyDescent="0.25"/>
    <row r="98" spans="1:1" s="22" customFormat="1" x14ac:dyDescent="0.25"/>
    <row r="99" spans="1:1" s="22" customFormat="1" x14ac:dyDescent="0.25"/>
    <row r="100" spans="1:1" s="22" customFormat="1" x14ac:dyDescent="0.25"/>
    <row r="101" spans="1:1" s="22" customFormat="1" x14ac:dyDescent="0.25"/>
    <row r="102" spans="1:1" s="22" customFormat="1" x14ac:dyDescent="0.25"/>
    <row r="103" spans="1:1" s="22" customFormat="1" x14ac:dyDescent="0.25"/>
    <row r="104" spans="1:1" s="22" customFormat="1" x14ac:dyDescent="0.25"/>
    <row r="105" spans="1:1" s="22" customFormat="1" x14ac:dyDescent="0.25"/>
    <row r="106" spans="1:1" x14ac:dyDescent="0.25">
      <c r="A106" s="21"/>
    </row>
    <row r="107" spans="1:1" s="22" customFormat="1" x14ac:dyDescent="0.25"/>
    <row r="108" spans="1:1" s="22" customFormat="1" x14ac:dyDescent="0.25"/>
    <row r="109" spans="1:1" s="22" customFormat="1" x14ac:dyDescent="0.25"/>
    <row r="110" spans="1:1" s="22" customFormat="1" x14ac:dyDescent="0.25"/>
    <row r="111" spans="1:1" s="22" customFormat="1" x14ac:dyDescent="0.25"/>
    <row r="112" spans="1:1" s="22" customFormat="1" x14ac:dyDescent="0.25"/>
    <row r="113" spans="1:1" s="22" customFormat="1" x14ac:dyDescent="0.25"/>
    <row r="114" spans="1:1" s="22" customFormat="1" x14ac:dyDescent="0.25"/>
    <row r="115" spans="1:1" s="22" customFormat="1" x14ac:dyDescent="0.25"/>
    <row r="116" spans="1:1" s="22" customFormat="1" x14ac:dyDescent="0.25"/>
    <row r="117" spans="1:1" s="22" customFormat="1" x14ac:dyDescent="0.25"/>
    <row r="118" spans="1:1" x14ac:dyDescent="0.25">
      <c r="A118" s="21"/>
    </row>
    <row r="119" spans="1:1" x14ac:dyDescent="0.25">
      <c r="A119" s="21"/>
    </row>
  </sheetData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1" ySplit="8" topLeftCell="B27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B45" sqref="B45"/>
    </sheetView>
  </sheetViews>
  <sheetFormatPr defaultColWidth="8.85546875" defaultRowHeight="15" x14ac:dyDescent="0.25"/>
  <cols>
    <col min="1" max="1" width="18.28515625" style="27" customWidth="1"/>
    <col min="2" max="2" width="12.7109375" style="21" customWidth="1"/>
    <col min="3" max="12" width="9.140625" style="21" customWidth="1"/>
    <col min="13" max="13" width="10" style="21" customWidth="1"/>
    <col min="14" max="19" width="9.140625" style="21" customWidth="1"/>
    <col min="20" max="20" width="11.42578125" style="21" customWidth="1"/>
    <col min="21" max="16384" width="8.85546875" style="21"/>
  </cols>
  <sheetData>
    <row r="1" spans="1:21" s="22" customFormat="1" ht="26.25" x14ac:dyDescent="0.25">
      <c r="A1" s="15" t="s">
        <v>2</v>
      </c>
      <c r="B1" s="24" t="s">
        <v>43</v>
      </c>
      <c r="C1" s="38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s="22" customFormat="1" x14ac:dyDescent="0.25">
      <c r="A2" s="15" t="s">
        <v>0</v>
      </c>
      <c r="B2" s="39" t="str">
        <f>$A$9</f>
        <v>24-10-2022 01:00</v>
      </c>
      <c r="C2" s="12"/>
      <c r="D2" s="11" t="s">
        <v>3</v>
      </c>
      <c r="E2" s="11"/>
      <c r="F2" s="11"/>
      <c r="G2" s="4" t="s">
        <v>4</v>
      </c>
      <c r="H2" s="20"/>
      <c r="I2" s="20"/>
      <c r="J2" s="20"/>
      <c r="K2" s="13"/>
      <c r="L2" s="11" t="s">
        <v>5</v>
      </c>
      <c r="M2" s="13"/>
      <c r="N2" s="8" t="s">
        <v>6</v>
      </c>
      <c r="P2" s="40" t="s">
        <v>7</v>
      </c>
      <c r="Q2" s="13"/>
      <c r="R2" s="9" t="s">
        <v>8</v>
      </c>
      <c r="S2" s="12"/>
      <c r="T2" s="12"/>
      <c r="U2" s="12"/>
    </row>
    <row r="3" spans="1:21" s="22" customFormat="1" x14ac:dyDescent="0.25">
      <c r="A3" s="15" t="s">
        <v>9</v>
      </c>
      <c r="B3" s="13" t="s">
        <v>10</v>
      </c>
      <c r="C3" s="12"/>
      <c r="D3" s="11" t="s">
        <v>11</v>
      </c>
      <c r="E3" s="11"/>
      <c r="F3" s="11"/>
      <c r="G3" s="19" t="s">
        <v>12</v>
      </c>
      <c r="H3" s="20"/>
      <c r="I3" s="20"/>
      <c r="J3" s="20"/>
      <c r="K3" s="12"/>
      <c r="L3" s="11" t="s">
        <v>13</v>
      </c>
      <c r="M3" s="13"/>
      <c r="N3" s="6" t="s">
        <v>14</v>
      </c>
      <c r="O3" s="13"/>
      <c r="P3" s="40" t="s">
        <v>15</v>
      </c>
      <c r="Q3" s="13"/>
      <c r="R3" s="10" t="s">
        <v>15</v>
      </c>
      <c r="S3" s="12"/>
      <c r="T3" s="12"/>
      <c r="U3" s="12"/>
    </row>
    <row r="4" spans="1:21" s="22" customFormat="1" x14ac:dyDescent="0.25">
      <c r="A4" s="15" t="s">
        <v>16</v>
      </c>
      <c r="B4" s="13" t="s">
        <v>39</v>
      </c>
      <c r="C4" s="12"/>
      <c r="D4" s="11" t="s">
        <v>17</v>
      </c>
      <c r="E4" s="11"/>
      <c r="F4" s="11"/>
      <c r="G4" s="5" t="s">
        <v>18</v>
      </c>
      <c r="H4" s="20"/>
      <c r="I4" s="20"/>
      <c r="J4" s="20"/>
      <c r="K4" s="3"/>
      <c r="L4" s="11" t="s">
        <v>19</v>
      </c>
      <c r="M4" s="13"/>
      <c r="N4" s="7" t="s">
        <v>20</v>
      </c>
      <c r="O4" s="13"/>
      <c r="P4" s="13"/>
      <c r="Q4" s="13"/>
      <c r="R4" s="13"/>
      <c r="S4" s="12"/>
      <c r="T4" s="12"/>
      <c r="U4" s="12"/>
    </row>
    <row r="5" spans="1:21" s="22" customFormat="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s="22" customFormat="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s="22" customFormat="1" x14ac:dyDescent="0.25">
      <c r="A7" s="15" t="s">
        <v>21</v>
      </c>
      <c r="B7" s="45" t="s">
        <v>59</v>
      </c>
      <c r="C7" s="45" t="s">
        <v>44</v>
      </c>
      <c r="D7" s="45" t="s">
        <v>45</v>
      </c>
      <c r="E7" s="45" t="s">
        <v>46</v>
      </c>
      <c r="F7" s="45" t="s">
        <v>47</v>
      </c>
      <c r="G7" s="45" t="s">
        <v>48</v>
      </c>
      <c r="H7" s="45" t="s">
        <v>49</v>
      </c>
      <c r="I7" s="45" t="s">
        <v>50</v>
      </c>
      <c r="J7" s="45" t="s">
        <v>51</v>
      </c>
      <c r="K7" s="45" t="s">
        <v>52</v>
      </c>
      <c r="L7" s="45" t="s">
        <v>53</v>
      </c>
      <c r="M7" s="45" t="s">
        <v>54</v>
      </c>
      <c r="N7" s="45" t="s">
        <v>55</v>
      </c>
      <c r="O7" s="45" t="s">
        <v>56</v>
      </c>
      <c r="P7" s="45" t="s">
        <v>57</v>
      </c>
      <c r="Q7" s="45" t="s">
        <v>58</v>
      </c>
      <c r="R7" s="28"/>
      <c r="S7" s="30"/>
      <c r="T7" s="28"/>
      <c r="U7" s="28"/>
    </row>
    <row r="8" spans="1:21" s="22" customFormat="1" x14ac:dyDescent="0.25">
      <c r="A8" s="15"/>
      <c r="B8" s="30" t="s">
        <v>22</v>
      </c>
      <c r="C8" s="30" t="s">
        <v>22</v>
      </c>
      <c r="D8" s="30" t="s">
        <v>22</v>
      </c>
      <c r="E8" s="30" t="s">
        <v>22</v>
      </c>
      <c r="F8" s="30" t="s">
        <v>22</v>
      </c>
      <c r="G8" s="30" t="s">
        <v>23</v>
      </c>
      <c r="H8" s="30" t="s">
        <v>22</v>
      </c>
      <c r="I8" s="30" t="s">
        <v>22</v>
      </c>
      <c r="J8" s="30" t="s">
        <v>24</v>
      </c>
      <c r="K8" s="30" t="s">
        <v>25</v>
      </c>
      <c r="L8" s="28" t="s">
        <v>27</v>
      </c>
      <c r="M8" s="30" t="s">
        <v>26</v>
      </c>
      <c r="N8" s="30" t="s">
        <v>28</v>
      </c>
      <c r="O8" s="28" t="s">
        <v>29</v>
      </c>
      <c r="P8" s="30" t="s">
        <v>22</v>
      </c>
      <c r="Q8" s="30" t="s">
        <v>22</v>
      </c>
      <c r="R8" s="28"/>
      <c r="S8" s="30"/>
      <c r="T8" s="28"/>
      <c r="U8" s="28"/>
    </row>
    <row r="9" spans="1:21" s="12" customFormat="1" x14ac:dyDescent="0.25">
      <c r="A9" s="62" t="s">
        <v>615</v>
      </c>
      <c r="B9" s="4" t="s">
        <v>4</v>
      </c>
      <c r="C9" s="4" t="s">
        <v>4</v>
      </c>
      <c r="D9" s="4" t="s">
        <v>4</v>
      </c>
      <c r="E9" s="4" t="s">
        <v>4</v>
      </c>
      <c r="F9" s="4" t="s">
        <v>4</v>
      </c>
      <c r="G9" s="4" t="s">
        <v>4</v>
      </c>
      <c r="H9" s="4" t="s">
        <v>4</v>
      </c>
      <c r="I9" s="4" t="s">
        <v>4</v>
      </c>
      <c r="J9" s="4" t="s">
        <v>4</v>
      </c>
      <c r="K9" s="4" t="s">
        <v>4</v>
      </c>
      <c r="L9" s="4" t="s">
        <v>4</v>
      </c>
      <c r="M9" s="4" t="s">
        <v>4</v>
      </c>
      <c r="N9" s="4" t="s">
        <v>4</v>
      </c>
      <c r="O9" s="4" t="s">
        <v>4</v>
      </c>
      <c r="P9" s="4" t="s">
        <v>4</v>
      </c>
      <c r="Q9" s="4" t="s">
        <v>4</v>
      </c>
      <c r="R9" s="44"/>
      <c r="S9" s="44"/>
      <c r="T9" s="44"/>
      <c r="U9" s="44"/>
    </row>
    <row r="10" spans="1:21" s="12" customFormat="1" x14ac:dyDescent="0.25">
      <c r="A10" s="62" t="s">
        <v>616</v>
      </c>
      <c r="B10" s="4" t="s">
        <v>4</v>
      </c>
      <c r="C10" s="4" t="s">
        <v>4</v>
      </c>
      <c r="D10" s="4" t="s">
        <v>4</v>
      </c>
      <c r="E10" s="4" t="s">
        <v>4</v>
      </c>
      <c r="F10" s="4" t="s">
        <v>4</v>
      </c>
      <c r="G10" s="4" t="s">
        <v>4</v>
      </c>
      <c r="H10" s="4" t="s">
        <v>4</v>
      </c>
      <c r="I10" s="4" t="s">
        <v>4</v>
      </c>
      <c r="J10" s="4" t="s">
        <v>4</v>
      </c>
      <c r="K10" s="4" t="s">
        <v>4</v>
      </c>
      <c r="L10" s="4" t="s">
        <v>4</v>
      </c>
      <c r="M10" s="4" t="s">
        <v>4</v>
      </c>
      <c r="N10" s="4" t="s">
        <v>4</v>
      </c>
      <c r="O10" s="4" t="s">
        <v>4</v>
      </c>
      <c r="P10" s="4" t="s">
        <v>4</v>
      </c>
      <c r="Q10" s="4" t="s">
        <v>4</v>
      </c>
      <c r="R10" s="44"/>
      <c r="S10" s="44"/>
      <c r="T10" s="44"/>
      <c r="U10" s="44"/>
    </row>
    <row r="11" spans="1:21" s="12" customFormat="1" x14ac:dyDescent="0.25">
      <c r="A11" s="62" t="s">
        <v>617</v>
      </c>
      <c r="B11" s="4" t="s">
        <v>4</v>
      </c>
      <c r="C11" s="4" t="s">
        <v>4</v>
      </c>
      <c r="D11" s="4" t="s">
        <v>4</v>
      </c>
      <c r="E11" s="4" t="s">
        <v>4</v>
      </c>
      <c r="F11" s="4" t="s">
        <v>4</v>
      </c>
      <c r="G11" s="4" t="s">
        <v>4</v>
      </c>
      <c r="H11" s="4" t="s">
        <v>4</v>
      </c>
      <c r="I11" s="4" t="s">
        <v>4</v>
      </c>
      <c r="J11" s="4" t="s">
        <v>4</v>
      </c>
      <c r="K11" s="4" t="s">
        <v>4</v>
      </c>
      <c r="L11" s="4" t="s">
        <v>4</v>
      </c>
      <c r="M11" s="4" t="s">
        <v>4</v>
      </c>
      <c r="N11" s="4" t="s">
        <v>4</v>
      </c>
      <c r="O11" s="4" t="s">
        <v>4</v>
      </c>
      <c r="P11" s="4" t="s">
        <v>4</v>
      </c>
      <c r="Q11" s="4" t="s">
        <v>4</v>
      </c>
      <c r="R11" s="44"/>
      <c r="S11" s="44"/>
      <c r="T11" s="44"/>
      <c r="U11" s="44"/>
    </row>
    <row r="12" spans="1:21" s="12" customFormat="1" x14ac:dyDescent="0.25">
      <c r="A12" s="62" t="s">
        <v>618</v>
      </c>
      <c r="B12" s="4" t="s">
        <v>4</v>
      </c>
      <c r="C12" s="4" t="s">
        <v>4</v>
      </c>
      <c r="D12" s="4" t="s">
        <v>4</v>
      </c>
      <c r="E12" s="4" t="s">
        <v>4</v>
      </c>
      <c r="F12" s="4" t="s">
        <v>4</v>
      </c>
      <c r="G12" s="4" t="s">
        <v>4</v>
      </c>
      <c r="H12" s="4" t="s">
        <v>4</v>
      </c>
      <c r="I12" s="4" t="s">
        <v>4</v>
      </c>
      <c r="J12" s="4" t="s">
        <v>4</v>
      </c>
      <c r="K12" s="4" t="s">
        <v>4</v>
      </c>
      <c r="L12" s="4" t="s">
        <v>4</v>
      </c>
      <c r="M12" s="4" t="s">
        <v>4</v>
      </c>
      <c r="N12" s="4" t="s">
        <v>4</v>
      </c>
      <c r="O12" s="4" t="s">
        <v>4</v>
      </c>
      <c r="P12" s="4" t="s">
        <v>4</v>
      </c>
      <c r="Q12" s="4" t="s">
        <v>4</v>
      </c>
      <c r="R12" s="44"/>
      <c r="S12" s="44"/>
      <c r="T12" s="44"/>
      <c r="U12" s="44"/>
    </row>
    <row r="13" spans="1:21" s="12" customFormat="1" x14ac:dyDescent="0.25">
      <c r="A13" s="62" t="s">
        <v>619</v>
      </c>
      <c r="B13" s="4" t="s">
        <v>4</v>
      </c>
      <c r="C13" s="4" t="s">
        <v>4</v>
      </c>
      <c r="D13" s="4" t="s">
        <v>4</v>
      </c>
      <c r="E13" s="4" t="s">
        <v>4</v>
      </c>
      <c r="F13" s="4" t="s">
        <v>4</v>
      </c>
      <c r="G13" s="4" t="s">
        <v>4</v>
      </c>
      <c r="H13" s="4" t="s">
        <v>4</v>
      </c>
      <c r="I13" s="4" t="s">
        <v>4</v>
      </c>
      <c r="J13" s="4" t="s">
        <v>4</v>
      </c>
      <c r="K13" s="4" t="s">
        <v>4</v>
      </c>
      <c r="L13" s="4" t="s">
        <v>4</v>
      </c>
      <c r="M13" s="4" t="s">
        <v>4</v>
      </c>
      <c r="N13" s="4" t="s">
        <v>4</v>
      </c>
      <c r="O13" s="4" t="s">
        <v>4</v>
      </c>
      <c r="P13" s="4" t="s">
        <v>4</v>
      </c>
      <c r="Q13" s="4" t="s">
        <v>4</v>
      </c>
      <c r="R13" s="44"/>
      <c r="S13" s="44"/>
      <c r="T13" s="44"/>
      <c r="U13" s="44"/>
    </row>
    <row r="14" spans="1:21" s="12" customFormat="1" x14ac:dyDescent="0.25">
      <c r="A14" s="62" t="s">
        <v>620</v>
      </c>
      <c r="B14" s="4" t="s">
        <v>4</v>
      </c>
      <c r="C14" s="4" t="s">
        <v>4</v>
      </c>
      <c r="D14" s="4" t="s">
        <v>4</v>
      </c>
      <c r="E14" s="4" t="s">
        <v>4</v>
      </c>
      <c r="F14" s="4" t="s">
        <v>4</v>
      </c>
      <c r="G14" s="4" t="s">
        <v>4</v>
      </c>
      <c r="H14" s="4" t="s">
        <v>4</v>
      </c>
      <c r="I14" s="4" t="s">
        <v>4</v>
      </c>
      <c r="J14" s="4" t="s">
        <v>4</v>
      </c>
      <c r="K14" s="4" t="s">
        <v>4</v>
      </c>
      <c r="L14" s="4" t="s">
        <v>4</v>
      </c>
      <c r="M14" s="4" t="s">
        <v>4</v>
      </c>
      <c r="N14" s="4" t="s">
        <v>4</v>
      </c>
      <c r="O14" s="4" t="s">
        <v>4</v>
      </c>
      <c r="P14" s="4" t="s">
        <v>4</v>
      </c>
      <c r="Q14" s="4" t="s">
        <v>4</v>
      </c>
      <c r="R14" s="44"/>
      <c r="S14" s="44"/>
      <c r="T14" s="44"/>
      <c r="U14" s="44"/>
    </row>
    <row r="15" spans="1:21" s="12" customFormat="1" x14ac:dyDescent="0.25">
      <c r="A15" s="62" t="s">
        <v>621</v>
      </c>
      <c r="B15" s="4" t="s">
        <v>4</v>
      </c>
      <c r="C15" s="4" t="s">
        <v>4</v>
      </c>
      <c r="D15" s="4" t="s">
        <v>4</v>
      </c>
      <c r="E15" s="4" t="s">
        <v>4</v>
      </c>
      <c r="F15" s="4" t="s">
        <v>4</v>
      </c>
      <c r="G15" s="4" t="s">
        <v>4</v>
      </c>
      <c r="H15" s="4" t="s">
        <v>4</v>
      </c>
      <c r="I15" s="4" t="s">
        <v>4</v>
      </c>
      <c r="J15" s="4" t="s">
        <v>4</v>
      </c>
      <c r="K15" s="4" t="s">
        <v>4</v>
      </c>
      <c r="L15" s="4" t="s">
        <v>4</v>
      </c>
      <c r="M15" s="4" t="s">
        <v>4</v>
      </c>
      <c r="N15" s="4" t="s">
        <v>4</v>
      </c>
      <c r="O15" s="4" t="s">
        <v>4</v>
      </c>
      <c r="P15" s="4" t="s">
        <v>4</v>
      </c>
      <c r="Q15" s="4" t="s">
        <v>4</v>
      </c>
      <c r="R15" s="44"/>
      <c r="S15" s="44"/>
      <c r="T15" s="44"/>
      <c r="U15" s="44"/>
    </row>
    <row r="16" spans="1:21" s="12" customFormat="1" x14ac:dyDescent="0.25">
      <c r="A16" s="62" t="s">
        <v>622</v>
      </c>
      <c r="B16" s="4" t="s">
        <v>4</v>
      </c>
      <c r="C16" s="4" t="s">
        <v>4</v>
      </c>
      <c r="D16" s="4" t="s">
        <v>4</v>
      </c>
      <c r="E16" s="4" t="s">
        <v>4</v>
      </c>
      <c r="F16" s="4" t="s">
        <v>4</v>
      </c>
      <c r="G16" s="4" t="s">
        <v>4</v>
      </c>
      <c r="H16" s="4" t="s">
        <v>4</v>
      </c>
      <c r="I16" s="4" t="s">
        <v>4</v>
      </c>
      <c r="J16" s="4" t="s">
        <v>4</v>
      </c>
      <c r="K16" s="4" t="s">
        <v>4</v>
      </c>
      <c r="L16" s="4" t="s">
        <v>4</v>
      </c>
      <c r="M16" s="4" t="s">
        <v>4</v>
      </c>
      <c r="N16" s="4" t="s">
        <v>4</v>
      </c>
      <c r="O16" s="4" t="s">
        <v>4</v>
      </c>
      <c r="P16" s="4" t="s">
        <v>4</v>
      </c>
      <c r="Q16" s="4" t="s">
        <v>4</v>
      </c>
      <c r="R16" s="44"/>
      <c r="S16" s="44"/>
      <c r="T16" s="44"/>
      <c r="U16" s="44"/>
    </row>
    <row r="17" spans="1:21" s="12" customFormat="1" x14ac:dyDescent="0.25">
      <c r="A17" s="62" t="s">
        <v>623</v>
      </c>
      <c r="B17" s="4" t="s">
        <v>4</v>
      </c>
      <c r="C17" s="4" t="s">
        <v>4</v>
      </c>
      <c r="D17" s="4" t="s">
        <v>4</v>
      </c>
      <c r="E17" s="4" t="s">
        <v>4</v>
      </c>
      <c r="F17" s="4" t="s">
        <v>4</v>
      </c>
      <c r="G17" s="4" t="s">
        <v>4</v>
      </c>
      <c r="H17" s="4" t="s">
        <v>4</v>
      </c>
      <c r="I17" s="4" t="s">
        <v>4</v>
      </c>
      <c r="J17" s="4" t="s">
        <v>4</v>
      </c>
      <c r="K17" s="4" t="s">
        <v>4</v>
      </c>
      <c r="L17" s="4" t="s">
        <v>4</v>
      </c>
      <c r="M17" s="4" t="s">
        <v>4</v>
      </c>
      <c r="N17" s="4" t="s">
        <v>4</v>
      </c>
      <c r="O17" s="4" t="s">
        <v>4</v>
      </c>
      <c r="P17" s="4" t="s">
        <v>4</v>
      </c>
      <c r="Q17" s="4" t="s">
        <v>4</v>
      </c>
      <c r="R17" s="44"/>
      <c r="S17" s="44"/>
      <c r="T17" s="44"/>
      <c r="U17" s="44"/>
    </row>
    <row r="18" spans="1:21" s="12" customFormat="1" x14ac:dyDescent="0.25">
      <c r="A18" s="62" t="s">
        <v>624</v>
      </c>
      <c r="B18" s="4" t="s">
        <v>4</v>
      </c>
      <c r="C18" s="4" t="s">
        <v>4</v>
      </c>
      <c r="D18" s="4" t="s">
        <v>4</v>
      </c>
      <c r="E18" s="4" t="s">
        <v>4</v>
      </c>
      <c r="F18" s="4" t="s">
        <v>4</v>
      </c>
      <c r="G18" s="4" t="s">
        <v>4</v>
      </c>
      <c r="H18" s="4" t="s">
        <v>4</v>
      </c>
      <c r="I18" s="4" t="s">
        <v>4</v>
      </c>
      <c r="J18" s="4" t="s">
        <v>4</v>
      </c>
      <c r="K18" s="4" t="s">
        <v>4</v>
      </c>
      <c r="L18" s="4" t="s">
        <v>4</v>
      </c>
      <c r="M18" s="4" t="s">
        <v>4</v>
      </c>
      <c r="N18" s="4" t="s">
        <v>4</v>
      </c>
      <c r="O18" s="4" t="s">
        <v>4</v>
      </c>
      <c r="P18" s="4" t="s">
        <v>4</v>
      </c>
      <c r="Q18" s="4" t="s">
        <v>4</v>
      </c>
      <c r="R18" s="44"/>
      <c r="S18" s="44"/>
      <c r="T18" s="44"/>
      <c r="U18" s="44"/>
    </row>
    <row r="19" spans="1:21" s="12" customFormat="1" x14ac:dyDescent="0.25">
      <c r="A19" s="62" t="s">
        <v>625</v>
      </c>
      <c r="B19" s="4" t="s">
        <v>4</v>
      </c>
      <c r="C19" s="4" t="s">
        <v>4</v>
      </c>
      <c r="D19" s="4" t="s">
        <v>4</v>
      </c>
      <c r="E19" s="4" t="s">
        <v>4</v>
      </c>
      <c r="F19" s="4" t="s">
        <v>4</v>
      </c>
      <c r="G19" s="4" t="s">
        <v>4</v>
      </c>
      <c r="H19" s="4" t="s">
        <v>4</v>
      </c>
      <c r="I19" s="4" t="s">
        <v>4</v>
      </c>
      <c r="J19" s="4" t="s">
        <v>4</v>
      </c>
      <c r="K19" s="4" t="s">
        <v>4</v>
      </c>
      <c r="L19" s="4" t="s">
        <v>4</v>
      </c>
      <c r="M19" s="4" t="s">
        <v>4</v>
      </c>
      <c r="N19" s="4" t="s">
        <v>4</v>
      </c>
      <c r="O19" s="4" t="s">
        <v>4</v>
      </c>
      <c r="P19" s="4" t="s">
        <v>4</v>
      </c>
      <c r="Q19" s="4" t="s">
        <v>4</v>
      </c>
      <c r="R19" s="44"/>
      <c r="S19" s="44"/>
      <c r="T19" s="44"/>
      <c r="U19" s="44"/>
    </row>
    <row r="20" spans="1:21" s="12" customFormat="1" x14ac:dyDescent="0.25">
      <c r="A20" s="62" t="s">
        <v>626</v>
      </c>
      <c r="B20" s="4" t="s">
        <v>4</v>
      </c>
      <c r="C20" s="4" t="s">
        <v>4</v>
      </c>
      <c r="D20" s="4" t="s">
        <v>4</v>
      </c>
      <c r="E20" s="4" t="s">
        <v>4</v>
      </c>
      <c r="F20" s="4" t="s">
        <v>4</v>
      </c>
      <c r="G20" s="4" t="s">
        <v>4</v>
      </c>
      <c r="H20" s="4" t="s">
        <v>4</v>
      </c>
      <c r="I20" s="4" t="s">
        <v>4</v>
      </c>
      <c r="J20" s="4" t="s">
        <v>4</v>
      </c>
      <c r="K20" s="4" t="s">
        <v>4</v>
      </c>
      <c r="L20" s="4" t="s">
        <v>4</v>
      </c>
      <c r="M20" s="4" t="s">
        <v>4</v>
      </c>
      <c r="N20" s="4" t="s">
        <v>4</v>
      </c>
      <c r="O20" s="4" t="s">
        <v>4</v>
      </c>
      <c r="P20" s="4" t="s">
        <v>4</v>
      </c>
      <c r="Q20" s="4" t="s">
        <v>4</v>
      </c>
      <c r="R20" s="44"/>
      <c r="S20" s="44"/>
      <c r="T20" s="44"/>
      <c r="U20" s="44"/>
    </row>
    <row r="21" spans="1:21" s="12" customFormat="1" x14ac:dyDescent="0.25">
      <c r="A21" s="62" t="s">
        <v>627</v>
      </c>
      <c r="B21" s="4" t="s">
        <v>4</v>
      </c>
      <c r="C21" s="4" t="s">
        <v>4</v>
      </c>
      <c r="D21" s="4" t="s">
        <v>4</v>
      </c>
      <c r="E21" s="4" t="s">
        <v>4</v>
      </c>
      <c r="F21" s="4" t="s">
        <v>4</v>
      </c>
      <c r="G21" s="4" t="s">
        <v>4</v>
      </c>
      <c r="H21" s="4" t="s">
        <v>4</v>
      </c>
      <c r="I21" s="4" t="s">
        <v>4</v>
      </c>
      <c r="J21" s="4" t="s">
        <v>4</v>
      </c>
      <c r="K21" s="4" t="s">
        <v>4</v>
      </c>
      <c r="L21" s="4" t="s">
        <v>4</v>
      </c>
      <c r="M21" s="4" t="s">
        <v>4</v>
      </c>
      <c r="N21" s="4" t="s">
        <v>4</v>
      </c>
      <c r="O21" s="4" t="s">
        <v>4</v>
      </c>
      <c r="P21" s="4" t="s">
        <v>4</v>
      </c>
      <c r="Q21" s="4" t="s">
        <v>4</v>
      </c>
      <c r="R21" s="44"/>
      <c r="S21" s="44"/>
      <c r="T21" s="44"/>
      <c r="U21" s="44"/>
    </row>
    <row r="22" spans="1:21" s="12" customFormat="1" x14ac:dyDescent="0.25">
      <c r="A22" s="62" t="s">
        <v>628</v>
      </c>
      <c r="B22" s="4" t="s">
        <v>4</v>
      </c>
      <c r="C22" s="4" t="s">
        <v>4</v>
      </c>
      <c r="D22" s="4" t="s">
        <v>4</v>
      </c>
      <c r="E22" s="4" t="s">
        <v>4</v>
      </c>
      <c r="F22" s="4" t="s">
        <v>4</v>
      </c>
      <c r="G22" s="4" t="s">
        <v>4</v>
      </c>
      <c r="H22" s="4" t="s">
        <v>4</v>
      </c>
      <c r="I22" s="4" t="s">
        <v>4</v>
      </c>
      <c r="J22" s="4" t="s">
        <v>4</v>
      </c>
      <c r="K22" s="4" t="s">
        <v>4</v>
      </c>
      <c r="L22" s="4" t="s">
        <v>4</v>
      </c>
      <c r="M22" s="4" t="s">
        <v>4</v>
      </c>
      <c r="N22" s="4" t="s">
        <v>4</v>
      </c>
      <c r="O22" s="4" t="s">
        <v>4</v>
      </c>
      <c r="P22" s="4" t="s">
        <v>4</v>
      </c>
      <c r="Q22" s="4" t="s">
        <v>4</v>
      </c>
      <c r="R22" s="44"/>
      <c r="S22" s="44"/>
      <c r="T22" s="44"/>
      <c r="U22" s="44"/>
    </row>
    <row r="23" spans="1:21" s="12" customFormat="1" x14ac:dyDescent="0.25">
      <c r="A23" s="62" t="s">
        <v>629</v>
      </c>
      <c r="B23" s="4" t="s">
        <v>4</v>
      </c>
      <c r="C23" s="4" t="s">
        <v>4</v>
      </c>
      <c r="D23" s="4" t="s">
        <v>4</v>
      </c>
      <c r="E23" s="4" t="s">
        <v>4</v>
      </c>
      <c r="F23" s="4" t="s">
        <v>4</v>
      </c>
      <c r="G23" s="4" t="s">
        <v>4</v>
      </c>
      <c r="H23" s="4" t="s">
        <v>4</v>
      </c>
      <c r="I23" s="4" t="s">
        <v>4</v>
      </c>
      <c r="J23" s="4" t="s">
        <v>4</v>
      </c>
      <c r="K23" s="4" t="s">
        <v>4</v>
      </c>
      <c r="L23" s="4" t="s">
        <v>4</v>
      </c>
      <c r="M23" s="4" t="s">
        <v>4</v>
      </c>
      <c r="N23" s="4" t="s">
        <v>4</v>
      </c>
      <c r="O23" s="4" t="s">
        <v>4</v>
      </c>
      <c r="P23" s="4" t="s">
        <v>4</v>
      </c>
      <c r="Q23" s="4" t="s">
        <v>4</v>
      </c>
      <c r="R23" s="44"/>
      <c r="S23" s="44"/>
      <c r="T23" s="44"/>
      <c r="U23" s="44"/>
    </row>
    <row r="24" spans="1:21" s="12" customFormat="1" x14ac:dyDescent="0.25">
      <c r="A24" s="62" t="s">
        <v>630</v>
      </c>
      <c r="B24" s="4" t="s">
        <v>4</v>
      </c>
      <c r="C24" s="4" t="s">
        <v>4</v>
      </c>
      <c r="D24" s="4" t="s">
        <v>4</v>
      </c>
      <c r="E24" s="4" t="s">
        <v>4</v>
      </c>
      <c r="F24" s="4" t="s">
        <v>4</v>
      </c>
      <c r="G24" s="4" t="s">
        <v>4</v>
      </c>
      <c r="H24" s="4" t="s">
        <v>4</v>
      </c>
      <c r="I24" s="4" t="s">
        <v>4</v>
      </c>
      <c r="J24" s="4" t="s">
        <v>4</v>
      </c>
      <c r="K24" s="4" t="s">
        <v>4</v>
      </c>
      <c r="L24" s="4" t="s">
        <v>4</v>
      </c>
      <c r="M24" s="4" t="s">
        <v>4</v>
      </c>
      <c r="N24" s="4" t="s">
        <v>4</v>
      </c>
      <c r="O24" s="4" t="s">
        <v>4</v>
      </c>
      <c r="P24" s="4" t="s">
        <v>4</v>
      </c>
      <c r="Q24" s="4" t="s">
        <v>4</v>
      </c>
      <c r="R24" s="44"/>
      <c r="S24" s="44"/>
      <c r="T24" s="44"/>
      <c r="U24" s="44"/>
    </row>
    <row r="25" spans="1:21" s="12" customFormat="1" x14ac:dyDescent="0.25">
      <c r="A25" s="62" t="s">
        <v>631</v>
      </c>
      <c r="B25" s="4" t="s">
        <v>4</v>
      </c>
      <c r="C25" s="4" t="s">
        <v>4</v>
      </c>
      <c r="D25" s="4" t="s">
        <v>4</v>
      </c>
      <c r="E25" s="4" t="s">
        <v>4</v>
      </c>
      <c r="F25" s="4" t="s">
        <v>4</v>
      </c>
      <c r="G25" s="4" t="s">
        <v>4</v>
      </c>
      <c r="H25" s="4" t="s">
        <v>4</v>
      </c>
      <c r="I25" s="4" t="s">
        <v>4</v>
      </c>
      <c r="J25" s="4" t="s">
        <v>4</v>
      </c>
      <c r="K25" s="4" t="s">
        <v>4</v>
      </c>
      <c r="L25" s="4" t="s">
        <v>4</v>
      </c>
      <c r="M25" s="4" t="s">
        <v>4</v>
      </c>
      <c r="N25" s="4" t="s">
        <v>4</v>
      </c>
      <c r="O25" s="4" t="s">
        <v>4</v>
      </c>
      <c r="P25" s="4" t="s">
        <v>4</v>
      </c>
      <c r="Q25" s="4" t="s">
        <v>4</v>
      </c>
      <c r="R25" s="44"/>
      <c r="S25" s="44"/>
      <c r="T25" s="44"/>
      <c r="U25" s="44"/>
    </row>
    <row r="26" spans="1:21" s="12" customFormat="1" x14ac:dyDescent="0.25">
      <c r="A26" s="62" t="s">
        <v>632</v>
      </c>
      <c r="B26" s="4" t="s">
        <v>4</v>
      </c>
      <c r="C26" s="4" t="s">
        <v>4</v>
      </c>
      <c r="D26" s="4" t="s">
        <v>4</v>
      </c>
      <c r="E26" s="4" t="s">
        <v>4</v>
      </c>
      <c r="F26" s="4" t="s">
        <v>4</v>
      </c>
      <c r="G26" s="4" t="s">
        <v>4</v>
      </c>
      <c r="H26" s="4" t="s">
        <v>4</v>
      </c>
      <c r="I26" s="4" t="s">
        <v>4</v>
      </c>
      <c r="J26" s="4" t="s">
        <v>4</v>
      </c>
      <c r="K26" s="4" t="s">
        <v>4</v>
      </c>
      <c r="L26" s="4" t="s">
        <v>4</v>
      </c>
      <c r="M26" s="4" t="s">
        <v>4</v>
      </c>
      <c r="N26" s="4" t="s">
        <v>4</v>
      </c>
      <c r="O26" s="4" t="s">
        <v>4</v>
      </c>
      <c r="P26" s="4" t="s">
        <v>4</v>
      </c>
      <c r="Q26" s="4" t="s">
        <v>4</v>
      </c>
      <c r="R26" s="44"/>
      <c r="S26" s="44"/>
      <c r="T26" s="44"/>
      <c r="U26" s="44"/>
    </row>
    <row r="27" spans="1:21" s="12" customFormat="1" x14ac:dyDescent="0.25">
      <c r="A27" s="62" t="s">
        <v>633</v>
      </c>
      <c r="B27" s="4" t="s">
        <v>4</v>
      </c>
      <c r="C27" s="4" t="s">
        <v>4</v>
      </c>
      <c r="D27" s="4" t="s">
        <v>4</v>
      </c>
      <c r="E27" s="4" t="s">
        <v>4</v>
      </c>
      <c r="F27" s="4" t="s">
        <v>4</v>
      </c>
      <c r="G27" s="4" t="s">
        <v>4</v>
      </c>
      <c r="H27" s="4" t="s">
        <v>4</v>
      </c>
      <c r="I27" s="4" t="s">
        <v>4</v>
      </c>
      <c r="J27" s="4" t="s">
        <v>4</v>
      </c>
      <c r="K27" s="4" t="s">
        <v>4</v>
      </c>
      <c r="L27" s="4" t="s">
        <v>4</v>
      </c>
      <c r="M27" s="4" t="s">
        <v>4</v>
      </c>
      <c r="N27" s="4" t="s">
        <v>4</v>
      </c>
      <c r="O27" s="4" t="s">
        <v>4</v>
      </c>
      <c r="P27" s="4" t="s">
        <v>4</v>
      </c>
      <c r="Q27" s="4" t="s">
        <v>4</v>
      </c>
      <c r="R27" s="44"/>
      <c r="S27" s="44"/>
      <c r="T27" s="44"/>
      <c r="U27" s="44"/>
    </row>
    <row r="28" spans="1:21" s="12" customFormat="1" x14ac:dyDescent="0.25">
      <c r="A28" s="62" t="s">
        <v>634</v>
      </c>
      <c r="B28" s="4" t="s">
        <v>4</v>
      </c>
      <c r="C28" s="4" t="s">
        <v>4</v>
      </c>
      <c r="D28" s="4" t="s">
        <v>4</v>
      </c>
      <c r="E28" s="4" t="s">
        <v>4</v>
      </c>
      <c r="F28" s="4" t="s">
        <v>4</v>
      </c>
      <c r="G28" s="4" t="s">
        <v>4</v>
      </c>
      <c r="H28" s="4" t="s">
        <v>4</v>
      </c>
      <c r="I28" s="4" t="s">
        <v>4</v>
      </c>
      <c r="J28" s="4" t="s">
        <v>4</v>
      </c>
      <c r="K28" s="4" t="s">
        <v>4</v>
      </c>
      <c r="L28" s="4" t="s">
        <v>4</v>
      </c>
      <c r="M28" s="4" t="s">
        <v>4</v>
      </c>
      <c r="N28" s="4" t="s">
        <v>4</v>
      </c>
      <c r="O28" s="4" t="s">
        <v>4</v>
      </c>
      <c r="P28" s="4" t="s">
        <v>4</v>
      </c>
      <c r="Q28" s="4" t="s">
        <v>4</v>
      </c>
      <c r="R28" s="44"/>
      <c r="S28" s="44"/>
      <c r="T28" s="44"/>
      <c r="U28" s="44"/>
    </row>
    <row r="29" spans="1:21" s="12" customFormat="1" x14ac:dyDescent="0.25">
      <c r="A29" s="62" t="s">
        <v>635</v>
      </c>
      <c r="B29" s="4" t="s">
        <v>4</v>
      </c>
      <c r="C29" s="4" t="s">
        <v>4</v>
      </c>
      <c r="D29" s="4" t="s">
        <v>4</v>
      </c>
      <c r="E29" s="4" t="s">
        <v>4</v>
      </c>
      <c r="F29" s="4" t="s">
        <v>4</v>
      </c>
      <c r="G29" s="4" t="s">
        <v>4</v>
      </c>
      <c r="H29" s="4" t="s">
        <v>4</v>
      </c>
      <c r="I29" s="4" t="s">
        <v>4</v>
      </c>
      <c r="J29" s="4" t="s">
        <v>4</v>
      </c>
      <c r="K29" s="4" t="s">
        <v>4</v>
      </c>
      <c r="L29" s="4" t="s">
        <v>4</v>
      </c>
      <c r="M29" s="4" t="s">
        <v>4</v>
      </c>
      <c r="N29" s="4" t="s">
        <v>4</v>
      </c>
      <c r="O29" s="4" t="s">
        <v>4</v>
      </c>
      <c r="P29" s="4" t="s">
        <v>4</v>
      </c>
      <c r="Q29" s="4" t="s">
        <v>4</v>
      </c>
      <c r="R29" s="44"/>
      <c r="S29" s="44"/>
      <c r="T29" s="44"/>
      <c r="U29" s="44"/>
    </row>
    <row r="30" spans="1:21" s="12" customFormat="1" x14ac:dyDescent="0.25">
      <c r="A30" s="62" t="s">
        <v>636</v>
      </c>
      <c r="B30" s="4" t="s">
        <v>4</v>
      </c>
      <c r="C30" s="4" t="s">
        <v>4</v>
      </c>
      <c r="D30" s="4" t="s">
        <v>4</v>
      </c>
      <c r="E30" s="4" t="s">
        <v>4</v>
      </c>
      <c r="F30" s="4" t="s">
        <v>4</v>
      </c>
      <c r="G30" s="4" t="s">
        <v>4</v>
      </c>
      <c r="H30" s="4" t="s">
        <v>4</v>
      </c>
      <c r="I30" s="4" t="s">
        <v>4</v>
      </c>
      <c r="J30" s="4" t="s">
        <v>4</v>
      </c>
      <c r="K30" s="4" t="s">
        <v>4</v>
      </c>
      <c r="L30" s="4" t="s">
        <v>4</v>
      </c>
      <c r="M30" s="4" t="s">
        <v>4</v>
      </c>
      <c r="N30" s="4" t="s">
        <v>4</v>
      </c>
      <c r="O30" s="4" t="s">
        <v>4</v>
      </c>
      <c r="P30" s="4" t="s">
        <v>4</v>
      </c>
      <c r="Q30" s="4" t="s">
        <v>4</v>
      </c>
      <c r="R30" s="44"/>
      <c r="S30" s="44"/>
      <c r="T30" s="44"/>
      <c r="U30" s="44"/>
    </row>
    <row r="31" spans="1:21" s="12" customFormat="1" x14ac:dyDescent="0.25">
      <c r="A31" s="62" t="s">
        <v>637</v>
      </c>
      <c r="B31" s="4" t="s">
        <v>4</v>
      </c>
      <c r="C31" s="4" t="s">
        <v>4</v>
      </c>
      <c r="D31" s="4" t="s">
        <v>4</v>
      </c>
      <c r="E31" s="4" t="s">
        <v>4</v>
      </c>
      <c r="F31" s="4" t="s">
        <v>4</v>
      </c>
      <c r="G31" s="4" t="s">
        <v>4</v>
      </c>
      <c r="H31" s="4" t="s">
        <v>4</v>
      </c>
      <c r="I31" s="4" t="s">
        <v>4</v>
      </c>
      <c r="J31" s="4" t="s">
        <v>4</v>
      </c>
      <c r="K31" s="4" t="s">
        <v>4</v>
      </c>
      <c r="L31" s="4" t="s">
        <v>4</v>
      </c>
      <c r="M31" s="4" t="s">
        <v>4</v>
      </c>
      <c r="N31" s="4" t="s">
        <v>4</v>
      </c>
      <c r="O31" s="4" t="s">
        <v>4</v>
      </c>
      <c r="P31" s="4" t="s">
        <v>4</v>
      </c>
      <c r="Q31" s="4" t="s">
        <v>4</v>
      </c>
      <c r="R31" s="44"/>
      <c r="S31" s="44"/>
      <c r="T31" s="44"/>
      <c r="U31" s="44"/>
    </row>
    <row r="32" spans="1:21" s="12" customFormat="1" x14ac:dyDescent="0.25">
      <c r="A32" s="62" t="s">
        <v>638</v>
      </c>
      <c r="B32" s="4" t="s">
        <v>4</v>
      </c>
      <c r="C32" s="4" t="s">
        <v>4</v>
      </c>
      <c r="D32" s="4" t="s">
        <v>4</v>
      </c>
      <c r="E32" s="4" t="s">
        <v>4</v>
      </c>
      <c r="F32" s="4" t="s">
        <v>4</v>
      </c>
      <c r="G32" s="4" t="s">
        <v>4</v>
      </c>
      <c r="H32" s="4" t="s">
        <v>4</v>
      </c>
      <c r="I32" s="4" t="s">
        <v>4</v>
      </c>
      <c r="J32" s="4" t="s">
        <v>4</v>
      </c>
      <c r="K32" s="4" t="s">
        <v>4</v>
      </c>
      <c r="L32" s="4" t="s">
        <v>4</v>
      </c>
      <c r="M32" s="4" t="s">
        <v>4</v>
      </c>
      <c r="N32" s="4" t="s">
        <v>4</v>
      </c>
      <c r="O32" s="4" t="s">
        <v>4</v>
      </c>
      <c r="P32" s="4" t="s">
        <v>4</v>
      </c>
      <c r="Q32" s="4" t="s">
        <v>4</v>
      </c>
      <c r="R32" s="44"/>
      <c r="S32" s="44"/>
      <c r="T32" s="44"/>
      <c r="U32" s="44"/>
    </row>
    <row r="33" spans="1:21" s="22" customFormat="1" x14ac:dyDescent="0.25">
      <c r="A33" s="27"/>
      <c r="B33" s="21"/>
      <c r="C33" s="21"/>
      <c r="D33" s="21"/>
      <c r="E33" s="21"/>
      <c r="F33" s="21"/>
      <c r="G33" s="27"/>
      <c r="H33" s="27"/>
      <c r="I33" s="27"/>
      <c r="J33" s="21"/>
      <c r="K33" s="21"/>
      <c r="L33" s="27"/>
      <c r="M33" s="27"/>
      <c r="N33" s="27"/>
      <c r="O33" s="27"/>
      <c r="P33" s="27"/>
      <c r="Q33" s="21"/>
      <c r="R33" s="21"/>
      <c r="S33" s="21"/>
      <c r="T33" s="21"/>
      <c r="U33" s="21"/>
    </row>
    <row r="34" spans="1:21" s="22" customFormat="1" x14ac:dyDescent="0.25">
      <c r="A34" s="28" t="s">
        <v>30</v>
      </c>
      <c r="B34" s="29">
        <f t="shared" ref="B34:Q34" si="0">MIN(B9:B32)</f>
        <v>0</v>
      </c>
      <c r="C34" s="29">
        <f t="shared" si="0"/>
        <v>0</v>
      </c>
      <c r="D34" s="29">
        <f t="shared" si="0"/>
        <v>0</v>
      </c>
      <c r="E34" s="29">
        <f t="shared" si="0"/>
        <v>0</v>
      </c>
      <c r="F34" s="29">
        <f t="shared" si="0"/>
        <v>0</v>
      </c>
      <c r="G34" s="29">
        <f t="shared" si="0"/>
        <v>0</v>
      </c>
      <c r="H34" s="29">
        <f t="shared" si="0"/>
        <v>0</v>
      </c>
      <c r="I34" s="29">
        <f t="shared" si="0"/>
        <v>0</v>
      </c>
      <c r="J34" s="29">
        <f t="shared" si="0"/>
        <v>0</v>
      </c>
      <c r="K34" s="29">
        <f t="shared" si="0"/>
        <v>0</v>
      </c>
      <c r="L34" s="29">
        <f t="shared" si="0"/>
        <v>0</v>
      </c>
      <c r="M34" s="29">
        <f t="shared" si="0"/>
        <v>0</v>
      </c>
      <c r="N34" s="29">
        <f t="shared" si="0"/>
        <v>0</v>
      </c>
      <c r="O34" s="29">
        <f t="shared" si="0"/>
        <v>0</v>
      </c>
      <c r="P34" s="29">
        <f t="shared" si="0"/>
        <v>0</v>
      </c>
      <c r="Q34" s="29">
        <f t="shared" si="0"/>
        <v>0</v>
      </c>
      <c r="R34" s="29"/>
      <c r="S34" s="29"/>
      <c r="T34" s="29"/>
      <c r="U34" s="29"/>
    </row>
    <row r="35" spans="1:21" s="22" customFormat="1" x14ac:dyDescent="0.25">
      <c r="A35" s="28" t="s">
        <v>31</v>
      </c>
      <c r="B35" s="30">
        <f t="shared" ref="B35:Q35" si="1">MAX(B9:B32)</f>
        <v>0</v>
      </c>
      <c r="C35" s="30">
        <f t="shared" si="1"/>
        <v>0</v>
      </c>
      <c r="D35" s="30">
        <f t="shared" si="1"/>
        <v>0</v>
      </c>
      <c r="E35" s="30">
        <f t="shared" si="1"/>
        <v>0</v>
      </c>
      <c r="F35" s="30">
        <f t="shared" si="1"/>
        <v>0</v>
      </c>
      <c r="G35" s="30">
        <f t="shared" si="1"/>
        <v>0</v>
      </c>
      <c r="H35" s="30">
        <f t="shared" si="1"/>
        <v>0</v>
      </c>
      <c r="I35" s="30">
        <f t="shared" si="1"/>
        <v>0</v>
      </c>
      <c r="J35" s="30">
        <f t="shared" si="1"/>
        <v>0</v>
      </c>
      <c r="K35" s="30">
        <f t="shared" si="1"/>
        <v>0</v>
      </c>
      <c r="L35" s="30">
        <f t="shared" si="1"/>
        <v>0</v>
      </c>
      <c r="M35" s="30">
        <f t="shared" si="1"/>
        <v>0</v>
      </c>
      <c r="N35" s="30">
        <f t="shared" si="1"/>
        <v>0</v>
      </c>
      <c r="O35" s="30">
        <f t="shared" si="1"/>
        <v>0</v>
      </c>
      <c r="P35" s="30">
        <f t="shared" si="1"/>
        <v>0</v>
      </c>
      <c r="Q35" s="30">
        <f t="shared" si="1"/>
        <v>0</v>
      </c>
      <c r="R35" s="30"/>
      <c r="S35" s="30"/>
      <c r="T35" s="30"/>
      <c r="U35" s="30"/>
    </row>
    <row r="36" spans="1:21" s="22" customFormat="1" x14ac:dyDescent="0.25">
      <c r="A36" s="28" t="s">
        <v>32</v>
      </c>
      <c r="B36" s="29" t="e">
        <f t="shared" ref="B36:Q36" si="2">AVERAGE(B9:B32)</f>
        <v>#DIV/0!</v>
      </c>
      <c r="C36" s="29" t="e">
        <f t="shared" si="2"/>
        <v>#DIV/0!</v>
      </c>
      <c r="D36" s="29" t="e">
        <f t="shared" si="2"/>
        <v>#DIV/0!</v>
      </c>
      <c r="E36" s="29" t="e">
        <f t="shared" si="2"/>
        <v>#DIV/0!</v>
      </c>
      <c r="F36" s="29" t="e">
        <f t="shared" si="2"/>
        <v>#DIV/0!</v>
      </c>
      <c r="G36" s="29" t="e">
        <f t="shared" si="2"/>
        <v>#DIV/0!</v>
      </c>
      <c r="H36" s="29" t="e">
        <f t="shared" si="2"/>
        <v>#DIV/0!</v>
      </c>
      <c r="I36" s="29" t="e">
        <f t="shared" si="2"/>
        <v>#DIV/0!</v>
      </c>
      <c r="J36" s="29" t="e">
        <f t="shared" si="2"/>
        <v>#DIV/0!</v>
      </c>
      <c r="K36" s="29" t="e">
        <f t="shared" si="2"/>
        <v>#DIV/0!</v>
      </c>
      <c r="L36" s="29" t="e">
        <f t="shared" si="2"/>
        <v>#DIV/0!</v>
      </c>
      <c r="M36" s="29" t="e">
        <f t="shared" si="2"/>
        <v>#DIV/0!</v>
      </c>
      <c r="N36" s="29" t="e">
        <f t="shared" si="2"/>
        <v>#DIV/0!</v>
      </c>
      <c r="O36" s="29" t="e">
        <f t="shared" si="2"/>
        <v>#DIV/0!</v>
      </c>
      <c r="P36" s="29" t="e">
        <f t="shared" si="2"/>
        <v>#DIV/0!</v>
      </c>
      <c r="Q36" s="29" t="e">
        <f t="shared" si="2"/>
        <v>#DIV/0!</v>
      </c>
      <c r="R36" s="29"/>
      <c r="S36" s="29"/>
      <c r="T36" s="29"/>
      <c r="U36" s="29"/>
    </row>
    <row r="37" spans="1:21" s="22" customFormat="1" x14ac:dyDescent="0.25">
      <c r="A37" s="28" t="s">
        <v>38</v>
      </c>
      <c r="B37" s="29" t="e">
        <f>STDEV(B9:B32)</f>
        <v>#DIV/0!</v>
      </c>
      <c r="C37" s="29" t="e">
        <f t="shared" ref="C37:Q37" si="3">STDEV(C9:C32)</f>
        <v>#DIV/0!</v>
      </c>
      <c r="D37" s="29" t="e">
        <f t="shared" si="3"/>
        <v>#DIV/0!</v>
      </c>
      <c r="E37" s="29" t="e">
        <f t="shared" si="3"/>
        <v>#DIV/0!</v>
      </c>
      <c r="F37" s="29" t="e">
        <f t="shared" si="3"/>
        <v>#DIV/0!</v>
      </c>
      <c r="G37" s="29" t="e">
        <f t="shared" si="3"/>
        <v>#DIV/0!</v>
      </c>
      <c r="H37" s="29" t="e">
        <f t="shared" si="3"/>
        <v>#DIV/0!</v>
      </c>
      <c r="I37" s="29" t="e">
        <f t="shared" si="3"/>
        <v>#DIV/0!</v>
      </c>
      <c r="J37" s="29" t="e">
        <f t="shared" si="3"/>
        <v>#DIV/0!</v>
      </c>
      <c r="K37" s="29" t="e">
        <f t="shared" si="3"/>
        <v>#DIV/0!</v>
      </c>
      <c r="L37" s="29" t="e">
        <f t="shared" si="3"/>
        <v>#DIV/0!</v>
      </c>
      <c r="M37" s="29" t="e">
        <f t="shared" si="3"/>
        <v>#DIV/0!</v>
      </c>
      <c r="N37" s="29" t="e">
        <f t="shared" si="3"/>
        <v>#DIV/0!</v>
      </c>
      <c r="O37" s="29" t="e">
        <f t="shared" si="3"/>
        <v>#DIV/0!</v>
      </c>
      <c r="P37" s="29" t="e">
        <f t="shared" si="3"/>
        <v>#DIV/0!</v>
      </c>
      <c r="Q37" s="29" t="e">
        <f t="shared" si="3"/>
        <v>#DIV/0!</v>
      </c>
      <c r="R37" s="29"/>
      <c r="S37" s="29"/>
      <c r="T37" s="29"/>
      <c r="U37" s="29"/>
    </row>
    <row r="38" spans="1:21" s="22" customFormat="1" x14ac:dyDescent="0.25">
      <c r="A38" s="32" t="s">
        <v>33</v>
      </c>
      <c r="B38" s="33">
        <f>COUNT(B9:B32)+24</f>
        <v>24</v>
      </c>
      <c r="C38" s="33">
        <f t="shared" ref="C38:Q38" si="4">COUNT(C9:C32)+24</f>
        <v>24</v>
      </c>
      <c r="D38" s="33">
        <f t="shared" si="4"/>
        <v>24</v>
      </c>
      <c r="E38" s="33">
        <f t="shared" si="4"/>
        <v>24</v>
      </c>
      <c r="F38" s="33">
        <f t="shared" si="4"/>
        <v>24</v>
      </c>
      <c r="G38" s="33">
        <f t="shared" si="4"/>
        <v>24</v>
      </c>
      <c r="H38" s="33">
        <f t="shared" si="4"/>
        <v>24</v>
      </c>
      <c r="I38" s="33">
        <f t="shared" si="4"/>
        <v>24</v>
      </c>
      <c r="J38" s="33">
        <f t="shared" si="4"/>
        <v>24</v>
      </c>
      <c r="K38" s="33">
        <f t="shared" si="4"/>
        <v>24</v>
      </c>
      <c r="L38" s="33">
        <f t="shared" si="4"/>
        <v>24</v>
      </c>
      <c r="M38" s="33">
        <f t="shared" si="4"/>
        <v>24</v>
      </c>
      <c r="N38" s="33">
        <f t="shared" si="4"/>
        <v>24</v>
      </c>
      <c r="O38" s="33">
        <f t="shared" si="4"/>
        <v>24</v>
      </c>
      <c r="P38" s="33">
        <f t="shared" si="4"/>
        <v>24</v>
      </c>
      <c r="Q38" s="33">
        <f t="shared" si="4"/>
        <v>24</v>
      </c>
      <c r="R38" s="33"/>
      <c r="S38" s="33"/>
      <c r="T38" s="33"/>
      <c r="U38" s="33"/>
    </row>
    <row r="39" spans="1:21" s="22" customFormat="1" x14ac:dyDescent="0.25">
      <c r="A39" s="28" t="s">
        <v>34</v>
      </c>
      <c r="B39" s="30" t="str">
        <f>IF(B38&gt;=22,"&gt;90%",IF(B38&lt;=22,"&lt;90%"))</f>
        <v>&gt;90%</v>
      </c>
      <c r="C39" s="30" t="str">
        <f t="shared" ref="C39:P39" si="5">IF(C38&gt;=22,"&gt;90%",IF(C38&lt;=22,"&lt;90%"))</f>
        <v>&gt;90%</v>
      </c>
      <c r="D39" s="30" t="str">
        <f t="shared" si="5"/>
        <v>&gt;90%</v>
      </c>
      <c r="E39" s="30" t="str">
        <f t="shared" si="5"/>
        <v>&gt;90%</v>
      </c>
      <c r="F39" s="30" t="str">
        <f t="shared" si="5"/>
        <v>&gt;90%</v>
      </c>
      <c r="G39" s="30" t="str">
        <f t="shared" si="5"/>
        <v>&gt;90%</v>
      </c>
      <c r="H39" s="30" t="str">
        <f t="shared" si="5"/>
        <v>&gt;90%</v>
      </c>
      <c r="I39" s="30" t="str">
        <f t="shared" si="5"/>
        <v>&gt;90%</v>
      </c>
      <c r="J39" s="30" t="str">
        <f t="shared" si="5"/>
        <v>&gt;90%</v>
      </c>
      <c r="K39" s="30" t="str">
        <f t="shared" si="5"/>
        <v>&gt;90%</v>
      </c>
      <c r="L39" s="30" t="str">
        <f t="shared" si="5"/>
        <v>&gt;90%</v>
      </c>
      <c r="M39" s="30" t="str">
        <f t="shared" si="5"/>
        <v>&gt;90%</v>
      </c>
      <c r="N39" s="30" t="str">
        <f t="shared" si="5"/>
        <v>&gt;90%</v>
      </c>
      <c r="O39" s="30" t="str">
        <f t="shared" si="5"/>
        <v>&gt;90%</v>
      </c>
      <c r="P39" s="30" t="str">
        <f t="shared" si="5"/>
        <v>&gt;90%</v>
      </c>
      <c r="Q39" s="30" t="str">
        <f>IF(Q38&gt;=22,"&gt;90%",IF(Q38&lt;=22,"&lt;90%"))</f>
        <v>&gt;90%</v>
      </c>
      <c r="R39" s="30"/>
      <c r="S39" s="30"/>
      <c r="T39" s="30"/>
      <c r="U39" s="30"/>
    </row>
    <row r="40" spans="1:21" s="22" customFormat="1" x14ac:dyDescent="0.25">
      <c r="A40" s="28" t="s">
        <v>1</v>
      </c>
      <c r="B40" s="30" t="str">
        <f>IF(B38&gt;=22,"OK",IF(B38&lt;=22,"LESS"))</f>
        <v>OK</v>
      </c>
      <c r="C40" s="30" t="str">
        <f t="shared" ref="C40:Q40" si="6">IF(C38&gt;=22,"OK",IF(C38&lt;=22,"LESS"))</f>
        <v>OK</v>
      </c>
      <c r="D40" s="30" t="str">
        <f t="shared" si="6"/>
        <v>OK</v>
      </c>
      <c r="E40" s="30" t="str">
        <f t="shared" si="6"/>
        <v>OK</v>
      </c>
      <c r="F40" s="30" t="str">
        <f t="shared" si="6"/>
        <v>OK</v>
      </c>
      <c r="G40" s="30" t="str">
        <f t="shared" si="6"/>
        <v>OK</v>
      </c>
      <c r="H40" s="30" t="str">
        <f t="shared" si="6"/>
        <v>OK</v>
      </c>
      <c r="I40" s="30" t="str">
        <f t="shared" si="6"/>
        <v>OK</v>
      </c>
      <c r="J40" s="30" t="str">
        <f t="shared" si="6"/>
        <v>OK</v>
      </c>
      <c r="K40" s="30" t="str">
        <f t="shared" si="6"/>
        <v>OK</v>
      </c>
      <c r="L40" s="30" t="str">
        <f t="shared" si="6"/>
        <v>OK</v>
      </c>
      <c r="M40" s="30" t="str">
        <f t="shared" si="6"/>
        <v>OK</v>
      </c>
      <c r="N40" s="30" t="str">
        <f t="shared" si="6"/>
        <v>OK</v>
      </c>
      <c r="O40" s="30" t="str">
        <f t="shared" si="6"/>
        <v>OK</v>
      </c>
      <c r="P40" s="30" t="str">
        <f t="shared" si="6"/>
        <v>OK</v>
      </c>
      <c r="Q40" s="30" t="str">
        <f t="shared" si="6"/>
        <v>OK</v>
      </c>
      <c r="R40" s="30"/>
      <c r="S40" s="30"/>
      <c r="T40" s="30"/>
      <c r="U40" s="30"/>
    </row>
    <row r="41" spans="1:21" s="22" customFormat="1" x14ac:dyDescent="0.25">
      <c r="A41" s="14"/>
      <c r="L41" s="14"/>
      <c r="N41" s="17"/>
      <c r="O41" s="17"/>
      <c r="P41" s="17"/>
      <c r="Q41" s="17"/>
      <c r="R41" s="17"/>
      <c r="S41" s="17"/>
      <c r="T41" s="17"/>
      <c r="U41" s="17"/>
    </row>
    <row r="42" spans="1:21" s="22" customFormat="1" x14ac:dyDescent="0.25">
      <c r="A42" s="14"/>
    </row>
    <row r="43" spans="1:21" s="22" customFormat="1" x14ac:dyDescent="0.25">
      <c r="A43" s="15" t="s">
        <v>35</v>
      </c>
      <c r="B43" s="41" t="s">
        <v>61</v>
      </c>
      <c r="C43" s="43"/>
    </row>
    <row r="44" spans="1:21" s="22" customFormat="1" x14ac:dyDescent="0.25">
      <c r="A44" s="14"/>
      <c r="D44" s="2"/>
      <c r="E44" s="2"/>
      <c r="F44" s="2"/>
      <c r="G44" s="2"/>
      <c r="H44" s="2"/>
      <c r="I44" s="2"/>
    </row>
    <row r="45" spans="1:21" s="22" customFormat="1" ht="15.75" x14ac:dyDescent="0.25">
      <c r="A45" s="18" t="s">
        <v>36</v>
      </c>
      <c r="B45" s="42" t="s">
        <v>518</v>
      </c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</row>
    <row r="46" spans="1:21" s="22" customFormat="1" x14ac:dyDescent="0.25"/>
    <row r="47" spans="1:21" s="22" customFormat="1" x14ac:dyDescent="0.25"/>
    <row r="48" spans="1:21" s="22" customFormat="1" x14ac:dyDescent="0.25"/>
    <row r="49" s="22" customFormat="1" x14ac:dyDescent="0.25"/>
    <row r="50" s="22" customFormat="1" x14ac:dyDescent="0.25"/>
    <row r="51" s="22" customFormat="1" x14ac:dyDescent="0.25"/>
    <row r="52" s="22" customFormat="1" x14ac:dyDescent="0.25"/>
    <row r="53" s="22" customFormat="1" x14ac:dyDescent="0.25"/>
    <row r="54" s="22" customFormat="1" x14ac:dyDescent="0.25"/>
    <row r="55" s="22" customFormat="1" x14ac:dyDescent="0.25"/>
    <row r="56" s="22" customFormat="1" x14ac:dyDescent="0.25"/>
    <row r="57" s="22" customFormat="1" x14ac:dyDescent="0.25"/>
    <row r="58" s="22" customFormat="1" x14ac:dyDescent="0.25"/>
    <row r="59" s="22" customFormat="1" x14ac:dyDescent="0.25"/>
    <row r="60" s="22" customFormat="1" x14ac:dyDescent="0.25"/>
    <row r="61" s="22" customFormat="1" x14ac:dyDescent="0.25"/>
    <row r="62" s="22" customFormat="1" x14ac:dyDescent="0.25"/>
    <row r="63" s="22" customFormat="1" x14ac:dyDescent="0.25"/>
    <row r="64" s="22" customFormat="1" x14ac:dyDescent="0.25"/>
    <row r="65" s="22" customFormat="1" x14ac:dyDescent="0.25"/>
    <row r="66" s="22" customFormat="1" x14ac:dyDescent="0.25"/>
    <row r="67" s="22" customFormat="1" x14ac:dyDescent="0.25"/>
    <row r="68" s="22" customFormat="1" x14ac:dyDescent="0.25"/>
    <row r="69" s="22" customFormat="1" x14ac:dyDescent="0.25"/>
    <row r="70" s="22" customFormat="1" x14ac:dyDescent="0.25"/>
    <row r="71" s="22" customFormat="1" x14ac:dyDescent="0.25"/>
    <row r="72" s="22" customFormat="1" x14ac:dyDescent="0.25"/>
    <row r="73" s="22" customFormat="1" x14ac:dyDescent="0.25"/>
    <row r="74" s="22" customFormat="1" x14ac:dyDescent="0.25"/>
    <row r="75" s="22" customFormat="1" x14ac:dyDescent="0.25"/>
    <row r="76" s="22" customFormat="1" x14ac:dyDescent="0.25"/>
    <row r="77" s="22" customFormat="1" x14ac:dyDescent="0.25"/>
    <row r="78" s="22" customFormat="1" x14ac:dyDescent="0.25"/>
    <row r="79" s="22" customFormat="1" x14ac:dyDescent="0.25"/>
    <row r="80" s="22" customFormat="1" x14ac:dyDescent="0.25"/>
    <row r="81" s="22" customFormat="1" x14ac:dyDescent="0.25"/>
    <row r="82" s="22" customFormat="1" x14ac:dyDescent="0.25"/>
    <row r="83" s="22" customFormat="1" x14ac:dyDescent="0.25"/>
    <row r="84" s="22" customFormat="1" x14ac:dyDescent="0.25"/>
    <row r="85" s="22" customFormat="1" x14ac:dyDescent="0.25"/>
    <row r="86" s="22" customFormat="1" x14ac:dyDescent="0.25"/>
    <row r="87" s="22" customFormat="1" x14ac:dyDescent="0.25"/>
    <row r="88" s="22" customFormat="1" x14ac:dyDescent="0.25"/>
    <row r="89" s="22" customFormat="1" x14ac:dyDescent="0.25"/>
    <row r="90" s="22" customFormat="1" x14ac:dyDescent="0.25"/>
    <row r="91" s="22" customFormat="1" x14ac:dyDescent="0.25"/>
    <row r="92" s="22" customFormat="1" x14ac:dyDescent="0.25"/>
    <row r="93" s="22" customFormat="1" x14ac:dyDescent="0.25"/>
    <row r="94" s="22" customFormat="1" x14ac:dyDescent="0.25"/>
    <row r="95" s="22" customFormat="1" x14ac:dyDescent="0.25"/>
    <row r="96" s="22" customFormat="1" x14ac:dyDescent="0.25"/>
    <row r="97" spans="1:1" s="22" customFormat="1" x14ac:dyDescent="0.25"/>
    <row r="98" spans="1:1" s="22" customFormat="1" x14ac:dyDescent="0.25"/>
    <row r="99" spans="1:1" s="22" customFormat="1" x14ac:dyDescent="0.25"/>
    <row r="100" spans="1:1" s="22" customFormat="1" x14ac:dyDescent="0.25"/>
    <row r="101" spans="1:1" s="22" customFormat="1" x14ac:dyDescent="0.25"/>
    <row r="102" spans="1:1" s="22" customFormat="1" x14ac:dyDescent="0.25"/>
    <row r="103" spans="1:1" s="22" customFormat="1" x14ac:dyDescent="0.25"/>
    <row r="104" spans="1:1" s="22" customFormat="1" x14ac:dyDescent="0.25"/>
    <row r="105" spans="1:1" s="22" customFormat="1" x14ac:dyDescent="0.25"/>
    <row r="106" spans="1:1" x14ac:dyDescent="0.25">
      <c r="A106" s="21"/>
    </row>
    <row r="107" spans="1:1" s="22" customFormat="1" x14ac:dyDescent="0.25"/>
    <row r="108" spans="1:1" s="22" customFormat="1" x14ac:dyDescent="0.25"/>
    <row r="109" spans="1:1" s="22" customFormat="1" x14ac:dyDescent="0.25"/>
    <row r="110" spans="1:1" s="22" customFormat="1" x14ac:dyDescent="0.25"/>
    <row r="111" spans="1:1" s="22" customFormat="1" x14ac:dyDescent="0.25"/>
    <row r="112" spans="1:1" s="22" customFormat="1" x14ac:dyDescent="0.25"/>
    <row r="113" spans="1:1" s="22" customFormat="1" x14ac:dyDescent="0.25"/>
    <row r="114" spans="1:1" s="22" customFormat="1" x14ac:dyDescent="0.25"/>
    <row r="115" spans="1:1" s="22" customFormat="1" x14ac:dyDescent="0.25"/>
    <row r="116" spans="1:1" s="22" customFormat="1" x14ac:dyDescent="0.25"/>
    <row r="117" spans="1:1" s="22" customFormat="1" x14ac:dyDescent="0.25"/>
    <row r="118" spans="1:1" x14ac:dyDescent="0.25">
      <c r="A118" s="21"/>
    </row>
    <row r="119" spans="1:1" x14ac:dyDescent="0.25">
      <c r="A119" s="21"/>
    </row>
  </sheetData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1" ySplit="8" topLeftCell="B24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B45" sqref="B45"/>
    </sheetView>
  </sheetViews>
  <sheetFormatPr defaultColWidth="8.85546875" defaultRowHeight="15" x14ac:dyDescent="0.25"/>
  <cols>
    <col min="1" max="1" width="18.28515625" style="27" customWidth="1"/>
    <col min="2" max="2" width="12.7109375" style="21" customWidth="1"/>
    <col min="3" max="12" width="9.140625" style="21" customWidth="1"/>
    <col min="13" max="13" width="10" style="21" customWidth="1"/>
    <col min="14" max="19" width="9.140625" style="21" customWidth="1"/>
    <col min="20" max="20" width="11.42578125" style="21" customWidth="1"/>
    <col min="21" max="16384" width="8.85546875" style="21"/>
  </cols>
  <sheetData>
    <row r="1" spans="1:21" s="22" customFormat="1" ht="26.25" x14ac:dyDescent="0.25">
      <c r="A1" s="15" t="s">
        <v>2</v>
      </c>
      <c r="B1" s="24" t="s">
        <v>43</v>
      </c>
      <c r="C1" s="38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s="22" customFormat="1" x14ac:dyDescent="0.25">
      <c r="A2" s="15" t="s">
        <v>0</v>
      </c>
      <c r="B2" s="39" t="str">
        <f>$A$9</f>
        <v>25-10-2022 01:00</v>
      </c>
      <c r="C2" s="12"/>
      <c r="D2" s="11" t="s">
        <v>3</v>
      </c>
      <c r="E2" s="11"/>
      <c r="F2" s="11"/>
      <c r="G2" s="4" t="s">
        <v>4</v>
      </c>
      <c r="H2" s="20"/>
      <c r="I2" s="20"/>
      <c r="J2" s="20"/>
      <c r="K2" s="13"/>
      <c r="L2" s="11" t="s">
        <v>5</v>
      </c>
      <c r="M2" s="13"/>
      <c r="N2" s="8" t="s">
        <v>6</v>
      </c>
      <c r="P2" s="40" t="s">
        <v>7</v>
      </c>
      <c r="Q2" s="13"/>
      <c r="R2" s="9" t="s">
        <v>8</v>
      </c>
      <c r="S2" s="12"/>
      <c r="T2" s="12"/>
      <c r="U2" s="12"/>
    </row>
    <row r="3" spans="1:21" s="22" customFormat="1" x14ac:dyDescent="0.25">
      <c r="A3" s="15" t="s">
        <v>9</v>
      </c>
      <c r="B3" s="13" t="s">
        <v>10</v>
      </c>
      <c r="C3" s="12"/>
      <c r="D3" s="11" t="s">
        <v>11</v>
      </c>
      <c r="E3" s="11"/>
      <c r="F3" s="11"/>
      <c r="G3" s="19" t="s">
        <v>12</v>
      </c>
      <c r="H3" s="20"/>
      <c r="I3" s="20"/>
      <c r="J3" s="20"/>
      <c r="K3" s="12"/>
      <c r="L3" s="11" t="s">
        <v>13</v>
      </c>
      <c r="M3" s="13"/>
      <c r="N3" s="6" t="s">
        <v>14</v>
      </c>
      <c r="O3" s="13"/>
      <c r="P3" s="40" t="s">
        <v>15</v>
      </c>
      <c r="Q3" s="13"/>
      <c r="R3" s="10" t="s">
        <v>15</v>
      </c>
      <c r="S3" s="12"/>
      <c r="T3" s="12"/>
      <c r="U3" s="12"/>
    </row>
    <row r="4" spans="1:21" s="22" customFormat="1" x14ac:dyDescent="0.25">
      <c r="A4" s="15" t="s">
        <v>16</v>
      </c>
      <c r="B4" s="13" t="s">
        <v>39</v>
      </c>
      <c r="C4" s="12"/>
      <c r="D4" s="11" t="s">
        <v>17</v>
      </c>
      <c r="E4" s="11"/>
      <c r="F4" s="11"/>
      <c r="G4" s="5" t="s">
        <v>18</v>
      </c>
      <c r="H4" s="20"/>
      <c r="I4" s="20"/>
      <c r="J4" s="20"/>
      <c r="K4" s="3"/>
      <c r="L4" s="11" t="s">
        <v>19</v>
      </c>
      <c r="M4" s="13"/>
      <c r="N4" s="7" t="s">
        <v>20</v>
      </c>
      <c r="O4" s="13"/>
      <c r="P4" s="13"/>
      <c r="Q4" s="13"/>
      <c r="R4" s="13"/>
      <c r="S4" s="12"/>
      <c r="T4" s="12"/>
      <c r="U4" s="12"/>
    </row>
    <row r="5" spans="1:21" s="22" customFormat="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s="22" customFormat="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s="22" customFormat="1" x14ac:dyDescent="0.25">
      <c r="A7" s="15" t="s">
        <v>21</v>
      </c>
      <c r="B7" s="45" t="s">
        <v>59</v>
      </c>
      <c r="C7" s="45" t="s">
        <v>44</v>
      </c>
      <c r="D7" s="45" t="s">
        <v>45</v>
      </c>
      <c r="E7" s="45" t="s">
        <v>46</v>
      </c>
      <c r="F7" s="45" t="s">
        <v>47</v>
      </c>
      <c r="G7" s="45" t="s">
        <v>48</v>
      </c>
      <c r="H7" s="45" t="s">
        <v>49</v>
      </c>
      <c r="I7" s="45" t="s">
        <v>50</v>
      </c>
      <c r="J7" s="45" t="s">
        <v>51</v>
      </c>
      <c r="K7" s="45" t="s">
        <v>52</v>
      </c>
      <c r="L7" s="45" t="s">
        <v>53</v>
      </c>
      <c r="M7" s="45" t="s">
        <v>54</v>
      </c>
      <c r="N7" s="45" t="s">
        <v>55</v>
      </c>
      <c r="O7" s="45" t="s">
        <v>56</v>
      </c>
      <c r="P7" s="45" t="s">
        <v>57</v>
      </c>
      <c r="Q7" s="45" t="s">
        <v>58</v>
      </c>
      <c r="R7" s="28"/>
      <c r="S7" s="30"/>
      <c r="T7" s="28"/>
      <c r="U7" s="28"/>
    </row>
    <row r="8" spans="1:21" s="22" customFormat="1" x14ac:dyDescent="0.25">
      <c r="A8" s="15"/>
      <c r="B8" s="30" t="s">
        <v>22</v>
      </c>
      <c r="C8" s="30" t="s">
        <v>22</v>
      </c>
      <c r="D8" s="30" t="s">
        <v>22</v>
      </c>
      <c r="E8" s="30" t="s">
        <v>22</v>
      </c>
      <c r="F8" s="30" t="s">
        <v>22</v>
      </c>
      <c r="G8" s="30" t="s">
        <v>23</v>
      </c>
      <c r="H8" s="30" t="s">
        <v>22</v>
      </c>
      <c r="I8" s="30" t="s">
        <v>22</v>
      </c>
      <c r="J8" s="30" t="s">
        <v>24</v>
      </c>
      <c r="K8" s="30" t="s">
        <v>25</v>
      </c>
      <c r="L8" s="28" t="s">
        <v>27</v>
      </c>
      <c r="M8" s="30" t="s">
        <v>26</v>
      </c>
      <c r="N8" s="30" t="s">
        <v>28</v>
      </c>
      <c r="O8" s="28" t="s">
        <v>29</v>
      </c>
      <c r="P8" s="30" t="s">
        <v>22</v>
      </c>
      <c r="Q8" s="30" t="s">
        <v>22</v>
      </c>
      <c r="R8" s="28"/>
      <c r="S8" s="30"/>
      <c r="T8" s="28"/>
      <c r="U8" s="28"/>
    </row>
    <row r="9" spans="1:21" s="12" customFormat="1" x14ac:dyDescent="0.25">
      <c r="A9" s="60" t="s">
        <v>639</v>
      </c>
      <c r="B9" s="4" t="s">
        <v>4</v>
      </c>
      <c r="C9" s="4" t="s">
        <v>4</v>
      </c>
      <c r="D9" s="4" t="s">
        <v>4</v>
      </c>
      <c r="E9" s="4" t="s">
        <v>4</v>
      </c>
      <c r="F9" s="4" t="s">
        <v>4</v>
      </c>
      <c r="G9" s="4" t="s">
        <v>4</v>
      </c>
      <c r="H9" s="4" t="s">
        <v>4</v>
      </c>
      <c r="I9" s="4" t="s">
        <v>4</v>
      </c>
      <c r="J9" s="4" t="s">
        <v>4</v>
      </c>
      <c r="K9" s="4" t="s">
        <v>4</v>
      </c>
      <c r="L9" s="4" t="s">
        <v>4</v>
      </c>
      <c r="M9" s="4" t="s">
        <v>4</v>
      </c>
      <c r="N9" s="4" t="s">
        <v>4</v>
      </c>
      <c r="O9" s="4" t="s">
        <v>4</v>
      </c>
      <c r="P9" s="4" t="s">
        <v>4</v>
      </c>
      <c r="Q9" s="4" t="s">
        <v>4</v>
      </c>
      <c r="R9" s="44"/>
      <c r="S9" s="44"/>
      <c r="T9" s="44"/>
      <c r="U9" s="44"/>
    </row>
    <row r="10" spans="1:21" s="12" customFormat="1" x14ac:dyDescent="0.25">
      <c r="A10" s="60" t="s">
        <v>640</v>
      </c>
      <c r="B10" s="4" t="s">
        <v>4</v>
      </c>
      <c r="C10" s="4" t="s">
        <v>4</v>
      </c>
      <c r="D10" s="4" t="s">
        <v>4</v>
      </c>
      <c r="E10" s="4" t="s">
        <v>4</v>
      </c>
      <c r="F10" s="4" t="s">
        <v>4</v>
      </c>
      <c r="G10" s="4" t="s">
        <v>4</v>
      </c>
      <c r="H10" s="4" t="s">
        <v>4</v>
      </c>
      <c r="I10" s="4" t="s">
        <v>4</v>
      </c>
      <c r="J10" s="4" t="s">
        <v>4</v>
      </c>
      <c r="K10" s="4" t="s">
        <v>4</v>
      </c>
      <c r="L10" s="4" t="s">
        <v>4</v>
      </c>
      <c r="M10" s="4" t="s">
        <v>4</v>
      </c>
      <c r="N10" s="4" t="s">
        <v>4</v>
      </c>
      <c r="O10" s="4" t="s">
        <v>4</v>
      </c>
      <c r="P10" s="4" t="s">
        <v>4</v>
      </c>
      <c r="Q10" s="4" t="s">
        <v>4</v>
      </c>
      <c r="R10" s="44"/>
      <c r="S10" s="44"/>
      <c r="T10" s="44"/>
      <c r="U10" s="44"/>
    </row>
    <row r="11" spans="1:21" s="12" customFormat="1" x14ac:dyDescent="0.25">
      <c r="A11" s="60" t="s">
        <v>641</v>
      </c>
      <c r="B11" s="4" t="s">
        <v>4</v>
      </c>
      <c r="C11" s="4" t="s">
        <v>4</v>
      </c>
      <c r="D11" s="4" t="s">
        <v>4</v>
      </c>
      <c r="E11" s="4" t="s">
        <v>4</v>
      </c>
      <c r="F11" s="4" t="s">
        <v>4</v>
      </c>
      <c r="G11" s="4" t="s">
        <v>4</v>
      </c>
      <c r="H11" s="4" t="s">
        <v>4</v>
      </c>
      <c r="I11" s="4" t="s">
        <v>4</v>
      </c>
      <c r="J11" s="4" t="s">
        <v>4</v>
      </c>
      <c r="K11" s="4" t="s">
        <v>4</v>
      </c>
      <c r="L11" s="4" t="s">
        <v>4</v>
      </c>
      <c r="M11" s="4" t="s">
        <v>4</v>
      </c>
      <c r="N11" s="4" t="s">
        <v>4</v>
      </c>
      <c r="O11" s="4" t="s">
        <v>4</v>
      </c>
      <c r="P11" s="4" t="s">
        <v>4</v>
      </c>
      <c r="Q11" s="4" t="s">
        <v>4</v>
      </c>
      <c r="R11" s="44"/>
      <c r="S11" s="44"/>
      <c r="T11" s="44"/>
      <c r="U11" s="44"/>
    </row>
    <row r="12" spans="1:21" s="12" customFormat="1" x14ac:dyDescent="0.25">
      <c r="A12" s="60" t="s">
        <v>642</v>
      </c>
      <c r="B12" s="4" t="s">
        <v>4</v>
      </c>
      <c r="C12" s="4" t="s">
        <v>4</v>
      </c>
      <c r="D12" s="4" t="s">
        <v>4</v>
      </c>
      <c r="E12" s="4" t="s">
        <v>4</v>
      </c>
      <c r="F12" s="4" t="s">
        <v>4</v>
      </c>
      <c r="G12" s="4" t="s">
        <v>4</v>
      </c>
      <c r="H12" s="4" t="s">
        <v>4</v>
      </c>
      <c r="I12" s="4" t="s">
        <v>4</v>
      </c>
      <c r="J12" s="4" t="s">
        <v>4</v>
      </c>
      <c r="K12" s="4" t="s">
        <v>4</v>
      </c>
      <c r="L12" s="4" t="s">
        <v>4</v>
      </c>
      <c r="M12" s="4" t="s">
        <v>4</v>
      </c>
      <c r="N12" s="4" t="s">
        <v>4</v>
      </c>
      <c r="O12" s="4" t="s">
        <v>4</v>
      </c>
      <c r="P12" s="4" t="s">
        <v>4</v>
      </c>
      <c r="Q12" s="4" t="s">
        <v>4</v>
      </c>
      <c r="R12" s="44"/>
      <c r="S12" s="44"/>
      <c r="T12" s="44"/>
      <c r="U12" s="44"/>
    </row>
    <row r="13" spans="1:21" s="12" customFormat="1" x14ac:dyDescent="0.25">
      <c r="A13" s="60" t="s">
        <v>643</v>
      </c>
      <c r="B13" s="4" t="s">
        <v>4</v>
      </c>
      <c r="C13" s="4" t="s">
        <v>4</v>
      </c>
      <c r="D13" s="4" t="s">
        <v>4</v>
      </c>
      <c r="E13" s="4" t="s">
        <v>4</v>
      </c>
      <c r="F13" s="4" t="s">
        <v>4</v>
      </c>
      <c r="G13" s="4" t="s">
        <v>4</v>
      </c>
      <c r="H13" s="4" t="s">
        <v>4</v>
      </c>
      <c r="I13" s="4" t="s">
        <v>4</v>
      </c>
      <c r="J13" s="4" t="s">
        <v>4</v>
      </c>
      <c r="K13" s="4" t="s">
        <v>4</v>
      </c>
      <c r="L13" s="4" t="s">
        <v>4</v>
      </c>
      <c r="M13" s="4" t="s">
        <v>4</v>
      </c>
      <c r="N13" s="4" t="s">
        <v>4</v>
      </c>
      <c r="O13" s="4" t="s">
        <v>4</v>
      </c>
      <c r="P13" s="4" t="s">
        <v>4</v>
      </c>
      <c r="Q13" s="4" t="s">
        <v>4</v>
      </c>
      <c r="R13" s="44"/>
      <c r="S13" s="44"/>
      <c r="T13" s="44"/>
      <c r="U13" s="44"/>
    </row>
    <row r="14" spans="1:21" s="12" customFormat="1" x14ac:dyDescent="0.25">
      <c r="A14" s="60" t="s">
        <v>644</v>
      </c>
      <c r="B14" s="4" t="s">
        <v>4</v>
      </c>
      <c r="C14" s="4" t="s">
        <v>4</v>
      </c>
      <c r="D14" s="4" t="s">
        <v>4</v>
      </c>
      <c r="E14" s="4" t="s">
        <v>4</v>
      </c>
      <c r="F14" s="4" t="s">
        <v>4</v>
      </c>
      <c r="G14" s="4" t="s">
        <v>4</v>
      </c>
      <c r="H14" s="4" t="s">
        <v>4</v>
      </c>
      <c r="I14" s="4" t="s">
        <v>4</v>
      </c>
      <c r="J14" s="4" t="s">
        <v>4</v>
      </c>
      <c r="K14" s="4" t="s">
        <v>4</v>
      </c>
      <c r="L14" s="4" t="s">
        <v>4</v>
      </c>
      <c r="M14" s="4" t="s">
        <v>4</v>
      </c>
      <c r="N14" s="4" t="s">
        <v>4</v>
      </c>
      <c r="O14" s="4" t="s">
        <v>4</v>
      </c>
      <c r="P14" s="4" t="s">
        <v>4</v>
      </c>
      <c r="Q14" s="4" t="s">
        <v>4</v>
      </c>
      <c r="R14" s="44"/>
      <c r="S14" s="44"/>
      <c r="T14" s="44"/>
      <c r="U14" s="44"/>
    </row>
    <row r="15" spans="1:21" s="12" customFormat="1" x14ac:dyDescent="0.25">
      <c r="A15" s="60" t="s">
        <v>645</v>
      </c>
      <c r="B15" s="4" t="s">
        <v>4</v>
      </c>
      <c r="C15" s="4" t="s">
        <v>4</v>
      </c>
      <c r="D15" s="4" t="s">
        <v>4</v>
      </c>
      <c r="E15" s="4" t="s">
        <v>4</v>
      </c>
      <c r="F15" s="4" t="s">
        <v>4</v>
      </c>
      <c r="G15" s="4" t="s">
        <v>4</v>
      </c>
      <c r="H15" s="4" t="s">
        <v>4</v>
      </c>
      <c r="I15" s="4" t="s">
        <v>4</v>
      </c>
      <c r="J15" s="4" t="s">
        <v>4</v>
      </c>
      <c r="K15" s="4" t="s">
        <v>4</v>
      </c>
      <c r="L15" s="4" t="s">
        <v>4</v>
      </c>
      <c r="M15" s="4" t="s">
        <v>4</v>
      </c>
      <c r="N15" s="4" t="s">
        <v>4</v>
      </c>
      <c r="O15" s="4" t="s">
        <v>4</v>
      </c>
      <c r="P15" s="4" t="s">
        <v>4</v>
      </c>
      <c r="Q15" s="4" t="s">
        <v>4</v>
      </c>
      <c r="R15" s="44"/>
      <c r="S15" s="44"/>
      <c r="T15" s="44"/>
      <c r="U15" s="44"/>
    </row>
    <row r="16" spans="1:21" s="12" customFormat="1" x14ac:dyDescent="0.25">
      <c r="A16" s="60" t="s">
        <v>646</v>
      </c>
      <c r="B16" s="4" t="s">
        <v>4</v>
      </c>
      <c r="C16" s="4" t="s">
        <v>4</v>
      </c>
      <c r="D16" s="4" t="s">
        <v>4</v>
      </c>
      <c r="E16" s="4" t="s">
        <v>4</v>
      </c>
      <c r="F16" s="4" t="s">
        <v>4</v>
      </c>
      <c r="G16" s="4" t="s">
        <v>4</v>
      </c>
      <c r="H16" s="4" t="s">
        <v>4</v>
      </c>
      <c r="I16" s="4" t="s">
        <v>4</v>
      </c>
      <c r="J16" s="4" t="s">
        <v>4</v>
      </c>
      <c r="K16" s="4" t="s">
        <v>4</v>
      </c>
      <c r="L16" s="4" t="s">
        <v>4</v>
      </c>
      <c r="M16" s="4" t="s">
        <v>4</v>
      </c>
      <c r="N16" s="4" t="s">
        <v>4</v>
      </c>
      <c r="O16" s="4" t="s">
        <v>4</v>
      </c>
      <c r="P16" s="4" t="s">
        <v>4</v>
      </c>
      <c r="Q16" s="4" t="s">
        <v>4</v>
      </c>
      <c r="R16" s="44"/>
      <c r="S16" s="44"/>
      <c r="T16" s="44"/>
      <c r="U16" s="44"/>
    </row>
    <row r="17" spans="1:21" s="12" customFormat="1" x14ac:dyDescent="0.25">
      <c r="A17" s="60" t="s">
        <v>647</v>
      </c>
      <c r="B17" s="4" t="s">
        <v>4</v>
      </c>
      <c r="C17" s="4" t="s">
        <v>4</v>
      </c>
      <c r="D17" s="4" t="s">
        <v>4</v>
      </c>
      <c r="E17" s="4" t="s">
        <v>4</v>
      </c>
      <c r="F17" s="12">
        <v>9.7200000000000006</v>
      </c>
      <c r="G17" s="12">
        <v>68.06</v>
      </c>
      <c r="H17" s="12">
        <v>19.29</v>
      </c>
      <c r="I17" s="7" t="s">
        <v>20</v>
      </c>
      <c r="J17" s="12">
        <v>0.81</v>
      </c>
      <c r="K17" s="12">
        <v>177.58</v>
      </c>
      <c r="L17" s="9" t="s">
        <v>8</v>
      </c>
      <c r="M17" s="9" t="s">
        <v>8</v>
      </c>
      <c r="N17" s="12">
        <v>408.5</v>
      </c>
      <c r="O17" s="12">
        <v>0</v>
      </c>
      <c r="P17" s="7" t="s">
        <v>20</v>
      </c>
      <c r="Q17" s="7" t="s">
        <v>20</v>
      </c>
      <c r="R17" s="44"/>
      <c r="S17" s="44"/>
      <c r="T17" s="44"/>
      <c r="U17" s="44"/>
    </row>
    <row r="18" spans="1:21" s="12" customFormat="1" x14ac:dyDescent="0.25">
      <c r="A18" s="60" t="s">
        <v>648</v>
      </c>
      <c r="B18" s="12">
        <v>0.33</v>
      </c>
      <c r="C18" s="12">
        <v>16</v>
      </c>
      <c r="D18" s="12">
        <v>9.1</v>
      </c>
      <c r="E18" s="4" t="s">
        <v>4</v>
      </c>
      <c r="F18" s="12">
        <v>13.82</v>
      </c>
      <c r="G18" s="19" t="s">
        <v>12</v>
      </c>
      <c r="H18" s="19" t="s">
        <v>12</v>
      </c>
      <c r="I18" s="7" t="s">
        <v>20</v>
      </c>
      <c r="J18" s="12">
        <v>0.39</v>
      </c>
      <c r="K18" s="12">
        <v>184.03</v>
      </c>
      <c r="L18" s="9" t="s">
        <v>8</v>
      </c>
      <c r="M18" s="9" t="s">
        <v>8</v>
      </c>
      <c r="N18" s="12">
        <v>683.9</v>
      </c>
      <c r="O18" s="12">
        <v>0</v>
      </c>
      <c r="P18" s="12">
        <v>0.45</v>
      </c>
      <c r="Q18" s="7" t="s">
        <v>20</v>
      </c>
      <c r="R18" s="44"/>
      <c r="S18" s="44"/>
      <c r="T18" s="44"/>
      <c r="U18" s="44"/>
    </row>
    <row r="19" spans="1:21" s="12" customFormat="1" x14ac:dyDescent="0.25">
      <c r="A19" s="60" t="s">
        <v>649</v>
      </c>
      <c r="B19" s="12">
        <v>0.57999999999999996</v>
      </c>
      <c r="C19" s="12">
        <v>32.369999999999997</v>
      </c>
      <c r="D19" s="12">
        <v>18.3</v>
      </c>
      <c r="E19" s="12">
        <v>5.65</v>
      </c>
      <c r="F19" s="12">
        <v>10.68</v>
      </c>
      <c r="G19" s="19" t="s">
        <v>12</v>
      </c>
      <c r="H19" s="19" t="s">
        <v>12</v>
      </c>
      <c r="I19" s="12">
        <v>0.39</v>
      </c>
      <c r="J19" s="12">
        <v>0.45</v>
      </c>
      <c r="K19" s="12">
        <v>183.59</v>
      </c>
      <c r="L19" s="9" t="s">
        <v>8</v>
      </c>
      <c r="M19" s="9" t="s">
        <v>8</v>
      </c>
      <c r="N19" s="12">
        <v>768.6</v>
      </c>
      <c r="O19" s="12">
        <v>0</v>
      </c>
      <c r="P19" s="12">
        <v>0.68</v>
      </c>
      <c r="Q19" s="12">
        <v>177.23</v>
      </c>
      <c r="R19" s="44"/>
      <c r="S19" s="44"/>
      <c r="T19" s="44"/>
      <c r="U19" s="44"/>
    </row>
    <row r="20" spans="1:21" s="12" customFormat="1" x14ac:dyDescent="0.25">
      <c r="A20" s="60" t="s">
        <v>650</v>
      </c>
      <c r="B20" s="12">
        <v>1.18</v>
      </c>
      <c r="C20" s="12">
        <v>33.06</v>
      </c>
      <c r="D20" s="12">
        <v>18.66</v>
      </c>
      <c r="E20" s="12">
        <v>8.27</v>
      </c>
      <c r="F20" s="12">
        <v>82.74</v>
      </c>
      <c r="G20" s="19" t="s">
        <v>12</v>
      </c>
      <c r="H20" s="19" t="s">
        <v>12</v>
      </c>
      <c r="I20" s="12">
        <v>0.35</v>
      </c>
      <c r="J20" s="12">
        <v>0.91</v>
      </c>
      <c r="K20" s="12">
        <v>171.46</v>
      </c>
      <c r="L20" s="9" t="s">
        <v>8</v>
      </c>
      <c r="M20" s="9" t="s">
        <v>8</v>
      </c>
      <c r="N20" s="12">
        <v>792.4</v>
      </c>
      <c r="O20" s="12">
        <v>0</v>
      </c>
      <c r="P20" s="12">
        <v>0.67</v>
      </c>
      <c r="Q20" s="12">
        <v>79.8</v>
      </c>
      <c r="R20" s="44"/>
      <c r="S20" s="44"/>
      <c r="T20" s="44"/>
      <c r="U20" s="44"/>
    </row>
    <row r="21" spans="1:21" s="12" customFormat="1" x14ac:dyDescent="0.25">
      <c r="A21" s="60" t="s">
        <v>651</v>
      </c>
      <c r="B21" s="12">
        <v>0.53</v>
      </c>
      <c r="C21" s="12">
        <v>26.11</v>
      </c>
      <c r="D21" s="12">
        <v>14.75</v>
      </c>
      <c r="E21" s="12">
        <v>23.47</v>
      </c>
      <c r="F21" s="12">
        <v>92.47</v>
      </c>
      <c r="G21" s="19" t="s">
        <v>12</v>
      </c>
      <c r="H21" s="19" t="s">
        <v>12</v>
      </c>
      <c r="I21" s="12">
        <v>0.2</v>
      </c>
      <c r="J21" s="12">
        <v>0.76</v>
      </c>
      <c r="K21" s="12">
        <v>191.08</v>
      </c>
      <c r="L21" s="9" t="s">
        <v>8</v>
      </c>
      <c r="M21" s="9" t="s">
        <v>8</v>
      </c>
      <c r="N21" s="12">
        <v>781.5</v>
      </c>
      <c r="O21" s="12">
        <v>0</v>
      </c>
      <c r="P21" s="12">
        <v>0.57999999999999996</v>
      </c>
      <c r="Q21" s="12">
        <v>35.799999999999997</v>
      </c>
      <c r="R21" s="44"/>
      <c r="S21" s="44"/>
      <c r="T21" s="44"/>
      <c r="U21" s="44"/>
    </row>
    <row r="22" spans="1:21" s="12" customFormat="1" x14ac:dyDescent="0.25">
      <c r="A22" s="60" t="s">
        <v>652</v>
      </c>
      <c r="B22" s="12">
        <v>1.65</v>
      </c>
      <c r="C22" s="12">
        <v>41.12</v>
      </c>
      <c r="D22" s="12">
        <v>24.02</v>
      </c>
      <c r="E22" s="12">
        <v>33.35</v>
      </c>
      <c r="F22" s="12">
        <v>102.07</v>
      </c>
      <c r="G22" s="19" t="s">
        <v>12</v>
      </c>
      <c r="H22" s="19" t="s">
        <v>12</v>
      </c>
      <c r="I22" s="12">
        <v>7.0000000000000007E-2</v>
      </c>
      <c r="J22" s="12">
        <v>1.08</v>
      </c>
      <c r="K22" s="12">
        <v>181.37</v>
      </c>
      <c r="L22" s="9" t="s">
        <v>8</v>
      </c>
      <c r="M22" s="9" t="s">
        <v>8</v>
      </c>
      <c r="N22" s="12">
        <v>708.1</v>
      </c>
      <c r="O22" s="12">
        <v>0</v>
      </c>
      <c r="P22" s="12">
        <v>0.94</v>
      </c>
      <c r="Q22" s="12">
        <v>21.17</v>
      </c>
      <c r="R22" s="44"/>
      <c r="S22" s="44"/>
      <c r="T22" s="44"/>
      <c r="U22" s="44"/>
    </row>
    <row r="23" spans="1:21" s="12" customFormat="1" x14ac:dyDescent="0.25">
      <c r="A23" s="60" t="s">
        <v>653</v>
      </c>
      <c r="B23" s="12">
        <v>0.78</v>
      </c>
      <c r="C23" s="12">
        <v>18.899999999999999</v>
      </c>
      <c r="D23" s="12">
        <v>10.54</v>
      </c>
      <c r="E23" s="12">
        <v>12.41</v>
      </c>
      <c r="F23" s="12">
        <v>81.430000000000007</v>
      </c>
      <c r="G23" s="19" t="s">
        <v>12</v>
      </c>
      <c r="H23" s="19" t="s">
        <v>12</v>
      </c>
      <c r="I23" s="12">
        <v>0.08</v>
      </c>
      <c r="J23" s="12">
        <v>0.42</v>
      </c>
      <c r="K23" s="12">
        <v>334.28</v>
      </c>
      <c r="L23" s="9" t="s">
        <v>8</v>
      </c>
      <c r="M23" s="9" t="s">
        <v>8</v>
      </c>
      <c r="N23" s="12">
        <v>593.79999999999995</v>
      </c>
      <c r="O23" s="12">
        <v>0</v>
      </c>
      <c r="P23" s="12">
        <v>0.52</v>
      </c>
      <c r="Q23" s="12">
        <v>87.07</v>
      </c>
      <c r="R23" s="44"/>
      <c r="S23" s="44"/>
      <c r="T23" s="44"/>
      <c r="U23" s="44"/>
    </row>
    <row r="24" spans="1:21" s="12" customFormat="1" x14ac:dyDescent="0.25">
      <c r="A24" s="60" t="s">
        <v>654</v>
      </c>
      <c r="B24" s="12">
        <v>1.1499999999999999</v>
      </c>
      <c r="C24" s="12">
        <v>24.23</v>
      </c>
      <c r="D24" s="12">
        <v>14.3</v>
      </c>
      <c r="E24" s="12">
        <v>8.34</v>
      </c>
      <c r="F24" s="12">
        <v>70.430000000000007</v>
      </c>
      <c r="G24" s="19" t="s">
        <v>12</v>
      </c>
      <c r="H24" s="19" t="s">
        <v>12</v>
      </c>
      <c r="I24" s="12">
        <v>0.08</v>
      </c>
      <c r="J24" s="12">
        <v>0.17</v>
      </c>
      <c r="K24" s="12">
        <v>328.43</v>
      </c>
      <c r="L24" s="9" t="s">
        <v>8</v>
      </c>
      <c r="M24" s="9" t="s">
        <v>8</v>
      </c>
      <c r="N24" s="12">
        <v>169.3</v>
      </c>
      <c r="O24" s="12">
        <v>0</v>
      </c>
      <c r="P24" s="12">
        <v>0.4</v>
      </c>
      <c r="Q24" s="12">
        <v>95.25</v>
      </c>
      <c r="R24" s="44"/>
      <c r="S24" s="44"/>
      <c r="T24" s="44"/>
      <c r="U24" s="44"/>
    </row>
    <row r="25" spans="1:21" s="12" customFormat="1" x14ac:dyDescent="0.25">
      <c r="A25" s="60" t="s">
        <v>655</v>
      </c>
      <c r="B25" s="12">
        <v>1.87</v>
      </c>
      <c r="C25" s="12">
        <v>34.24</v>
      </c>
      <c r="D25" s="12">
        <v>19.66</v>
      </c>
      <c r="E25" s="12">
        <v>8.15</v>
      </c>
      <c r="F25" s="12">
        <v>71.180000000000007</v>
      </c>
      <c r="G25" s="12">
        <v>15.42</v>
      </c>
      <c r="H25" s="12">
        <v>8.4600000000000009</v>
      </c>
      <c r="I25" s="12">
        <v>0.09</v>
      </c>
      <c r="J25" s="12">
        <v>0.12</v>
      </c>
      <c r="K25" s="12">
        <v>359.35</v>
      </c>
      <c r="L25" s="9" t="s">
        <v>8</v>
      </c>
      <c r="M25" s="9" t="s">
        <v>8</v>
      </c>
      <c r="N25" s="12">
        <v>61</v>
      </c>
      <c r="O25" s="12">
        <v>0</v>
      </c>
      <c r="P25" s="12">
        <v>0.45</v>
      </c>
      <c r="Q25" s="12">
        <v>96.92</v>
      </c>
      <c r="R25" s="44"/>
      <c r="S25" s="44"/>
      <c r="T25" s="44"/>
      <c r="U25" s="44"/>
    </row>
    <row r="26" spans="1:21" s="12" customFormat="1" x14ac:dyDescent="0.25">
      <c r="A26" s="60" t="s">
        <v>656</v>
      </c>
      <c r="B26" s="12">
        <v>0.63</v>
      </c>
      <c r="C26" s="12">
        <v>33.4</v>
      </c>
      <c r="D26" s="12">
        <v>18.43</v>
      </c>
      <c r="E26" s="12">
        <v>9.2100000000000009</v>
      </c>
      <c r="F26" s="12">
        <v>62</v>
      </c>
      <c r="G26" s="12">
        <v>27.18</v>
      </c>
      <c r="H26" s="12">
        <v>13.04</v>
      </c>
      <c r="I26" s="12">
        <v>0.14000000000000001</v>
      </c>
      <c r="J26" s="12">
        <v>0.15</v>
      </c>
      <c r="K26" s="12">
        <v>338.52</v>
      </c>
      <c r="L26" s="9" t="s">
        <v>8</v>
      </c>
      <c r="M26" s="9" t="s">
        <v>8</v>
      </c>
      <c r="N26" s="12">
        <v>18.5</v>
      </c>
      <c r="O26" s="12">
        <v>0</v>
      </c>
      <c r="P26" s="12">
        <v>0.65</v>
      </c>
      <c r="Q26" s="12">
        <v>99.42</v>
      </c>
      <c r="R26" s="44"/>
      <c r="S26" s="44"/>
      <c r="T26" s="44"/>
      <c r="U26" s="44"/>
    </row>
    <row r="27" spans="1:21" s="12" customFormat="1" x14ac:dyDescent="0.25">
      <c r="A27" s="60" t="s">
        <v>657</v>
      </c>
      <c r="B27" s="12">
        <v>9.69</v>
      </c>
      <c r="C27" s="12">
        <v>97.41</v>
      </c>
      <c r="D27" s="12">
        <v>61.53</v>
      </c>
      <c r="E27" s="12">
        <v>22.22</v>
      </c>
      <c r="F27" s="12">
        <v>47.31</v>
      </c>
      <c r="G27" s="12">
        <v>27.49</v>
      </c>
      <c r="H27" s="12">
        <v>21.35</v>
      </c>
      <c r="I27" s="12">
        <v>0.3</v>
      </c>
      <c r="J27" s="12">
        <v>0.18</v>
      </c>
      <c r="K27" s="12">
        <v>319.41000000000003</v>
      </c>
      <c r="L27" s="9" t="s">
        <v>8</v>
      </c>
      <c r="M27" s="9" t="s">
        <v>8</v>
      </c>
      <c r="N27" s="12">
        <v>4.7</v>
      </c>
      <c r="O27" s="12">
        <v>0</v>
      </c>
      <c r="P27" s="12">
        <v>1.63</v>
      </c>
      <c r="Q27" s="12">
        <v>125.04</v>
      </c>
      <c r="R27" s="44"/>
      <c r="S27" s="44"/>
      <c r="T27" s="44"/>
      <c r="U27" s="44"/>
    </row>
    <row r="28" spans="1:21" s="12" customFormat="1" x14ac:dyDescent="0.25">
      <c r="A28" s="60" t="s">
        <v>658</v>
      </c>
      <c r="B28" s="12">
        <v>19.64</v>
      </c>
      <c r="C28" s="12">
        <v>143.61000000000001</v>
      </c>
      <c r="D28" s="12">
        <v>95.01</v>
      </c>
      <c r="E28" s="12">
        <v>30.62</v>
      </c>
      <c r="F28" s="12">
        <v>27.29</v>
      </c>
      <c r="G28" s="12">
        <v>47.71</v>
      </c>
      <c r="H28" s="12">
        <v>39.4</v>
      </c>
      <c r="I28" s="12">
        <v>0.48</v>
      </c>
      <c r="J28" s="12">
        <v>0.08</v>
      </c>
      <c r="K28" s="12">
        <v>320.83</v>
      </c>
      <c r="L28" s="9" t="s">
        <v>8</v>
      </c>
      <c r="M28" s="9" t="s">
        <v>8</v>
      </c>
      <c r="N28" s="12">
        <v>4.8</v>
      </c>
      <c r="O28" s="12">
        <v>0</v>
      </c>
      <c r="P28" s="12">
        <v>1.89</v>
      </c>
      <c r="Q28" s="12">
        <v>133.76</v>
      </c>
      <c r="R28" s="44"/>
      <c r="S28" s="44"/>
      <c r="T28" s="44"/>
      <c r="U28" s="44"/>
    </row>
    <row r="29" spans="1:21" s="12" customFormat="1" x14ac:dyDescent="0.25">
      <c r="A29" s="60" t="s">
        <v>659</v>
      </c>
      <c r="B29" s="12">
        <v>27.97</v>
      </c>
      <c r="C29" s="12">
        <v>176.07</v>
      </c>
      <c r="D29" s="12">
        <v>119.6</v>
      </c>
      <c r="E29" s="12">
        <v>24.88</v>
      </c>
      <c r="F29" s="12">
        <v>15.75</v>
      </c>
      <c r="G29" s="12">
        <v>78.790000000000006</v>
      </c>
      <c r="H29" s="12">
        <v>58.58</v>
      </c>
      <c r="I29" s="12">
        <v>0.6</v>
      </c>
      <c r="J29" s="12">
        <v>0.12</v>
      </c>
      <c r="K29" s="12">
        <v>345.72</v>
      </c>
      <c r="L29" s="9" t="s">
        <v>8</v>
      </c>
      <c r="M29" s="9" t="s">
        <v>8</v>
      </c>
      <c r="N29" s="12">
        <v>4.7</v>
      </c>
      <c r="O29" s="12">
        <v>0</v>
      </c>
      <c r="P29" s="12">
        <v>2.19</v>
      </c>
      <c r="Q29" s="12">
        <v>157.78</v>
      </c>
      <c r="R29" s="44"/>
      <c r="S29" s="44"/>
      <c r="T29" s="44"/>
      <c r="U29" s="44"/>
    </row>
    <row r="30" spans="1:21" s="12" customFormat="1" x14ac:dyDescent="0.25">
      <c r="A30" s="60" t="s">
        <v>660</v>
      </c>
      <c r="B30" s="12">
        <v>16.93</v>
      </c>
      <c r="C30" s="12">
        <v>164.09</v>
      </c>
      <c r="D30" s="12">
        <v>104.13</v>
      </c>
      <c r="E30" s="12">
        <v>32.96</v>
      </c>
      <c r="F30" s="12">
        <v>26.55</v>
      </c>
      <c r="G30" s="12">
        <v>109.05</v>
      </c>
      <c r="H30" s="12">
        <v>88.89</v>
      </c>
      <c r="I30" s="12">
        <v>0.5</v>
      </c>
      <c r="J30" s="12">
        <v>0.11</v>
      </c>
      <c r="K30" s="12">
        <v>334.09</v>
      </c>
      <c r="L30" s="9" t="s">
        <v>8</v>
      </c>
      <c r="M30" s="9" t="s">
        <v>8</v>
      </c>
      <c r="N30" s="12">
        <v>4.8</v>
      </c>
      <c r="O30" s="12">
        <v>0</v>
      </c>
      <c r="P30" s="12">
        <v>1.65</v>
      </c>
      <c r="Q30" s="12">
        <v>162.54</v>
      </c>
      <c r="R30" s="44"/>
      <c r="S30" s="44"/>
      <c r="T30" s="44"/>
      <c r="U30" s="44"/>
    </row>
    <row r="31" spans="1:21" s="12" customFormat="1" x14ac:dyDescent="0.25">
      <c r="A31" s="60" t="s">
        <v>661</v>
      </c>
      <c r="B31" s="12">
        <v>29.18</v>
      </c>
      <c r="C31" s="12">
        <v>131.62</v>
      </c>
      <c r="D31" s="12">
        <v>96.04</v>
      </c>
      <c r="E31" s="12">
        <v>18.61</v>
      </c>
      <c r="F31" s="12">
        <v>23.89</v>
      </c>
      <c r="G31" s="12">
        <v>136.72999999999999</v>
      </c>
      <c r="H31" s="12">
        <v>108.44</v>
      </c>
      <c r="I31" s="12">
        <v>0.32</v>
      </c>
      <c r="J31" s="12">
        <v>0.12</v>
      </c>
      <c r="K31" s="12">
        <v>325.95</v>
      </c>
      <c r="L31" s="9" t="s">
        <v>8</v>
      </c>
      <c r="M31" s="9" t="s">
        <v>8</v>
      </c>
      <c r="N31" s="12">
        <v>4.5999999999999996</v>
      </c>
      <c r="O31" s="12">
        <v>0</v>
      </c>
      <c r="P31" s="12">
        <v>1.53</v>
      </c>
      <c r="Q31" s="12">
        <v>127.61</v>
      </c>
      <c r="R31" s="44"/>
      <c r="S31" s="44"/>
      <c r="T31" s="44"/>
      <c r="U31" s="44"/>
    </row>
    <row r="32" spans="1:21" s="12" customFormat="1" x14ac:dyDescent="0.25">
      <c r="A32" s="60" t="s">
        <v>662</v>
      </c>
      <c r="B32" s="12">
        <v>30.96</v>
      </c>
      <c r="C32" s="12">
        <v>128.47999999999999</v>
      </c>
      <c r="D32" s="12">
        <v>95.73</v>
      </c>
      <c r="E32" s="12">
        <v>14.11</v>
      </c>
      <c r="F32" s="12">
        <v>10.36</v>
      </c>
      <c r="G32" s="12">
        <v>133.08000000000001</v>
      </c>
      <c r="H32" s="12">
        <v>125.26</v>
      </c>
      <c r="I32" s="12">
        <v>0.4</v>
      </c>
      <c r="J32" s="12">
        <v>0.12</v>
      </c>
      <c r="K32" s="12">
        <v>326.64</v>
      </c>
      <c r="L32" s="9" t="s">
        <v>8</v>
      </c>
      <c r="M32" s="9" t="s">
        <v>8</v>
      </c>
      <c r="N32" s="12">
        <v>4.5999999999999996</v>
      </c>
      <c r="O32" s="12">
        <v>0</v>
      </c>
      <c r="P32" s="12">
        <v>1.17</v>
      </c>
      <c r="Q32" s="12">
        <v>141.83000000000001</v>
      </c>
      <c r="R32" s="44"/>
      <c r="S32" s="44"/>
      <c r="T32" s="44"/>
      <c r="U32" s="44"/>
    </row>
    <row r="33" spans="1:21" s="22" customFormat="1" x14ac:dyDescent="0.25">
      <c r="A33" s="27"/>
      <c r="B33" s="21"/>
      <c r="C33" s="21"/>
      <c r="D33" s="21"/>
      <c r="E33" s="21"/>
      <c r="F33" s="21"/>
      <c r="G33" s="27"/>
      <c r="H33" s="27"/>
      <c r="I33" s="27"/>
      <c r="J33" s="21"/>
      <c r="K33" s="21"/>
      <c r="L33" s="27"/>
      <c r="M33" s="27"/>
      <c r="N33" s="27"/>
      <c r="O33" s="27"/>
      <c r="P33" s="27"/>
      <c r="Q33" s="21"/>
      <c r="R33" s="21"/>
      <c r="S33" s="21"/>
      <c r="T33" s="21"/>
      <c r="U33" s="21"/>
    </row>
    <row r="34" spans="1:21" s="22" customFormat="1" x14ac:dyDescent="0.25">
      <c r="A34" s="28" t="s">
        <v>30</v>
      </c>
      <c r="B34" s="29">
        <f t="shared" ref="B34:Q34" si="0">MIN(B9:B32)</f>
        <v>0.33</v>
      </c>
      <c r="C34" s="29">
        <f t="shared" si="0"/>
        <v>16</v>
      </c>
      <c r="D34" s="29">
        <f t="shared" si="0"/>
        <v>9.1</v>
      </c>
      <c r="E34" s="29">
        <f t="shared" si="0"/>
        <v>5.65</v>
      </c>
      <c r="F34" s="29">
        <f t="shared" si="0"/>
        <v>9.7200000000000006</v>
      </c>
      <c r="G34" s="29">
        <f t="shared" si="0"/>
        <v>15.42</v>
      </c>
      <c r="H34" s="29">
        <f t="shared" si="0"/>
        <v>8.4600000000000009</v>
      </c>
      <c r="I34" s="29">
        <f t="shared" si="0"/>
        <v>7.0000000000000007E-2</v>
      </c>
      <c r="J34" s="29">
        <f t="shared" si="0"/>
        <v>0.08</v>
      </c>
      <c r="K34" s="29">
        <f t="shared" si="0"/>
        <v>171.46</v>
      </c>
      <c r="L34" s="29">
        <f t="shared" si="0"/>
        <v>0</v>
      </c>
      <c r="M34" s="29">
        <f t="shared" si="0"/>
        <v>0</v>
      </c>
      <c r="N34" s="29">
        <f t="shared" si="0"/>
        <v>4.5999999999999996</v>
      </c>
      <c r="O34" s="29">
        <f t="shared" si="0"/>
        <v>0</v>
      </c>
      <c r="P34" s="29">
        <f t="shared" si="0"/>
        <v>0.4</v>
      </c>
      <c r="Q34" s="29">
        <f t="shared" si="0"/>
        <v>21.17</v>
      </c>
      <c r="R34" s="29"/>
      <c r="S34" s="29"/>
      <c r="T34" s="29"/>
      <c r="U34" s="29"/>
    </row>
    <row r="35" spans="1:21" s="22" customFormat="1" x14ac:dyDescent="0.25">
      <c r="A35" s="28" t="s">
        <v>31</v>
      </c>
      <c r="B35" s="30">
        <f t="shared" ref="B35:Q35" si="1">MAX(B9:B32)</f>
        <v>30.96</v>
      </c>
      <c r="C35" s="30">
        <f t="shared" si="1"/>
        <v>176.07</v>
      </c>
      <c r="D35" s="30">
        <f t="shared" si="1"/>
        <v>119.6</v>
      </c>
      <c r="E35" s="30">
        <f t="shared" si="1"/>
        <v>33.35</v>
      </c>
      <c r="F35" s="30">
        <f t="shared" si="1"/>
        <v>102.07</v>
      </c>
      <c r="G35" s="30">
        <f t="shared" si="1"/>
        <v>136.72999999999999</v>
      </c>
      <c r="H35" s="30">
        <f t="shared" si="1"/>
        <v>125.26</v>
      </c>
      <c r="I35" s="30">
        <f t="shared" si="1"/>
        <v>0.6</v>
      </c>
      <c r="J35" s="30">
        <f t="shared" si="1"/>
        <v>1.08</v>
      </c>
      <c r="K35" s="30">
        <f t="shared" si="1"/>
        <v>359.35</v>
      </c>
      <c r="L35" s="30">
        <f t="shared" si="1"/>
        <v>0</v>
      </c>
      <c r="M35" s="30">
        <f t="shared" si="1"/>
        <v>0</v>
      </c>
      <c r="N35" s="30">
        <f t="shared" si="1"/>
        <v>792.4</v>
      </c>
      <c r="O35" s="30">
        <f t="shared" si="1"/>
        <v>0</v>
      </c>
      <c r="P35" s="30">
        <f t="shared" si="1"/>
        <v>2.19</v>
      </c>
      <c r="Q35" s="30">
        <f t="shared" si="1"/>
        <v>177.23</v>
      </c>
      <c r="R35" s="30"/>
      <c r="S35" s="30"/>
      <c r="T35" s="30"/>
      <c r="U35" s="30"/>
    </row>
    <row r="36" spans="1:21" s="22" customFormat="1" x14ac:dyDescent="0.25">
      <c r="A36" s="28" t="s">
        <v>32</v>
      </c>
      <c r="B36" s="29">
        <f t="shared" ref="B36:Q36" si="2">AVERAGE(B9:B32)</f>
        <v>9.538000000000002</v>
      </c>
      <c r="C36" s="29">
        <f t="shared" si="2"/>
        <v>73.38066666666667</v>
      </c>
      <c r="D36" s="29">
        <f t="shared" si="2"/>
        <v>47.986666666666665</v>
      </c>
      <c r="E36" s="29">
        <f t="shared" si="2"/>
        <v>18.017857142857146</v>
      </c>
      <c r="F36" s="29">
        <f t="shared" si="2"/>
        <v>46.730624999999989</v>
      </c>
      <c r="G36" s="29">
        <f t="shared" si="2"/>
        <v>71.501111111111129</v>
      </c>
      <c r="H36" s="29">
        <f t="shared" si="2"/>
        <v>53.634444444444441</v>
      </c>
      <c r="I36" s="29">
        <f t="shared" si="2"/>
        <v>0.28571428571428575</v>
      </c>
      <c r="J36" s="29">
        <f t="shared" si="2"/>
        <v>0.37437500000000007</v>
      </c>
      <c r="K36" s="29">
        <f t="shared" si="2"/>
        <v>276.395625</v>
      </c>
      <c r="L36" s="29" t="e">
        <f t="shared" si="2"/>
        <v>#DIV/0!</v>
      </c>
      <c r="M36" s="29" t="e">
        <f t="shared" si="2"/>
        <v>#DIV/0!</v>
      </c>
      <c r="N36" s="29">
        <f t="shared" si="2"/>
        <v>313.36250000000007</v>
      </c>
      <c r="O36" s="29">
        <f t="shared" si="2"/>
        <v>0</v>
      </c>
      <c r="P36" s="29">
        <f t="shared" si="2"/>
        <v>1.0266666666666666</v>
      </c>
      <c r="Q36" s="29">
        <f t="shared" si="2"/>
        <v>110.08714285714284</v>
      </c>
      <c r="R36" s="29"/>
      <c r="S36" s="29"/>
      <c r="T36" s="29"/>
      <c r="U36" s="29"/>
    </row>
    <row r="37" spans="1:21" s="22" customFormat="1" x14ac:dyDescent="0.25">
      <c r="A37" s="28" t="s">
        <v>38</v>
      </c>
      <c r="B37" s="29">
        <f>STDEV(B9:B32)</f>
        <v>11.966111792414919</v>
      </c>
      <c r="C37" s="29">
        <f t="shared" ref="C37:Q37" si="3">STDEV(C9:C32)</f>
        <v>59.221389652565165</v>
      </c>
      <c r="D37" s="29">
        <f t="shared" si="3"/>
        <v>41.755538839889539</v>
      </c>
      <c r="E37" s="29">
        <f t="shared" si="3"/>
        <v>9.9045352304824412</v>
      </c>
      <c r="F37" s="29">
        <f t="shared" si="3"/>
        <v>33.055745535635232</v>
      </c>
      <c r="G37" s="29">
        <f t="shared" si="3"/>
        <v>46.279183345334758</v>
      </c>
      <c r="H37" s="29">
        <f t="shared" si="3"/>
        <v>44.037436946055102</v>
      </c>
      <c r="I37" s="29">
        <f t="shared" si="3"/>
        <v>0.17757833745720755</v>
      </c>
      <c r="J37" s="29">
        <f t="shared" si="3"/>
        <v>0.33432456784787257</v>
      </c>
      <c r="K37" s="29">
        <f t="shared" si="3"/>
        <v>76.579922431296112</v>
      </c>
      <c r="L37" s="29" t="e">
        <f t="shared" si="3"/>
        <v>#DIV/0!</v>
      </c>
      <c r="M37" s="29" t="e">
        <f t="shared" si="3"/>
        <v>#DIV/0!</v>
      </c>
      <c r="N37" s="29">
        <f t="shared" si="3"/>
        <v>344.45153481053507</v>
      </c>
      <c r="O37" s="29">
        <f t="shared" si="3"/>
        <v>0</v>
      </c>
      <c r="P37" s="29">
        <f t="shared" si="3"/>
        <v>0.59975788765928195</v>
      </c>
      <c r="Q37" s="29">
        <f t="shared" si="3"/>
        <v>45.583369003073187</v>
      </c>
      <c r="R37" s="29"/>
      <c r="S37" s="29"/>
      <c r="T37" s="29"/>
      <c r="U37" s="29"/>
    </row>
    <row r="38" spans="1:21" s="22" customFormat="1" x14ac:dyDescent="0.25">
      <c r="A38" s="32" t="s">
        <v>33</v>
      </c>
      <c r="B38" s="33">
        <f>COUNT(B9:B32)+9</f>
        <v>24</v>
      </c>
      <c r="C38" s="33">
        <f>COUNT(C9:C32)+9</f>
        <v>24</v>
      </c>
      <c r="D38" s="33">
        <f>COUNT(D9:D32)+9</f>
        <v>24</v>
      </c>
      <c r="E38" s="33">
        <f>COUNT(E9:E32)+10</f>
        <v>24</v>
      </c>
      <c r="F38" s="33">
        <f>COUNT(F9:F32)+8</f>
        <v>24</v>
      </c>
      <c r="G38" s="33">
        <f>COUNT(G9:G32)+15</f>
        <v>24</v>
      </c>
      <c r="H38" s="33">
        <f>COUNT(H9:H32)+15</f>
        <v>24</v>
      </c>
      <c r="I38" s="33">
        <f>COUNT(I9:I32)+10</f>
        <v>24</v>
      </c>
      <c r="J38" s="33">
        <f>COUNT(J9:J32)+8</f>
        <v>24</v>
      </c>
      <c r="K38" s="33">
        <f>COUNT(K9:K32)+8</f>
        <v>24</v>
      </c>
      <c r="L38" s="33">
        <f>COUNT(L9:L32)+24</f>
        <v>24</v>
      </c>
      <c r="M38" s="33">
        <f>COUNT(M9:M32)+24</f>
        <v>24</v>
      </c>
      <c r="N38" s="33">
        <f>COUNT(N9:N32)+8</f>
        <v>24</v>
      </c>
      <c r="O38" s="33">
        <f>COUNT(O9:O32)+8</f>
        <v>24</v>
      </c>
      <c r="P38" s="33">
        <f>COUNT(P9:P32)+9</f>
        <v>24</v>
      </c>
      <c r="Q38" s="33">
        <f>COUNT(Q9:Q32)+10</f>
        <v>24</v>
      </c>
      <c r="R38" s="33"/>
      <c r="S38" s="33"/>
      <c r="T38" s="33"/>
      <c r="U38" s="33"/>
    </row>
    <row r="39" spans="1:21" s="22" customFormat="1" x14ac:dyDescent="0.25">
      <c r="A39" s="28" t="s">
        <v>34</v>
      </c>
      <c r="B39" s="30" t="str">
        <f>IF(B38&gt;=22,"&gt;90%",IF(B38&lt;=22,"&lt;90%"))</f>
        <v>&gt;90%</v>
      </c>
      <c r="C39" s="30" t="str">
        <f t="shared" ref="C39:P39" si="4">IF(C38&gt;=22,"&gt;90%",IF(C38&lt;=22,"&lt;90%"))</f>
        <v>&gt;90%</v>
      </c>
      <c r="D39" s="30" t="str">
        <f t="shared" si="4"/>
        <v>&gt;90%</v>
      </c>
      <c r="E39" s="30" t="str">
        <f t="shared" si="4"/>
        <v>&gt;90%</v>
      </c>
      <c r="F39" s="30" t="str">
        <f t="shared" si="4"/>
        <v>&gt;90%</v>
      </c>
      <c r="G39" s="30" t="str">
        <f t="shared" si="4"/>
        <v>&gt;90%</v>
      </c>
      <c r="H39" s="30" t="str">
        <f t="shared" si="4"/>
        <v>&gt;90%</v>
      </c>
      <c r="I39" s="30" t="str">
        <f t="shared" si="4"/>
        <v>&gt;90%</v>
      </c>
      <c r="J39" s="30" t="str">
        <f t="shared" si="4"/>
        <v>&gt;90%</v>
      </c>
      <c r="K39" s="30" t="str">
        <f t="shared" si="4"/>
        <v>&gt;90%</v>
      </c>
      <c r="L39" s="30" t="str">
        <f t="shared" si="4"/>
        <v>&gt;90%</v>
      </c>
      <c r="M39" s="30" t="str">
        <f t="shared" si="4"/>
        <v>&gt;90%</v>
      </c>
      <c r="N39" s="30" t="str">
        <f t="shared" si="4"/>
        <v>&gt;90%</v>
      </c>
      <c r="O39" s="30" t="str">
        <f t="shared" si="4"/>
        <v>&gt;90%</v>
      </c>
      <c r="P39" s="30" t="str">
        <f t="shared" si="4"/>
        <v>&gt;90%</v>
      </c>
      <c r="Q39" s="30" t="str">
        <f>IF(Q38&gt;=22,"&gt;90%",IF(Q38&lt;=22,"&lt;90%"))</f>
        <v>&gt;90%</v>
      </c>
      <c r="R39" s="30"/>
      <c r="S39" s="30"/>
      <c r="T39" s="30"/>
      <c r="U39" s="30"/>
    </row>
    <row r="40" spans="1:21" s="22" customFormat="1" x14ac:dyDescent="0.25">
      <c r="A40" s="28" t="s">
        <v>1</v>
      </c>
      <c r="B40" s="30" t="str">
        <f>IF(B38&gt;=22,"OK",IF(B38&lt;=22,"LESS"))</f>
        <v>OK</v>
      </c>
      <c r="C40" s="30" t="str">
        <f t="shared" ref="C40:Q40" si="5">IF(C38&gt;=22,"OK",IF(C38&lt;=22,"LESS"))</f>
        <v>OK</v>
      </c>
      <c r="D40" s="30" t="str">
        <f t="shared" si="5"/>
        <v>OK</v>
      </c>
      <c r="E40" s="30" t="str">
        <f t="shared" si="5"/>
        <v>OK</v>
      </c>
      <c r="F40" s="30" t="str">
        <f t="shared" si="5"/>
        <v>OK</v>
      </c>
      <c r="G40" s="30" t="str">
        <f t="shared" si="5"/>
        <v>OK</v>
      </c>
      <c r="H40" s="30" t="str">
        <f t="shared" si="5"/>
        <v>OK</v>
      </c>
      <c r="I40" s="30" t="str">
        <f t="shared" si="5"/>
        <v>OK</v>
      </c>
      <c r="J40" s="30" t="str">
        <f t="shared" si="5"/>
        <v>OK</v>
      </c>
      <c r="K40" s="30" t="str">
        <f t="shared" si="5"/>
        <v>OK</v>
      </c>
      <c r="L40" s="30" t="str">
        <f t="shared" si="5"/>
        <v>OK</v>
      </c>
      <c r="M40" s="30" t="str">
        <f t="shared" si="5"/>
        <v>OK</v>
      </c>
      <c r="N40" s="30" t="str">
        <f t="shared" si="5"/>
        <v>OK</v>
      </c>
      <c r="O40" s="30" t="str">
        <f t="shared" si="5"/>
        <v>OK</v>
      </c>
      <c r="P40" s="30" t="str">
        <f t="shared" si="5"/>
        <v>OK</v>
      </c>
      <c r="Q40" s="30" t="str">
        <f t="shared" si="5"/>
        <v>OK</v>
      </c>
      <c r="R40" s="30"/>
      <c r="S40" s="30"/>
      <c r="T40" s="30"/>
      <c r="U40" s="30"/>
    </row>
    <row r="41" spans="1:21" s="22" customFormat="1" x14ac:dyDescent="0.25">
      <c r="A41" s="14"/>
      <c r="L41" s="14"/>
      <c r="N41" s="17"/>
      <c r="O41" s="17"/>
      <c r="P41" s="17"/>
      <c r="Q41" s="17"/>
      <c r="R41" s="17"/>
      <c r="S41" s="17"/>
      <c r="T41" s="17"/>
      <c r="U41" s="17"/>
    </row>
    <row r="42" spans="1:21" s="22" customFormat="1" x14ac:dyDescent="0.25">
      <c r="A42" s="14"/>
    </row>
    <row r="43" spans="1:21" s="22" customFormat="1" x14ac:dyDescent="0.25">
      <c r="A43" s="15" t="s">
        <v>35</v>
      </c>
      <c r="B43" s="41" t="s">
        <v>61</v>
      </c>
      <c r="C43" s="43"/>
    </row>
    <row r="44" spans="1:21" s="22" customFormat="1" x14ac:dyDescent="0.25">
      <c r="A44" s="14"/>
      <c r="D44" s="2"/>
      <c r="E44" s="2"/>
      <c r="F44" s="2"/>
      <c r="G44" s="2"/>
      <c r="H44" s="2"/>
      <c r="I44" s="2"/>
    </row>
    <row r="45" spans="1:21" s="22" customFormat="1" ht="15.75" x14ac:dyDescent="0.25">
      <c r="A45" s="18" t="s">
        <v>36</v>
      </c>
      <c r="B45" s="42" t="s">
        <v>518</v>
      </c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</row>
    <row r="46" spans="1:21" s="22" customFormat="1" x14ac:dyDescent="0.25"/>
    <row r="47" spans="1:21" s="22" customFormat="1" x14ac:dyDescent="0.25"/>
    <row r="48" spans="1:21" s="22" customFormat="1" x14ac:dyDescent="0.25"/>
    <row r="49" s="22" customFormat="1" x14ac:dyDescent="0.25"/>
    <row r="50" s="22" customFormat="1" x14ac:dyDescent="0.25"/>
    <row r="51" s="22" customFormat="1" x14ac:dyDescent="0.25"/>
    <row r="52" s="22" customFormat="1" x14ac:dyDescent="0.25"/>
    <row r="53" s="22" customFormat="1" x14ac:dyDescent="0.25"/>
    <row r="54" s="22" customFormat="1" x14ac:dyDescent="0.25"/>
    <row r="55" s="22" customFormat="1" x14ac:dyDescent="0.25"/>
    <row r="56" s="22" customFormat="1" x14ac:dyDescent="0.25"/>
    <row r="57" s="22" customFormat="1" x14ac:dyDescent="0.25"/>
    <row r="58" s="22" customFormat="1" x14ac:dyDescent="0.25"/>
    <row r="59" s="22" customFormat="1" x14ac:dyDescent="0.25"/>
    <row r="60" s="22" customFormat="1" x14ac:dyDescent="0.25"/>
    <row r="61" s="22" customFormat="1" x14ac:dyDescent="0.25"/>
    <row r="62" s="22" customFormat="1" x14ac:dyDescent="0.25"/>
    <row r="63" s="22" customFormat="1" x14ac:dyDescent="0.25"/>
    <row r="64" s="22" customFormat="1" x14ac:dyDescent="0.25"/>
    <row r="65" s="22" customFormat="1" x14ac:dyDescent="0.25"/>
    <row r="66" s="22" customFormat="1" x14ac:dyDescent="0.25"/>
    <row r="67" s="22" customFormat="1" x14ac:dyDescent="0.25"/>
    <row r="68" s="22" customFormat="1" x14ac:dyDescent="0.25"/>
    <row r="69" s="22" customFormat="1" x14ac:dyDescent="0.25"/>
    <row r="70" s="22" customFormat="1" x14ac:dyDescent="0.25"/>
    <row r="71" s="22" customFormat="1" x14ac:dyDescent="0.25"/>
    <row r="72" s="22" customFormat="1" x14ac:dyDescent="0.25"/>
    <row r="73" s="22" customFormat="1" x14ac:dyDescent="0.25"/>
    <row r="74" s="22" customFormat="1" x14ac:dyDescent="0.25"/>
    <row r="75" s="22" customFormat="1" x14ac:dyDescent="0.25"/>
    <row r="76" s="22" customFormat="1" x14ac:dyDescent="0.25"/>
    <row r="77" s="22" customFormat="1" x14ac:dyDescent="0.25"/>
    <row r="78" s="22" customFormat="1" x14ac:dyDescent="0.25"/>
    <row r="79" s="22" customFormat="1" x14ac:dyDescent="0.25"/>
    <row r="80" s="22" customFormat="1" x14ac:dyDescent="0.25"/>
    <row r="81" s="22" customFormat="1" x14ac:dyDescent="0.25"/>
    <row r="82" s="22" customFormat="1" x14ac:dyDescent="0.25"/>
    <row r="83" s="22" customFormat="1" x14ac:dyDescent="0.25"/>
    <row r="84" s="22" customFormat="1" x14ac:dyDescent="0.25"/>
    <row r="85" s="22" customFormat="1" x14ac:dyDescent="0.25"/>
    <row r="86" s="22" customFormat="1" x14ac:dyDescent="0.25"/>
    <row r="87" s="22" customFormat="1" x14ac:dyDescent="0.25"/>
    <row r="88" s="22" customFormat="1" x14ac:dyDescent="0.25"/>
    <row r="89" s="22" customFormat="1" x14ac:dyDescent="0.25"/>
    <row r="90" s="22" customFormat="1" x14ac:dyDescent="0.25"/>
    <row r="91" s="22" customFormat="1" x14ac:dyDescent="0.25"/>
    <row r="92" s="22" customFormat="1" x14ac:dyDescent="0.25"/>
    <row r="93" s="22" customFormat="1" x14ac:dyDescent="0.25"/>
    <row r="94" s="22" customFormat="1" x14ac:dyDescent="0.25"/>
    <row r="95" s="22" customFormat="1" x14ac:dyDescent="0.25"/>
    <row r="96" s="22" customFormat="1" x14ac:dyDescent="0.25"/>
    <row r="97" spans="1:1" s="22" customFormat="1" x14ac:dyDescent="0.25"/>
    <row r="98" spans="1:1" s="22" customFormat="1" x14ac:dyDescent="0.25"/>
    <row r="99" spans="1:1" s="22" customFormat="1" x14ac:dyDescent="0.25"/>
    <row r="100" spans="1:1" s="22" customFormat="1" x14ac:dyDescent="0.25"/>
    <row r="101" spans="1:1" s="22" customFormat="1" x14ac:dyDescent="0.25"/>
    <row r="102" spans="1:1" s="22" customFormat="1" x14ac:dyDescent="0.25"/>
    <row r="103" spans="1:1" s="22" customFormat="1" x14ac:dyDescent="0.25"/>
    <row r="104" spans="1:1" s="22" customFormat="1" x14ac:dyDescent="0.25"/>
    <row r="105" spans="1:1" s="22" customFormat="1" x14ac:dyDescent="0.25"/>
    <row r="106" spans="1:1" x14ac:dyDescent="0.25">
      <c r="A106" s="21"/>
    </row>
    <row r="107" spans="1:1" s="22" customFormat="1" x14ac:dyDescent="0.25"/>
    <row r="108" spans="1:1" s="22" customFormat="1" x14ac:dyDescent="0.25"/>
    <row r="109" spans="1:1" s="22" customFormat="1" x14ac:dyDescent="0.25"/>
    <row r="110" spans="1:1" s="22" customFormat="1" x14ac:dyDescent="0.25"/>
    <row r="111" spans="1:1" s="22" customFormat="1" x14ac:dyDescent="0.25"/>
    <row r="112" spans="1:1" s="22" customFormat="1" x14ac:dyDescent="0.25"/>
    <row r="113" spans="1:1" s="22" customFormat="1" x14ac:dyDescent="0.25"/>
    <row r="114" spans="1:1" s="22" customFormat="1" x14ac:dyDescent="0.25"/>
    <row r="115" spans="1:1" s="22" customFormat="1" x14ac:dyDescent="0.25"/>
    <row r="116" spans="1:1" s="22" customFormat="1" x14ac:dyDescent="0.25"/>
    <row r="117" spans="1:1" s="22" customFormat="1" x14ac:dyDescent="0.25"/>
    <row r="118" spans="1:1" x14ac:dyDescent="0.25">
      <c r="A118" s="21"/>
    </row>
    <row r="119" spans="1:1" x14ac:dyDescent="0.25">
      <c r="A119" s="21"/>
    </row>
  </sheetData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1" ySplit="8" topLeftCell="B18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B21" sqref="B21:D21"/>
    </sheetView>
  </sheetViews>
  <sheetFormatPr defaultColWidth="8.85546875" defaultRowHeight="15" x14ac:dyDescent="0.25"/>
  <cols>
    <col min="1" max="1" width="18.28515625" style="27" customWidth="1"/>
    <col min="2" max="2" width="12.7109375" style="21" customWidth="1"/>
    <col min="3" max="12" width="9.140625" style="21" customWidth="1"/>
    <col min="13" max="13" width="10" style="21" customWidth="1"/>
    <col min="14" max="19" width="9.140625" style="21" customWidth="1"/>
    <col min="20" max="20" width="11.42578125" style="21" customWidth="1"/>
    <col min="21" max="16384" width="8.85546875" style="21"/>
  </cols>
  <sheetData>
    <row r="1" spans="1:21" s="22" customFormat="1" ht="26.25" x14ac:dyDescent="0.25">
      <c r="A1" s="15" t="s">
        <v>2</v>
      </c>
      <c r="B1" s="24" t="s">
        <v>43</v>
      </c>
      <c r="C1" s="38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s="22" customFormat="1" x14ac:dyDescent="0.25">
      <c r="A2" s="15" t="s">
        <v>0</v>
      </c>
      <c r="B2" s="39" t="str">
        <f>$A$9</f>
        <v>26-10-2022 01:00</v>
      </c>
      <c r="C2" s="12"/>
      <c r="D2" s="11" t="s">
        <v>3</v>
      </c>
      <c r="E2" s="11"/>
      <c r="F2" s="11"/>
      <c r="G2" s="4" t="s">
        <v>4</v>
      </c>
      <c r="H2" s="20"/>
      <c r="I2" s="20"/>
      <c r="J2" s="20"/>
      <c r="K2" s="13"/>
      <c r="L2" s="11" t="s">
        <v>5</v>
      </c>
      <c r="M2" s="13"/>
      <c r="N2" s="8" t="s">
        <v>6</v>
      </c>
      <c r="P2" s="40" t="s">
        <v>7</v>
      </c>
      <c r="Q2" s="13"/>
      <c r="R2" s="9" t="s">
        <v>8</v>
      </c>
      <c r="S2" s="12"/>
      <c r="T2" s="12"/>
      <c r="U2" s="12"/>
    </row>
    <row r="3" spans="1:21" s="22" customFormat="1" x14ac:dyDescent="0.25">
      <c r="A3" s="15" t="s">
        <v>9</v>
      </c>
      <c r="B3" s="13" t="s">
        <v>10</v>
      </c>
      <c r="C3" s="12"/>
      <c r="D3" s="11" t="s">
        <v>11</v>
      </c>
      <c r="E3" s="11"/>
      <c r="F3" s="11"/>
      <c r="G3" s="19" t="s">
        <v>12</v>
      </c>
      <c r="H3" s="20"/>
      <c r="I3" s="20"/>
      <c r="J3" s="20"/>
      <c r="K3" s="12"/>
      <c r="L3" s="11" t="s">
        <v>13</v>
      </c>
      <c r="M3" s="13"/>
      <c r="N3" s="6" t="s">
        <v>14</v>
      </c>
      <c r="O3" s="13"/>
      <c r="P3" s="40" t="s">
        <v>15</v>
      </c>
      <c r="Q3" s="13"/>
      <c r="R3" s="10" t="s">
        <v>15</v>
      </c>
      <c r="S3" s="12"/>
      <c r="T3" s="12"/>
      <c r="U3" s="12"/>
    </row>
    <row r="4" spans="1:21" s="22" customFormat="1" x14ac:dyDescent="0.25">
      <c r="A4" s="15" t="s">
        <v>16</v>
      </c>
      <c r="B4" s="13" t="s">
        <v>39</v>
      </c>
      <c r="C4" s="12"/>
      <c r="D4" s="11" t="s">
        <v>17</v>
      </c>
      <c r="E4" s="11"/>
      <c r="F4" s="11"/>
      <c r="G4" s="5" t="s">
        <v>18</v>
      </c>
      <c r="H4" s="20"/>
      <c r="I4" s="20"/>
      <c r="J4" s="20"/>
      <c r="K4" s="3"/>
      <c r="L4" s="11" t="s">
        <v>19</v>
      </c>
      <c r="M4" s="13"/>
      <c r="N4" s="7" t="s">
        <v>20</v>
      </c>
      <c r="O4" s="13"/>
      <c r="P4" s="13"/>
      <c r="Q4" s="13"/>
      <c r="R4" s="13"/>
      <c r="S4" s="12"/>
      <c r="T4" s="12"/>
      <c r="U4" s="12"/>
    </row>
    <row r="5" spans="1:21" s="22" customFormat="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s="22" customFormat="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s="22" customFormat="1" x14ac:dyDescent="0.25">
      <c r="A7" s="15" t="s">
        <v>21</v>
      </c>
      <c r="B7" s="45" t="s">
        <v>59</v>
      </c>
      <c r="C7" s="45" t="s">
        <v>44</v>
      </c>
      <c r="D7" s="45" t="s">
        <v>45</v>
      </c>
      <c r="E7" s="45" t="s">
        <v>46</v>
      </c>
      <c r="F7" s="45" t="s">
        <v>47</v>
      </c>
      <c r="G7" s="45" t="s">
        <v>48</v>
      </c>
      <c r="H7" s="45" t="s">
        <v>49</v>
      </c>
      <c r="I7" s="45" t="s">
        <v>50</v>
      </c>
      <c r="J7" s="45" t="s">
        <v>51</v>
      </c>
      <c r="K7" s="45" t="s">
        <v>52</v>
      </c>
      <c r="L7" s="45" t="s">
        <v>53</v>
      </c>
      <c r="M7" s="45" t="s">
        <v>54</v>
      </c>
      <c r="N7" s="45" t="s">
        <v>55</v>
      </c>
      <c r="O7" s="45" t="s">
        <v>56</v>
      </c>
      <c r="P7" s="45" t="s">
        <v>57</v>
      </c>
      <c r="Q7" s="45" t="s">
        <v>58</v>
      </c>
      <c r="R7" s="28"/>
      <c r="S7" s="30"/>
      <c r="T7" s="28"/>
      <c r="U7" s="28"/>
    </row>
    <row r="8" spans="1:21" s="22" customFormat="1" x14ac:dyDescent="0.25">
      <c r="A8" s="15"/>
      <c r="B8" s="30" t="s">
        <v>22</v>
      </c>
      <c r="C8" s="30" t="s">
        <v>22</v>
      </c>
      <c r="D8" s="30" t="s">
        <v>22</v>
      </c>
      <c r="E8" s="30" t="s">
        <v>22</v>
      </c>
      <c r="F8" s="30" t="s">
        <v>22</v>
      </c>
      <c r="G8" s="30" t="s">
        <v>23</v>
      </c>
      <c r="H8" s="30" t="s">
        <v>22</v>
      </c>
      <c r="I8" s="30" t="s">
        <v>22</v>
      </c>
      <c r="J8" s="30" t="s">
        <v>24</v>
      </c>
      <c r="K8" s="30" t="s">
        <v>25</v>
      </c>
      <c r="L8" s="28" t="s">
        <v>27</v>
      </c>
      <c r="M8" s="30" t="s">
        <v>26</v>
      </c>
      <c r="N8" s="30" t="s">
        <v>28</v>
      </c>
      <c r="O8" s="28" t="s">
        <v>29</v>
      </c>
      <c r="P8" s="30" t="s">
        <v>22</v>
      </c>
      <c r="Q8" s="30" t="s">
        <v>22</v>
      </c>
      <c r="R8" s="28"/>
      <c r="S8" s="30"/>
      <c r="T8" s="28"/>
      <c r="U8" s="28"/>
    </row>
    <row r="9" spans="1:21" s="12" customFormat="1" x14ac:dyDescent="0.25">
      <c r="A9" s="62" t="s">
        <v>663</v>
      </c>
      <c r="B9" s="63">
        <v>4.45</v>
      </c>
      <c r="C9" s="63">
        <v>78.87</v>
      </c>
      <c r="D9" s="63">
        <v>47.09</v>
      </c>
      <c r="E9" s="63">
        <v>11.82</v>
      </c>
      <c r="F9" s="63">
        <v>29.28</v>
      </c>
      <c r="G9" s="63">
        <v>128.77000000000001</v>
      </c>
      <c r="H9" s="63">
        <v>101.95</v>
      </c>
      <c r="I9" s="63">
        <v>0.21</v>
      </c>
      <c r="J9" s="63">
        <v>0.13</v>
      </c>
      <c r="K9" s="63">
        <v>311.36</v>
      </c>
      <c r="L9" s="78" t="s">
        <v>8</v>
      </c>
      <c r="M9" s="78" t="s">
        <v>8</v>
      </c>
      <c r="N9" s="63">
        <v>4.5</v>
      </c>
      <c r="O9" s="63">
        <v>0</v>
      </c>
      <c r="P9" s="63">
        <v>1.02</v>
      </c>
      <c r="Q9" s="63">
        <v>109.56</v>
      </c>
      <c r="R9" s="44"/>
      <c r="S9" s="44"/>
      <c r="T9" s="44"/>
      <c r="U9" s="44"/>
    </row>
    <row r="10" spans="1:21" s="12" customFormat="1" x14ac:dyDescent="0.25">
      <c r="A10" s="62" t="s">
        <v>664</v>
      </c>
      <c r="B10" s="63">
        <v>4.2300000000000004</v>
      </c>
      <c r="C10" s="63">
        <v>74.31</v>
      </c>
      <c r="D10" s="63">
        <v>44.4</v>
      </c>
      <c r="E10" s="63">
        <v>12.53</v>
      </c>
      <c r="F10" s="63">
        <v>25.58</v>
      </c>
      <c r="G10" s="63">
        <v>107.92</v>
      </c>
      <c r="H10" s="63">
        <v>81.2</v>
      </c>
      <c r="I10" s="63">
        <v>0.2</v>
      </c>
      <c r="J10" s="63">
        <v>0.11</v>
      </c>
      <c r="K10" s="63">
        <v>342.87</v>
      </c>
      <c r="L10" s="78" t="s">
        <v>8</v>
      </c>
      <c r="M10" s="78" t="s">
        <v>8</v>
      </c>
      <c r="N10" s="63">
        <v>4.5999999999999996</v>
      </c>
      <c r="O10" s="63">
        <v>0</v>
      </c>
      <c r="P10" s="63">
        <v>0.94</v>
      </c>
      <c r="Q10" s="63">
        <v>98.6</v>
      </c>
      <c r="R10" s="44"/>
      <c r="S10" s="44"/>
      <c r="T10" s="44"/>
      <c r="U10" s="44"/>
    </row>
    <row r="11" spans="1:21" s="12" customFormat="1" x14ac:dyDescent="0.25">
      <c r="A11" s="62" t="s">
        <v>665</v>
      </c>
      <c r="B11" s="63">
        <v>0.31</v>
      </c>
      <c r="C11" s="63">
        <v>55.52</v>
      </c>
      <c r="D11" s="63">
        <v>30.71</v>
      </c>
      <c r="E11" s="63">
        <v>14.07</v>
      </c>
      <c r="F11" s="63">
        <v>30.01</v>
      </c>
      <c r="G11" s="63">
        <v>105.11</v>
      </c>
      <c r="H11" s="63">
        <v>78.48</v>
      </c>
      <c r="I11" s="63">
        <v>0.19</v>
      </c>
      <c r="J11" s="63">
        <v>0.1</v>
      </c>
      <c r="K11" s="63">
        <v>323.8</v>
      </c>
      <c r="L11" s="78" t="s">
        <v>8</v>
      </c>
      <c r="M11" s="78" t="s">
        <v>8</v>
      </c>
      <c r="N11" s="63">
        <v>4.5999999999999996</v>
      </c>
      <c r="O11" s="63">
        <v>0</v>
      </c>
      <c r="P11" s="63">
        <v>0.8</v>
      </c>
      <c r="Q11" s="63">
        <v>96.01</v>
      </c>
      <c r="R11" s="44"/>
      <c r="S11" s="44"/>
      <c r="T11" s="44"/>
      <c r="U11" s="44"/>
    </row>
    <row r="12" spans="1:21" s="12" customFormat="1" x14ac:dyDescent="0.25">
      <c r="A12" s="62" t="s">
        <v>666</v>
      </c>
      <c r="B12" s="63">
        <v>1.1399999999999999</v>
      </c>
      <c r="C12" s="63">
        <v>56</v>
      </c>
      <c r="D12" s="63">
        <v>31.82</v>
      </c>
      <c r="E12" s="63">
        <v>11.63</v>
      </c>
      <c r="F12" s="63">
        <v>29.85</v>
      </c>
      <c r="G12" s="63">
        <v>92.87</v>
      </c>
      <c r="H12" s="63">
        <v>77.75</v>
      </c>
      <c r="I12" s="63">
        <v>0.19</v>
      </c>
      <c r="J12" s="63">
        <v>7.0000000000000007E-2</v>
      </c>
      <c r="K12" s="63">
        <v>349.97</v>
      </c>
      <c r="L12" s="78" t="s">
        <v>8</v>
      </c>
      <c r="M12" s="78" t="s">
        <v>8</v>
      </c>
      <c r="N12" s="63">
        <v>4.5999999999999996</v>
      </c>
      <c r="O12" s="63">
        <v>0</v>
      </c>
      <c r="P12" s="63">
        <v>0.71</v>
      </c>
      <c r="Q12" s="63">
        <v>88.05</v>
      </c>
      <c r="R12" s="44"/>
      <c r="S12" s="44"/>
      <c r="T12" s="44"/>
      <c r="U12" s="44"/>
    </row>
    <row r="13" spans="1:21" s="12" customFormat="1" x14ac:dyDescent="0.25">
      <c r="A13" s="62" t="s">
        <v>667</v>
      </c>
      <c r="B13" s="63">
        <v>24.41</v>
      </c>
      <c r="C13" s="63">
        <v>104.68</v>
      </c>
      <c r="D13" s="63">
        <v>77.34</v>
      </c>
      <c r="E13" s="63">
        <v>8.2200000000000006</v>
      </c>
      <c r="F13" s="63">
        <v>31.37</v>
      </c>
      <c r="G13" s="63">
        <v>82.24</v>
      </c>
      <c r="H13" s="63">
        <v>69.28</v>
      </c>
      <c r="I13" s="63">
        <v>0.23</v>
      </c>
      <c r="J13" s="63">
        <v>0.16</v>
      </c>
      <c r="K13" s="63">
        <v>332.56</v>
      </c>
      <c r="L13" s="78" t="s">
        <v>8</v>
      </c>
      <c r="M13" s="78" t="s">
        <v>8</v>
      </c>
      <c r="N13" s="63">
        <v>4.5999999999999996</v>
      </c>
      <c r="O13" s="63">
        <v>0</v>
      </c>
      <c r="P13" s="63">
        <v>0.8</v>
      </c>
      <c r="Q13" s="63">
        <v>94.72</v>
      </c>
      <c r="R13" s="44"/>
      <c r="S13" s="44"/>
      <c r="T13" s="44"/>
      <c r="U13" s="44"/>
    </row>
    <row r="14" spans="1:21" s="12" customFormat="1" x14ac:dyDescent="0.25">
      <c r="A14" s="62" t="s">
        <v>668</v>
      </c>
      <c r="B14" s="63">
        <v>28.01</v>
      </c>
      <c r="C14" s="63">
        <v>122.68</v>
      </c>
      <c r="D14" s="63">
        <v>90.17</v>
      </c>
      <c r="E14" s="63">
        <v>6.4</v>
      </c>
      <c r="F14" s="63">
        <v>22.69</v>
      </c>
      <c r="G14" s="63">
        <v>80.819999999999993</v>
      </c>
      <c r="H14" s="63">
        <v>64.599999999999994</v>
      </c>
      <c r="I14" s="63">
        <v>0.22</v>
      </c>
      <c r="J14" s="63">
        <v>0.11</v>
      </c>
      <c r="K14" s="63">
        <v>348.84</v>
      </c>
      <c r="L14" s="78" t="s">
        <v>8</v>
      </c>
      <c r="M14" s="78" t="s">
        <v>8</v>
      </c>
      <c r="N14" s="63">
        <v>13.6</v>
      </c>
      <c r="O14" s="63">
        <v>0</v>
      </c>
      <c r="P14" s="63">
        <v>0.9</v>
      </c>
      <c r="Q14" s="63">
        <v>123.71</v>
      </c>
      <c r="R14" s="44"/>
      <c r="S14" s="44"/>
      <c r="T14" s="44"/>
      <c r="U14" s="44"/>
    </row>
    <row r="15" spans="1:21" s="12" customFormat="1" x14ac:dyDescent="0.25">
      <c r="A15" s="62" t="s">
        <v>669</v>
      </c>
      <c r="B15" s="63">
        <v>19.18</v>
      </c>
      <c r="C15" s="63">
        <v>105.79</v>
      </c>
      <c r="D15" s="63">
        <v>73.760000000000005</v>
      </c>
      <c r="E15" s="63">
        <v>6.54</v>
      </c>
      <c r="F15" s="63">
        <v>24.48</v>
      </c>
      <c r="G15" s="63">
        <v>80.67</v>
      </c>
      <c r="H15" s="63">
        <v>65.44</v>
      </c>
      <c r="I15" s="63">
        <v>0.22</v>
      </c>
      <c r="J15" s="63">
        <v>0.22</v>
      </c>
      <c r="K15" s="63">
        <v>284.10000000000002</v>
      </c>
      <c r="L15" s="78" t="s">
        <v>8</v>
      </c>
      <c r="M15" s="78" t="s">
        <v>8</v>
      </c>
      <c r="N15" s="63">
        <v>169.2</v>
      </c>
      <c r="O15" s="63">
        <v>0</v>
      </c>
      <c r="P15" s="63">
        <v>0.87</v>
      </c>
      <c r="Q15" s="63">
        <v>121.51</v>
      </c>
      <c r="R15" s="44"/>
      <c r="S15" s="44"/>
      <c r="T15" s="44"/>
      <c r="U15" s="44"/>
    </row>
    <row r="16" spans="1:21" s="12" customFormat="1" x14ac:dyDescent="0.25">
      <c r="A16" s="62" t="s">
        <v>670</v>
      </c>
      <c r="B16" s="63">
        <v>10.91</v>
      </c>
      <c r="C16" s="63">
        <v>91.34</v>
      </c>
      <c r="D16" s="63">
        <v>59.16</v>
      </c>
      <c r="E16" s="63">
        <v>6.3</v>
      </c>
      <c r="F16" s="63">
        <v>3.8</v>
      </c>
      <c r="G16" s="63">
        <v>76.05</v>
      </c>
      <c r="H16" s="63">
        <v>65.56</v>
      </c>
      <c r="I16" s="63">
        <v>0.34</v>
      </c>
      <c r="J16" s="63">
        <v>0.38</v>
      </c>
      <c r="K16" s="63">
        <v>213.8</v>
      </c>
      <c r="L16" s="78" t="s">
        <v>8</v>
      </c>
      <c r="M16" s="78" t="s">
        <v>8</v>
      </c>
      <c r="N16" s="63">
        <v>361.2</v>
      </c>
      <c r="O16" s="63">
        <v>0</v>
      </c>
      <c r="P16" s="63">
        <v>0.85</v>
      </c>
      <c r="Q16" s="63">
        <v>172</v>
      </c>
      <c r="R16" s="44"/>
      <c r="S16" s="44"/>
      <c r="T16" s="44"/>
      <c r="U16" s="44"/>
    </row>
    <row r="17" spans="1:21" s="12" customFormat="1" x14ac:dyDescent="0.25">
      <c r="A17" s="62" t="s">
        <v>671</v>
      </c>
      <c r="B17" s="63">
        <v>7.5</v>
      </c>
      <c r="C17" s="63">
        <v>65.86</v>
      </c>
      <c r="D17" s="63">
        <v>42.36</v>
      </c>
      <c r="E17" s="63">
        <v>7.21</v>
      </c>
      <c r="F17" s="63">
        <v>4.8899999999999997</v>
      </c>
      <c r="G17" s="63">
        <v>76.739999999999995</v>
      </c>
      <c r="H17" s="63">
        <v>63.93</v>
      </c>
      <c r="I17" s="63">
        <v>0.43</v>
      </c>
      <c r="J17" s="63">
        <v>0.36</v>
      </c>
      <c r="K17" s="63">
        <v>198.43</v>
      </c>
      <c r="L17" s="78" t="s">
        <v>8</v>
      </c>
      <c r="M17" s="78" t="s">
        <v>8</v>
      </c>
      <c r="N17" s="63">
        <v>507.6</v>
      </c>
      <c r="O17" s="63">
        <v>0</v>
      </c>
      <c r="P17" s="63">
        <v>0.87</v>
      </c>
      <c r="Q17" s="63">
        <v>185.47</v>
      </c>
      <c r="R17" s="44"/>
      <c r="S17" s="44"/>
      <c r="T17" s="44"/>
      <c r="U17" s="44"/>
    </row>
    <row r="18" spans="1:21" s="12" customFormat="1" x14ac:dyDescent="0.25">
      <c r="A18" s="62" t="s">
        <v>672</v>
      </c>
      <c r="B18" s="9" t="s">
        <v>8</v>
      </c>
      <c r="C18" s="9" t="s">
        <v>8</v>
      </c>
      <c r="D18" s="9" t="s">
        <v>8</v>
      </c>
      <c r="E18" s="9" t="s">
        <v>8</v>
      </c>
      <c r="F18" s="63">
        <v>3.57</v>
      </c>
      <c r="G18" s="63">
        <v>76.739999999999995</v>
      </c>
      <c r="H18" s="63">
        <v>63.93</v>
      </c>
      <c r="I18" s="9" t="s">
        <v>8</v>
      </c>
      <c r="J18" s="63">
        <v>0.52</v>
      </c>
      <c r="K18" s="63">
        <v>124.82</v>
      </c>
      <c r="L18" s="78" t="s">
        <v>8</v>
      </c>
      <c r="M18" s="78" t="s">
        <v>8</v>
      </c>
      <c r="N18" s="63">
        <v>586.79999999999995</v>
      </c>
      <c r="O18" s="63">
        <v>0</v>
      </c>
      <c r="P18" s="63">
        <v>0.56000000000000005</v>
      </c>
      <c r="Q18" s="9" t="s">
        <v>8</v>
      </c>
      <c r="R18" s="44"/>
      <c r="S18" s="44"/>
      <c r="T18" s="44"/>
      <c r="U18" s="44"/>
    </row>
    <row r="19" spans="1:21" s="12" customFormat="1" x14ac:dyDescent="0.25">
      <c r="A19" s="62" t="s">
        <v>673</v>
      </c>
      <c r="B19" s="9" t="s">
        <v>8</v>
      </c>
      <c r="C19" s="9" t="s">
        <v>8</v>
      </c>
      <c r="D19" s="9" t="s">
        <v>8</v>
      </c>
      <c r="E19" s="9" t="s">
        <v>8</v>
      </c>
      <c r="F19" s="63">
        <v>76.11</v>
      </c>
      <c r="G19" s="9" t="s">
        <v>8</v>
      </c>
      <c r="H19" s="9" t="s">
        <v>8</v>
      </c>
      <c r="I19" s="9" t="s">
        <v>8</v>
      </c>
      <c r="J19" s="63">
        <v>0.9</v>
      </c>
      <c r="K19" s="63">
        <v>181.53</v>
      </c>
      <c r="L19" s="78" t="s">
        <v>8</v>
      </c>
      <c r="M19" s="78" t="s">
        <v>8</v>
      </c>
      <c r="N19" s="63">
        <v>711.3</v>
      </c>
      <c r="O19" s="63">
        <v>0</v>
      </c>
      <c r="P19" s="63">
        <v>0.54</v>
      </c>
      <c r="Q19" s="9" t="s">
        <v>8</v>
      </c>
      <c r="R19" s="44"/>
      <c r="S19" s="44"/>
      <c r="T19" s="44"/>
      <c r="U19" s="44"/>
    </row>
    <row r="20" spans="1:21" s="12" customFormat="1" x14ac:dyDescent="0.25">
      <c r="A20" s="62" t="s">
        <v>674</v>
      </c>
      <c r="B20" s="79" t="s">
        <v>4</v>
      </c>
      <c r="C20" s="79" t="s">
        <v>4</v>
      </c>
      <c r="D20" s="79" t="s">
        <v>4</v>
      </c>
      <c r="E20" s="79" t="s">
        <v>4</v>
      </c>
      <c r="F20" s="79" t="s">
        <v>4</v>
      </c>
      <c r="G20" s="79" t="s">
        <v>4</v>
      </c>
      <c r="H20" s="79" t="s">
        <v>4</v>
      </c>
      <c r="I20" s="79" t="s">
        <v>4</v>
      </c>
      <c r="J20" s="79" t="s">
        <v>4</v>
      </c>
      <c r="K20" s="79" t="s">
        <v>4</v>
      </c>
      <c r="L20" s="79" t="s">
        <v>4</v>
      </c>
      <c r="M20" s="79" t="s">
        <v>4</v>
      </c>
      <c r="N20" s="79" t="s">
        <v>4</v>
      </c>
      <c r="O20" s="79" t="s">
        <v>4</v>
      </c>
      <c r="P20" s="79" t="s">
        <v>4</v>
      </c>
      <c r="Q20" s="79" t="s">
        <v>4</v>
      </c>
      <c r="R20" s="44"/>
      <c r="S20" s="44"/>
      <c r="T20" s="44"/>
      <c r="U20" s="44"/>
    </row>
    <row r="21" spans="1:21" s="12" customFormat="1" x14ac:dyDescent="0.25">
      <c r="A21" s="62" t="s">
        <v>675</v>
      </c>
      <c r="B21" s="7" t="s">
        <v>20</v>
      </c>
      <c r="C21" s="7" t="s">
        <v>20</v>
      </c>
      <c r="D21" s="7" t="s">
        <v>20</v>
      </c>
      <c r="E21" s="63">
        <v>19.28</v>
      </c>
      <c r="F21" s="63">
        <v>99.28</v>
      </c>
      <c r="G21" s="80" t="s">
        <v>20</v>
      </c>
      <c r="H21" s="80" t="s">
        <v>20</v>
      </c>
      <c r="I21" s="80" t="s">
        <v>20</v>
      </c>
      <c r="J21" s="63">
        <v>0.72</v>
      </c>
      <c r="K21" s="63">
        <v>156.69999999999999</v>
      </c>
      <c r="L21" s="78" t="s">
        <v>8</v>
      </c>
      <c r="M21" s="78" t="s">
        <v>8</v>
      </c>
      <c r="N21" s="63">
        <v>737.9</v>
      </c>
      <c r="O21" s="63">
        <v>0</v>
      </c>
      <c r="P21" s="63">
        <v>0.41</v>
      </c>
      <c r="Q21" s="80" t="s">
        <v>20</v>
      </c>
      <c r="R21" s="44"/>
      <c r="S21" s="44"/>
      <c r="T21" s="44"/>
      <c r="U21" s="44"/>
    </row>
    <row r="22" spans="1:21" s="12" customFormat="1" x14ac:dyDescent="0.25">
      <c r="A22" s="62" t="s">
        <v>676</v>
      </c>
      <c r="B22" s="63">
        <v>4.43</v>
      </c>
      <c r="C22" s="63">
        <v>45.98</v>
      </c>
      <c r="D22" s="63">
        <v>28.93</v>
      </c>
      <c r="E22" s="63">
        <v>20.36</v>
      </c>
      <c r="F22" s="63">
        <v>106.46</v>
      </c>
      <c r="G22" s="80" t="s">
        <v>20</v>
      </c>
      <c r="H22" s="80" t="s">
        <v>20</v>
      </c>
      <c r="I22" s="63">
        <v>0.06</v>
      </c>
      <c r="J22" s="63">
        <v>1.05</v>
      </c>
      <c r="K22" s="63">
        <v>346.88</v>
      </c>
      <c r="L22" s="78" t="s">
        <v>8</v>
      </c>
      <c r="M22" s="78" t="s">
        <v>8</v>
      </c>
      <c r="N22" s="63">
        <v>655.1</v>
      </c>
      <c r="O22" s="63">
        <v>0</v>
      </c>
      <c r="P22" s="63">
        <v>0.71</v>
      </c>
      <c r="Q22" s="80" t="s">
        <v>20</v>
      </c>
      <c r="R22" s="44"/>
      <c r="S22" s="44"/>
      <c r="T22" s="44"/>
      <c r="U22" s="44"/>
    </row>
    <row r="23" spans="1:21" s="12" customFormat="1" x14ac:dyDescent="0.25">
      <c r="A23" s="62" t="s">
        <v>677</v>
      </c>
      <c r="B23" s="63">
        <v>6.41</v>
      </c>
      <c r="C23" s="63">
        <v>66.260000000000005</v>
      </c>
      <c r="D23" s="63">
        <v>40.92</v>
      </c>
      <c r="E23" s="63">
        <v>36.69</v>
      </c>
      <c r="F23" s="63">
        <v>109.36</v>
      </c>
      <c r="G23" s="80" t="s">
        <v>20</v>
      </c>
      <c r="H23" s="80" t="s">
        <v>20</v>
      </c>
      <c r="I23" s="63">
        <v>0.1</v>
      </c>
      <c r="J23" s="63">
        <v>1.3</v>
      </c>
      <c r="K23" s="63">
        <v>32.1</v>
      </c>
      <c r="L23" s="78" t="s">
        <v>8</v>
      </c>
      <c r="M23" s="78" t="s">
        <v>8</v>
      </c>
      <c r="N23" s="63">
        <v>511.8</v>
      </c>
      <c r="O23" s="63">
        <v>0</v>
      </c>
      <c r="P23" s="63">
        <v>0.66</v>
      </c>
      <c r="Q23" s="80" t="s">
        <v>20</v>
      </c>
      <c r="R23" s="44"/>
      <c r="S23" s="44"/>
      <c r="T23" s="44"/>
      <c r="U23" s="44"/>
    </row>
    <row r="24" spans="1:21" s="12" customFormat="1" x14ac:dyDescent="0.25">
      <c r="A24" s="62" t="s">
        <v>678</v>
      </c>
      <c r="B24" s="63">
        <v>8.17</v>
      </c>
      <c r="C24" s="63">
        <v>79.92</v>
      </c>
      <c r="D24" s="63">
        <v>48.97</v>
      </c>
      <c r="E24" s="63">
        <v>39.700000000000003</v>
      </c>
      <c r="F24" s="63">
        <v>102.71</v>
      </c>
      <c r="G24" s="63">
        <v>60.83</v>
      </c>
      <c r="H24" s="63">
        <v>28.98</v>
      </c>
      <c r="I24" s="63">
        <v>0.11</v>
      </c>
      <c r="J24" s="63">
        <v>0.86</v>
      </c>
      <c r="K24" s="63">
        <v>60.99</v>
      </c>
      <c r="L24" s="78" t="s">
        <v>8</v>
      </c>
      <c r="M24" s="78" t="s">
        <v>8</v>
      </c>
      <c r="N24" s="63">
        <v>170.1</v>
      </c>
      <c r="O24" s="63">
        <v>0</v>
      </c>
      <c r="P24" s="63">
        <v>0.75</v>
      </c>
      <c r="Q24" s="63">
        <v>93.01</v>
      </c>
      <c r="R24" s="44"/>
      <c r="S24" s="44"/>
      <c r="T24" s="44"/>
      <c r="U24" s="44"/>
    </row>
    <row r="25" spans="1:21" s="12" customFormat="1" x14ac:dyDescent="0.25">
      <c r="A25" s="62" t="s">
        <v>679</v>
      </c>
      <c r="B25" s="63">
        <v>10.15</v>
      </c>
      <c r="C25" s="63">
        <v>80.48</v>
      </c>
      <c r="D25" s="63">
        <v>48.41</v>
      </c>
      <c r="E25" s="63">
        <v>43.65</v>
      </c>
      <c r="F25" s="63">
        <v>92.85</v>
      </c>
      <c r="G25" s="63">
        <v>76.83</v>
      </c>
      <c r="H25" s="63">
        <v>35.97</v>
      </c>
      <c r="I25" s="63">
        <v>0.16</v>
      </c>
      <c r="J25" s="63">
        <v>1.37</v>
      </c>
      <c r="K25" s="63">
        <v>34.11</v>
      </c>
      <c r="L25" s="78" t="s">
        <v>8</v>
      </c>
      <c r="M25" s="78" t="s">
        <v>8</v>
      </c>
      <c r="N25" s="63">
        <v>74.099999999999994</v>
      </c>
      <c r="O25" s="63">
        <v>0</v>
      </c>
      <c r="P25" s="63">
        <v>0.96</v>
      </c>
      <c r="Q25" s="63">
        <v>97.01</v>
      </c>
      <c r="R25" s="44"/>
      <c r="S25" s="44"/>
      <c r="T25" s="44"/>
      <c r="U25" s="44"/>
    </row>
    <row r="26" spans="1:21" s="12" customFormat="1" x14ac:dyDescent="0.25">
      <c r="A26" s="62" t="s">
        <v>680</v>
      </c>
      <c r="B26" s="63">
        <v>18.04</v>
      </c>
      <c r="C26" s="63">
        <v>146.54</v>
      </c>
      <c r="D26" s="63">
        <v>95.34</v>
      </c>
      <c r="E26" s="63">
        <v>34.65</v>
      </c>
      <c r="F26" s="63">
        <v>74</v>
      </c>
      <c r="G26" s="63">
        <v>79.47</v>
      </c>
      <c r="H26" s="63">
        <v>35.97</v>
      </c>
      <c r="I26" s="63">
        <v>0.3</v>
      </c>
      <c r="J26" s="63">
        <v>0.77</v>
      </c>
      <c r="K26" s="63">
        <v>27.18</v>
      </c>
      <c r="L26" s="78" t="s">
        <v>8</v>
      </c>
      <c r="M26" s="78" t="s">
        <v>8</v>
      </c>
      <c r="N26" s="63">
        <v>18.7</v>
      </c>
      <c r="O26" s="63">
        <v>0</v>
      </c>
      <c r="P26" s="63">
        <v>1.85</v>
      </c>
      <c r="Q26" s="63">
        <v>93.17</v>
      </c>
      <c r="R26" s="44"/>
      <c r="S26" s="44"/>
      <c r="T26" s="44"/>
      <c r="U26" s="44"/>
    </row>
    <row r="27" spans="1:21" s="12" customFormat="1" x14ac:dyDescent="0.25">
      <c r="A27" s="62" t="s">
        <v>681</v>
      </c>
      <c r="B27" s="63">
        <v>28.5</v>
      </c>
      <c r="C27" s="63">
        <v>193.6</v>
      </c>
      <c r="D27" s="63">
        <v>126.16</v>
      </c>
      <c r="E27" s="63">
        <v>60.51</v>
      </c>
      <c r="F27" s="63">
        <v>26.11</v>
      </c>
      <c r="G27" s="63">
        <v>108.27</v>
      </c>
      <c r="H27" s="63">
        <v>47.07</v>
      </c>
      <c r="I27" s="63">
        <v>0.65</v>
      </c>
      <c r="J27" s="63">
        <v>0.23</v>
      </c>
      <c r="K27" s="63">
        <v>329.75</v>
      </c>
      <c r="L27" s="78" t="s">
        <v>8</v>
      </c>
      <c r="M27" s="78" t="s">
        <v>8</v>
      </c>
      <c r="N27" s="63">
        <v>5.0999999999999996</v>
      </c>
      <c r="O27" s="63">
        <v>0</v>
      </c>
      <c r="P27" s="63">
        <v>2.4</v>
      </c>
      <c r="Q27" s="63">
        <v>120.49</v>
      </c>
      <c r="R27" s="44"/>
      <c r="S27" s="44"/>
      <c r="T27" s="44"/>
      <c r="U27" s="44"/>
    </row>
    <row r="28" spans="1:21" s="12" customFormat="1" x14ac:dyDescent="0.25">
      <c r="A28" s="62" t="s">
        <v>682</v>
      </c>
      <c r="B28" s="63">
        <v>125.66</v>
      </c>
      <c r="C28" s="63">
        <v>332.24</v>
      </c>
      <c r="D28" s="63">
        <v>284.13</v>
      </c>
      <c r="E28" s="63">
        <v>25.29</v>
      </c>
      <c r="F28" s="63">
        <v>6.07</v>
      </c>
      <c r="G28" s="63">
        <v>148.96</v>
      </c>
      <c r="H28" s="63">
        <v>59.36</v>
      </c>
      <c r="I28" s="63">
        <v>1.1499999999999999</v>
      </c>
      <c r="J28" s="63">
        <v>0.09</v>
      </c>
      <c r="K28" s="63">
        <v>330.75</v>
      </c>
      <c r="L28" s="78" t="s">
        <v>8</v>
      </c>
      <c r="M28" s="78" t="s">
        <v>8</v>
      </c>
      <c r="N28" s="63">
        <v>4.9000000000000004</v>
      </c>
      <c r="O28" s="63">
        <v>0</v>
      </c>
      <c r="P28" s="63">
        <v>3.45</v>
      </c>
      <c r="Q28" s="63">
        <v>225.98</v>
      </c>
      <c r="R28" s="44"/>
      <c r="S28" s="44"/>
      <c r="T28" s="44"/>
      <c r="U28" s="44"/>
    </row>
    <row r="29" spans="1:21" s="12" customFormat="1" x14ac:dyDescent="0.25">
      <c r="A29" s="62" t="s">
        <v>683</v>
      </c>
      <c r="B29" s="63">
        <v>160.6</v>
      </c>
      <c r="C29" s="63">
        <v>328.42</v>
      </c>
      <c r="D29" s="63">
        <v>310.04000000000002</v>
      </c>
      <c r="E29" s="63">
        <v>29.17</v>
      </c>
      <c r="F29" s="63">
        <v>6.67</v>
      </c>
      <c r="G29" s="63">
        <v>388.19</v>
      </c>
      <c r="H29" s="63">
        <v>93.77</v>
      </c>
      <c r="I29" s="63">
        <v>1.52</v>
      </c>
      <c r="J29" s="63">
        <v>0.16</v>
      </c>
      <c r="K29" s="63">
        <v>341.27</v>
      </c>
      <c r="L29" s="78" t="s">
        <v>8</v>
      </c>
      <c r="M29" s="78" t="s">
        <v>8</v>
      </c>
      <c r="N29" s="63">
        <v>4.5999999999999996</v>
      </c>
      <c r="O29" s="63">
        <v>0</v>
      </c>
      <c r="P29" s="63">
        <v>3.91</v>
      </c>
      <c r="Q29" s="63">
        <v>246.92</v>
      </c>
      <c r="R29" s="44"/>
      <c r="S29" s="44"/>
      <c r="T29" s="44"/>
      <c r="U29" s="44"/>
    </row>
    <row r="30" spans="1:21" s="12" customFormat="1" x14ac:dyDescent="0.25">
      <c r="A30" s="62" t="s">
        <v>684</v>
      </c>
      <c r="B30" s="63">
        <v>168.91</v>
      </c>
      <c r="C30" s="63">
        <v>309.98</v>
      </c>
      <c r="D30" s="63">
        <v>306.52999999999997</v>
      </c>
      <c r="E30" s="63">
        <v>23.23</v>
      </c>
      <c r="F30" s="63">
        <v>3.92</v>
      </c>
      <c r="G30" s="63">
        <v>389.2</v>
      </c>
      <c r="H30" s="63">
        <v>149.97</v>
      </c>
      <c r="I30" s="63">
        <v>1.65</v>
      </c>
      <c r="J30" s="63">
        <v>0.15</v>
      </c>
      <c r="K30" s="63">
        <v>353.57</v>
      </c>
      <c r="L30" s="78" t="s">
        <v>8</v>
      </c>
      <c r="M30" s="78" t="s">
        <v>8</v>
      </c>
      <c r="N30" s="63">
        <v>4.8</v>
      </c>
      <c r="O30" s="63">
        <v>0</v>
      </c>
      <c r="P30" s="63">
        <v>3.96</v>
      </c>
      <c r="Q30" s="63">
        <v>296.77</v>
      </c>
      <c r="R30" s="44"/>
      <c r="S30" s="44"/>
      <c r="T30" s="44"/>
      <c r="U30" s="44"/>
    </row>
    <row r="31" spans="1:21" s="12" customFormat="1" x14ac:dyDescent="0.25">
      <c r="A31" s="62" t="s">
        <v>685</v>
      </c>
      <c r="B31" s="63">
        <v>240.79</v>
      </c>
      <c r="C31" s="63">
        <v>388.94</v>
      </c>
      <c r="D31" s="63">
        <v>407.74</v>
      </c>
      <c r="E31" s="63">
        <v>20.84</v>
      </c>
      <c r="F31" s="63">
        <v>3.16</v>
      </c>
      <c r="G31" s="63">
        <v>412.75</v>
      </c>
      <c r="H31" s="63">
        <v>183.89</v>
      </c>
      <c r="I31" s="63">
        <v>1.55</v>
      </c>
      <c r="J31" s="63">
        <v>0.18</v>
      </c>
      <c r="K31" s="63">
        <v>352.36</v>
      </c>
      <c r="L31" s="78" t="s">
        <v>8</v>
      </c>
      <c r="M31" s="78" t="s">
        <v>8</v>
      </c>
      <c r="N31" s="63">
        <v>4.8</v>
      </c>
      <c r="O31" s="63">
        <v>0</v>
      </c>
      <c r="P31" s="63">
        <v>4.09</v>
      </c>
      <c r="Q31" s="63">
        <v>359.51</v>
      </c>
      <c r="R31" s="44"/>
      <c r="S31" s="44"/>
      <c r="T31" s="44"/>
      <c r="U31" s="44"/>
    </row>
    <row r="32" spans="1:21" s="12" customFormat="1" x14ac:dyDescent="0.25">
      <c r="A32" s="62" t="s">
        <v>686</v>
      </c>
      <c r="B32" s="63">
        <v>219.73</v>
      </c>
      <c r="C32" s="63">
        <v>366.2</v>
      </c>
      <c r="D32" s="63">
        <v>378.31</v>
      </c>
      <c r="E32" s="63">
        <v>18.53</v>
      </c>
      <c r="F32" s="63">
        <v>3.06</v>
      </c>
      <c r="G32" s="63">
        <v>499.3</v>
      </c>
      <c r="H32" s="63">
        <v>212.71</v>
      </c>
      <c r="I32" s="63">
        <v>1.48</v>
      </c>
      <c r="J32" s="63">
        <v>0.11</v>
      </c>
      <c r="K32" s="63">
        <v>337.52</v>
      </c>
      <c r="L32" s="78" t="s">
        <v>8</v>
      </c>
      <c r="M32" s="78" t="s">
        <v>8</v>
      </c>
      <c r="N32" s="63">
        <v>4.5</v>
      </c>
      <c r="O32" s="63">
        <v>0</v>
      </c>
      <c r="P32" s="63">
        <v>2.76</v>
      </c>
      <c r="Q32" s="63">
        <v>334.99</v>
      </c>
      <c r="R32" s="44"/>
      <c r="S32" s="44"/>
      <c r="T32" s="44"/>
      <c r="U32" s="44"/>
    </row>
    <row r="33" spans="1:21" s="22" customFormat="1" x14ac:dyDescent="0.25">
      <c r="A33" s="27"/>
      <c r="B33" s="21"/>
      <c r="C33" s="21"/>
      <c r="D33" s="21"/>
      <c r="E33" s="21"/>
      <c r="F33" s="21"/>
      <c r="G33" s="27"/>
      <c r="H33" s="27"/>
      <c r="I33" s="27"/>
      <c r="J33" s="21"/>
      <c r="K33" s="21"/>
      <c r="L33" s="27"/>
      <c r="M33" s="27"/>
      <c r="N33" s="27"/>
      <c r="O33" s="27"/>
      <c r="P33" s="27"/>
      <c r="Q33" s="21"/>
      <c r="R33" s="21"/>
      <c r="S33" s="21"/>
      <c r="T33" s="21"/>
      <c r="U33" s="21"/>
    </row>
    <row r="34" spans="1:21" s="22" customFormat="1" x14ac:dyDescent="0.25">
      <c r="A34" s="28" t="s">
        <v>30</v>
      </c>
      <c r="B34" s="29">
        <f t="shared" ref="B34:Q34" si="0">MIN(B9:B32)</f>
        <v>0.31</v>
      </c>
      <c r="C34" s="29">
        <f t="shared" si="0"/>
        <v>45.98</v>
      </c>
      <c r="D34" s="29">
        <f t="shared" si="0"/>
        <v>28.93</v>
      </c>
      <c r="E34" s="29">
        <f t="shared" si="0"/>
        <v>6.3</v>
      </c>
      <c r="F34" s="29">
        <f t="shared" si="0"/>
        <v>3.06</v>
      </c>
      <c r="G34" s="29">
        <f t="shared" si="0"/>
        <v>60.83</v>
      </c>
      <c r="H34" s="29">
        <f t="shared" si="0"/>
        <v>28.98</v>
      </c>
      <c r="I34" s="29">
        <f t="shared" si="0"/>
        <v>0.06</v>
      </c>
      <c r="J34" s="29">
        <f t="shared" si="0"/>
        <v>7.0000000000000007E-2</v>
      </c>
      <c r="K34" s="29">
        <f t="shared" si="0"/>
        <v>27.18</v>
      </c>
      <c r="L34" s="29">
        <f t="shared" si="0"/>
        <v>0</v>
      </c>
      <c r="M34" s="29">
        <f t="shared" si="0"/>
        <v>0</v>
      </c>
      <c r="N34" s="29">
        <f t="shared" si="0"/>
        <v>4.5</v>
      </c>
      <c r="O34" s="29">
        <f t="shared" si="0"/>
        <v>0</v>
      </c>
      <c r="P34" s="29">
        <f t="shared" si="0"/>
        <v>0.41</v>
      </c>
      <c r="Q34" s="29">
        <f t="shared" si="0"/>
        <v>88.05</v>
      </c>
      <c r="R34" s="29"/>
      <c r="S34" s="29"/>
      <c r="T34" s="29"/>
      <c r="U34" s="29"/>
    </row>
    <row r="35" spans="1:21" s="22" customFormat="1" x14ac:dyDescent="0.25">
      <c r="A35" s="28" t="s">
        <v>31</v>
      </c>
      <c r="B35" s="30">
        <f t="shared" ref="B35:Q35" si="1">MAX(B9:B32)</f>
        <v>240.79</v>
      </c>
      <c r="C35" s="30">
        <f t="shared" si="1"/>
        <v>388.94</v>
      </c>
      <c r="D35" s="30">
        <f t="shared" si="1"/>
        <v>407.74</v>
      </c>
      <c r="E35" s="30">
        <f t="shared" si="1"/>
        <v>60.51</v>
      </c>
      <c r="F35" s="30">
        <f t="shared" si="1"/>
        <v>109.36</v>
      </c>
      <c r="G35" s="30">
        <f t="shared" si="1"/>
        <v>499.3</v>
      </c>
      <c r="H35" s="30">
        <f t="shared" si="1"/>
        <v>212.71</v>
      </c>
      <c r="I35" s="30">
        <f t="shared" si="1"/>
        <v>1.65</v>
      </c>
      <c r="J35" s="30">
        <f t="shared" si="1"/>
        <v>1.37</v>
      </c>
      <c r="K35" s="30">
        <f t="shared" si="1"/>
        <v>353.57</v>
      </c>
      <c r="L35" s="30">
        <f t="shared" si="1"/>
        <v>0</v>
      </c>
      <c r="M35" s="30">
        <f t="shared" si="1"/>
        <v>0</v>
      </c>
      <c r="N35" s="30">
        <f t="shared" si="1"/>
        <v>737.9</v>
      </c>
      <c r="O35" s="30">
        <f t="shared" si="1"/>
        <v>0</v>
      </c>
      <c r="P35" s="30">
        <f t="shared" si="1"/>
        <v>4.09</v>
      </c>
      <c r="Q35" s="30">
        <f t="shared" si="1"/>
        <v>359.51</v>
      </c>
      <c r="R35" s="30"/>
      <c r="S35" s="30"/>
      <c r="T35" s="30"/>
      <c r="U35" s="30"/>
    </row>
    <row r="36" spans="1:21" s="22" customFormat="1" x14ac:dyDescent="0.25">
      <c r="A36" s="28" t="s">
        <v>32</v>
      </c>
      <c r="B36" s="29">
        <f t="shared" ref="B36:Q36" si="2">AVERAGE(B9:B32)</f>
        <v>54.576499999999996</v>
      </c>
      <c r="C36" s="29">
        <f t="shared" si="2"/>
        <v>154.68049999999999</v>
      </c>
      <c r="D36" s="29">
        <f t="shared" si="2"/>
        <v>128.61449999999999</v>
      </c>
      <c r="E36" s="29">
        <f t="shared" si="2"/>
        <v>21.743809523809524</v>
      </c>
      <c r="F36" s="29">
        <f t="shared" si="2"/>
        <v>39.794782608695648</v>
      </c>
      <c r="G36" s="29">
        <f t="shared" si="2"/>
        <v>161.66999999999999</v>
      </c>
      <c r="H36" s="29">
        <f t="shared" si="2"/>
        <v>83.147894736842105</v>
      </c>
      <c r="I36" s="29">
        <f t="shared" si="2"/>
        <v>0.54800000000000004</v>
      </c>
      <c r="J36" s="29">
        <f t="shared" si="2"/>
        <v>0.43695652173913041</v>
      </c>
      <c r="K36" s="29">
        <f t="shared" si="2"/>
        <v>248.48956521739123</v>
      </c>
      <c r="L36" s="29" t="e">
        <f t="shared" si="2"/>
        <v>#DIV/0!</v>
      </c>
      <c r="M36" s="29" t="e">
        <f t="shared" si="2"/>
        <v>#DIV/0!</v>
      </c>
      <c r="N36" s="29">
        <f t="shared" si="2"/>
        <v>198.65217391304353</v>
      </c>
      <c r="O36" s="29">
        <f t="shared" si="2"/>
        <v>0</v>
      </c>
      <c r="P36" s="29">
        <f t="shared" si="2"/>
        <v>1.5117391304347827</v>
      </c>
      <c r="Q36" s="29">
        <f t="shared" si="2"/>
        <v>164.30444444444447</v>
      </c>
      <c r="R36" s="29"/>
      <c r="S36" s="29"/>
      <c r="T36" s="29"/>
      <c r="U36" s="29"/>
    </row>
    <row r="37" spans="1:21" s="22" customFormat="1" x14ac:dyDescent="0.25">
      <c r="A37" s="28" t="s">
        <v>38</v>
      </c>
      <c r="B37" s="29">
        <f>STDEV(B9:B32)</f>
        <v>79.516108746990113</v>
      </c>
      <c r="C37" s="29">
        <f t="shared" ref="C37:Q37" si="3">STDEV(C9:C32)</f>
        <v>118.62176073886896</v>
      </c>
      <c r="D37" s="29">
        <f t="shared" si="3"/>
        <v>128.26827853637161</v>
      </c>
      <c r="E37" s="29">
        <f t="shared" si="3"/>
        <v>14.539467829391304</v>
      </c>
      <c r="F37" s="29">
        <f t="shared" si="3"/>
        <v>38.973201150343527</v>
      </c>
      <c r="G37" s="29">
        <f t="shared" si="3"/>
        <v>141.48432531948941</v>
      </c>
      <c r="H37" s="29">
        <f t="shared" si="3"/>
        <v>48.917516696640305</v>
      </c>
      <c r="I37" s="29">
        <f t="shared" si="3"/>
        <v>0.56719624377050348</v>
      </c>
      <c r="J37" s="29">
        <f t="shared" si="3"/>
        <v>0.41378996409694607</v>
      </c>
      <c r="K37" s="29">
        <f t="shared" si="3"/>
        <v>120.12913583754417</v>
      </c>
      <c r="L37" s="29" t="e">
        <f t="shared" si="3"/>
        <v>#DIV/0!</v>
      </c>
      <c r="M37" s="29" t="e">
        <f t="shared" si="3"/>
        <v>#DIV/0!</v>
      </c>
      <c r="N37" s="29">
        <f t="shared" si="3"/>
        <v>272.21194261017411</v>
      </c>
      <c r="O37" s="29">
        <f t="shared" si="3"/>
        <v>0</v>
      </c>
      <c r="P37" s="29">
        <f t="shared" si="3"/>
        <v>1.2392947120839373</v>
      </c>
      <c r="Q37" s="29">
        <f t="shared" si="3"/>
        <v>90.302667684015105</v>
      </c>
      <c r="R37" s="29"/>
      <c r="S37" s="29"/>
      <c r="T37" s="29"/>
      <c r="U37" s="29"/>
    </row>
    <row r="38" spans="1:21" s="22" customFormat="1" x14ac:dyDescent="0.25">
      <c r="A38" s="32" t="s">
        <v>33</v>
      </c>
      <c r="B38" s="33">
        <f>COUNT(B9:B32)+4</f>
        <v>24</v>
      </c>
      <c r="C38" s="33">
        <f>COUNT(C9:C32)+4</f>
        <v>24</v>
      </c>
      <c r="D38" s="33">
        <f>COUNT(D9:D32)+4</f>
        <v>24</v>
      </c>
      <c r="E38" s="33">
        <f>COUNT(E9:E32)+3</f>
        <v>24</v>
      </c>
      <c r="F38" s="33">
        <f>COUNT(F9:F32)+1</f>
        <v>24</v>
      </c>
      <c r="G38" s="33">
        <f>COUNT(G9:G32)+5</f>
        <v>24</v>
      </c>
      <c r="H38" s="33">
        <f>COUNT(H9:H32)+5</f>
        <v>24</v>
      </c>
      <c r="I38" s="33">
        <f>COUNT(I9:I32)+4</f>
        <v>24</v>
      </c>
      <c r="J38" s="33">
        <f>COUNT(J9:J32)+1</f>
        <v>24</v>
      </c>
      <c r="K38" s="33">
        <f>COUNT(K9:K32)+1</f>
        <v>24</v>
      </c>
      <c r="L38" s="33">
        <f>COUNT(L9:L32)+24</f>
        <v>24</v>
      </c>
      <c r="M38" s="33">
        <f>COUNT(M9:M32)+24</f>
        <v>24</v>
      </c>
      <c r="N38" s="33">
        <f>COUNT(N9:N32)+1</f>
        <v>24</v>
      </c>
      <c r="O38" s="33">
        <f>COUNT(O9:O32)+1</f>
        <v>24</v>
      </c>
      <c r="P38" s="33">
        <f>COUNT(P9:P32)+1</f>
        <v>24</v>
      </c>
      <c r="Q38" s="33">
        <f>COUNT(Q9:Q32)+6</f>
        <v>24</v>
      </c>
      <c r="R38" s="33"/>
      <c r="S38" s="33"/>
      <c r="T38" s="33"/>
      <c r="U38" s="33"/>
    </row>
    <row r="39" spans="1:21" s="22" customFormat="1" x14ac:dyDescent="0.25">
      <c r="A39" s="28" t="s">
        <v>34</v>
      </c>
      <c r="B39" s="30" t="str">
        <f>IF(B38&gt;=22,"&gt;90%",IF(B38&lt;=22,"&lt;90%"))</f>
        <v>&gt;90%</v>
      </c>
      <c r="C39" s="30" t="str">
        <f t="shared" ref="C39:P39" si="4">IF(C38&gt;=22,"&gt;90%",IF(C38&lt;=22,"&lt;90%"))</f>
        <v>&gt;90%</v>
      </c>
      <c r="D39" s="30" t="str">
        <f t="shared" si="4"/>
        <v>&gt;90%</v>
      </c>
      <c r="E39" s="30" t="str">
        <f t="shared" si="4"/>
        <v>&gt;90%</v>
      </c>
      <c r="F39" s="30" t="str">
        <f t="shared" si="4"/>
        <v>&gt;90%</v>
      </c>
      <c r="G39" s="30" t="str">
        <f t="shared" si="4"/>
        <v>&gt;90%</v>
      </c>
      <c r="H39" s="30" t="str">
        <f t="shared" si="4"/>
        <v>&gt;90%</v>
      </c>
      <c r="I39" s="30" t="str">
        <f t="shared" si="4"/>
        <v>&gt;90%</v>
      </c>
      <c r="J39" s="30" t="str">
        <f t="shared" si="4"/>
        <v>&gt;90%</v>
      </c>
      <c r="K39" s="30" t="str">
        <f t="shared" si="4"/>
        <v>&gt;90%</v>
      </c>
      <c r="L39" s="30" t="str">
        <f t="shared" si="4"/>
        <v>&gt;90%</v>
      </c>
      <c r="M39" s="30" t="str">
        <f t="shared" si="4"/>
        <v>&gt;90%</v>
      </c>
      <c r="N39" s="30" t="str">
        <f t="shared" si="4"/>
        <v>&gt;90%</v>
      </c>
      <c r="O39" s="30" t="str">
        <f t="shared" si="4"/>
        <v>&gt;90%</v>
      </c>
      <c r="P39" s="30" t="str">
        <f t="shared" si="4"/>
        <v>&gt;90%</v>
      </c>
      <c r="Q39" s="30" t="str">
        <f>IF(Q38&gt;=22,"&gt;90%",IF(Q38&lt;=22,"&lt;90%"))</f>
        <v>&gt;90%</v>
      </c>
      <c r="R39" s="30"/>
      <c r="S39" s="30"/>
      <c r="T39" s="30"/>
      <c r="U39" s="30"/>
    </row>
    <row r="40" spans="1:21" s="22" customFormat="1" x14ac:dyDescent="0.25">
      <c r="A40" s="28" t="s">
        <v>1</v>
      </c>
      <c r="B40" s="30" t="str">
        <f>IF(B38&gt;=22,"OK",IF(B38&lt;=22,"LESS"))</f>
        <v>OK</v>
      </c>
      <c r="C40" s="30" t="str">
        <f t="shared" ref="C40:Q40" si="5">IF(C38&gt;=22,"OK",IF(C38&lt;=22,"LESS"))</f>
        <v>OK</v>
      </c>
      <c r="D40" s="30" t="str">
        <f t="shared" si="5"/>
        <v>OK</v>
      </c>
      <c r="E40" s="30" t="str">
        <f t="shared" si="5"/>
        <v>OK</v>
      </c>
      <c r="F40" s="30" t="str">
        <f t="shared" si="5"/>
        <v>OK</v>
      </c>
      <c r="G40" s="30" t="str">
        <f t="shared" si="5"/>
        <v>OK</v>
      </c>
      <c r="H40" s="30" t="str">
        <f t="shared" si="5"/>
        <v>OK</v>
      </c>
      <c r="I40" s="30" t="str">
        <f t="shared" si="5"/>
        <v>OK</v>
      </c>
      <c r="J40" s="30" t="str">
        <f t="shared" si="5"/>
        <v>OK</v>
      </c>
      <c r="K40" s="30" t="str">
        <f t="shared" si="5"/>
        <v>OK</v>
      </c>
      <c r="L40" s="30" t="str">
        <f t="shared" si="5"/>
        <v>OK</v>
      </c>
      <c r="M40" s="30" t="str">
        <f t="shared" si="5"/>
        <v>OK</v>
      </c>
      <c r="N40" s="30" t="str">
        <f t="shared" si="5"/>
        <v>OK</v>
      </c>
      <c r="O40" s="30" t="str">
        <f t="shared" si="5"/>
        <v>OK</v>
      </c>
      <c r="P40" s="30" t="str">
        <f t="shared" si="5"/>
        <v>OK</v>
      </c>
      <c r="Q40" s="30" t="str">
        <f t="shared" si="5"/>
        <v>OK</v>
      </c>
      <c r="R40" s="30"/>
      <c r="S40" s="30"/>
      <c r="T40" s="30"/>
      <c r="U40" s="30"/>
    </row>
    <row r="41" spans="1:21" s="22" customFormat="1" x14ac:dyDescent="0.25">
      <c r="A41" s="14"/>
      <c r="L41" s="14"/>
      <c r="N41" s="17"/>
      <c r="O41" s="17"/>
      <c r="P41" s="17"/>
      <c r="Q41" s="17"/>
      <c r="R41" s="17"/>
      <c r="S41" s="17"/>
      <c r="T41" s="17"/>
      <c r="U41" s="17"/>
    </row>
    <row r="42" spans="1:21" s="22" customFormat="1" x14ac:dyDescent="0.25">
      <c r="A42" s="14"/>
    </row>
    <row r="43" spans="1:21" s="22" customFormat="1" x14ac:dyDescent="0.25">
      <c r="A43" s="15" t="s">
        <v>35</v>
      </c>
      <c r="B43" s="41" t="s">
        <v>61</v>
      </c>
      <c r="C43" s="43"/>
    </row>
    <row r="44" spans="1:21" s="22" customFormat="1" x14ac:dyDescent="0.25">
      <c r="A44" s="14"/>
      <c r="D44" s="2"/>
      <c r="E44" s="2"/>
      <c r="F44" s="2"/>
      <c r="G44" s="2"/>
      <c r="H44" s="2"/>
      <c r="I44" s="2"/>
    </row>
    <row r="45" spans="1:21" s="22" customFormat="1" ht="15.75" x14ac:dyDescent="0.25">
      <c r="A45" s="18" t="s">
        <v>36</v>
      </c>
      <c r="B45" s="42" t="s">
        <v>518</v>
      </c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</row>
    <row r="46" spans="1:21" s="22" customFormat="1" x14ac:dyDescent="0.25"/>
    <row r="47" spans="1:21" s="22" customFormat="1" x14ac:dyDescent="0.25"/>
    <row r="48" spans="1:21" s="22" customFormat="1" x14ac:dyDescent="0.25"/>
    <row r="49" s="22" customFormat="1" x14ac:dyDescent="0.25"/>
    <row r="50" s="22" customFormat="1" x14ac:dyDescent="0.25"/>
    <row r="51" s="22" customFormat="1" x14ac:dyDescent="0.25"/>
    <row r="52" s="22" customFormat="1" x14ac:dyDescent="0.25"/>
    <row r="53" s="22" customFormat="1" x14ac:dyDescent="0.25"/>
    <row r="54" s="22" customFormat="1" x14ac:dyDescent="0.25"/>
    <row r="55" s="22" customFormat="1" x14ac:dyDescent="0.25"/>
    <row r="56" s="22" customFormat="1" x14ac:dyDescent="0.25"/>
    <row r="57" s="22" customFormat="1" x14ac:dyDescent="0.25"/>
    <row r="58" s="22" customFormat="1" x14ac:dyDescent="0.25"/>
    <row r="59" s="22" customFormat="1" x14ac:dyDescent="0.25"/>
    <row r="60" s="22" customFormat="1" x14ac:dyDescent="0.25"/>
    <row r="61" s="22" customFormat="1" x14ac:dyDescent="0.25"/>
    <row r="62" s="22" customFormat="1" x14ac:dyDescent="0.25"/>
    <row r="63" s="22" customFormat="1" x14ac:dyDescent="0.25"/>
    <row r="64" s="22" customFormat="1" x14ac:dyDescent="0.25"/>
    <row r="65" s="22" customFormat="1" x14ac:dyDescent="0.25"/>
    <row r="66" s="22" customFormat="1" x14ac:dyDescent="0.25"/>
    <row r="67" s="22" customFormat="1" x14ac:dyDescent="0.25"/>
    <row r="68" s="22" customFormat="1" x14ac:dyDescent="0.25"/>
    <row r="69" s="22" customFormat="1" x14ac:dyDescent="0.25"/>
    <row r="70" s="22" customFormat="1" x14ac:dyDescent="0.25"/>
    <row r="71" s="22" customFormat="1" x14ac:dyDescent="0.25"/>
    <row r="72" s="22" customFormat="1" x14ac:dyDescent="0.25"/>
    <row r="73" s="22" customFormat="1" x14ac:dyDescent="0.25"/>
    <row r="74" s="22" customFormat="1" x14ac:dyDescent="0.25"/>
    <row r="75" s="22" customFormat="1" x14ac:dyDescent="0.25"/>
    <row r="76" s="22" customFormat="1" x14ac:dyDescent="0.25"/>
    <row r="77" s="22" customFormat="1" x14ac:dyDescent="0.25"/>
    <row r="78" s="22" customFormat="1" x14ac:dyDescent="0.25"/>
    <row r="79" s="22" customFormat="1" x14ac:dyDescent="0.25"/>
    <row r="80" s="22" customFormat="1" x14ac:dyDescent="0.25"/>
    <row r="81" s="22" customFormat="1" x14ac:dyDescent="0.25"/>
    <row r="82" s="22" customFormat="1" x14ac:dyDescent="0.25"/>
    <row r="83" s="22" customFormat="1" x14ac:dyDescent="0.25"/>
    <row r="84" s="22" customFormat="1" x14ac:dyDescent="0.25"/>
    <row r="85" s="22" customFormat="1" x14ac:dyDescent="0.25"/>
    <row r="86" s="22" customFormat="1" x14ac:dyDescent="0.25"/>
    <row r="87" s="22" customFormat="1" x14ac:dyDescent="0.25"/>
    <row r="88" s="22" customFormat="1" x14ac:dyDescent="0.25"/>
    <row r="89" s="22" customFormat="1" x14ac:dyDescent="0.25"/>
    <row r="90" s="22" customFormat="1" x14ac:dyDescent="0.25"/>
    <row r="91" s="22" customFormat="1" x14ac:dyDescent="0.25"/>
    <row r="92" s="22" customFormat="1" x14ac:dyDescent="0.25"/>
    <row r="93" s="22" customFormat="1" x14ac:dyDescent="0.25"/>
    <row r="94" s="22" customFormat="1" x14ac:dyDescent="0.25"/>
    <row r="95" s="22" customFormat="1" x14ac:dyDescent="0.25"/>
    <row r="96" s="22" customFormat="1" x14ac:dyDescent="0.25"/>
    <row r="97" spans="1:1" s="22" customFormat="1" x14ac:dyDescent="0.25"/>
    <row r="98" spans="1:1" s="22" customFormat="1" x14ac:dyDescent="0.25"/>
    <row r="99" spans="1:1" s="22" customFormat="1" x14ac:dyDescent="0.25"/>
    <row r="100" spans="1:1" s="22" customFormat="1" x14ac:dyDescent="0.25"/>
    <row r="101" spans="1:1" s="22" customFormat="1" x14ac:dyDescent="0.25"/>
    <row r="102" spans="1:1" s="22" customFormat="1" x14ac:dyDescent="0.25"/>
    <row r="103" spans="1:1" s="22" customFormat="1" x14ac:dyDescent="0.25"/>
    <row r="104" spans="1:1" s="22" customFormat="1" x14ac:dyDescent="0.25"/>
    <row r="105" spans="1:1" s="22" customFormat="1" x14ac:dyDescent="0.25"/>
    <row r="106" spans="1:1" x14ac:dyDescent="0.25">
      <c r="A106" s="21"/>
    </row>
    <row r="107" spans="1:1" s="22" customFormat="1" x14ac:dyDescent="0.25"/>
    <row r="108" spans="1:1" s="22" customFormat="1" x14ac:dyDescent="0.25"/>
    <row r="109" spans="1:1" s="22" customFormat="1" x14ac:dyDescent="0.25"/>
    <row r="110" spans="1:1" s="22" customFormat="1" x14ac:dyDescent="0.25"/>
    <row r="111" spans="1:1" s="22" customFormat="1" x14ac:dyDescent="0.25"/>
    <row r="112" spans="1:1" s="22" customFormat="1" x14ac:dyDescent="0.25"/>
    <row r="113" spans="1:1" s="22" customFormat="1" x14ac:dyDescent="0.25"/>
    <row r="114" spans="1:1" s="22" customFormat="1" x14ac:dyDescent="0.25"/>
    <row r="115" spans="1:1" s="22" customFormat="1" x14ac:dyDescent="0.25"/>
    <row r="116" spans="1:1" s="22" customFormat="1" x14ac:dyDescent="0.25"/>
    <row r="117" spans="1:1" s="22" customFormat="1" x14ac:dyDescent="0.25"/>
    <row r="118" spans="1:1" x14ac:dyDescent="0.25">
      <c r="A118" s="21"/>
    </row>
    <row r="119" spans="1:1" x14ac:dyDescent="0.25">
      <c r="A119" s="21"/>
    </row>
  </sheetData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1" ySplit="8" topLeftCell="B27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9" sqref="G9:H10"/>
    </sheetView>
  </sheetViews>
  <sheetFormatPr defaultColWidth="8.85546875" defaultRowHeight="15" x14ac:dyDescent="0.25"/>
  <cols>
    <col min="1" max="1" width="18.28515625" style="27" customWidth="1"/>
    <col min="2" max="2" width="12.7109375" style="21" customWidth="1"/>
    <col min="3" max="12" width="9.140625" style="21" customWidth="1"/>
    <col min="13" max="13" width="10" style="21" customWidth="1"/>
    <col min="14" max="19" width="9.140625" style="21" customWidth="1"/>
    <col min="20" max="20" width="11.42578125" style="21" customWidth="1"/>
    <col min="21" max="16384" width="8.85546875" style="21"/>
  </cols>
  <sheetData>
    <row r="1" spans="1:21" s="22" customFormat="1" ht="26.25" x14ac:dyDescent="0.25">
      <c r="A1" s="15" t="s">
        <v>2</v>
      </c>
      <c r="B1" s="24" t="s">
        <v>60</v>
      </c>
      <c r="C1" s="38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s="22" customFormat="1" x14ac:dyDescent="0.25">
      <c r="A2" s="15" t="s">
        <v>0</v>
      </c>
      <c r="B2" s="39" t="str">
        <f>$A$9</f>
        <v>27-10-2022 01:00</v>
      </c>
      <c r="C2" s="12"/>
      <c r="D2" s="11" t="s">
        <v>3</v>
      </c>
      <c r="E2" s="11"/>
      <c r="F2" s="11"/>
      <c r="G2" s="4" t="s">
        <v>4</v>
      </c>
      <c r="H2" s="20"/>
      <c r="I2" s="20"/>
      <c r="J2" s="20"/>
      <c r="K2" s="13"/>
      <c r="L2" s="11" t="s">
        <v>5</v>
      </c>
      <c r="M2" s="13"/>
      <c r="N2" s="8" t="s">
        <v>6</v>
      </c>
      <c r="P2" s="40" t="s">
        <v>7</v>
      </c>
      <c r="Q2" s="13"/>
      <c r="R2" s="9" t="s">
        <v>8</v>
      </c>
      <c r="S2" s="12"/>
      <c r="T2" s="12"/>
      <c r="U2" s="12"/>
    </row>
    <row r="3" spans="1:21" s="22" customFormat="1" x14ac:dyDescent="0.25">
      <c r="A3" s="15" t="s">
        <v>9</v>
      </c>
      <c r="B3" s="13" t="s">
        <v>10</v>
      </c>
      <c r="C3" s="12"/>
      <c r="D3" s="11" t="s">
        <v>11</v>
      </c>
      <c r="E3" s="11"/>
      <c r="F3" s="11"/>
      <c r="G3" s="19" t="s">
        <v>12</v>
      </c>
      <c r="H3" s="20"/>
      <c r="I3" s="20"/>
      <c r="J3" s="20"/>
      <c r="K3" s="12"/>
      <c r="L3" s="11" t="s">
        <v>13</v>
      </c>
      <c r="M3" s="13"/>
      <c r="N3" s="6" t="s">
        <v>14</v>
      </c>
      <c r="O3" s="13"/>
      <c r="P3" s="40" t="s">
        <v>15</v>
      </c>
      <c r="Q3" s="13"/>
      <c r="R3" s="10" t="s">
        <v>15</v>
      </c>
      <c r="S3" s="12"/>
      <c r="T3" s="12"/>
      <c r="U3" s="12"/>
    </row>
    <row r="4" spans="1:21" s="22" customFormat="1" x14ac:dyDescent="0.25">
      <c r="A4" s="15" t="s">
        <v>16</v>
      </c>
      <c r="B4" s="13" t="s">
        <v>39</v>
      </c>
      <c r="C4" s="12"/>
      <c r="D4" s="11" t="s">
        <v>17</v>
      </c>
      <c r="E4" s="11"/>
      <c r="F4" s="11"/>
      <c r="G4" s="5" t="s">
        <v>18</v>
      </c>
      <c r="H4" s="20"/>
      <c r="I4" s="20"/>
      <c r="J4" s="20"/>
      <c r="K4" s="3"/>
      <c r="L4" s="11" t="s">
        <v>19</v>
      </c>
      <c r="M4" s="13"/>
      <c r="N4" s="7" t="s">
        <v>20</v>
      </c>
      <c r="O4" s="13"/>
      <c r="P4" s="13"/>
      <c r="Q4" s="13"/>
      <c r="R4" s="13"/>
      <c r="S4" s="12"/>
      <c r="T4" s="12"/>
      <c r="U4" s="12"/>
    </row>
    <row r="5" spans="1:21" s="22" customFormat="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s="22" customFormat="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s="22" customFormat="1" x14ac:dyDescent="0.25">
      <c r="A7" s="15" t="s">
        <v>21</v>
      </c>
      <c r="B7" s="45" t="s">
        <v>59</v>
      </c>
      <c r="C7" s="45" t="s">
        <v>44</v>
      </c>
      <c r="D7" s="45" t="s">
        <v>45</v>
      </c>
      <c r="E7" s="45" t="s">
        <v>46</v>
      </c>
      <c r="F7" s="45" t="s">
        <v>47</v>
      </c>
      <c r="G7" s="45" t="s">
        <v>48</v>
      </c>
      <c r="H7" s="45" t="s">
        <v>49</v>
      </c>
      <c r="I7" s="45" t="s">
        <v>50</v>
      </c>
      <c r="J7" s="45" t="s">
        <v>51</v>
      </c>
      <c r="K7" s="45" t="s">
        <v>52</v>
      </c>
      <c r="L7" s="45" t="s">
        <v>53</v>
      </c>
      <c r="M7" s="45" t="s">
        <v>54</v>
      </c>
      <c r="N7" s="45" t="s">
        <v>55</v>
      </c>
      <c r="O7" s="45" t="s">
        <v>56</v>
      </c>
      <c r="P7" s="45" t="s">
        <v>57</v>
      </c>
      <c r="Q7" s="45" t="s">
        <v>58</v>
      </c>
      <c r="R7" s="28"/>
      <c r="S7" s="30"/>
      <c r="T7" s="28"/>
      <c r="U7" s="28"/>
    </row>
    <row r="8" spans="1:21" s="22" customFormat="1" x14ac:dyDescent="0.25">
      <c r="A8" s="15"/>
      <c r="B8" s="30" t="s">
        <v>22</v>
      </c>
      <c r="C8" s="30" t="s">
        <v>22</v>
      </c>
      <c r="D8" s="30" t="s">
        <v>22</v>
      </c>
      <c r="E8" s="30" t="s">
        <v>22</v>
      </c>
      <c r="F8" s="30" t="s">
        <v>22</v>
      </c>
      <c r="G8" s="30" t="s">
        <v>23</v>
      </c>
      <c r="H8" s="30" t="s">
        <v>22</v>
      </c>
      <c r="I8" s="30" t="s">
        <v>22</v>
      </c>
      <c r="J8" s="30" t="s">
        <v>24</v>
      </c>
      <c r="K8" s="30" t="s">
        <v>25</v>
      </c>
      <c r="L8" s="28" t="s">
        <v>27</v>
      </c>
      <c r="M8" s="30" t="s">
        <v>26</v>
      </c>
      <c r="N8" s="30" t="s">
        <v>28</v>
      </c>
      <c r="O8" s="28" t="s">
        <v>29</v>
      </c>
      <c r="P8" s="30" t="s">
        <v>22</v>
      </c>
      <c r="Q8" s="30" t="s">
        <v>22</v>
      </c>
      <c r="R8" s="28"/>
      <c r="S8" s="30"/>
      <c r="T8" s="28"/>
      <c r="U8" s="28"/>
    </row>
    <row r="9" spans="1:21" s="12" customFormat="1" x14ac:dyDescent="0.25">
      <c r="A9" s="62" t="s">
        <v>687</v>
      </c>
      <c r="B9" s="63">
        <v>76.08</v>
      </c>
      <c r="C9" s="63">
        <v>191.21</v>
      </c>
      <c r="D9" s="63">
        <v>166.53</v>
      </c>
      <c r="E9" s="63">
        <v>14.5</v>
      </c>
      <c r="F9" s="63">
        <v>2.44</v>
      </c>
      <c r="G9" s="10" t="s">
        <v>15</v>
      </c>
      <c r="H9" s="10" t="s">
        <v>15</v>
      </c>
      <c r="I9" s="63">
        <v>1.17</v>
      </c>
      <c r="J9" s="63">
        <v>0.16</v>
      </c>
      <c r="K9" s="63">
        <v>319.45</v>
      </c>
      <c r="L9" s="9" t="s">
        <v>8</v>
      </c>
      <c r="M9" s="9" t="s">
        <v>8</v>
      </c>
      <c r="N9" s="63">
        <v>4.4000000000000004</v>
      </c>
      <c r="O9" s="63">
        <v>0</v>
      </c>
      <c r="P9" s="63">
        <v>2.16</v>
      </c>
      <c r="Q9" s="63">
        <v>215.87</v>
      </c>
      <c r="R9" s="44"/>
      <c r="S9" s="44"/>
      <c r="T9" s="44"/>
      <c r="U9" s="44"/>
    </row>
    <row r="10" spans="1:21" s="12" customFormat="1" x14ac:dyDescent="0.25">
      <c r="A10" s="62" t="s">
        <v>688</v>
      </c>
      <c r="B10" s="63">
        <v>8.7200000000000006</v>
      </c>
      <c r="C10" s="63">
        <v>80.489999999999995</v>
      </c>
      <c r="D10" s="63">
        <v>51.41</v>
      </c>
      <c r="E10" s="63">
        <v>10.71</v>
      </c>
      <c r="F10" s="63">
        <v>8.69</v>
      </c>
      <c r="G10" s="10" t="s">
        <v>15</v>
      </c>
      <c r="H10" s="10" t="s">
        <v>15</v>
      </c>
      <c r="I10" s="63">
        <v>0.82</v>
      </c>
      <c r="J10" s="63">
        <v>0.17</v>
      </c>
      <c r="K10" s="63">
        <v>270.68</v>
      </c>
      <c r="L10" s="9" t="s">
        <v>8</v>
      </c>
      <c r="M10" s="9" t="s">
        <v>8</v>
      </c>
      <c r="N10" s="63">
        <v>4.5999999999999996</v>
      </c>
      <c r="O10" s="63">
        <v>0</v>
      </c>
      <c r="P10" s="63">
        <v>0.97</v>
      </c>
      <c r="Q10" s="63">
        <v>115.3</v>
      </c>
      <c r="R10" s="44"/>
      <c r="S10" s="44"/>
      <c r="T10" s="44"/>
      <c r="U10" s="44"/>
    </row>
    <row r="11" spans="1:21" s="12" customFormat="1" x14ac:dyDescent="0.25">
      <c r="A11" s="62" t="s">
        <v>689</v>
      </c>
      <c r="B11" s="63">
        <v>3.16</v>
      </c>
      <c r="C11" s="63">
        <v>69.78</v>
      </c>
      <c r="D11" s="63">
        <v>40.49</v>
      </c>
      <c r="E11" s="63">
        <v>10.81</v>
      </c>
      <c r="F11" s="63">
        <v>13.6</v>
      </c>
      <c r="G11" s="63">
        <v>259.94</v>
      </c>
      <c r="H11" s="63">
        <v>170.3</v>
      </c>
      <c r="I11" s="63">
        <v>0.3</v>
      </c>
      <c r="J11" s="63">
        <v>0.13</v>
      </c>
      <c r="K11" s="63">
        <v>279.38</v>
      </c>
      <c r="L11" s="9" t="s">
        <v>8</v>
      </c>
      <c r="M11" s="9" t="s">
        <v>8</v>
      </c>
      <c r="N11" s="63">
        <v>4.5999999999999996</v>
      </c>
      <c r="O11" s="63">
        <v>0</v>
      </c>
      <c r="P11" s="63">
        <v>0.9</v>
      </c>
      <c r="Q11" s="63">
        <v>87.32</v>
      </c>
      <c r="R11" s="44"/>
      <c r="S11" s="44"/>
      <c r="T11" s="44"/>
      <c r="U11" s="44"/>
    </row>
    <row r="12" spans="1:21" s="12" customFormat="1" x14ac:dyDescent="0.25">
      <c r="A12" s="62" t="s">
        <v>690</v>
      </c>
      <c r="B12" s="63">
        <v>4.4400000000000004</v>
      </c>
      <c r="C12" s="63">
        <v>90.16</v>
      </c>
      <c r="D12" s="63">
        <v>53.32</v>
      </c>
      <c r="E12" s="63">
        <v>14.91</v>
      </c>
      <c r="F12" s="63">
        <v>18.2</v>
      </c>
      <c r="G12" s="63">
        <v>199.35</v>
      </c>
      <c r="H12" s="63">
        <v>134.41</v>
      </c>
      <c r="I12" s="63">
        <v>0.23</v>
      </c>
      <c r="J12" s="63">
        <v>0.14000000000000001</v>
      </c>
      <c r="K12" s="63">
        <v>264.07</v>
      </c>
      <c r="L12" s="9" t="s">
        <v>8</v>
      </c>
      <c r="M12" s="9" t="s">
        <v>8</v>
      </c>
      <c r="N12" s="63">
        <v>4.5999999999999996</v>
      </c>
      <c r="O12" s="63">
        <v>0</v>
      </c>
      <c r="P12" s="63">
        <v>0.89</v>
      </c>
      <c r="Q12" s="63">
        <v>79.349999999999994</v>
      </c>
      <c r="R12" s="44"/>
      <c r="S12" s="44"/>
      <c r="T12" s="44"/>
      <c r="U12" s="44"/>
    </row>
    <row r="13" spans="1:21" s="12" customFormat="1" x14ac:dyDescent="0.25">
      <c r="A13" s="62" t="s">
        <v>691</v>
      </c>
      <c r="B13" s="63">
        <v>15.37</v>
      </c>
      <c r="C13" s="63">
        <v>91.58</v>
      </c>
      <c r="D13" s="63">
        <v>58.89</v>
      </c>
      <c r="E13" s="63">
        <v>13.21</v>
      </c>
      <c r="F13" s="63">
        <v>5.24</v>
      </c>
      <c r="G13" s="63">
        <v>152.88999999999999</v>
      </c>
      <c r="H13" s="63">
        <v>120.03</v>
      </c>
      <c r="I13" s="63">
        <v>0.17</v>
      </c>
      <c r="J13" s="63">
        <v>0.2</v>
      </c>
      <c r="K13" s="63">
        <v>313.86</v>
      </c>
      <c r="L13" s="9" t="s">
        <v>8</v>
      </c>
      <c r="M13" s="9" t="s">
        <v>8</v>
      </c>
      <c r="N13" s="63">
        <v>4.5999999999999996</v>
      </c>
      <c r="O13" s="63">
        <v>0</v>
      </c>
      <c r="P13" s="63">
        <v>0.83</v>
      </c>
      <c r="Q13" s="63">
        <v>85.33</v>
      </c>
      <c r="R13" s="44"/>
      <c r="S13" s="44"/>
      <c r="T13" s="44"/>
      <c r="U13" s="44"/>
    </row>
    <row r="14" spans="1:21" s="12" customFormat="1" x14ac:dyDescent="0.25">
      <c r="A14" s="62" t="s">
        <v>692</v>
      </c>
      <c r="B14" s="63">
        <v>50.37</v>
      </c>
      <c r="C14" s="63">
        <v>119.18</v>
      </c>
      <c r="D14" s="63">
        <v>106.16</v>
      </c>
      <c r="E14" s="63">
        <v>6.81</v>
      </c>
      <c r="F14" s="63">
        <v>3.45</v>
      </c>
      <c r="G14" s="63">
        <v>152.88999999999999</v>
      </c>
      <c r="H14" s="63">
        <v>104.58</v>
      </c>
      <c r="I14" s="63">
        <v>0.17</v>
      </c>
      <c r="J14" s="63">
        <v>0.17</v>
      </c>
      <c r="K14" s="63">
        <v>301.20999999999998</v>
      </c>
      <c r="L14" s="9" t="s">
        <v>8</v>
      </c>
      <c r="M14" s="9" t="s">
        <v>8</v>
      </c>
      <c r="N14" s="63">
        <v>6.1</v>
      </c>
      <c r="O14" s="63">
        <v>0</v>
      </c>
      <c r="P14" s="63">
        <v>0.94</v>
      </c>
      <c r="Q14" s="63">
        <v>118.28</v>
      </c>
      <c r="R14" s="44"/>
      <c r="S14" s="44"/>
      <c r="T14" s="44"/>
      <c r="U14" s="44"/>
    </row>
    <row r="15" spans="1:21" s="12" customFormat="1" x14ac:dyDescent="0.25">
      <c r="A15" s="62" t="s">
        <v>693</v>
      </c>
      <c r="B15" s="63">
        <v>29.47</v>
      </c>
      <c r="C15" s="63">
        <v>95.68</v>
      </c>
      <c r="D15" s="63">
        <v>76.44</v>
      </c>
      <c r="E15" s="63">
        <v>7.76</v>
      </c>
      <c r="F15" s="63">
        <v>6.45</v>
      </c>
      <c r="G15" s="63">
        <v>155.13</v>
      </c>
      <c r="H15" s="63">
        <v>89.73</v>
      </c>
      <c r="I15" s="63">
        <v>0.21</v>
      </c>
      <c r="J15" s="63">
        <v>0.19</v>
      </c>
      <c r="K15" s="63">
        <v>220.31</v>
      </c>
      <c r="L15" s="9" t="s">
        <v>8</v>
      </c>
      <c r="M15" s="9" t="s">
        <v>8</v>
      </c>
      <c r="N15" s="63">
        <v>80.400000000000006</v>
      </c>
      <c r="O15" s="63">
        <v>0</v>
      </c>
      <c r="P15" s="63">
        <v>0.9</v>
      </c>
      <c r="Q15" s="63">
        <v>125.15</v>
      </c>
      <c r="R15" s="44"/>
      <c r="S15" s="44"/>
      <c r="T15" s="44"/>
      <c r="U15" s="44"/>
    </row>
    <row r="16" spans="1:21" s="12" customFormat="1" x14ac:dyDescent="0.25">
      <c r="A16" s="62" t="s">
        <v>694</v>
      </c>
      <c r="B16" s="63">
        <v>28.29</v>
      </c>
      <c r="C16" s="63">
        <v>111.21</v>
      </c>
      <c r="D16" s="63">
        <v>84.06</v>
      </c>
      <c r="E16" s="63">
        <v>11.7</v>
      </c>
      <c r="F16" s="63">
        <v>13.19</v>
      </c>
      <c r="G16" s="63">
        <v>155.13</v>
      </c>
      <c r="H16" s="63">
        <v>89.73</v>
      </c>
      <c r="I16" s="63">
        <v>0.25</v>
      </c>
      <c r="J16" s="63">
        <v>0.42</v>
      </c>
      <c r="K16" s="63">
        <v>165.84</v>
      </c>
      <c r="L16" s="9" t="s">
        <v>8</v>
      </c>
      <c r="M16" s="9" t="s">
        <v>8</v>
      </c>
      <c r="N16" s="63">
        <v>311.5</v>
      </c>
      <c r="O16" s="63">
        <v>0</v>
      </c>
      <c r="P16" s="63">
        <v>1.1599999999999999</v>
      </c>
      <c r="Q16" s="63">
        <v>94.25</v>
      </c>
      <c r="R16" s="44"/>
      <c r="S16" s="44"/>
      <c r="T16" s="44"/>
      <c r="U16" s="44"/>
    </row>
    <row r="17" spans="1:21" s="12" customFormat="1" x14ac:dyDescent="0.25">
      <c r="A17" s="62" t="s">
        <v>695</v>
      </c>
      <c r="B17" s="63">
        <v>13.36</v>
      </c>
      <c r="C17" s="63">
        <v>93.82</v>
      </c>
      <c r="D17" s="63">
        <v>62.49</v>
      </c>
      <c r="E17" s="63">
        <v>52.37</v>
      </c>
      <c r="F17" s="63">
        <v>40.71</v>
      </c>
      <c r="G17" s="63">
        <v>171.87</v>
      </c>
      <c r="H17" s="63">
        <v>90.38</v>
      </c>
      <c r="I17" s="63">
        <v>0.23</v>
      </c>
      <c r="J17" s="63">
        <v>0.54</v>
      </c>
      <c r="K17" s="63">
        <v>184.37</v>
      </c>
      <c r="L17" s="9" t="s">
        <v>8</v>
      </c>
      <c r="M17" s="9" t="s">
        <v>8</v>
      </c>
      <c r="N17" s="63">
        <v>507</v>
      </c>
      <c r="O17" s="63">
        <v>0</v>
      </c>
      <c r="P17" s="63">
        <v>1.24</v>
      </c>
      <c r="Q17" s="63">
        <v>100.27</v>
      </c>
      <c r="R17" s="44"/>
      <c r="S17" s="44"/>
      <c r="T17" s="44"/>
      <c r="U17" s="44"/>
    </row>
    <row r="18" spans="1:21" s="12" customFormat="1" x14ac:dyDescent="0.25">
      <c r="A18" s="62" t="s">
        <v>696</v>
      </c>
      <c r="B18" s="63">
        <v>6.4</v>
      </c>
      <c r="C18" s="63">
        <v>70.39</v>
      </c>
      <c r="D18" s="63">
        <v>43.98</v>
      </c>
      <c r="E18" s="63">
        <v>69.42</v>
      </c>
      <c r="F18" s="63">
        <v>82.32</v>
      </c>
      <c r="G18" s="63">
        <v>194.47</v>
      </c>
      <c r="H18" s="63">
        <v>90.38</v>
      </c>
      <c r="I18" s="63">
        <v>0.23</v>
      </c>
      <c r="J18" s="63">
        <v>0.32</v>
      </c>
      <c r="K18" s="63">
        <v>167.86</v>
      </c>
      <c r="L18" s="9" t="s">
        <v>8</v>
      </c>
      <c r="M18" s="9" t="s">
        <v>8</v>
      </c>
      <c r="N18" s="63">
        <v>658.1</v>
      </c>
      <c r="O18" s="63">
        <v>0</v>
      </c>
      <c r="P18" s="63">
        <v>1.62</v>
      </c>
      <c r="Q18" s="63">
        <v>86.86</v>
      </c>
      <c r="R18" s="44"/>
      <c r="S18" s="44"/>
      <c r="T18" s="44"/>
      <c r="U18" s="44"/>
    </row>
    <row r="19" spans="1:21" s="12" customFormat="1" x14ac:dyDescent="0.25">
      <c r="A19" s="62" t="s">
        <v>697</v>
      </c>
      <c r="B19" s="63">
        <v>2.33</v>
      </c>
      <c r="C19" s="63">
        <v>38.18</v>
      </c>
      <c r="D19" s="63">
        <v>22.75</v>
      </c>
      <c r="E19" s="63">
        <v>33.54</v>
      </c>
      <c r="F19" s="63">
        <v>95.5</v>
      </c>
      <c r="G19" s="63">
        <v>194.47</v>
      </c>
      <c r="H19" s="63">
        <v>86.04</v>
      </c>
      <c r="I19" s="63">
        <v>0.11</v>
      </c>
      <c r="J19" s="63">
        <v>0.56000000000000005</v>
      </c>
      <c r="K19" s="63">
        <v>168.12</v>
      </c>
      <c r="L19" s="9" t="s">
        <v>8</v>
      </c>
      <c r="M19" s="9" t="s">
        <v>8</v>
      </c>
      <c r="N19" s="63">
        <v>739.5</v>
      </c>
      <c r="O19" s="63">
        <v>0</v>
      </c>
      <c r="P19" s="63">
        <v>1</v>
      </c>
      <c r="Q19" s="63">
        <v>75.06</v>
      </c>
      <c r="R19" s="44"/>
      <c r="S19" s="44"/>
      <c r="T19" s="44"/>
      <c r="U19" s="44"/>
    </row>
    <row r="20" spans="1:21" s="12" customFormat="1" x14ac:dyDescent="0.25">
      <c r="A20" s="62" t="s">
        <v>698</v>
      </c>
      <c r="B20" s="63">
        <v>3.68</v>
      </c>
      <c r="C20" s="63">
        <v>50.8</v>
      </c>
      <c r="D20" s="63">
        <v>30.99</v>
      </c>
      <c r="E20" s="63">
        <v>32.79</v>
      </c>
      <c r="F20" s="63">
        <v>97.82</v>
      </c>
      <c r="G20" s="63">
        <v>130.56</v>
      </c>
      <c r="H20" s="63">
        <v>83.07</v>
      </c>
      <c r="I20" s="63">
        <v>0.1</v>
      </c>
      <c r="J20" s="63">
        <v>0.66</v>
      </c>
      <c r="K20" s="63">
        <v>181.06</v>
      </c>
      <c r="L20" s="9" t="s">
        <v>8</v>
      </c>
      <c r="M20" s="9" t="s">
        <v>8</v>
      </c>
      <c r="N20" s="63">
        <v>758.8</v>
      </c>
      <c r="O20" s="63">
        <v>0</v>
      </c>
      <c r="P20" s="63">
        <v>0.59</v>
      </c>
      <c r="Q20" s="63">
        <v>61.03</v>
      </c>
      <c r="R20" s="44"/>
      <c r="S20" s="44"/>
      <c r="T20" s="44"/>
      <c r="U20" s="44"/>
    </row>
    <row r="21" spans="1:21" s="12" customFormat="1" x14ac:dyDescent="0.25">
      <c r="A21" s="62" t="s">
        <v>699</v>
      </c>
      <c r="B21" s="63">
        <v>8.8800000000000008</v>
      </c>
      <c r="C21" s="63">
        <v>76.989999999999995</v>
      </c>
      <c r="D21" s="63">
        <v>49.61</v>
      </c>
      <c r="E21" s="63">
        <v>30.77</v>
      </c>
      <c r="F21" s="63">
        <v>103.58</v>
      </c>
      <c r="G21" s="63">
        <v>79.58</v>
      </c>
      <c r="H21" s="63">
        <v>61.27</v>
      </c>
      <c r="I21" s="63">
        <v>0.11</v>
      </c>
      <c r="J21" s="63">
        <v>0.26</v>
      </c>
      <c r="K21" s="63">
        <v>160.82</v>
      </c>
      <c r="L21" s="9" t="s">
        <v>8</v>
      </c>
      <c r="M21" s="9" t="s">
        <v>8</v>
      </c>
      <c r="N21" s="63">
        <v>712</v>
      </c>
      <c r="O21" s="63">
        <v>0</v>
      </c>
      <c r="P21" s="63">
        <v>0.83</v>
      </c>
      <c r="Q21" s="63">
        <v>52.76</v>
      </c>
      <c r="R21" s="44"/>
      <c r="S21" s="44"/>
      <c r="T21" s="44"/>
      <c r="U21" s="44"/>
    </row>
    <row r="22" spans="1:21" s="12" customFormat="1" x14ac:dyDescent="0.25">
      <c r="A22" s="62" t="s">
        <v>700</v>
      </c>
      <c r="B22" s="63">
        <v>4.1900000000000004</v>
      </c>
      <c r="C22" s="63">
        <v>54.42</v>
      </c>
      <c r="D22" s="63">
        <v>33.39</v>
      </c>
      <c r="E22" s="63">
        <v>34.17</v>
      </c>
      <c r="F22" s="63">
        <v>122.95</v>
      </c>
      <c r="G22" s="63">
        <v>92.45</v>
      </c>
      <c r="H22" s="63">
        <v>57.17</v>
      </c>
      <c r="I22" s="63">
        <v>0.12</v>
      </c>
      <c r="J22" s="63">
        <v>0.52</v>
      </c>
      <c r="K22" s="63">
        <v>348.5</v>
      </c>
      <c r="L22" s="9" t="s">
        <v>8</v>
      </c>
      <c r="M22" s="9" t="s">
        <v>8</v>
      </c>
      <c r="N22" s="63">
        <v>609.6</v>
      </c>
      <c r="O22" s="63">
        <v>0</v>
      </c>
      <c r="P22" s="63">
        <v>0.66</v>
      </c>
      <c r="Q22" s="63">
        <v>47.65</v>
      </c>
      <c r="R22" s="44"/>
      <c r="S22" s="44"/>
      <c r="T22" s="44"/>
      <c r="U22" s="44"/>
    </row>
    <row r="23" spans="1:21" s="12" customFormat="1" x14ac:dyDescent="0.25">
      <c r="A23" s="62" t="s">
        <v>701</v>
      </c>
      <c r="B23" s="63">
        <v>12.13</v>
      </c>
      <c r="C23" s="63">
        <v>87.54</v>
      </c>
      <c r="D23" s="63">
        <v>55.86</v>
      </c>
      <c r="E23" s="63">
        <v>54.47</v>
      </c>
      <c r="F23" s="63">
        <v>115.21</v>
      </c>
      <c r="G23" s="63">
        <v>92.45</v>
      </c>
      <c r="H23" s="63">
        <v>51.91</v>
      </c>
      <c r="I23" s="63">
        <v>0.14000000000000001</v>
      </c>
      <c r="J23" s="63">
        <v>0.72</v>
      </c>
      <c r="K23" s="63">
        <v>357.76</v>
      </c>
      <c r="L23" s="9" t="s">
        <v>8</v>
      </c>
      <c r="M23" s="9" t="s">
        <v>8</v>
      </c>
      <c r="N23" s="63">
        <v>460.9</v>
      </c>
      <c r="O23" s="63">
        <v>0</v>
      </c>
      <c r="P23" s="63">
        <v>0.95</v>
      </c>
      <c r="Q23" s="63">
        <v>58.19</v>
      </c>
      <c r="R23" s="44"/>
      <c r="S23" s="44"/>
      <c r="T23" s="44"/>
      <c r="U23" s="44"/>
    </row>
    <row r="24" spans="1:21" s="12" customFormat="1" x14ac:dyDescent="0.25">
      <c r="A24" s="62" t="s">
        <v>702</v>
      </c>
      <c r="B24" s="63">
        <v>12.81</v>
      </c>
      <c r="C24" s="63">
        <v>83.46</v>
      </c>
      <c r="D24" s="63">
        <v>54.81</v>
      </c>
      <c r="E24" s="63">
        <v>58.21</v>
      </c>
      <c r="F24" s="63">
        <v>86.34</v>
      </c>
      <c r="G24" s="63">
        <v>98.18</v>
      </c>
      <c r="H24" s="63">
        <v>48.13</v>
      </c>
      <c r="I24" s="63">
        <v>0.15</v>
      </c>
      <c r="J24" s="63">
        <v>1.1499999999999999</v>
      </c>
      <c r="K24" s="63">
        <v>25.19</v>
      </c>
      <c r="L24" s="9" t="s">
        <v>8</v>
      </c>
      <c r="M24" s="9" t="s">
        <v>8</v>
      </c>
      <c r="N24" s="63">
        <v>164.1</v>
      </c>
      <c r="O24" s="63">
        <v>0</v>
      </c>
      <c r="P24" s="63">
        <v>0.82</v>
      </c>
      <c r="Q24" s="63">
        <v>56.13</v>
      </c>
      <c r="R24" s="44"/>
      <c r="S24" s="44"/>
      <c r="T24" s="44"/>
      <c r="U24" s="44"/>
    </row>
    <row r="25" spans="1:21" s="12" customFormat="1" x14ac:dyDescent="0.25">
      <c r="A25" s="62" t="s">
        <v>703</v>
      </c>
      <c r="B25" s="63">
        <v>17.440000000000001</v>
      </c>
      <c r="C25" s="63">
        <v>127.84</v>
      </c>
      <c r="D25" s="63">
        <v>84.54</v>
      </c>
      <c r="E25" s="63">
        <v>34.630000000000003</v>
      </c>
      <c r="F25" s="63">
        <v>75.17</v>
      </c>
      <c r="G25" s="63">
        <v>98.29</v>
      </c>
      <c r="H25" s="63">
        <v>41.19</v>
      </c>
      <c r="I25" s="63">
        <v>0.14000000000000001</v>
      </c>
      <c r="J25" s="63">
        <v>1.1599999999999999</v>
      </c>
      <c r="K25" s="63">
        <v>23.63</v>
      </c>
      <c r="L25" s="9" t="s">
        <v>8</v>
      </c>
      <c r="M25" s="9" t="s">
        <v>8</v>
      </c>
      <c r="N25" s="63">
        <v>67.8</v>
      </c>
      <c r="O25" s="63">
        <v>0</v>
      </c>
      <c r="P25" s="63">
        <v>1.02</v>
      </c>
      <c r="Q25" s="63">
        <v>70.33</v>
      </c>
      <c r="R25" s="44"/>
      <c r="S25" s="44"/>
      <c r="T25" s="44"/>
      <c r="U25" s="44"/>
    </row>
    <row r="26" spans="1:21" s="12" customFormat="1" x14ac:dyDescent="0.25">
      <c r="A26" s="62" t="s">
        <v>704</v>
      </c>
      <c r="B26" s="63">
        <v>18.170000000000002</v>
      </c>
      <c r="C26" s="63">
        <v>210.37</v>
      </c>
      <c r="D26" s="63">
        <v>130.18</v>
      </c>
      <c r="E26" s="63">
        <v>31.73</v>
      </c>
      <c r="F26" s="63">
        <v>47.64</v>
      </c>
      <c r="G26" s="63">
        <v>98.29</v>
      </c>
      <c r="H26" s="63">
        <v>39.24</v>
      </c>
      <c r="I26" s="63">
        <v>0.36</v>
      </c>
      <c r="J26" s="63">
        <v>0.45</v>
      </c>
      <c r="K26" s="63">
        <v>348.21</v>
      </c>
      <c r="L26" s="9" t="s">
        <v>8</v>
      </c>
      <c r="M26" s="9" t="s">
        <v>8</v>
      </c>
      <c r="N26" s="63">
        <v>18.5</v>
      </c>
      <c r="O26" s="63">
        <v>0</v>
      </c>
      <c r="P26" s="63">
        <v>1.85</v>
      </c>
      <c r="Q26" s="63">
        <v>97.34</v>
      </c>
      <c r="R26" s="44"/>
      <c r="S26" s="44"/>
      <c r="T26" s="44"/>
      <c r="U26" s="44"/>
    </row>
    <row r="27" spans="1:21" s="12" customFormat="1" x14ac:dyDescent="0.25">
      <c r="A27" s="62" t="s">
        <v>705</v>
      </c>
      <c r="B27" s="63">
        <v>106.14</v>
      </c>
      <c r="C27" s="63">
        <v>332.41</v>
      </c>
      <c r="D27" s="63">
        <v>268.56</v>
      </c>
      <c r="E27" s="63">
        <v>24.93</v>
      </c>
      <c r="F27" s="63">
        <v>10.24</v>
      </c>
      <c r="G27" s="63">
        <v>146.69999999999999</v>
      </c>
      <c r="H27" s="63">
        <v>42.65</v>
      </c>
      <c r="I27" s="63">
        <v>0.8</v>
      </c>
      <c r="J27" s="63">
        <v>0.17</v>
      </c>
      <c r="K27" s="63">
        <v>331.68</v>
      </c>
      <c r="L27" s="9" t="s">
        <v>8</v>
      </c>
      <c r="M27" s="9" t="s">
        <v>8</v>
      </c>
      <c r="N27" s="63">
        <v>5.0999999999999996</v>
      </c>
      <c r="O27" s="63">
        <v>0</v>
      </c>
      <c r="P27" s="63">
        <v>2.72</v>
      </c>
      <c r="Q27" s="63">
        <v>212.1</v>
      </c>
      <c r="R27" s="44"/>
      <c r="S27" s="44"/>
      <c r="T27" s="44"/>
      <c r="U27" s="44"/>
    </row>
    <row r="28" spans="1:21" s="12" customFormat="1" x14ac:dyDescent="0.25">
      <c r="A28" s="62" t="s">
        <v>706</v>
      </c>
      <c r="B28" s="63">
        <v>105.66</v>
      </c>
      <c r="C28" s="63">
        <v>291.01</v>
      </c>
      <c r="D28" s="63">
        <v>245.33</v>
      </c>
      <c r="E28" s="63">
        <v>20.420000000000002</v>
      </c>
      <c r="F28" s="63">
        <v>19.079999999999998</v>
      </c>
      <c r="G28" s="63">
        <v>178.67</v>
      </c>
      <c r="H28" s="63">
        <v>59.11</v>
      </c>
      <c r="I28" s="63">
        <v>0.84</v>
      </c>
      <c r="J28" s="63">
        <v>0.15</v>
      </c>
      <c r="K28" s="63">
        <v>339.94</v>
      </c>
      <c r="L28" s="9" t="s">
        <v>8</v>
      </c>
      <c r="M28" s="9" t="s">
        <v>8</v>
      </c>
      <c r="N28" s="63">
        <v>4.8</v>
      </c>
      <c r="O28" s="63">
        <v>0</v>
      </c>
      <c r="P28" s="63">
        <v>2.95</v>
      </c>
      <c r="Q28" s="63">
        <v>188.38</v>
      </c>
      <c r="R28" s="44"/>
      <c r="S28" s="44"/>
      <c r="T28" s="44"/>
      <c r="U28" s="44"/>
    </row>
    <row r="29" spans="1:21" s="12" customFormat="1" x14ac:dyDescent="0.25">
      <c r="A29" s="62" t="s">
        <v>707</v>
      </c>
      <c r="B29" s="63">
        <v>107.65</v>
      </c>
      <c r="C29" s="63">
        <v>281.3</v>
      </c>
      <c r="D29" s="63">
        <v>241.57</v>
      </c>
      <c r="E29" s="63">
        <v>21.33</v>
      </c>
      <c r="F29" s="63">
        <v>10.19</v>
      </c>
      <c r="G29" s="63">
        <v>197.8</v>
      </c>
      <c r="H29" s="63">
        <v>63.69</v>
      </c>
      <c r="I29" s="63">
        <v>0.98</v>
      </c>
      <c r="J29" s="63">
        <v>0.33</v>
      </c>
      <c r="K29" s="63">
        <v>356.49</v>
      </c>
      <c r="L29" s="9" t="s">
        <v>8</v>
      </c>
      <c r="M29" s="9" t="s">
        <v>8</v>
      </c>
      <c r="N29" s="63">
        <v>4.8</v>
      </c>
      <c r="O29" s="63">
        <v>0</v>
      </c>
      <c r="P29" s="63">
        <v>3.4</v>
      </c>
      <c r="Q29" s="63">
        <v>211.38</v>
      </c>
      <c r="R29" s="44"/>
      <c r="S29" s="44"/>
      <c r="T29" s="44"/>
      <c r="U29" s="44"/>
    </row>
    <row r="30" spans="1:21" s="12" customFormat="1" x14ac:dyDescent="0.25">
      <c r="A30" s="62" t="s">
        <v>708</v>
      </c>
      <c r="B30" s="63">
        <v>96.8</v>
      </c>
      <c r="C30" s="63">
        <v>278.93</v>
      </c>
      <c r="D30" s="63">
        <v>231.56</v>
      </c>
      <c r="E30" s="63">
        <v>18.36</v>
      </c>
      <c r="F30" s="63">
        <v>16.77</v>
      </c>
      <c r="G30" s="63">
        <v>230.35</v>
      </c>
      <c r="H30" s="63">
        <v>77.64</v>
      </c>
      <c r="I30" s="63">
        <v>1.02</v>
      </c>
      <c r="J30" s="63">
        <v>0.2</v>
      </c>
      <c r="K30" s="63">
        <v>348.94</v>
      </c>
      <c r="L30" s="9" t="s">
        <v>8</v>
      </c>
      <c r="M30" s="9" t="s">
        <v>8</v>
      </c>
      <c r="N30" s="63">
        <v>4.9000000000000004</v>
      </c>
      <c r="O30" s="63">
        <v>0</v>
      </c>
      <c r="P30" s="63">
        <v>2.31</v>
      </c>
      <c r="Q30" s="63">
        <v>222.83</v>
      </c>
      <c r="R30" s="44"/>
      <c r="S30" s="44"/>
      <c r="T30" s="44"/>
      <c r="U30" s="44"/>
    </row>
    <row r="31" spans="1:21" s="12" customFormat="1" x14ac:dyDescent="0.25">
      <c r="A31" s="62" t="s">
        <v>709</v>
      </c>
      <c r="B31" s="63">
        <v>49.3</v>
      </c>
      <c r="C31" s="63">
        <v>225.16</v>
      </c>
      <c r="D31" s="63">
        <v>163.80000000000001</v>
      </c>
      <c r="E31" s="63">
        <v>15.71</v>
      </c>
      <c r="F31" s="63">
        <v>13.75</v>
      </c>
      <c r="G31" s="63">
        <v>230.35</v>
      </c>
      <c r="H31" s="63">
        <v>78.28</v>
      </c>
      <c r="I31" s="63">
        <v>0.71</v>
      </c>
      <c r="J31" s="63">
        <v>0.16</v>
      </c>
      <c r="K31" s="63">
        <v>334.1</v>
      </c>
      <c r="L31" s="9" t="s">
        <v>8</v>
      </c>
      <c r="M31" s="9" t="s">
        <v>8</v>
      </c>
      <c r="N31" s="63">
        <v>4.8</v>
      </c>
      <c r="O31" s="63">
        <v>0</v>
      </c>
      <c r="P31" s="63">
        <v>1.81</v>
      </c>
      <c r="Q31" s="63">
        <v>189.97</v>
      </c>
      <c r="R31" s="44"/>
      <c r="S31" s="44"/>
      <c r="T31" s="44"/>
      <c r="U31" s="44"/>
    </row>
    <row r="32" spans="1:21" s="12" customFormat="1" x14ac:dyDescent="0.25">
      <c r="A32" s="62" t="s">
        <v>710</v>
      </c>
      <c r="B32" s="63">
        <v>6.85</v>
      </c>
      <c r="C32" s="63">
        <v>90.53</v>
      </c>
      <c r="D32" s="63">
        <v>55.11</v>
      </c>
      <c r="E32" s="63">
        <v>14.88</v>
      </c>
      <c r="F32" s="63">
        <v>37.49</v>
      </c>
      <c r="G32" s="63">
        <v>219.96</v>
      </c>
      <c r="H32" s="63">
        <v>78.28</v>
      </c>
      <c r="I32" s="63">
        <v>0.63</v>
      </c>
      <c r="J32" s="63">
        <v>0.18</v>
      </c>
      <c r="K32" s="63">
        <v>301.41000000000003</v>
      </c>
      <c r="L32" s="9" t="s">
        <v>8</v>
      </c>
      <c r="M32" s="9" t="s">
        <v>8</v>
      </c>
      <c r="N32" s="63">
        <v>4.7</v>
      </c>
      <c r="O32" s="63">
        <v>0</v>
      </c>
      <c r="P32" s="63">
        <v>1.01</v>
      </c>
      <c r="Q32" s="63">
        <v>122.99</v>
      </c>
      <c r="R32" s="44"/>
      <c r="S32" s="44"/>
      <c r="T32" s="44"/>
      <c r="U32" s="44"/>
    </row>
    <row r="33" spans="1:21" s="22" customFormat="1" x14ac:dyDescent="0.25">
      <c r="A33" s="27"/>
      <c r="B33" s="21"/>
      <c r="C33" s="21"/>
      <c r="D33" s="21"/>
      <c r="E33" s="21"/>
      <c r="F33" s="21"/>
      <c r="G33" s="27"/>
      <c r="H33" s="27"/>
      <c r="I33" s="27"/>
      <c r="J33" s="21"/>
      <c r="K33" s="21"/>
      <c r="L33" s="27"/>
      <c r="M33" s="27"/>
      <c r="N33" s="27"/>
      <c r="O33" s="27"/>
      <c r="P33" s="27"/>
      <c r="Q33" s="21"/>
      <c r="R33" s="21"/>
      <c r="S33" s="21"/>
      <c r="T33" s="21"/>
      <c r="U33" s="21"/>
    </row>
    <row r="34" spans="1:21" s="22" customFormat="1" x14ac:dyDescent="0.25">
      <c r="A34" s="28" t="s">
        <v>30</v>
      </c>
      <c r="B34" s="29">
        <f t="shared" ref="B34:Q34" si="0">MIN(B9:B32)</f>
        <v>2.33</v>
      </c>
      <c r="C34" s="29">
        <f t="shared" si="0"/>
        <v>38.18</v>
      </c>
      <c r="D34" s="29">
        <f t="shared" si="0"/>
        <v>22.75</v>
      </c>
      <c r="E34" s="29">
        <f t="shared" si="0"/>
        <v>6.81</v>
      </c>
      <c r="F34" s="29">
        <f t="shared" si="0"/>
        <v>2.44</v>
      </c>
      <c r="G34" s="29">
        <f t="shared" si="0"/>
        <v>79.58</v>
      </c>
      <c r="H34" s="29">
        <f t="shared" si="0"/>
        <v>39.24</v>
      </c>
      <c r="I34" s="29">
        <f t="shared" si="0"/>
        <v>0.1</v>
      </c>
      <c r="J34" s="29">
        <f t="shared" si="0"/>
        <v>0.13</v>
      </c>
      <c r="K34" s="29">
        <f t="shared" si="0"/>
        <v>23.63</v>
      </c>
      <c r="L34" s="29">
        <f t="shared" si="0"/>
        <v>0</v>
      </c>
      <c r="M34" s="29">
        <f t="shared" si="0"/>
        <v>0</v>
      </c>
      <c r="N34" s="29">
        <f t="shared" si="0"/>
        <v>4.4000000000000004</v>
      </c>
      <c r="O34" s="29">
        <f t="shared" si="0"/>
        <v>0</v>
      </c>
      <c r="P34" s="29">
        <f t="shared" si="0"/>
        <v>0.59</v>
      </c>
      <c r="Q34" s="29">
        <f t="shared" si="0"/>
        <v>47.65</v>
      </c>
      <c r="R34" s="29"/>
      <c r="S34" s="29"/>
      <c r="T34" s="29"/>
      <c r="U34" s="29"/>
    </row>
    <row r="35" spans="1:21" s="22" customFormat="1" x14ac:dyDescent="0.25">
      <c r="A35" s="28" t="s">
        <v>31</v>
      </c>
      <c r="B35" s="30">
        <f t="shared" ref="B35:Q35" si="1">MAX(B9:B32)</f>
        <v>107.65</v>
      </c>
      <c r="C35" s="30">
        <f t="shared" si="1"/>
        <v>332.41</v>
      </c>
      <c r="D35" s="30">
        <f t="shared" si="1"/>
        <v>268.56</v>
      </c>
      <c r="E35" s="30">
        <f t="shared" si="1"/>
        <v>69.42</v>
      </c>
      <c r="F35" s="30">
        <f t="shared" si="1"/>
        <v>122.95</v>
      </c>
      <c r="G35" s="30">
        <f t="shared" si="1"/>
        <v>259.94</v>
      </c>
      <c r="H35" s="30">
        <f t="shared" si="1"/>
        <v>170.3</v>
      </c>
      <c r="I35" s="30">
        <f t="shared" si="1"/>
        <v>1.17</v>
      </c>
      <c r="J35" s="30">
        <f t="shared" si="1"/>
        <v>1.1599999999999999</v>
      </c>
      <c r="K35" s="30">
        <f t="shared" si="1"/>
        <v>357.76</v>
      </c>
      <c r="L35" s="30">
        <f t="shared" si="1"/>
        <v>0</v>
      </c>
      <c r="M35" s="30">
        <f t="shared" si="1"/>
        <v>0</v>
      </c>
      <c r="N35" s="30">
        <f t="shared" si="1"/>
        <v>758.8</v>
      </c>
      <c r="O35" s="30">
        <f t="shared" si="1"/>
        <v>0</v>
      </c>
      <c r="P35" s="30">
        <f t="shared" si="1"/>
        <v>3.4</v>
      </c>
      <c r="Q35" s="30">
        <f t="shared" si="1"/>
        <v>222.83</v>
      </c>
      <c r="R35" s="30"/>
      <c r="S35" s="30"/>
      <c r="T35" s="30"/>
      <c r="U35" s="30"/>
    </row>
    <row r="36" spans="1:21" s="22" customFormat="1" x14ac:dyDescent="0.25">
      <c r="A36" s="28" t="s">
        <v>32</v>
      </c>
      <c r="B36" s="29">
        <f t="shared" ref="B36:Q36" si="2">AVERAGE(B9:B32)</f>
        <v>32.820416666666667</v>
      </c>
      <c r="C36" s="29">
        <f t="shared" si="2"/>
        <v>135.10166666666666</v>
      </c>
      <c r="D36" s="29">
        <f t="shared" si="2"/>
        <v>100.49291666666669</v>
      </c>
      <c r="E36" s="29">
        <f t="shared" si="2"/>
        <v>26.589166666666667</v>
      </c>
      <c r="F36" s="29">
        <f t="shared" si="2"/>
        <v>43.584166666666668</v>
      </c>
      <c r="G36" s="29">
        <f t="shared" si="2"/>
        <v>160.44409090909087</v>
      </c>
      <c r="H36" s="29">
        <f t="shared" si="2"/>
        <v>79.873181818181834</v>
      </c>
      <c r="I36" s="29">
        <f t="shared" si="2"/>
        <v>0.41625000000000001</v>
      </c>
      <c r="J36" s="29">
        <f t="shared" si="2"/>
        <v>0.37958333333333333</v>
      </c>
      <c r="K36" s="29">
        <f t="shared" si="2"/>
        <v>254.70333333333329</v>
      </c>
      <c r="L36" s="29" t="e">
        <f t="shared" si="2"/>
        <v>#DIV/0!</v>
      </c>
      <c r="M36" s="29" t="e">
        <f t="shared" si="2"/>
        <v>#DIV/0!</v>
      </c>
      <c r="N36" s="29">
        <f t="shared" si="2"/>
        <v>214.42500000000004</v>
      </c>
      <c r="O36" s="29">
        <f t="shared" si="2"/>
        <v>0</v>
      </c>
      <c r="P36" s="29">
        <f t="shared" si="2"/>
        <v>1.397083333333333</v>
      </c>
      <c r="Q36" s="29">
        <f t="shared" si="2"/>
        <v>115.58833333333331</v>
      </c>
      <c r="R36" s="29"/>
      <c r="S36" s="29"/>
      <c r="T36" s="29"/>
      <c r="U36" s="29"/>
    </row>
    <row r="37" spans="1:21" s="22" customFormat="1" x14ac:dyDescent="0.25">
      <c r="A37" s="28" t="s">
        <v>38</v>
      </c>
      <c r="B37" s="29">
        <f>STDEV(B9:B32)</f>
        <v>37.083950528164642</v>
      </c>
      <c r="C37" s="29">
        <f t="shared" ref="C37:Q37" si="3">STDEV(C9:C32)</f>
        <v>87.230657288676326</v>
      </c>
      <c r="D37" s="29">
        <f t="shared" si="3"/>
        <v>76.726356022650336</v>
      </c>
      <c r="E37" s="29">
        <f t="shared" si="3"/>
        <v>17.258796349956611</v>
      </c>
      <c r="F37" s="29">
        <f t="shared" si="3"/>
        <v>41.350926588289973</v>
      </c>
      <c r="G37" s="29">
        <f t="shared" si="3"/>
        <v>52.34668549648147</v>
      </c>
      <c r="H37" s="29">
        <f t="shared" si="3"/>
        <v>32.163851550098826</v>
      </c>
      <c r="I37" s="29">
        <f t="shared" si="3"/>
        <v>0.34787319653799897</v>
      </c>
      <c r="J37" s="29">
        <f t="shared" si="3"/>
        <v>0.29802945822689153</v>
      </c>
      <c r="K37" s="29">
        <f t="shared" si="3"/>
        <v>99.838788909994847</v>
      </c>
      <c r="L37" s="29" t="e">
        <f t="shared" si="3"/>
        <v>#DIV/0!</v>
      </c>
      <c r="M37" s="29" t="e">
        <f t="shared" si="3"/>
        <v>#DIV/0!</v>
      </c>
      <c r="N37" s="29">
        <f t="shared" si="3"/>
        <v>290.12291885247231</v>
      </c>
      <c r="O37" s="29">
        <f t="shared" si="3"/>
        <v>0</v>
      </c>
      <c r="P37" s="29">
        <f t="shared" si="3"/>
        <v>0.78180659882800618</v>
      </c>
      <c r="Q37" s="29">
        <f t="shared" si="3"/>
        <v>58.22335559062094</v>
      </c>
      <c r="R37" s="29"/>
      <c r="S37" s="29"/>
      <c r="T37" s="29"/>
      <c r="U37" s="29"/>
    </row>
    <row r="38" spans="1:21" s="22" customFormat="1" x14ac:dyDescent="0.25">
      <c r="A38" s="32" t="s">
        <v>33</v>
      </c>
      <c r="B38" s="33">
        <f t="shared" ref="B38:Q38" si="4">COUNT(B9:B32)</f>
        <v>24</v>
      </c>
      <c r="C38" s="33">
        <f t="shared" si="4"/>
        <v>24</v>
      </c>
      <c r="D38" s="33">
        <f t="shared" si="4"/>
        <v>24</v>
      </c>
      <c r="E38" s="33">
        <f t="shared" si="4"/>
        <v>24</v>
      </c>
      <c r="F38" s="33">
        <f t="shared" si="4"/>
        <v>24</v>
      </c>
      <c r="G38" s="33">
        <f t="shared" si="4"/>
        <v>22</v>
      </c>
      <c r="H38" s="33">
        <f t="shared" si="4"/>
        <v>22</v>
      </c>
      <c r="I38" s="33">
        <f>COUNT(I9:I32)+1</f>
        <v>25</v>
      </c>
      <c r="J38" s="33">
        <f t="shared" si="4"/>
        <v>24</v>
      </c>
      <c r="K38" s="33">
        <f t="shared" si="4"/>
        <v>24</v>
      </c>
      <c r="L38" s="33">
        <f>COUNT(L9:L32)+24</f>
        <v>24</v>
      </c>
      <c r="M38" s="33">
        <f>COUNT(M9:M32)+24</f>
        <v>24</v>
      </c>
      <c r="N38" s="33">
        <f t="shared" si="4"/>
        <v>24</v>
      </c>
      <c r="O38" s="33">
        <f t="shared" si="4"/>
        <v>24</v>
      </c>
      <c r="P38" s="33">
        <f t="shared" si="4"/>
        <v>24</v>
      </c>
      <c r="Q38" s="33">
        <f t="shared" si="4"/>
        <v>24</v>
      </c>
      <c r="R38" s="33"/>
      <c r="S38" s="33"/>
      <c r="T38" s="33"/>
      <c r="U38" s="33"/>
    </row>
    <row r="39" spans="1:21" s="22" customFormat="1" x14ac:dyDescent="0.25">
      <c r="A39" s="28" t="s">
        <v>34</v>
      </c>
      <c r="B39" s="30" t="str">
        <f>IF(B38&gt;=22,"&gt;90%",IF(B38&lt;=22,"&lt;90%"))</f>
        <v>&gt;90%</v>
      </c>
      <c r="C39" s="30" t="str">
        <f t="shared" ref="C39:P39" si="5">IF(C38&gt;=22,"&gt;90%",IF(C38&lt;=22,"&lt;90%"))</f>
        <v>&gt;90%</v>
      </c>
      <c r="D39" s="30" t="str">
        <f t="shared" si="5"/>
        <v>&gt;90%</v>
      </c>
      <c r="E39" s="30" t="str">
        <f t="shared" si="5"/>
        <v>&gt;90%</v>
      </c>
      <c r="F39" s="30" t="str">
        <f t="shared" si="5"/>
        <v>&gt;90%</v>
      </c>
      <c r="G39" s="30" t="str">
        <f t="shared" si="5"/>
        <v>&gt;90%</v>
      </c>
      <c r="H39" s="30" t="str">
        <f t="shared" si="5"/>
        <v>&gt;90%</v>
      </c>
      <c r="I39" s="30" t="str">
        <f t="shared" si="5"/>
        <v>&gt;90%</v>
      </c>
      <c r="J39" s="30" t="str">
        <f t="shared" si="5"/>
        <v>&gt;90%</v>
      </c>
      <c r="K39" s="30" t="str">
        <f t="shared" si="5"/>
        <v>&gt;90%</v>
      </c>
      <c r="L39" s="30" t="str">
        <f t="shared" si="5"/>
        <v>&gt;90%</v>
      </c>
      <c r="M39" s="30" t="str">
        <f t="shared" si="5"/>
        <v>&gt;90%</v>
      </c>
      <c r="N39" s="30" t="str">
        <f t="shared" si="5"/>
        <v>&gt;90%</v>
      </c>
      <c r="O39" s="30" t="str">
        <f t="shared" si="5"/>
        <v>&gt;90%</v>
      </c>
      <c r="P39" s="30" t="str">
        <f t="shared" si="5"/>
        <v>&gt;90%</v>
      </c>
      <c r="Q39" s="30" t="str">
        <f>IF(Q38&gt;=22,"&gt;90%",IF(Q38&lt;=22,"&lt;90%"))</f>
        <v>&gt;90%</v>
      </c>
      <c r="R39" s="30"/>
      <c r="S39" s="30"/>
      <c r="T39" s="30"/>
      <c r="U39" s="30"/>
    </row>
    <row r="40" spans="1:21" s="22" customFormat="1" x14ac:dyDescent="0.25">
      <c r="A40" s="28" t="s">
        <v>1</v>
      </c>
      <c r="B40" s="30" t="str">
        <f>IF(B38&gt;=22,"OK",IF(B38&lt;=22,"LESS"))</f>
        <v>OK</v>
      </c>
      <c r="C40" s="30" t="str">
        <f t="shared" ref="C40:Q40" si="6">IF(C38&gt;=22,"OK",IF(C38&lt;=22,"LESS"))</f>
        <v>OK</v>
      </c>
      <c r="D40" s="30" t="str">
        <f t="shared" si="6"/>
        <v>OK</v>
      </c>
      <c r="E40" s="30" t="str">
        <f t="shared" si="6"/>
        <v>OK</v>
      </c>
      <c r="F40" s="30" t="str">
        <f t="shared" si="6"/>
        <v>OK</v>
      </c>
      <c r="G40" s="30" t="str">
        <f t="shared" si="6"/>
        <v>OK</v>
      </c>
      <c r="H40" s="30" t="str">
        <f t="shared" si="6"/>
        <v>OK</v>
      </c>
      <c r="I40" s="30" t="str">
        <f t="shared" si="6"/>
        <v>OK</v>
      </c>
      <c r="J40" s="30" t="str">
        <f t="shared" si="6"/>
        <v>OK</v>
      </c>
      <c r="K40" s="30" t="str">
        <f t="shared" si="6"/>
        <v>OK</v>
      </c>
      <c r="L40" s="30" t="str">
        <f t="shared" si="6"/>
        <v>OK</v>
      </c>
      <c r="M40" s="30" t="str">
        <f t="shared" si="6"/>
        <v>OK</v>
      </c>
      <c r="N40" s="30" t="str">
        <f t="shared" si="6"/>
        <v>OK</v>
      </c>
      <c r="O40" s="30" t="str">
        <f t="shared" si="6"/>
        <v>OK</v>
      </c>
      <c r="P40" s="30" t="str">
        <f t="shared" si="6"/>
        <v>OK</v>
      </c>
      <c r="Q40" s="30" t="str">
        <f t="shared" si="6"/>
        <v>OK</v>
      </c>
      <c r="R40" s="30"/>
      <c r="S40" s="30"/>
      <c r="T40" s="30"/>
      <c r="U40" s="30"/>
    </row>
    <row r="41" spans="1:21" s="22" customFormat="1" x14ac:dyDescent="0.25">
      <c r="A41" s="14"/>
      <c r="L41" s="14"/>
      <c r="N41" s="17"/>
      <c r="O41" s="17"/>
      <c r="P41" s="17"/>
      <c r="Q41" s="17"/>
      <c r="R41" s="17"/>
      <c r="S41" s="17"/>
      <c r="T41" s="17"/>
      <c r="U41" s="17"/>
    </row>
    <row r="42" spans="1:21" s="22" customFormat="1" x14ac:dyDescent="0.25">
      <c r="A42" s="14"/>
    </row>
    <row r="43" spans="1:21" s="22" customFormat="1" x14ac:dyDescent="0.25">
      <c r="A43" s="15" t="s">
        <v>35</v>
      </c>
      <c r="B43" s="41" t="s">
        <v>61</v>
      </c>
      <c r="C43" s="43"/>
    </row>
    <row r="44" spans="1:21" s="22" customFormat="1" x14ac:dyDescent="0.25">
      <c r="A44" s="14"/>
      <c r="D44" s="2"/>
      <c r="E44" s="2"/>
      <c r="F44" s="2"/>
      <c r="G44" s="2"/>
      <c r="H44" s="2"/>
      <c r="I44" s="2"/>
    </row>
    <row r="45" spans="1:21" s="22" customFormat="1" ht="15.75" x14ac:dyDescent="0.25">
      <c r="A45" s="18" t="s">
        <v>36</v>
      </c>
      <c r="B45" s="42" t="s">
        <v>711</v>
      </c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</row>
    <row r="46" spans="1:21" s="22" customFormat="1" x14ac:dyDescent="0.25"/>
    <row r="47" spans="1:21" s="22" customFormat="1" x14ac:dyDescent="0.25"/>
    <row r="48" spans="1:21" s="22" customFormat="1" x14ac:dyDescent="0.25"/>
    <row r="49" s="22" customFormat="1" x14ac:dyDescent="0.25"/>
    <row r="50" s="22" customFormat="1" x14ac:dyDescent="0.25"/>
    <row r="51" s="22" customFormat="1" x14ac:dyDescent="0.25"/>
    <row r="52" s="22" customFormat="1" x14ac:dyDescent="0.25"/>
    <row r="53" s="22" customFormat="1" x14ac:dyDescent="0.25"/>
    <row r="54" s="22" customFormat="1" x14ac:dyDescent="0.25"/>
    <row r="55" s="22" customFormat="1" x14ac:dyDescent="0.25"/>
    <row r="56" s="22" customFormat="1" x14ac:dyDescent="0.25"/>
    <row r="57" s="22" customFormat="1" x14ac:dyDescent="0.25"/>
    <row r="58" s="22" customFormat="1" x14ac:dyDescent="0.25"/>
    <row r="59" s="22" customFormat="1" x14ac:dyDescent="0.25"/>
    <row r="60" s="22" customFormat="1" x14ac:dyDescent="0.25"/>
    <row r="61" s="22" customFormat="1" x14ac:dyDescent="0.25"/>
    <row r="62" s="22" customFormat="1" x14ac:dyDescent="0.25"/>
    <row r="63" s="22" customFormat="1" x14ac:dyDescent="0.25"/>
    <row r="64" s="22" customFormat="1" x14ac:dyDescent="0.25"/>
    <row r="65" s="22" customFormat="1" x14ac:dyDescent="0.25"/>
    <row r="66" s="22" customFormat="1" x14ac:dyDescent="0.25"/>
    <row r="67" s="22" customFormat="1" x14ac:dyDescent="0.25"/>
    <row r="68" s="22" customFormat="1" x14ac:dyDescent="0.25"/>
    <row r="69" s="22" customFormat="1" x14ac:dyDescent="0.25"/>
    <row r="70" s="22" customFormat="1" x14ac:dyDescent="0.25"/>
    <row r="71" s="22" customFormat="1" x14ac:dyDescent="0.25"/>
    <row r="72" s="22" customFormat="1" x14ac:dyDescent="0.25"/>
    <row r="73" s="22" customFormat="1" x14ac:dyDescent="0.25"/>
    <row r="74" s="22" customFormat="1" x14ac:dyDescent="0.25"/>
    <row r="75" s="22" customFormat="1" x14ac:dyDescent="0.25"/>
    <row r="76" s="22" customFormat="1" x14ac:dyDescent="0.25"/>
    <row r="77" s="22" customFormat="1" x14ac:dyDescent="0.25"/>
    <row r="78" s="22" customFormat="1" x14ac:dyDescent="0.25"/>
    <row r="79" s="22" customFormat="1" x14ac:dyDescent="0.25"/>
    <row r="80" s="22" customFormat="1" x14ac:dyDescent="0.25"/>
    <row r="81" s="22" customFormat="1" x14ac:dyDescent="0.25"/>
    <row r="82" s="22" customFormat="1" x14ac:dyDescent="0.25"/>
    <row r="83" s="22" customFormat="1" x14ac:dyDescent="0.25"/>
    <row r="84" s="22" customFormat="1" x14ac:dyDescent="0.25"/>
    <row r="85" s="22" customFormat="1" x14ac:dyDescent="0.25"/>
    <row r="86" s="22" customFormat="1" x14ac:dyDescent="0.25"/>
    <row r="87" s="22" customFormat="1" x14ac:dyDescent="0.25"/>
    <row r="88" s="22" customFormat="1" x14ac:dyDescent="0.25"/>
    <row r="89" s="22" customFormat="1" x14ac:dyDescent="0.25"/>
    <row r="90" s="22" customFormat="1" x14ac:dyDescent="0.25"/>
    <row r="91" s="22" customFormat="1" x14ac:dyDescent="0.25"/>
    <row r="92" s="22" customFormat="1" x14ac:dyDescent="0.25"/>
    <row r="93" s="22" customFormat="1" x14ac:dyDescent="0.25"/>
    <row r="94" s="22" customFormat="1" x14ac:dyDescent="0.25"/>
    <row r="95" s="22" customFormat="1" x14ac:dyDescent="0.25"/>
    <row r="96" s="22" customFormat="1" x14ac:dyDescent="0.25"/>
    <row r="97" spans="1:1" s="22" customFormat="1" x14ac:dyDescent="0.25"/>
    <row r="98" spans="1:1" s="22" customFormat="1" x14ac:dyDescent="0.25"/>
    <row r="99" spans="1:1" s="22" customFormat="1" x14ac:dyDescent="0.25"/>
    <row r="100" spans="1:1" s="22" customFormat="1" x14ac:dyDescent="0.25"/>
    <row r="101" spans="1:1" s="22" customFormat="1" x14ac:dyDescent="0.25"/>
    <row r="102" spans="1:1" s="22" customFormat="1" x14ac:dyDescent="0.25"/>
    <row r="103" spans="1:1" s="22" customFormat="1" x14ac:dyDescent="0.25"/>
    <row r="104" spans="1:1" s="22" customFormat="1" x14ac:dyDescent="0.25"/>
    <row r="105" spans="1:1" s="22" customFormat="1" x14ac:dyDescent="0.25"/>
    <row r="106" spans="1:1" x14ac:dyDescent="0.25">
      <c r="A106" s="21"/>
    </row>
    <row r="107" spans="1:1" s="22" customFormat="1" x14ac:dyDescent="0.25"/>
    <row r="108" spans="1:1" s="22" customFormat="1" x14ac:dyDescent="0.25"/>
    <row r="109" spans="1:1" s="22" customFormat="1" x14ac:dyDescent="0.25"/>
    <row r="110" spans="1:1" s="22" customFormat="1" x14ac:dyDescent="0.25"/>
    <row r="111" spans="1:1" s="22" customFormat="1" x14ac:dyDescent="0.25"/>
    <row r="112" spans="1:1" s="22" customFormat="1" x14ac:dyDescent="0.25"/>
    <row r="113" spans="1:1" s="22" customFormat="1" x14ac:dyDescent="0.25"/>
    <row r="114" spans="1:1" s="22" customFormat="1" x14ac:dyDescent="0.25"/>
    <row r="115" spans="1:1" s="22" customFormat="1" x14ac:dyDescent="0.25"/>
    <row r="116" spans="1:1" s="22" customFormat="1" x14ac:dyDescent="0.25"/>
    <row r="117" spans="1:1" s="22" customFormat="1" x14ac:dyDescent="0.25"/>
    <row r="118" spans="1:1" x14ac:dyDescent="0.25">
      <c r="A118" s="21"/>
    </row>
    <row r="119" spans="1:1" x14ac:dyDescent="0.25">
      <c r="A119" s="21"/>
    </row>
  </sheetData>
  <pageMargins left="0.66929133858267698" right="2.63779527559055" top="0.196850393700787" bottom="2.0866141732283499" header="0.31496062992126" footer="0.15748031496063"/>
  <pageSetup paperSize="9" scale="90" orientation="landscape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1" ySplit="8" topLeftCell="B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15" sqref="G15:G18"/>
    </sheetView>
  </sheetViews>
  <sheetFormatPr defaultColWidth="8.85546875" defaultRowHeight="15" x14ac:dyDescent="0.25"/>
  <cols>
    <col min="1" max="1" width="18.28515625" style="27" customWidth="1"/>
    <col min="2" max="2" width="12.7109375" style="21" customWidth="1"/>
    <col min="3" max="12" width="9.140625" style="21" customWidth="1"/>
    <col min="13" max="13" width="10" style="21" customWidth="1"/>
    <col min="14" max="19" width="9.140625" style="21" customWidth="1"/>
    <col min="20" max="20" width="11.42578125" style="21" customWidth="1"/>
    <col min="21" max="16384" width="8.85546875" style="21"/>
  </cols>
  <sheetData>
    <row r="1" spans="1:21" s="22" customFormat="1" ht="26.25" x14ac:dyDescent="0.25">
      <c r="A1" s="15" t="s">
        <v>2</v>
      </c>
      <c r="B1" s="24" t="s">
        <v>43</v>
      </c>
      <c r="C1" s="38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s="22" customFormat="1" x14ac:dyDescent="0.25">
      <c r="A2" s="15" t="s">
        <v>0</v>
      </c>
      <c r="B2" s="39" t="str">
        <f>$A$9</f>
        <v>28-10-2022 01:00</v>
      </c>
      <c r="C2" s="12"/>
      <c r="D2" s="11" t="s">
        <v>3</v>
      </c>
      <c r="E2" s="11"/>
      <c r="F2" s="11"/>
      <c r="G2" s="4" t="s">
        <v>4</v>
      </c>
      <c r="H2" s="20"/>
      <c r="I2" s="20"/>
      <c r="J2" s="20"/>
      <c r="K2" s="13"/>
      <c r="L2" s="11" t="s">
        <v>5</v>
      </c>
      <c r="M2" s="13"/>
      <c r="N2" s="8" t="s">
        <v>6</v>
      </c>
      <c r="P2" s="40" t="s">
        <v>7</v>
      </c>
      <c r="Q2" s="13"/>
      <c r="R2" s="9" t="s">
        <v>8</v>
      </c>
      <c r="S2" s="12"/>
      <c r="T2" s="12"/>
      <c r="U2" s="12"/>
    </row>
    <row r="3" spans="1:21" s="22" customFormat="1" x14ac:dyDescent="0.25">
      <c r="A3" s="15" t="s">
        <v>9</v>
      </c>
      <c r="B3" s="13" t="s">
        <v>10</v>
      </c>
      <c r="C3" s="12"/>
      <c r="D3" s="11" t="s">
        <v>11</v>
      </c>
      <c r="E3" s="11"/>
      <c r="F3" s="11"/>
      <c r="G3" s="19" t="s">
        <v>12</v>
      </c>
      <c r="H3" s="20"/>
      <c r="I3" s="20"/>
      <c r="J3" s="20"/>
      <c r="K3" s="12"/>
      <c r="L3" s="11" t="s">
        <v>13</v>
      </c>
      <c r="M3" s="13"/>
      <c r="N3" s="6" t="s">
        <v>14</v>
      </c>
      <c r="O3" s="13"/>
      <c r="P3" s="40" t="s">
        <v>15</v>
      </c>
      <c r="Q3" s="13"/>
      <c r="R3" s="10" t="s">
        <v>15</v>
      </c>
      <c r="S3" s="12"/>
      <c r="T3" s="12"/>
      <c r="U3" s="12"/>
    </row>
    <row r="4" spans="1:21" s="22" customFormat="1" x14ac:dyDescent="0.25">
      <c r="A4" s="15" t="s">
        <v>16</v>
      </c>
      <c r="B4" s="13" t="s">
        <v>39</v>
      </c>
      <c r="C4" s="12"/>
      <c r="D4" s="11" t="s">
        <v>17</v>
      </c>
      <c r="E4" s="11"/>
      <c r="F4" s="11"/>
      <c r="G4" s="5" t="s">
        <v>18</v>
      </c>
      <c r="H4" s="20"/>
      <c r="I4" s="20"/>
      <c r="J4" s="20"/>
      <c r="K4" s="3"/>
      <c r="L4" s="11" t="s">
        <v>19</v>
      </c>
      <c r="M4" s="13"/>
      <c r="N4" s="7" t="s">
        <v>20</v>
      </c>
      <c r="O4" s="13"/>
      <c r="P4" s="13"/>
      <c r="Q4" s="13"/>
      <c r="R4" s="13"/>
      <c r="S4" s="12"/>
      <c r="T4" s="12"/>
      <c r="U4" s="12"/>
    </row>
    <row r="5" spans="1:21" s="22" customFormat="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s="22" customFormat="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s="22" customFormat="1" x14ac:dyDescent="0.25">
      <c r="A7" s="15" t="s">
        <v>21</v>
      </c>
      <c r="B7" s="45" t="s">
        <v>59</v>
      </c>
      <c r="C7" s="45" t="s">
        <v>44</v>
      </c>
      <c r="D7" s="45" t="s">
        <v>45</v>
      </c>
      <c r="E7" s="45" t="s">
        <v>46</v>
      </c>
      <c r="F7" s="45" t="s">
        <v>47</v>
      </c>
      <c r="G7" s="45" t="s">
        <v>48</v>
      </c>
      <c r="H7" s="45" t="s">
        <v>49</v>
      </c>
      <c r="I7" s="45" t="s">
        <v>50</v>
      </c>
      <c r="J7" s="45" t="s">
        <v>51</v>
      </c>
      <c r="K7" s="45" t="s">
        <v>52</v>
      </c>
      <c r="L7" s="45" t="s">
        <v>53</v>
      </c>
      <c r="M7" s="45" t="s">
        <v>54</v>
      </c>
      <c r="N7" s="45" t="s">
        <v>55</v>
      </c>
      <c r="O7" s="45" t="s">
        <v>56</v>
      </c>
      <c r="P7" s="45" t="s">
        <v>57</v>
      </c>
      <c r="Q7" s="45" t="s">
        <v>58</v>
      </c>
      <c r="R7" s="28"/>
      <c r="S7" s="30"/>
      <c r="T7" s="28"/>
      <c r="U7" s="28"/>
    </row>
    <row r="8" spans="1:21" s="22" customFormat="1" x14ac:dyDescent="0.25">
      <c r="A8" s="15"/>
      <c r="B8" s="30" t="s">
        <v>22</v>
      </c>
      <c r="C8" s="30" t="s">
        <v>22</v>
      </c>
      <c r="D8" s="30" t="s">
        <v>22</v>
      </c>
      <c r="E8" s="30" t="s">
        <v>22</v>
      </c>
      <c r="F8" s="30" t="s">
        <v>22</v>
      </c>
      <c r="G8" s="30" t="s">
        <v>23</v>
      </c>
      <c r="H8" s="30" t="s">
        <v>22</v>
      </c>
      <c r="I8" s="30" t="s">
        <v>22</v>
      </c>
      <c r="J8" s="30" t="s">
        <v>24</v>
      </c>
      <c r="K8" s="30" t="s">
        <v>25</v>
      </c>
      <c r="L8" s="28" t="s">
        <v>27</v>
      </c>
      <c r="M8" s="30" t="s">
        <v>26</v>
      </c>
      <c r="N8" s="30" t="s">
        <v>28</v>
      </c>
      <c r="O8" s="28" t="s">
        <v>29</v>
      </c>
      <c r="P8" s="30" t="s">
        <v>22</v>
      </c>
      <c r="Q8" s="30" t="s">
        <v>22</v>
      </c>
      <c r="R8" s="28"/>
      <c r="S8" s="30"/>
      <c r="T8" s="28"/>
      <c r="U8" s="28"/>
    </row>
    <row r="9" spans="1:21" s="12" customFormat="1" x14ac:dyDescent="0.25">
      <c r="A9" s="62" t="s">
        <v>712</v>
      </c>
      <c r="B9" s="63">
        <v>16.489999999999998</v>
      </c>
      <c r="C9" s="63">
        <v>105.01</v>
      </c>
      <c r="D9" s="63">
        <v>71.180000000000007</v>
      </c>
      <c r="E9" s="63">
        <v>13.13</v>
      </c>
      <c r="F9" s="63">
        <v>44.24</v>
      </c>
      <c r="G9" s="63">
        <v>195.94</v>
      </c>
      <c r="H9" s="63">
        <v>73.790000000000006</v>
      </c>
      <c r="I9" s="63">
        <v>0.2</v>
      </c>
      <c r="J9" s="63">
        <v>0.1</v>
      </c>
      <c r="K9" s="63">
        <v>338.53</v>
      </c>
      <c r="L9" s="9" t="s">
        <v>8</v>
      </c>
      <c r="M9" s="9" t="s">
        <v>8</v>
      </c>
      <c r="N9" s="63">
        <v>4.5999999999999996</v>
      </c>
      <c r="O9" s="63">
        <v>0</v>
      </c>
      <c r="P9" s="63">
        <v>0.9</v>
      </c>
      <c r="Q9" s="63">
        <v>83</v>
      </c>
      <c r="R9" s="44"/>
      <c r="S9" s="44"/>
      <c r="T9" s="44"/>
      <c r="U9" s="44"/>
    </row>
    <row r="10" spans="1:21" s="12" customFormat="1" x14ac:dyDescent="0.25">
      <c r="A10" s="62" t="s">
        <v>713</v>
      </c>
      <c r="B10" s="63">
        <v>0.24</v>
      </c>
      <c r="C10" s="63">
        <v>45.24</v>
      </c>
      <c r="D10" s="63">
        <v>25.16</v>
      </c>
      <c r="E10" s="63">
        <v>13.05</v>
      </c>
      <c r="F10" s="63">
        <v>49.22</v>
      </c>
      <c r="G10" s="63">
        <v>156.16</v>
      </c>
      <c r="H10" s="63">
        <v>72</v>
      </c>
      <c r="I10" s="63">
        <v>0.14000000000000001</v>
      </c>
      <c r="J10" s="63">
        <v>0.1</v>
      </c>
      <c r="K10" s="63">
        <v>298.72000000000003</v>
      </c>
      <c r="L10" s="9" t="s">
        <v>8</v>
      </c>
      <c r="M10" s="9" t="s">
        <v>8</v>
      </c>
      <c r="N10" s="63">
        <v>4.7</v>
      </c>
      <c r="O10" s="63">
        <v>0</v>
      </c>
      <c r="P10" s="63">
        <v>0.63</v>
      </c>
      <c r="Q10" s="63">
        <v>59.44</v>
      </c>
      <c r="R10" s="44"/>
      <c r="S10" s="44"/>
      <c r="T10" s="44"/>
      <c r="U10" s="44"/>
    </row>
    <row r="11" spans="1:21" s="12" customFormat="1" x14ac:dyDescent="0.25">
      <c r="A11" s="62" t="s">
        <v>714</v>
      </c>
      <c r="B11" s="63">
        <v>1.58</v>
      </c>
      <c r="C11" s="63">
        <v>47.2</v>
      </c>
      <c r="D11" s="63">
        <v>27.32</v>
      </c>
      <c r="E11" s="63">
        <v>11.44</v>
      </c>
      <c r="F11" s="63">
        <v>42.8</v>
      </c>
      <c r="G11" s="63">
        <v>116.21</v>
      </c>
      <c r="H11" s="63">
        <v>64.650000000000006</v>
      </c>
      <c r="I11" s="63">
        <v>0.13</v>
      </c>
      <c r="J11" s="63">
        <v>0.15</v>
      </c>
      <c r="K11" s="63">
        <v>304.74</v>
      </c>
      <c r="L11" s="9" t="s">
        <v>8</v>
      </c>
      <c r="M11" s="9" t="s">
        <v>8</v>
      </c>
      <c r="N11" s="63">
        <v>4.7</v>
      </c>
      <c r="O11" s="63">
        <v>0</v>
      </c>
      <c r="P11" s="63">
        <v>0.54</v>
      </c>
      <c r="Q11" s="63">
        <v>49</v>
      </c>
      <c r="R11" s="44"/>
      <c r="S11" s="44"/>
      <c r="T11" s="44"/>
      <c r="U11" s="44"/>
    </row>
    <row r="12" spans="1:21" s="12" customFormat="1" x14ac:dyDescent="0.25">
      <c r="A12" s="62" t="s">
        <v>715</v>
      </c>
      <c r="B12" s="63">
        <v>2.78</v>
      </c>
      <c r="C12" s="63">
        <v>47.14</v>
      </c>
      <c r="D12" s="63">
        <v>27.97</v>
      </c>
      <c r="E12" s="63">
        <v>10.24</v>
      </c>
      <c r="F12" s="63">
        <v>39.659999999999997</v>
      </c>
      <c r="G12" s="63">
        <v>87.54</v>
      </c>
      <c r="H12" s="63">
        <v>60.83</v>
      </c>
      <c r="I12" s="63">
        <v>0.14000000000000001</v>
      </c>
      <c r="J12" s="63">
        <v>0.14000000000000001</v>
      </c>
      <c r="K12" s="63">
        <v>355.44</v>
      </c>
      <c r="L12" s="9" t="s">
        <v>8</v>
      </c>
      <c r="M12" s="9" t="s">
        <v>8</v>
      </c>
      <c r="N12" s="63">
        <v>4.5999999999999996</v>
      </c>
      <c r="O12" s="63">
        <v>0</v>
      </c>
      <c r="P12" s="63">
        <v>0.53</v>
      </c>
      <c r="Q12" s="63">
        <v>50.98</v>
      </c>
      <c r="R12" s="44"/>
      <c r="S12" s="44"/>
      <c r="T12" s="44"/>
      <c r="U12" s="44"/>
    </row>
    <row r="13" spans="1:21" s="12" customFormat="1" x14ac:dyDescent="0.25">
      <c r="A13" s="62" t="s">
        <v>716</v>
      </c>
      <c r="B13" s="63">
        <v>7.39</v>
      </c>
      <c r="C13" s="63">
        <v>84.22</v>
      </c>
      <c r="D13" s="63">
        <v>51.73</v>
      </c>
      <c r="E13" s="63">
        <v>13.8</v>
      </c>
      <c r="F13" s="63">
        <v>26.19</v>
      </c>
      <c r="G13" s="63">
        <v>101.26</v>
      </c>
      <c r="H13" s="63">
        <v>56.86</v>
      </c>
      <c r="I13" s="63">
        <v>0.17</v>
      </c>
      <c r="J13" s="63">
        <v>0.06</v>
      </c>
      <c r="K13" s="63">
        <v>265.41000000000003</v>
      </c>
      <c r="L13" s="9" t="s">
        <v>8</v>
      </c>
      <c r="M13" s="9" t="s">
        <v>8</v>
      </c>
      <c r="N13" s="63">
        <v>4.2</v>
      </c>
      <c r="O13" s="63">
        <v>0</v>
      </c>
      <c r="P13" s="63">
        <v>0.74</v>
      </c>
      <c r="Q13" s="63">
        <v>64.19</v>
      </c>
      <c r="R13" s="44"/>
      <c r="S13" s="44"/>
      <c r="T13" s="44"/>
      <c r="U13" s="44"/>
    </row>
    <row r="14" spans="1:21" s="12" customFormat="1" x14ac:dyDescent="0.25">
      <c r="A14" s="62" t="s">
        <v>717</v>
      </c>
      <c r="B14" s="63">
        <v>106.81</v>
      </c>
      <c r="C14" s="63">
        <v>217.68</v>
      </c>
      <c r="D14" s="63">
        <v>205.79</v>
      </c>
      <c r="E14" s="63">
        <v>26.69</v>
      </c>
      <c r="F14" s="63">
        <v>13.73</v>
      </c>
      <c r="G14" s="63">
        <v>101.26</v>
      </c>
      <c r="H14" s="63">
        <v>56.86</v>
      </c>
      <c r="I14" s="63">
        <v>0.23</v>
      </c>
      <c r="J14" s="63">
        <v>0.14000000000000001</v>
      </c>
      <c r="K14" s="63">
        <v>317.64999999999998</v>
      </c>
      <c r="L14" s="9" t="s">
        <v>8</v>
      </c>
      <c r="M14" s="9" t="s">
        <v>8</v>
      </c>
      <c r="N14" s="63">
        <v>5.8</v>
      </c>
      <c r="O14" s="63">
        <v>0</v>
      </c>
      <c r="P14" s="63">
        <v>1.26</v>
      </c>
      <c r="Q14" s="63">
        <v>167.35</v>
      </c>
      <c r="R14" s="44"/>
      <c r="S14" s="44"/>
      <c r="T14" s="44"/>
      <c r="U14" s="44"/>
    </row>
    <row r="15" spans="1:21" s="12" customFormat="1" x14ac:dyDescent="0.25">
      <c r="A15" s="62" t="s">
        <v>718</v>
      </c>
      <c r="B15" s="63">
        <v>129.1</v>
      </c>
      <c r="C15" s="63">
        <v>231.99</v>
      </c>
      <c r="D15" s="63">
        <v>231.56</v>
      </c>
      <c r="E15" s="63">
        <v>24.49</v>
      </c>
      <c r="F15" s="63">
        <v>4.33</v>
      </c>
      <c r="G15" s="10" t="s">
        <v>15</v>
      </c>
      <c r="H15" s="63">
        <v>76.16</v>
      </c>
      <c r="I15" s="63">
        <v>0.42</v>
      </c>
      <c r="J15" s="63">
        <v>0.17</v>
      </c>
      <c r="K15" s="63">
        <v>353.79</v>
      </c>
      <c r="L15" s="9" t="s">
        <v>8</v>
      </c>
      <c r="M15" s="9" t="s">
        <v>8</v>
      </c>
      <c r="N15" s="63">
        <v>76.7</v>
      </c>
      <c r="O15" s="63">
        <v>0</v>
      </c>
      <c r="P15" s="63">
        <v>1.73</v>
      </c>
      <c r="Q15" s="63">
        <v>198.12</v>
      </c>
      <c r="R15" s="44"/>
      <c r="S15" s="44"/>
      <c r="T15" s="44"/>
      <c r="U15" s="44"/>
    </row>
    <row r="16" spans="1:21" s="12" customFormat="1" x14ac:dyDescent="0.25">
      <c r="A16" s="62" t="s">
        <v>719</v>
      </c>
      <c r="B16" s="63">
        <v>48.59</v>
      </c>
      <c r="C16" s="63">
        <v>125.02</v>
      </c>
      <c r="D16" s="63">
        <v>104.04</v>
      </c>
      <c r="E16" s="63">
        <v>17.68</v>
      </c>
      <c r="F16" s="63">
        <v>20.11</v>
      </c>
      <c r="G16" s="10" t="s">
        <v>15</v>
      </c>
      <c r="H16" s="63">
        <v>88.48</v>
      </c>
      <c r="I16" s="63">
        <v>0.41</v>
      </c>
      <c r="J16" s="63">
        <v>0.42</v>
      </c>
      <c r="K16" s="63">
        <v>234.63</v>
      </c>
      <c r="L16" s="9" t="s">
        <v>8</v>
      </c>
      <c r="M16" s="9" t="s">
        <v>8</v>
      </c>
      <c r="N16" s="63">
        <v>313.10000000000002</v>
      </c>
      <c r="O16" s="63">
        <v>0</v>
      </c>
      <c r="P16" s="63">
        <v>1.29</v>
      </c>
      <c r="Q16" s="63">
        <v>134.13999999999999</v>
      </c>
      <c r="R16" s="44"/>
      <c r="S16" s="44"/>
      <c r="T16" s="44"/>
      <c r="U16" s="44"/>
    </row>
    <row r="17" spans="1:21" s="12" customFormat="1" x14ac:dyDescent="0.25">
      <c r="A17" s="62" t="s">
        <v>720</v>
      </c>
      <c r="B17" s="63">
        <v>23.89</v>
      </c>
      <c r="C17" s="63">
        <v>126.26</v>
      </c>
      <c r="D17" s="63">
        <v>88.83</v>
      </c>
      <c r="E17" s="63">
        <v>25.35</v>
      </c>
      <c r="F17" s="63">
        <v>42.27</v>
      </c>
      <c r="G17" s="10" t="s">
        <v>15</v>
      </c>
      <c r="H17" s="63">
        <v>90.32</v>
      </c>
      <c r="I17" s="63">
        <v>0.3</v>
      </c>
      <c r="J17" s="63">
        <v>0.38</v>
      </c>
      <c r="K17" s="63">
        <v>338.58</v>
      </c>
      <c r="L17" s="9" t="s">
        <v>8</v>
      </c>
      <c r="M17" s="9" t="s">
        <v>8</v>
      </c>
      <c r="N17" s="63">
        <v>481.5</v>
      </c>
      <c r="O17" s="63">
        <v>0</v>
      </c>
      <c r="P17" s="63">
        <v>1.39</v>
      </c>
      <c r="Q17" s="63">
        <v>105.03</v>
      </c>
      <c r="R17" s="44"/>
      <c r="S17" s="44"/>
      <c r="T17" s="44"/>
      <c r="U17" s="44"/>
    </row>
    <row r="18" spans="1:21" s="12" customFormat="1" x14ac:dyDescent="0.25">
      <c r="A18" s="62" t="s">
        <v>721</v>
      </c>
      <c r="B18" s="63">
        <v>32.21</v>
      </c>
      <c r="C18" s="63">
        <v>167.44</v>
      </c>
      <c r="D18" s="63">
        <v>118.24</v>
      </c>
      <c r="E18" s="63">
        <v>41.95</v>
      </c>
      <c r="F18" s="63">
        <v>77.3</v>
      </c>
      <c r="G18" s="10" t="s">
        <v>15</v>
      </c>
      <c r="H18" s="63">
        <v>91.31</v>
      </c>
      <c r="I18" s="63">
        <v>0.33</v>
      </c>
      <c r="J18" s="63">
        <v>0.46</v>
      </c>
      <c r="K18" s="63">
        <v>357.77</v>
      </c>
      <c r="L18" s="9" t="s">
        <v>8</v>
      </c>
      <c r="M18" s="9" t="s">
        <v>8</v>
      </c>
      <c r="N18" s="63">
        <v>631.6</v>
      </c>
      <c r="O18" s="63">
        <v>0</v>
      </c>
      <c r="P18" s="63">
        <v>1.52</v>
      </c>
      <c r="Q18" s="63">
        <v>121.62</v>
      </c>
      <c r="R18" s="44"/>
      <c r="S18" s="44"/>
      <c r="T18" s="44"/>
      <c r="U18" s="44"/>
    </row>
    <row r="19" spans="1:21" s="12" customFormat="1" x14ac:dyDescent="0.25">
      <c r="A19" s="62" t="s">
        <v>722</v>
      </c>
      <c r="B19" s="63">
        <v>8.67</v>
      </c>
      <c r="C19" s="63">
        <v>86.95</v>
      </c>
      <c r="D19" s="63">
        <v>54.94</v>
      </c>
      <c r="E19" s="63">
        <v>37.25</v>
      </c>
      <c r="F19" s="63">
        <v>98.49</v>
      </c>
      <c r="G19" s="63">
        <v>257.86</v>
      </c>
      <c r="H19" s="63">
        <v>91.31</v>
      </c>
      <c r="I19" s="63">
        <v>0.21</v>
      </c>
      <c r="J19" s="63">
        <v>0.35</v>
      </c>
      <c r="K19" s="63">
        <v>301.98</v>
      </c>
      <c r="L19" s="9" t="s">
        <v>8</v>
      </c>
      <c r="M19" s="9" t="s">
        <v>8</v>
      </c>
      <c r="N19" s="63">
        <v>743.4</v>
      </c>
      <c r="O19" s="63">
        <v>0</v>
      </c>
      <c r="P19" s="63">
        <v>1.05</v>
      </c>
      <c r="Q19" s="63">
        <v>88.57</v>
      </c>
      <c r="R19" s="44"/>
      <c r="S19" s="44"/>
      <c r="T19" s="44"/>
      <c r="U19" s="44"/>
    </row>
    <row r="20" spans="1:21" s="12" customFormat="1" x14ac:dyDescent="0.25">
      <c r="A20" s="62" t="s">
        <v>723</v>
      </c>
      <c r="B20" s="63">
        <v>3.91</v>
      </c>
      <c r="C20" s="63">
        <v>50.45</v>
      </c>
      <c r="D20" s="63">
        <v>30.91</v>
      </c>
      <c r="E20" s="63">
        <v>31.04</v>
      </c>
      <c r="F20" s="63">
        <v>110.78</v>
      </c>
      <c r="G20" s="63">
        <v>114.48</v>
      </c>
      <c r="H20" s="63">
        <v>81.12</v>
      </c>
      <c r="I20" s="63">
        <v>0.14000000000000001</v>
      </c>
      <c r="J20" s="63">
        <v>0.78</v>
      </c>
      <c r="K20" s="63">
        <v>332.48</v>
      </c>
      <c r="L20" s="9" t="s">
        <v>8</v>
      </c>
      <c r="M20" s="9" t="s">
        <v>8</v>
      </c>
      <c r="N20" s="63">
        <v>742</v>
      </c>
      <c r="O20" s="63">
        <v>0</v>
      </c>
      <c r="P20" s="63">
        <v>0.54</v>
      </c>
      <c r="Q20" s="63">
        <v>56.23</v>
      </c>
      <c r="R20" s="44"/>
      <c r="S20" s="44"/>
      <c r="T20" s="44"/>
      <c r="U20" s="44"/>
    </row>
    <row r="21" spans="1:21" s="12" customFormat="1" x14ac:dyDescent="0.25">
      <c r="A21" s="62" t="s">
        <v>724</v>
      </c>
      <c r="B21" s="63">
        <v>6.37</v>
      </c>
      <c r="C21" s="63">
        <v>77.12</v>
      </c>
      <c r="D21" s="63">
        <v>47.67</v>
      </c>
      <c r="E21" s="63">
        <v>45.6</v>
      </c>
      <c r="F21" s="63">
        <v>112.19</v>
      </c>
      <c r="G21" s="63">
        <v>111</v>
      </c>
      <c r="H21" s="63">
        <v>62.15</v>
      </c>
      <c r="I21" s="63">
        <v>0.09</v>
      </c>
      <c r="J21" s="63">
        <v>0.42</v>
      </c>
      <c r="K21" s="63">
        <v>180.11</v>
      </c>
      <c r="L21" s="9" t="s">
        <v>8</v>
      </c>
      <c r="M21" s="9" t="s">
        <v>8</v>
      </c>
      <c r="N21" s="63">
        <v>648.70000000000005</v>
      </c>
      <c r="O21" s="63">
        <v>0</v>
      </c>
      <c r="P21" s="63">
        <v>0.74</v>
      </c>
      <c r="Q21" s="63">
        <v>42.82</v>
      </c>
      <c r="R21" s="44"/>
      <c r="S21" s="44"/>
      <c r="T21" s="44"/>
      <c r="U21" s="44"/>
    </row>
    <row r="22" spans="1:21" s="12" customFormat="1" x14ac:dyDescent="0.25">
      <c r="A22" s="62" t="s">
        <v>725</v>
      </c>
      <c r="B22" s="63">
        <v>19.61</v>
      </c>
      <c r="C22" s="63">
        <v>112.06</v>
      </c>
      <c r="D22" s="63">
        <v>77.569999999999993</v>
      </c>
      <c r="E22" s="63">
        <v>60.64</v>
      </c>
      <c r="F22" s="63">
        <v>95.77</v>
      </c>
      <c r="G22" s="63">
        <v>85.97</v>
      </c>
      <c r="H22" s="63">
        <v>56.07</v>
      </c>
      <c r="I22" s="63">
        <v>0.11</v>
      </c>
      <c r="J22" s="63">
        <v>1.23</v>
      </c>
      <c r="K22" s="63">
        <v>341.76</v>
      </c>
      <c r="L22" s="9" t="s">
        <v>8</v>
      </c>
      <c r="M22" s="9" t="s">
        <v>8</v>
      </c>
      <c r="N22" s="63">
        <v>588.1</v>
      </c>
      <c r="O22" s="63">
        <v>0</v>
      </c>
      <c r="P22" s="63">
        <v>0.88</v>
      </c>
      <c r="Q22" s="63">
        <v>51</v>
      </c>
      <c r="R22" s="44"/>
      <c r="S22" s="44"/>
      <c r="T22" s="44"/>
      <c r="U22" s="44"/>
    </row>
    <row r="23" spans="1:21" s="12" customFormat="1" x14ac:dyDescent="0.25">
      <c r="A23" s="62" t="s">
        <v>726</v>
      </c>
      <c r="B23" s="63">
        <v>14.24</v>
      </c>
      <c r="C23" s="63">
        <v>83.61</v>
      </c>
      <c r="D23" s="63">
        <v>57.01</v>
      </c>
      <c r="E23" s="63">
        <v>48.83</v>
      </c>
      <c r="F23" s="63">
        <v>88.69</v>
      </c>
      <c r="G23" s="63">
        <v>107.33</v>
      </c>
      <c r="H23" s="63">
        <v>51.31</v>
      </c>
      <c r="I23" s="63">
        <v>0.13</v>
      </c>
      <c r="J23" s="63">
        <v>1.41</v>
      </c>
      <c r="K23" s="63">
        <v>25.75</v>
      </c>
      <c r="L23" s="9" t="s">
        <v>8</v>
      </c>
      <c r="M23" s="9" t="s">
        <v>8</v>
      </c>
      <c r="N23" s="63">
        <v>508.5</v>
      </c>
      <c r="O23" s="63">
        <v>0</v>
      </c>
      <c r="P23" s="63">
        <v>0.83</v>
      </c>
      <c r="Q23" s="63">
        <v>65.75</v>
      </c>
      <c r="R23" s="44"/>
      <c r="S23" s="44"/>
      <c r="T23" s="44"/>
      <c r="U23" s="44"/>
    </row>
    <row r="24" spans="1:21" s="12" customFormat="1" x14ac:dyDescent="0.25">
      <c r="A24" s="62" t="s">
        <v>727</v>
      </c>
      <c r="B24" s="63">
        <v>12.27</v>
      </c>
      <c r="C24" s="63">
        <v>108.14</v>
      </c>
      <c r="D24" s="63">
        <v>64.98</v>
      </c>
      <c r="E24" s="63">
        <v>37.32</v>
      </c>
      <c r="F24" s="63">
        <v>82.13</v>
      </c>
      <c r="G24" s="63">
        <v>107.33</v>
      </c>
      <c r="H24" s="63">
        <v>51.31</v>
      </c>
      <c r="I24" s="63">
        <v>0.14000000000000001</v>
      </c>
      <c r="J24" s="63">
        <v>1.19</v>
      </c>
      <c r="K24" s="63">
        <v>359.98</v>
      </c>
      <c r="L24" s="9" t="s">
        <v>8</v>
      </c>
      <c r="M24" s="9" t="s">
        <v>8</v>
      </c>
      <c r="N24" s="63">
        <v>155.6</v>
      </c>
      <c r="O24" s="63">
        <v>0</v>
      </c>
      <c r="P24" s="63">
        <v>0.82</v>
      </c>
      <c r="Q24" s="63">
        <v>62.85</v>
      </c>
      <c r="R24" s="44"/>
      <c r="S24" s="44"/>
      <c r="T24" s="44"/>
      <c r="U24" s="44"/>
    </row>
    <row r="25" spans="1:21" s="12" customFormat="1" x14ac:dyDescent="0.25">
      <c r="A25" s="62" t="s">
        <v>728</v>
      </c>
      <c r="B25" s="63">
        <v>14.82</v>
      </c>
      <c r="C25" s="63">
        <v>99.68</v>
      </c>
      <c r="D25" s="63">
        <v>66.900000000000006</v>
      </c>
      <c r="E25" s="63">
        <v>44.76</v>
      </c>
      <c r="F25" s="63">
        <v>78.290000000000006</v>
      </c>
      <c r="G25" s="63">
        <v>80.94</v>
      </c>
      <c r="H25" s="63">
        <v>47.24</v>
      </c>
      <c r="I25" s="63">
        <v>0.16</v>
      </c>
      <c r="J25" s="63">
        <v>0.73</v>
      </c>
      <c r="K25" s="63">
        <v>91.8</v>
      </c>
      <c r="L25" s="9" t="s">
        <v>8</v>
      </c>
      <c r="M25" s="9" t="s">
        <v>8</v>
      </c>
      <c r="N25" s="63">
        <v>61.5</v>
      </c>
      <c r="O25" s="63">
        <v>0</v>
      </c>
      <c r="P25" s="63">
        <v>0.82</v>
      </c>
      <c r="Q25" s="63">
        <v>53.48</v>
      </c>
      <c r="R25" s="44"/>
      <c r="S25" s="44"/>
      <c r="T25" s="44"/>
      <c r="U25" s="44"/>
    </row>
    <row r="26" spans="1:21" s="12" customFormat="1" x14ac:dyDescent="0.25">
      <c r="A26" s="62" t="s">
        <v>729</v>
      </c>
      <c r="B26" s="63">
        <v>139.54</v>
      </c>
      <c r="C26" s="63">
        <v>357.2</v>
      </c>
      <c r="D26" s="63">
        <v>309.02999999999997</v>
      </c>
      <c r="E26" s="63">
        <v>28.53</v>
      </c>
      <c r="F26" s="63">
        <v>46.46</v>
      </c>
      <c r="G26" s="63">
        <v>98.87</v>
      </c>
      <c r="H26" s="63">
        <v>41.12</v>
      </c>
      <c r="I26" s="63">
        <v>0.51</v>
      </c>
      <c r="J26" s="63">
        <v>0.35</v>
      </c>
      <c r="K26" s="63">
        <v>343.1</v>
      </c>
      <c r="L26" s="9" t="s">
        <v>8</v>
      </c>
      <c r="M26" s="9" t="s">
        <v>8</v>
      </c>
      <c r="N26" s="63">
        <v>17.600000000000001</v>
      </c>
      <c r="O26" s="63">
        <v>0</v>
      </c>
      <c r="P26" s="63">
        <v>4.37</v>
      </c>
      <c r="Q26" s="63">
        <v>177.6</v>
      </c>
      <c r="R26" s="44"/>
      <c r="S26" s="44"/>
      <c r="T26" s="44"/>
      <c r="U26" s="44"/>
    </row>
    <row r="27" spans="1:21" s="12" customFormat="1" x14ac:dyDescent="0.25">
      <c r="A27" s="62" t="s">
        <v>730</v>
      </c>
      <c r="B27" s="63">
        <v>237.69</v>
      </c>
      <c r="C27" s="63">
        <v>459.15</v>
      </c>
      <c r="D27" s="63">
        <v>444</v>
      </c>
      <c r="E27" s="63">
        <v>17.13</v>
      </c>
      <c r="F27" s="63">
        <v>3.72</v>
      </c>
      <c r="G27" s="63">
        <v>203.71</v>
      </c>
      <c r="H27" s="63">
        <v>45.16</v>
      </c>
      <c r="I27" s="63">
        <v>1.7</v>
      </c>
      <c r="J27" s="63">
        <v>0.11</v>
      </c>
      <c r="K27" s="63">
        <v>348.78</v>
      </c>
      <c r="L27" s="9" t="s">
        <v>8</v>
      </c>
      <c r="M27" s="9" t="s">
        <v>8</v>
      </c>
      <c r="N27" s="63">
        <v>4.9000000000000004</v>
      </c>
      <c r="O27" s="63">
        <v>0</v>
      </c>
      <c r="P27" s="63">
        <v>5.0999999999999996</v>
      </c>
      <c r="Q27" s="63">
        <v>297.7</v>
      </c>
      <c r="R27" s="44"/>
      <c r="S27" s="44"/>
      <c r="T27" s="44"/>
      <c r="U27" s="44"/>
    </row>
    <row r="28" spans="1:21" s="12" customFormat="1" x14ac:dyDescent="0.25">
      <c r="A28" s="62" t="s">
        <v>731</v>
      </c>
      <c r="B28" s="63">
        <v>128.12</v>
      </c>
      <c r="C28" s="63">
        <v>324.08999999999997</v>
      </c>
      <c r="D28" s="63">
        <v>281.60000000000002</v>
      </c>
      <c r="E28" s="63">
        <v>19.72</v>
      </c>
      <c r="F28" s="63">
        <v>12.82</v>
      </c>
      <c r="G28" s="63">
        <v>241.24</v>
      </c>
      <c r="H28" s="63">
        <v>45.73</v>
      </c>
      <c r="I28" s="63">
        <v>1.47</v>
      </c>
      <c r="J28" s="63">
        <v>0.22</v>
      </c>
      <c r="K28" s="63">
        <v>237.59</v>
      </c>
      <c r="L28" s="9" t="s">
        <v>8</v>
      </c>
      <c r="M28" s="9" t="s">
        <v>8</v>
      </c>
      <c r="N28" s="63">
        <v>4.9000000000000004</v>
      </c>
      <c r="O28" s="63">
        <v>0</v>
      </c>
      <c r="P28" s="63">
        <v>2.19</v>
      </c>
      <c r="Q28" s="63">
        <v>280.08999999999997</v>
      </c>
      <c r="R28" s="44"/>
      <c r="S28" s="44"/>
      <c r="T28" s="44"/>
      <c r="U28" s="44"/>
    </row>
    <row r="29" spans="1:21" s="12" customFormat="1" x14ac:dyDescent="0.25">
      <c r="A29" s="62" t="s">
        <v>732</v>
      </c>
      <c r="B29" s="63">
        <v>165.5</v>
      </c>
      <c r="C29" s="63">
        <v>356.14</v>
      </c>
      <c r="D29" s="63">
        <v>329.27</v>
      </c>
      <c r="E29" s="63">
        <v>20.43</v>
      </c>
      <c r="F29" s="63">
        <v>27.61</v>
      </c>
      <c r="G29" s="63">
        <v>241.24</v>
      </c>
      <c r="H29" s="63">
        <v>54.03</v>
      </c>
      <c r="I29" s="63">
        <v>0.97</v>
      </c>
      <c r="J29" s="63">
        <v>0.15</v>
      </c>
      <c r="K29" s="63">
        <v>312.45999999999998</v>
      </c>
      <c r="L29" s="9" t="s">
        <v>8</v>
      </c>
      <c r="M29" s="9" t="s">
        <v>8</v>
      </c>
      <c r="N29" s="63">
        <v>5.0999999999999996</v>
      </c>
      <c r="O29" s="63">
        <v>0</v>
      </c>
      <c r="P29" s="63">
        <v>4.51</v>
      </c>
      <c r="Q29" s="63">
        <v>209.71</v>
      </c>
      <c r="R29" s="44"/>
      <c r="S29" s="44"/>
      <c r="T29" s="44"/>
      <c r="U29" s="44"/>
    </row>
    <row r="30" spans="1:21" s="12" customFormat="1" x14ac:dyDescent="0.25">
      <c r="A30" s="62" t="s">
        <v>733</v>
      </c>
      <c r="B30" s="63">
        <v>126.87</v>
      </c>
      <c r="C30" s="63">
        <v>300.27999999999997</v>
      </c>
      <c r="D30" s="63">
        <v>267.45</v>
      </c>
      <c r="E30" s="63">
        <v>16.25</v>
      </c>
      <c r="F30" s="63">
        <v>7.98</v>
      </c>
      <c r="G30" s="63">
        <v>200.55</v>
      </c>
      <c r="H30" s="63">
        <v>64.69</v>
      </c>
      <c r="I30" s="63">
        <v>1.1299999999999999</v>
      </c>
      <c r="J30" s="63">
        <v>0.19</v>
      </c>
      <c r="K30" s="63">
        <v>332.91</v>
      </c>
      <c r="L30" s="9" t="s">
        <v>8</v>
      </c>
      <c r="M30" s="9" t="s">
        <v>8</v>
      </c>
      <c r="N30" s="63">
        <v>4.7</v>
      </c>
      <c r="O30" s="63">
        <v>0</v>
      </c>
      <c r="P30" s="63">
        <v>3.35</v>
      </c>
      <c r="Q30" s="63">
        <v>200.02</v>
      </c>
      <c r="R30" s="44"/>
      <c r="S30" s="44"/>
      <c r="T30" s="44"/>
      <c r="U30" s="44"/>
    </row>
    <row r="31" spans="1:21" s="12" customFormat="1" x14ac:dyDescent="0.25">
      <c r="A31" s="62" t="s">
        <v>734</v>
      </c>
      <c r="B31" s="63">
        <v>106.2</v>
      </c>
      <c r="C31" s="63">
        <v>255</v>
      </c>
      <c r="D31" s="63">
        <v>225.9</v>
      </c>
      <c r="E31" s="63">
        <v>13.1</v>
      </c>
      <c r="F31" s="63">
        <v>4.32</v>
      </c>
      <c r="G31" s="63">
        <v>219.95</v>
      </c>
      <c r="H31" s="63">
        <v>68.89</v>
      </c>
      <c r="I31" s="63">
        <v>1.07</v>
      </c>
      <c r="J31" s="63">
        <v>0.12</v>
      </c>
      <c r="K31" s="63">
        <v>311.83999999999997</v>
      </c>
      <c r="L31" s="9" t="s">
        <v>8</v>
      </c>
      <c r="M31" s="9" t="s">
        <v>8</v>
      </c>
      <c r="N31" s="63">
        <v>4.5999999999999996</v>
      </c>
      <c r="O31" s="63">
        <v>0</v>
      </c>
      <c r="P31" s="63">
        <v>2.79</v>
      </c>
      <c r="Q31" s="63">
        <v>232.91</v>
      </c>
      <c r="R31" s="44"/>
      <c r="S31" s="44"/>
      <c r="T31" s="44"/>
      <c r="U31" s="44"/>
    </row>
    <row r="32" spans="1:21" s="12" customFormat="1" x14ac:dyDescent="0.25">
      <c r="A32" s="62" t="s">
        <v>735</v>
      </c>
      <c r="B32" s="63">
        <v>157.85</v>
      </c>
      <c r="C32" s="63">
        <v>310.85000000000002</v>
      </c>
      <c r="D32" s="63">
        <v>298.14</v>
      </c>
      <c r="E32" s="63">
        <v>11.24</v>
      </c>
      <c r="F32" s="63">
        <v>16.059999999999999</v>
      </c>
      <c r="G32" s="63">
        <v>223.24</v>
      </c>
      <c r="H32" s="63">
        <v>70.83</v>
      </c>
      <c r="I32" s="63">
        <v>0.91</v>
      </c>
      <c r="J32" s="63">
        <v>0.15</v>
      </c>
      <c r="K32" s="63">
        <v>336.57</v>
      </c>
      <c r="L32" s="9" t="s">
        <v>8</v>
      </c>
      <c r="M32" s="9" t="s">
        <v>8</v>
      </c>
      <c r="N32" s="63">
        <v>4.5999999999999996</v>
      </c>
      <c r="O32" s="63">
        <v>0</v>
      </c>
      <c r="P32" s="63">
        <v>2.58</v>
      </c>
      <c r="Q32" s="63">
        <v>228.45</v>
      </c>
      <c r="R32" s="44"/>
      <c r="S32" s="44"/>
      <c r="T32" s="44"/>
      <c r="U32" s="44"/>
    </row>
    <row r="33" spans="1:21" s="22" customFormat="1" x14ac:dyDescent="0.25">
      <c r="A33" s="27"/>
      <c r="B33" s="21"/>
      <c r="C33" s="21"/>
      <c r="D33" s="21"/>
      <c r="E33" s="21"/>
      <c r="F33" s="21"/>
      <c r="G33" s="27"/>
      <c r="H33" s="27"/>
      <c r="I33" s="27"/>
      <c r="J33" s="21"/>
      <c r="K33" s="21"/>
      <c r="L33" s="27"/>
      <c r="M33" s="27"/>
      <c r="N33" s="27"/>
      <c r="O33" s="27"/>
      <c r="P33" s="27"/>
      <c r="Q33" s="21"/>
      <c r="R33" s="21"/>
      <c r="S33" s="21"/>
      <c r="T33" s="21"/>
      <c r="U33" s="21"/>
    </row>
    <row r="34" spans="1:21" s="22" customFormat="1" x14ac:dyDescent="0.25">
      <c r="A34" s="28" t="s">
        <v>30</v>
      </c>
      <c r="B34" s="29">
        <f t="shared" ref="B34:Q34" si="0">MIN(B9:B32)</f>
        <v>0.24</v>
      </c>
      <c r="C34" s="29">
        <f t="shared" si="0"/>
        <v>45.24</v>
      </c>
      <c r="D34" s="29">
        <f t="shared" si="0"/>
        <v>25.16</v>
      </c>
      <c r="E34" s="29">
        <f t="shared" si="0"/>
        <v>10.24</v>
      </c>
      <c r="F34" s="29">
        <f t="shared" si="0"/>
        <v>3.72</v>
      </c>
      <c r="G34" s="29">
        <f t="shared" si="0"/>
        <v>80.94</v>
      </c>
      <c r="H34" s="29">
        <f t="shared" si="0"/>
        <v>41.12</v>
      </c>
      <c r="I34" s="29">
        <f t="shared" si="0"/>
        <v>0.09</v>
      </c>
      <c r="J34" s="29">
        <f t="shared" si="0"/>
        <v>0.06</v>
      </c>
      <c r="K34" s="29">
        <f t="shared" si="0"/>
        <v>25.75</v>
      </c>
      <c r="L34" s="29">
        <f t="shared" si="0"/>
        <v>0</v>
      </c>
      <c r="M34" s="29">
        <f t="shared" si="0"/>
        <v>0</v>
      </c>
      <c r="N34" s="29">
        <f t="shared" si="0"/>
        <v>4.2</v>
      </c>
      <c r="O34" s="29">
        <f t="shared" si="0"/>
        <v>0</v>
      </c>
      <c r="P34" s="29">
        <f t="shared" si="0"/>
        <v>0.53</v>
      </c>
      <c r="Q34" s="29">
        <f t="shared" si="0"/>
        <v>42.82</v>
      </c>
      <c r="R34" s="29"/>
      <c r="S34" s="29"/>
      <c r="T34" s="29"/>
      <c r="U34" s="29"/>
    </row>
    <row r="35" spans="1:21" s="22" customFormat="1" x14ac:dyDescent="0.25">
      <c r="A35" s="28" t="s">
        <v>31</v>
      </c>
      <c r="B35" s="30">
        <f t="shared" ref="B35:Q35" si="1">MAX(B9:B32)</f>
        <v>237.69</v>
      </c>
      <c r="C35" s="30">
        <f t="shared" si="1"/>
        <v>459.15</v>
      </c>
      <c r="D35" s="30">
        <f t="shared" si="1"/>
        <v>444</v>
      </c>
      <c r="E35" s="30">
        <f t="shared" si="1"/>
        <v>60.64</v>
      </c>
      <c r="F35" s="30">
        <f t="shared" si="1"/>
        <v>112.19</v>
      </c>
      <c r="G35" s="30">
        <f t="shared" si="1"/>
        <v>257.86</v>
      </c>
      <c r="H35" s="30">
        <f t="shared" si="1"/>
        <v>91.31</v>
      </c>
      <c r="I35" s="30">
        <f t="shared" si="1"/>
        <v>1.7</v>
      </c>
      <c r="J35" s="30">
        <f t="shared" si="1"/>
        <v>1.41</v>
      </c>
      <c r="K35" s="30">
        <f t="shared" si="1"/>
        <v>359.98</v>
      </c>
      <c r="L35" s="30">
        <f t="shared" si="1"/>
        <v>0</v>
      </c>
      <c r="M35" s="30">
        <f t="shared" si="1"/>
        <v>0</v>
      </c>
      <c r="N35" s="30">
        <f t="shared" si="1"/>
        <v>743.4</v>
      </c>
      <c r="O35" s="30">
        <f t="shared" si="1"/>
        <v>0</v>
      </c>
      <c r="P35" s="30">
        <f t="shared" si="1"/>
        <v>5.0999999999999996</v>
      </c>
      <c r="Q35" s="30">
        <f t="shared" si="1"/>
        <v>297.7</v>
      </c>
      <c r="R35" s="30"/>
      <c r="S35" s="30"/>
      <c r="T35" s="30"/>
      <c r="U35" s="30"/>
    </row>
    <row r="36" spans="1:21" s="22" customFormat="1" x14ac:dyDescent="0.25">
      <c r="A36" s="28" t="s">
        <v>32</v>
      </c>
      <c r="B36" s="29">
        <f t="shared" ref="B36:Q36" si="2">AVERAGE(B9:B32)</f>
        <v>62.947499999999998</v>
      </c>
      <c r="C36" s="29">
        <f t="shared" si="2"/>
        <v>174.08000000000004</v>
      </c>
      <c r="D36" s="29">
        <f t="shared" si="2"/>
        <v>146.13291666666666</v>
      </c>
      <c r="E36" s="29">
        <f t="shared" si="2"/>
        <v>26.235833333333332</v>
      </c>
      <c r="F36" s="29">
        <f t="shared" si="2"/>
        <v>47.714999999999996</v>
      </c>
      <c r="G36" s="29">
        <f t="shared" si="2"/>
        <v>152.60399999999998</v>
      </c>
      <c r="H36" s="29">
        <f t="shared" si="2"/>
        <v>65.092500000000001</v>
      </c>
      <c r="I36" s="29">
        <f t="shared" si="2"/>
        <v>0.46708333333333335</v>
      </c>
      <c r="J36" s="29">
        <f t="shared" si="2"/>
        <v>0.39666666666666667</v>
      </c>
      <c r="K36" s="29">
        <f t="shared" si="2"/>
        <v>292.59875</v>
      </c>
      <c r="L36" s="29" t="e">
        <f t="shared" si="2"/>
        <v>#DIV/0!</v>
      </c>
      <c r="M36" s="29" t="e">
        <f t="shared" si="2"/>
        <v>#DIV/0!</v>
      </c>
      <c r="N36" s="29">
        <f t="shared" si="2"/>
        <v>209.40416666666673</v>
      </c>
      <c r="O36" s="29">
        <f t="shared" si="2"/>
        <v>0</v>
      </c>
      <c r="P36" s="29">
        <f t="shared" si="2"/>
        <v>1.7125000000000001</v>
      </c>
      <c r="Q36" s="29">
        <f t="shared" si="2"/>
        <v>128.33541666666665</v>
      </c>
      <c r="R36" s="29"/>
      <c r="S36" s="29"/>
      <c r="T36" s="29"/>
      <c r="U36" s="29"/>
    </row>
    <row r="37" spans="1:21" s="22" customFormat="1" x14ac:dyDescent="0.25">
      <c r="A37" s="28" t="s">
        <v>38</v>
      </c>
      <c r="B37" s="29">
        <f>STDEV(B9:B32)</f>
        <v>69.293465169649224</v>
      </c>
      <c r="C37" s="29">
        <f t="shared" ref="C37:Q37" si="3">STDEV(C9:C32)</f>
        <v>121.13036175596277</v>
      </c>
      <c r="D37" s="29">
        <f t="shared" si="3"/>
        <v>121.95257059091408</v>
      </c>
      <c r="E37" s="29">
        <f t="shared" si="3"/>
        <v>14.2038469732879</v>
      </c>
      <c r="F37" s="29">
        <f t="shared" si="3"/>
        <v>36.184142935822031</v>
      </c>
      <c r="G37" s="29">
        <f t="shared" si="3"/>
        <v>62.279064185241886</v>
      </c>
      <c r="H37" s="29">
        <f t="shared" si="3"/>
        <v>15.492245535723082</v>
      </c>
      <c r="I37" s="29">
        <f t="shared" si="3"/>
        <v>0.472417272874463</v>
      </c>
      <c r="J37" s="29">
        <f t="shared" si="3"/>
        <v>0.39043639649774575</v>
      </c>
      <c r="K37" s="29">
        <f t="shared" si="3"/>
        <v>85.198034643207706</v>
      </c>
      <c r="L37" s="29" t="e">
        <f t="shared" si="3"/>
        <v>#DIV/0!</v>
      </c>
      <c r="M37" s="29" t="e">
        <f t="shared" si="3"/>
        <v>#DIV/0!</v>
      </c>
      <c r="N37" s="29">
        <f t="shared" si="3"/>
        <v>282.78932775995537</v>
      </c>
      <c r="O37" s="29">
        <f t="shared" si="3"/>
        <v>0</v>
      </c>
      <c r="P37" s="29">
        <f t="shared" si="3"/>
        <v>1.3686910598784896</v>
      </c>
      <c r="Q37" s="29">
        <f t="shared" si="3"/>
        <v>81.012954035499646</v>
      </c>
      <c r="R37" s="29"/>
      <c r="S37" s="29"/>
      <c r="T37" s="29"/>
      <c r="U37" s="29"/>
    </row>
    <row r="38" spans="1:21" s="22" customFormat="1" x14ac:dyDescent="0.25">
      <c r="A38" s="32" t="s">
        <v>33</v>
      </c>
      <c r="B38" s="33">
        <f t="shared" ref="B38:Q38" si="4">COUNT(B9:B32)</f>
        <v>24</v>
      </c>
      <c r="C38" s="33">
        <f t="shared" si="4"/>
        <v>24</v>
      </c>
      <c r="D38" s="33">
        <f t="shared" si="4"/>
        <v>24</v>
      </c>
      <c r="E38" s="33">
        <f t="shared" si="4"/>
        <v>24</v>
      </c>
      <c r="F38" s="33">
        <f>COUNT(F9:F32)</f>
        <v>24</v>
      </c>
      <c r="G38" s="33">
        <f>COUNT(G9:G32)</f>
        <v>20</v>
      </c>
      <c r="H38" s="33">
        <f>COUNT(H9:H32)</f>
        <v>24</v>
      </c>
      <c r="I38" s="33">
        <f t="shared" si="4"/>
        <v>24</v>
      </c>
      <c r="J38" s="33">
        <f t="shared" si="4"/>
        <v>24</v>
      </c>
      <c r="K38" s="33">
        <f t="shared" si="4"/>
        <v>24</v>
      </c>
      <c r="L38" s="33">
        <f>COUNT(L9:L32)+24</f>
        <v>24</v>
      </c>
      <c r="M38" s="33">
        <f>COUNT(M9:M32)+24</f>
        <v>24</v>
      </c>
      <c r="N38" s="33">
        <f t="shared" si="4"/>
        <v>24</v>
      </c>
      <c r="O38" s="33">
        <f t="shared" si="4"/>
        <v>24</v>
      </c>
      <c r="P38" s="33">
        <f t="shared" si="4"/>
        <v>24</v>
      </c>
      <c r="Q38" s="33">
        <f t="shared" si="4"/>
        <v>24</v>
      </c>
      <c r="R38" s="33"/>
      <c r="S38" s="33"/>
      <c r="T38" s="33"/>
      <c r="U38" s="33"/>
    </row>
    <row r="39" spans="1:21" s="22" customFormat="1" x14ac:dyDescent="0.25">
      <c r="A39" s="28" t="s">
        <v>34</v>
      </c>
      <c r="B39" s="30" t="str">
        <f>IF(B38&gt;=22,"&gt;90%",IF(B38&lt;=22,"&lt;90%"))</f>
        <v>&gt;90%</v>
      </c>
      <c r="C39" s="30" t="str">
        <f t="shared" ref="C39:P39" si="5">IF(C38&gt;=22,"&gt;90%",IF(C38&lt;=22,"&lt;90%"))</f>
        <v>&gt;90%</v>
      </c>
      <c r="D39" s="30" t="str">
        <f t="shared" si="5"/>
        <v>&gt;90%</v>
      </c>
      <c r="E39" s="30" t="str">
        <f t="shared" si="5"/>
        <v>&gt;90%</v>
      </c>
      <c r="F39" s="30" t="str">
        <f t="shared" si="5"/>
        <v>&gt;90%</v>
      </c>
      <c r="G39" s="30" t="str">
        <f t="shared" si="5"/>
        <v>&lt;90%</v>
      </c>
      <c r="H39" s="30" t="str">
        <f t="shared" si="5"/>
        <v>&gt;90%</v>
      </c>
      <c r="I39" s="30" t="str">
        <f t="shared" si="5"/>
        <v>&gt;90%</v>
      </c>
      <c r="J39" s="30" t="str">
        <f t="shared" si="5"/>
        <v>&gt;90%</v>
      </c>
      <c r="K39" s="30" t="str">
        <f t="shared" si="5"/>
        <v>&gt;90%</v>
      </c>
      <c r="L39" s="30" t="str">
        <f t="shared" si="5"/>
        <v>&gt;90%</v>
      </c>
      <c r="M39" s="30" t="str">
        <f t="shared" si="5"/>
        <v>&gt;90%</v>
      </c>
      <c r="N39" s="30" t="str">
        <f t="shared" si="5"/>
        <v>&gt;90%</v>
      </c>
      <c r="O39" s="30" t="str">
        <f t="shared" si="5"/>
        <v>&gt;90%</v>
      </c>
      <c r="P39" s="30" t="str">
        <f t="shared" si="5"/>
        <v>&gt;90%</v>
      </c>
      <c r="Q39" s="30" t="str">
        <f>IF(Q38&gt;=22,"&gt;90%",IF(Q38&lt;=22,"&lt;90%"))</f>
        <v>&gt;90%</v>
      </c>
      <c r="R39" s="30"/>
      <c r="S39" s="30"/>
      <c r="T39" s="30"/>
      <c r="U39" s="30"/>
    </row>
    <row r="40" spans="1:21" s="22" customFormat="1" x14ac:dyDescent="0.25">
      <c r="A40" s="28" t="s">
        <v>1</v>
      </c>
      <c r="B40" s="30" t="str">
        <f>IF(B38&gt;=22,"OK",IF(B38&lt;=22,"LESS"))</f>
        <v>OK</v>
      </c>
      <c r="C40" s="30" t="str">
        <f t="shared" ref="C40:Q40" si="6">IF(C38&gt;=22,"OK",IF(C38&lt;=22,"LESS"))</f>
        <v>OK</v>
      </c>
      <c r="D40" s="30" t="str">
        <f t="shared" si="6"/>
        <v>OK</v>
      </c>
      <c r="E40" s="30" t="str">
        <f t="shared" si="6"/>
        <v>OK</v>
      </c>
      <c r="F40" s="30" t="str">
        <f t="shared" si="6"/>
        <v>OK</v>
      </c>
      <c r="G40" s="30" t="str">
        <f t="shared" si="6"/>
        <v>LESS</v>
      </c>
      <c r="H40" s="30" t="str">
        <f t="shared" si="6"/>
        <v>OK</v>
      </c>
      <c r="I40" s="30" t="str">
        <f t="shared" si="6"/>
        <v>OK</v>
      </c>
      <c r="J40" s="30" t="str">
        <f t="shared" si="6"/>
        <v>OK</v>
      </c>
      <c r="K40" s="30" t="str">
        <f t="shared" si="6"/>
        <v>OK</v>
      </c>
      <c r="L40" s="30" t="str">
        <f t="shared" si="6"/>
        <v>OK</v>
      </c>
      <c r="M40" s="30" t="str">
        <f t="shared" si="6"/>
        <v>OK</v>
      </c>
      <c r="N40" s="30" t="str">
        <f t="shared" si="6"/>
        <v>OK</v>
      </c>
      <c r="O40" s="30" t="str">
        <f t="shared" si="6"/>
        <v>OK</v>
      </c>
      <c r="P40" s="30" t="str">
        <f t="shared" si="6"/>
        <v>OK</v>
      </c>
      <c r="Q40" s="30" t="str">
        <f t="shared" si="6"/>
        <v>OK</v>
      </c>
      <c r="R40" s="30"/>
      <c r="S40" s="30"/>
      <c r="T40" s="30"/>
      <c r="U40" s="30"/>
    </row>
    <row r="41" spans="1:21" s="22" customFormat="1" x14ac:dyDescent="0.25">
      <c r="A41" s="14"/>
      <c r="L41" s="14"/>
      <c r="N41" s="17"/>
      <c r="O41" s="17"/>
      <c r="P41" s="17"/>
      <c r="Q41" s="17"/>
      <c r="R41" s="17"/>
      <c r="S41" s="17"/>
      <c r="T41" s="17"/>
      <c r="U41" s="17"/>
    </row>
    <row r="42" spans="1:21" s="22" customFormat="1" x14ac:dyDescent="0.25">
      <c r="A42" s="14"/>
    </row>
    <row r="43" spans="1:21" s="22" customFormat="1" x14ac:dyDescent="0.25">
      <c r="A43" s="15" t="s">
        <v>35</v>
      </c>
      <c r="B43" s="41" t="s">
        <v>61</v>
      </c>
      <c r="C43" s="43"/>
    </row>
    <row r="44" spans="1:21" s="22" customFormat="1" x14ac:dyDescent="0.25">
      <c r="A44" s="14"/>
      <c r="D44" s="2"/>
      <c r="E44" s="2"/>
      <c r="F44" s="2"/>
      <c r="G44" s="2"/>
      <c r="H44" s="2"/>
      <c r="I44" s="2"/>
    </row>
    <row r="45" spans="1:21" s="22" customFormat="1" ht="15.75" x14ac:dyDescent="0.25">
      <c r="A45" s="18" t="s">
        <v>36</v>
      </c>
      <c r="B45" s="42" t="s">
        <v>711</v>
      </c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</row>
    <row r="46" spans="1:21" s="22" customFormat="1" x14ac:dyDescent="0.25"/>
    <row r="47" spans="1:21" s="22" customFormat="1" x14ac:dyDescent="0.25"/>
    <row r="48" spans="1:21" s="22" customFormat="1" x14ac:dyDescent="0.25"/>
    <row r="49" s="22" customFormat="1" x14ac:dyDescent="0.25"/>
    <row r="50" s="22" customFormat="1" x14ac:dyDescent="0.25"/>
    <row r="51" s="22" customFormat="1" x14ac:dyDescent="0.25"/>
    <row r="52" s="22" customFormat="1" x14ac:dyDescent="0.25"/>
    <row r="53" s="22" customFormat="1" x14ac:dyDescent="0.25"/>
    <row r="54" s="22" customFormat="1" x14ac:dyDescent="0.25"/>
    <row r="55" s="22" customFormat="1" x14ac:dyDescent="0.25"/>
    <row r="56" s="22" customFormat="1" x14ac:dyDescent="0.25"/>
    <row r="57" s="22" customFormat="1" x14ac:dyDescent="0.25"/>
    <row r="58" s="22" customFormat="1" x14ac:dyDescent="0.25"/>
    <row r="59" s="22" customFormat="1" x14ac:dyDescent="0.25"/>
    <row r="60" s="22" customFormat="1" x14ac:dyDescent="0.25"/>
    <row r="61" s="22" customFormat="1" x14ac:dyDescent="0.25"/>
    <row r="62" s="22" customFormat="1" x14ac:dyDescent="0.25"/>
    <row r="63" s="22" customFormat="1" x14ac:dyDescent="0.25"/>
    <row r="64" s="22" customFormat="1" x14ac:dyDescent="0.25"/>
    <row r="65" s="22" customFormat="1" x14ac:dyDescent="0.25"/>
    <row r="66" s="22" customFormat="1" x14ac:dyDescent="0.25"/>
    <row r="67" s="22" customFormat="1" x14ac:dyDescent="0.25"/>
    <row r="68" s="22" customFormat="1" x14ac:dyDescent="0.25"/>
    <row r="69" s="22" customFormat="1" x14ac:dyDescent="0.25"/>
    <row r="70" s="22" customFormat="1" x14ac:dyDescent="0.25"/>
    <row r="71" s="22" customFormat="1" x14ac:dyDescent="0.25"/>
    <row r="72" s="22" customFormat="1" x14ac:dyDescent="0.25"/>
    <row r="73" s="22" customFormat="1" x14ac:dyDescent="0.25"/>
    <row r="74" s="22" customFormat="1" x14ac:dyDescent="0.25"/>
    <row r="75" s="22" customFormat="1" x14ac:dyDescent="0.25"/>
    <row r="76" s="22" customFormat="1" x14ac:dyDescent="0.25"/>
    <row r="77" s="22" customFormat="1" x14ac:dyDescent="0.25"/>
    <row r="78" s="22" customFormat="1" x14ac:dyDescent="0.25"/>
    <row r="79" s="22" customFormat="1" x14ac:dyDescent="0.25"/>
    <row r="80" s="22" customFormat="1" x14ac:dyDescent="0.25"/>
    <row r="81" s="22" customFormat="1" x14ac:dyDescent="0.25"/>
    <row r="82" s="22" customFormat="1" x14ac:dyDescent="0.25"/>
    <row r="83" s="22" customFormat="1" x14ac:dyDescent="0.25"/>
    <row r="84" s="22" customFormat="1" x14ac:dyDescent="0.25"/>
    <row r="85" s="22" customFormat="1" x14ac:dyDescent="0.25"/>
    <row r="86" s="22" customFormat="1" x14ac:dyDescent="0.25"/>
    <row r="87" s="22" customFormat="1" x14ac:dyDescent="0.25"/>
    <row r="88" s="22" customFormat="1" x14ac:dyDescent="0.25"/>
    <row r="89" s="22" customFormat="1" x14ac:dyDescent="0.25"/>
    <row r="90" s="22" customFormat="1" x14ac:dyDescent="0.25"/>
    <row r="91" s="22" customFormat="1" x14ac:dyDescent="0.25"/>
    <row r="92" s="22" customFormat="1" x14ac:dyDescent="0.25"/>
    <row r="93" s="22" customFormat="1" x14ac:dyDescent="0.25"/>
    <row r="94" s="22" customFormat="1" x14ac:dyDescent="0.25"/>
    <row r="95" s="22" customFormat="1" x14ac:dyDescent="0.25"/>
    <row r="96" s="22" customFormat="1" x14ac:dyDescent="0.25"/>
    <row r="97" spans="1:1" s="22" customFormat="1" x14ac:dyDescent="0.25"/>
    <row r="98" spans="1:1" s="22" customFormat="1" x14ac:dyDescent="0.25"/>
    <row r="99" spans="1:1" s="22" customFormat="1" x14ac:dyDescent="0.25"/>
    <row r="100" spans="1:1" s="22" customFormat="1" x14ac:dyDescent="0.25"/>
    <row r="101" spans="1:1" s="22" customFormat="1" x14ac:dyDescent="0.25"/>
    <row r="102" spans="1:1" s="22" customFormat="1" x14ac:dyDescent="0.25"/>
    <row r="103" spans="1:1" s="22" customFormat="1" x14ac:dyDescent="0.25"/>
    <row r="104" spans="1:1" s="22" customFormat="1" x14ac:dyDescent="0.25"/>
    <row r="105" spans="1:1" s="22" customFormat="1" x14ac:dyDescent="0.25"/>
    <row r="106" spans="1:1" x14ac:dyDescent="0.25">
      <c r="A106" s="21"/>
    </row>
    <row r="107" spans="1:1" s="22" customFormat="1" x14ac:dyDescent="0.25"/>
    <row r="108" spans="1:1" s="22" customFormat="1" x14ac:dyDescent="0.25"/>
    <row r="109" spans="1:1" s="22" customFormat="1" x14ac:dyDescent="0.25"/>
    <row r="110" spans="1:1" s="22" customFormat="1" x14ac:dyDescent="0.25"/>
    <row r="111" spans="1:1" s="22" customFormat="1" x14ac:dyDescent="0.25"/>
    <row r="112" spans="1:1" s="22" customFormat="1" x14ac:dyDescent="0.25"/>
    <row r="113" spans="1:1" s="22" customFormat="1" x14ac:dyDescent="0.25"/>
    <row r="114" spans="1:1" s="22" customFormat="1" x14ac:dyDescent="0.25"/>
    <row r="115" spans="1:1" s="22" customFormat="1" x14ac:dyDescent="0.25"/>
    <row r="116" spans="1:1" s="22" customFormat="1" x14ac:dyDescent="0.25"/>
    <row r="117" spans="1:1" s="22" customFormat="1" x14ac:dyDescent="0.25"/>
    <row r="118" spans="1:1" x14ac:dyDescent="0.25">
      <c r="A118" s="21"/>
    </row>
    <row r="119" spans="1:1" x14ac:dyDescent="0.25">
      <c r="A119" s="21"/>
    </row>
  </sheetData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topLeftCell="A10" workbookViewId="0">
      <selection activeCell="B46" sqref="B46"/>
    </sheetView>
  </sheetViews>
  <sheetFormatPr defaultColWidth="8.85546875" defaultRowHeight="15" x14ac:dyDescent="0.25"/>
  <cols>
    <col min="1" max="1" width="18.28515625" style="27" customWidth="1"/>
    <col min="2" max="2" width="12.7109375" style="21" customWidth="1"/>
    <col min="3" max="12" width="9.140625" style="21" customWidth="1"/>
    <col min="13" max="13" width="10" style="21" customWidth="1"/>
    <col min="14" max="16" width="9.140625" style="21" customWidth="1"/>
    <col min="17" max="17" width="16.42578125" style="21" customWidth="1"/>
    <col min="18" max="19" width="9.140625" style="21" customWidth="1"/>
    <col min="20" max="20" width="11.42578125" style="21" customWidth="1"/>
    <col min="21" max="16384" width="8.85546875" style="21"/>
  </cols>
  <sheetData>
    <row r="1" spans="1:21" s="22" customFormat="1" ht="26.25" x14ac:dyDescent="0.25">
      <c r="A1" s="15" t="s">
        <v>2</v>
      </c>
      <c r="B1" s="24" t="s">
        <v>43</v>
      </c>
      <c r="C1" s="38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s="22" customFormat="1" x14ac:dyDescent="0.25">
      <c r="A2" s="15" t="s">
        <v>0</v>
      </c>
      <c r="B2" s="39" t="str">
        <f>$A$9</f>
        <v>29-10-2022 01:00</v>
      </c>
      <c r="C2" s="12"/>
      <c r="D2" s="11" t="s">
        <v>3</v>
      </c>
      <c r="E2" s="11"/>
      <c r="F2" s="11"/>
      <c r="G2" s="4" t="s">
        <v>4</v>
      </c>
      <c r="H2" s="20"/>
      <c r="I2" s="20"/>
      <c r="J2" s="20"/>
      <c r="K2" s="13"/>
      <c r="L2" s="11" t="s">
        <v>5</v>
      </c>
      <c r="M2" s="13"/>
      <c r="N2" s="8" t="s">
        <v>6</v>
      </c>
      <c r="P2" s="40" t="s">
        <v>7</v>
      </c>
      <c r="Q2" s="13"/>
      <c r="R2" s="9" t="s">
        <v>8</v>
      </c>
      <c r="S2" s="12"/>
      <c r="T2" s="12"/>
      <c r="U2" s="12"/>
    </row>
    <row r="3" spans="1:21" s="22" customFormat="1" x14ac:dyDescent="0.25">
      <c r="A3" s="15" t="s">
        <v>9</v>
      </c>
      <c r="B3" s="13" t="s">
        <v>10</v>
      </c>
      <c r="C3" s="12"/>
      <c r="D3" s="11" t="s">
        <v>11</v>
      </c>
      <c r="E3" s="11"/>
      <c r="F3" s="11"/>
      <c r="G3" s="19" t="s">
        <v>12</v>
      </c>
      <c r="H3" s="20"/>
      <c r="I3" s="20"/>
      <c r="J3" s="20"/>
      <c r="K3" s="12"/>
      <c r="L3" s="11" t="s">
        <v>13</v>
      </c>
      <c r="M3" s="13"/>
      <c r="N3" s="6" t="s">
        <v>14</v>
      </c>
      <c r="O3" s="13"/>
      <c r="P3" s="40" t="s">
        <v>15</v>
      </c>
      <c r="Q3" s="13"/>
      <c r="R3" s="10" t="s">
        <v>15</v>
      </c>
      <c r="S3" s="12"/>
      <c r="T3" s="12"/>
      <c r="U3" s="12"/>
    </row>
    <row r="4" spans="1:21" s="22" customFormat="1" x14ac:dyDescent="0.25">
      <c r="A4" s="15" t="s">
        <v>16</v>
      </c>
      <c r="B4" s="13" t="s">
        <v>39</v>
      </c>
      <c r="C4" s="12"/>
      <c r="D4" s="11" t="s">
        <v>17</v>
      </c>
      <c r="E4" s="11"/>
      <c r="F4" s="11"/>
      <c r="G4" s="5" t="s">
        <v>18</v>
      </c>
      <c r="H4" s="20"/>
      <c r="I4" s="20"/>
      <c r="J4" s="20"/>
      <c r="K4" s="3"/>
      <c r="L4" s="11" t="s">
        <v>19</v>
      </c>
      <c r="M4" s="13"/>
      <c r="N4" s="7" t="s">
        <v>20</v>
      </c>
      <c r="O4" s="13"/>
      <c r="P4" s="13"/>
      <c r="Q4" s="13"/>
      <c r="R4" s="13"/>
      <c r="S4" s="12"/>
      <c r="T4" s="12"/>
      <c r="U4" s="12"/>
    </row>
    <row r="5" spans="1:21" s="22" customFormat="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s="22" customFormat="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s="22" customFormat="1" x14ac:dyDescent="0.25">
      <c r="A7" s="15" t="s">
        <v>21</v>
      </c>
      <c r="B7" s="45" t="s">
        <v>59</v>
      </c>
      <c r="C7" s="45" t="s">
        <v>44</v>
      </c>
      <c r="D7" s="45" t="s">
        <v>45</v>
      </c>
      <c r="E7" s="45" t="s">
        <v>46</v>
      </c>
      <c r="F7" s="45" t="s">
        <v>47</v>
      </c>
      <c r="G7" s="45" t="s">
        <v>48</v>
      </c>
      <c r="H7" s="45" t="s">
        <v>49</v>
      </c>
      <c r="I7" s="45" t="s">
        <v>50</v>
      </c>
      <c r="J7" s="45" t="s">
        <v>51</v>
      </c>
      <c r="K7" s="45" t="s">
        <v>52</v>
      </c>
      <c r="L7" s="45" t="s">
        <v>53</v>
      </c>
      <c r="M7" s="45" t="s">
        <v>54</v>
      </c>
      <c r="N7" s="45" t="s">
        <v>55</v>
      </c>
      <c r="O7" s="45" t="s">
        <v>56</v>
      </c>
      <c r="P7" s="45" t="s">
        <v>57</v>
      </c>
      <c r="Q7" s="45" t="s">
        <v>58</v>
      </c>
      <c r="R7" s="28"/>
      <c r="S7" s="30"/>
      <c r="T7" s="28"/>
      <c r="U7" s="28"/>
    </row>
    <row r="8" spans="1:21" s="22" customFormat="1" x14ac:dyDescent="0.25">
      <c r="A8" s="15"/>
      <c r="B8" s="30" t="s">
        <v>22</v>
      </c>
      <c r="C8" s="30" t="s">
        <v>22</v>
      </c>
      <c r="D8" s="30" t="s">
        <v>22</v>
      </c>
      <c r="E8" s="30" t="s">
        <v>22</v>
      </c>
      <c r="F8" s="30" t="s">
        <v>22</v>
      </c>
      <c r="G8" s="30" t="s">
        <v>23</v>
      </c>
      <c r="H8" s="30" t="s">
        <v>22</v>
      </c>
      <c r="I8" s="30" t="s">
        <v>22</v>
      </c>
      <c r="J8" s="30" t="s">
        <v>24</v>
      </c>
      <c r="K8" s="30" t="s">
        <v>25</v>
      </c>
      <c r="L8" s="28" t="s">
        <v>27</v>
      </c>
      <c r="M8" s="30" t="s">
        <v>26</v>
      </c>
      <c r="N8" s="30" t="s">
        <v>28</v>
      </c>
      <c r="O8" s="28" t="s">
        <v>29</v>
      </c>
      <c r="P8" s="30" t="s">
        <v>22</v>
      </c>
      <c r="Q8" s="30" t="s">
        <v>22</v>
      </c>
      <c r="R8" s="28"/>
      <c r="S8" s="30"/>
      <c r="T8" s="28"/>
      <c r="U8" s="28"/>
    </row>
    <row r="9" spans="1:21" s="12" customFormat="1" x14ac:dyDescent="0.25">
      <c r="A9" s="51" t="s">
        <v>736</v>
      </c>
      <c r="B9" s="52">
        <v>6.42</v>
      </c>
      <c r="C9" s="52">
        <v>86.26</v>
      </c>
      <c r="D9" s="52">
        <v>52.75</v>
      </c>
      <c r="E9" s="52">
        <v>12.38</v>
      </c>
      <c r="F9" s="52">
        <v>31.43</v>
      </c>
      <c r="G9" s="52">
        <v>223.24</v>
      </c>
      <c r="H9" s="52">
        <v>70.83</v>
      </c>
      <c r="I9" s="52">
        <v>0.44</v>
      </c>
      <c r="J9" s="52">
        <v>0.08</v>
      </c>
      <c r="K9" s="52">
        <v>270.89999999999998</v>
      </c>
      <c r="L9" s="54" t="s">
        <v>8</v>
      </c>
      <c r="M9" s="54" t="s">
        <v>8</v>
      </c>
      <c r="N9" s="52">
        <v>4.5999999999999996</v>
      </c>
      <c r="O9" s="52">
        <v>0</v>
      </c>
      <c r="P9" s="52">
        <v>1.1100000000000001</v>
      </c>
      <c r="Q9" s="52">
        <v>98.61</v>
      </c>
      <c r="R9" s="44"/>
      <c r="S9" s="44"/>
      <c r="T9" s="44"/>
      <c r="U9" s="44"/>
    </row>
    <row r="10" spans="1:21" s="12" customFormat="1" x14ac:dyDescent="0.25">
      <c r="A10" s="51" t="s">
        <v>737</v>
      </c>
      <c r="B10" s="52">
        <v>0.91</v>
      </c>
      <c r="C10" s="52">
        <v>74.260000000000005</v>
      </c>
      <c r="D10" s="52">
        <v>41.71</v>
      </c>
      <c r="E10" s="52">
        <v>8.7100000000000009</v>
      </c>
      <c r="F10" s="52">
        <v>26.92</v>
      </c>
      <c r="G10" s="52">
        <v>180.26</v>
      </c>
      <c r="H10" s="52">
        <v>70.75</v>
      </c>
      <c r="I10" s="52">
        <v>0.28999999999999998</v>
      </c>
      <c r="J10" s="52">
        <v>0.19</v>
      </c>
      <c r="K10" s="52">
        <v>278.17</v>
      </c>
      <c r="L10" s="54" t="s">
        <v>8</v>
      </c>
      <c r="M10" s="54" t="s">
        <v>8</v>
      </c>
      <c r="N10" s="52">
        <v>4.5999999999999996</v>
      </c>
      <c r="O10" s="52">
        <v>0</v>
      </c>
      <c r="P10" s="52">
        <v>1.06</v>
      </c>
      <c r="Q10" s="52">
        <v>65</v>
      </c>
      <c r="R10" s="44"/>
      <c r="S10" s="44"/>
      <c r="T10" s="44"/>
      <c r="U10" s="44"/>
    </row>
    <row r="11" spans="1:21" s="12" customFormat="1" x14ac:dyDescent="0.25">
      <c r="A11" s="51" t="s">
        <v>738</v>
      </c>
      <c r="B11" s="52">
        <v>6.21</v>
      </c>
      <c r="C11" s="52">
        <v>87.15</v>
      </c>
      <c r="D11" s="52">
        <v>50.3</v>
      </c>
      <c r="E11" s="52">
        <v>8.7799999999999994</v>
      </c>
      <c r="F11" s="52">
        <v>19.14</v>
      </c>
      <c r="G11" s="52">
        <v>115.55</v>
      </c>
      <c r="H11" s="52">
        <v>63.08</v>
      </c>
      <c r="I11" s="52">
        <v>0.26</v>
      </c>
      <c r="J11" s="52">
        <v>0.12</v>
      </c>
      <c r="K11" s="52">
        <v>337.38</v>
      </c>
      <c r="L11" s="54" t="s">
        <v>8</v>
      </c>
      <c r="M11" s="54" t="s">
        <v>8</v>
      </c>
      <c r="N11" s="52">
        <v>4.5</v>
      </c>
      <c r="O11" s="52">
        <v>0</v>
      </c>
      <c r="P11" s="52">
        <v>0.95</v>
      </c>
      <c r="Q11" s="52">
        <v>63.52</v>
      </c>
      <c r="R11" s="44"/>
      <c r="S11" s="44"/>
      <c r="T11" s="44"/>
      <c r="U11" s="44"/>
    </row>
    <row r="12" spans="1:21" s="12" customFormat="1" x14ac:dyDescent="0.25">
      <c r="A12" s="51" t="s">
        <v>739</v>
      </c>
      <c r="B12" s="52">
        <v>21.11</v>
      </c>
      <c r="C12" s="52">
        <v>102.15</v>
      </c>
      <c r="D12" s="52">
        <v>73.3</v>
      </c>
      <c r="E12" s="52">
        <v>8.23</v>
      </c>
      <c r="F12" s="52">
        <v>8.17</v>
      </c>
      <c r="G12" s="52">
        <v>114.85</v>
      </c>
      <c r="H12" s="52">
        <v>63.08</v>
      </c>
      <c r="I12" s="52">
        <v>0.35</v>
      </c>
      <c r="J12" s="52">
        <v>0.14000000000000001</v>
      </c>
      <c r="K12" s="52">
        <v>326.07</v>
      </c>
      <c r="L12" s="54" t="s">
        <v>8</v>
      </c>
      <c r="M12" s="54" t="s">
        <v>8</v>
      </c>
      <c r="N12" s="52">
        <v>4.5999999999999996</v>
      </c>
      <c r="O12" s="52">
        <v>0</v>
      </c>
      <c r="P12" s="52">
        <v>0.87</v>
      </c>
      <c r="Q12" s="52">
        <v>80.42</v>
      </c>
      <c r="R12" s="44"/>
      <c r="S12" s="44"/>
      <c r="T12" s="44"/>
      <c r="U12" s="44"/>
    </row>
    <row r="13" spans="1:21" s="12" customFormat="1" x14ac:dyDescent="0.25">
      <c r="A13" s="51" t="s">
        <v>740</v>
      </c>
      <c r="B13" s="52">
        <v>55.17</v>
      </c>
      <c r="C13" s="52">
        <v>124.75</v>
      </c>
      <c r="D13" s="52">
        <v>113.09</v>
      </c>
      <c r="E13" s="52">
        <v>5.65</v>
      </c>
      <c r="F13" s="52">
        <v>3.31</v>
      </c>
      <c r="G13" s="52">
        <v>108.88</v>
      </c>
      <c r="H13" s="52">
        <v>58.91</v>
      </c>
      <c r="I13" s="52">
        <v>0.35</v>
      </c>
      <c r="J13" s="52">
        <v>0.22</v>
      </c>
      <c r="K13" s="52">
        <v>331.23</v>
      </c>
      <c r="L13" s="54" t="s">
        <v>8</v>
      </c>
      <c r="M13" s="54" t="s">
        <v>8</v>
      </c>
      <c r="N13" s="52">
        <v>4.5999999999999996</v>
      </c>
      <c r="O13" s="52">
        <v>0</v>
      </c>
      <c r="P13" s="52">
        <v>1.01</v>
      </c>
      <c r="Q13" s="52">
        <v>117.88</v>
      </c>
      <c r="R13" s="44"/>
      <c r="S13" s="44"/>
      <c r="T13" s="44"/>
      <c r="U13" s="44"/>
    </row>
    <row r="14" spans="1:21" s="12" customFormat="1" x14ac:dyDescent="0.25">
      <c r="A14" s="51" t="s">
        <v>741</v>
      </c>
      <c r="B14" s="52">
        <v>42.72</v>
      </c>
      <c r="C14" s="52">
        <v>115.2</v>
      </c>
      <c r="D14" s="52">
        <v>96.68</v>
      </c>
      <c r="E14" s="52">
        <v>5.43</v>
      </c>
      <c r="F14" s="52">
        <v>3.53</v>
      </c>
      <c r="G14" s="52">
        <v>117.93</v>
      </c>
      <c r="H14" s="52">
        <v>60.15</v>
      </c>
      <c r="I14" s="52">
        <v>0.34</v>
      </c>
      <c r="J14" s="52">
        <v>0.26</v>
      </c>
      <c r="K14" s="52">
        <v>260.98</v>
      </c>
      <c r="L14" s="54" t="s">
        <v>8</v>
      </c>
      <c r="M14" s="54" t="s">
        <v>8</v>
      </c>
      <c r="N14" s="52">
        <v>5.7</v>
      </c>
      <c r="O14" s="52">
        <v>0</v>
      </c>
      <c r="P14" s="52">
        <v>0.82</v>
      </c>
      <c r="Q14" s="52">
        <v>116.45</v>
      </c>
      <c r="R14" s="44"/>
      <c r="S14" s="44"/>
      <c r="T14" s="44"/>
      <c r="U14" s="44"/>
    </row>
    <row r="15" spans="1:21" s="12" customFormat="1" x14ac:dyDescent="0.25">
      <c r="A15" s="51" t="s">
        <v>742</v>
      </c>
      <c r="B15" s="52">
        <v>28.84</v>
      </c>
      <c r="C15" s="52">
        <v>99.18</v>
      </c>
      <c r="D15" s="52">
        <v>77.86</v>
      </c>
      <c r="E15" s="52">
        <v>5.77</v>
      </c>
      <c r="F15" s="52">
        <v>4.7</v>
      </c>
      <c r="G15" s="52">
        <v>117.93</v>
      </c>
      <c r="H15" s="52">
        <v>60.15</v>
      </c>
      <c r="I15" s="52">
        <v>0.25</v>
      </c>
      <c r="J15" s="52">
        <v>0.28999999999999998</v>
      </c>
      <c r="K15" s="52">
        <v>271.64999999999998</v>
      </c>
      <c r="L15" s="54" t="s">
        <v>8</v>
      </c>
      <c r="M15" s="54" t="s">
        <v>8</v>
      </c>
      <c r="N15" s="52">
        <v>71.400000000000006</v>
      </c>
      <c r="O15" s="52">
        <v>0</v>
      </c>
      <c r="P15" s="52">
        <v>0.86</v>
      </c>
      <c r="Q15" s="52">
        <v>99.21</v>
      </c>
      <c r="R15" s="44"/>
      <c r="S15" s="44"/>
      <c r="T15" s="44"/>
      <c r="U15" s="44"/>
    </row>
    <row r="16" spans="1:21" s="12" customFormat="1" x14ac:dyDescent="0.25">
      <c r="A16" s="51" t="s">
        <v>743</v>
      </c>
      <c r="B16" s="52">
        <v>46</v>
      </c>
      <c r="C16" s="52">
        <v>161.99</v>
      </c>
      <c r="D16" s="52">
        <v>126.28</v>
      </c>
      <c r="E16" s="52">
        <v>8.98</v>
      </c>
      <c r="F16" s="52">
        <v>11.69</v>
      </c>
      <c r="G16" s="52">
        <v>132.41</v>
      </c>
      <c r="H16" s="52">
        <v>53.82</v>
      </c>
      <c r="I16" s="52">
        <v>0.21</v>
      </c>
      <c r="J16" s="52">
        <v>0.15</v>
      </c>
      <c r="K16" s="52">
        <v>349.25</v>
      </c>
      <c r="L16" s="54" t="s">
        <v>8</v>
      </c>
      <c r="M16" s="54" t="s">
        <v>8</v>
      </c>
      <c r="N16" s="52">
        <v>296.89999999999998</v>
      </c>
      <c r="O16" s="52">
        <v>0</v>
      </c>
      <c r="P16" s="52">
        <v>1.62</v>
      </c>
      <c r="Q16" s="52">
        <v>101.56</v>
      </c>
      <c r="R16" s="44"/>
      <c r="S16" s="44"/>
      <c r="T16" s="44"/>
      <c r="U16" s="44"/>
    </row>
    <row r="17" spans="1:21" s="12" customFormat="1" x14ac:dyDescent="0.25">
      <c r="A17" s="51" t="s">
        <v>744</v>
      </c>
      <c r="B17" s="52">
        <v>43.41</v>
      </c>
      <c r="C17" s="52">
        <v>166.32</v>
      </c>
      <c r="D17" s="52">
        <v>117.77</v>
      </c>
      <c r="E17" s="52">
        <v>42.03</v>
      </c>
      <c r="F17" s="52">
        <v>33.92</v>
      </c>
      <c r="G17" s="52">
        <v>168.35</v>
      </c>
      <c r="H17" s="52">
        <v>63.4</v>
      </c>
      <c r="I17" s="52">
        <v>0.33</v>
      </c>
      <c r="J17" s="52">
        <v>0.47</v>
      </c>
      <c r="K17" s="52">
        <v>354</v>
      </c>
      <c r="L17" s="54" t="s">
        <v>8</v>
      </c>
      <c r="M17" s="54" t="s">
        <v>8</v>
      </c>
      <c r="N17" s="52">
        <v>481.2</v>
      </c>
      <c r="O17" s="52">
        <v>0</v>
      </c>
      <c r="P17" s="52">
        <v>1.78</v>
      </c>
      <c r="Q17" s="52">
        <v>135.47</v>
      </c>
      <c r="R17" s="44"/>
      <c r="S17" s="44"/>
      <c r="T17" s="44"/>
      <c r="U17" s="44"/>
    </row>
    <row r="18" spans="1:21" s="12" customFormat="1" x14ac:dyDescent="0.25">
      <c r="A18" s="51" t="s">
        <v>745</v>
      </c>
      <c r="B18" s="52">
        <v>21.4</v>
      </c>
      <c r="C18" s="52">
        <v>138.97</v>
      </c>
      <c r="D18" s="52">
        <v>93.85</v>
      </c>
      <c r="E18" s="52">
        <v>66.760000000000005</v>
      </c>
      <c r="F18" s="52">
        <v>62.91</v>
      </c>
      <c r="G18" s="52">
        <v>193.91</v>
      </c>
      <c r="H18" s="52">
        <v>69.459999999999994</v>
      </c>
      <c r="I18" s="52">
        <v>0.37</v>
      </c>
      <c r="J18" s="52">
        <v>0.51</v>
      </c>
      <c r="K18" s="52">
        <v>352.61</v>
      </c>
      <c r="L18" s="54" t="s">
        <v>8</v>
      </c>
      <c r="M18" s="54" t="s">
        <v>8</v>
      </c>
      <c r="N18" s="52">
        <v>630.79999999999995</v>
      </c>
      <c r="O18" s="52">
        <v>0</v>
      </c>
      <c r="P18" s="52">
        <v>1.77</v>
      </c>
      <c r="Q18" s="52">
        <v>136.24</v>
      </c>
      <c r="R18" s="44"/>
      <c r="S18" s="44"/>
      <c r="T18" s="44"/>
      <c r="U18" s="44"/>
    </row>
    <row r="19" spans="1:21" s="12" customFormat="1" x14ac:dyDescent="0.25">
      <c r="A19" s="51" t="s">
        <v>746</v>
      </c>
      <c r="B19" s="52">
        <v>15.19</v>
      </c>
      <c r="C19" s="52">
        <v>117.79</v>
      </c>
      <c r="D19" s="52">
        <v>77.19</v>
      </c>
      <c r="E19" s="52">
        <v>64.010000000000005</v>
      </c>
      <c r="F19" s="52">
        <v>67.599999999999994</v>
      </c>
      <c r="G19" s="52">
        <v>193.91</v>
      </c>
      <c r="H19" s="52">
        <v>73.66</v>
      </c>
      <c r="I19" s="52">
        <v>0.26</v>
      </c>
      <c r="J19" s="52">
        <v>0.28000000000000003</v>
      </c>
      <c r="K19" s="52">
        <v>349.92</v>
      </c>
      <c r="L19" s="54" t="s">
        <v>8</v>
      </c>
      <c r="M19" s="54" t="s">
        <v>8</v>
      </c>
      <c r="N19" s="52">
        <v>657.9</v>
      </c>
      <c r="O19" s="52">
        <v>0</v>
      </c>
      <c r="P19" s="52">
        <v>1.26</v>
      </c>
      <c r="Q19" s="52">
        <v>91.88</v>
      </c>
      <c r="R19" s="44"/>
      <c r="S19" s="44"/>
      <c r="T19" s="44"/>
      <c r="U19" s="44"/>
    </row>
    <row r="20" spans="1:21" s="12" customFormat="1" x14ac:dyDescent="0.25">
      <c r="A20" s="51" t="s">
        <v>747</v>
      </c>
      <c r="B20" s="52">
        <v>12.32</v>
      </c>
      <c r="C20" s="52">
        <v>106.04</v>
      </c>
      <c r="D20" s="52">
        <v>68.400000000000006</v>
      </c>
      <c r="E20" s="52">
        <v>58.36</v>
      </c>
      <c r="F20" s="52">
        <v>82.91</v>
      </c>
      <c r="G20" s="52">
        <v>176.7</v>
      </c>
      <c r="H20" s="52">
        <v>73.66</v>
      </c>
      <c r="I20" s="52">
        <v>0.18</v>
      </c>
      <c r="J20" s="52">
        <v>0.63</v>
      </c>
      <c r="K20" s="52">
        <v>345.82</v>
      </c>
      <c r="L20" s="54" t="s">
        <v>8</v>
      </c>
      <c r="M20" s="54" t="s">
        <v>8</v>
      </c>
      <c r="N20" s="52">
        <v>674.7</v>
      </c>
      <c r="O20" s="52">
        <v>0</v>
      </c>
      <c r="P20" s="52">
        <v>1.1200000000000001</v>
      </c>
      <c r="Q20" s="52">
        <v>84.26</v>
      </c>
      <c r="R20" s="44"/>
      <c r="S20" s="44"/>
      <c r="T20" s="44"/>
      <c r="U20" s="44"/>
    </row>
    <row r="21" spans="1:21" s="12" customFormat="1" x14ac:dyDescent="0.25">
      <c r="A21" s="51" t="s">
        <v>748</v>
      </c>
      <c r="B21" s="52">
        <v>12.13</v>
      </c>
      <c r="C21" s="52">
        <v>88.64</v>
      </c>
      <c r="D21" s="52">
        <v>56.93</v>
      </c>
      <c r="E21" s="52">
        <v>88.55</v>
      </c>
      <c r="F21" s="52">
        <v>91.41</v>
      </c>
      <c r="G21" s="52">
        <v>167.76</v>
      </c>
      <c r="H21" s="52">
        <v>71.430000000000007</v>
      </c>
      <c r="I21" s="52">
        <v>0.17</v>
      </c>
      <c r="J21" s="52">
        <v>1.04</v>
      </c>
      <c r="K21" s="52">
        <v>340.26</v>
      </c>
      <c r="L21" s="54" t="s">
        <v>8</v>
      </c>
      <c r="M21" s="54" t="s">
        <v>8</v>
      </c>
      <c r="N21" s="52">
        <v>640.5</v>
      </c>
      <c r="O21" s="52">
        <v>0</v>
      </c>
      <c r="P21" s="52">
        <v>1.02</v>
      </c>
      <c r="Q21" s="52">
        <v>73.62</v>
      </c>
      <c r="R21" s="44"/>
      <c r="S21" s="44"/>
      <c r="T21" s="44"/>
      <c r="U21" s="44"/>
    </row>
    <row r="22" spans="1:21" s="12" customFormat="1" x14ac:dyDescent="0.25">
      <c r="A22" s="51" t="s">
        <v>749</v>
      </c>
      <c r="B22" s="52">
        <v>15.63</v>
      </c>
      <c r="C22" s="52">
        <v>110.28</v>
      </c>
      <c r="D22" s="52">
        <v>73.400000000000006</v>
      </c>
      <c r="E22" s="52">
        <v>100.04</v>
      </c>
      <c r="F22" s="52">
        <v>106.43</v>
      </c>
      <c r="G22" s="52">
        <v>154.24</v>
      </c>
      <c r="H22" s="52">
        <v>67.59</v>
      </c>
      <c r="I22" s="52">
        <v>0.15</v>
      </c>
      <c r="J22" s="52">
        <v>1.22</v>
      </c>
      <c r="K22" s="52">
        <v>120.13</v>
      </c>
      <c r="L22" s="54" t="s">
        <v>8</v>
      </c>
      <c r="M22" s="54" t="s">
        <v>8</v>
      </c>
      <c r="N22" s="52">
        <v>556.79999999999995</v>
      </c>
      <c r="O22" s="52">
        <v>0</v>
      </c>
      <c r="P22" s="52">
        <v>0.97</v>
      </c>
      <c r="Q22" s="52">
        <v>71.760000000000005</v>
      </c>
      <c r="R22" s="44"/>
      <c r="S22" s="44"/>
      <c r="T22" s="44"/>
      <c r="U22" s="44"/>
    </row>
    <row r="23" spans="1:21" s="12" customFormat="1" x14ac:dyDescent="0.25">
      <c r="A23" s="51" t="s">
        <v>750</v>
      </c>
      <c r="B23" s="52">
        <v>20.079999999999998</v>
      </c>
      <c r="C23" s="52">
        <v>103.63</v>
      </c>
      <c r="D23" s="52">
        <v>73.290000000000006</v>
      </c>
      <c r="E23" s="52">
        <v>82.97</v>
      </c>
      <c r="F23" s="52">
        <v>89.68</v>
      </c>
      <c r="G23" s="52">
        <v>145.58000000000001</v>
      </c>
      <c r="H23" s="52">
        <v>66.66</v>
      </c>
      <c r="I23" s="52">
        <v>0.14000000000000001</v>
      </c>
      <c r="J23" s="52">
        <v>1.46</v>
      </c>
      <c r="K23" s="52">
        <v>347.21</v>
      </c>
      <c r="L23" s="54" t="s">
        <v>8</v>
      </c>
      <c r="M23" s="54" t="s">
        <v>8</v>
      </c>
      <c r="N23" s="52">
        <v>482.1</v>
      </c>
      <c r="O23" s="52">
        <v>0</v>
      </c>
      <c r="P23" s="52">
        <v>0.93</v>
      </c>
      <c r="Q23" s="52">
        <v>78.180000000000007</v>
      </c>
      <c r="R23" s="44"/>
      <c r="S23" s="44"/>
      <c r="T23" s="44"/>
      <c r="U23" s="44"/>
    </row>
    <row r="24" spans="1:21" s="12" customFormat="1" x14ac:dyDescent="0.25">
      <c r="A24" s="51" t="s">
        <v>751</v>
      </c>
      <c r="B24" s="52">
        <v>15.6</v>
      </c>
      <c r="C24" s="52">
        <v>100.26</v>
      </c>
      <c r="D24" s="52">
        <v>67.84</v>
      </c>
      <c r="E24" s="52">
        <v>70.55</v>
      </c>
      <c r="F24" s="52">
        <v>92.75</v>
      </c>
      <c r="G24" s="52">
        <v>142.33000000000001</v>
      </c>
      <c r="H24" s="52">
        <v>66.66</v>
      </c>
      <c r="I24" s="52">
        <v>0.14000000000000001</v>
      </c>
      <c r="J24" s="52">
        <v>1.47</v>
      </c>
      <c r="K24" s="52">
        <v>351.88</v>
      </c>
      <c r="L24" s="54" t="s">
        <v>8</v>
      </c>
      <c r="M24" s="54" t="s">
        <v>8</v>
      </c>
      <c r="N24" s="52">
        <v>161.69999999999999</v>
      </c>
      <c r="O24" s="52">
        <v>0</v>
      </c>
      <c r="P24" s="52">
        <v>0.88</v>
      </c>
      <c r="Q24" s="52">
        <v>87.35</v>
      </c>
      <c r="R24" s="44"/>
      <c r="S24" s="44"/>
      <c r="T24" s="44"/>
      <c r="U24" s="44"/>
    </row>
    <row r="25" spans="1:21" s="12" customFormat="1" x14ac:dyDescent="0.25">
      <c r="A25" s="51" t="s">
        <v>752</v>
      </c>
      <c r="B25" s="52">
        <v>11.65</v>
      </c>
      <c r="C25" s="52">
        <v>109.69</v>
      </c>
      <c r="D25" s="52">
        <v>69.88</v>
      </c>
      <c r="E25" s="52">
        <v>49.21</v>
      </c>
      <c r="F25" s="52">
        <v>83.32</v>
      </c>
      <c r="G25" s="52">
        <v>112.98</v>
      </c>
      <c r="H25" s="52">
        <v>51.27</v>
      </c>
      <c r="I25" s="52">
        <v>0.18</v>
      </c>
      <c r="J25" s="52">
        <v>0.76</v>
      </c>
      <c r="K25" s="52">
        <v>64.319999999999993</v>
      </c>
      <c r="L25" s="54" t="s">
        <v>8</v>
      </c>
      <c r="M25" s="54" t="s">
        <v>8</v>
      </c>
      <c r="N25" s="52">
        <v>63.5</v>
      </c>
      <c r="O25" s="52">
        <v>0</v>
      </c>
      <c r="P25" s="52">
        <v>1.17</v>
      </c>
      <c r="Q25" s="52">
        <v>69.849999999999994</v>
      </c>
      <c r="R25" s="44"/>
      <c r="S25" s="44"/>
      <c r="T25" s="44"/>
      <c r="U25" s="44"/>
    </row>
    <row r="26" spans="1:21" s="12" customFormat="1" x14ac:dyDescent="0.25">
      <c r="A26" s="51" t="s">
        <v>753</v>
      </c>
      <c r="B26" s="52">
        <v>24.2</v>
      </c>
      <c r="C26" s="52">
        <v>236.96</v>
      </c>
      <c r="D26" s="52">
        <v>149.49</v>
      </c>
      <c r="E26" s="52">
        <v>31.84</v>
      </c>
      <c r="F26" s="52">
        <v>51.82</v>
      </c>
      <c r="G26" s="52">
        <v>109.15</v>
      </c>
      <c r="H26" s="52">
        <v>51.27</v>
      </c>
      <c r="I26" s="52">
        <v>0.42</v>
      </c>
      <c r="J26" s="52">
        <v>0.39</v>
      </c>
      <c r="K26" s="52">
        <v>71.959999999999994</v>
      </c>
      <c r="L26" s="54" t="s">
        <v>8</v>
      </c>
      <c r="M26" s="54" t="s">
        <v>8</v>
      </c>
      <c r="N26" s="52">
        <v>17.600000000000001</v>
      </c>
      <c r="O26" s="52">
        <v>0</v>
      </c>
      <c r="P26" s="52">
        <v>1.96</v>
      </c>
      <c r="Q26" s="52">
        <v>115.86</v>
      </c>
      <c r="R26" s="44"/>
      <c r="S26" s="44"/>
      <c r="T26" s="44"/>
      <c r="U26" s="44"/>
    </row>
    <row r="27" spans="1:21" s="12" customFormat="1" x14ac:dyDescent="0.25">
      <c r="A27" s="51" t="s">
        <v>754</v>
      </c>
      <c r="B27" s="52">
        <v>26.8</v>
      </c>
      <c r="C27" s="52">
        <v>227.52</v>
      </c>
      <c r="D27" s="52">
        <v>147.05000000000001</v>
      </c>
      <c r="E27" s="52">
        <v>29.8</v>
      </c>
      <c r="F27" s="52">
        <v>41.32</v>
      </c>
      <c r="G27" s="52">
        <v>137.79</v>
      </c>
      <c r="H27" s="52">
        <v>60.37</v>
      </c>
      <c r="I27" s="52">
        <v>0.89</v>
      </c>
      <c r="J27" s="52">
        <v>0.36</v>
      </c>
      <c r="K27" s="52">
        <v>106.86</v>
      </c>
      <c r="L27" s="54" t="s">
        <v>8</v>
      </c>
      <c r="M27" s="54" t="s">
        <v>8</v>
      </c>
      <c r="N27" s="52">
        <v>5</v>
      </c>
      <c r="O27" s="52">
        <v>0</v>
      </c>
      <c r="P27" s="52">
        <v>2.23</v>
      </c>
      <c r="Q27" s="52">
        <v>112.82</v>
      </c>
      <c r="R27" s="44"/>
      <c r="S27" s="44"/>
      <c r="T27" s="44"/>
      <c r="U27" s="44"/>
    </row>
    <row r="28" spans="1:21" s="12" customFormat="1" x14ac:dyDescent="0.25">
      <c r="A28" s="51" t="s">
        <v>755</v>
      </c>
      <c r="B28" s="52">
        <v>14.94</v>
      </c>
      <c r="C28" s="52">
        <v>192.9</v>
      </c>
      <c r="D28" s="52">
        <v>118.43</v>
      </c>
      <c r="E28" s="52">
        <v>40.049999999999997</v>
      </c>
      <c r="F28" s="52">
        <v>57.41</v>
      </c>
      <c r="G28" s="52">
        <v>140.41</v>
      </c>
      <c r="H28" s="52">
        <v>60.37</v>
      </c>
      <c r="I28" s="52">
        <v>0.73</v>
      </c>
      <c r="J28" s="52">
        <v>0.57999999999999996</v>
      </c>
      <c r="K28" s="52">
        <v>118.38</v>
      </c>
      <c r="L28" s="54" t="s">
        <v>8</v>
      </c>
      <c r="M28" s="54" t="s">
        <v>8</v>
      </c>
      <c r="N28" s="52">
        <v>4.7</v>
      </c>
      <c r="O28" s="52">
        <v>0</v>
      </c>
      <c r="P28" s="52">
        <v>2.0699999999999998</v>
      </c>
      <c r="Q28" s="52">
        <v>103.77</v>
      </c>
      <c r="R28" s="44"/>
      <c r="S28" s="44"/>
      <c r="T28" s="44"/>
      <c r="U28" s="44"/>
    </row>
    <row r="29" spans="1:21" s="12" customFormat="1" x14ac:dyDescent="0.25">
      <c r="A29" s="51" t="s">
        <v>756</v>
      </c>
      <c r="B29" s="52">
        <v>3.16</v>
      </c>
      <c r="C29" s="52">
        <v>133.18</v>
      </c>
      <c r="D29" s="52">
        <v>74.81</v>
      </c>
      <c r="E29" s="52">
        <v>49.46</v>
      </c>
      <c r="F29" s="52">
        <v>53.69</v>
      </c>
      <c r="G29" s="52">
        <v>147.62</v>
      </c>
      <c r="H29" s="52">
        <v>58.27</v>
      </c>
      <c r="I29" s="52">
        <v>0.48</v>
      </c>
      <c r="J29" s="52">
        <v>0.33</v>
      </c>
      <c r="K29" s="52">
        <v>106.03</v>
      </c>
      <c r="L29" s="54" t="s">
        <v>8</v>
      </c>
      <c r="M29" s="54" t="s">
        <v>8</v>
      </c>
      <c r="N29" s="52">
        <v>4.5999999999999996</v>
      </c>
      <c r="O29" s="52">
        <v>0</v>
      </c>
      <c r="P29" s="52">
        <v>1.3</v>
      </c>
      <c r="Q29" s="52">
        <v>82.46</v>
      </c>
      <c r="R29" s="44"/>
      <c r="S29" s="44"/>
      <c r="T29" s="44"/>
      <c r="U29" s="44"/>
    </row>
    <row r="30" spans="1:21" s="12" customFormat="1" x14ac:dyDescent="0.25">
      <c r="A30" s="51" t="s">
        <v>757</v>
      </c>
      <c r="B30" s="52">
        <v>23.59</v>
      </c>
      <c r="C30" s="52">
        <v>200.77</v>
      </c>
      <c r="D30" s="52">
        <v>129.72</v>
      </c>
      <c r="E30" s="52">
        <v>72.290000000000006</v>
      </c>
      <c r="F30" s="52">
        <v>54.62</v>
      </c>
      <c r="G30" s="52">
        <v>150.30000000000001</v>
      </c>
      <c r="H30" s="52">
        <v>59.58</v>
      </c>
      <c r="I30" s="52">
        <v>0.62</v>
      </c>
      <c r="J30" s="52">
        <v>1.1000000000000001</v>
      </c>
      <c r="K30" s="52">
        <v>99.87</v>
      </c>
      <c r="L30" s="54" t="s">
        <v>8</v>
      </c>
      <c r="M30" s="54" t="s">
        <v>8</v>
      </c>
      <c r="N30" s="52">
        <v>4.5999999999999996</v>
      </c>
      <c r="O30" s="52">
        <v>0</v>
      </c>
      <c r="P30" s="52">
        <v>1.84</v>
      </c>
      <c r="Q30" s="52">
        <v>107.11</v>
      </c>
      <c r="R30" s="44"/>
      <c r="S30" s="44"/>
      <c r="T30" s="44"/>
      <c r="U30" s="44"/>
    </row>
    <row r="31" spans="1:21" s="12" customFormat="1" x14ac:dyDescent="0.25">
      <c r="A31" s="51" t="s">
        <v>758</v>
      </c>
      <c r="B31" s="52">
        <v>6.14</v>
      </c>
      <c r="C31" s="52">
        <v>144.86000000000001</v>
      </c>
      <c r="D31" s="52">
        <v>82.87</v>
      </c>
      <c r="E31" s="52">
        <v>48.08</v>
      </c>
      <c r="F31" s="52">
        <v>65.09</v>
      </c>
      <c r="G31" s="52">
        <v>152.99</v>
      </c>
      <c r="H31" s="52">
        <v>70.7</v>
      </c>
      <c r="I31" s="52">
        <v>0.55000000000000004</v>
      </c>
      <c r="J31" s="52">
        <v>1.44</v>
      </c>
      <c r="K31" s="52">
        <v>297.75</v>
      </c>
      <c r="L31" s="54" t="s">
        <v>8</v>
      </c>
      <c r="M31" s="54" t="s">
        <v>8</v>
      </c>
      <c r="N31" s="52">
        <v>5.4</v>
      </c>
      <c r="O31" s="52">
        <v>0</v>
      </c>
      <c r="P31" s="52">
        <v>0.97</v>
      </c>
      <c r="Q31" s="52">
        <v>85.33</v>
      </c>
      <c r="R31" s="44"/>
      <c r="S31" s="44"/>
      <c r="T31" s="44"/>
      <c r="U31" s="44"/>
    </row>
    <row r="32" spans="1:21" s="12" customFormat="1" x14ac:dyDescent="0.25">
      <c r="A32" s="51" t="s">
        <v>759</v>
      </c>
      <c r="B32" s="52">
        <v>24.77</v>
      </c>
      <c r="C32" s="52">
        <v>172.43</v>
      </c>
      <c r="D32" s="52">
        <v>115.02</v>
      </c>
      <c r="E32" s="52">
        <v>40.56</v>
      </c>
      <c r="F32" s="52">
        <v>50.64</v>
      </c>
      <c r="G32" s="52">
        <v>154.44999999999999</v>
      </c>
      <c r="H32" s="52">
        <v>70.7</v>
      </c>
      <c r="I32" s="52">
        <v>0.24</v>
      </c>
      <c r="J32" s="52">
        <v>0.17</v>
      </c>
      <c r="K32" s="52">
        <v>343.71</v>
      </c>
      <c r="L32" s="54" t="s">
        <v>8</v>
      </c>
      <c r="M32" s="54" t="s">
        <v>8</v>
      </c>
      <c r="N32" s="52">
        <v>4.9000000000000004</v>
      </c>
      <c r="O32" s="52">
        <v>0</v>
      </c>
      <c r="P32" s="52">
        <v>1.07</v>
      </c>
      <c r="Q32" s="52">
        <v>115.34</v>
      </c>
      <c r="R32" s="44"/>
      <c r="S32" s="44"/>
      <c r="T32" s="44"/>
      <c r="U32" s="44"/>
    </row>
    <row r="33" spans="1:21" s="22" customFormat="1" x14ac:dyDescent="0.25">
      <c r="A33" s="27"/>
      <c r="B33" s="21"/>
      <c r="C33" s="21"/>
      <c r="D33" s="21"/>
      <c r="E33" s="21"/>
      <c r="F33" s="21"/>
      <c r="G33" s="27"/>
      <c r="H33" s="27"/>
      <c r="I33" s="27"/>
      <c r="J33" s="21"/>
      <c r="K33" s="21"/>
      <c r="L33" s="27"/>
      <c r="M33" s="27"/>
      <c r="N33" s="27"/>
      <c r="O33" s="27"/>
      <c r="P33" s="27"/>
      <c r="Q33" s="21"/>
      <c r="R33" s="21"/>
      <c r="S33" s="21"/>
      <c r="T33" s="21"/>
      <c r="U33" s="21"/>
    </row>
    <row r="34" spans="1:21" s="22" customFormat="1" x14ac:dyDescent="0.25">
      <c r="A34" s="28" t="s">
        <v>30</v>
      </c>
      <c r="B34" s="29">
        <f t="shared" ref="B34:Q34" si="0">MIN(B9:B32)</f>
        <v>0.91</v>
      </c>
      <c r="C34" s="29">
        <f t="shared" si="0"/>
        <v>74.260000000000005</v>
      </c>
      <c r="D34" s="29">
        <f t="shared" si="0"/>
        <v>41.71</v>
      </c>
      <c r="E34" s="29">
        <f t="shared" si="0"/>
        <v>5.43</v>
      </c>
      <c r="F34" s="29">
        <f t="shared" si="0"/>
        <v>3.31</v>
      </c>
      <c r="G34" s="29">
        <f t="shared" si="0"/>
        <v>108.88</v>
      </c>
      <c r="H34" s="29">
        <f t="shared" si="0"/>
        <v>51.27</v>
      </c>
      <c r="I34" s="29">
        <f t="shared" si="0"/>
        <v>0.14000000000000001</v>
      </c>
      <c r="J34" s="29">
        <f t="shared" si="0"/>
        <v>0.08</v>
      </c>
      <c r="K34" s="29">
        <f t="shared" si="0"/>
        <v>64.319999999999993</v>
      </c>
      <c r="L34" s="29">
        <f t="shared" si="0"/>
        <v>0</v>
      </c>
      <c r="M34" s="29">
        <f t="shared" si="0"/>
        <v>0</v>
      </c>
      <c r="N34" s="29">
        <f t="shared" si="0"/>
        <v>4.5</v>
      </c>
      <c r="O34" s="29">
        <f t="shared" si="0"/>
        <v>0</v>
      </c>
      <c r="P34" s="29">
        <f t="shared" si="0"/>
        <v>0.82</v>
      </c>
      <c r="Q34" s="29">
        <f t="shared" si="0"/>
        <v>63.52</v>
      </c>
      <c r="R34" s="29"/>
      <c r="S34" s="29"/>
      <c r="T34" s="29"/>
      <c r="U34" s="29"/>
    </row>
    <row r="35" spans="1:21" s="22" customFormat="1" x14ac:dyDescent="0.25">
      <c r="A35" s="28" t="s">
        <v>31</v>
      </c>
      <c r="B35" s="30">
        <f t="shared" ref="B35:Q35" si="1">MAX(B9:B32)</f>
        <v>55.17</v>
      </c>
      <c r="C35" s="30">
        <f t="shared" si="1"/>
        <v>236.96</v>
      </c>
      <c r="D35" s="30">
        <f t="shared" si="1"/>
        <v>149.49</v>
      </c>
      <c r="E35" s="30">
        <f t="shared" si="1"/>
        <v>100.04</v>
      </c>
      <c r="F35" s="30">
        <f t="shared" si="1"/>
        <v>106.43</v>
      </c>
      <c r="G35" s="30">
        <f t="shared" si="1"/>
        <v>223.24</v>
      </c>
      <c r="H35" s="30">
        <f t="shared" si="1"/>
        <v>73.66</v>
      </c>
      <c r="I35" s="30">
        <f t="shared" si="1"/>
        <v>0.89</v>
      </c>
      <c r="J35" s="30">
        <f t="shared" si="1"/>
        <v>1.47</v>
      </c>
      <c r="K35" s="30">
        <f t="shared" si="1"/>
        <v>354</v>
      </c>
      <c r="L35" s="30">
        <f t="shared" si="1"/>
        <v>0</v>
      </c>
      <c r="M35" s="30">
        <f t="shared" si="1"/>
        <v>0</v>
      </c>
      <c r="N35" s="30">
        <f t="shared" si="1"/>
        <v>674.7</v>
      </c>
      <c r="O35" s="30">
        <f t="shared" si="1"/>
        <v>0</v>
      </c>
      <c r="P35" s="30">
        <f t="shared" si="1"/>
        <v>2.23</v>
      </c>
      <c r="Q35" s="30">
        <f t="shared" si="1"/>
        <v>136.24</v>
      </c>
      <c r="R35" s="30"/>
      <c r="S35" s="30"/>
      <c r="T35" s="30"/>
      <c r="U35" s="30"/>
    </row>
    <row r="36" spans="1:21" s="22" customFormat="1" x14ac:dyDescent="0.25">
      <c r="A36" s="28" t="s">
        <v>32</v>
      </c>
      <c r="B36" s="29">
        <f t="shared" ref="B36:Q36" si="2">AVERAGE(B9:B32)</f>
        <v>20.766249999999996</v>
      </c>
      <c r="C36" s="29">
        <f t="shared" si="2"/>
        <v>133.38249999999999</v>
      </c>
      <c r="D36" s="29">
        <f t="shared" si="2"/>
        <v>89.496249999999989</v>
      </c>
      <c r="E36" s="29">
        <f t="shared" si="2"/>
        <v>41.603749999999998</v>
      </c>
      <c r="F36" s="29">
        <f t="shared" si="2"/>
        <v>49.767083333333325</v>
      </c>
      <c r="G36" s="29">
        <f t="shared" si="2"/>
        <v>148.3133333333333</v>
      </c>
      <c r="H36" s="29">
        <f t="shared" si="2"/>
        <v>63.992499999999986</v>
      </c>
      <c r="I36" s="29">
        <f t="shared" si="2"/>
        <v>0.34749999999999998</v>
      </c>
      <c r="J36" s="29">
        <f t="shared" si="2"/>
        <v>0.5691666666666666</v>
      </c>
      <c r="K36" s="29">
        <f t="shared" si="2"/>
        <v>258.18083333333334</v>
      </c>
      <c r="L36" s="29" t="e">
        <f t="shared" si="2"/>
        <v>#DIV/0!</v>
      </c>
      <c r="M36" s="29" t="e">
        <f t="shared" si="2"/>
        <v>#DIV/0!</v>
      </c>
      <c r="N36" s="29">
        <f t="shared" si="2"/>
        <v>199.70416666666668</v>
      </c>
      <c r="O36" s="29">
        <f t="shared" si="2"/>
        <v>0</v>
      </c>
      <c r="P36" s="29">
        <f t="shared" si="2"/>
        <v>1.2766666666666666</v>
      </c>
      <c r="Q36" s="29">
        <f t="shared" si="2"/>
        <v>95.581250000000011</v>
      </c>
      <c r="R36" s="29"/>
      <c r="S36" s="29"/>
      <c r="T36" s="29"/>
      <c r="U36" s="29"/>
    </row>
    <row r="37" spans="1:21" s="22" customFormat="1" x14ac:dyDescent="0.25">
      <c r="A37" s="28" t="s">
        <v>38</v>
      </c>
      <c r="B37" s="29">
        <f>STDEV(B9:B32)</f>
        <v>14.198072990037584</v>
      </c>
      <c r="C37" s="29">
        <f t="shared" ref="C37:Q37" si="3">STDEV(C9:C32)</f>
        <v>45.558559187241585</v>
      </c>
      <c r="D37" s="29">
        <f t="shared" si="3"/>
        <v>30.686340653740267</v>
      </c>
      <c r="E37" s="29">
        <f t="shared" si="3"/>
        <v>29.489692939634232</v>
      </c>
      <c r="F37" s="29">
        <f t="shared" si="3"/>
        <v>31.666471705158823</v>
      </c>
      <c r="G37" s="29">
        <f t="shared" si="3"/>
        <v>30.448350803724534</v>
      </c>
      <c r="H37" s="29">
        <f t="shared" si="3"/>
        <v>6.7397079345830857</v>
      </c>
      <c r="I37" s="29">
        <f t="shared" si="3"/>
        <v>0.19330646989779685</v>
      </c>
      <c r="J37" s="29">
        <f t="shared" si="3"/>
        <v>0.46439223176915467</v>
      </c>
      <c r="K37" s="29">
        <f t="shared" si="3"/>
        <v>109.09770012785981</v>
      </c>
      <c r="L37" s="29" t="e">
        <f t="shared" si="3"/>
        <v>#DIV/0!</v>
      </c>
      <c r="M37" s="29" t="e">
        <f t="shared" si="3"/>
        <v>#DIV/0!</v>
      </c>
      <c r="N37" s="29">
        <f t="shared" si="3"/>
        <v>266.78894195056409</v>
      </c>
      <c r="O37" s="29">
        <f t="shared" si="3"/>
        <v>0</v>
      </c>
      <c r="P37" s="29">
        <f t="shared" si="3"/>
        <v>0.43479797074310189</v>
      </c>
      <c r="Q37" s="29">
        <f t="shared" si="3"/>
        <v>21.08819787639311</v>
      </c>
      <c r="R37" s="29"/>
      <c r="S37" s="29"/>
      <c r="T37" s="29"/>
      <c r="U37" s="29"/>
    </row>
    <row r="38" spans="1:21" s="22" customFormat="1" x14ac:dyDescent="0.25">
      <c r="A38" s="32" t="s">
        <v>33</v>
      </c>
      <c r="B38" s="33">
        <f t="shared" ref="B38:Q38" si="4">COUNT(B9:B32)</f>
        <v>24</v>
      </c>
      <c r="C38" s="33">
        <f t="shared" si="4"/>
        <v>24</v>
      </c>
      <c r="D38" s="33">
        <f t="shared" si="4"/>
        <v>24</v>
      </c>
      <c r="E38" s="33">
        <f t="shared" si="4"/>
        <v>24</v>
      </c>
      <c r="F38" s="33">
        <f t="shared" si="4"/>
        <v>24</v>
      </c>
      <c r="G38" s="33">
        <f t="shared" si="4"/>
        <v>24</v>
      </c>
      <c r="H38" s="33">
        <f t="shared" si="4"/>
        <v>24</v>
      </c>
      <c r="I38" s="33">
        <f t="shared" si="4"/>
        <v>24</v>
      </c>
      <c r="J38" s="33">
        <f t="shared" si="4"/>
        <v>24</v>
      </c>
      <c r="K38" s="33">
        <f t="shared" si="4"/>
        <v>24</v>
      </c>
      <c r="L38" s="33">
        <f>COUNT(L9:L32)+24</f>
        <v>24</v>
      </c>
      <c r="M38" s="33">
        <f>COUNT(M9:M32)+24</f>
        <v>24</v>
      </c>
      <c r="N38" s="33">
        <f t="shared" si="4"/>
        <v>24</v>
      </c>
      <c r="O38" s="33">
        <f t="shared" si="4"/>
        <v>24</v>
      </c>
      <c r="P38" s="33">
        <f t="shared" si="4"/>
        <v>24</v>
      </c>
      <c r="Q38" s="33">
        <f t="shared" si="4"/>
        <v>24</v>
      </c>
      <c r="R38" s="33"/>
      <c r="S38" s="33"/>
      <c r="T38" s="33"/>
      <c r="U38" s="33"/>
    </row>
    <row r="39" spans="1:21" s="22" customFormat="1" x14ac:dyDescent="0.25">
      <c r="A39" s="28" t="s">
        <v>34</v>
      </c>
      <c r="B39" s="30" t="str">
        <f>IF(B38&gt;=22,"&gt;90%",IF(B38&lt;=22,"&lt;90%"))</f>
        <v>&gt;90%</v>
      </c>
      <c r="C39" s="30" t="str">
        <f t="shared" ref="C39:P39" si="5">IF(C38&gt;=22,"&gt;90%",IF(C38&lt;=22,"&lt;90%"))</f>
        <v>&gt;90%</v>
      </c>
      <c r="D39" s="30" t="str">
        <f t="shared" si="5"/>
        <v>&gt;90%</v>
      </c>
      <c r="E39" s="30" t="str">
        <f t="shared" si="5"/>
        <v>&gt;90%</v>
      </c>
      <c r="F39" s="30" t="str">
        <f t="shared" si="5"/>
        <v>&gt;90%</v>
      </c>
      <c r="G39" s="30" t="str">
        <f t="shared" si="5"/>
        <v>&gt;90%</v>
      </c>
      <c r="H39" s="30" t="str">
        <f t="shared" si="5"/>
        <v>&gt;90%</v>
      </c>
      <c r="I39" s="30" t="str">
        <f t="shared" si="5"/>
        <v>&gt;90%</v>
      </c>
      <c r="J39" s="30" t="str">
        <f t="shared" si="5"/>
        <v>&gt;90%</v>
      </c>
      <c r="K39" s="30" t="str">
        <f t="shared" si="5"/>
        <v>&gt;90%</v>
      </c>
      <c r="L39" s="30" t="str">
        <f t="shared" si="5"/>
        <v>&gt;90%</v>
      </c>
      <c r="M39" s="30" t="str">
        <f t="shared" si="5"/>
        <v>&gt;90%</v>
      </c>
      <c r="N39" s="30" t="str">
        <f t="shared" si="5"/>
        <v>&gt;90%</v>
      </c>
      <c r="O39" s="30" t="str">
        <f t="shared" si="5"/>
        <v>&gt;90%</v>
      </c>
      <c r="P39" s="30" t="str">
        <f t="shared" si="5"/>
        <v>&gt;90%</v>
      </c>
      <c r="Q39" s="30" t="str">
        <f>IF(Q38&gt;=22,"&gt;90%",IF(Q38&lt;=22,"&lt;90%"))</f>
        <v>&gt;90%</v>
      </c>
      <c r="R39" s="30"/>
      <c r="S39" s="30"/>
      <c r="T39" s="30"/>
      <c r="U39" s="30"/>
    </row>
    <row r="40" spans="1:21" s="22" customFormat="1" x14ac:dyDescent="0.25">
      <c r="A40" s="28" t="s">
        <v>1</v>
      </c>
      <c r="B40" s="30" t="str">
        <f>IF(B38&gt;=22,"OK",IF(B38&lt;=22,"LESS"))</f>
        <v>OK</v>
      </c>
      <c r="C40" s="30" t="str">
        <f t="shared" ref="C40:Q40" si="6">IF(C38&gt;=22,"OK",IF(C38&lt;=22,"LESS"))</f>
        <v>OK</v>
      </c>
      <c r="D40" s="30" t="str">
        <f t="shared" si="6"/>
        <v>OK</v>
      </c>
      <c r="E40" s="30" t="str">
        <f t="shared" si="6"/>
        <v>OK</v>
      </c>
      <c r="F40" s="30" t="str">
        <f t="shared" si="6"/>
        <v>OK</v>
      </c>
      <c r="G40" s="30" t="str">
        <f t="shared" si="6"/>
        <v>OK</v>
      </c>
      <c r="H40" s="30" t="str">
        <f t="shared" si="6"/>
        <v>OK</v>
      </c>
      <c r="I40" s="30" t="str">
        <f t="shared" si="6"/>
        <v>OK</v>
      </c>
      <c r="J40" s="30" t="str">
        <f t="shared" si="6"/>
        <v>OK</v>
      </c>
      <c r="K40" s="30" t="str">
        <f t="shared" si="6"/>
        <v>OK</v>
      </c>
      <c r="L40" s="30" t="str">
        <f t="shared" si="6"/>
        <v>OK</v>
      </c>
      <c r="M40" s="30" t="str">
        <f t="shared" si="6"/>
        <v>OK</v>
      </c>
      <c r="N40" s="30" t="str">
        <f t="shared" si="6"/>
        <v>OK</v>
      </c>
      <c r="O40" s="30" t="str">
        <f t="shared" si="6"/>
        <v>OK</v>
      </c>
      <c r="P40" s="30" t="str">
        <f t="shared" si="6"/>
        <v>OK</v>
      </c>
      <c r="Q40" s="30" t="str">
        <f t="shared" si="6"/>
        <v>OK</v>
      </c>
      <c r="R40" s="30"/>
      <c r="S40" s="30"/>
      <c r="T40" s="30"/>
      <c r="U40" s="30"/>
    </row>
    <row r="41" spans="1:21" s="22" customFormat="1" x14ac:dyDescent="0.25">
      <c r="A41" s="14"/>
      <c r="L41" s="14"/>
      <c r="N41" s="17"/>
      <c r="O41" s="17"/>
      <c r="P41" s="17"/>
      <c r="Q41" s="17"/>
      <c r="R41" s="17"/>
      <c r="S41" s="17"/>
      <c r="T41" s="17"/>
      <c r="U41" s="17"/>
    </row>
    <row r="42" spans="1:21" s="22" customFormat="1" x14ac:dyDescent="0.25">
      <c r="A42" s="14"/>
    </row>
    <row r="43" spans="1:21" s="22" customFormat="1" x14ac:dyDescent="0.25">
      <c r="A43" s="15" t="s">
        <v>35</v>
      </c>
      <c r="B43" s="41" t="s">
        <v>42</v>
      </c>
      <c r="C43" s="43"/>
    </row>
    <row r="44" spans="1:21" s="22" customFormat="1" x14ac:dyDescent="0.25">
      <c r="A44" s="14"/>
      <c r="D44" s="2"/>
      <c r="E44" s="2"/>
      <c r="F44" s="2"/>
      <c r="G44" s="2"/>
      <c r="H44" s="2"/>
      <c r="I44" s="2"/>
    </row>
    <row r="45" spans="1:21" s="22" customFormat="1" ht="15.75" x14ac:dyDescent="0.25">
      <c r="A45" s="18" t="s">
        <v>36</v>
      </c>
      <c r="B45" s="42" t="s">
        <v>760</v>
      </c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</row>
    <row r="46" spans="1:21" s="22" customFormat="1" x14ac:dyDescent="0.25"/>
    <row r="47" spans="1:21" s="22" customFormat="1" x14ac:dyDescent="0.25"/>
    <row r="48" spans="1:21" s="22" customFormat="1" x14ac:dyDescent="0.25"/>
    <row r="49" s="22" customFormat="1" x14ac:dyDescent="0.25"/>
    <row r="50" s="22" customFormat="1" x14ac:dyDescent="0.25"/>
    <row r="51" s="22" customFormat="1" x14ac:dyDescent="0.25"/>
    <row r="52" s="22" customFormat="1" x14ac:dyDescent="0.25"/>
    <row r="53" s="22" customFormat="1" x14ac:dyDescent="0.25"/>
    <row r="54" s="22" customFormat="1" x14ac:dyDescent="0.25"/>
    <row r="55" s="22" customFormat="1" x14ac:dyDescent="0.25"/>
    <row r="56" s="22" customFormat="1" x14ac:dyDescent="0.25"/>
    <row r="57" s="22" customFormat="1" x14ac:dyDescent="0.25"/>
    <row r="58" s="22" customFormat="1" x14ac:dyDescent="0.25"/>
    <row r="59" s="22" customFormat="1" x14ac:dyDescent="0.25"/>
    <row r="60" s="22" customFormat="1" x14ac:dyDescent="0.25"/>
    <row r="61" s="22" customFormat="1" x14ac:dyDescent="0.25"/>
    <row r="62" s="22" customFormat="1" x14ac:dyDescent="0.25"/>
    <row r="63" s="22" customFormat="1" x14ac:dyDescent="0.25"/>
    <row r="64" s="22" customFormat="1" x14ac:dyDescent="0.25"/>
    <row r="65" s="22" customFormat="1" x14ac:dyDescent="0.25"/>
    <row r="66" s="22" customFormat="1" x14ac:dyDescent="0.25"/>
    <row r="67" s="22" customFormat="1" x14ac:dyDescent="0.25"/>
    <row r="68" s="22" customFormat="1" x14ac:dyDescent="0.25"/>
    <row r="69" s="22" customFormat="1" x14ac:dyDescent="0.25"/>
    <row r="70" s="22" customFormat="1" x14ac:dyDescent="0.25"/>
    <row r="71" s="22" customFormat="1" x14ac:dyDescent="0.25"/>
    <row r="72" s="22" customFormat="1" x14ac:dyDescent="0.25"/>
    <row r="73" s="22" customFormat="1" x14ac:dyDescent="0.25"/>
    <row r="74" s="22" customFormat="1" x14ac:dyDescent="0.25"/>
    <row r="75" s="22" customFormat="1" x14ac:dyDescent="0.25"/>
    <row r="76" s="22" customFormat="1" x14ac:dyDescent="0.25"/>
    <row r="77" s="22" customFormat="1" x14ac:dyDescent="0.25"/>
    <row r="78" s="22" customFormat="1" x14ac:dyDescent="0.25"/>
    <row r="79" s="22" customFormat="1" x14ac:dyDescent="0.25"/>
    <row r="80" s="22" customFormat="1" x14ac:dyDescent="0.25"/>
    <row r="81" s="22" customFormat="1" x14ac:dyDescent="0.25"/>
    <row r="82" s="22" customFormat="1" x14ac:dyDescent="0.25"/>
    <row r="83" s="22" customFormat="1" x14ac:dyDescent="0.25"/>
    <row r="84" s="22" customFormat="1" x14ac:dyDescent="0.25"/>
    <row r="85" s="22" customFormat="1" x14ac:dyDescent="0.25"/>
    <row r="86" s="22" customFormat="1" x14ac:dyDescent="0.25"/>
    <row r="87" s="22" customFormat="1" x14ac:dyDescent="0.25"/>
    <row r="88" s="22" customFormat="1" x14ac:dyDescent="0.25"/>
    <row r="89" s="22" customFormat="1" x14ac:dyDescent="0.25"/>
    <row r="90" s="22" customFormat="1" x14ac:dyDescent="0.25"/>
    <row r="91" s="22" customFormat="1" x14ac:dyDescent="0.25"/>
    <row r="92" s="22" customFormat="1" x14ac:dyDescent="0.25"/>
    <row r="93" s="22" customFormat="1" x14ac:dyDescent="0.25"/>
    <row r="94" s="22" customFormat="1" x14ac:dyDescent="0.25"/>
    <row r="95" s="22" customFormat="1" x14ac:dyDescent="0.25"/>
    <row r="96" s="22" customFormat="1" x14ac:dyDescent="0.25"/>
    <row r="97" spans="1:1" s="22" customFormat="1" x14ac:dyDescent="0.25"/>
    <row r="98" spans="1:1" s="22" customFormat="1" x14ac:dyDescent="0.25"/>
    <row r="99" spans="1:1" s="22" customFormat="1" x14ac:dyDescent="0.25"/>
    <row r="100" spans="1:1" s="22" customFormat="1" x14ac:dyDescent="0.25"/>
    <row r="101" spans="1:1" s="22" customFormat="1" x14ac:dyDescent="0.25"/>
    <row r="102" spans="1:1" s="22" customFormat="1" x14ac:dyDescent="0.25"/>
    <row r="103" spans="1:1" s="22" customFormat="1" x14ac:dyDescent="0.25"/>
    <row r="104" spans="1:1" s="22" customFormat="1" x14ac:dyDescent="0.25"/>
    <row r="105" spans="1:1" s="22" customFormat="1" x14ac:dyDescent="0.25"/>
    <row r="106" spans="1:1" x14ac:dyDescent="0.25">
      <c r="A106" s="21"/>
    </row>
    <row r="107" spans="1:1" s="22" customFormat="1" x14ac:dyDescent="0.25"/>
    <row r="108" spans="1:1" s="22" customFormat="1" x14ac:dyDescent="0.25"/>
    <row r="109" spans="1:1" s="22" customFormat="1" x14ac:dyDescent="0.25"/>
    <row r="110" spans="1:1" s="22" customFormat="1" x14ac:dyDescent="0.25"/>
    <row r="111" spans="1:1" s="22" customFormat="1" x14ac:dyDescent="0.25"/>
    <row r="112" spans="1:1" s="22" customFormat="1" x14ac:dyDescent="0.25"/>
    <row r="113" spans="1:1" s="22" customFormat="1" x14ac:dyDescent="0.25"/>
    <row r="114" spans="1:1" s="22" customFormat="1" x14ac:dyDescent="0.25"/>
    <row r="115" spans="1:1" s="22" customFormat="1" x14ac:dyDescent="0.25"/>
    <row r="116" spans="1:1" s="22" customFormat="1" x14ac:dyDescent="0.25"/>
    <row r="117" spans="1:1" s="22" customFormat="1" x14ac:dyDescent="0.25"/>
    <row r="118" spans="1:1" x14ac:dyDescent="0.25">
      <c r="A118" s="21"/>
    </row>
    <row r="119" spans="1:1" x14ac:dyDescent="0.25">
      <c r="A119" s="21"/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topLeftCell="A10" workbookViewId="0">
      <selection activeCell="B46" sqref="B46"/>
    </sheetView>
  </sheetViews>
  <sheetFormatPr defaultColWidth="8.85546875" defaultRowHeight="15" x14ac:dyDescent="0.25"/>
  <cols>
    <col min="1" max="1" width="18.28515625" style="27" customWidth="1"/>
    <col min="2" max="2" width="12.7109375" style="21" customWidth="1"/>
    <col min="3" max="12" width="9.140625" style="21" customWidth="1"/>
    <col min="13" max="13" width="10" style="21" customWidth="1"/>
    <col min="14" max="19" width="9.140625" style="21" customWidth="1"/>
    <col min="20" max="20" width="11.42578125" style="21" customWidth="1"/>
    <col min="21" max="16384" width="8.85546875" style="21"/>
  </cols>
  <sheetData>
    <row r="1" spans="1:21" s="22" customFormat="1" ht="26.25" x14ac:dyDescent="0.25">
      <c r="A1" s="15" t="s">
        <v>2</v>
      </c>
      <c r="B1" s="24" t="s">
        <v>43</v>
      </c>
      <c r="C1" s="38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s="22" customFormat="1" x14ac:dyDescent="0.25">
      <c r="A2" s="15" t="s">
        <v>0</v>
      </c>
      <c r="B2" s="39" t="str">
        <f>$A$9</f>
        <v>30-10-2022 01:00</v>
      </c>
      <c r="C2" s="12"/>
      <c r="D2" s="11" t="s">
        <v>3</v>
      </c>
      <c r="E2" s="11"/>
      <c r="F2" s="11"/>
      <c r="G2" s="4" t="s">
        <v>4</v>
      </c>
      <c r="H2" s="20"/>
      <c r="I2" s="20"/>
      <c r="J2" s="20"/>
      <c r="K2" s="13"/>
      <c r="L2" s="11" t="s">
        <v>5</v>
      </c>
      <c r="M2" s="13"/>
      <c r="N2" s="8" t="s">
        <v>6</v>
      </c>
      <c r="P2" s="40" t="s">
        <v>7</v>
      </c>
      <c r="Q2" s="13"/>
      <c r="R2" s="9" t="s">
        <v>8</v>
      </c>
      <c r="S2" s="12"/>
      <c r="T2" s="12"/>
      <c r="U2" s="12"/>
    </row>
    <row r="3" spans="1:21" s="22" customFormat="1" x14ac:dyDescent="0.25">
      <c r="A3" s="15" t="s">
        <v>9</v>
      </c>
      <c r="B3" s="13" t="s">
        <v>10</v>
      </c>
      <c r="C3" s="12"/>
      <c r="D3" s="11" t="s">
        <v>11</v>
      </c>
      <c r="E3" s="11"/>
      <c r="F3" s="11"/>
      <c r="G3" s="19" t="s">
        <v>12</v>
      </c>
      <c r="H3" s="20"/>
      <c r="I3" s="20"/>
      <c r="J3" s="20"/>
      <c r="K3" s="12"/>
      <c r="L3" s="11" t="s">
        <v>13</v>
      </c>
      <c r="M3" s="13"/>
      <c r="N3" s="6" t="s">
        <v>14</v>
      </c>
      <c r="O3" s="13"/>
      <c r="P3" s="40" t="s">
        <v>15</v>
      </c>
      <c r="Q3" s="13"/>
      <c r="R3" s="10" t="s">
        <v>15</v>
      </c>
      <c r="S3" s="12"/>
      <c r="T3" s="12"/>
      <c r="U3" s="12"/>
    </row>
    <row r="4" spans="1:21" s="22" customFormat="1" x14ac:dyDescent="0.25">
      <c r="A4" s="15" t="s">
        <v>16</v>
      </c>
      <c r="B4" s="13" t="s">
        <v>39</v>
      </c>
      <c r="C4" s="12"/>
      <c r="D4" s="11" t="s">
        <v>17</v>
      </c>
      <c r="E4" s="11"/>
      <c r="F4" s="11"/>
      <c r="G4" s="5" t="s">
        <v>18</v>
      </c>
      <c r="H4" s="20"/>
      <c r="I4" s="20"/>
      <c r="J4" s="20"/>
      <c r="K4" s="3"/>
      <c r="L4" s="11" t="s">
        <v>19</v>
      </c>
      <c r="M4" s="13"/>
      <c r="N4" s="7" t="s">
        <v>20</v>
      </c>
      <c r="O4" s="13"/>
      <c r="P4" s="13"/>
      <c r="Q4" s="13"/>
      <c r="R4" s="13"/>
      <c r="S4" s="12"/>
      <c r="T4" s="12"/>
      <c r="U4" s="12"/>
    </row>
    <row r="5" spans="1:21" s="22" customFormat="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s="22" customFormat="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s="22" customFormat="1" x14ac:dyDescent="0.25">
      <c r="A7" s="15" t="s">
        <v>21</v>
      </c>
      <c r="B7" s="45" t="s">
        <v>59</v>
      </c>
      <c r="C7" s="45" t="s">
        <v>44</v>
      </c>
      <c r="D7" s="45" t="s">
        <v>45</v>
      </c>
      <c r="E7" s="45" t="s">
        <v>46</v>
      </c>
      <c r="F7" s="45" t="s">
        <v>47</v>
      </c>
      <c r="G7" s="45" t="s">
        <v>48</v>
      </c>
      <c r="H7" s="45" t="s">
        <v>49</v>
      </c>
      <c r="I7" s="45" t="s">
        <v>50</v>
      </c>
      <c r="J7" s="45" t="s">
        <v>51</v>
      </c>
      <c r="K7" s="45" t="s">
        <v>52</v>
      </c>
      <c r="L7" s="45" t="s">
        <v>53</v>
      </c>
      <c r="M7" s="45" t="s">
        <v>54</v>
      </c>
      <c r="N7" s="45" t="s">
        <v>55</v>
      </c>
      <c r="O7" s="45" t="s">
        <v>56</v>
      </c>
      <c r="P7" s="45" t="s">
        <v>57</v>
      </c>
      <c r="Q7" s="45" t="s">
        <v>58</v>
      </c>
      <c r="R7" s="28"/>
      <c r="S7" s="30"/>
      <c r="T7" s="28"/>
      <c r="U7" s="28"/>
    </row>
    <row r="8" spans="1:21" s="22" customFormat="1" x14ac:dyDescent="0.25">
      <c r="A8" s="15"/>
      <c r="B8" s="30" t="s">
        <v>22</v>
      </c>
      <c r="C8" s="30" t="s">
        <v>22</v>
      </c>
      <c r="D8" s="30" t="s">
        <v>22</v>
      </c>
      <c r="E8" s="30" t="s">
        <v>22</v>
      </c>
      <c r="F8" s="30" t="s">
        <v>22</v>
      </c>
      <c r="G8" s="30" t="s">
        <v>23</v>
      </c>
      <c r="H8" s="30" t="s">
        <v>22</v>
      </c>
      <c r="I8" s="30" t="s">
        <v>22</v>
      </c>
      <c r="J8" s="30" t="s">
        <v>24</v>
      </c>
      <c r="K8" s="30" t="s">
        <v>25</v>
      </c>
      <c r="L8" s="28" t="s">
        <v>27</v>
      </c>
      <c r="M8" s="30" t="s">
        <v>26</v>
      </c>
      <c r="N8" s="30" t="s">
        <v>28</v>
      </c>
      <c r="O8" s="28" t="s">
        <v>29</v>
      </c>
      <c r="P8" s="30" t="s">
        <v>22</v>
      </c>
      <c r="Q8" s="30" t="s">
        <v>22</v>
      </c>
      <c r="R8" s="28"/>
      <c r="S8" s="30"/>
      <c r="T8" s="28"/>
      <c r="U8" s="28"/>
    </row>
    <row r="9" spans="1:21" s="12" customFormat="1" x14ac:dyDescent="0.25">
      <c r="A9" s="51" t="s">
        <v>761</v>
      </c>
      <c r="B9" s="52">
        <v>3.5</v>
      </c>
      <c r="C9" s="52">
        <v>160.87</v>
      </c>
      <c r="D9" s="52">
        <v>91.54</v>
      </c>
      <c r="E9" s="52">
        <v>42.19</v>
      </c>
      <c r="F9" s="52">
        <v>41.2</v>
      </c>
      <c r="G9" s="52">
        <v>154.44999999999999</v>
      </c>
      <c r="H9" s="52">
        <v>63.2</v>
      </c>
      <c r="I9" s="52">
        <v>0.32</v>
      </c>
      <c r="J9" s="52">
        <v>0.43</v>
      </c>
      <c r="K9" s="52">
        <v>359.96</v>
      </c>
      <c r="L9" s="54" t="s">
        <v>8</v>
      </c>
      <c r="M9" s="54" t="s">
        <v>8</v>
      </c>
      <c r="N9" s="52">
        <v>4.7</v>
      </c>
      <c r="O9" s="52">
        <v>0</v>
      </c>
      <c r="P9" s="52">
        <v>1.02</v>
      </c>
      <c r="Q9" s="52">
        <v>92.35</v>
      </c>
      <c r="R9" s="44"/>
      <c r="S9" s="44"/>
      <c r="T9" s="44"/>
      <c r="U9" s="44"/>
    </row>
    <row r="10" spans="1:21" s="12" customFormat="1" x14ac:dyDescent="0.25">
      <c r="A10" s="51" t="s">
        <v>762</v>
      </c>
      <c r="B10" s="52">
        <v>9.26</v>
      </c>
      <c r="C10" s="52">
        <v>117.67</v>
      </c>
      <c r="D10" s="52">
        <v>72.36</v>
      </c>
      <c r="E10" s="52">
        <v>68.86</v>
      </c>
      <c r="F10" s="52">
        <v>23.96</v>
      </c>
      <c r="G10" s="52">
        <v>157.6</v>
      </c>
      <c r="H10" s="52">
        <v>72.56</v>
      </c>
      <c r="I10" s="52">
        <v>0.32</v>
      </c>
      <c r="J10" s="52">
        <v>0.3</v>
      </c>
      <c r="K10" s="52">
        <v>327.96</v>
      </c>
      <c r="L10" s="54" t="s">
        <v>8</v>
      </c>
      <c r="M10" s="54" t="s">
        <v>8</v>
      </c>
      <c r="N10" s="52">
        <v>4.8</v>
      </c>
      <c r="O10" s="52">
        <v>0</v>
      </c>
      <c r="P10" s="52">
        <v>1.42</v>
      </c>
      <c r="Q10" s="52">
        <v>81.39</v>
      </c>
      <c r="R10" s="44"/>
      <c r="S10" s="44"/>
      <c r="T10" s="44"/>
      <c r="U10" s="44"/>
    </row>
    <row r="11" spans="1:21" s="12" customFormat="1" x14ac:dyDescent="0.25">
      <c r="A11" s="51" t="s">
        <v>763</v>
      </c>
      <c r="B11" s="52">
        <v>2.5499999999999998</v>
      </c>
      <c r="C11" s="52">
        <v>71.180000000000007</v>
      </c>
      <c r="D11" s="52">
        <v>40.47</v>
      </c>
      <c r="E11" s="52">
        <v>67.78</v>
      </c>
      <c r="F11" s="52">
        <v>56.69</v>
      </c>
      <c r="G11" s="52">
        <v>200.15</v>
      </c>
      <c r="H11" s="52">
        <v>97.59</v>
      </c>
      <c r="I11" s="52">
        <v>0.24</v>
      </c>
      <c r="J11" s="52">
        <v>0.77</v>
      </c>
      <c r="K11" s="52">
        <v>353.09</v>
      </c>
      <c r="L11" s="54" t="s">
        <v>8</v>
      </c>
      <c r="M11" s="54" t="s">
        <v>8</v>
      </c>
      <c r="N11" s="52">
        <v>4.8</v>
      </c>
      <c r="O11" s="52">
        <v>0</v>
      </c>
      <c r="P11" s="52">
        <v>0.91</v>
      </c>
      <c r="Q11" s="52">
        <v>80.150000000000006</v>
      </c>
      <c r="R11" s="44"/>
      <c r="S11" s="44"/>
      <c r="T11" s="44"/>
      <c r="U11" s="44"/>
    </row>
    <row r="12" spans="1:21" s="12" customFormat="1" x14ac:dyDescent="0.25">
      <c r="A12" s="51" t="s">
        <v>764</v>
      </c>
      <c r="B12" s="52">
        <v>5.85</v>
      </c>
      <c r="C12" s="52">
        <v>89.56</v>
      </c>
      <c r="D12" s="52">
        <v>53.65</v>
      </c>
      <c r="E12" s="52">
        <v>61.42</v>
      </c>
      <c r="F12" s="52">
        <v>41.26</v>
      </c>
      <c r="G12" s="52">
        <v>200.15</v>
      </c>
      <c r="H12" s="52">
        <v>97.59</v>
      </c>
      <c r="I12" s="52">
        <v>0.13</v>
      </c>
      <c r="J12" s="52">
        <v>0.15</v>
      </c>
      <c r="K12" s="52">
        <v>357.33</v>
      </c>
      <c r="L12" s="54" t="s">
        <v>8</v>
      </c>
      <c r="M12" s="54" t="s">
        <v>8</v>
      </c>
      <c r="N12" s="52">
        <v>4.8</v>
      </c>
      <c r="O12" s="52">
        <v>0</v>
      </c>
      <c r="P12" s="52">
        <v>0.95</v>
      </c>
      <c r="Q12" s="52">
        <v>68.239999999999995</v>
      </c>
      <c r="R12" s="44"/>
      <c r="S12" s="44"/>
      <c r="T12" s="44"/>
      <c r="U12" s="44"/>
    </row>
    <row r="13" spans="1:21" s="12" customFormat="1" x14ac:dyDescent="0.25">
      <c r="A13" s="51" t="s">
        <v>765</v>
      </c>
      <c r="B13" s="52">
        <v>44.19</v>
      </c>
      <c r="C13" s="52">
        <v>153.84</v>
      </c>
      <c r="D13" s="52">
        <v>120.33</v>
      </c>
      <c r="E13" s="52">
        <v>80.150000000000006</v>
      </c>
      <c r="F13" s="52">
        <v>7.06</v>
      </c>
      <c r="G13" s="52">
        <v>216.66</v>
      </c>
      <c r="H13" s="52">
        <v>94.27</v>
      </c>
      <c r="I13" s="52">
        <v>0.17</v>
      </c>
      <c r="J13" s="52">
        <v>0.14000000000000001</v>
      </c>
      <c r="K13" s="52">
        <v>158.75</v>
      </c>
      <c r="L13" s="54" t="s">
        <v>8</v>
      </c>
      <c r="M13" s="54" t="s">
        <v>8</v>
      </c>
      <c r="N13" s="52">
        <v>4.5999999999999996</v>
      </c>
      <c r="O13" s="52">
        <v>0</v>
      </c>
      <c r="P13" s="52">
        <v>1.27</v>
      </c>
      <c r="Q13" s="52">
        <v>98.29</v>
      </c>
      <c r="R13" s="44"/>
      <c r="S13" s="44"/>
      <c r="T13" s="44"/>
      <c r="U13" s="44"/>
    </row>
    <row r="14" spans="1:21" s="12" customFormat="1" x14ac:dyDescent="0.25">
      <c r="A14" s="51" t="s">
        <v>766</v>
      </c>
      <c r="B14" s="52">
        <v>66.64</v>
      </c>
      <c r="C14" s="52">
        <v>190.33</v>
      </c>
      <c r="D14" s="52">
        <v>158.47999999999999</v>
      </c>
      <c r="E14" s="52">
        <v>97.95</v>
      </c>
      <c r="F14" s="52">
        <v>11.36</v>
      </c>
      <c r="G14" s="52">
        <v>228.69</v>
      </c>
      <c r="H14" s="52">
        <v>103.98</v>
      </c>
      <c r="I14" s="52">
        <v>0.2</v>
      </c>
      <c r="J14" s="52">
        <v>0.24</v>
      </c>
      <c r="K14" s="52">
        <v>244.22</v>
      </c>
      <c r="L14" s="54" t="s">
        <v>8</v>
      </c>
      <c r="M14" s="54" t="s">
        <v>8</v>
      </c>
      <c r="N14" s="52">
        <v>5.6</v>
      </c>
      <c r="O14" s="52">
        <v>0</v>
      </c>
      <c r="P14" s="52">
        <v>1.42</v>
      </c>
      <c r="Q14" s="52">
        <v>122.85</v>
      </c>
      <c r="R14" s="44"/>
      <c r="S14" s="44"/>
      <c r="T14" s="44"/>
      <c r="U14" s="44"/>
    </row>
    <row r="15" spans="1:21" s="12" customFormat="1" x14ac:dyDescent="0.25">
      <c r="A15" s="51" t="s">
        <v>767</v>
      </c>
      <c r="B15" s="52">
        <v>60.08</v>
      </c>
      <c r="C15" s="52">
        <v>171.79</v>
      </c>
      <c r="D15" s="52">
        <v>142.99</v>
      </c>
      <c r="E15" s="52">
        <v>64.47</v>
      </c>
      <c r="F15" s="52">
        <v>19.38</v>
      </c>
      <c r="G15" s="52">
        <v>240.25</v>
      </c>
      <c r="H15" s="52">
        <v>103.98</v>
      </c>
      <c r="I15" s="52">
        <v>0.28000000000000003</v>
      </c>
      <c r="J15" s="52">
        <v>0.33</v>
      </c>
      <c r="K15" s="52">
        <v>357.52</v>
      </c>
      <c r="L15" s="54" t="s">
        <v>8</v>
      </c>
      <c r="M15" s="54" t="s">
        <v>8</v>
      </c>
      <c r="N15" s="52">
        <v>71.599999999999994</v>
      </c>
      <c r="O15" s="52">
        <v>0</v>
      </c>
      <c r="P15" s="52">
        <v>1.6</v>
      </c>
      <c r="Q15" s="52">
        <v>153.22999999999999</v>
      </c>
      <c r="R15" s="44"/>
      <c r="S15" s="44"/>
      <c r="T15" s="44"/>
      <c r="U15" s="44"/>
    </row>
    <row r="16" spans="1:21" s="12" customFormat="1" x14ac:dyDescent="0.25">
      <c r="A16" s="51" t="s">
        <v>768</v>
      </c>
      <c r="B16" s="52">
        <v>39.130000000000003</v>
      </c>
      <c r="C16" s="52">
        <v>144.91</v>
      </c>
      <c r="D16" s="52">
        <v>111.35</v>
      </c>
      <c r="E16" s="52">
        <v>157.77000000000001</v>
      </c>
      <c r="F16" s="52">
        <v>30.3</v>
      </c>
      <c r="G16" s="52">
        <v>240.25</v>
      </c>
      <c r="H16" s="52">
        <v>101.17</v>
      </c>
      <c r="I16" s="52">
        <v>0.26</v>
      </c>
      <c r="J16" s="52">
        <v>0.76</v>
      </c>
      <c r="K16" s="52">
        <v>21.14</v>
      </c>
      <c r="L16" s="54" t="s">
        <v>8</v>
      </c>
      <c r="M16" s="54" t="s">
        <v>8</v>
      </c>
      <c r="N16" s="52">
        <v>291.5</v>
      </c>
      <c r="O16" s="52">
        <v>0</v>
      </c>
      <c r="P16" s="52">
        <v>1.1599999999999999</v>
      </c>
      <c r="Q16" s="52">
        <v>114.26</v>
      </c>
      <c r="R16" s="44"/>
      <c r="S16" s="44"/>
      <c r="T16" s="44"/>
      <c r="U16" s="44"/>
    </row>
    <row r="17" spans="1:21" s="12" customFormat="1" x14ac:dyDescent="0.25">
      <c r="A17" s="51" t="s">
        <v>769</v>
      </c>
      <c r="B17" s="52">
        <v>18.57</v>
      </c>
      <c r="C17" s="52">
        <v>97.82</v>
      </c>
      <c r="D17" s="52">
        <v>65.63</v>
      </c>
      <c r="E17" s="52">
        <v>57.91</v>
      </c>
      <c r="F17" s="52">
        <v>53.66</v>
      </c>
      <c r="G17" s="52">
        <v>218.34</v>
      </c>
      <c r="H17" s="52">
        <v>96.48</v>
      </c>
      <c r="I17" s="52">
        <v>0.18</v>
      </c>
      <c r="J17" s="52">
        <v>1.04</v>
      </c>
      <c r="K17" s="52">
        <v>112.34</v>
      </c>
      <c r="L17" s="54" t="s">
        <v>8</v>
      </c>
      <c r="M17" s="54" t="s">
        <v>8</v>
      </c>
      <c r="N17" s="52">
        <v>484.3</v>
      </c>
      <c r="O17" s="52">
        <v>0</v>
      </c>
      <c r="P17" s="52">
        <v>0.82</v>
      </c>
      <c r="Q17" s="52">
        <v>103.73</v>
      </c>
      <c r="R17" s="44"/>
      <c r="S17" s="44"/>
      <c r="T17" s="44"/>
      <c r="U17" s="44"/>
    </row>
    <row r="18" spans="1:21" s="12" customFormat="1" x14ac:dyDescent="0.25">
      <c r="A18" s="51" t="s">
        <v>770</v>
      </c>
      <c r="B18" s="52">
        <v>25.5</v>
      </c>
      <c r="C18" s="52">
        <v>133.36000000000001</v>
      </c>
      <c r="D18" s="52">
        <v>90.21</v>
      </c>
      <c r="E18" s="52">
        <v>60.75</v>
      </c>
      <c r="F18" s="52">
        <v>51.28</v>
      </c>
      <c r="G18" s="52">
        <v>185.68</v>
      </c>
      <c r="H18" s="52">
        <v>79.739999999999995</v>
      </c>
      <c r="I18" s="52">
        <v>0.14000000000000001</v>
      </c>
      <c r="J18" s="52">
        <v>1.26</v>
      </c>
      <c r="K18" s="52">
        <v>107.52</v>
      </c>
      <c r="L18" s="54" t="s">
        <v>8</v>
      </c>
      <c r="M18" s="54" t="s">
        <v>8</v>
      </c>
      <c r="N18" s="52">
        <v>630.29999999999995</v>
      </c>
      <c r="O18" s="52">
        <v>0</v>
      </c>
      <c r="P18" s="52">
        <v>0.71</v>
      </c>
      <c r="Q18" s="52">
        <v>83</v>
      </c>
      <c r="R18" s="44"/>
      <c r="S18" s="44"/>
      <c r="T18" s="44"/>
      <c r="U18" s="44"/>
    </row>
    <row r="19" spans="1:21" s="12" customFormat="1" x14ac:dyDescent="0.25">
      <c r="A19" s="51" t="s">
        <v>771</v>
      </c>
      <c r="B19" s="52">
        <v>16.18</v>
      </c>
      <c r="C19" s="52">
        <v>100.66</v>
      </c>
      <c r="D19" s="52">
        <v>67.959999999999994</v>
      </c>
      <c r="E19" s="52">
        <v>30.44</v>
      </c>
      <c r="F19" s="52">
        <v>76.41</v>
      </c>
      <c r="G19" s="52">
        <v>140.35</v>
      </c>
      <c r="H19" s="52">
        <v>69.760000000000005</v>
      </c>
      <c r="I19" s="52">
        <v>0.14000000000000001</v>
      </c>
      <c r="J19" s="52">
        <v>1.23</v>
      </c>
      <c r="K19" s="52">
        <v>82.32</v>
      </c>
      <c r="L19" s="54" t="s">
        <v>8</v>
      </c>
      <c r="M19" s="54" t="s">
        <v>8</v>
      </c>
      <c r="N19" s="52">
        <v>708.9</v>
      </c>
      <c r="O19" s="52">
        <v>0</v>
      </c>
      <c r="P19" s="52">
        <v>0.73</v>
      </c>
      <c r="Q19" s="52">
        <v>82.14</v>
      </c>
      <c r="R19" s="44"/>
      <c r="S19" s="44"/>
      <c r="T19" s="44"/>
      <c r="U19" s="44"/>
    </row>
    <row r="20" spans="1:21" s="12" customFormat="1" x14ac:dyDescent="0.25">
      <c r="A20" s="51" t="s">
        <v>772</v>
      </c>
      <c r="B20" s="52">
        <v>13.07</v>
      </c>
      <c r="C20" s="52">
        <v>69.14</v>
      </c>
      <c r="D20" s="52">
        <v>48.64</v>
      </c>
      <c r="E20" s="52">
        <v>30.82</v>
      </c>
      <c r="F20" s="52">
        <v>96.08</v>
      </c>
      <c r="G20" s="52">
        <v>119.77</v>
      </c>
      <c r="H20" s="52">
        <v>67.05</v>
      </c>
      <c r="I20" s="52">
        <v>0.13</v>
      </c>
      <c r="J20" s="52">
        <v>1.33</v>
      </c>
      <c r="K20" s="52">
        <v>114.1</v>
      </c>
      <c r="L20" s="54" t="s">
        <v>8</v>
      </c>
      <c r="M20" s="54" t="s">
        <v>8</v>
      </c>
      <c r="N20" s="52">
        <v>721.6</v>
      </c>
      <c r="O20" s="52">
        <v>0</v>
      </c>
      <c r="P20" s="52">
        <v>0.56999999999999995</v>
      </c>
      <c r="Q20" s="52">
        <v>54.01</v>
      </c>
      <c r="R20" s="44"/>
      <c r="S20" s="44"/>
      <c r="T20" s="44"/>
      <c r="U20" s="44"/>
    </row>
    <row r="21" spans="1:21" s="12" customFormat="1" x14ac:dyDescent="0.25">
      <c r="A21" s="51" t="s">
        <v>773</v>
      </c>
      <c r="B21" s="52">
        <v>15.51</v>
      </c>
      <c r="C21" s="52">
        <v>87.67</v>
      </c>
      <c r="D21" s="52">
        <v>60.82</v>
      </c>
      <c r="E21" s="52">
        <v>30.22</v>
      </c>
      <c r="F21" s="52">
        <v>100.46</v>
      </c>
      <c r="G21" s="52">
        <v>88.01</v>
      </c>
      <c r="H21" s="52">
        <v>53.26</v>
      </c>
      <c r="I21" s="52">
        <v>0.11</v>
      </c>
      <c r="J21" s="52">
        <v>0.89</v>
      </c>
      <c r="K21" s="52">
        <v>357.16</v>
      </c>
      <c r="L21" s="54" t="s">
        <v>8</v>
      </c>
      <c r="M21" s="54" t="s">
        <v>8</v>
      </c>
      <c r="N21" s="52">
        <v>704.3</v>
      </c>
      <c r="O21" s="52">
        <v>0</v>
      </c>
      <c r="P21" s="52">
        <v>0.8</v>
      </c>
      <c r="Q21" s="52">
        <v>34.6</v>
      </c>
      <c r="R21" s="44"/>
      <c r="S21" s="44"/>
      <c r="T21" s="44"/>
      <c r="U21" s="44"/>
    </row>
    <row r="22" spans="1:21" s="12" customFormat="1" x14ac:dyDescent="0.25">
      <c r="A22" s="51" t="s">
        <v>774</v>
      </c>
      <c r="B22" s="52">
        <v>12.35</v>
      </c>
      <c r="C22" s="52">
        <v>74.33</v>
      </c>
      <c r="D22" s="52">
        <v>49.53</v>
      </c>
      <c r="E22" s="52">
        <v>41.32</v>
      </c>
      <c r="F22" s="52">
        <v>100.62</v>
      </c>
      <c r="G22" s="52">
        <v>88.01</v>
      </c>
      <c r="H22" s="52">
        <v>46.58</v>
      </c>
      <c r="I22" s="52">
        <v>0.12</v>
      </c>
      <c r="J22" s="52">
        <v>1.1599999999999999</v>
      </c>
      <c r="K22" s="52">
        <v>20.88</v>
      </c>
      <c r="L22" s="54" t="s">
        <v>8</v>
      </c>
      <c r="M22" s="54" t="s">
        <v>8</v>
      </c>
      <c r="N22" s="52">
        <v>639.1</v>
      </c>
      <c r="O22" s="52">
        <v>0</v>
      </c>
      <c r="P22" s="52">
        <v>0.76</v>
      </c>
      <c r="Q22" s="52">
        <v>43.29</v>
      </c>
      <c r="R22" s="44"/>
      <c r="S22" s="44"/>
      <c r="T22" s="44"/>
      <c r="U22" s="44"/>
    </row>
    <row r="23" spans="1:21" s="12" customFormat="1" x14ac:dyDescent="0.25">
      <c r="A23" s="51" t="s">
        <v>775</v>
      </c>
      <c r="B23" s="52">
        <v>14.8</v>
      </c>
      <c r="C23" s="52">
        <v>101.5</v>
      </c>
      <c r="D23" s="52">
        <v>60.26</v>
      </c>
      <c r="E23" s="52">
        <v>48.85</v>
      </c>
      <c r="F23" s="52">
        <v>107.66</v>
      </c>
      <c r="G23" s="52">
        <v>84.31</v>
      </c>
      <c r="H23" s="52">
        <v>45.16</v>
      </c>
      <c r="I23" s="52">
        <v>0.11</v>
      </c>
      <c r="J23" s="52">
        <v>0.93</v>
      </c>
      <c r="K23" s="52">
        <v>359</v>
      </c>
      <c r="L23" s="54" t="s">
        <v>8</v>
      </c>
      <c r="M23" s="54" t="s">
        <v>8</v>
      </c>
      <c r="N23" s="52">
        <v>514.79999999999995</v>
      </c>
      <c r="O23" s="52">
        <v>0</v>
      </c>
      <c r="P23" s="52">
        <v>0.86</v>
      </c>
      <c r="Q23" s="52">
        <v>45.02</v>
      </c>
      <c r="R23" s="44"/>
      <c r="S23" s="44"/>
      <c r="T23" s="44"/>
      <c r="U23" s="44"/>
    </row>
    <row r="24" spans="1:21" s="12" customFormat="1" x14ac:dyDescent="0.25">
      <c r="A24" s="51" t="s">
        <v>776</v>
      </c>
      <c r="B24" s="52">
        <v>16.97</v>
      </c>
      <c r="C24" s="52">
        <v>104.21</v>
      </c>
      <c r="D24" s="52">
        <v>71.12</v>
      </c>
      <c r="E24" s="52">
        <v>47.96</v>
      </c>
      <c r="F24" s="52">
        <v>87.56</v>
      </c>
      <c r="G24" s="52">
        <v>89.17</v>
      </c>
      <c r="H24" s="52">
        <v>45.16</v>
      </c>
      <c r="I24" s="52">
        <v>0.15</v>
      </c>
      <c r="J24" s="52">
        <v>1.19</v>
      </c>
      <c r="K24" s="52">
        <v>358.44</v>
      </c>
      <c r="L24" s="54" t="s">
        <v>8</v>
      </c>
      <c r="M24" s="54" t="s">
        <v>8</v>
      </c>
      <c r="N24" s="52">
        <v>135.19999999999999</v>
      </c>
      <c r="O24" s="52">
        <v>0</v>
      </c>
      <c r="P24" s="52">
        <v>0.88</v>
      </c>
      <c r="Q24" s="52">
        <v>51.69</v>
      </c>
      <c r="R24" s="44"/>
      <c r="S24" s="44"/>
      <c r="T24" s="44"/>
      <c r="U24" s="44"/>
    </row>
    <row r="25" spans="1:21" s="12" customFormat="1" x14ac:dyDescent="0.25">
      <c r="A25" s="51" t="s">
        <v>777</v>
      </c>
      <c r="B25" s="52">
        <v>20.56</v>
      </c>
      <c r="C25" s="52">
        <v>122.63</v>
      </c>
      <c r="D25" s="52">
        <v>81.849999999999994</v>
      </c>
      <c r="E25" s="52">
        <v>98.53</v>
      </c>
      <c r="F25" s="52">
        <v>87.01</v>
      </c>
      <c r="G25" s="52">
        <v>96.56</v>
      </c>
      <c r="H25" s="52">
        <v>44.15</v>
      </c>
      <c r="I25" s="52">
        <v>0.13</v>
      </c>
      <c r="J25" s="52">
        <v>1.39</v>
      </c>
      <c r="K25" s="52">
        <v>359.08</v>
      </c>
      <c r="L25" s="54" t="s">
        <v>8</v>
      </c>
      <c r="M25" s="54" t="s">
        <v>8</v>
      </c>
      <c r="N25" s="52">
        <v>65.099999999999994</v>
      </c>
      <c r="O25" s="52">
        <v>0</v>
      </c>
      <c r="P25" s="52">
        <v>1.02</v>
      </c>
      <c r="Q25" s="52">
        <v>56.32</v>
      </c>
      <c r="R25" s="44"/>
      <c r="S25" s="44"/>
      <c r="T25" s="44"/>
      <c r="U25" s="44"/>
    </row>
    <row r="26" spans="1:21" s="12" customFormat="1" x14ac:dyDescent="0.25">
      <c r="A26" s="51" t="s">
        <v>778</v>
      </c>
      <c r="B26" s="52">
        <v>23.66</v>
      </c>
      <c r="C26" s="52">
        <v>157.52000000000001</v>
      </c>
      <c r="D26" s="52">
        <v>103.41</v>
      </c>
      <c r="E26" s="52">
        <v>101.64</v>
      </c>
      <c r="F26" s="52">
        <v>69.52</v>
      </c>
      <c r="G26" s="52">
        <v>99.24</v>
      </c>
      <c r="H26" s="52">
        <v>43.69</v>
      </c>
      <c r="I26" s="52">
        <v>0.23</v>
      </c>
      <c r="J26" s="52">
        <v>1.05</v>
      </c>
      <c r="K26" s="52">
        <v>359.22</v>
      </c>
      <c r="L26" s="54" t="s">
        <v>8</v>
      </c>
      <c r="M26" s="54" t="s">
        <v>8</v>
      </c>
      <c r="N26" s="52">
        <v>16.600000000000001</v>
      </c>
      <c r="O26" s="52">
        <v>0</v>
      </c>
      <c r="P26" s="52">
        <v>1.6</v>
      </c>
      <c r="Q26" s="52">
        <v>74.56</v>
      </c>
      <c r="R26" s="44"/>
      <c r="S26" s="44"/>
      <c r="T26" s="44"/>
      <c r="U26" s="44"/>
    </row>
    <row r="27" spans="1:21" s="12" customFormat="1" x14ac:dyDescent="0.25">
      <c r="A27" s="51" t="s">
        <v>779</v>
      </c>
      <c r="B27" s="52">
        <v>32.549999999999997</v>
      </c>
      <c r="C27" s="52">
        <v>205.68</v>
      </c>
      <c r="D27" s="52">
        <v>139.61000000000001</v>
      </c>
      <c r="E27" s="52">
        <v>58.57</v>
      </c>
      <c r="F27" s="52">
        <v>42.59</v>
      </c>
      <c r="G27" s="52">
        <v>116.82</v>
      </c>
      <c r="H27" s="52">
        <v>49.3</v>
      </c>
      <c r="I27" s="52">
        <v>0.52</v>
      </c>
      <c r="J27" s="52">
        <v>0.83</v>
      </c>
      <c r="K27" s="52">
        <v>83.07</v>
      </c>
      <c r="L27" s="54" t="s">
        <v>8</v>
      </c>
      <c r="M27" s="54" t="s">
        <v>8</v>
      </c>
      <c r="N27" s="52">
        <v>4.8</v>
      </c>
      <c r="O27" s="52">
        <v>0</v>
      </c>
      <c r="P27" s="52">
        <v>2.5299999999999998</v>
      </c>
      <c r="Q27" s="52">
        <v>109.24</v>
      </c>
      <c r="R27" s="44"/>
      <c r="S27" s="44"/>
      <c r="T27" s="44"/>
      <c r="U27" s="44"/>
    </row>
    <row r="28" spans="1:21" s="12" customFormat="1" x14ac:dyDescent="0.25">
      <c r="A28" s="51" t="s">
        <v>780</v>
      </c>
      <c r="B28" s="52">
        <v>32.74</v>
      </c>
      <c r="C28" s="52">
        <v>201.11</v>
      </c>
      <c r="D28" s="52">
        <v>134.65</v>
      </c>
      <c r="E28" s="52">
        <v>124.38</v>
      </c>
      <c r="F28" s="52">
        <v>33.17</v>
      </c>
      <c r="G28" s="52">
        <v>135.1</v>
      </c>
      <c r="H28" s="52">
        <v>52.14</v>
      </c>
      <c r="I28" s="52">
        <v>0.53</v>
      </c>
      <c r="J28" s="52">
        <v>0.54</v>
      </c>
      <c r="K28" s="52">
        <v>71.14</v>
      </c>
      <c r="L28" s="54" t="s">
        <v>8</v>
      </c>
      <c r="M28" s="54" t="s">
        <v>8</v>
      </c>
      <c r="N28" s="52">
        <v>4.5999999999999996</v>
      </c>
      <c r="O28" s="52">
        <v>0</v>
      </c>
      <c r="P28" s="52">
        <v>2.4500000000000002</v>
      </c>
      <c r="Q28" s="52">
        <v>112.12</v>
      </c>
      <c r="R28" s="44"/>
      <c r="S28" s="44"/>
      <c r="T28" s="44"/>
      <c r="U28" s="44"/>
    </row>
    <row r="29" spans="1:21" s="12" customFormat="1" x14ac:dyDescent="0.25">
      <c r="A29" s="51" t="s">
        <v>781</v>
      </c>
      <c r="B29" s="52">
        <v>42.21</v>
      </c>
      <c r="C29" s="52">
        <v>241.13</v>
      </c>
      <c r="D29" s="52">
        <v>166.92</v>
      </c>
      <c r="E29" s="52">
        <v>123.73</v>
      </c>
      <c r="F29" s="52">
        <v>22.83</v>
      </c>
      <c r="G29" s="52">
        <v>187.39</v>
      </c>
      <c r="H29" s="52">
        <v>62.03</v>
      </c>
      <c r="I29" s="52">
        <v>0.75</v>
      </c>
      <c r="J29" s="52">
        <v>0.36</v>
      </c>
      <c r="K29" s="52">
        <v>157.80000000000001</v>
      </c>
      <c r="L29" s="54" t="s">
        <v>8</v>
      </c>
      <c r="M29" s="54" t="s">
        <v>8</v>
      </c>
      <c r="N29" s="52">
        <v>5</v>
      </c>
      <c r="O29" s="52">
        <v>0</v>
      </c>
      <c r="P29" s="52">
        <v>3.28</v>
      </c>
      <c r="Q29" s="52">
        <v>128.43</v>
      </c>
      <c r="R29" s="44"/>
      <c r="S29" s="44"/>
      <c r="T29" s="44"/>
      <c r="U29" s="44"/>
    </row>
    <row r="30" spans="1:21" s="12" customFormat="1" x14ac:dyDescent="0.25">
      <c r="A30" s="51" t="s">
        <v>782</v>
      </c>
      <c r="B30" s="52">
        <v>76.61</v>
      </c>
      <c r="C30" s="52">
        <v>263.70999999999998</v>
      </c>
      <c r="D30" s="52">
        <v>206.97</v>
      </c>
      <c r="E30" s="52">
        <v>60.66</v>
      </c>
      <c r="F30" s="52">
        <v>37.950000000000003</v>
      </c>
      <c r="G30" s="52">
        <v>212.25</v>
      </c>
      <c r="H30" s="52">
        <v>82.41</v>
      </c>
      <c r="I30" s="52">
        <v>0.84</v>
      </c>
      <c r="J30" s="52">
        <v>0.19</v>
      </c>
      <c r="K30" s="52">
        <v>89.5</v>
      </c>
      <c r="L30" s="54" t="s">
        <v>8</v>
      </c>
      <c r="M30" s="54" t="s">
        <v>8</v>
      </c>
      <c r="N30" s="52">
        <v>4.8</v>
      </c>
      <c r="O30" s="52">
        <v>0</v>
      </c>
      <c r="P30" s="52">
        <v>3.63</v>
      </c>
      <c r="Q30" s="52">
        <v>153.44</v>
      </c>
      <c r="R30" s="44"/>
      <c r="S30" s="44"/>
      <c r="T30" s="44"/>
      <c r="U30" s="44"/>
    </row>
    <row r="31" spans="1:21" s="12" customFormat="1" x14ac:dyDescent="0.25">
      <c r="A31" s="51" t="s">
        <v>783</v>
      </c>
      <c r="B31" s="52">
        <v>89.13</v>
      </c>
      <c r="C31" s="52">
        <v>268.02999999999997</v>
      </c>
      <c r="D31" s="52">
        <v>219.39</v>
      </c>
      <c r="E31" s="52">
        <v>36.590000000000003</v>
      </c>
      <c r="F31" s="52">
        <v>10.35</v>
      </c>
      <c r="G31" s="52">
        <v>221.47</v>
      </c>
      <c r="H31" s="52">
        <v>82.41</v>
      </c>
      <c r="I31" s="52">
        <v>0.7</v>
      </c>
      <c r="J31" s="52">
        <v>0.15</v>
      </c>
      <c r="K31" s="52">
        <v>312.33</v>
      </c>
      <c r="L31" s="54" t="s">
        <v>8</v>
      </c>
      <c r="M31" s="54" t="s">
        <v>8</v>
      </c>
      <c r="N31" s="52">
        <v>4.8</v>
      </c>
      <c r="O31" s="52">
        <v>0</v>
      </c>
      <c r="P31" s="52">
        <v>2.63</v>
      </c>
      <c r="Q31" s="52">
        <v>163.66999999999999</v>
      </c>
      <c r="R31" s="44"/>
      <c r="S31" s="44"/>
      <c r="T31" s="44"/>
      <c r="U31" s="44"/>
    </row>
    <row r="32" spans="1:21" s="12" customFormat="1" x14ac:dyDescent="0.25">
      <c r="A32" s="51" t="s">
        <v>784</v>
      </c>
      <c r="B32" s="52">
        <v>70.03</v>
      </c>
      <c r="C32" s="52">
        <v>253.26</v>
      </c>
      <c r="D32" s="52">
        <v>195.93</v>
      </c>
      <c r="E32" s="52">
        <v>39.79</v>
      </c>
      <c r="F32" s="52">
        <v>25.54</v>
      </c>
      <c r="G32" s="52">
        <v>235.06</v>
      </c>
      <c r="H32" s="52">
        <v>76.89</v>
      </c>
      <c r="I32" s="52">
        <v>0.83</v>
      </c>
      <c r="J32" s="52">
        <v>0.13</v>
      </c>
      <c r="K32" s="52">
        <v>299.62</v>
      </c>
      <c r="L32" s="54" t="s">
        <v>8</v>
      </c>
      <c r="M32" s="54" t="s">
        <v>8</v>
      </c>
      <c r="N32" s="52">
        <v>4.7</v>
      </c>
      <c r="O32" s="52">
        <v>0</v>
      </c>
      <c r="P32" s="52">
        <v>1.85</v>
      </c>
      <c r="Q32" s="52">
        <v>140.16999999999999</v>
      </c>
      <c r="R32" s="44"/>
      <c r="S32" s="44"/>
      <c r="T32" s="44"/>
      <c r="U32" s="44"/>
    </row>
    <row r="33" spans="1:21" s="22" customFormat="1" x14ac:dyDescent="0.25">
      <c r="A33" s="27"/>
      <c r="B33" s="21"/>
      <c r="C33" s="21"/>
      <c r="D33" s="21"/>
      <c r="E33" s="21"/>
      <c r="F33" s="21"/>
      <c r="G33" s="27"/>
      <c r="H33" s="27"/>
      <c r="I33" s="27"/>
      <c r="J33" s="21"/>
      <c r="K33" s="21"/>
      <c r="L33" s="27"/>
      <c r="M33" s="27"/>
      <c r="N33" s="27"/>
      <c r="O33" s="27"/>
      <c r="P33" s="27"/>
      <c r="Q33" s="21"/>
      <c r="R33" s="21"/>
      <c r="S33" s="21"/>
      <c r="T33" s="21"/>
      <c r="U33" s="21"/>
    </row>
    <row r="34" spans="1:21" s="22" customFormat="1" x14ac:dyDescent="0.25">
      <c r="A34" s="28" t="s">
        <v>30</v>
      </c>
      <c r="B34" s="29">
        <f t="shared" ref="B34:Q34" si="0">MIN(B9:B32)</f>
        <v>2.5499999999999998</v>
      </c>
      <c r="C34" s="29">
        <f t="shared" si="0"/>
        <v>69.14</v>
      </c>
      <c r="D34" s="29">
        <f t="shared" si="0"/>
        <v>40.47</v>
      </c>
      <c r="E34" s="29">
        <f t="shared" si="0"/>
        <v>30.22</v>
      </c>
      <c r="F34" s="29">
        <f t="shared" si="0"/>
        <v>7.06</v>
      </c>
      <c r="G34" s="29">
        <f t="shared" si="0"/>
        <v>84.31</v>
      </c>
      <c r="H34" s="29">
        <f t="shared" si="0"/>
        <v>43.69</v>
      </c>
      <c r="I34" s="29">
        <f t="shared" si="0"/>
        <v>0.11</v>
      </c>
      <c r="J34" s="29">
        <f t="shared" si="0"/>
        <v>0.13</v>
      </c>
      <c r="K34" s="29">
        <f t="shared" si="0"/>
        <v>20.88</v>
      </c>
      <c r="L34" s="29">
        <f t="shared" si="0"/>
        <v>0</v>
      </c>
      <c r="M34" s="29">
        <f t="shared" si="0"/>
        <v>0</v>
      </c>
      <c r="N34" s="29">
        <f t="shared" si="0"/>
        <v>4.5999999999999996</v>
      </c>
      <c r="O34" s="29">
        <f t="shared" si="0"/>
        <v>0</v>
      </c>
      <c r="P34" s="29">
        <f t="shared" si="0"/>
        <v>0.56999999999999995</v>
      </c>
      <c r="Q34" s="29">
        <f t="shared" si="0"/>
        <v>34.6</v>
      </c>
      <c r="R34" s="29"/>
      <c r="S34" s="29"/>
      <c r="T34" s="29"/>
      <c r="U34" s="29"/>
    </row>
    <row r="35" spans="1:21" s="22" customFormat="1" x14ac:dyDescent="0.25">
      <c r="A35" s="28" t="s">
        <v>31</v>
      </c>
      <c r="B35" s="30">
        <f t="shared" ref="B35:Q35" si="1">MAX(B9:B32)</f>
        <v>89.13</v>
      </c>
      <c r="C35" s="30">
        <f t="shared" si="1"/>
        <v>268.02999999999997</v>
      </c>
      <c r="D35" s="30">
        <f t="shared" si="1"/>
        <v>219.39</v>
      </c>
      <c r="E35" s="30">
        <f t="shared" si="1"/>
        <v>157.77000000000001</v>
      </c>
      <c r="F35" s="30">
        <f t="shared" si="1"/>
        <v>107.66</v>
      </c>
      <c r="G35" s="30">
        <f t="shared" si="1"/>
        <v>240.25</v>
      </c>
      <c r="H35" s="30">
        <f t="shared" si="1"/>
        <v>103.98</v>
      </c>
      <c r="I35" s="30">
        <f t="shared" si="1"/>
        <v>0.84</v>
      </c>
      <c r="J35" s="30">
        <f t="shared" si="1"/>
        <v>1.39</v>
      </c>
      <c r="K35" s="30">
        <f t="shared" si="1"/>
        <v>359.96</v>
      </c>
      <c r="L35" s="30">
        <f t="shared" si="1"/>
        <v>0</v>
      </c>
      <c r="M35" s="30">
        <f t="shared" si="1"/>
        <v>0</v>
      </c>
      <c r="N35" s="30">
        <f t="shared" si="1"/>
        <v>721.6</v>
      </c>
      <c r="O35" s="30">
        <f t="shared" si="1"/>
        <v>0</v>
      </c>
      <c r="P35" s="30">
        <f t="shared" si="1"/>
        <v>3.63</v>
      </c>
      <c r="Q35" s="30">
        <f t="shared" si="1"/>
        <v>163.66999999999999</v>
      </c>
      <c r="R35" s="30"/>
      <c r="S35" s="30"/>
      <c r="T35" s="30"/>
      <c r="U35" s="30"/>
    </row>
    <row r="36" spans="1:21" s="22" customFormat="1" x14ac:dyDescent="0.25">
      <c r="A36" s="28" t="s">
        <v>32</v>
      </c>
      <c r="B36" s="29">
        <f t="shared" ref="B36:Q36" si="2">AVERAGE(B9:B32)</f>
        <v>31.318333333333332</v>
      </c>
      <c r="C36" s="29">
        <f t="shared" si="2"/>
        <v>149.24625000000003</v>
      </c>
      <c r="D36" s="29">
        <f t="shared" si="2"/>
        <v>106.41958333333332</v>
      </c>
      <c r="E36" s="29">
        <f t="shared" si="2"/>
        <v>68.03125</v>
      </c>
      <c r="F36" s="29">
        <f t="shared" si="2"/>
        <v>51.412499999999987</v>
      </c>
      <c r="G36" s="29">
        <f t="shared" si="2"/>
        <v>164.82208333333332</v>
      </c>
      <c r="H36" s="29">
        <f t="shared" si="2"/>
        <v>72.106250000000017</v>
      </c>
      <c r="I36" s="29">
        <f t="shared" si="2"/>
        <v>0.31375000000000003</v>
      </c>
      <c r="J36" s="29">
        <f t="shared" si="2"/>
        <v>0.69958333333333333</v>
      </c>
      <c r="K36" s="29">
        <f t="shared" si="2"/>
        <v>225.97874999999999</v>
      </c>
      <c r="L36" s="29" t="e">
        <f t="shared" si="2"/>
        <v>#DIV/0!</v>
      </c>
      <c r="M36" s="29" t="e">
        <f t="shared" si="2"/>
        <v>#DIV/0!</v>
      </c>
      <c r="N36" s="29">
        <f t="shared" si="2"/>
        <v>210.05416666666676</v>
      </c>
      <c r="O36" s="29">
        <f t="shared" si="2"/>
        <v>0</v>
      </c>
      <c r="P36" s="29">
        <f t="shared" si="2"/>
        <v>1.4529166666666669</v>
      </c>
      <c r="Q36" s="29">
        <f t="shared" si="2"/>
        <v>93.591250000000002</v>
      </c>
      <c r="R36" s="29"/>
      <c r="S36" s="29"/>
      <c r="T36" s="29"/>
      <c r="U36" s="29"/>
    </row>
    <row r="37" spans="1:21" s="22" customFormat="1" x14ac:dyDescent="0.25">
      <c r="A37" s="28" t="s">
        <v>38</v>
      </c>
      <c r="B37" s="29">
        <f>STDEV(B9:B32)</f>
        <v>24.736778228003924</v>
      </c>
      <c r="C37" s="29">
        <f t="shared" ref="C37:Q37" si="3">STDEV(C9:C32)</f>
        <v>63.085926068615095</v>
      </c>
      <c r="D37" s="29">
        <f t="shared" si="3"/>
        <v>53.272881712047436</v>
      </c>
      <c r="E37" s="29">
        <f t="shared" si="3"/>
        <v>33.592421416599841</v>
      </c>
      <c r="F37" s="29">
        <f t="shared" si="3"/>
        <v>31.837915494634377</v>
      </c>
      <c r="G37" s="29">
        <f t="shared" si="3"/>
        <v>56.639092274963943</v>
      </c>
      <c r="H37" s="29">
        <f t="shared" si="3"/>
        <v>21.602266550264883</v>
      </c>
      <c r="I37" s="29">
        <f t="shared" si="3"/>
        <v>0.24221464609434473</v>
      </c>
      <c r="J37" s="29">
        <f t="shared" si="3"/>
        <v>0.44222244222313861</v>
      </c>
      <c r="K37" s="29">
        <f t="shared" si="3"/>
        <v>131.30003888580171</v>
      </c>
      <c r="L37" s="29" t="e">
        <f t="shared" si="3"/>
        <v>#DIV/0!</v>
      </c>
      <c r="M37" s="29" t="e">
        <f t="shared" si="3"/>
        <v>#DIV/0!</v>
      </c>
      <c r="N37" s="29">
        <f t="shared" si="3"/>
        <v>285.80953977318933</v>
      </c>
      <c r="O37" s="29">
        <f t="shared" si="3"/>
        <v>0</v>
      </c>
      <c r="P37" s="29">
        <f t="shared" si="3"/>
        <v>0.85219654380627563</v>
      </c>
      <c r="Q37" s="29">
        <f t="shared" si="3"/>
        <v>37.352311762750915</v>
      </c>
      <c r="R37" s="29"/>
      <c r="S37" s="29"/>
      <c r="T37" s="29"/>
      <c r="U37" s="29"/>
    </row>
    <row r="38" spans="1:21" s="22" customFormat="1" x14ac:dyDescent="0.25">
      <c r="A38" s="32" t="s">
        <v>33</v>
      </c>
      <c r="B38" s="33">
        <f t="shared" ref="B38:Q38" si="4">COUNT(B9:B32)</f>
        <v>24</v>
      </c>
      <c r="C38" s="33">
        <f t="shared" si="4"/>
        <v>24</v>
      </c>
      <c r="D38" s="33">
        <f t="shared" si="4"/>
        <v>24</v>
      </c>
      <c r="E38" s="33">
        <f t="shared" si="4"/>
        <v>24</v>
      </c>
      <c r="F38" s="33">
        <f t="shared" si="4"/>
        <v>24</v>
      </c>
      <c r="G38" s="33">
        <f t="shared" si="4"/>
        <v>24</v>
      </c>
      <c r="H38" s="33">
        <f t="shared" si="4"/>
        <v>24</v>
      </c>
      <c r="I38" s="33">
        <f>COUNT(I9:I32)</f>
        <v>24</v>
      </c>
      <c r="J38" s="33">
        <f t="shared" si="4"/>
        <v>24</v>
      </c>
      <c r="K38" s="33">
        <f t="shared" si="4"/>
        <v>24</v>
      </c>
      <c r="L38" s="33">
        <f>COUNT(L9:L32)+24</f>
        <v>24</v>
      </c>
      <c r="M38" s="33">
        <f>COUNT(M9:M32)+24</f>
        <v>24</v>
      </c>
      <c r="N38" s="33">
        <f t="shared" si="4"/>
        <v>24</v>
      </c>
      <c r="O38" s="33">
        <f t="shared" si="4"/>
        <v>24</v>
      </c>
      <c r="P38" s="33">
        <f t="shared" si="4"/>
        <v>24</v>
      </c>
      <c r="Q38" s="33">
        <f t="shared" si="4"/>
        <v>24</v>
      </c>
      <c r="R38" s="33"/>
      <c r="S38" s="33"/>
      <c r="T38" s="33"/>
      <c r="U38" s="33"/>
    </row>
    <row r="39" spans="1:21" s="22" customFormat="1" x14ac:dyDescent="0.25">
      <c r="A39" s="28" t="s">
        <v>34</v>
      </c>
      <c r="B39" s="30" t="str">
        <f>IF(B38&gt;=22,"&gt;90%",IF(B38&lt;=22,"&lt;90%"))</f>
        <v>&gt;90%</v>
      </c>
      <c r="C39" s="30" t="str">
        <f t="shared" ref="C39:P39" si="5">IF(C38&gt;=22,"&gt;90%",IF(C38&lt;=22,"&lt;90%"))</f>
        <v>&gt;90%</v>
      </c>
      <c r="D39" s="30" t="str">
        <f t="shared" si="5"/>
        <v>&gt;90%</v>
      </c>
      <c r="E39" s="30" t="str">
        <f t="shared" si="5"/>
        <v>&gt;90%</v>
      </c>
      <c r="F39" s="30" t="str">
        <f t="shared" si="5"/>
        <v>&gt;90%</v>
      </c>
      <c r="G39" s="30" t="str">
        <f t="shared" si="5"/>
        <v>&gt;90%</v>
      </c>
      <c r="H39" s="30" t="str">
        <f t="shared" si="5"/>
        <v>&gt;90%</v>
      </c>
      <c r="I39" s="30" t="str">
        <f t="shared" si="5"/>
        <v>&gt;90%</v>
      </c>
      <c r="J39" s="30" t="str">
        <f t="shared" si="5"/>
        <v>&gt;90%</v>
      </c>
      <c r="K39" s="30" t="str">
        <f t="shared" si="5"/>
        <v>&gt;90%</v>
      </c>
      <c r="L39" s="30" t="str">
        <f t="shared" si="5"/>
        <v>&gt;90%</v>
      </c>
      <c r="M39" s="30" t="str">
        <f t="shared" si="5"/>
        <v>&gt;90%</v>
      </c>
      <c r="N39" s="30" t="str">
        <f t="shared" si="5"/>
        <v>&gt;90%</v>
      </c>
      <c r="O39" s="30" t="str">
        <f t="shared" si="5"/>
        <v>&gt;90%</v>
      </c>
      <c r="P39" s="30" t="str">
        <f t="shared" si="5"/>
        <v>&gt;90%</v>
      </c>
      <c r="Q39" s="30" t="str">
        <f>IF(Q38&gt;=22,"&gt;90%",IF(Q38&lt;=22,"&lt;90%"))</f>
        <v>&gt;90%</v>
      </c>
      <c r="R39" s="30"/>
      <c r="S39" s="30"/>
      <c r="T39" s="30"/>
      <c r="U39" s="30"/>
    </row>
    <row r="40" spans="1:21" s="22" customFormat="1" x14ac:dyDescent="0.25">
      <c r="A40" s="28" t="s">
        <v>1</v>
      </c>
      <c r="B40" s="30" t="str">
        <f>IF(B38&gt;=22,"OK",IF(B38&lt;=22,"LESS"))</f>
        <v>OK</v>
      </c>
      <c r="C40" s="30" t="str">
        <f t="shared" ref="C40:Q40" si="6">IF(C38&gt;=22,"OK",IF(C38&lt;=22,"LESS"))</f>
        <v>OK</v>
      </c>
      <c r="D40" s="30" t="str">
        <f t="shared" si="6"/>
        <v>OK</v>
      </c>
      <c r="E40" s="30" t="str">
        <f t="shared" si="6"/>
        <v>OK</v>
      </c>
      <c r="F40" s="30" t="str">
        <f t="shared" si="6"/>
        <v>OK</v>
      </c>
      <c r="G40" s="30" t="str">
        <f t="shared" si="6"/>
        <v>OK</v>
      </c>
      <c r="H40" s="30" t="str">
        <f t="shared" si="6"/>
        <v>OK</v>
      </c>
      <c r="I40" s="30" t="str">
        <f t="shared" si="6"/>
        <v>OK</v>
      </c>
      <c r="J40" s="30" t="str">
        <f t="shared" si="6"/>
        <v>OK</v>
      </c>
      <c r="K40" s="30" t="str">
        <f t="shared" si="6"/>
        <v>OK</v>
      </c>
      <c r="L40" s="30" t="str">
        <f t="shared" si="6"/>
        <v>OK</v>
      </c>
      <c r="M40" s="30" t="str">
        <f t="shared" si="6"/>
        <v>OK</v>
      </c>
      <c r="N40" s="30" t="str">
        <f t="shared" si="6"/>
        <v>OK</v>
      </c>
      <c r="O40" s="30" t="str">
        <f t="shared" si="6"/>
        <v>OK</v>
      </c>
      <c r="P40" s="30" t="str">
        <f t="shared" si="6"/>
        <v>OK</v>
      </c>
      <c r="Q40" s="30" t="str">
        <f t="shared" si="6"/>
        <v>OK</v>
      </c>
      <c r="R40" s="30"/>
      <c r="S40" s="30"/>
      <c r="T40" s="30"/>
      <c r="U40" s="30"/>
    </row>
    <row r="41" spans="1:21" s="22" customFormat="1" x14ac:dyDescent="0.25">
      <c r="A41" s="14"/>
      <c r="L41" s="14"/>
      <c r="N41" s="17"/>
      <c r="O41" s="17"/>
      <c r="P41" s="17"/>
      <c r="Q41" s="17"/>
      <c r="R41" s="17"/>
      <c r="S41" s="17"/>
      <c r="T41" s="17"/>
      <c r="U41" s="17"/>
    </row>
    <row r="42" spans="1:21" s="22" customFormat="1" x14ac:dyDescent="0.25">
      <c r="A42" s="14"/>
    </row>
    <row r="43" spans="1:21" s="22" customFormat="1" x14ac:dyDescent="0.25">
      <c r="A43" s="15" t="s">
        <v>35</v>
      </c>
      <c r="B43" s="41" t="s">
        <v>42</v>
      </c>
      <c r="C43" s="43"/>
    </row>
    <row r="44" spans="1:21" s="22" customFormat="1" x14ac:dyDescent="0.25">
      <c r="A44" s="14"/>
      <c r="D44" s="2"/>
      <c r="E44" s="2"/>
      <c r="F44" s="2"/>
      <c r="G44" s="2"/>
      <c r="H44" s="2"/>
      <c r="I44" s="2"/>
    </row>
    <row r="45" spans="1:21" s="22" customFormat="1" ht="15.75" x14ac:dyDescent="0.25">
      <c r="A45" s="18" t="s">
        <v>36</v>
      </c>
      <c r="B45" s="42" t="s">
        <v>785</v>
      </c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</row>
    <row r="46" spans="1:21" s="22" customFormat="1" x14ac:dyDescent="0.25"/>
    <row r="47" spans="1:21" s="22" customFormat="1" x14ac:dyDescent="0.25"/>
    <row r="48" spans="1:21" s="22" customFormat="1" x14ac:dyDescent="0.25"/>
    <row r="49" s="22" customFormat="1" x14ac:dyDescent="0.25"/>
    <row r="50" s="22" customFormat="1" x14ac:dyDescent="0.25"/>
    <row r="51" s="22" customFormat="1" x14ac:dyDescent="0.25"/>
    <row r="52" s="22" customFormat="1" x14ac:dyDescent="0.25"/>
    <row r="53" s="22" customFormat="1" x14ac:dyDescent="0.25"/>
    <row r="54" s="22" customFormat="1" x14ac:dyDescent="0.25"/>
    <row r="55" s="22" customFormat="1" x14ac:dyDescent="0.25"/>
    <row r="56" s="22" customFormat="1" x14ac:dyDescent="0.25"/>
    <row r="57" s="22" customFormat="1" x14ac:dyDescent="0.25"/>
    <row r="58" s="22" customFormat="1" x14ac:dyDescent="0.25"/>
    <row r="59" s="22" customFormat="1" x14ac:dyDescent="0.25"/>
    <row r="60" s="22" customFormat="1" x14ac:dyDescent="0.25"/>
    <row r="61" s="22" customFormat="1" x14ac:dyDescent="0.25"/>
    <row r="62" s="22" customFormat="1" x14ac:dyDescent="0.25"/>
    <row r="63" s="22" customFormat="1" x14ac:dyDescent="0.25"/>
    <row r="64" s="22" customFormat="1" x14ac:dyDescent="0.25"/>
    <row r="65" s="22" customFormat="1" x14ac:dyDescent="0.25"/>
    <row r="66" s="22" customFormat="1" x14ac:dyDescent="0.25"/>
    <row r="67" s="22" customFormat="1" x14ac:dyDescent="0.25"/>
    <row r="68" s="22" customFormat="1" x14ac:dyDescent="0.25"/>
    <row r="69" s="22" customFormat="1" x14ac:dyDescent="0.25"/>
    <row r="70" s="22" customFormat="1" x14ac:dyDescent="0.25"/>
    <row r="71" s="22" customFormat="1" x14ac:dyDescent="0.25"/>
    <row r="72" s="22" customFormat="1" x14ac:dyDescent="0.25"/>
    <row r="73" s="22" customFormat="1" x14ac:dyDescent="0.25"/>
    <row r="74" s="22" customFormat="1" x14ac:dyDescent="0.25"/>
    <row r="75" s="22" customFormat="1" x14ac:dyDescent="0.25"/>
    <row r="76" s="22" customFormat="1" x14ac:dyDescent="0.25"/>
    <row r="77" s="22" customFormat="1" x14ac:dyDescent="0.25"/>
    <row r="78" s="22" customFormat="1" x14ac:dyDescent="0.25"/>
    <row r="79" s="22" customFormat="1" x14ac:dyDescent="0.25"/>
    <row r="80" s="22" customFormat="1" x14ac:dyDescent="0.25"/>
    <row r="81" s="22" customFormat="1" x14ac:dyDescent="0.25"/>
    <row r="82" s="22" customFormat="1" x14ac:dyDescent="0.25"/>
    <row r="83" s="22" customFormat="1" x14ac:dyDescent="0.25"/>
    <row r="84" s="22" customFormat="1" x14ac:dyDescent="0.25"/>
    <row r="85" s="22" customFormat="1" x14ac:dyDescent="0.25"/>
    <row r="86" s="22" customFormat="1" x14ac:dyDescent="0.25"/>
    <row r="87" s="22" customFormat="1" x14ac:dyDescent="0.25"/>
    <row r="88" s="22" customFormat="1" x14ac:dyDescent="0.25"/>
    <row r="89" s="22" customFormat="1" x14ac:dyDescent="0.25"/>
    <row r="90" s="22" customFormat="1" x14ac:dyDescent="0.25"/>
    <row r="91" s="22" customFormat="1" x14ac:dyDescent="0.25"/>
    <row r="92" s="22" customFormat="1" x14ac:dyDescent="0.25"/>
    <row r="93" s="22" customFormat="1" x14ac:dyDescent="0.25"/>
    <row r="94" s="22" customFormat="1" x14ac:dyDescent="0.25"/>
    <row r="95" s="22" customFormat="1" x14ac:dyDescent="0.25"/>
    <row r="96" s="22" customFormat="1" x14ac:dyDescent="0.25"/>
    <row r="97" spans="1:1" s="22" customFormat="1" x14ac:dyDescent="0.25"/>
    <row r="98" spans="1:1" s="22" customFormat="1" x14ac:dyDescent="0.25"/>
    <row r="99" spans="1:1" s="22" customFormat="1" x14ac:dyDescent="0.25"/>
    <row r="100" spans="1:1" s="22" customFormat="1" x14ac:dyDescent="0.25"/>
    <row r="101" spans="1:1" s="22" customFormat="1" x14ac:dyDescent="0.25"/>
    <row r="102" spans="1:1" s="22" customFormat="1" x14ac:dyDescent="0.25"/>
    <row r="103" spans="1:1" s="22" customFormat="1" x14ac:dyDescent="0.25"/>
    <row r="104" spans="1:1" s="22" customFormat="1" x14ac:dyDescent="0.25"/>
    <row r="105" spans="1:1" s="22" customFormat="1" x14ac:dyDescent="0.25"/>
    <row r="106" spans="1:1" x14ac:dyDescent="0.25">
      <c r="A106" s="21"/>
    </row>
    <row r="107" spans="1:1" s="22" customFormat="1" x14ac:dyDescent="0.25"/>
    <row r="108" spans="1:1" s="22" customFormat="1" x14ac:dyDescent="0.25"/>
    <row r="109" spans="1:1" s="22" customFormat="1" x14ac:dyDescent="0.25"/>
    <row r="110" spans="1:1" s="22" customFormat="1" x14ac:dyDescent="0.25"/>
    <row r="111" spans="1:1" s="22" customFormat="1" x14ac:dyDescent="0.25"/>
    <row r="112" spans="1:1" s="22" customFormat="1" x14ac:dyDescent="0.25"/>
    <row r="113" spans="1:1" s="22" customFormat="1" x14ac:dyDescent="0.25"/>
    <row r="114" spans="1:1" s="22" customFormat="1" x14ac:dyDescent="0.25"/>
    <row r="115" spans="1:1" s="22" customFormat="1" x14ac:dyDescent="0.25"/>
    <row r="116" spans="1:1" s="22" customFormat="1" x14ac:dyDescent="0.25"/>
    <row r="117" spans="1:1" s="22" customFormat="1" x14ac:dyDescent="0.25"/>
    <row r="118" spans="1:1" x14ac:dyDescent="0.25">
      <c r="A118" s="21"/>
    </row>
    <row r="119" spans="1:1" x14ac:dyDescent="0.25">
      <c r="A119" s="21"/>
    </row>
  </sheetData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selection activeCell="A9" sqref="A9:Q32"/>
    </sheetView>
  </sheetViews>
  <sheetFormatPr defaultColWidth="8.85546875" defaultRowHeight="15" x14ac:dyDescent="0.25"/>
  <cols>
    <col min="1" max="1" width="18.28515625" style="27" customWidth="1"/>
    <col min="2" max="2" width="12.7109375" style="21" customWidth="1"/>
    <col min="3" max="12" width="9.140625" style="21" customWidth="1"/>
    <col min="13" max="13" width="10" style="21" customWidth="1"/>
    <col min="14" max="16" width="9.140625" style="21" customWidth="1"/>
    <col min="17" max="17" width="16.42578125" style="21" customWidth="1"/>
    <col min="18" max="19" width="9.140625" style="21" customWidth="1"/>
    <col min="20" max="20" width="11.42578125" style="21" customWidth="1"/>
    <col min="21" max="16384" width="8.85546875" style="21"/>
  </cols>
  <sheetData>
    <row r="1" spans="1:21" s="22" customFormat="1" ht="26.25" x14ac:dyDescent="0.25">
      <c r="A1" s="15" t="s">
        <v>2</v>
      </c>
      <c r="B1" s="24" t="s">
        <v>43</v>
      </c>
      <c r="C1" s="38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s="22" customFormat="1" x14ac:dyDescent="0.25">
      <c r="A2" s="15" t="s">
        <v>0</v>
      </c>
      <c r="B2" s="39" t="str">
        <f>$A$9</f>
        <v>31-10-2022 01:00</v>
      </c>
      <c r="C2" s="12"/>
      <c r="D2" s="11" t="s">
        <v>3</v>
      </c>
      <c r="E2" s="11"/>
      <c r="F2" s="11"/>
      <c r="G2" s="4" t="s">
        <v>4</v>
      </c>
      <c r="H2" s="20"/>
      <c r="I2" s="20"/>
      <c r="J2" s="20"/>
      <c r="K2" s="13"/>
      <c r="L2" s="11" t="s">
        <v>5</v>
      </c>
      <c r="M2" s="13"/>
      <c r="N2" s="8" t="s">
        <v>6</v>
      </c>
      <c r="P2" s="40" t="s">
        <v>7</v>
      </c>
      <c r="Q2" s="13"/>
      <c r="R2" s="9" t="s">
        <v>8</v>
      </c>
      <c r="S2" s="12"/>
      <c r="T2" s="12"/>
      <c r="U2" s="12"/>
    </row>
    <row r="3" spans="1:21" s="22" customFormat="1" x14ac:dyDescent="0.25">
      <c r="A3" s="15" t="s">
        <v>9</v>
      </c>
      <c r="B3" s="13" t="s">
        <v>10</v>
      </c>
      <c r="C3" s="12"/>
      <c r="D3" s="11" t="s">
        <v>11</v>
      </c>
      <c r="E3" s="11"/>
      <c r="F3" s="11"/>
      <c r="G3" s="19" t="s">
        <v>12</v>
      </c>
      <c r="H3" s="20"/>
      <c r="I3" s="20"/>
      <c r="J3" s="20"/>
      <c r="K3" s="12"/>
      <c r="L3" s="11" t="s">
        <v>13</v>
      </c>
      <c r="M3" s="13"/>
      <c r="N3" s="6" t="s">
        <v>14</v>
      </c>
      <c r="O3" s="13"/>
      <c r="P3" s="40" t="s">
        <v>15</v>
      </c>
      <c r="Q3" s="13"/>
      <c r="R3" s="10" t="s">
        <v>15</v>
      </c>
      <c r="S3" s="12"/>
      <c r="T3" s="12"/>
      <c r="U3" s="12"/>
    </row>
    <row r="4" spans="1:21" s="22" customFormat="1" x14ac:dyDescent="0.25">
      <c r="A4" s="15" t="s">
        <v>16</v>
      </c>
      <c r="B4" s="13" t="s">
        <v>39</v>
      </c>
      <c r="C4" s="12"/>
      <c r="D4" s="11" t="s">
        <v>17</v>
      </c>
      <c r="E4" s="11"/>
      <c r="F4" s="11"/>
      <c r="G4" s="5" t="s">
        <v>18</v>
      </c>
      <c r="H4" s="20"/>
      <c r="I4" s="20"/>
      <c r="J4" s="20"/>
      <c r="K4" s="3"/>
      <c r="L4" s="11" t="s">
        <v>19</v>
      </c>
      <c r="M4" s="13"/>
      <c r="N4" s="7" t="s">
        <v>20</v>
      </c>
      <c r="O4" s="13"/>
      <c r="P4" s="13"/>
      <c r="Q4" s="13"/>
      <c r="R4" s="13"/>
      <c r="S4" s="12"/>
      <c r="T4" s="12"/>
      <c r="U4" s="12"/>
    </row>
    <row r="5" spans="1:21" s="22" customFormat="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s="22" customFormat="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s="22" customFormat="1" x14ac:dyDescent="0.25">
      <c r="A7" s="15" t="s">
        <v>21</v>
      </c>
      <c r="B7" s="45" t="s">
        <v>59</v>
      </c>
      <c r="C7" s="45" t="s">
        <v>44</v>
      </c>
      <c r="D7" s="45" t="s">
        <v>45</v>
      </c>
      <c r="E7" s="45" t="s">
        <v>46</v>
      </c>
      <c r="F7" s="45" t="s">
        <v>47</v>
      </c>
      <c r="G7" s="45" t="s">
        <v>48</v>
      </c>
      <c r="H7" s="45" t="s">
        <v>49</v>
      </c>
      <c r="I7" s="45" t="s">
        <v>50</v>
      </c>
      <c r="J7" s="45" t="s">
        <v>51</v>
      </c>
      <c r="K7" s="45" t="s">
        <v>52</v>
      </c>
      <c r="L7" s="45" t="s">
        <v>53</v>
      </c>
      <c r="M7" s="45" t="s">
        <v>54</v>
      </c>
      <c r="N7" s="45" t="s">
        <v>55</v>
      </c>
      <c r="O7" s="45" t="s">
        <v>56</v>
      </c>
      <c r="P7" s="45" t="s">
        <v>57</v>
      </c>
      <c r="Q7" s="45" t="s">
        <v>58</v>
      </c>
      <c r="R7" s="28"/>
      <c r="S7" s="30"/>
      <c r="T7" s="28"/>
      <c r="U7" s="28"/>
    </row>
    <row r="8" spans="1:21" s="22" customFormat="1" x14ac:dyDescent="0.25">
      <c r="A8" s="15"/>
      <c r="B8" s="30" t="s">
        <v>22</v>
      </c>
      <c r="C8" s="30" t="s">
        <v>22</v>
      </c>
      <c r="D8" s="30" t="s">
        <v>22</v>
      </c>
      <c r="E8" s="30" t="s">
        <v>22</v>
      </c>
      <c r="F8" s="30" t="s">
        <v>22</v>
      </c>
      <c r="G8" s="30" t="s">
        <v>23</v>
      </c>
      <c r="H8" s="30" t="s">
        <v>22</v>
      </c>
      <c r="I8" s="30" t="s">
        <v>22</v>
      </c>
      <c r="J8" s="30" t="s">
        <v>24</v>
      </c>
      <c r="K8" s="30" t="s">
        <v>25</v>
      </c>
      <c r="L8" s="28" t="s">
        <v>27</v>
      </c>
      <c r="M8" s="30" t="s">
        <v>26</v>
      </c>
      <c r="N8" s="30" t="s">
        <v>28</v>
      </c>
      <c r="O8" s="28" t="s">
        <v>29</v>
      </c>
      <c r="P8" s="30" t="s">
        <v>22</v>
      </c>
      <c r="Q8" s="30" t="s">
        <v>22</v>
      </c>
      <c r="R8" s="28"/>
      <c r="S8" s="30"/>
      <c r="T8" s="28"/>
      <c r="U8" s="28"/>
    </row>
    <row r="9" spans="1:21" s="12" customFormat="1" x14ac:dyDescent="0.25">
      <c r="A9" s="51" t="s">
        <v>786</v>
      </c>
      <c r="B9" s="52">
        <v>34.33</v>
      </c>
      <c r="C9" s="52">
        <v>198.7</v>
      </c>
      <c r="D9" s="52">
        <v>137.19</v>
      </c>
      <c r="E9" s="52">
        <v>28.9</v>
      </c>
      <c r="F9" s="52">
        <v>26.16</v>
      </c>
      <c r="G9" s="52">
        <v>235.06</v>
      </c>
      <c r="H9" s="52">
        <v>78.37</v>
      </c>
      <c r="I9" s="52">
        <v>0.46</v>
      </c>
      <c r="J9" s="52">
        <v>0.17</v>
      </c>
      <c r="K9" s="52">
        <v>334.14</v>
      </c>
      <c r="L9" s="54" t="s">
        <v>8</v>
      </c>
      <c r="M9" s="54" t="s">
        <v>8</v>
      </c>
      <c r="N9" s="52">
        <v>4.7</v>
      </c>
      <c r="O9" s="52">
        <v>0</v>
      </c>
      <c r="P9" s="52">
        <v>1.6</v>
      </c>
      <c r="Q9" s="52">
        <v>107.68</v>
      </c>
      <c r="R9" s="44"/>
      <c r="S9" s="44"/>
      <c r="T9" s="44"/>
      <c r="U9" s="44"/>
    </row>
    <row r="10" spans="1:21" s="12" customFormat="1" x14ac:dyDescent="0.25">
      <c r="A10" s="51" t="s">
        <v>787</v>
      </c>
      <c r="B10" s="52">
        <v>20.64</v>
      </c>
      <c r="C10" s="52">
        <v>122.73</v>
      </c>
      <c r="D10" s="52">
        <v>84.28</v>
      </c>
      <c r="E10" s="52">
        <v>21.48</v>
      </c>
      <c r="F10" s="52">
        <v>16.52</v>
      </c>
      <c r="G10" s="52">
        <v>223.3</v>
      </c>
      <c r="H10" s="52">
        <v>78.37</v>
      </c>
      <c r="I10" s="52">
        <v>0.43</v>
      </c>
      <c r="J10" s="52">
        <v>0.15</v>
      </c>
      <c r="K10" s="52">
        <v>326.06</v>
      </c>
      <c r="L10" s="54" t="s">
        <v>8</v>
      </c>
      <c r="M10" s="54" t="s">
        <v>8</v>
      </c>
      <c r="N10" s="52">
        <v>4.5999999999999996</v>
      </c>
      <c r="O10" s="52">
        <v>0</v>
      </c>
      <c r="P10" s="52">
        <v>1.28</v>
      </c>
      <c r="Q10" s="52">
        <v>81.510000000000005</v>
      </c>
      <c r="R10" s="44"/>
      <c r="S10" s="44"/>
      <c r="T10" s="44"/>
      <c r="U10" s="44"/>
    </row>
    <row r="11" spans="1:21" s="12" customFormat="1" x14ac:dyDescent="0.25">
      <c r="A11" s="51" t="s">
        <v>788</v>
      </c>
      <c r="B11" s="52">
        <v>14.07</v>
      </c>
      <c r="C11" s="52">
        <v>115.72</v>
      </c>
      <c r="D11" s="52">
        <v>75.14</v>
      </c>
      <c r="E11" s="52">
        <v>14.78</v>
      </c>
      <c r="F11" s="52">
        <v>30.85</v>
      </c>
      <c r="G11" s="52">
        <v>203.91</v>
      </c>
      <c r="H11" s="52">
        <v>76.75</v>
      </c>
      <c r="I11" s="52">
        <v>0.43</v>
      </c>
      <c r="J11" s="52">
        <v>0.15</v>
      </c>
      <c r="K11" s="52">
        <v>346.01</v>
      </c>
      <c r="L11" s="54" t="s">
        <v>8</v>
      </c>
      <c r="M11" s="54" t="s">
        <v>8</v>
      </c>
      <c r="N11" s="52">
        <v>4.5</v>
      </c>
      <c r="O11" s="52">
        <v>0</v>
      </c>
      <c r="P11" s="52">
        <v>1.26</v>
      </c>
      <c r="Q11" s="52">
        <v>81.819999999999993</v>
      </c>
      <c r="R11" s="44"/>
      <c r="S11" s="44"/>
      <c r="T11" s="44"/>
      <c r="U11" s="44"/>
    </row>
    <row r="12" spans="1:21" s="12" customFormat="1" x14ac:dyDescent="0.25">
      <c r="A12" s="51" t="s">
        <v>789</v>
      </c>
      <c r="B12" s="52">
        <v>9.39</v>
      </c>
      <c r="C12" s="52">
        <v>82.6</v>
      </c>
      <c r="D12" s="52">
        <v>53.11</v>
      </c>
      <c r="E12" s="52">
        <v>14.55</v>
      </c>
      <c r="F12" s="52">
        <v>20.079999999999998</v>
      </c>
      <c r="G12" s="52">
        <v>186.66</v>
      </c>
      <c r="H12" s="52">
        <v>72.87</v>
      </c>
      <c r="I12" s="52">
        <v>0.32</v>
      </c>
      <c r="J12" s="52">
        <v>0.25</v>
      </c>
      <c r="K12" s="52">
        <v>344.77</v>
      </c>
      <c r="L12" s="54" t="s">
        <v>8</v>
      </c>
      <c r="M12" s="54" t="s">
        <v>8</v>
      </c>
      <c r="N12" s="52">
        <v>4.5</v>
      </c>
      <c r="O12" s="52">
        <v>0</v>
      </c>
      <c r="P12" s="52">
        <v>0.92</v>
      </c>
      <c r="Q12" s="52">
        <v>56.2</v>
      </c>
      <c r="R12" s="44"/>
      <c r="S12" s="44"/>
      <c r="T12" s="44"/>
      <c r="U12" s="44"/>
    </row>
    <row r="13" spans="1:21" s="12" customFormat="1" x14ac:dyDescent="0.25">
      <c r="A13" s="51" t="s">
        <v>790</v>
      </c>
      <c r="B13" s="52">
        <v>24.36</v>
      </c>
      <c r="C13" s="52">
        <v>106.63</v>
      </c>
      <c r="D13" s="52">
        <v>78.38</v>
      </c>
      <c r="E13" s="52">
        <v>36.31</v>
      </c>
      <c r="F13" s="52">
        <v>19.29</v>
      </c>
      <c r="G13" s="52">
        <v>153.03</v>
      </c>
      <c r="H13" s="52">
        <v>71.819999999999993</v>
      </c>
      <c r="I13" s="52">
        <v>0.33</v>
      </c>
      <c r="J13" s="52">
        <v>0.45</v>
      </c>
      <c r="K13" s="52">
        <v>301.14999999999998</v>
      </c>
      <c r="L13" s="54" t="s">
        <v>8</v>
      </c>
      <c r="M13" s="54" t="s">
        <v>8</v>
      </c>
      <c r="N13" s="52">
        <v>4.0999999999999996</v>
      </c>
      <c r="O13" s="52">
        <v>0</v>
      </c>
      <c r="P13" s="52">
        <v>1.3</v>
      </c>
      <c r="Q13" s="52">
        <v>78.44</v>
      </c>
      <c r="R13" s="44"/>
      <c r="S13" s="44"/>
      <c r="T13" s="44"/>
      <c r="U13" s="44"/>
    </row>
    <row r="14" spans="1:21" s="12" customFormat="1" x14ac:dyDescent="0.25">
      <c r="A14" s="51" t="s">
        <v>791</v>
      </c>
      <c r="B14" s="52">
        <v>10.66</v>
      </c>
      <c r="C14" s="52">
        <v>88.39</v>
      </c>
      <c r="D14" s="52">
        <v>57.33</v>
      </c>
      <c r="E14" s="52">
        <v>33.51</v>
      </c>
      <c r="F14" s="52">
        <v>39.46</v>
      </c>
      <c r="G14" s="52">
        <v>175.1</v>
      </c>
      <c r="H14" s="52">
        <v>74.37</v>
      </c>
      <c r="I14" s="52">
        <v>0.22</v>
      </c>
      <c r="J14" s="52">
        <v>0.34</v>
      </c>
      <c r="K14" s="52">
        <v>76.7</v>
      </c>
      <c r="L14" s="54" t="s">
        <v>8</v>
      </c>
      <c r="M14" s="54" t="s">
        <v>8</v>
      </c>
      <c r="N14" s="52">
        <v>5.7</v>
      </c>
      <c r="O14" s="52">
        <v>0</v>
      </c>
      <c r="P14" s="52">
        <v>0.94</v>
      </c>
      <c r="Q14" s="52">
        <v>64.62</v>
      </c>
      <c r="R14" s="44"/>
      <c r="S14" s="44"/>
      <c r="T14" s="44"/>
      <c r="U14" s="44"/>
    </row>
    <row r="15" spans="1:21" s="12" customFormat="1" x14ac:dyDescent="0.25">
      <c r="A15" s="51" t="s">
        <v>792</v>
      </c>
      <c r="B15" s="52">
        <v>24.72</v>
      </c>
      <c r="C15" s="52">
        <v>129.57</v>
      </c>
      <c r="D15" s="52">
        <v>91.32</v>
      </c>
      <c r="E15" s="52">
        <v>43.97</v>
      </c>
      <c r="F15" s="52">
        <v>33.299999999999997</v>
      </c>
      <c r="G15" s="52">
        <v>175.1</v>
      </c>
      <c r="H15" s="52">
        <v>74.37</v>
      </c>
      <c r="I15" s="52">
        <v>0.12</v>
      </c>
      <c r="J15" s="52">
        <v>0.33</v>
      </c>
      <c r="K15" s="52">
        <v>82.45</v>
      </c>
      <c r="L15" s="54" t="s">
        <v>8</v>
      </c>
      <c r="M15" s="54" t="s">
        <v>8</v>
      </c>
      <c r="N15" s="52">
        <v>57.1</v>
      </c>
      <c r="O15" s="52">
        <v>0</v>
      </c>
      <c r="P15" s="52">
        <v>0.98</v>
      </c>
      <c r="Q15" s="52">
        <v>59.85</v>
      </c>
      <c r="R15" s="44"/>
      <c r="S15" s="44"/>
      <c r="T15" s="44"/>
      <c r="U15" s="44"/>
    </row>
    <row r="16" spans="1:21" s="12" customFormat="1" x14ac:dyDescent="0.25">
      <c r="A16" s="51" t="s">
        <v>793</v>
      </c>
      <c r="B16" s="52">
        <v>37.17</v>
      </c>
      <c r="C16" s="52">
        <v>169.21</v>
      </c>
      <c r="D16" s="52">
        <v>123.19</v>
      </c>
      <c r="E16" s="52">
        <v>41.29</v>
      </c>
      <c r="F16" s="52">
        <v>33.64</v>
      </c>
      <c r="G16" s="52">
        <v>160.65</v>
      </c>
      <c r="H16" s="52">
        <v>72.3</v>
      </c>
      <c r="I16" s="52">
        <v>0.22</v>
      </c>
      <c r="J16" s="52">
        <v>0.41</v>
      </c>
      <c r="K16" s="52">
        <v>94.19</v>
      </c>
      <c r="L16" s="54" t="s">
        <v>8</v>
      </c>
      <c r="M16" s="54" t="s">
        <v>8</v>
      </c>
      <c r="N16" s="52">
        <v>258.7</v>
      </c>
      <c r="O16" s="52">
        <v>0</v>
      </c>
      <c r="P16" s="52">
        <v>1.42</v>
      </c>
      <c r="Q16" s="52">
        <v>126.78</v>
      </c>
      <c r="R16" s="44"/>
      <c r="S16" s="44"/>
      <c r="T16" s="44"/>
      <c r="U16" s="44"/>
    </row>
    <row r="17" spans="1:21" s="12" customFormat="1" x14ac:dyDescent="0.25">
      <c r="A17" s="51" t="s">
        <v>794</v>
      </c>
      <c r="B17" s="52">
        <v>23.84</v>
      </c>
      <c r="C17" s="52">
        <v>139.15</v>
      </c>
      <c r="D17" s="52">
        <v>95.91</v>
      </c>
      <c r="E17" s="52">
        <v>49.21</v>
      </c>
      <c r="F17" s="52">
        <v>67.680000000000007</v>
      </c>
      <c r="G17" s="52">
        <v>175.81</v>
      </c>
      <c r="H17" s="52">
        <v>74.36</v>
      </c>
      <c r="I17" s="52">
        <v>0.31</v>
      </c>
      <c r="J17" s="52">
        <v>0.63</v>
      </c>
      <c r="K17" s="52">
        <v>107.4</v>
      </c>
      <c r="L17" s="54" t="s">
        <v>8</v>
      </c>
      <c r="M17" s="54" t="s">
        <v>8</v>
      </c>
      <c r="N17" s="52">
        <v>495.4</v>
      </c>
      <c r="O17" s="52">
        <v>0</v>
      </c>
      <c r="P17" s="52">
        <v>1.21</v>
      </c>
      <c r="Q17" s="52">
        <v>124.92</v>
      </c>
      <c r="R17" s="44"/>
      <c r="S17" s="44"/>
      <c r="T17" s="44"/>
      <c r="U17" s="44"/>
    </row>
    <row r="18" spans="1:21" s="12" customFormat="1" x14ac:dyDescent="0.25">
      <c r="A18" s="51" t="s">
        <v>795</v>
      </c>
      <c r="B18" s="52">
        <v>16.77</v>
      </c>
      <c r="C18" s="52">
        <v>117.94</v>
      </c>
      <c r="D18" s="52">
        <v>78.540000000000006</v>
      </c>
      <c r="E18" s="52">
        <v>55.06</v>
      </c>
      <c r="F18" s="52">
        <v>76.209999999999994</v>
      </c>
      <c r="G18" s="52">
        <v>175.81</v>
      </c>
      <c r="H18" s="52">
        <v>74.36</v>
      </c>
      <c r="I18" s="52">
        <v>0.23</v>
      </c>
      <c r="J18" s="52">
        <v>1</v>
      </c>
      <c r="K18" s="52">
        <v>81.28</v>
      </c>
      <c r="L18" s="54" t="s">
        <v>8</v>
      </c>
      <c r="M18" s="54" t="s">
        <v>8</v>
      </c>
      <c r="N18" s="52">
        <v>628.20000000000005</v>
      </c>
      <c r="O18" s="52">
        <v>0</v>
      </c>
      <c r="P18" s="52">
        <v>1</v>
      </c>
      <c r="Q18" s="52">
        <v>80</v>
      </c>
      <c r="R18" s="44"/>
      <c r="S18" s="44"/>
      <c r="T18" s="44"/>
      <c r="U18" s="44"/>
    </row>
    <row r="19" spans="1:21" s="12" customFormat="1" x14ac:dyDescent="0.25">
      <c r="A19" s="51" t="s">
        <v>796</v>
      </c>
      <c r="B19" s="52">
        <v>15.5</v>
      </c>
      <c r="C19" s="52">
        <v>90.4</v>
      </c>
      <c r="D19" s="52">
        <v>59.92</v>
      </c>
      <c r="E19" s="52">
        <v>54.35</v>
      </c>
      <c r="F19" s="52">
        <v>81.31</v>
      </c>
      <c r="G19" s="52">
        <v>152.1</v>
      </c>
      <c r="H19" s="52">
        <v>66.77</v>
      </c>
      <c r="I19" s="52">
        <v>0.17</v>
      </c>
      <c r="J19" s="52">
        <v>1.1100000000000001</v>
      </c>
      <c r="K19" s="52">
        <v>95.24</v>
      </c>
      <c r="L19" s="54" t="s">
        <v>8</v>
      </c>
      <c r="M19" s="54" t="s">
        <v>8</v>
      </c>
      <c r="N19" s="52">
        <v>695.1</v>
      </c>
      <c r="O19" s="52">
        <v>0</v>
      </c>
      <c r="P19" s="52">
        <v>0.88</v>
      </c>
      <c r="Q19" s="52">
        <v>61.87</v>
      </c>
      <c r="R19" s="44"/>
      <c r="S19" s="44"/>
      <c r="T19" s="44"/>
      <c r="U19" s="44"/>
    </row>
    <row r="20" spans="1:21" s="12" customFormat="1" x14ac:dyDescent="0.25">
      <c r="A20" s="51" t="s">
        <v>797</v>
      </c>
      <c r="B20" s="52">
        <v>15.33</v>
      </c>
      <c r="C20" s="52">
        <v>86.12</v>
      </c>
      <c r="D20" s="52">
        <v>59.82</v>
      </c>
      <c r="E20" s="52">
        <v>44.42</v>
      </c>
      <c r="F20" s="52">
        <v>89.79</v>
      </c>
      <c r="G20" s="52">
        <v>126.14</v>
      </c>
      <c r="H20" s="52">
        <v>58.81</v>
      </c>
      <c r="I20" s="52">
        <v>0.15</v>
      </c>
      <c r="J20" s="52">
        <v>1.53</v>
      </c>
      <c r="K20" s="52">
        <v>115.1</v>
      </c>
      <c r="L20" s="54" t="s">
        <v>8</v>
      </c>
      <c r="M20" s="54" t="s">
        <v>8</v>
      </c>
      <c r="N20" s="52">
        <v>711.3</v>
      </c>
      <c r="O20" s="52">
        <v>0</v>
      </c>
      <c r="P20" s="52">
        <v>0.75</v>
      </c>
      <c r="Q20" s="52">
        <v>52.63</v>
      </c>
      <c r="R20" s="44"/>
      <c r="S20" s="44"/>
      <c r="T20" s="44"/>
      <c r="U20" s="44"/>
    </row>
    <row r="21" spans="1:21" s="12" customFormat="1" x14ac:dyDescent="0.25">
      <c r="A21" s="51" t="s">
        <v>798</v>
      </c>
      <c r="B21" s="52">
        <v>8.07</v>
      </c>
      <c r="C21" s="52">
        <v>62.17</v>
      </c>
      <c r="D21" s="52">
        <v>40.78</v>
      </c>
      <c r="E21" s="52">
        <v>41.65</v>
      </c>
      <c r="F21" s="52">
        <v>101.2</v>
      </c>
      <c r="G21" s="52">
        <v>101.84</v>
      </c>
      <c r="H21" s="52">
        <v>58.62</v>
      </c>
      <c r="I21" s="52">
        <v>0.12</v>
      </c>
      <c r="J21" s="52">
        <v>1.59</v>
      </c>
      <c r="K21" s="52">
        <v>123.36</v>
      </c>
      <c r="L21" s="54" t="s">
        <v>8</v>
      </c>
      <c r="M21" s="54" t="s">
        <v>8</v>
      </c>
      <c r="N21" s="52">
        <v>699.5</v>
      </c>
      <c r="O21" s="52">
        <v>0</v>
      </c>
      <c r="P21" s="52">
        <v>0.74</v>
      </c>
      <c r="Q21" s="52">
        <v>51.88</v>
      </c>
      <c r="R21" s="44"/>
      <c r="S21" s="44"/>
      <c r="T21" s="44"/>
      <c r="U21" s="44"/>
    </row>
    <row r="22" spans="1:21" s="12" customFormat="1" x14ac:dyDescent="0.25">
      <c r="A22" s="51" t="s">
        <v>799</v>
      </c>
      <c r="B22" s="52">
        <v>4.37</v>
      </c>
      <c r="C22" s="52">
        <v>48.34</v>
      </c>
      <c r="D22" s="52">
        <v>30.18</v>
      </c>
      <c r="E22" s="52">
        <v>37.479999999999997</v>
      </c>
      <c r="F22" s="52">
        <v>99.35</v>
      </c>
      <c r="G22" s="52">
        <v>101.84</v>
      </c>
      <c r="H22" s="52">
        <v>55.97</v>
      </c>
      <c r="I22" s="52">
        <v>0.09</v>
      </c>
      <c r="J22" s="52">
        <v>1.44</v>
      </c>
      <c r="K22" s="52">
        <v>133.33000000000001</v>
      </c>
      <c r="L22" s="54" t="s">
        <v>8</v>
      </c>
      <c r="M22" s="54" t="s">
        <v>8</v>
      </c>
      <c r="N22" s="52">
        <v>636.9</v>
      </c>
      <c r="O22" s="52">
        <v>0</v>
      </c>
      <c r="P22" s="52">
        <v>0.51</v>
      </c>
      <c r="Q22" s="52">
        <v>31.27</v>
      </c>
      <c r="R22" s="44"/>
      <c r="S22" s="44"/>
      <c r="T22" s="44"/>
      <c r="U22" s="44"/>
    </row>
    <row r="23" spans="1:21" s="12" customFormat="1" x14ac:dyDescent="0.25">
      <c r="A23" s="51" t="s">
        <v>800</v>
      </c>
      <c r="B23" s="52">
        <v>6.22</v>
      </c>
      <c r="C23" s="52">
        <v>66.59</v>
      </c>
      <c r="D23" s="52">
        <v>41.74</v>
      </c>
      <c r="E23" s="52">
        <v>30.67</v>
      </c>
      <c r="F23" s="52">
        <v>99.63</v>
      </c>
      <c r="G23" s="52">
        <v>87.77</v>
      </c>
      <c r="H23" s="52">
        <v>44.26</v>
      </c>
      <c r="I23" s="52">
        <v>0.08</v>
      </c>
      <c r="J23" s="52">
        <v>1.2</v>
      </c>
      <c r="K23" s="52">
        <v>127.72</v>
      </c>
      <c r="L23" s="54" t="s">
        <v>8</v>
      </c>
      <c r="M23" s="54" t="s">
        <v>8</v>
      </c>
      <c r="N23" s="52">
        <v>520.79999999999995</v>
      </c>
      <c r="O23" s="52">
        <v>0</v>
      </c>
      <c r="P23" s="52">
        <v>0.61</v>
      </c>
      <c r="Q23" s="52">
        <v>43.64</v>
      </c>
      <c r="R23" s="44"/>
      <c r="S23" s="44"/>
      <c r="T23" s="44"/>
      <c r="U23" s="44"/>
    </row>
    <row r="24" spans="1:21" s="12" customFormat="1" x14ac:dyDescent="0.25">
      <c r="A24" s="51" t="s">
        <v>801</v>
      </c>
      <c r="B24" s="52">
        <v>11.81</v>
      </c>
      <c r="C24" s="52">
        <v>87.13</v>
      </c>
      <c r="D24" s="52">
        <v>57.55</v>
      </c>
      <c r="E24" s="52">
        <v>28.04</v>
      </c>
      <c r="F24" s="52">
        <v>93.47</v>
      </c>
      <c r="G24" s="52">
        <v>87.77</v>
      </c>
      <c r="H24" s="52">
        <v>44.26</v>
      </c>
      <c r="I24" s="52">
        <v>0.09</v>
      </c>
      <c r="J24" s="52">
        <v>1.36</v>
      </c>
      <c r="K24" s="52">
        <v>108.92</v>
      </c>
      <c r="L24" s="54" t="s">
        <v>8</v>
      </c>
      <c r="M24" s="54" t="s">
        <v>8</v>
      </c>
      <c r="N24" s="52">
        <v>126.4</v>
      </c>
      <c r="O24" s="52">
        <v>0</v>
      </c>
      <c r="P24" s="52">
        <v>0.68</v>
      </c>
      <c r="Q24" s="52">
        <v>62.88</v>
      </c>
      <c r="R24" s="44"/>
      <c r="S24" s="44"/>
      <c r="T24" s="44"/>
      <c r="U24" s="44"/>
    </row>
    <row r="25" spans="1:21" s="12" customFormat="1" x14ac:dyDescent="0.25">
      <c r="A25" s="51" t="s">
        <v>802</v>
      </c>
      <c r="B25" s="52">
        <v>7.46</v>
      </c>
      <c r="C25" s="52">
        <v>85.28</v>
      </c>
      <c r="D25" s="52">
        <v>53.04</v>
      </c>
      <c r="E25" s="52">
        <v>26.73</v>
      </c>
      <c r="F25" s="52">
        <v>92.97</v>
      </c>
      <c r="G25" s="52">
        <v>85</v>
      </c>
      <c r="H25" s="52">
        <v>44.33</v>
      </c>
      <c r="I25" s="52">
        <v>0.11</v>
      </c>
      <c r="J25" s="52">
        <v>0.78</v>
      </c>
      <c r="K25" s="52">
        <v>124</v>
      </c>
      <c r="L25" s="54" t="s">
        <v>8</v>
      </c>
      <c r="M25" s="54" t="s">
        <v>8</v>
      </c>
      <c r="N25" s="52">
        <v>63.2</v>
      </c>
      <c r="O25" s="52">
        <v>0</v>
      </c>
      <c r="P25" s="52">
        <v>0.9</v>
      </c>
      <c r="Q25" s="52">
        <v>54.5</v>
      </c>
      <c r="R25" s="44"/>
      <c r="S25" s="44"/>
      <c r="T25" s="44"/>
      <c r="U25" s="44"/>
    </row>
    <row r="26" spans="1:21" s="12" customFormat="1" x14ac:dyDescent="0.25">
      <c r="A26" s="51" t="s">
        <v>803</v>
      </c>
      <c r="B26" s="52">
        <v>11.33</v>
      </c>
      <c r="C26" s="52">
        <v>185.39</v>
      </c>
      <c r="D26" s="52">
        <v>111.4</v>
      </c>
      <c r="E26" s="52">
        <v>26.26</v>
      </c>
      <c r="F26" s="52">
        <v>72.58</v>
      </c>
      <c r="G26" s="52">
        <v>88.44</v>
      </c>
      <c r="H26" s="52">
        <v>46.88</v>
      </c>
      <c r="I26" s="52">
        <v>0.28999999999999998</v>
      </c>
      <c r="J26" s="52">
        <v>0.49</v>
      </c>
      <c r="K26" s="52">
        <v>106.92</v>
      </c>
      <c r="L26" s="54" t="s">
        <v>8</v>
      </c>
      <c r="M26" s="54" t="s">
        <v>8</v>
      </c>
      <c r="N26" s="52">
        <v>15.8</v>
      </c>
      <c r="O26" s="52">
        <v>0</v>
      </c>
      <c r="P26" s="52">
        <v>2</v>
      </c>
      <c r="Q26" s="52">
        <v>88.56</v>
      </c>
      <c r="R26" s="44"/>
      <c r="S26" s="44"/>
      <c r="T26" s="44"/>
      <c r="U26" s="44"/>
    </row>
    <row r="27" spans="1:21" s="12" customFormat="1" x14ac:dyDescent="0.25">
      <c r="A27" s="51" t="s">
        <v>804</v>
      </c>
      <c r="B27" s="52">
        <v>29.09</v>
      </c>
      <c r="C27" s="52">
        <v>226.49</v>
      </c>
      <c r="D27" s="52">
        <v>148.32</v>
      </c>
      <c r="E27" s="52">
        <v>25.54</v>
      </c>
      <c r="F27" s="52">
        <v>41.63</v>
      </c>
      <c r="G27" s="52">
        <v>126.76</v>
      </c>
      <c r="H27" s="52">
        <v>51.35</v>
      </c>
      <c r="I27" s="52">
        <v>0.64</v>
      </c>
      <c r="J27" s="52">
        <v>0.43</v>
      </c>
      <c r="K27" s="52">
        <v>74.739999999999995</v>
      </c>
      <c r="L27" s="54" t="s">
        <v>8</v>
      </c>
      <c r="M27" s="54" t="s">
        <v>8</v>
      </c>
      <c r="N27" s="52">
        <v>4.5999999999999996</v>
      </c>
      <c r="O27" s="52">
        <v>0</v>
      </c>
      <c r="P27" s="52">
        <v>2.66</v>
      </c>
      <c r="Q27" s="52">
        <v>102.69</v>
      </c>
      <c r="R27" s="44"/>
      <c r="S27" s="44"/>
      <c r="T27" s="44"/>
      <c r="U27" s="44"/>
    </row>
    <row r="28" spans="1:21" s="12" customFormat="1" x14ac:dyDescent="0.25">
      <c r="A28" s="51" t="s">
        <v>805</v>
      </c>
      <c r="B28" s="52">
        <v>12.42</v>
      </c>
      <c r="C28" s="52">
        <v>190.4</v>
      </c>
      <c r="D28" s="52">
        <v>115.04</v>
      </c>
      <c r="E28" s="52">
        <v>24.52</v>
      </c>
      <c r="F28" s="52">
        <v>54.12</v>
      </c>
      <c r="G28" s="52">
        <v>154.26</v>
      </c>
      <c r="H28" s="52">
        <v>54.02</v>
      </c>
      <c r="I28" s="52">
        <v>0.74</v>
      </c>
      <c r="J28" s="52">
        <v>0.45</v>
      </c>
      <c r="K28" s="52">
        <v>74.66</v>
      </c>
      <c r="L28" s="54" t="s">
        <v>8</v>
      </c>
      <c r="M28" s="54" t="s">
        <v>8</v>
      </c>
      <c r="N28" s="52">
        <v>4.5999999999999996</v>
      </c>
      <c r="O28" s="52">
        <v>0</v>
      </c>
      <c r="P28" s="52">
        <v>2.21</v>
      </c>
      <c r="Q28" s="52">
        <v>117.75</v>
      </c>
      <c r="R28" s="44"/>
      <c r="S28" s="44"/>
      <c r="T28" s="44"/>
      <c r="U28" s="44"/>
    </row>
    <row r="29" spans="1:21" s="12" customFormat="1" x14ac:dyDescent="0.25">
      <c r="A29" s="51" t="s">
        <v>806</v>
      </c>
      <c r="B29" s="52">
        <v>29.76</v>
      </c>
      <c r="C29" s="52">
        <v>213.23</v>
      </c>
      <c r="D29" s="52">
        <v>141.55000000000001</v>
      </c>
      <c r="E29" s="52">
        <v>30.39</v>
      </c>
      <c r="F29" s="52">
        <v>64.849999999999994</v>
      </c>
      <c r="G29" s="52">
        <v>156.65</v>
      </c>
      <c r="H29" s="52">
        <v>56.41</v>
      </c>
      <c r="I29" s="52">
        <v>0.6</v>
      </c>
      <c r="J29" s="52">
        <v>0.4</v>
      </c>
      <c r="K29" s="52">
        <v>79.19</v>
      </c>
      <c r="L29" s="54" t="s">
        <v>8</v>
      </c>
      <c r="M29" s="54" t="s">
        <v>8</v>
      </c>
      <c r="N29" s="52">
        <v>4.5999999999999996</v>
      </c>
      <c r="O29" s="52">
        <v>0</v>
      </c>
      <c r="P29" s="52">
        <v>2.38</v>
      </c>
      <c r="Q29" s="52">
        <v>118.34</v>
      </c>
      <c r="R29" s="44"/>
      <c r="S29" s="44"/>
      <c r="T29" s="44"/>
      <c r="U29" s="44"/>
    </row>
    <row r="30" spans="1:21" s="12" customFormat="1" x14ac:dyDescent="0.25">
      <c r="A30" s="51" t="s">
        <v>807</v>
      </c>
      <c r="B30" s="52">
        <v>21.81</v>
      </c>
      <c r="C30" s="52">
        <v>188.32</v>
      </c>
      <c r="D30" s="52">
        <v>121.42</v>
      </c>
      <c r="E30" s="52">
        <v>36</v>
      </c>
      <c r="F30" s="52">
        <v>34.5</v>
      </c>
      <c r="G30" s="52">
        <v>175.24</v>
      </c>
      <c r="H30" s="52">
        <v>66.959999999999994</v>
      </c>
      <c r="I30" s="52">
        <v>0.71</v>
      </c>
      <c r="J30" s="52">
        <v>0.34</v>
      </c>
      <c r="K30" s="52">
        <v>83.06</v>
      </c>
      <c r="L30" s="54" t="s">
        <v>8</v>
      </c>
      <c r="M30" s="54" t="s">
        <v>8</v>
      </c>
      <c r="N30" s="52">
        <v>4.5999999999999996</v>
      </c>
      <c r="O30" s="52">
        <v>0</v>
      </c>
      <c r="P30" s="52">
        <v>2.08</v>
      </c>
      <c r="Q30" s="52">
        <v>116.54</v>
      </c>
      <c r="R30" s="44"/>
      <c r="S30" s="44"/>
      <c r="T30" s="44"/>
      <c r="U30" s="44"/>
    </row>
    <row r="31" spans="1:21" s="12" customFormat="1" x14ac:dyDescent="0.25">
      <c r="A31" s="51" t="s">
        <v>808</v>
      </c>
      <c r="B31" s="52">
        <v>10.87</v>
      </c>
      <c r="C31" s="52">
        <v>160.77000000000001</v>
      </c>
      <c r="D31" s="52">
        <v>97.45</v>
      </c>
      <c r="E31" s="52">
        <v>36.93</v>
      </c>
      <c r="F31" s="52">
        <v>52.6</v>
      </c>
      <c r="G31" s="52">
        <v>192.1</v>
      </c>
      <c r="H31" s="52">
        <v>66.959999999999994</v>
      </c>
      <c r="I31" s="52">
        <v>0.56000000000000005</v>
      </c>
      <c r="J31" s="52">
        <v>0.4</v>
      </c>
      <c r="K31" s="52">
        <v>84.3</v>
      </c>
      <c r="L31" s="54" t="s">
        <v>8</v>
      </c>
      <c r="M31" s="54" t="s">
        <v>8</v>
      </c>
      <c r="N31" s="52">
        <v>4.5</v>
      </c>
      <c r="O31" s="52">
        <v>0</v>
      </c>
      <c r="P31" s="52">
        <v>1.54</v>
      </c>
      <c r="Q31" s="52">
        <v>109.05</v>
      </c>
      <c r="R31" s="44"/>
      <c r="S31" s="44"/>
      <c r="T31" s="44"/>
      <c r="U31" s="44"/>
    </row>
    <row r="32" spans="1:21" s="12" customFormat="1" x14ac:dyDescent="0.25">
      <c r="A32" s="51" t="s">
        <v>809</v>
      </c>
      <c r="B32" s="52">
        <v>13.74</v>
      </c>
      <c r="C32" s="52">
        <v>138.56</v>
      </c>
      <c r="D32" s="52">
        <v>87.48</v>
      </c>
      <c r="E32" s="52">
        <v>39.630000000000003</v>
      </c>
      <c r="F32" s="52">
        <v>60.78</v>
      </c>
      <c r="G32" s="52">
        <v>192.1</v>
      </c>
      <c r="H32" s="52">
        <v>65.28</v>
      </c>
      <c r="I32" s="52">
        <v>0.33</v>
      </c>
      <c r="J32" s="52">
        <v>0.4</v>
      </c>
      <c r="K32" s="52">
        <v>67.599999999999994</v>
      </c>
      <c r="L32" s="54" t="s">
        <v>8</v>
      </c>
      <c r="M32" s="54" t="s">
        <v>8</v>
      </c>
      <c r="N32" s="52">
        <v>4.5999999999999996</v>
      </c>
      <c r="O32" s="52">
        <v>0</v>
      </c>
      <c r="P32" s="52">
        <v>1.1200000000000001</v>
      </c>
      <c r="Q32" s="52">
        <v>78.48</v>
      </c>
      <c r="R32" s="44"/>
      <c r="S32" s="44"/>
      <c r="T32" s="44"/>
      <c r="U32" s="44"/>
    </row>
    <row r="33" spans="1:21" s="22" customFormat="1" x14ac:dyDescent="0.25">
      <c r="A33" s="27"/>
      <c r="B33" s="21"/>
      <c r="C33" s="21"/>
      <c r="D33" s="21"/>
      <c r="E33" s="21"/>
      <c r="F33" s="21"/>
      <c r="G33" s="27"/>
      <c r="H33" s="27"/>
      <c r="I33" s="27"/>
      <c r="J33" s="21"/>
      <c r="K33" s="21"/>
      <c r="L33" s="27"/>
      <c r="M33" s="27"/>
      <c r="N33" s="27"/>
      <c r="O33" s="27"/>
      <c r="P33" s="27"/>
      <c r="Q33" s="21"/>
      <c r="R33" s="21"/>
      <c r="S33" s="21"/>
      <c r="T33" s="21"/>
      <c r="U33" s="21"/>
    </row>
    <row r="34" spans="1:21" s="22" customFormat="1" x14ac:dyDescent="0.25">
      <c r="A34" s="28" t="s">
        <v>30</v>
      </c>
      <c r="B34" s="29">
        <f t="shared" ref="B34:Q34" si="0">MIN(B9:B32)</f>
        <v>4.37</v>
      </c>
      <c r="C34" s="29">
        <f t="shared" si="0"/>
        <v>48.34</v>
      </c>
      <c r="D34" s="29">
        <f t="shared" si="0"/>
        <v>30.18</v>
      </c>
      <c r="E34" s="29">
        <f t="shared" si="0"/>
        <v>14.55</v>
      </c>
      <c r="F34" s="29">
        <f t="shared" si="0"/>
        <v>16.52</v>
      </c>
      <c r="G34" s="29">
        <f t="shared" si="0"/>
        <v>85</v>
      </c>
      <c r="H34" s="29">
        <f t="shared" si="0"/>
        <v>44.26</v>
      </c>
      <c r="I34" s="29">
        <f t="shared" si="0"/>
        <v>0.08</v>
      </c>
      <c r="J34" s="29">
        <f t="shared" si="0"/>
        <v>0.15</v>
      </c>
      <c r="K34" s="29">
        <f t="shared" si="0"/>
        <v>67.599999999999994</v>
      </c>
      <c r="L34" s="29">
        <f t="shared" si="0"/>
        <v>0</v>
      </c>
      <c r="M34" s="29">
        <f t="shared" si="0"/>
        <v>0</v>
      </c>
      <c r="N34" s="29">
        <f t="shared" si="0"/>
        <v>4.0999999999999996</v>
      </c>
      <c r="O34" s="29">
        <f t="shared" si="0"/>
        <v>0</v>
      </c>
      <c r="P34" s="29">
        <f t="shared" si="0"/>
        <v>0.51</v>
      </c>
      <c r="Q34" s="29">
        <f t="shared" si="0"/>
        <v>31.27</v>
      </c>
      <c r="R34" s="29"/>
      <c r="S34" s="29"/>
      <c r="T34" s="29"/>
      <c r="U34" s="29"/>
    </row>
    <row r="35" spans="1:21" s="22" customFormat="1" x14ac:dyDescent="0.25">
      <c r="A35" s="28" t="s">
        <v>31</v>
      </c>
      <c r="B35" s="30">
        <f t="shared" ref="B35:Q35" si="1">MAX(B9:B32)</f>
        <v>37.17</v>
      </c>
      <c r="C35" s="30">
        <f t="shared" si="1"/>
        <v>226.49</v>
      </c>
      <c r="D35" s="30">
        <f t="shared" si="1"/>
        <v>148.32</v>
      </c>
      <c r="E35" s="30">
        <f t="shared" si="1"/>
        <v>55.06</v>
      </c>
      <c r="F35" s="30">
        <f t="shared" si="1"/>
        <v>101.2</v>
      </c>
      <c r="G35" s="30">
        <f t="shared" si="1"/>
        <v>235.06</v>
      </c>
      <c r="H35" s="30">
        <f t="shared" si="1"/>
        <v>78.37</v>
      </c>
      <c r="I35" s="30">
        <f t="shared" si="1"/>
        <v>0.74</v>
      </c>
      <c r="J35" s="30">
        <f t="shared" si="1"/>
        <v>1.59</v>
      </c>
      <c r="K35" s="30">
        <f t="shared" si="1"/>
        <v>346.01</v>
      </c>
      <c r="L35" s="30">
        <f t="shared" si="1"/>
        <v>0</v>
      </c>
      <c r="M35" s="30">
        <f t="shared" si="1"/>
        <v>0</v>
      </c>
      <c r="N35" s="30">
        <f t="shared" si="1"/>
        <v>711.3</v>
      </c>
      <c r="O35" s="30">
        <f t="shared" si="1"/>
        <v>0</v>
      </c>
      <c r="P35" s="30">
        <f t="shared" si="1"/>
        <v>2.66</v>
      </c>
      <c r="Q35" s="30">
        <f t="shared" si="1"/>
        <v>126.78</v>
      </c>
      <c r="R35" s="30"/>
      <c r="S35" s="30"/>
      <c r="T35" s="30"/>
      <c r="U35" s="30"/>
    </row>
    <row r="36" spans="1:21" s="22" customFormat="1" x14ac:dyDescent="0.25">
      <c r="A36" s="28" t="s">
        <v>32</v>
      </c>
      <c r="B36" s="29">
        <f t="shared" ref="B36:Q36" si="2">AVERAGE(B9:B32)</f>
        <v>17.23875</v>
      </c>
      <c r="C36" s="29">
        <f t="shared" si="2"/>
        <v>129.15958333333336</v>
      </c>
      <c r="D36" s="29">
        <f t="shared" si="2"/>
        <v>85.003333333333345</v>
      </c>
      <c r="E36" s="29">
        <f t="shared" si="2"/>
        <v>34.236249999999991</v>
      </c>
      <c r="F36" s="29">
        <f t="shared" si="2"/>
        <v>58.415416666666658</v>
      </c>
      <c r="G36" s="29">
        <f t="shared" si="2"/>
        <v>153.85166666666669</v>
      </c>
      <c r="H36" s="29">
        <f t="shared" si="2"/>
        <v>63.700833333333343</v>
      </c>
      <c r="I36" s="29">
        <f t="shared" si="2"/>
        <v>0.32291666666666669</v>
      </c>
      <c r="J36" s="29">
        <f t="shared" si="2"/>
        <v>0.65833333333333333</v>
      </c>
      <c r="K36" s="29">
        <f t="shared" si="2"/>
        <v>145.51208333333332</v>
      </c>
      <c r="L36" s="29" t="e">
        <f t="shared" si="2"/>
        <v>#DIV/0!</v>
      </c>
      <c r="M36" s="29" t="e">
        <f t="shared" si="2"/>
        <v>#DIV/0!</v>
      </c>
      <c r="N36" s="29">
        <f t="shared" si="2"/>
        <v>206.83333333333337</v>
      </c>
      <c r="O36" s="29">
        <f t="shared" si="2"/>
        <v>0</v>
      </c>
      <c r="P36" s="29">
        <f t="shared" si="2"/>
        <v>1.2904166666666668</v>
      </c>
      <c r="Q36" s="29">
        <f t="shared" si="2"/>
        <v>81.329166666666666</v>
      </c>
      <c r="R36" s="29"/>
      <c r="S36" s="29"/>
      <c r="T36" s="29"/>
      <c r="U36" s="29"/>
    </row>
    <row r="37" spans="1:21" s="22" customFormat="1" x14ac:dyDescent="0.25">
      <c r="A37" s="28" t="s">
        <v>38</v>
      </c>
      <c r="B37" s="29">
        <f>STDEV(B9:B32)</f>
        <v>9.0847384267577418</v>
      </c>
      <c r="C37" s="29">
        <f t="shared" ref="C37:Q37" si="3">STDEV(C9:C32)</f>
        <v>51.603450548529104</v>
      </c>
      <c r="D37" s="29">
        <f t="shared" si="3"/>
        <v>33.925394190996386</v>
      </c>
      <c r="E37" s="29">
        <f t="shared" si="3"/>
        <v>10.901893258991086</v>
      </c>
      <c r="F37" s="29">
        <f t="shared" si="3"/>
        <v>28.629609935104476</v>
      </c>
      <c r="G37" s="29">
        <f t="shared" si="3"/>
        <v>44.219723286518118</v>
      </c>
      <c r="H37" s="29">
        <f t="shared" si="3"/>
        <v>11.676110846200102</v>
      </c>
      <c r="I37" s="29">
        <f t="shared" si="3"/>
        <v>0.20628134368774892</v>
      </c>
      <c r="J37" s="29">
        <f t="shared" si="3"/>
        <v>0.46730184516300999</v>
      </c>
      <c r="K37" s="29">
        <f t="shared" si="3"/>
        <v>98.922952538575572</v>
      </c>
      <c r="L37" s="29" t="e">
        <f t="shared" si="3"/>
        <v>#DIV/0!</v>
      </c>
      <c r="M37" s="29" t="e">
        <f t="shared" si="3"/>
        <v>#DIV/0!</v>
      </c>
      <c r="N37" s="29">
        <f t="shared" si="3"/>
        <v>284.32131038005559</v>
      </c>
      <c r="O37" s="29">
        <f t="shared" si="3"/>
        <v>0</v>
      </c>
      <c r="P37" s="29">
        <f t="shared" si="3"/>
        <v>0.59154535396459795</v>
      </c>
      <c r="Q37" s="29">
        <f t="shared" si="3"/>
        <v>28.222760767903619</v>
      </c>
      <c r="R37" s="29"/>
      <c r="S37" s="29"/>
      <c r="T37" s="29"/>
      <c r="U37" s="29"/>
    </row>
    <row r="38" spans="1:21" s="22" customFormat="1" x14ac:dyDescent="0.25">
      <c r="A38" s="32" t="s">
        <v>33</v>
      </c>
      <c r="B38" s="33">
        <f t="shared" ref="B38:Q38" si="4">COUNT(B9:B32)</f>
        <v>24</v>
      </c>
      <c r="C38" s="33">
        <f t="shared" si="4"/>
        <v>24</v>
      </c>
      <c r="D38" s="33">
        <f t="shared" si="4"/>
        <v>24</v>
      </c>
      <c r="E38" s="33">
        <f t="shared" si="4"/>
        <v>24</v>
      </c>
      <c r="F38" s="33">
        <f t="shared" si="4"/>
        <v>24</v>
      </c>
      <c r="G38" s="33">
        <f t="shared" si="4"/>
        <v>24</v>
      </c>
      <c r="H38" s="33">
        <f t="shared" si="4"/>
        <v>24</v>
      </c>
      <c r="I38" s="33">
        <f t="shared" si="4"/>
        <v>24</v>
      </c>
      <c r="J38" s="33">
        <f t="shared" si="4"/>
        <v>24</v>
      </c>
      <c r="K38" s="33">
        <f t="shared" si="4"/>
        <v>24</v>
      </c>
      <c r="L38" s="33">
        <f>COUNT(L9:L32)+24</f>
        <v>24</v>
      </c>
      <c r="M38" s="33">
        <f>COUNT(M9:M32)+24</f>
        <v>24</v>
      </c>
      <c r="N38" s="33">
        <f t="shared" si="4"/>
        <v>24</v>
      </c>
      <c r="O38" s="33">
        <f t="shared" si="4"/>
        <v>24</v>
      </c>
      <c r="P38" s="33">
        <f t="shared" si="4"/>
        <v>24</v>
      </c>
      <c r="Q38" s="33">
        <f t="shared" si="4"/>
        <v>24</v>
      </c>
      <c r="R38" s="33"/>
      <c r="S38" s="33"/>
      <c r="T38" s="33"/>
      <c r="U38" s="33"/>
    </row>
    <row r="39" spans="1:21" s="22" customFormat="1" x14ac:dyDescent="0.25">
      <c r="A39" s="28" t="s">
        <v>34</v>
      </c>
      <c r="B39" s="30" t="str">
        <f>IF(B38&gt;=22,"&gt;90%",IF(B38&lt;=22,"&lt;90%"))</f>
        <v>&gt;90%</v>
      </c>
      <c r="C39" s="30" t="str">
        <f t="shared" ref="C39:P39" si="5">IF(C38&gt;=22,"&gt;90%",IF(C38&lt;=22,"&lt;90%"))</f>
        <v>&gt;90%</v>
      </c>
      <c r="D39" s="30" t="str">
        <f t="shared" si="5"/>
        <v>&gt;90%</v>
      </c>
      <c r="E39" s="30" t="str">
        <f t="shared" si="5"/>
        <v>&gt;90%</v>
      </c>
      <c r="F39" s="30" t="str">
        <f t="shared" si="5"/>
        <v>&gt;90%</v>
      </c>
      <c r="G39" s="30" t="str">
        <f t="shared" si="5"/>
        <v>&gt;90%</v>
      </c>
      <c r="H39" s="30" t="str">
        <f t="shared" si="5"/>
        <v>&gt;90%</v>
      </c>
      <c r="I39" s="30" t="str">
        <f t="shared" si="5"/>
        <v>&gt;90%</v>
      </c>
      <c r="J39" s="30" t="str">
        <f t="shared" si="5"/>
        <v>&gt;90%</v>
      </c>
      <c r="K39" s="30" t="str">
        <f t="shared" si="5"/>
        <v>&gt;90%</v>
      </c>
      <c r="L39" s="30" t="str">
        <f t="shared" si="5"/>
        <v>&gt;90%</v>
      </c>
      <c r="M39" s="30" t="str">
        <f t="shared" si="5"/>
        <v>&gt;90%</v>
      </c>
      <c r="N39" s="30" t="str">
        <f t="shared" si="5"/>
        <v>&gt;90%</v>
      </c>
      <c r="O39" s="30" t="str">
        <f t="shared" si="5"/>
        <v>&gt;90%</v>
      </c>
      <c r="P39" s="30" t="str">
        <f t="shared" si="5"/>
        <v>&gt;90%</v>
      </c>
      <c r="Q39" s="30" t="str">
        <f>IF(Q38&gt;=22,"&gt;90%",IF(Q38&lt;=22,"&lt;90%"))</f>
        <v>&gt;90%</v>
      </c>
      <c r="R39" s="30"/>
      <c r="S39" s="30"/>
      <c r="T39" s="30"/>
      <c r="U39" s="30"/>
    </row>
    <row r="40" spans="1:21" s="22" customFormat="1" x14ac:dyDescent="0.25">
      <c r="A40" s="28" t="s">
        <v>1</v>
      </c>
      <c r="B40" s="30" t="str">
        <f>IF(B38&gt;=22,"OK",IF(B38&lt;=22,"LESS"))</f>
        <v>OK</v>
      </c>
      <c r="C40" s="30" t="str">
        <f t="shared" ref="C40:Q40" si="6">IF(C38&gt;=22,"OK",IF(C38&lt;=22,"LESS"))</f>
        <v>OK</v>
      </c>
      <c r="D40" s="30" t="str">
        <f t="shared" si="6"/>
        <v>OK</v>
      </c>
      <c r="E40" s="30" t="str">
        <f t="shared" si="6"/>
        <v>OK</v>
      </c>
      <c r="F40" s="30" t="str">
        <f t="shared" si="6"/>
        <v>OK</v>
      </c>
      <c r="G40" s="30" t="str">
        <f t="shared" si="6"/>
        <v>OK</v>
      </c>
      <c r="H40" s="30" t="str">
        <f t="shared" si="6"/>
        <v>OK</v>
      </c>
      <c r="I40" s="30" t="str">
        <f t="shared" si="6"/>
        <v>OK</v>
      </c>
      <c r="J40" s="30" t="str">
        <f t="shared" si="6"/>
        <v>OK</v>
      </c>
      <c r="K40" s="30" t="str">
        <f t="shared" si="6"/>
        <v>OK</v>
      </c>
      <c r="L40" s="30" t="str">
        <f t="shared" si="6"/>
        <v>OK</v>
      </c>
      <c r="M40" s="30" t="str">
        <f t="shared" si="6"/>
        <v>OK</v>
      </c>
      <c r="N40" s="30" t="str">
        <f t="shared" si="6"/>
        <v>OK</v>
      </c>
      <c r="O40" s="30" t="str">
        <f t="shared" si="6"/>
        <v>OK</v>
      </c>
      <c r="P40" s="30" t="str">
        <f t="shared" si="6"/>
        <v>OK</v>
      </c>
      <c r="Q40" s="30" t="str">
        <f t="shared" si="6"/>
        <v>OK</v>
      </c>
      <c r="R40" s="30"/>
      <c r="S40" s="30"/>
      <c r="T40" s="30"/>
      <c r="U40" s="30"/>
    </row>
    <row r="41" spans="1:21" s="22" customFormat="1" x14ac:dyDescent="0.25">
      <c r="A41" s="14"/>
      <c r="L41" s="14"/>
      <c r="N41" s="17"/>
      <c r="O41" s="17"/>
      <c r="P41" s="17"/>
      <c r="Q41" s="17"/>
      <c r="R41" s="17"/>
      <c r="S41" s="17"/>
      <c r="T41" s="17"/>
      <c r="U41" s="17"/>
    </row>
    <row r="42" spans="1:21" s="22" customFormat="1" x14ac:dyDescent="0.25">
      <c r="A42" s="14"/>
    </row>
    <row r="43" spans="1:21" s="22" customFormat="1" x14ac:dyDescent="0.25">
      <c r="A43" s="15" t="s">
        <v>35</v>
      </c>
      <c r="B43" s="41" t="s">
        <v>42</v>
      </c>
      <c r="C43" s="43"/>
    </row>
    <row r="44" spans="1:21" s="22" customFormat="1" x14ac:dyDescent="0.25">
      <c r="A44" s="14"/>
      <c r="D44" s="2"/>
      <c r="E44" s="2"/>
      <c r="F44" s="2"/>
      <c r="G44" s="2"/>
      <c r="H44" s="2"/>
      <c r="I44" s="2"/>
    </row>
    <row r="45" spans="1:21" s="22" customFormat="1" ht="15.75" x14ac:dyDescent="0.25">
      <c r="A45" s="18" t="s">
        <v>36</v>
      </c>
      <c r="B45" s="42" t="s">
        <v>785</v>
      </c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</row>
    <row r="46" spans="1:21" s="22" customFormat="1" x14ac:dyDescent="0.25"/>
    <row r="47" spans="1:21" s="22" customFormat="1" x14ac:dyDescent="0.25"/>
    <row r="48" spans="1:21" s="22" customFormat="1" x14ac:dyDescent="0.25"/>
    <row r="49" s="22" customFormat="1" x14ac:dyDescent="0.25"/>
    <row r="50" s="22" customFormat="1" x14ac:dyDescent="0.25"/>
    <row r="51" s="22" customFormat="1" x14ac:dyDescent="0.25"/>
    <row r="52" s="22" customFormat="1" x14ac:dyDescent="0.25"/>
    <row r="53" s="22" customFormat="1" x14ac:dyDescent="0.25"/>
    <row r="54" s="22" customFormat="1" x14ac:dyDescent="0.25"/>
    <row r="55" s="22" customFormat="1" x14ac:dyDescent="0.25"/>
    <row r="56" s="22" customFormat="1" x14ac:dyDescent="0.25"/>
    <row r="57" s="22" customFormat="1" x14ac:dyDescent="0.25"/>
    <row r="58" s="22" customFormat="1" x14ac:dyDescent="0.25"/>
    <row r="59" s="22" customFormat="1" x14ac:dyDescent="0.25"/>
    <row r="60" s="22" customFormat="1" x14ac:dyDescent="0.25"/>
    <row r="61" s="22" customFormat="1" x14ac:dyDescent="0.25"/>
    <row r="62" s="22" customFormat="1" x14ac:dyDescent="0.25"/>
    <row r="63" s="22" customFormat="1" x14ac:dyDescent="0.25"/>
    <row r="64" s="22" customFormat="1" x14ac:dyDescent="0.25"/>
    <row r="65" s="22" customFormat="1" x14ac:dyDescent="0.25"/>
    <row r="66" s="22" customFormat="1" x14ac:dyDescent="0.25"/>
    <row r="67" s="22" customFormat="1" x14ac:dyDescent="0.25"/>
    <row r="68" s="22" customFormat="1" x14ac:dyDescent="0.25"/>
    <row r="69" s="22" customFormat="1" x14ac:dyDescent="0.25"/>
    <row r="70" s="22" customFormat="1" x14ac:dyDescent="0.25"/>
    <row r="71" s="22" customFormat="1" x14ac:dyDescent="0.25"/>
    <row r="72" s="22" customFormat="1" x14ac:dyDescent="0.25"/>
    <row r="73" s="22" customFormat="1" x14ac:dyDescent="0.25"/>
    <row r="74" s="22" customFormat="1" x14ac:dyDescent="0.25"/>
    <row r="75" s="22" customFormat="1" x14ac:dyDescent="0.25"/>
    <row r="76" s="22" customFormat="1" x14ac:dyDescent="0.25"/>
    <row r="77" s="22" customFormat="1" x14ac:dyDescent="0.25"/>
    <row r="78" s="22" customFormat="1" x14ac:dyDescent="0.25"/>
    <row r="79" s="22" customFormat="1" x14ac:dyDescent="0.25"/>
    <row r="80" s="22" customFormat="1" x14ac:dyDescent="0.25"/>
    <row r="81" s="22" customFormat="1" x14ac:dyDescent="0.25"/>
    <row r="82" s="22" customFormat="1" x14ac:dyDescent="0.25"/>
    <row r="83" s="22" customFormat="1" x14ac:dyDescent="0.25"/>
    <row r="84" s="22" customFormat="1" x14ac:dyDescent="0.25"/>
    <row r="85" s="22" customFormat="1" x14ac:dyDescent="0.25"/>
    <row r="86" s="22" customFormat="1" x14ac:dyDescent="0.25"/>
    <row r="87" s="22" customFormat="1" x14ac:dyDescent="0.25"/>
    <row r="88" s="22" customFormat="1" x14ac:dyDescent="0.25"/>
    <row r="89" s="22" customFormat="1" x14ac:dyDescent="0.25"/>
    <row r="90" s="22" customFormat="1" x14ac:dyDescent="0.25"/>
    <row r="91" s="22" customFormat="1" x14ac:dyDescent="0.25"/>
    <row r="92" s="22" customFormat="1" x14ac:dyDescent="0.25"/>
    <row r="93" s="22" customFormat="1" x14ac:dyDescent="0.25"/>
    <row r="94" s="22" customFormat="1" x14ac:dyDescent="0.25"/>
    <row r="95" s="22" customFormat="1" x14ac:dyDescent="0.25"/>
    <row r="96" s="22" customFormat="1" x14ac:dyDescent="0.25"/>
    <row r="97" spans="1:1" s="22" customFormat="1" x14ac:dyDescent="0.25"/>
    <row r="98" spans="1:1" s="22" customFormat="1" x14ac:dyDescent="0.25"/>
    <row r="99" spans="1:1" s="22" customFormat="1" x14ac:dyDescent="0.25"/>
    <row r="100" spans="1:1" s="22" customFormat="1" x14ac:dyDescent="0.25"/>
    <row r="101" spans="1:1" s="22" customFormat="1" x14ac:dyDescent="0.25"/>
    <row r="102" spans="1:1" s="22" customFormat="1" x14ac:dyDescent="0.25"/>
    <row r="103" spans="1:1" s="22" customFormat="1" x14ac:dyDescent="0.25"/>
    <row r="104" spans="1:1" s="22" customFormat="1" x14ac:dyDescent="0.25"/>
    <row r="105" spans="1:1" s="22" customFormat="1" x14ac:dyDescent="0.25"/>
    <row r="106" spans="1:1" x14ac:dyDescent="0.25">
      <c r="A106" s="21"/>
    </row>
    <row r="107" spans="1:1" s="22" customFormat="1" x14ac:dyDescent="0.25"/>
    <row r="108" spans="1:1" s="22" customFormat="1" x14ac:dyDescent="0.25"/>
    <row r="109" spans="1:1" s="22" customFormat="1" x14ac:dyDescent="0.25"/>
    <row r="110" spans="1:1" s="22" customFormat="1" x14ac:dyDescent="0.25"/>
    <row r="111" spans="1:1" s="22" customFormat="1" x14ac:dyDescent="0.25"/>
    <row r="112" spans="1:1" s="22" customFormat="1" x14ac:dyDescent="0.25"/>
    <row r="113" spans="1:1" s="22" customFormat="1" x14ac:dyDescent="0.25"/>
    <row r="114" spans="1:1" s="22" customFormat="1" x14ac:dyDescent="0.25"/>
    <row r="115" spans="1:1" s="22" customFormat="1" x14ac:dyDescent="0.25"/>
    <row r="116" spans="1:1" s="22" customFormat="1" x14ac:dyDescent="0.25"/>
    <row r="117" spans="1:1" s="22" customFormat="1" x14ac:dyDescent="0.25"/>
    <row r="118" spans="1:1" x14ac:dyDescent="0.25">
      <c r="A118" s="21"/>
    </row>
    <row r="119" spans="1:1" x14ac:dyDescent="0.25">
      <c r="A119" s="21"/>
    </row>
  </sheetData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4"/>
  <sheetViews>
    <sheetView tabSelected="1" workbookViewId="0">
      <pane xSplit="1" ySplit="8" topLeftCell="B15" activePane="bottomRight" state="frozen"/>
      <selection activeCell="B2" sqref="B2"/>
      <selection pane="topRight" activeCell="B2" sqref="B2"/>
      <selection pane="bottomLeft" activeCell="B2" sqref="B2"/>
      <selection pane="bottomRight" activeCell="L33" sqref="L33:M38"/>
    </sheetView>
  </sheetViews>
  <sheetFormatPr defaultColWidth="8.85546875" defaultRowHeight="15" x14ac:dyDescent="0.25"/>
  <cols>
    <col min="1" max="1" width="17.42578125" style="12" customWidth="1"/>
    <col min="2" max="2" width="17.85546875" style="12" customWidth="1"/>
    <col min="3" max="3" width="9.85546875" style="12" customWidth="1"/>
    <col min="4" max="4" width="12.5703125" style="12" customWidth="1"/>
    <col min="5" max="5" width="9.7109375" style="12" customWidth="1"/>
    <col min="6" max="6" width="8.85546875" style="12"/>
    <col min="7" max="7" width="11.28515625" style="12" customWidth="1"/>
    <col min="8" max="8" width="12.42578125" style="12" customWidth="1"/>
    <col min="9" max="9" width="13" style="12" customWidth="1"/>
    <col min="10" max="10" width="8.85546875" style="12"/>
    <col min="11" max="11" width="9.7109375" style="12" customWidth="1"/>
    <col min="12" max="12" width="11" style="12" customWidth="1"/>
    <col min="13" max="13" width="10" style="12" customWidth="1"/>
    <col min="14" max="16" width="8.85546875" style="12"/>
    <col min="17" max="17" width="9.7109375" style="12" customWidth="1"/>
    <col min="18" max="18" width="8.85546875" style="12"/>
    <col min="19" max="19" width="12.140625" style="12" customWidth="1"/>
    <col min="20" max="20" width="12.7109375" style="12" customWidth="1"/>
    <col min="21" max="16384" width="8.85546875" style="12"/>
  </cols>
  <sheetData>
    <row r="1" spans="1:21" s="22" customFormat="1" ht="27.75" customHeight="1" x14ac:dyDescent="0.25">
      <c r="A1" s="15" t="s">
        <v>2</v>
      </c>
      <c r="B1" s="24" t="s">
        <v>43</v>
      </c>
      <c r="C1" s="2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s="22" customFormat="1" x14ac:dyDescent="0.25">
      <c r="A2" s="15" t="s">
        <v>0</v>
      </c>
      <c r="B2" s="39">
        <f>$A$9</f>
        <v>0</v>
      </c>
      <c r="C2" s="12"/>
      <c r="D2" s="11" t="s">
        <v>3</v>
      </c>
      <c r="E2" s="11"/>
      <c r="F2" s="11"/>
      <c r="G2" s="4" t="s">
        <v>4</v>
      </c>
      <c r="H2" s="20"/>
      <c r="I2" s="20"/>
      <c r="J2" s="20"/>
      <c r="K2" s="13"/>
      <c r="L2" s="11" t="s">
        <v>5</v>
      </c>
      <c r="M2" s="13"/>
      <c r="N2" s="8" t="s">
        <v>6</v>
      </c>
      <c r="P2" s="40" t="s">
        <v>7</v>
      </c>
      <c r="Q2" s="13"/>
      <c r="R2" s="9" t="s">
        <v>8</v>
      </c>
      <c r="S2" s="12"/>
      <c r="T2" s="12"/>
      <c r="U2" s="12"/>
    </row>
    <row r="3" spans="1:21" s="22" customFormat="1" x14ac:dyDescent="0.25">
      <c r="A3" s="15" t="s">
        <v>9</v>
      </c>
      <c r="B3" s="13" t="s">
        <v>10</v>
      </c>
      <c r="C3" s="12"/>
      <c r="D3" s="11" t="s">
        <v>11</v>
      </c>
      <c r="E3" s="11"/>
      <c r="F3" s="11"/>
      <c r="G3" s="19" t="s">
        <v>12</v>
      </c>
      <c r="H3" s="20"/>
      <c r="I3" s="20"/>
      <c r="J3" s="20"/>
      <c r="K3" s="12"/>
      <c r="L3" s="11" t="s">
        <v>13</v>
      </c>
      <c r="M3" s="13"/>
      <c r="N3" s="6" t="s">
        <v>14</v>
      </c>
      <c r="O3" s="13"/>
      <c r="P3" s="40" t="s">
        <v>15</v>
      </c>
      <c r="Q3" s="13"/>
      <c r="R3" s="10" t="s">
        <v>15</v>
      </c>
      <c r="S3" s="12"/>
      <c r="T3" s="12"/>
      <c r="U3" s="12"/>
    </row>
    <row r="4" spans="1:21" s="22" customFormat="1" x14ac:dyDescent="0.25">
      <c r="A4" s="15" t="s">
        <v>16</v>
      </c>
      <c r="B4" s="13" t="s">
        <v>37</v>
      </c>
      <c r="C4" s="12"/>
      <c r="D4" s="11" t="s">
        <v>17</v>
      </c>
      <c r="E4" s="11"/>
      <c r="F4" s="11"/>
      <c r="G4" s="5" t="s">
        <v>18</v>
      </c>
      <c r="H4" s="20"/>
      <c r="I4" s="20"/>
      <c r="J4" s="20"/>
      <c r="K4" s="3"/>
      <c r="L4" s="11" t="s">
        <v>19</v>
      </c>
      <c r="M4" s="13"/>
      <c r="N4" s="7" t="s">
        <v>20</v>
      </c>
      <c r="O4" s="13"/>
      <c r="P4" s="13"/>
      <c r="Q4" s="13"/>
      <c r="R4" s="13"/>
      <c r="S4" s="12"/>
      <c r="T4" s="12"/>
      <c r="U4" s="12"/>
    </row>
    <row r="5" spans="1:21" s="22" customFormat="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s="22" customFormat="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s="22" customFormat="1" x14ac:dyDescent="0.25">
      <c r="A7" s="26" t="s">
        <v>21</v>
      </c>
      <c r="B7" s="45" t="s">
        <v>59</v>
      </c>
      <c r="C7" s="45" t="s">
        <v>44</v>
      </c>
      <c r="D7" s="45" t="s">
        <v>45</v>
      </c>
      <c r="E7" s="45" t="s">
        <v>46</v>
      </c>
      <c r="F7" s="45" t="s">
        <v>47</v>
      </c>
      <c r="G7" s="45" t="s">
        <v>48</v>
      </c>
      <c r="H7" s="53" t="s">
        <v>49</v>
      </c>
      <c r="I7" s="45" t="s">
        <v>50</v>
      </c>
      <c r="J7" s="45" t="s">
        <v>51</v>
      </c>
      <c r="K7" s="45" t="s">
        <v>52</v>
      </c>
      <c r="L7" s="45" t="s">
        <v>53</v>
      </c>
      <c r="M7" s="45" t="s">
        <v>54</v>
      </c>
      <c r="N7" s="45" t="s">
        <v>55</v>
      </c>
      <c r="O7" s="45" t="s">
        <v>56</v>
      </c>
      <c r="P7" s="45" t="s">
        <v>57</v>
      </c>
      <c r="Q7" s="45" t="s">
        <v>58</v>
      </c>
      <c r="R7" s="28"/>
      <c r="S7" s="30"/>
      <c r="T7" s="28"/>
      <c r="U7" s="28"/>
    </row>
    <row r="8" spans="1:21" s="22" customFormat="1" x14ac:dyDescent="0.25">
      <c r="A8" s="26"/>
      <c r="B8" s="30" t="s">
        <v>22</v>
      </c>
      <c r="C8" s="30" t="s">
        <v>22</v>
      </c>
      <c r="D8" s="30" t="s">
        <v>22</v>
      </c>
      <c r="E8" s="30" t="s">
        <v>22</v>
      </c>
      <c r="F8" s="30" t="s">
        <v>22</v>
      </c>
      <c r="G8" s="30" t="s">
        <v>23</v>
      </c>
      <c r="H8" s="30" t="s">
        <v>22</v>
      </c>
      <c r="I8" s="30" t="s">
        <v>22</v>
      </c>
      <c r="J8" s="30" t="s">
        <v>24</v>
      </c>
      <c r="K8" s="30" t="s">
        <v>25</v>
      </c>
      <c r="L8" s="28" t="s">
        <v>27</v>
      </c>
      <c r="M8" s="30" t="s">
        <v>26</v>
      </c>
      <c r="N8" s="30" t="s">
        <v>28</v>
      </c>
      <c r="O8" s="28" t="s">
        <v>29</v>
      </c>
      <c r="P8" s="30" t="s">
        <v>22</v>
      </c>
      <c r="Q8" s="30" t="s">
        <v>22</v>
      </c>
      <c r="R8" s="28"/>
      <c r="S8" s="30"/>
      <c r="T8" s="28"/>
      <c r="U8" s="28"/>
    </row>
    <row r="9" spans="1:21" x14ac:dyDescent="0.25">
      <c r="A9" s="37">
        <f>'01'!$B$2</f>
        <v>0</v>
      </c>
      <c r="B9" s="25">
        <f>'01'!B36</f>
        <v>33.65625</v>
      </c>
      <c r="C9" s="25">
        <f>'01'!C36</f>
        <v>75.621250000000003</v>
      </c>
      <c r="D9" s="25">
        <f>'01'!D36</f>
        <v>108.92458333333332</v>
      </c>
      <c r="E9" s="25">
        <f>'01'!E36</f>
        <v>11.172499999999999</v>
      </c>
      <c r="F9" s="25">
        <f>'01'!F36</f>
        <v>9.7820833333333344</v>
      </c>
      <c r="G9" s="25">
        <f>'01'!G36</f>
        <v>146.50583333333336</v>
      </c>
      <c r="H9" s="25">
        <f>'01'!H36</f>
        <v>31.40958333333333</v>
      </c>
      <c r="I9" s="25">
        <f>'01'!I36</f>
        <v>1.4088888888888889</v>
      </c>
      <c r="J9" s="25">
        <f>'01'!J36</f>
        <v>0.63583333333333325</v>
      </c>
      <c r="K9" s="25">
        <f>'01'!K36</f>
        <v>280.50416666666678</v>
      </c>
      <c r="L9" s="25">
        <f>'01'!L36</f>
        <v>26.981666666666669</v>
      </c>
      <c r="M9" s="25">
        <f>'01'!M36</f>
        <v>72.092499999999987</v>
      </c>
      <c r="N9" s="25">
        <f>'01'!N36</f>
        <v>219.09583333333333</v>
      </c>
      <c r="O9" s="25">
        <f>'01'!O36</f>
        <v>0</v>
      </c>
      <c r="P9" s="31">
        <f>'01'!$P$36</f>
        <v>1.7358333333333331</v>
      </c>
      <c r="Q9" s="25">
        <f>'01'!Q36</f>
        <v>48.416363636363627</v>
      </c>
      <c r="R9" s="46"/>
      <c r="S9" s="46"/>
      <c r="T9" s="46"/>
      <c r="U9" s="47"/>
    </row>
    <row r="10" spans="1:21" s="35" customFormat="1" x14ac:dyDescent="0.25">
      <c r="A10" s="37" t="str">
        <f>'02'!$B$2</f>
        <v>02-10-2022 01:00</v>
      </c>
      <c r="B10" s="34">
        <f>'02'!B36</f>
        <v>32.19</v>
      </c>
      <c r="C10" s="34">
        <f>'02'!C36</f>
        <v>71.260833333333338</v>
      </c>
      <c r="D10" s="34">
        <f>'02'!D36</f>
        <v>103.15833333333335</v>
      </c>
      <c r="E10" s="34">
        <f>'02'!E36</f>
        <v>8.8233333333333324</v>
      </c>
      <c r="F10" s="34">
        <f>'02'!F36</f>
        <v>8.3641666666666694</v>
      </c>
      <c r="G10" s="34">
        <f>'02'!G36</f>
        <v>148.00950000000006</v>
      </c>
      <c r="H10" s="34">
        <f>'02'!H36</f>
        <v>36.569166666666661</v>
      </c>
      <c r="I10" s="34">
        <f>'02'!I36</f>
        <v>1.2674999999999998</v>
      </c>
      <c r="J10" s="34">
        <f>'02'!J36</f>
        <v>1.0933333333333333</v>
      </c>
      <c r="K10" s="34">
        <f>'02'!K36</f>
        <v>332.29291666666671</v>
      </c>
      <c r="L10" s="34">
        <f>'02'!L36</f>
        <v>28.091666666666665</v>
      </c>
      <c r="M10" s="34">
        <f>'02'!M36</f>
        <v>64.375000000000014</v>
      </c>
      <c r="N10" s="34">
        <f>'02'!N36</f>
        <v>286.43749999999994</v>
      </c>
      <c r="O10" s="34">
        <f>'02'!O36</f>
        <v>0</v>
      </c>
      <c r="P10" s="31">
        <f>'02'!$P$36</f>
        <v>1.7241666666666668</v>
      </c>
      <c r="Q10" s="34">
        <f>'02'!Q36</f>
        <v>56.433333333333344</v>
      </c>
      <c r="R10" s="48"/>
      <c r="S10" s="48"/>
      <c r="T10" s="48"/>
      <c r="U10" s="48"/>
    </row>
    <row r="11" spans="1:21" s="35" customFormat="1" x14ac:dyDescent="0.25">
      <c r="A11" s="37" t="str">
        <f>'03'!$B$2</f>
        <v>03-10-2022 01:00</v>
      </c>
      <c r="B11" s="34">
        <f>'03'!B36</f>
        <v>12.721249999999998</v>
      </c>
      <c r="C11" s="34">
        <f>'03'!C36</f>
        <v>47.00333333333333</v>
      </c>
      <c r="D11" s="34">
        <f>'03'!D36</f>
        <v>59.223750000000003</v>
      </c>
      <c r="E11" s="34">
        <f>'03'!E36</f>
        <v>8.8591666666666669</v>
      </c>
      <c r="F11" s="34">
        <f>'03'!F36</f>
        <v>8.5829166666666659</v>
      </c>
      <c r="G11" s="34">
        <f>'03'!G36</f>
        <v>190.5683333333333</v>
      </c>
      <c r="H11" s="34">
        <f>'03'!H36</f>
        <v>31.06</v>
      </c>
      <c r="I11" s="34">
        <f>'03'!I36</f>
        <v>0.95083333333333331</v>
      </c>
      <c r="J11" s="34">
        <f>'03'!J36</f>
        <v>1.13625</v>
      </c>
      <c r="K11" s="34">
        <f>'03'!K36</f>
        <v>291.72708333333333</v>
      </c>
      <c r="L11" s="34">
        <f>'03'!L36</f>
        <v>26.434583333333332</v>
      </c>
      <c r="M11" s="34">
        <f>'03'!M36</f>
        <v>73.608333333333334</v>
      </c>
      <c r="N11" s="34">
        <f>'03'!N36</f>
        <v>237.77083333333334</v>
      </c>
      <c r="O11" s="34">
        <f>'03'!O36</f>
        <v>0.10833333333333334</v>
      </c>
      <c r="P11" s="31">
        <f>'03'!$P$36</f>
        <v>1.3683333333333332</v>
      </c>
      <c r="Q11" s="34">
        <f>'03'!Q36</f>
        <v>54.08958333333333</v>
      </c>
      <c r="R11" s="48"/>
      <c r="S11" s="48"/>
      <c r="T11" s="48"/>
      <c r="U11" s="48"/>
    </row>
    <row r="12" spans="1:21" s="35" customFormat="1" x14ac:dyDescent="0.25">
      <c r="A12" s="37" t="str">
        <f>'04'!$B$2</f>
        <v>04-10-2022 01:00</v>
      </c>
      <c r="B12" s="34">
        <f>'04'!B36</f>
        <v>12.073333333333332</v>
      </c>
      <c r="C12" s="34">
        <f>'04'!C36</f>
        <v>38.747083333333329</v>
      </c>
      <c r="D12" s="34">
        <f>'04'!D36</f>
        <v>50.321666666666665</v>
      </c>
      <c r="E12" s="34">
        <f>'04'!E36</f>
        <v>7.1687499999999984</v>
      </c>
      <c r="F12" s="34">
        <f>'04'!F36</f>
        <v>8.1987500000000004</v>
      </c>
      <c r="G12" s="9" t="s">
        <v>8</v>
      </c>
      <c r="H12" s="34">
        <f>'04'!H36</f>
        <v>20.756818181818183</v>
      </c>
      <c r="I12" s="34">
        <f>'04'!I36</f>
        <v>0.7941666666666668</v>
      </c>
      <c r="J12" s="34">
        <f>'04'!J36</f>
        <v>0.97541666666666671</v>
      </c>
      <c r="K12" s="34">
        <f>'04'!K36</f>
        <v>215.75375</v>
      </c>
      <c r="L12" s="34">
        <f>'04'!L36</f>
        <v>24.466666666666669</v>
      </c>
      <c r="M12" s="34">
        <f>'04'!M36</f>
        <v>81.471666666666664</v>
      </c>
      <c r="N12" s="34">
        <f>'04'!N36</f>
        <v>139.01666666666668</v>
      </c>
      <c r="O12" s="34">
        <f>'04'!O36</f>
        <v>3.3333333333333333E-2</v>
      </c>
      <c r="P12" s="31">
        <f>'04'!$P$36</f>
        <v>1.07</v>
      </c>
      <c r="Q12" s="34">
        <f>'04'!Q36</f>
        <v>55.865833333333335</v>
      </c>
      <c r="R12" s="48"/>
      <c r="S12" s="48"/>
      <c r="T12" s="48"/>
      <c r="U12" s="48"/>
    </row>
    <row r="13" spans="1:21" s="35" customFormat="1" x14ac:dyDescent="0.25">
      <c r="A13" s="37" t="str">
        <f>'05'!$B$2</f>
        <v>05-10-2022 01:00</v>
      </c>
      <c r="B13" s="34">
        <f>'05'!B36</f>
        <v>6.2616666666666667</v>
      </c>
      <c r="C13" s="34">
        <f>'05'!C36</f>
        <v>21.125</v>
      </c>
      <c r="D13" s="34">
        <f>'05'!D36</f>
        <v>27.077916666666667</v>
      </c>
      <c r="E13" s="34">
        <f>'05'!E36</f>
        <v>4.8049999999999997</v>
      </c>
      <c r="F13" s="34">
        <f>'05'!F36</f>
        <v>6.907916666666666</v>
      </c>
      <c r="G13" s="9" t="s">
        <v>8</v>
      </c>
      <c r="H13" s="34">
        <f>'05'!H36</f>
        <v>11.255909090909089</v>
      </c>
      <c r="I13" s="34">
        <f>'05'!I36</f>
        <v>0.56083333333333341</v>
      </c>
      <c r="J13" s="34">
        <f>'05'!J36</f>
        <v>1.6166666666666663</v>
      </c>
      <c r="K13" s="34">
        <f>'05'!K36</f>
        <v>102.33999999999999</v>
      </c>
      <c r="L13" s="34">
        <f>'05'!L36</f>
        <v>25.210416666666664</v>
      </c>
      <c r="M13" s="34">
        <f>'05'!M36</f>
        <v>78.831666666666663</v>
      </c>
      <c r="N13" s="34">
        <f>'05'!N36</f>
        <v>253.25416666666663</v>
      </c>
      <c r="O13" s="34">
        <f>'05'!O36</f>
        <v>1.6666666666666666E-2</v>
      </c>
      <c r="P13" s="31">
        <f>'05'!$P$36</f>
        <v>0.66583333333333339</v>
      </c>
      <c r="Q13" s="34">
        <f>'05'!Q36</f>
        <v>27.082916666666673</v>
      </c>
      <c r="R13" s="48"/>
      <c r="S13" s="48"/>
      <c r="T13" s="48"/>
      <c r="U13" s="48"/>
    </row>
    <row r="14" spans="1:21" s="35" customFormat="1" x14ac:dyDescent="0.25">
      <c r="A14" s="37" t="str">
        <f>'06'!$B$2</f>
        <v>06-10-2022 01:00</v>
      </c>
      <c r="B14" s="34">
        <f>'06'!B36</f>
        <v>5.4125000000000005</v>
      </c>
      <c r="C14" s="34">
        <f>'06'!C36</f>
        <v>18.179999999999996</v>
      </c>
      <c r="D14" s="34">
        <f>'06'!D36</f>
        <v>23.547499999999999</v>
      </c>
      <c r="E14" s="34">
        <f>'06'!E36</f>
        <v>4.6170833333333334</v>
      </c>
      <c r="F14" s="34">
        <f>'06'!F36</f>
        <v>6.4054166666666665</v>
      </c>
      <c r="G14" s="34">
        <f>'06'!G36</f>
        <v>19.835416666666664</v>
      </c>
      <c r="H14" s="34">
        <f>'06'!H36</f>
        <v>3.7580000000000005</v>
      </c>
      <c r="I14" s="34">
        <f>'06'!I36</f>
        <v>0.49874999999999997</v>
      </c>
      <c r="J14" s="34">
        <f>'06'!J36</f>
        <v>1.8820833333333333</v>
      </c>
      <c r="K14" s="34">
        <f>'06'!K36</f>
        <v>116.92625</v>
      </c>
      <c r="L14" s="34">
        <f>'06'!L36</f>
        <v>24.82416666666666</v>
      </c>
      <c r="M14" s="34">
        <f>'06'!M36</f>
        <v>81.161249999999981</v>
      </c>
      <c r="N14" s="34">
        <f>'06'!N36</f>
        <v>241.71250000000001</v>
      </c>
      <c r="O14" s="34">
        <f>'06'!O36</f>
        <v>0.41666666666666669</v>
      </c>
      <c r="P14" s="31">
        <f>'06'!$P$36</f>
        <v>0.42416666666666658</v>
      </c>
      <c r="Q14" s="34">
        <f>'06'!Q36</f>
        <v>32.381250000000001</v>
      </c>
      <c r="R14" s="48"/>
      <c r="S14" s="48"/>
      <c r="T14" s="48"/>
      <c r="U14" s="48"/>
    </row>
    <row r="15" spans="1:21" s="35" customFormat="1" x14ac:dyDescent="0.25">
      <c r="A15" s="37" t="str">
        <f>'07'!$B$2</f>
        <v>07-10-2022 01:00</v>
      </c>
      <c r="B15" s="34">
        <f>'07'!B36</f>
        <v>3.2629166666666669</v>
      </c>
      <c r="C15" s="34">
        <f>'07'!C36</f>
        <v>14.053749999999999</v>
      </c>
      <c r="D15" s="34">
        <f>'07'!D36</f>
        <v>17.157083333333333</v>
      </c>
      <c r="E15" s="34">
        <f>'07'!E36</f>
        <v>4.4525000000000006</v>
      </c>
      <c r="F15" s="34">
        <f>'07'!F36</f>
        <v>6.1866666666666674</v>
      </c>
      <c r="G15" s="9" t="s">
        <v>8</v>
      </c>
      <c r="H15" s="34">
        <f>'07'!H36</f>
        <v>3.4770833333333333</v>
      </c>
      <c r="I15" s="34">
        <f>'07'!I36</f>
        <v>0.43583333333333329</v>
      </c>
      <c r="J15" s="34">
        <f>'07'!J36</f>
        <v>2.0758333333333336</v>
      </c>
      <c r="K15" s="34">
        <f>'07'!K36</f>
        <v>109.07000000000001</v>
      </c>
      <c r="L15" s="34">
        <f>'07'!L36</f>
        <v>24.593333333333334</v>
      </c>
      <c r="M15" s="34">
        <f>'07'!M36</f>
        <v>80.099583333333328</v>
      </c>
      <c r="N15" s="34" t="e">
        <f>'07'!#REF!</f>
        <v>#REF!</v>
      </c>
      <c r="O15" s="34" t="e">
        <f>'07'!#REF!</f>
        <v>#REF!</v>
      </c>
      <c r="P15" s="31" t="e">
        <f>'07'!#REF!</f>
        <v>#REF!</v>
      </c>
      <c r="Q15" s="34">
        <f>'07'!Q36</f>
        <v>40.9925</v>
      </c>
      <c r="R15" s="48"/>
      <c r="S15" s="48"/>
      <c r="T15" s="48"/>
      <c r="U15" s="48"/>
    </row>
    <row r="16" spans="1:21" s="35" customFormat="1" x14ac:dyDescent="0.25">
      <c r="A16" s="37" t="str">
        <f>'08'!$B$2</f>
        <v>08-10-2022 01:00</v>
      </c>
      <c r="B16" s="34">
        <f>'08'!B36</f>
        <v>6.041052631578947</v>
      </c>
      <c r="C16" s="34">
        <f>'08'!C36</f>
        <v>17.955789473684213</v>
      </c>
      <c r="D16" s="34">
        <f>'08'!D36</f>
        <v>23.908947368421053</v>
      </c>
      <c r="E16" s="34">
        <f>'08'!E36</f>
        <v>5.2194736842105254</v>
      </c>
      <c r="F16" s="34">
        <f>'08'!F36</f>
        <v>6.46</v>
      </c>
      <c r="G16" s="34">
        <f>'08'!G36</f>
        <v>16.278947368421054</v>
      </c>
      <c r="H16" s="34">
        <f>'08'!H36</f>
        <v>3.2957894736842106</v>
      </c>
      <c r="I16" s="34">
        <f>'08'!I36</f>
        <v>0.59818181818181815</v>
      </c>
      <c r="J16" s="34">
        <f>'08'!J36</f>
        <v>1.2147368421052633</v>
      </c>
      <c r="K16" s="34">
        <f>'08'!K36</f>
        <v>157.8921052631579</v>
      </c>
      <c r="L16" s="34">
        <f>'08'!L36</f>
        <v>26.187368421052632</v>
      </c>
      <c r="M16" s="34">
        <f>'08'!M36</f>
        <v>72.231578947368433</v>
      </c>
      <c r="N16" s="34">
        <f>'08'!N36</f>
        <v>387.08421052631581</v>
      </c>
      <c r="O16" s="34">
        <f>'08'!O36</f>
        <v>0</v>
      </c>
      <c r="P16" s="31">
        <f>'08'!$P$36</f>
        <v>0.37789473684210523</v>
      </c>
      <c r="Q16" s="34">
        <f>'08'!Q36</f>
        <v>47.833684210526314</v>
      </c>
      <c r="R16" s="48"/>
      <c r="S16" s="48"/>
      <c r="T16" s="48"/>
      <c r="U16" s="48"/>
    </row>
    <row r="17" spans="1:24" s="35" customFormat="1" x14ac:dyDescent="0.25">
      <c r="A17" s="37" t="str">
        <f>'09'!$B$2</f>
        <v>09-10-2022 01:00</v>
      </c>
      <c r="B17" s="4" t="s">
        <v>4</v>
      </c>
      <c r="C17" s="4" t="s">
        <v>4</v>
      </c>
      <c r="D17" s="4" t="s">
        <v>4</v>
      </c>
      <c r="E17" s="4" t="s">
        <v>4</v>
      </c>
      <c r="F17" s="4" t="s">
        <v>4</v>
      </c>
      <c r="G17" s="4" t="s">
        <v>4</v>
      </c>
      <c r="H17" s="4" t="s">
        <v>4</v>
      </c>
      <c r="I17" s="4" t="s">
        <v>4</v>
      </c>
      <c r="J17" s="4" t="s">
        <v>4</v>
      </c>
      <c r="K17" s="4" t="s">
        <v>4</v>
      </c>
      <c r="L17" s="4" t="s">
        <v>4</v>
      </c>
      <c r="M17" s="4" t="s">
        <v>4</v>
      </c>
      <c r="N17" s="4" t="s">
        <v>4</v>
      </c>
      <c r="O17" s="4" t="s">
        <v>4</v>
      </c>
      <c r="P17" s="4" t="s">
        <v>4</v>
      </c>
      <c r="Q17" s="4" t="s">
        <v>4</v>
      </c>
      <c r="R17" s="48"/>
      <c r="S17" s="48"/>
      <c r="T17" s="48"/>
      <c r="U17" s="48"/>
      <c r="V17" s="36"/>
      <c r="W17" s="36"/>
      <c r="X17" s="36"/>
    </row>
    <row r="18" spans="1:24" s="35" customFormat="1" x14ac:dyDescent="0.25">
      <c r="A18" s="37" t="str">
        <f>'10'!$B$2</f>
        <v>10-10-2022 01:00</v>
      </c>
      <c r="B18" s="34">
        <f>'10'!B36</f>
        <v>10.033333333333333</v>
      </c>
      <c r="C18" s="34">
        <f>'10'!C36</f>
        <v>27.889999999999997</v>
      </c>
      <c r="D18" s="34">
        <f>'10'!D36</f>
        <v>37.909999999999997</v>
      </c>
      <c r="E18" s="34">
        <f>'10'!E36</f>
        <v>4.7666666666666666</v>
      </c>
      <c r="F18" s="34">
        <f>'10'!F36</f>
        <v>12.057142857142859</v>
      </c>
      <c r="G18" s="34">
        <f>'10'!G36</f>
        <v>32.75</v>
      </c>
      <c r="H18" s="34">
        <f>'10'!H36</f>
        <v>35.68571428571429</v>
      </c>
      <c r="I18" s="34">
        <f>'10'!I36</f>
        <v>0.95</v>
      </c>
      <c r="J18" s="34">
        <f>'10'!J36</f>
        <v>1.4000000000000001</v>
      </c>
      <c r="K18" s="34">
        <f>'10'!K36</f>
        <v>192.58571428571432</v>
      </c>
      <c r="L18" s="34">
        <f>'10'!L36</f>
        <v>28.245714285714289</v>
      </c>
      <c r="M18" s="34">
        <f>'10'!M36</f>
        <v>74.278571428571439</v>
      </c>
      <c r="N18" s="34">
        <f>'10'!N36</f>
        <v>572.79999999999995</v>
      </c>
      <c r="O18" s="34">
        <f>'10'!O36</f>
        <v>3.6571428571428575</v>
      </c>
      <c r="P18" s="31">
        <f>'10'!$P$36</f>
        <v>0.34428571428571431</v>
      </c>
      <c r="Q18" s="34">
        <f>'10'!Q36</f>
        <v>116.08833333333335</v>
      </c>
      <c r="R18" s="48"/>
      <c r="S18" s="48"/>
      <c r="T18" s="48"/>
      <c r="U18" s="48"/>
    </row>
    <row r="19" spans="1:24" s="35" customFormat="1" x14ac:dyDescent="0.25">
      <c r="A19" s="37" t="str">
        <f>'11'!$B$2</f>
        <v>11-10-2022 01:00</v>
      </c>
      <c r="B19" s="4" t="s">
        <v>4</v>
      </c>
      <c r="C19" s="4" t="s">
        <v>4</v>
      </c>
      <c r="D19" s="4" t="s">
        <v>4</v>
      </c>
      <c r="E19" s="4" t="s">
        <v>4</v>
      </c>
      <c r="F19" s="4" t="s">
        <v>4</v>
      </c>
      <c r="G19" s="4" t="s">
        <v>4</v>
      </c>
      <c r="H19" s="4" t="s">
        <v>4</v>
      </c>
      <c r="I19" s="4" t="s">
        <v>4</v>
      </c>
      <c r="J19" s="4" t="s">
        <v>4</v>
      </c>
      <c r="K19" s="4" t="s">
        <v>4</v>
      </c>
      <c r="L19" s="4" t="s">
        <v>4</v>
      </c>
      <c r="M19" s="4" t="s">
        <v>4</v>
      </c>
      <c r="N19" s="4" t="s">
        <v>4</v>
      </c>
      <c r="O19" s="4" t="s">
        <v>4</v>
      </c>
      <c r="P19" s="4" t="s">
        <v>4</v>
      </c>
      <c r="Q19" s="4" t="s">
        <v>4</v>
      </c>
      <c r="R19" s="48"/>
      <c r="S19" s="48"/>
      <c r="T19" s="48"/>
      <c r="U19" s="48"/>
    </row>
    <row r="20" spans="1:24" s="35" customFormat="1" x14ac:dyDescent="0.25">
      <c r="A20" s="37" t="str">
        <f>'12'!$B$2</f>
        <v>12-10-2022 01:00</v>
      </c>
      <c r="B20" s="34">
        <f>'12'!B36</f>
        <v>13.519230769230772</v>
      </c>
      <c r="C20" s="34">
        <f>'12'!C36</f>
        <v>44.763846153846153</v>
      </c>
      <c r="D20" s="34">
        <f>'12'!D36</f>
        <v>57.906153846153842</v>
      </c>
      <c r="E20" s="34">
        <f>'12'!E36</f>
        <v>8.0892307692307703</v>
      </c>
      <c r="F20" s="34">
        <f>'12'!F36</f>
        <v>6.1753846153846155</v>
      </c>
      <c r="G20" s="34">
        <f>'12'!G36</f>
        <v>67.144545454545451</v>
      </c>
      <c r="H20" s="34">
        <f>'12'!H36</f>
        <v>17.222727272727273</v>
      </c>
      <c r="I20" s="34">
        <f>'12'!I36</f>
        <v>0.72307692307692295</v>
      </c>
      <c r="J20" s="34">
        <f>'12'!J36</f>
        <v>0.63615384615384629</v>
      </c>
      <c r="K20" s="34">
        <f>'12'!K36</f>
        <v>225.94153846153844</v>
      </c>
      <c r="L20" s="34">
        <f>'12'!L36</f>
        <v>31.253076923076922</v>
      </c>
      <c r="M20" s="34">
        <f>'12'!M36</f>
        <v>87.611538461538444</v>
      </c>
      <c r="N20" s="34">
        <f>'12'!N36</f>
        <v>212.51538461538465</v>
      </c>
      <c r="O20" s="34">
        <f>'12'!O36</f>
        <v>0</v>
      </c>
      <c r="P20" s="34">
        <f>'12'!P36</f>
        <v>0.75384615384615394</v>
      </c>
      <c r="Q20" s="34">
        <f>'12'!Q36</f>
        <v>174.63454545454545</v>
      </c>
      <c r="R20" s="48"/>
      <c r="S20" s="48"/>
      <c r="T20" s="48"/>
      <c r="U20" s="48"/>
    </row>
    <row r="21" spans="1:24" s="35" customFormat="1" x14ac:dyDescent="0.25">
      <c r="A21" s="37" t="str">
        <f>'13'!$B$2</f>
        <v>13-10-2022 01:00</v>
      </c>
      <c r="B21" s="34">
        <f>'13'!B36</f>
        <v>15.15791666666667</v>
      </c>
      <c r="C21" s="34">
        <f>'13'!C36</f>
        <v>41.463333333333345</v>
      </c>
      <c r="D21" s="34">
        <f>'13'!D36</f>
        <v>56.531250000000007</v>
      </c>
      <c r="E21" s="34">
        <f>'13'!E36</f>
        <v>10.550416666666665</v>
      </c>
      <c r="F21" s="34">
        <f>'13'!F36</f>
        <v>5.9595833333333355</v>
      </c>
      <c r="G21" s="34">
        <f>'13'!G36</f>
        <v>101.33208333333333</v>
      </c>
      <c r="H21" s="34">
        <f>'13'!H36</f>
        <v>26.632173913043477</v>
      </c>
      <c r="I21" s="34">
        <f>'13'!I36</f>
        <v>0.7729166666666667</v>
      </c>
      <c r="J21" s="34">
        <f>'13'!J36</f>
        <v>0.77916666666666634</v>
      </c>
      <c r="K21" s="34">
        <f>'13'!K36</f>
        <v>195.62</v>
      </c>
      <c r="L21" s="34">
        <f>'13'!L36</f>
        <v>29.435833333333335</v>
      </c>
      <c r="M21" s="34">
        <f>'13'!M36</f>
        <v>102.05333333333334</v>
      </c>
      <c r="N21" s="34">
        <f>'13'!N36</f>
        <v>229.58333333333337</v>
      </c>
      <c r="O21" s="34">
        <f>'13'!O36</f>
        <v>0</v>
      </c>
      <c r="P21" s="34">
        <f>'13'!P36</f>
        <v>0.92333333333333345</v>
      </c>
      <c r="Q21" s="34">
        <f>'13'!Q36</f>
        <v>150.98583333333335</v>
      </c>
      <c r="R21" s="48"/>
      <c r="S21" s="48"/>
      <c r="T21" s="48"/>
      <c r="U21" s="48"/>
    </row>
    <row r="22" spans="1:24" s="35" customFormat="1" x14ac:dyDescent="0.25">
      <c r="A22" s="37" t="str">
        <f>'14'!$B$2</f>
        <v>14-10-2022 01:00</v>
      </c>
      <c r="B22" s="31">
        <f>'14'!B36</f>
        <v>14.049583333333336</v>
      </c>
      <c r="C22" s="31">
        <f>'14'!C36</f>
        <v>45.7425</v>
      </c>
      <c r="D22" s="31">
        <f>'14'!D36</f>
        <v>59.065416666666671</v>
      </c>
      <c r="E22" s="31">
        <f>'14'!E36</f>
        <v>9.355833333333333</v>
      </c>
      <c r="F22" s="31">
        <f>'14'!F36</f>
        <v>4.9933333333333332</v>
      </c>
      <c r="G22" s="31">
        <f>'14'!G36</f>
        <v>90.854166666666686</v>
      </c>
      <c r="H22" s="31">
        <f>'14'!H36</f>
        <v>23.11708333333333</v>
      </c>
      <c r="I22" s="31">
        <f>'14'!I36</f>
        <v>0.63291666666666668</v>
      </c>
      <c r="J22" s="31">
        <f>'14'!J36</f>
        <v>0.85208333333333319</v>
      </c>
      <c r="K22" s="31">
        <f>'14'!K36</f>
        <v>154.90958333333333</v>
      </c>
      <c r="L22" s="31">
        <f>'14'!L36</f>
        <v>27.766666666666659</v>
      </c>
      <c r="M22" s="31">
        <f>'14'!M36</f>
        <v>54.309565217391288</v>
      </c>
      <c r="N22" s="31">
        <f>'14'!N36</f>
        <v>183.91249999999999</v>
      </c>
      <c r="O22" s="31">
        <f>'14'!O36</f>
        <v>0.23333333333333331</v>
      </c>
      <c r="P22" s="31">
        <f>'14'!P36</f>
        <v>1.0158333333333334</v>
      </c>
      <c r="Q22" s="31">
        <f>'14'!Q36</f>
        <v>316.39499999999998</v>
      </c>
      <c r="R22" s="49"/>
      <c r="S22" s="49"/>
      <c r="T22" s="49"/>
      <c r="U22" s="49"/>
    </row>
    <row r="23" spans="1:24" s="35" customFormat="1" x14ac:dyDescent="0.25">
      <c r="A23" s="37" t="str">
        <f>'15'!$B$2</f>
        <v>15-10-2022 01:00</v>
      </c>
      <c r="B23" s="34">
        <f>'15'!B36</f>
        <v>13.451666666666666</v>
      </c>
      <c r="C23" s="34">
        <f>'15'!C36</f>
        <v>38.19</v>
      </c>
      <c r="D23" s="34">
        <f>'15'!D36</f>
        <v>51.297499999999992</v>
      </c>
      <c r="E23" s="34">
        <f>'15'!E36</f>
        <v>6.120000000000001</v>
      </c>
      <c r="F23" s="34">
        <f>'15'!F36</f>
        <v>2.9358333333333331</v>
      </c>
      <c r="G23" s="34">
        <f>'15'!G36</f>
        <v>78.75833333333334</v>
      </c>
      <c r="H23" s="34">
        <f>'15'!H36</f>
        <v>18.087500000000002</v>
      </c>
      <c r="I23" s="34">
        <f>'15'!I36</f>
        <v>0.63217391304347825</v>
      </c>
      <c r="J23" s="34">
        <f>'15'!J36</f>
        <v>1.0258333333333332</v>
      </c>
      <c r="K23" s="34">
        <f>'15'!K36</f>
        <v>197.19791666666666</v>
      </c>
      <c r="L23" s="34" t="e">
        <f>'15'!L36</f>
        <v>#DIV/0!</v>
      </c>
      <c r="M23" s="34" t="e">
        <f>'15'!M36</f>
        <v>#DIV/0!</v>
      </c>
      <c r="N23" s="34">
        <f>'15'!N36</f>
        <v>210.97916666666674</v>
      </c>
      <c r="O23" s="34">
        <f>'15'!O36</f>
        <v>0</v>
      </c>
      <c r="P23" s="31">
        <f>'15'!P36</f>
        <v>0.9870833333333332</v>
      </c>
      <c r="Q23" s="31">
        <f>'15'!Q36</f>
        <v>168.29374999999999</v>
      </c>
      <c r="R23" s="49"/>
      <c r="S23" s="49"/>
      <c r="T23" s="49"/>
      <c r="U23" s="48"/>
    </row>
    <row r="24" spans="1:24" s="35" customFormat="1" x14ac:dyDescent="0.25">
      <c r="A24" s="37" t="str">
        <f>'16'!$B$2</f>
        <v>16-10-2022 01:00</v>
      </c>
      <c r="B24" s="34">
        <f>'16'!B36</f>
        <v>10.602916666666667</v>
      </c>
      <c r="C24" s="34">
        <f>'16'!C36</f>
        <v>28.998750000000001</v>
      </c>
      <c r="D24" s="34">
        <f>'16'!D36</f>
        <v>39.457500000000003</v>
      </c>
      <c r="E24" s="34">
        <f>'16'!E36</f>
        <v>5.2733333333333352</v>
      </c>
      <c r="F24" s="34">
        <f>'16'!F36</f>
        <v>2.2949999999999995</v>
      </c>
      <c r="G24" s="34">
        <f>'16'!G36</f>
        <v>38.884999999999998</v>
      </c>
      <c r="H24" s="34">
        <f>'16'!H36</f>
        <v>13.603809523809522</v>
      </c>
      <c r="I24" s="34">
        <f>'16'!I36</f>
        <v>0.60958333333333348</v>
      </c>
      <c r="J24" s="34">
        <f>'16'!J36</f>
        <v>0.98499999999999999</v>
      </c>
      <c r="K24" s="34">
        <f>'16'!K36</f>
        <v>98.976249999999993</v>
      </c>
      <c r="L24" s="34" t="e">
        <f>'16'!L36</f>
        <v>#DIV/0!</v>
      </c>
      <c r="M24" s="34" t="e">
        <f>'16'!M36</f>
        <v>#DIV/0!</v>
      </c>
      <c r="N24" s="34">
        <f>'16'!N36</f>
        <v>267.99166666666667</v>
      </c>
      <c r="O24" s="34">
        <f>'16'!O36</f>
        <v>0</v>
      </c>
      <c r="P24" s="31">
        <f>'16'!P36</f>
        <v>0.7383333333333334</v>
      </c>
      <c r="Q24" s="31">
        <f>'16'!Q36</f>
        <v>104.27666666666666</v>
      </c>
      <c r="R24" s="49"/>
      <c r="S24" s="49"/>
      <c r="T24" s="49"/>
      <c r="U24" s="48"/>
    </row>
    <row r="25" spans="1:24" s="35" customFormat="1" x14ac:dyDescent="0.25">
      <c r="A25" s="37" t="str">
        <f>'17'!$B$2</f>
        <v>17-10-2022 01:00</v>
      </c>
      <c r="B25" s="34">
        <f>'17'!B36</f>
        <v>18.952083333333334</v>
      </c>
      <c r="C25" s="34">
        <f>'17'!C36</f>
        <v>41.434166666666663</v>
      </c>
      <c r="D25" s="34">
        <f>'17'!D36</f>
        <v>59.962083333333347</v>
      </c>
      <c r="E25" s="34">
        <f>'17'!E36</f>
        <v>6.2554166666666662</v>
      </c>
      <c r="F25" s="34">
        <f>'17'!F36</f>
        <v>3.4175</v>
      </c>
      <c r="G25" s="34">
        <f>'17'!G36</f>
        <v>50.95578947368422</v>
      </c>
      <c r="H25" s="34">
        <f>'17'!H36</f>
        <v>9.5004347826086946</v>
      </c>
      <c r="I25" s="34">
        <f>'17'!I36</f>
        <v>0.66782608695652179</v>
      </c>
      <c r="J25" s="34">
        <f>'17'!J36</f>
        <v>0.93791666666666662</v>
      </c>
      <c r="K25" s="34">
        <f>'17'!K36</f>
        <v>225.13708333333332</v>
      </c>
      <c r="L25" s="34" t="e">
        <f>'17'!L36</f>
        <v>#DIV/0!</v>
      </c>
      <c r="M25" s="34" t="e">
        <f>'17'!M36</f>
        <v>#DIV/0!</v>
      </c>
      <c r="N25" s="34">
        <f>'17'!N36</f>
        <v>298.00952380952378</v>
      </c>
      <c r="O25" s="34">
        <f>'17'!O36</f>
        <v>1.2333333333333334</v>
      </c>
      <c r="P25" s="31">
        <f>'17'!P36</f>
        <v>0.87478260869565205</v>
      </c>
      <c r="Q25" s="31">
        <f>'17'!Q36</f>
        <v>100.70375</v>
      </c>
      <c r="R25" s="49"/>
      <c r="S25" s="49"/>
      <c r="T25" s="49"/>
      <c r="U25" s="48"/>
    </row>
    <row r="26" spans="1:24" s="35" customFormat="1" x14ac:dyDescent="0.25">
      <c r="A26" s="37" t="str">
        <f>'18'!$B$2</f>
        <v>18-10-2022 01:00</v>
      </c>
      <c r="B26" s="34">
        <f>'18'!B36</f>
        <v>23.979583333333327</v>
      </c>
      <c r="C26" s="34">
        <f>'18'!C36</f>
        <v>64.17916666666666</v>
      </c>
      <c r="D26" s="34">
        <f>'18'!D36</f>
        <v>87.802500000000009</v>
      </c>
      <c r="E26" s="34">
        <f>'18'!E36</f>
        <v>11.247916666666667</v>
      </c>
      <c r="F26" s="34">
        <f>'18'!F36</f>
        <v>4.7820833333333326</v>
      </c>
      <c r="G26" s="34">
        <f>'18'!G36</f>
        <v>117.11285714285714</v>
      </c>
      <c r="H26" s="34">
        <f>'18'!H36</f>
        <v>54.718750000000007</v>
      </c>
      <c r="I26" s="34">
        <f>'18'!I36</f>
        <v>0.86333333333333317</v>
      </c>
      <c r="J26" s="34">
        <f>'18'!J36</f>
        <v>0.54083333333333339</v>
      </c>
      <c r="K26" s="34">
        <f>'18'!K36</f>
        <v>174.19541666666666</v>
      </c>
      <c r="L26" s="34" t="e">
        <f>'18'!L36</f>
        <v>#DIV/0!</v>
      </c>
      <c r="M26" s="34" t="e">
        <f>'18'!M36</f>
        <v>#DIV/0!</v>
      </c>
      <c r="N26" s="34">
        <f>'18'!N36</f>
        <v>231.19583333333335</v>
      </c>
      <c r="O26" s="34">
        <f>'18'!O36</f>
        <v>0</v>
      </c>
      <c r="P26" s="31">
        <f>'18'!P36</f>
        <v>1.4804166666666665</v>
      </c>
      <c r="Q26" s="31">
        <f>'18'!Q36</f>
        <v>108.65875000000001</v>
      </c>
      <c r="R26" s="49"/>
      <c r="S26" s="49"/>
      <c r="T26" s="49"/>
      <c r="U26" s="48"/>
    </row>
    <row r="27" spans="1:24" s="35" customFormat="1" x14ac:dyDescent="0.25">
      <c r="A27" s="37" t="str">
        <f>'19'!$B$2</f>
        <v>19-10-2022 01:00</v>
      </c>
      <c r="B27" s="34">
        <f>'19'!B36</f>
        <v>16.451578947368422</v>
      </c>
      <c r="C27" s="34">
        <f>'19'!C36</f>
        <v>53.282105263157895</v>
      </c>
      <c r="D27" s="34">
        <f>'19'!D36</f>
        <v>65.995789473684212</v>
      </c>
      <c r="E27" s="34">
        <f>'19'!E36</f>
        <v>10.204210526315789</v>
      </c>
      <c r="F27" s="34">
        <f>'19'!F36</f>
        <v>5.3473684210526322</v>
      </c>
      <c r="G27" s="34">
        <f>'19'!G36</f>
        <v>122.31800000000001</v>
      </c>
      <c r="H27" s="34">
        <f>'19'!H36</f>
        <v>61.936842105263153</v>
      </c>
      <c r="I27" s="34">
        <f>'19'!I36</f>
        <v>0.73105263157894729</v>
      </c>
      <c r="J27" s="34">
        <f>'19'!J36</f>
        <v>0.94157894736842107</v>
      </c>
      <c r="K27" s="34">
        <f>'19'!K36</f>
        <v>144.84789473684208</v>
      </c>
      <c r="L27" s="34" t="e">
        <f>'19'!L36</f>
        <v>#DIV/0!</v>
      </c>
      <c r="M27" s="34" t="e">
        <f>'19'!M36</f>
        <v>#DIV/0!</v>
      </c>
      <c r="N27" s="34">
        <f>'19'!N36</f>
        <v>253.92105263157896</v>
      </c>
      <c r="O27" s="34">
        <f>'19'!O36</f>
        <v>0</v>
      </c>
      <c r="P27" s="31">
        <f>'19'!P36</f>
        <v>1.2010526315789471</v>
      </c>
      <c r="Q27" s="31">
        <f>'19'!Q36</f>
        <v>100.11736842105265</v>
      </c>
      <c r="R27" s="49"/>
      <c r="S27" s="49"/>
      <c r="T27" s="49"/>
      <c r="U27" s="48"/>
    </row>
    <row r="28" spans="1:24" s="35" customFormat="1" x14ac:dyDescent="0.25">
      <c r="A28" s="37" t="str">
        <f>'20'!$B$2</f>
        <v>20-10-2022 01:00</v>
      </c>
      <c r="B28" s="4" t="s">
        <v>4</v>
      </c>
      <c r="C28" s="4" t="s">
        <v>4</v>
      </c>
      <c r="D28" s="4" t="s">
        <v>4</v>
      </c>
      <c r="E28" s="4" t="s">
        <v>4</v>
      </c>
      <c r="F28" s="4" t="s">
        <v>4</v>
      </c>
      <c r="G28" s="4" t="s">
        <v>4</v>
      </c>
      <c r="H28" s="4" t="s">
        <v>4</v>
      </c>
      <c r="I28" s="4" t="s">
        <v>4</v>
      </c>
      <c r="J28" s="4" t="s">
        <v>4</v>
      </c>
      <c r="K28" s="4" t="s">
        <v>4</v>
      </c>
      <c r="L28" s="4" t="s">
        <v>4</v>
      </c>
      <c r="M28" s="4" t="s">
        <v>4</v>
      </c>
      <c r="N28" s="4" t="s">
        <v>4</v>
      </c>
      <c r="O28" s="4" t="s">
        <v>4</v>
      </c>
      <c r="P28" s="4" t="s">
        <v>4</v>
      </c>
      <c r="Q28" s="4" t="s">
        <v>4</v>
      </c>
      <c r="R28" s="49"/>
      <c r="S28" s="49"/>
      <c r="T28" s="49"/>
      <c r="U28" s="48"/>
    </row>
    <row r="29" spans="1:24" s="35" customFormat="1" x14ac:dyDescent="0.25">
      <c r="A29" s="37" t="str">
        <f>'21'!$B$2</f>
        <v>21-10-2022 01:00</v>
      </c>
      <c r="B29" s="4" t="s">
        <v>4</v>
      </c>
      <c r="C29" s="4" t="s">
        <v>4</v>
      </c>
      <c r="D29" s="4" t="s">
        <v>4</v>
      </c>
      <c r="E29" s="4" t="s">
        <v>4</v>
      </c>
      <c r="F29" s="4" t="s">
        <v>4</v>
      </c>
      <c r="G29" s="4" t="s">
        <v>4</v>
      </c>
      <c r="H29" s="4" t="s">
        <v>4</v>
      </c>
      <c r="I29" s="4" t="s">
        <v>4</v>
      </c>
      <c r="J29" s="4" t="s">
        <v>4</v>
      </c>
      <c r="K29" s="4" t="s">
        <v>4</v>
      </c>
      <c r="L29" s="4" t="s">
        <v>4</v>
      </c>
      <c r="M29" s="4" t="s">
        <v>4</v>
      </c>
      <c r="N29" s="4" t="s">
        <v>4</v>
      </c>
      <c r="O29" s="4" t="s">
        <v>4</v>
      </c>
      <c r="P29" s="4" t="s">
        <v>4</v>
      </c>
      <c r="Q29" s="4" t="s">
        <v>4</v>
      </c>
      <c r="R29" s="49"/>
      <c r="S29" s="49"/>
      <c r="T29" s="49"/>
      <c r="U29" s="48"/>
    </row>
    <row r="30" spans="1:24" s="35" customFormat="1" x14ac:dyDescent="0.25">
      <c r="A30" s="37" t="str">
        <f>'22'!$B$2</f>
        <v>22-10-2022 01:00</v>
      </c>
      <c r="B30" s="4" t="s">
        <v>4</v>
      </c>
      <c r="C30" s="4" t="s">
        <v>4</v>
      </c>
      <c r="D30" s="4" t="s">
        <v>4</v>
      </c>
      <c r="E30" s="4" t="s">
        <v>4</v>
      </c>
      <c r="F30" s="4" t="s">
        <v>4</v>
      </c>
      <c r="G30" s="4" t="s">
        <v>4</v>
      </c>
      <c r="H30" s="4" t="s">
        <v>4</v>
      </c>
      <c r="I30" s="4" t="s">
        <v>4</v>
      </c>
      <c r="J30" s="4" t="s">
        <v>4</v>
      </c>
      <c r="K30" s="4" t="s">
        <v>4</v>
      </c>
      <c r="L30" s="4" t="s">
        <v>4</v>
      </c>
      <c r="M30" s="4" t="s">
        <v>4</v>
      </c>
      <c r="N30" s="4" t="s">
        <v>4</v>
      </c>
      <c r="O30" s="4" t="s">
        <v>4</v>
      </c>
      <c r="P30" s="4" t="s">
        <v>4</v>
      </c>
      <c r="Q30" s="4" t="s">
        <v>4</v>
      </c>
      <c r="R30" s="49"/>
      <c r="S30" s="48"/>
      <c r="T30" s="48"/>
      <c r="U30" s="48"/>
    </row>
    <row r="31" spans="1:24" s="35" customFormat="1" x14ac:dyDescent="0.25">
      <c r="A31" s="37" t="str">
        <f>'23'!$B$2</f>
        <v>23-10-2022 01:00</v>
      </c>
      <c r="B31" s="4" t="s">
        <v>4</v>
      </c>
      <c r="C31" s="4" t="s">
        <v>4</v>
      </c>
      <c r="D31" s="4" t="s">
        <v>4</v>
      </c>
      <c r="E31" s="4" t="s">
        <v>4</v>
      </c>
      <c r="F31" s="4" t="s">
        <v>4</v>
      </c>
      <c r="G31" s="4" t="s">
        <v>4</v>
      </c>
      <c r="H31" s="4" t="s">
        <v>4</v>
      </c>
      <c r="I31" s="4" t="s">
        <v>4</v>
      </c>
      <c r="J31" s="4" t="s">
        <v>4</v>
      </c>
      <c r="K31" s="4" t="s">
        <v>4</v>
      </c>
      <c r="L31" s="4" t="s">
        <v>4</v>
      </c>
      <c r="M31" s="4" t="s">
        <v>4</v>
      </c>
      <c r="N31" s="4" t="s">
        <v>4</v>
      </c>
      <c r="O31" s="4" t="s">
        <v>4</v>
      </c>
      <c r="P31" s="4" t="s">
        <v>4</v>
      </c>
      <c r="Q31" s="4" t="s">
        <v>4</v>
      </c>
      <c r="R31" s="48"/>
      <c r="S31" s="48"/>
      <c r="T31" s="48"/>
      <c r="U31" s="48"/>
    </row>
    <row r="32" spans="1:24" s="35" customFormat="1" x14ac:dyDescent="0.25">
      <c r="A32" s="37" t="str">
        <f>'24'!$B$2</f>
        <v>24-10-2022 01:00</v>
      </c>
      <c r="B32" s="4" t="s">
        <v>4</v>
      </c>
      <c r="C32" s="4" t="s">
        <v>4</v>
      </c>
      <c r="D32" s="4" t="s">
        <v>4</v>
      </c>
      <c r="E32" s="4" t="s">
        <v>4</v>
      </c>
      <c r="F32" s="4" t="s">
        <v>4</v>
      </c>
      <c r="G32" s="4" t="s">
        <v>4</v>
      </c>
      <c r="H32" s="4" t="s">
        <v>4</v>
      </c>
      <c r="I32" s="4" t="s">
        <v>4</v>
      </c>
      <c r="J32" s="4" t="s">
        <v>4</v>
      </c>
      <c r="K32" s="4" t="s">
        <v>4</v>
      </c>
      <c r="L32" s="4" t="s">
        <v>4</v>
      </c>
      <c r="M32" s="4" t="s">
        <v>4</v>
      </c>
      <c r="N32" s="4" t="s">
        <v>4</v>
      </c>
      <c r="O32" s="4" t="s">
        <v>4</v>
      </c>
      <c r="P32" s="4" t="s">
        <v>4</v>
      </c>
      <c r="Q32" s="4" t="s">
        <v>4</v>
      </c>
      <c r="R32" s="48"/>
      <c r="S32" s="48"/>
      <c r="T32" s="48"/>
      <c r="U32" s="48"/>
    </row>
    <row r="33" spans="1:21" s="35" customFormat="1" x14ac:dyDescent="0.25">
      <c r="A33" s="37" t="str">
        <f>'25'!$B$2</f>
        <v>25-10-2022 01:00</v>
      </c>
      <c r="B33" s="34">
        <f>'25'!B36</f>
        <v>9.538000000000002</v>
      </c>
      <c r="C33" s="34">
        <f>'25'!C36</f>
        <v>73.38066666666667</v>
      </c>
      <c r="D33" s="34">
        <f>'25'!D36</f>
        <v>47.986666666666665</v>
      </c>
      <c r="E33" s="34">
        <f>'25'!E36</f>
        <v>18.017857142857146</v>
      </c>
      <c r="F33" s="34">
        <f>'25'!F36</f>
        <v>46.730624999999989</v>
      </c>
      <c r="G33" s="34">
        <f>'25'!G36</f>
        <v>71.501111111111129</v>
      </c>
      <c r="H33" s="34">
        <f>'25'!H36</f>
        <v>53.634444444444441</v>
      </c>
      <c r="I33" s="34">
        <f>'25'!I36</f>
        <v>0.28571428571428575</v>
      </c>
      <c r="J33" s="34">
        <f>'25'!J36</f>
        <v>0.37437500000000007</v>
      </c>
      <c r="K33" s="34">
        <f>'25'!K36</f>
        <v>276.395625</v>
      </c>
      <c r="L33" s="9" t="s">
        <v>8</v>
      </c>
      <c r="M33" s="9" t="s">
        <v>8</v>
      </c>
      <c r="N33" s="34">
        <f>'25'!N36</f>
        <v>313.36250000000007</v>
      </c>
      <c r="O33" s="34">
        <f>'25'!O36</f>
        <v>0</v>
      </c>
      <c r="P33" s="34">
        <f>'25'!P36</f>
        <v>1.0266666666666666</v>
      </c>
      <c r="Q33" s="34">
        <f>'25'!Q36</f>
        <v>110.08714285714284</v>
      </c>
      <c r="R33" s="48"/>
      <c r="S33" s="48"/>
      <c r="T33" s="48"/>
      <c r="U33" s="48"/>
    </row>
    <row r="34" spans="1:21" s="35" customFormat="1" x14ac:dyDescent="0.25">
      <c r="A34" s="37" t="str">
        <f>'26'!$B$2</f>
        <v>26-10-2022 01:00</v>
      </c>
      <c r="B34" s="34">
        <f>'26'!B36</f>
        <v>54.576499999999996</v>
      </c>
      <c r="C34" s="34">
        <f>'26'!C36</f>
        <v>154.68049999999999</v>
      </c>
      <c r="D34" s="34">
        <f>'26'!D36</f>
        <v>128.61449999999999</v>
      </c>
      <c r="E34" s="34">
        <f>'26'!E36</f>
        <v>21.743809523809524</v>
      </c>
      <c r="F34" s="34">
        <f>'26'!F36</f>
        <v>39.794782608695648</v>
      </c>
      <c r="G34" s="34">
        <f>'26'!G36</f>
        <v>161.66999999999999</v>
      </c>
      <c r="H34" s="34">
        <f>'26'!H36</f>
        <v>83.147894736842105</v>
      </c>
      <c r="I34" s="34">
        <f>'26'!I36</f>
        <v>0.54800000000000004</v>
      </c>
      <c r="J34" s="34">
        <f>'26'!J36</f>
        <v>0.43695652173913041</v>
      </c>
      <c r="K34" s="34">
        <f>'26'!K36</f>
        <v>248.48956521739123</v>
      </c>
      <c r="L34" s="9" t="s">
        <v>8</v>
      </c>
      <c r="M34" s="9" t="s">
        <v>8</v>
      </c>
      <c r="N34" s="34">
        <f>'26'!N36</f>
        <v>198.65217391304353</v>
      </c>
      <c r="O34" s="34">
        <f>'26'!O36</f>
        <v>0</v>
      </c>
      <c r="P34" s="34">
        <f>'26'!P36</f>
        <v>1.5117391304347827</v>
      </c>
      <c r="Q34" s="34">
        <f>'26'!Q36</f>
        <v>164.30444444444447</v>
      </c>
      <c r="R34" s="48"/>
      <c r="S34" s="48"/>
      <c r="T34" s="48"/>
      <c r="U34" s="48"/>
    </row>
    <row r="35" spans="1:21" s="35" customFormat="1" x14ac:dyDescent="0.25">
      <c r="A35" s="37" t="str">
        <f>'27'!$B$2</f>
        <v>27-10-2022 01:00</v>
      </c>
      <c r="B35" s="34">
        <f>'27'!B36</f>
        <v>32.820416666666667</v>
      </c>
      <c r="C35" s="34">
        <f>'27'!C36</f>
        <v>135.10166666666666</v>
      </c>
      <c r="D35" s="34">
        <f>'27'!D36</f>
        <v>100.49291666666669</v>
      </c>
      <c r="E35" s="34">
        <f>'27'!E36</f>
        <v>26.589166666666667</v>
      </c>
      <c r="F35" s="34">
        <f>'27'!F36</f>
        <v>43.584166666666668</v>
      </c>
      <c r="G35" s="34">
        <f>'27'!G36</f>
        <v>160.44409090909087</v>
      </c>
      <c r="H35" s="34">
        <f>'27'!H36</f>
        <v>79.873181818181834</v>
      </c>
      <c r="I35" s="34">
        <f>'27'!I36</f>
        <v>0.41625000000000001</v>
      </c>
      <c r="J35" s="34">
        <f>'27'!J36</f>
        <v>0.37958333333333333</v>
      </c>
      <c r="K35" s="34">
        <f>'27'!K36</f>
        <v>254.70333333333329</v>
      </c>
      <c r="L35" s="9" t="s">
        <v>8</v>
      </c>
      <c r="M35" s="9" t="s">
        <v>8</v>
      </c>
      <c r="N35" s="34">
        <f>'27'!N36</f>
        <v>214.42500000000004</v>
      </c>
      <c r="O35" s="34">
        <f>'27'!O36</f>
        <v>0</v>
      </c>
      <c r="P35" s="31">
        <f>'27'!P36</f>
        <v>1.397083333333333</v>
      </c>
      <c r="Q35" s="34">
        <f>'27'!Q36</f>
        <v>115.58833333333331</v>
      </c>
      <c r="R35" s="48"/>
      <c r="S35" s="48"/>
      <c r="T35" s="48"/>
      <c r="U35" s="48"/>
    </row>
    <row r="36" spans="1:21" s="35" customFormat="1" x14ac:dyDescent="0.25">
      <c r="A36" s="37" t="str">
        <f>'28'!$B$2</f>
        <v>28-10-2022 01:00</v>
      </c>
      <c r="B36" s="34">
        <f>'28'!B36</f>
        <v>62.947499999999998</v>
      </c>
      <c r="C36" s="34">
        <f>'28'!C36</f>
        <v>174.08000000000004</v>
      </c>
      <c r="D36" s="34">
        <f>'28'!D36</f>
        <v>146.13291666666666</v>
      </c>
      <c r="E36" s="34">
        <f>'28'!E36</f>
        <v>26.235833333333332</v>
      </c>
      <c r="F36" s="34">
        <f>'28'!F36</f>
        <v>47.714999999999996</v>
      </c>
      <c r="G36" s="34">
        <f>'28'!G36</f>
        <v>152.60399999999998</v>
      </c>
      <c r="H36" s="34">
        <f>'28'!H36</f>
        <v>65.092500000000001</v>
      </c>
      <c r="I36" s="34">
        <f>'28'!I36</f>
        <v>0.46708333333333335</v>
      </c>
      <c r="J36" s="34">
        <f>'28'!J36</f>
        <v>0.39666666666666667</v>
      </c>
      <c r="K36" s="34">
        <f>'28'!K36</f>
        <v>292.59875</v>
      </c>
      <c r="L36" s="9" t="s">
        <v>8</v>
      </c>
      <c r="M36" s="9" t="s">
        <v>8</v>
      </c>
      <c r="N36" s="34">
        <f>'28'!N36</f>
        <v>209.40416666666673</v>
      </c>
      <c r="O36" s="34">
        <f>'28'!O36</f>
        <v>0</v>
      </c>
      <c r="P36" s="31">
        <f>'28'!P36</f>
        <v>1.7125000000000001</v>
      </c>
      <c r="Q36" s="34">
        <f>'28'!Q36</f>
        <v>128.33541666666665</v>
      </c>
      <c r="R36" s="48"/>
      <c r="S36" s="48"/>
      <c r="T36" s="48"/>
      <c r="U36" s="48"/>
    </row>
    <row r="37" spans="1:21" s="35" customFormat="1" x14ac:dyDescent="0.25">
      <c r="A37" s="37" t="str">
        <f>'30'!$B$2</f>
        <v>30-10-2022 01:00</v>
      </c>
      <c r="B37" s="34">
        <f>'30'!B36</f>
        <v>31.318333333333332</v>
      </c>
      <c r="C37" s="34">
        <f>'30'!C36</f>
        <v>149.24625000000003</v>
      </c>
      <c r="D37" s="34">
        <f>'30'!D36</f>
        <v>106.41958333333332</v>
      </c>
      <c r="E37" s="34">
        <f>'30'!E36</f>
        <v>68.03125</v>
      </c>
      <c r="F37" s="34">
        <f>'30'!F36</f>
        <v>51.412499999999987</v>
      </c>
      <c r="G37" s="34">
        <f>'30'!G36</f>
        <v>164.82208333333332</v>
      </c>
      <c r="H37" s="34">
        <f>'30'!H36</f>
        <v>72.106250000000017</v>
      </c>
      <c r="I37" s="34">
        <f>'30'!I36</f>
        <v>0.31375000000000003</v>
      </c>
      <c r="J37" s="34">
        <f>'30'!J36</f>
        <v>0.69958333333333333</v>
      </c>
      <c r="K37" s="34">
        <f>'30'!K36</f>
        <v>225.97874999999999</v>
      </c>
      <c r="L37" s="9" t="s">
        <v>8</v>
      </c>
      <c r="M37" s="9" t="s">
        <v>8</v>
      </c>
      <c r="N37" s="34">
        <f>'30'!N36</f>
        <v>210.05416666666676</v>
      </c>
      <c r="O37" s="34">
        <f>'30'!O36</f>
        <v>0</v>
      </c>
      <c r="P37" s="34">
        <f>'30'!P36</f>
        <v>1.4529166666666669</v>
      </c>
      <c r="Q37" s="34">
        <f>'30'!Q36</f>
        <v>93.591250000000002</v>
      </c>
      <c r="R37" s="48"/>
      <c r="S37" s="48"/>
      <c r="T37" s="48"/>
      <c r="U37" s="48"/>
    </row>
    <row r="38" spans="1:21" s="35" customFormat="1" x14ac:dyDescent="0.25">
      <c r="A38" s="37" t="str">
        <f>'31'!$B$2</f>
        <v>31-10-2022 01:00</v>
      </c>
      <c r="B38" s="34">
        <f>'31'!B36</f>
        <v>17.23875</v>
      </c>
      <c r="C38" s="34">
        <f>'31'!C36</f>
        <v>129.15958333333336</v>
      </c>
      <c r="D38" s="34">
        <f>'31'!D36</f>
        <v>85.003333333333345</v>
      </c>
      <c r="E38" s="34">
        <f>'31'!E36</f>
        <v>34.236249999999991</v>
      </c>
      <c r="F38" s="34">
        <f>'31'!F36</f>
        <v>58.415416666666658</v>
      </c>
      <c r="G38" s="34">
        <f>'31'!G36</f>
        <v>153.85166666666669</v>
      </c>
      <c r="H38" s="34">
        <f>'31'!H36</f>
        <v>63.700833333333343</v>
      </c>
      <c r="I38" s="34">
        <f>'31'!I36</f>
        <v>0.32291666666666669</v>
      </c>
      <c r="J38" s="34">
        <f>'31'!J36</f>
        <v>0.65833333333333333</v>
      </c>
      <c r="K38" s="34">
        <f>'31'!K36</f>
        <v>145.51208333333332</v>
      </c>
      <c r="L38" s="9" t="s">
        <v>8</v>
      </c>
      <c r="M38" s="9" t="s">
        <v>8</v>
      </c>
      <c r="N38" s="34">
        <f>'31'!N36</f>
        <v>206.83333333333337</v>
      </c>
      <c r="O38" s="34">
        <f>'31'!O36</f>
        <v>0</v>
      </c>
      <c r="P38" s="34">
        <f>'31'!P36</f>
        <v>1.2904166666666668</v>
      </c>
      <c r="Q38" s="34">
        <f>'31'!Q36</f>
        <v>81.329166666666666</v>
      </c>
      <c r="R38" s="48"/>
      <c r="S38" s="48"/>
      <c r="T38" s="48"/>
      <c r="U38" s="48"/>
    </row>
    <row r="39" spans="1:21" x14ac:dyDescent="0.25"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1"/>
      <c r="S39" s="21"/>
      <c r="T39" s="21"/>
      <c r="U39" s="50"/>
    </row>
    <row r="40" spans="1:21" s="22" customFormat="1" x14ac:dyDescent="0.25">
      <c r="A40" s="15" t="s">
        <v>30</v>
      </c>
      <c r="B40" s="16">
        <f t="shared" ref="B40:Q40" si="0">MIN(B9:B38)</f>
        <v>3.2629166666666669</v>
      </c>
      <c r="C40" s="16">
        <f t="shared" si="0"/>
        <v>14.053749999999999</v>
      </c>
      <c r="D40" s="16">
        <f t="shared" si="0"/>
        <v>17.157083333333333</v>
      </c>
      <c r="E40" s="16">
        <f t="shared" si="0"/>
        <v>4.4525000000000006</v>
      </c>
      <c r="F40" s="16">
        <f t="shared" si="0"/>
        <v>2.2949999999999995</v>
      </c>
      <c r="G40" s="16">
        <f t="shared" si="0"/>
        <v>16.278947368421054</v>
      </c>
      <c r="H40" s="16">
        <f t="shared" si="0"/>
        <v>3.2957894736842106</v>
      </c>
      <c r="I40" s="16">
        <f t="shared" si="0"/>
        <v>0.28571428571428575</v>
      </c>
      <c r="J40" s="16">
        <f t="shared" si="0"/>
        <v>0.37437500000000007</v>
      </c>
      <c r="K40" s="16">
        <f t="shared" si="0"/>
        <v>98.976249999999993</v>
      </c>
      <c r="L40" s="16" t="e">
        <f t="shared" si="0"/>
        <v>#DIV/0!</v>
      </c>
      <c r="M40" s="16" t="e">
        <f t="shared" si="0"/>
        <v>#DIV/0!</v>
      </c>
      <c r="N40" s="16" t="e">
        <f t="shared" si="0"/>
        <v>#REF!</v>
      </c>
      <c r="O40" s="16" t="e">
        <f t="shared" si="0"/>
        <v>#REF!</v>
      </c>
      <c r="P40" s="16" t="e">
        <f t="shared" si="0"/>
        <v>#REF!</v>
      </c>
      <c r="Q40" s="16">
        <f t="shared" si="0"/>
        <v>27.082916666666673</v>
      </c>
      <c r="R40" s="29"/>
      <c r="S40" s="29"/>
      <c r="T40" s="29"/>
      <c r="U40" s="29"/>
    </row>
    <row r="41" spans="1:21" s="22" customFormat="1" x14ac:dyDescent="0.25">
      <c r="A41" s="15" t="s">
        <v>31</v>
      </c>
      <c r="B41" s="16">
        <f t="shared" ref="B41:Q41" si="1">MAX(B9:B38)</f>
        <v>62.947499999999998</v>
      </c>
      <c r="C41" s="16">
        <f t="shared" si="1"/>
        <v>174.08000000000004</v>
      </c>
      <c r="D41" s="16">
        <f t="shared" si="1"/>
        <v>146.13291666666666</v>
      </c>
      <c r="E41" s="16">
        <f t="shared" si="1"/>
        <v>68.03125</v>
      </c>
      <c r="F41" s="16">
        <f t="shared" si="1"/>
        <v>58.415416666666658</v>
      </c>
      <c r="G41" s="16">
        <f t="shared" si="1"/>
        <v>190.5683333333333</v>
      </c>
      <c r="H41" s="16">
        <f t="shared" si="1"/>
        <v>83.147894736842105</v>
      </c>
      <c r="I41" s="16">
        <f t="shared" si="1"/>
        <v>1.4088888888888889</v>
      </c>
      <c r="J41" s="16">
        <f t="shared" si="1"/>
        <v>2.0758333333333336</v>
      </c>
      <c r="K41" s="16">
        <f t="shared" si="1"/>
        <v>332.29291666666671</v>
      </c>
      <c r="L41" s="16" t="e">
        <f t="shared" si="1"/>
        <v>#DIV/0!</v>
      </c>
      <c r="M41" s="16" t="e">
        <f t="shared" si="1"/>
        <v>#DIV/0!</v>
      </c>
      <c r="N41" s="16" t="e">
        <f t="shared" si="1"/>
        <v>#REF!</v>
      </c>
      <c r="O41" s="16" t="e">
        <f t="shared" si="1"/>
        <v>#REF!</v>
      </c>
      <c r="P41" s="16" t="e">
        <f t="shared" si="1"/>
        <v>#REF!</v>
      </c>
      <c r="Q41" s="16">
        <f t="shared" si="1"/>
        <v>316.39499999999998</v>
      </c>
      <c r="R41" s="29"/>
      <c r="S41" s="29"/>
      <c r="T41" s="29"/>
      <c r="U41" s="29"/>
    </row>
    <row r="42" spans="1:21" s="22" customFormat="1" x14ac:dyDescent="0.25">
      <c r="A42" s="15" t="s">
        <v>32</v>
      </c>
      <c r="B42" s="16">
        <f t="shared" ref="B42:Q42" si="2">AVERAGE(B9:B38)</f>
        <v>19.837233145572963</v>
      </c>
      <c r="C42" s="16">
        <f t="shared" si="2"/>
        <v>65.458242357566164</v>
      </c>
      <c r="D42" s="16">
        <f t="shared" si="2"/>
        <v>67.125995247315615</v>
      </c>
      <c r="E42" s="16">
        <f t="shared" si="2"/>
        <v>13.992826013612627</v>
      </c>
      <c r="F42" s="16">
        <f t="shared" si="2"/>
        <v>17.239288558069962</v>
      </c>
      <c r="G42" s="16">
        <f t="shared" si="2"/>
        <v>104.31008790631884</v>
      </c>
      <c r="H42" s="16">
        <f t="shared" si="2"/>
        <v>35.636629983871579</v>
      </c>
      <c r="I42" s="16">
        <f t="shared" si="2"/>
        <v>0.67180787887424043</v>
      </c>
      <c r="J42" s="16">
        <f t="shared" si="2"/>
        <v>0.94235729669710122</v>
      </c>
      <c r="K42" s="16">
        <f t="shared" si="2"/>
        <v>202.59112070860769</v>
      </c>
      <c r="L42" s="16" t="e">
        <f t="shared" si="2"/>
        <v>#DIV/0!</v>
      </c>
      <c r="M42" s="16" t="e">
        <f t="shared" si="2"/>
        <v>#DIV/0!</v>
      </c>
      <c r="N42" s="16" t="e">
        <f t="shared" si="2"/>
        <v>#REF!</v>
      </c>
      <c r="O42" s="16" t="e">
        <f t="shared" si="2"/>
        <v>#REF!</v>
      </c>
      <c r="P42" s="16" t="e">
        <f t="shared" si="2"/>
        <v>#REF!</v>
      </c>
      <c r="Q42" s="16">
        <f t="shared" si="2"/>
        <v>104.19500937785836</v>
      </c>
      <c r="R42" s="29"/>
      <c r="S42" s="29"/>
      <c r="T42" s="29"/>
      <c r="U42" s="29"/>
    </row>
    <row r="43" spans="1:21" s="22" customFormat="1" x14ac:dyDescent="0.25">
      <c r="A43" s="15" t="s">
        <v>38</v>
      </c>
      <c r="B43" s="16">
        <f t="shared" ref="B43:Q43" si="3">STDEV(B9:B38)</f>
        <v>15.281122488727064</v>
      </c>
      <c r="C43" s="16">
        <f t="shared" si="3"/>
        <v>48.451080782678211</v>
      </c>
      <c r="D43" s="16">
        <f t="shared" si="3"/>
        <v>35.185228786576992</v>
      </c>
      <c r="E43" s="16">
        <f t="shared" si="3"/>
        <v>14.358698091482468</v>
      </c>
      <c r="F43" s="16">
        <f t="shared" si="3"/>
        <v>19.021662307672315</v>
      </c>
      <c r="G43" s="16">
        <f t="shared" si="3"/>
        <v>54.744530066123325</v>
      </c>
      <c r="H43" s="16">
        <f t="shared" si="3"/>
        <v>25.747515142237031</v>
      </c>
      <c r="I43" s="16">
        <f t="shared" si="3"/>
        <v>0.282302877958861</v>
      </c>
      <c r="J43" s="16">
        <f t="shared" si="3"/>
        <v>0.46183018191165476</v>
      </c>
      <c r="K43" s="16">
        <f t="shared" si="3"/>
        <v>67.319380803106171</v>
      </c>
      <c r="L43" s="16" t="e">
        <f t="shared" si="3"/>
        <v>#DIV/0!</v>
      </c>
      <c r="M43" s="16" t="e">
        <f t="shared" si="3"/>
        <v>#DIV/0!</v>
      </c>
      <c r="N43" s="16" t="e">
        <f t="shared" si="3"/>
        <v>#REF!</v>
      </c>
      <c r="O43" s="16" t="e">
        <f t="shared" si="3"/>
        <v>#REF!</v>
      </c>
      <c r="P43" s="16" t="e">
        <f t="shared" si="3"/>
        <v>#REF!</v>
      </c>
      <c r="Q43" s="16">
        <f t="shared" si="3"/>
        <v>63.955898477372415</v>
      </c>
      <c r="R43" s="29"/>
      <c r="S43" s="29"/>
      <c r="T43" s="29"/>
      <c r="U43" s="29"/>
    </row>
    <row r="44" spans="1:21" s="22" customFormat="1" x14ac:dyDescent="0.25">
      <c r="A44" s="15" t="s">
        <v>33</v>
      </c>
      <c r="B44" s="13">
        <f t="shared" ref="B44:Q44" si="4">COUNT(B9:B38)</f>
        <v>23</v>
      </c>
      <c r="C44" s="13">
        <f t="shared" si="4"/>
        <v>23</v>
      </c>
      <c r="D44" s="13">
        <f t="shared" si="4"/>
        <v>23</v>
      </c>
      <c r="E44" s="13">
        <f t="shared" si="4"/>
        <v>23</v>
      </c>
      <c r="F44" s="13">
        <f t="shared" si="4"/>
        <v>23</v>
      </c>
      <c r="G44" s="13">
        <f t="shared" si="4"/>
        <v>20</v>
      </c>
      <c r="H44" s="13">
        <f t="shared" si="4"/>
        <v>23</v>
      </c>
      <c r="I44" s="13">
        <f t="shared" si="4"/>
        <v>23</v>
      </c>
      <c r="J44" s="13">
        <f t="shared" si="4"/>
        <v>23</v>
      </c>
      <c r="K44" s="13">
        <f t="shared" si="4"/>
        <v>23</v>
      </c>
      <c r="L44" s="13">
        <f t="shared" si="4"/>
        <v>12</v>
      </c>
      <c r="M44" s="13">
        <f t="shared" si="4"/>
        <v>12</v>
      </c>
      <c r="N44" s="13">
        <f t="shared" si="4"/>
        <v>22</v>
      </c>
      <c r="O44" s="13">
        <f t="shared" si="4"/>
        <v>22</v>
      </c>
      <c r="P44" s="13">
        <f t="shared" si="4"/>
        <v>22</v>
      </c>
      <c r="Q44" s="13">
        <f t="shared" si="4"/>
        <v>23</v>
      </c>
      <c r="R44" s="30"/>
      <c r="S44" s="30"/>
      <c r="T44" s="30"/>
      <c r="U44" s="30"/>
    </row>
    <row r="45" spans="1:21" s="22" customFormat="1" x14ac:dyDescent="0.25">
      <c r="A45" s="15" t="s">
        <v>34</v>
      </c>
      <c r="B45" s="13" t="str">
        <f>IF(B44&gt;=28,"&gt;90%",IF(B44&lt;=28,"&lt;90%"))</f>
        <v>&lt;90%</v>
      </c>
      <c r="C45" s="13" t="str">
        <f t="shared" ref="C45:Q45" si="5">IF(C44&gt;=28,"&gt;90%",IF(C44&lt;=28,"&lt;90%"))</f>
        <v>&lt;90%</v>
      </c>
      <c r="D45" s="13" t="str">
        <f t="shared" si="5"/>
        <v>&lt;90%</v>
      </c>
      <c r="E45" s="13" t="str">
        <f t="shared" si="5"/>
        <v>&lt;90%</v>
      </c>
      <c r="F45" s="13" t="str">
        <f t="shared" si="5"/>
        <v>&lt;90%</v>
      </c>
      <c r="G45" s="13" t="str">
        <f t="shared" si="5"/>
        <v>&lt;90%</v>
      </c>
      <c r="H45" s="13" t="str">
        <f t="shared" si="5"/>
        <v>&lt;90%</v>
      </c>
      <c r="I45" s="13" t="str">
        <f t="shared" si="5"/>
        <v>&lt;90%</v>
      </c>
      <c r="J45" s="13" t="str">
        <f t="shared" si="5"/>
        <v>&lt;90%</v>
      </c>
      <c r="K45" s="13" t="str">
        <f t="shared" si="5"/>
        <v>&lt;90%</v>
      </c>
      <c r="L45" s="13" t="str">
        <f t="shared" si="5"/>
        <v>&lt;90%</v>
      </c>
      <c r="M45" s="13" t="str">
        <f t="shared" si="5"/>
        <v>&lt;90%</v>
      </c>
      <c r="N45" s="13" t="str">
        <f t="shared" si="5"/>
        <v>&lt;90%</v>
      </c>
      <c r="O45" s="13" t="str">
        <f t="shared" si="5"/>
        <v>&lt;90%</v>
      </c>
      <c r="P45" s="13" t="str">
        <f t="shared" si="5"/>
        <v>&lt;90%</v>
      </c>
      <c r="Q45" s="13" t="str">
        <f t="shared" si="5"/>
        <v>&lt;90%</v>
      </c>
      <c r="R45" s="30"/>
      <c r="S45" s="30"/>
      <c r="T45" s="30"/>
      <c r="U45" s="30"/>
    </row>
    <row r="46" spans="1:21" s="22" customFormat="1" x14ac:dyDescent="0.25">
      <c r="A46" s="15" t="s">
        <v>1</v>
      </c>
      <c r="B46" s="13" t="str">
        <f>IF(B44&gt;=28,"OK",IF(B44&lt;=28,"LESS"))</f>
        <v>LESS</v>
      </c>
      <c r="C46" s="13" t="str">
        <f t="shared" ref="C46:Q46" si="6">IF(C44&gt;=28,"OK",IF(C44&lt;=28,"LESS"))</f>
        <v>LESS</v>
      </c>
      <c r="D46" s="13" t="str">
        <f t="shared" si="6"/>
        <v>LESS</v>
      </c>
      <c r="E46" s="13" t="str">
        <f t="shared" si="6"/>
        <v>LESS</v>
      </c>
      <c r="F46" s="13" t="str">
        <f t="shared" si="6"/>
        <v>LESS</v>
      </c>
      <c r="G46" s="13" t="str">
        <f t="shared" si="6"/>
        <v>LESS</v>
      </c>
      <c r="H46" s="13" t="str">
        <f t="shared" si="6"/>
        <v>LESS</v>
      </c>
      <c r="I46" s="13" t="str">
        <f t="shared" si="6"/>
        <v>LESS</v>
      </c>
      <c r="J46" s="13" t="str">
        <f t="shared" si="6"/>
        <v>LESS</v>
      </c>
      <c r="K46" s="13" t="str">
        <f t="shared" si="6"/>
        <v>LESS</v>
      </c>
      <c r="L46" s="13" t="str">
        <f t="shared" si="6"/>
        <v>LESS</v>
      </c>
      <c r="M46" s="13" t="str">
        <f t="shared" si="6"/>
        <v>LESS</v>
      </c>
      <c r="N46" s="13" t="str">
        <f t="shared" si="6"/>
        <v>LESS</v>
      </c>
      <c r="O46" s="13" t="str">
        <f t="shared" si="6"/>
        <v>LESS</v>
      </c>
      <c r="P46" s="13" t="str">
        <f t="shared" si="6"/>
        <v>LESS</v>
      </c>
      <c r="Q46" s="13" t="str">
        <f t="shared" si="6"/>
        <v>LESS</v>
      </c>
      <c r="R46" s="30"/>
      <c r="S46" s="30"/>
      <c r="T46" s="30"/>
      <c r="U46" s="30"/>
    </row>
    <row r="47" spans="1:21" x14ac:dyDescent="0.25"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</row>
    <row r="49" spans="1:16" x14ac:dyDescent="0.25">
      <c r="A49" s="15" t="s">
        <v>35</v>
      </c>
      <c r="B49" s="41" t="s">
        <v>40</v>
      </c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</row>
    <row r="50" spans="1:16" x14ac:dyDescent="0.25">
      <c r="A50" s="14"/>
      <c r="B50" s="22"/>
      <c r="C50" s="22"/>
      <c r="D50" s="2"/>
      <c r="E50" s="2"/>
      <c r="F50" s="2"/>
      <c r="G50" s="2"/>
      <c r="H50" s="2"/>
      <c r="I50" s="2"/>
      <c r="J50" s="22"/>
      <c r="K50" s="22"/>
      <c r="L50" s="22"/>
      <c r="M50" s="22"/>
      <c r="N50" s="22"/>
      <c r="O50" s="22"/>
      <c r="P50" s="22"/>
    </row>
    <row r="51" spans="1:16" ht="15.75" x14ac:dyDescent="0.25">
      <c r="A51" s="18" t="s">
        <v>36</v>
      </c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spans="1:16" x14ac:dyDescent="0.25">
      <c r="A52" s="14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</row>
    <row r="53" spans="1:16" x14ac:dyDescent="0.25">
      <c r="A53" s="14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</row>
    <row r="54" spans="1:16" x14ac:dyDescent="0.25">
      <c r="A54" s="14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</row>
  </sheetData>
  <mergeCells count="1">
    <mergeCell ref="B51:P5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MONTHLY 31</vt:lpstr>
    </vt:vector>
  </TitlesOfParts>
  <Manager/>
  <Company>wbpcb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IDEAL DCR</dc:title>
  <dc:subject>DCR FORMAT</dc:subject>
  <dc:creator>DEBLOHIT BOSE</dc:creator>
  <cp:keywords>DCR</cp:keywords>
  <dc:description>"IDEAL DCR"- by Deblohit Bose</dc:description>
  <cp:lastModifiedBy>BHATAGAON</cp:lastModifiedBy>
  <cp:lastPrinted>2018-07-30T12:51:54Z</cp:lastPrinted>
  <dcterms:created xsi:type="dcterms:W3CDTF">2013-08-23T16:44:31Z</dcterms:created>
  <dcterms:modified xsi:type="dcterms:W3CDTF">2025-12-15T14:23:48Z</dcterms:modified>
  <cp:category/>
</cp:coreProperties>
</file>