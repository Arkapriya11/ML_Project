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0" sheetId="39" r:id="rId33"/>
  </sheets>
  <definedNames/>
  <calcPr calcId="144525"/>
</workbook>
</file>

<file path=xl/calcChain.xml><?xml version="1.0" encoding="utf-8"?>
<calcChain xmlns="http://schemas.openxmlformats.org/spreadsheetml/2006/main">
  <c r="B2" i="20" l="1"/>
</calcChain>
</file>

<file path=xl/sharedStrings.xml><?xml version="1.0" encoding="utf-8"?>
<sst xmlns="http://schemas.openxmlformats.org/spreadsheetml/2006/main" count="2915" uniqueCount="782">
  <si>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</si>
  <si>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</si>
  <si>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</si>
  <si>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</si>
  <si>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</si>
  <si>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</si>
  <si>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</si>
  <si>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</si>
  <si>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</si>
  <si>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</si>
  <si>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</si>
  <si>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</si>
  <si>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</si>
  <si>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</si>
  <si>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</si>
  <si>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</si>
  <si>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</si>
  <si>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</si>
  <si>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</si>
  <si>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</si>
  <si>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</si>
  <si>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</si>
  <si>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</si>
  <si>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</si>
  <si>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</si>
  <si>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</si>
  <si>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</si>
  <si>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</si>
  <si>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</si>
  <si>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</si>
  <si>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</si>
  <si>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</si>
  <si>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</si>
  <si>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</si>
  <si>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</si>
  <si>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</si>
  <si>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</si>
  <si>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</si>
  <si>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</si>
  <si>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</si>
  <si>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</si>
  <si>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</si>
  <si>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</si>
  <si>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</si>
  <si>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</si>
  <si>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</si>
  <si>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</si>
  <si>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</si>
  <si>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</si>
  <si>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</si>
  <si>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</si>
  <si>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</si>
  <si>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</si>
  <si>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</si>
  <si>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</si>
  <si>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</si>
  <si>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</si>
  <si>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</si>
  <si>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</si>
  <si>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</si>
  <si>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</si>
  <si>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</si>
  <si>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01-04-2023 01:00</t>
  </si>
  <si>
    <t>01-04-2023 02:00</t>
  </si>
  <si>
    <t>01-04-2023 03:00</t>
  </si>
  <si>
    <t>01-04-2023 04:00</t>
  </si>
  <si>
    <t>01-04-2023 05:00</t>
  </si>
  <si>
    <t>01-04-2023 06:00</t>
  </si>
  <si>
    <t>01-04-2023 07:00</t>
  </si>
  <si>
    <t>01-04-2023 08:00</t>
  </si>
  <si>
    <t>01-04-2023 09:00</t>
  </si>
  <si>
    <t>01-04-2023 10:00</t>
  </si>
  <si>
    <t>01-04-2023 11:00</t>
  </si>
  <si>
    <t>01-04-2023 12:00</t>
  </si>
  <si>
    <t>01-04-2023 13:00</t>
  </si>
  <si>
    <t>01-04-2023 14:00</t>
  </si>
  <si>
    <t>01-04-2023 15:00</t>
  </si>
  <si>
    <t>01-04-2023 16:00</t>
  </si>
  <si>
    <t>01-04-2023 17:00</t>
  </si>
  <si>
    <t>01-04-2023 18:00</t>
  </si>
  <si>
    <t>01-04-2023 19:00</t>
  </si>
  <si>
    <t>01-04-2023 20:00</t>
  </si>
  <si>
    <t>01-04-2023 21:00</t>
  </si>
  <si>
    <t>01-04-2023 22:00</t>
  </si>
  <si>
    <t>01-04-2023 23:00</t>
  </si>
  <si>
    <t>01-04-2023 24:00</t>
  </si>
  <si>
    <t>02-04-2023 01:00</t>
  </si>
  <si>
    <t>02-04-2023 02:00</t>
  </si>
  <si>
    <t>02-04-2023 03:00</t>
  </si>
  <si>
    <t>02-04-2023 04:00</t>
  </si>
  <si>
    <t>02-04-2023 05:00</t>
  </si>
  <si>
    <t>02-04-2023 06:00</t>
  </si>
  <si>
    <t>02-04-2023 07:00</t>
  </si>
  <si>
    <t>02-04-2023 08:00</t>
  </si>
  <si>
    <t>02-04-2023 09:00</t>
  </si>
  <si>
    <t>02-04-2023 10:00</t>
  </si>
  <si>
    <t>02-04-2023 11:00</t>
  </si>
  <si>
    <t>02-04-2023 12:00</t>
  </si>
  <si>
    <t>02-04-2023 13:00</t>
  </si>
  <si>
    <t>02-04-2023 14:00</t>
  </si>
  <si>
    <t>02-04-2023 15:00</t>
  </si>
  <si>
    <t>02-04-2023 16:00</t>
  </si>
  <si>
    <t>02-04-2023 17:00</t>
  </si>
  <si>
    <t>02-04-2023 18:00</t>
  </si>
  <si>
    <t>02-04-2023 19:00</t>
  </si>
  <si>
    <t>02-04-2023 20:00</t>
  </si>
  <si>
    <t>02-04-2023 21:00</t>
  </si>
  <si>
    <t>02-04-2023 22:00</t>
  </si>
  <si>
    <t>02-04-2023 23:00</t>
  </si>
  <si>
    <t>02-04-2023 24:00</t>
  </si>
  <si>
    <t>03-04-2023 01:00</t>
  </si>
  <si>
    <t>03-04-2023 02:00</t>
  </si>
  <si>
    <t>03-04-2023 03:00</t>
  </si>
  <si>
    <t>03-04-2023 04:00</t>
  </si>
  <si>
    <t>03-04-2023 05:00</t>
  </si>
  <si>
    <t>03-04-2023 06:00</t>
  </si>
  <si>
    <t>03-04-2023 07:00</t>
  </si>
  <si>
    <t>03-04-2023 08:00</t>
  </si>
  <si>
    <t>03-04-2023 09:00</t>
  </si>
  <si>
    <t>03-04-2023 10:00</t>
  </si>
  <si>
    <t>03-04-2023 11:00</t>
  </si>
  <si>
    <t>03-04-2023 12:00</t>
  </si>
  <si>
    <t>03-04-2023 13:00</t>
  </si>
  <si>
    <t>03-04-2023 14:00</t>
  </si>
  <si>
    <t>03-04-2023 15:00</t>
  </si>
  <si>
    <t>03-04-2023 16:00</t>
  </si>
  <si>
    <t>03-04-2023 17:00</t>
  </si>
  <si>
    <t>03-04-2023 18:00</t>
  </si>
  <si>
    <t>03-04-2023 19:00</t>
  </si>
  <si>
    <t>03-04-2023 20:00</t>
  </si>
  <si>
    <t>03-04-2023 21:00</t>
  </si>
  <si>
    <t>03-04-2023 22:00</t>
  </si>
  <si>
    <t>03-04-2023 23:00</t>
  </si>
  <si>
    <t>03-04-2023 24:00</t>
  </si>
  <si>
    <t>04-04-2023 01:00</t>
  </si>
  <si>
    <t>04-04-2023 02:00</t>
  </si>
  <si>
    <t>04-04-2023 03:00</t>
  </si>
  <si>
    <t>04-04-2023 04:00</t>
  </si>
  <si>
    <t>04-04-2023 05:00</t>
  </si>
  <si>
    <t>04-04-2023 06:00</t>
  </si>
  <si>
    <t>04-04-2023 07:00</t>
  </si>
  <si>
    <t>04-04-2023 08:00</t>
  </si>
  <si>
    <t>04-04-2023 09:00</t>
  </si>
  <si>
    <t>04-04-2023 10:00</t>
  </si>
  <si>
    <t>04-04-2023 11:00</t>
  </si>
  <si>
    <t>04-04-2023 12:00</t>
  </si>
  <si>
    <t>04-04-2023 13:00</t>
  </si>
  <si>
    <t>04-04-2023 14:00</t>
  </si>
  <si>
    <t>04-04-2023 15:00</t>
  </si>
  <si>
    <t>04-04-2023 16:00</t>
  </si>
  <si>
    <t>04-04-2023 17:00</t>
  </si>
  <si>
    <t>04-04-2023 18:00</t>
  </si>
  <si>
    <t>04-04-2023 19:00</t>
  </si>
  <si>
    <t>04-04-2023 20:00</t>
  </si>
  <si>
    <t>04-04-2023 21:00</t>
  </si>
  <si>
    <t>04-04-2023 22:00</t>
  </si>
  <si>
    <t>04-04-2023 23:00</t>
  </si>
  <si>
    <t>04-04-2023 24:00</t>
  </si>
  <si>
    <t>05-04-2023 01:00</t>
  </si>
  <si>
    <t>05-04-2023 02:00</t>
  </si>
  <si>
    <t>05-04-2023 03:00</t>
  </si>
  <si>
    <t>05-04-2023 04:00</t>
  </si>
  <si>
    <t>05-04-2023 05:00</t>
  </si>
  <si>
    <t>05-04-2023 06:00</t>
  </si>
  <si>
    <t>05-04-2023 07:00</t>
  </si>
  <si>
    <t>05-04-2023 08:00</t>
  </si>
  <si>
    <t>05-04-2023 09:00</t>
  </si>
  <si>
    <t>05-04-2023 10:00</t>
  </si>
  <si>
    <t>05-04-2023 11:00</t>
  </si>
  <si>
    <t>05-04-2023 12:00</t>
  </si>
  <si>
    <t>05-04-2023 13:00</t>
  </si>
  <si>
    <t>05-04-2023 14:00</t>
  </si>
  <si>
    <t>05-04-2023 15:00</t>
  </si>
  <si>
    <t>05-04-2023 16:00</t>
  </si>
  <si>
    <t>05-04-2023 17:00</t>
  </si>
  <si>
    <t>05-04-2023 18:00</t>
  </si>
  <si>
    <t>05-04-2023 19:00</t>
  </si>
  <si>
    <t>05-04-2023 20:00</t>
  </si>
  <si>
    <t>05-04-2023 21:00</t>
  </si>
  <si>
    <t>05-04-2023 22:00</t>
  </si>
  <si>
    <t>05-04-2023 23:00</t>
  </si>
  <si>
    <t>05-04-2023 24:00</t>
  </si>
  <si>
    <t>06-04-2023 01:00</t>
  </si>
  <si>
    <t>06-04-2023 02:00</t>
  </si>
  <si>
    <t>06-04-2023 03:00</t>
  </si>
  <si>
    <t>06-04-2023 04:00</t>
  </si>
  <si>
    <t>06-04-2023 05:00</t>
  </si>
  <si>
    <t>06-04-2023 06:00</t>
  </si>
  <si>
    <t>06-04-2023 07:00</t>
  </si>
  <si>
    <t>06-04-2023 08:00</t>
  </si>
  <si>
    <t>06-04-2023 09:00</t>
  </si>
  <si>
    <t>06-04-2023 10:00</t>
  </si>
  <si>
    <t>06-04-2023 11:00</t>
  </si>
  <si>
    <t>06-04-2023 12:00</t>
  </si>
  <si>
    <t>06-04-2023 13:00</t>
  </si>
  <si>
    <t>06-04-2023 14:00</t>
  </si>
  <si>
    <t>06-04-2023 15:00</t>
  </si>
  <si>
    <t>06-04-2023 16:00</t>
  </si>
  <si>
    <t>06-04-2023 17:00</t>
  </si>
  <si>
    <t>06-04-2023 18:00</t>
  </si>
  <si>
    <t>06-04-2023 19:00</t>
  </si>
  <si>
    <t>06-04-2023 20:00</t>
  </si>
  <si>
    <t>06-04-2023 21:00</t>
  </si>
  <si>
    <t>06-04-2023 22:00</t>
  </si>
  <si>
    <t>06-04-2023 23:00</t>
  </si>
  <si>
    <t>06-04-2023 24:00</t>
  </si>
  <si>
    <t>07-04-2023 01:00</t>
  </si>
  <si>
    <t>07-04-2023 02:00</t>
  </si>
  <si>
    <t>07-04-2023 03:00</t>
  </si>
  <si>
    <t>07-04-2023 04:00</t>
  </si>
  <si>
    <t>07-04-2023 05:00</t>
  </si>
  <si>
    <t>07-04-2023 06:00</t>
  </si>
  <si>
    <t>07-04-2023 07:00</t>
  </si>
  <si>
    <t>07-04-2023 08:00</t>
  </si>
  <si>
    <t>07-04-2023 09:00</t>
  </si>
  <si>
    <t>07-04-2023 10:00</t>
  </si>
  <si>
    <t>07-04-2023 11:00</t>
  </si>
  <si>
    <t>07-04-2023 12:00</t>
  </si>
  <si>
    <t>07-04-2023 13:00</t>
  </si>
  <si>
    <t>07-04-2023 14:00</t>
  </si>
  <si>
    <t>07-04-2023 15:00</t>
  </si>
  <si>
    <t>07-04-2023 16:00</t>
  </si>
  <si>
    <t>07-04-2023 17:00</t>
  </si>
  <si>
    <t>07-04-2023 18:00</t>
  </si>
  <si>
    <t>07-04-2023 19:00</t>
  </si>
  <si>
    <t>07-04-2023 20:00</t>
  </si>
  <si>
    <t>07-04-2023 21:00</t>
  </si>
  <si>
    <t>07-04-2023 22:00</t>
  </si>
  <si>
    <t>07-04-2023 23:00</t>
  </si>
  <si>
    <t>07-04-2023 24:00</t>
  </si>
  <si>
    <t>08-04-2023 01:00</t>
  </si>
  <si>
    <t>08-04-2023 02:00</t>
  </si>
  <si>
    <t>08-04-2023 03:00</t>
  </si>
  <si>
    <t>08-04-2023 04:00</t>
  </si>
  <si>
    <t>08-04-2023 05:00</t>
  </si>
  <si>
    <t>08-04-2023 06:00</t>
  </si>
  <si>
    <t>08-04-2023 07:00</t>
  </si>
  <si>
    <t>08-04-2023 08:00</t>
  </si>
  <si>
    <t>08-04-2023 09:00</t>
  </si>
  <si>
    <t>08-04-2023 10:00</t>
  </si>
  <si>
    <t>08-04-2023 11:00</t>
  </si>
  <si>
    <t>08-04-2023 12:00</t>
  </si>
  <si>
    <t>08-04-2023 13:00</t>
  </si>
  <si>
    <t>08-04-2023 14:00</t>
  </si>
  <si>
    <t>08-04-2023 15:00</t>
  </si>
  <si>
    <t>08-04-2023 16:00</t>
  </si>
  <si>
    <t>08-04-2023 17:00</t>
  </si>
  <si>
    <t>08-04-2023 18:00</t>
  </si>
  <si>
    <t>08-04-2023 19:00</t>
  </si>
  <si>
    <t>08-04-2023 20:00</t>
  </si>
  <si>
    <t>08-04-2023 21:00</t>
  </si>
  <si>
    <t>08-04-2023 22:00</t>
  </si>
  <si>
    <t>08-04-2023 23:00</t>
  </si>
  <si>
    <t>08-04-2023 24:00</t>
  </si>
  <si>
    <t>09-04-2023 01:00</t>
  </si>
  <si>
    <t>09-04-2023 02:00</t>
  </si>
  <si>
    <t>09-04-2023 03:00</t>
  </si>
  <si>
    <t>09-04-2023 04:00</t>
  </si>
  <si>
    <t>09-04-2023 05:00</t>
  </si>
  <si>
    <t>09-04-2023 06:00</t>
  </si>
  <si>
    <t>09-04-2023 07:00</t>
  </si>
  <si>
    <t>09-04-2023 08:00</t>
  </si>
  <si>
    <t>09-04-2023 09:00</t>
  </si>
  <si>
    <t>09-04-2023 10:00</t>
  </si>
  <si>
    <t>09-04-2023 11:00</t>
  </si>
  <si>
    <t>09-04-2023 12:00</t>
  </si>
  <si>
    <t>09-04-2023 13:00</t>
  </si>
  <si>
    <t>09-04-2023 14:00</t>
  </si>
  <si>
    <t>09-04-2023 15:00</t>
  </si>
  <si>
    <t>09-04-2023 16:00</t>
  </si>
  <si>
    <t>09-04-2023 17:00</t>
  </si>
  <si>
    <t>09-04-2023 18:00</t>
  </si>
  <si>
    <t>09-04-2023 19:00</t>
  </si>
  <si>
    <t>09-04-2023 20:00</t>
  </si>
  <si>
    <t>09-04-2023 21:00</t>
  </si>
  <si>
    <t>09-04-2023 22:00</t>
  </si>
  <si>
    <t>09-04-2023 23:00</t>
  </si>
  <si>
    <t>09-04-2023 24:00</t>
  </si>
  <si>
    <t>10-04-2023 01:00</t>
  </si>
  <si>
    <t>10-04-2023 02:00</t>
  </si>
  <si>
    <t>10-04-2023 03:00</t>
  </si>
  <si>
    <t>10-04-2023 04:00</t>
  </si>
  <si>
    <t>10-04-2023 05:00</t>
  </si>
  <si>
    <t>10-04-2023 06:00</t>
  </si>
  <si>
    <t>10-04-2023 07:00</t>
  </si>
  <si>
    <t>10-04-2023 08:00</t>
  </si>
  <si>
    <t>10-04-2023 09:00</t>
  </si>
  <si>
    <t>10-04-2023 10:00</t>
  </si>
  <si>
    <t>10-04-2023 11:00</t>
  </si>
  <si>
    <t>10-04-2023 12:00</t>
  </si>
  <si>
    <t>10-04-2023 13:00</t>
  </si>
  <si>
    <t>10-04-2023 14:00</t>
  </si>
  <si>
    <t>10-04-2023 15:00</t>
  </si>
  <si>
    <t>10-04-2023 16:00</t>
  </si>
  <si>
    <t>10-04-2023 17:00</t>
  </si>
  <si>
    <t>10-04-2023 18:00</t>
  </si>
  <si>
    <t>10-04-2023 19:00</t>
  </si>
  <si>
    <t>10-04-2023 20:00</t>
  </si>
  <si>
    <t>10-04-2023 21:00</t>
  </si>
  <si>
    <t>10-04-2023 22:00</t>
  </si>
  <si>
    <t>10-04-2023 23:00</t>
  </si>
  <si>
    <t>10-04-2023 24:00</t>
  </si>
  <si>
    <t>11-04-2023 01:00</t>
  </si>
  <si>
    <t>11-04-2023 02:00</t>
  </si>
  <si>
    <t>11-04-2023 03:00</t>
  </si>
  <si>
    <t>11-04-2023 04:00</t>
  </si>
  <si>
    <t>11-04-2023 05:00</t>
  </si>
  <si>
    <t>11-04-2023 06:00</t>
  </si>
  <si>
    <t>11-04-2023 07:00</t>
  </si>
  <si>
    <t>11-04-2023 08:00</t>
  </si>
  <si>
    <t>11-04-2023 09:00</t>
  </si>
  <si>
    <t>11-04-2023 10:00</t>
  </si>
  <si>
    <t>11-04-2023 11:00</t>
  </si>
  <si>
    <t>11-04-2023 12:00</t>
  </si>
  <si>
    <t>11-04-2023 13:00</t>
  </si>
  <si>
    <t>11-04-2023 14:00</t>
  </si>
  <si>
    <t>11-04-2023 15:00</t>
  </si>
  <si>
    <t>11-04-2023 16:00</t>
  </si>
  <si>
    <t>11-04-2023 17:00</t>
  </si>
  <si>
    <t>11-04-2023 18:00</t>
  </si>
  <si>
    <t>11-04-2023 19:00</t>
  </si>
  <si>
    <t>11-04-2023 20:00</t>
  </si>
  <si>
    <t>11-04-2023 21:00</t>
  </si>
  <si>
    <t>11-04-2023 22:00</t>
  </si>
  <si>
    <t>11-04-2023 23:00</t>
  </si>
  <si>
    <t>11-04-2023 24:00</t>
  </si>
  <si>
    <t>12-04-2023 01:00</t>
  </si>
  <si>
    <t>12-04-2023 02:00</t>
  </si>
  <si>
    <t>12-04-2023 03:00</t>
  </si>
  <si>
    <t>12-04-2023 04:00</t>
  </si>
  <si>
    <t>12-04-2023 05:00</t>
  </si>
  <si>
    <t>12-04-2023 06:00</t>
  </si>
  <si>
    <t>12-04-2023 07:00</t>
  </si>
  <si>
    <t>12-04-2023 08:00</t>
  </si>
  <si>
    <t>12-04-2023 09:00</t>
  </si>
  <si>
    <t>12-04-2023 10:00</t>
  </si>
  <si>
    <t>12-04-2023 11:00</t>
  </si>
  <si>
    <t>12-04-2023 12:00</t>
  </si>
  <si>
    <t>12-04-2023 13:00</t>
  </si>
  <si>
    <t>12-04-2023 14:00</t>
  </si>
  <si>
    <t>12-04-2023 15:00</t>
  </si>
  <si>
    <t>12-04-2023 16:00</t>
  </si>
  <si>
    <t>12-04-2023 17:00</t>
  </si>
  <si>
    <t>12-04-2023 18:00</t>
  </si>
  <si>
    <t>12-04-2023 19:00</t>
  </si>
  <si>
    <t>12-04-2023 20:00</t>
  </si>
  <si>
    <t>12-04-2023 21:00</t>
  </si>
  <si>
    <t>12-04-2023 22:00</t>
  </si>
  <si>
    <t>12-04-2023 23:00</t>
  </si>
  <si>
    <t>12-04-2023 24:00</t>
  </si>
  <si>
    <t>13-04-2023 01:00</t>
  </si>
  <si>
    <t>13-04-2023 02:00</t>
  </si>
  <si>
    <t>13-04-2023 03:00</t>
  </si>
  <si>
    <t>13-04-2023 04:00</t>
  </si>
  <si>
    <t>13-04-2023 05:00</t>
  </si>
  <si>
    <t>13-04-2023 06:00</t>
  </si>
  <si>
    <t>13-04-2023 07:00</t>
  </si>
  <si>
    <t>13-04-2023 08:00</t>
  </si>
  <si>
    <t>13-04-2023 09:00</t>
  </si>
  <si>
    <t>13-04-2023 10:00</t>
  </si>
  <si>
    <t>13-04-2023 11:00</t>
  </si>
  <si>
    <t>13-04-2023 12:00</t>
  </si>
  <si>
    <t>13-04-2023 13:00</t>
  </si>
  <si>
    <t>13-04-2023 14:00</t>
  </si>
  <si>
    <t>13-04-2023 15:00</t>
  </si>
  <si>
    <t>13-04-2023 16:00</t>
  </si>
  <si>
    <t>13-04-2023 17:00</t>
  </si>
  <si>
    <t>13-04-2023 18:00</t>
  </si>
  <si>
    <t>13-04-2023 19:00</t>
  </si>
  <si>
    <t>13-04-2023 20:00</t>
  </si>
  <si>
    <t>13-04-2023 21:00</t>
  </si>
  <si>
    <t>13-04-2023 22:00</t>
  </si>
  <si>
    <t>13-04-2023 23:00</t>
  </si>
  <si>
    <t>13-04-2023 24:00</t>
  </si>
  <si>
    <t>14-04-2023 01:00</t>
  </si>
  <si>
    <t>14-04-2023 02:00</t>
  </si>
  <si>
    <t>14-04-2023 03:00</t>
  </si>
  <si>
    <t>14-04-2023 04:00</t>
  </si>
  <si>
    <t>14-04-2023 05:00</t>
  </si>
  <si>
    <t>14-04-2023 06:00</t>
  </si>
  <si>
    <t>14-04-2023 07:00</t>
  </si>
  <si>
    <t>14-04-2023 08:00</t>
  </si>
  <si>
    <t>14-04-2023 09:00</t>
  </si>
  <si>
    <t>14-04-2023 10:00</t>
  </si>
  <si>
    <t>14-04-2023 11:00</t>
  </si>
  <si>
    <t>14-04-2023 12:00</t>
  </si>
  <si>
    <t>14-04-2023 13:00</t>
  </si>
  <si>
    <t>14-04-2023 14:00</t>
  </si>
  <si>
    <t>14-04-2023 15:00</t>
  </si>
  <si>
    <t>14-04-2023 16:00</t>
  </si>
  <si>
    <t>14-04-2023 17:00</t>
  </si>
  <si>
    <t>14-04-2023 18:00</t>
  </si>
  <si>
    <t>14-04-2023 19:00</t>
  </si>
  <si>
    <t>14-04-2023 20:00</t>
  </si>
  <si>
    <t>14-04-2023 21:00</t>
  </si>
  <si>
    <t>14-04-2023 22:00</t>
  </si>
  <si>
    <t>14-04-2023 23:00</t>
  </si>
  <si>
    <t>14-04-2023 24:00</t>
  </si>
  <si>
    <t>15-04-2023 01:00</t>
  </si>
  <si>
    <t>15-04-2023 02:00</t>
  </si>
  <si>
    <t>15-04-2023 03:00</t>
  </si>
  <si>
    <t>15-04-2023 04:00</t>
  </si>
  <si>
    <t>15-04-2023 05:00</t>
  </si>
  <si>
    <t>15-04-2023 06:00</t>
  </si>
  <si>
    <t>15-04-2023 07:00</t>
  </si>
  <si>
    <t>15-04-2023 08:00</t>
  </si>
  <si>
    <t>15-04-2023 09:00</t>
  </si>
  <si>
    <t>15-04-2023 10:00</t>
  </si>
  <si>
    <t>15-04-2023 11:00</t>
  </si>
  <si>
    <t>15-04-2023 12:00</t>
  </si>
  <si>
    <t>15-04-2023 13:00</t>
  </si>
  <si>
    <t>15-04-2023 14:00</t>
  </si>
  <si>
    <t>15-04-2023 15:00</t>
  </si>
  <si>
    <t>15-04-2023 16:00</t>
  </si>
  <si>
    <t>15-04-2023 17:00</t>
  </si>
  <si>
    <t>15-04-2023 18:00</t>
  </si>
  <si>
    <t>15-04-2023 19:00</t>
  </si>
  <si>
    <t>15-04-2023 20:00</t>
  </si>
  <si>
    <t>15-04-2023 21:00</t>
  </si>
  <si>
    <t>15-04-2023 22:00</t>
  </si>
  <si>
    <t>15-04-2023 23:00</t>
  </si>
  <si>
    <t>15-04-2023 24:00</t>
  </si>
  <si>
    <t>16-04-2023 01:00</t>
  </si>
  <si>
    <t>16-04-2023 02:00</t>
  </si>
  <si>
    <t>16-04-2023 03:00</t>
  </si>
  <si>
    <t>16-04-2023 04:00</t>
  </si>
  <si>
    <t>16-04-2023 05:00</t>
  </si>
  <si>
    <t>16-04-2023 06:00</t>
  </si>
  <si>
    <t>16-04-2023 07:00</t>
  </si>
  <si>
    <t>16-04-2023 08:00</t>
  </si>
  <si>
    <t>16-04-2023 09:00</t>
  </si>
  <si>
    <t>16-04-2023 10:00</t>
  </si>
  <si>
    <t>16-04-2023 11:00</t>
  </si>
  <si>
    <t>16-04-2023 12:00</t>
  </si>
  <si>
    <t>16-04-2023 13:00</t>
  </si>
  <si>
    <t>16-04-2023 14:00</t>
  </si>
  <si>
    <t>16-04-2023 15:00</t>
  </si>
  <si>
    <t>16-04-2023 16:00</t>
  </si>
  <si>
    <t>16-04-2023 17:00</t>
  </si>
  <si>
    <t>16-04-2023 18:00</t>
  </si>
  <si>
    <t>16-04-2023 19:00</t>
  </si>
  <si>
    <t>16-04-2023 20:00</t>
  </si>
  <si>
    <t>16-04-2023 21:00</t>
  </si>
  <si>
    <t>16-04-2023 22:00</t>
  </si>
  <si>
    <t>16-04-2023 23:00</t>
  </si>
  <si>
    <t>16-04-2023 24:00</t>
  </si>
  <si>
    <t>17-04-2023 01:00</t>
  </si>
  <si>
    <t>17-04-2023 02:00</t>
  </si>
  <si>
    <t>17-04-2023 03:00</t>
  </si>
  <si>
    <t>17-04-2023 04:00</t>
  </si>
  <si>
    <t>17-04-2023 05:00</t>
  </si>
  <si>
    <t>17-04-2023 06:00</t>
  </si>
  <si>
    <t>17-04-2023 07:00</t>
  </si>
  <si>
    <t>17-04-2023 08:00</t>
  </si>
  <si>
    <t>17-04-2023 09:00</t>
  </si>
  <si>
    <t>17-04-2023 10:00</t>
  </si>
  <si>
    <t>17-04-2023 11:00</t>
  </si>
  <si>
    <t>17-04-2023 12:00</t>
  </si>
  <si>
    <t>17-04-2023 13:00</t>
  </si>
  <si>
    <t>17-04-2023 14:00</t>
  </si>
  <si>
    <t>17-04-2023 15:00</t>
  </si>
  <si>
    <t>17-04-2023 16:00</t>
  </si>
  <si>
    <t>17-04-2023 17:00</t>
  </si>
  <si>
    <t>17-04-2023 18:00</t>
  </si>
  <si>
    <t>17-04-2023 19:00</t>
  </si>
  <si>
    <t>17-04-2023 20:00</t>
  </si>
  <si>
    <t>17-04-2023 21:00</t>
  </si>
  <si>
    <t>17-04-2023 22:00</t>
  </si>
  <si>
    <t>17-04-2023 23:00</t>
  </si>
  <si>
    <t>17-04-2023 24:00</t>
  </si>
  <si>
    <t>18-04-2023 01:00</t>
  </si>
  <si>
    <t>18-04-2023 02:00</t>
  </si>
  <si>
    <t>18-04-2023 03:00</t>
  </si>
  <si>
    <t>18-04-2023 04:00</t>
  </si>
  <si>
    <t>18-04-2023 05:00</t>
  </si>
  <si>
    <t>18-04-2023 06:00</t>
  </si>
  <si>
    <t>18-04-2023 07:00</t>
  </si>
  <si>
    <t>18-04-2023 08:00</t>
  </si>
  <si>
    <t>18-04-2023 09:00</t>
  </si>
  <si>
    <t>18-04-2023 10:00</t>
  </si>
  <si>
    <t>18-04-2023 11:00</t>
  </si>
  <si>
    <t>18-04-2023 12:00</t>
  </si>
  <si>
    <t>18-04-2023 13:00</t>
  </si>
  <si>
    <t>18-04-2023 14:00</t>
  </si>
  <si>
    <t>18-04-2023 15:00</t>
  </si>
  <si>
    <t>18-04-2023 16:00</t>
  </si>
  <si>
    <t>18-04-2023 17:00</t>
  </si>
  <si>
    <t>18-04-2023 18:00</t>
  </si>
  <si>
    <t>18-04-2023 19:00</t>
  </si>
  <si>
    <t>18-04-2023 20:00</t>
  </si>
  <si>
    <t>18-04-2023 21:00</t>
  </si>
  <si>
    <t>18-04-2023 22:00</t>
  </si>
  <si>
    <t>18-04-2023 23:00</t>
  </si>
  <si>
    <t>18-04-2023 24:00</t>
  </si>
  <si>
    <t>19-04-2023 01:00</t>
  </si>
  <si>
    <t>19-04-2023 02:00</t>
  </si>
  <si>
    <t>19-04-2023 03:00</t>
  </si>
  <si>
    <t>19-04-2023 04:00</t>
  </si>
  <si>
    <t>19-04-2023 05:00</t>
  </si>
  <si>
    <t>19-04-2023 06:00</t>
  </si>
  <si>
    <t>19-04-2023 07:00</t>
  </si>
  <si>
    <t>19-04-2023 08:00</t>
  </si>
  <si>
    <t>19-04-2023 09:00</t>
  </si>
  <si>
    <t>19-04-2023 10:00</t>
  </si>
  <si>
    <t>19-04-2023 11:00</t>
  </si>
  <si>
    <t>19-04-2023 12:00</t>
  </si>
  <si>
    <t>19-04-2023 13:00</t>
  </si>
  <si>
    <t>19-04-2023 14:00</t>
  </si>
  <si>
    <t>19-04-2023 15:00</t>
  </si>
  <si>
    <t>19-04-2023 16:00</t>
  </si>
  <si>
    <t>19-04-2023 17:00</t>
  </si>
  <si>
    <t>19-04-2023 18:00</t>
  </si>
  <si>
    <t>19-04-2023 19:00</t>
  </si>
  <si>
    <t>19-04-2023 20:00</t>
  </si>
  <si>
    <t>19-04-2023 21:00</t>
  </si>
  <si>
    <t>19-04-2023 22:00</t>
  </si>
  <si>
    <t>19-04-2023 23:00</t>
  </si>
  <si>
    <t>19-04-2023 24:00</t>
  </si>
  <si>
    <t>20-04-2023 01:00</t>
  </si>
  <si>
    <t>20-04-2023 02:00</t>
  </si>
  <si>
    <t>20-04-2023 03:00</t>
  </si>
  <si>
    <t>20-04-2023 04:00</t>
  </si>
  <si>
    <t>20-04-2023 05:00</t>
  </si>
  <si>
    <t>20-04-2023 06:00</t>
  </si>
  <si>
    <t>20-04-2023 07:00</t>
  </si>
  <si>
    <t>20-04-2023 08:00</t>
  </si>
  <si>
    <t>20-04-2023 09:00</t>
  </si>
  <si>
    <t>20-04-2023 10:00</t>
  </si>
  <si>
    <t>20-04-2023 11:00</t>
  </si>
  <si>
    <t>20-04-2023 12:00</t>
  </si>
  <si>
    <t>20-04-2023 13:00</t>
  </si>
  <si>
    <t>20-04-2023 14:00</t>
  </si>
  <si>
    <t>20-04-2023 15:00</t>
  </si>
  <si>
    <t>20-04-2023 16:00</t>
  </si>
  <si>
    <t>20-04-2023 17:00</t>
  </si>
  <si>
    <t>20-04-2023 18:00</t>
  </si>
  <si>
    <t>20-04-2023 19:00</t>
  </si>
  <si>
    <t>20-04-2023 20:00</t>
  </si>
  <si>
    <t>20-04-2023 21:00</t>
  </si>
  <si>
    <t>20-04-2023 22:00</t>
  </si>
  <si>
    <t>20-04-2023 23:00</t>
  </si>
  <si>
    <t>20-04-2023 24:00</t>
  </si>
  <si>
    <t>21-04-2023 01:00</t>
  </si>
  <si>
    <t>21-04-2023 02:00</t>
  </si>
  <si>
    <t>21-04-2023 03:00</t>
  </si>
  <si>
    <t>21-04-2023 04:00</t>
  </si>
  <si>
    <t>21-04-2023 05:00</t>
  </si>
  <si>
    <t>21-04-2023 06:00</t>
  </si>
  <si>
    <t>21-04-2023 07:00</t>
  </si>
  <si>
    <t>21-04-2023 08:00</t>
  </si>
  <si>
    <t>21-04-2023 09:00</t>
  </si>
  <si>
    <t>21-04-2023 10:00</t>
  </si>
  <si>
    <t>21-04-2023 11:00</t>
  </si>
  <si>
    <t>21-04-2023 12:00</t>
  </si>
  <si>
    <t>21-04-2023 13:00</t>
  </si>
  <si>
    <t>21-04-2023 14:00</t>
  </si>
  <si>
    <t>21-04-2023 15:00</t>
  </si>
  <si>
    <t>21-04-2023 16:00</t>
  </si>
  <si>
    <t>21-04-2023 17:00</t>
  </si>
  <si>
    <t>21-04-2023 18:00</t>
  </si>
  <si>
    <t>21-04-2023 19:00</t>
  </si>
  <si>
    <t>21-04-2023 20:00</t>
  </si>
  <si>
    <t>21-04-2023 21:00</t>
  </si>
  <si>
    <t>21-04-2023 22:00</t>
  </si>
  <si>
    <t>21-04-2023 23:00</t>
  </si>
  <si>
    <t>21-04-2023 24:00</t>
  </si>
  <si>
    <t>22-04-2023 01:00</t>
  </si>
  <si>
    <t>22-04-2023 02:00</t>
  </si>
  <si>
    <t>22-04-2023 03:00</t>
  </si>
  <si>
    <t>22-04-2023 04:00</t>
  </si>
  <si>
    <t>22-04-2023 05:00</t>
  </si>
  <si>
    <t>22-04-2023 06:00</t>
  </si>
  <si>
    <t>22-04-2023 07:00</t>
  </si>
  <si>
    <t>22-04-2023 08:00</t>
  </si>
  <si>
    <t>22-04-2023 09:00</t>
  </si>
  <si>
    <t>22-04-2023 10:00</t>
  </si>
  <si>
    <t>22-04-2023 11:00</t>
  </si>
  <si>
    <t>22-04-2023 12:00</t>
  </si>
  <si>
    <t>22-04-2023 13:00</t>
  </si>
  <si>
    <t>22-04-2023 14:00</t>
  </si>
  <si>
    <t>22-04-2023 15:00</t>
  </si>
  <si>
    <t>22-04-2023 16:00</t>
  </si>
  <si>
    <t>22-04-2023 17:00</t>
  </si>
  <si>
    <t>22-04-2023 18:00</t>
  </si>
  <si>
    <t>22-04-2023 19:00</t>
  </si>
  <si>
    <t>22-04-2023 20:00</t>
  </si>
  <si>
    <t>22-04-2023 21:00</t>
  </si>
  <si>
    <t>22-04-2023 22:00</t>
  </si>
  <si>
    <t>22-04-2023 23:00</t>
  </si>
  <si>
    <t>22-04-2023 24:00</t>
  </si>
  <si>
    <t>23-04-2023 01:00</t>
  </si>
  <si>
    <t>23-04-2023 02:00</t>
  </si>
  <si>
    <t>23-04-2023 03:00</t>
  </si>
  <si>
    <t>23-04-2023 04:00</t>
  </si>
  <si>
    <t>23-04-2023 05:00</t>
  </si>
  <si>
    <t>23-04-2023 06:00</t>
  </si>
  <si>
    <t>23-04-2023 07:00</t>
  </si>
  <si>
    <t>23-04-2023 08:00</t>
  </si>
  <si>
    <t>23-04-2023 09:00</t>
  </si>
  <si>
    <t>23-04-2023 10:00</t>
  </si>
  <si>
    <t>23-04-2023 11:00</t>
  </si>
  <si>
    <t>23-04-2023 12:00</t>
  </si>
  <si>
    <t>23-04-2023 13:00</t>
  </si>
  <si>
    <t>23-04-2023 14:00</t>
  </si>
  <si>
    <t>23-04-2023 15:00</t>
  </si>
  <si>
    <t>23-04-2023 16:00</t>
  </si>
  <si>
    <t>23-04-2023 17:00</t>
  </si>
  <si>
    <t>23-04-2023 18:00</t>
  </si>
  <si>
    <t>23-04-2023 19:00</t>
  </si>
  <si>
    <t>23-04-2023 20:00</t>
  </si>
  <si>
    <t>23-04-2023 21:00</t>
  </si>
  <si>
    <t>23-04-2023 22:00</t>
  </si>
  <si>
    <t>23-04-2023 23:00</t>
  </si>
  <si>
    <t>23-04-2023 24:00</t>
  </si>
  <si>
    <t>24-04-2023 01:00</t>
  </si>
  <si>
    <t>24-04-2023 02:00</t>
  </si>
  <si>
    <t>24-04-2023 03:00</t>
  </si>
  <si>
    <t>24-04-2023 04:00</t>
  </si>
  <si>
    <t>24-04-2023 05:00</t>
  </si>
  <si>
    <t>24-04-2023 06:00</t>
  </si>
  <si>
    <t>24-04-2023 07:00</t>
  </si>
  <si>
    <t>24-04-2023 08:00</t>
  </si>
  <si>
    <t>24-04-2023 09:00</t>
  </si>
  <si>
    <t>24-04-2023 10:00</t>
  </si>
  <si>
    <t>24-04-2023 11:00</t>
  </si>
  <si>
    <t>24-04-2023 12:00</t>
  </si>
  <si>
    <t>24-04-2023 13:00</t>
  </si>
  <si>
    <t>24-04-2023 14:00</t>
  </si>
  <si>
    <t>24-04-2023 15:00</t>
  </si>
  <si>
    <t>24-04-2023 16:00</t>
  </si>
  <si>
    <t>24-04-2023 17:00</t>
  </si>
  <si>
    <t>24-04-2023 18:00</t>
  </si>
  <si>
    <t>24-04-2023 19:00</t>
  </si>
  <si>
    <t>24-04-2023 20:00</t>
  </si>
  <si>
    <t>24-04-2023 21:00</t>
  </si>
  <si>
    <t>24-04-2023 22:00</t>
  </si>
  <si>
    <t>24-04-2023 23:00</t>
  </si>
  <si>
    <t>24-04-2023 24:00</t>
  </si>
  <si>
    <t>25-04-2023 01:00</t>
  </si>
  <si>
    <t>25-04-2023 02:00</t>
  </si>
  <si>
    <t>25-04-2023 03:00</t>
  </si>
  <si>
    <t>25-04-2023 04:00</t>
  </si>
  <si>
    <t>25-04-2023 05:00</t>
  </si>
  <si>
    <t>25-04-2023 06:00</t>
  </si>
  <si>
    <t>25-04-2023 07:00</t>
  </si>
  <si>
    <t>25-04-2023 08:00</t>
  </si>
  <si>
    <t>25-04-2023 09:00</t>
  </si>
  <si>
    <t>25-04-2023 10:00</t>
  </si>
  <si>
    <t>25-04-2023 11:00</t>
  </si>
  <si>
    <t>25-04-2023 12:00</t>
  </si>
  <si>
    <t>25-04-2023 13:00</t>
  </si>
  <si>
    <t>25-04-2023 14:00</t>
  </si>
  <si>
    <t>25-04-2023 15:00</t>
  </si>
  <si>
    <t>25-04-2023 16:00</t>
  </si>
  <si>
    <t>25-04-2023 17:00</t>
  </si>
  <si>
    <t>25-04-2023 18:00</t>
  </si>
  <si>
    <t>25-04-2023 19:00</t>
  </si>
  <si>
    <t>25-04-2023 20:00</t>
  </si>
  <si>
    <t>25-04-2023 21:00</t>
  </si>
  <si>
    <t>25-04-2023 22:00</t>
  </si>
  <si>
    <t>25-04-2023 23:00</t>
  </si>
  <si>
    <t>25-04-2023 24:00</t>
  </si>
  <si>
    <t>26-04-2023 01:00</t>
  </si>
  <si>
    <t>26-04-2023 02:00</t>
  </si>
  <si>
    <t>26-04-2023 03:00</t>
  </si>
  <si>
    <t>26-04-2023 04:00</t>
  </si>
  <si>
    <t>26-04-2023 05:00</t>
  </si>
  <si>
    <t>26-04-2023 06:00</t>
  </si>
  <si>
    <t>26-04-2023 07:00</t>
  </si>
  <si>
    <t>26-04-2023 08:00</t>
  </si>
  <si>
    <t>26-04-2023 09:00</t>
  </si>
  <si>
    <t>26-04-2023 10:00</t>
  </si>
  <si>
    <t>26-04-2023 11:00</t>
  </si>
  <si>
    <t>26-04-2023 12:00</t>
  </si>
  <si>
    <t>26-04-2023 13:00</t>
  </si>
  <si>
    <t>26-04-2023 14:00</t>
  </si>
  <si>
    <t>26-04-2023 15:00</t>
  </si>
  <si>
    <t>26-04-2023 16:00</t>
  </si>
  <si>
    <t>26-04-2023 17:00</t>
  </si>
  <si>
    <t>26-04-2023 18:00</t>
  </si>
  <si>
    <t>26-04-2023 19:00</t>
  </si>
  <si>
    <t>26-04-2023 20:00</t>
  </si>
  <si>
    <t>26-04-2023 21:00</t>
  </si>
  <si>
    <t>26-04-2023 22:00</t>
  </si>
  <si>
    <t>26-04-2023 23:00</t>
  </si>
  <si>
    <t>26-04-2023 24:00</t>
  </si>
  <si>
    <t>27-04-2023 01:00</t>
  </si>
  <si>
    <t>27-04-2023 02:00</t>
  </si>
  <si>
    <t>27-04-2023 03:00</t>
  </si>
  <si>
    <t>27-04-2023 04:00</t>
  </si>
  <si>
    <t>27-04-2023 05:00</t>
  </si>
  <si>
    <t>27-04-2023 06:00</t>
  </si>
  <si>
    <t>27-04-2023 07:00</t>
  </si>
  <si>
    <t>27-04-2023 08:00</t>
  </si>
  <si>
    <t>27-04-2023 09:00</t>
  </si>
  <si>
    <t>27-04-2023 10:00</t>
  </si>
  <si>
    <t>27-04-2023 11:00</t>
  </si>
  <si>
    <t>27-04-2023 12:00</t>
  </si>
  <si>
    <t>27-04-2023 13:00</t>
  </si>
  <si>
    <t>27-04-2023 14:00</t>
  </si>
  <si>
    <t>27-04-2023 15:00</t>
  </si>
  <si>
    <t>27-04-2023 16:00</t>
  </si>
  <si>
    <t>27-04-2023 17:00</t>
  </si>
  <si>
    <t>27-04-2023 18:00</t>
  </si>
  <si>
    <t>27-04-2023 19:00</t>
  </si>
  <si>
    <t>27-04-2023 20:00</t>
  </si>
  <si>
    <t>27-04-2023 21:00</t>
  </si>
  <si>
    <t>27-04-2023 22:00</t>
  </si>
  <si>
    <t>27-04-2023 23:00</t>
  </si>
  <si>
    <t>27-04-2023 24:00</t>
  </si>
  <si>
    <t>28-04-2023 01:00</t>
  </si>
  <si>
    <t>28-04-2023 02:00</t>
  </si>
  <si>
    <t>28-04-2023 03:00</t>
  </si>
  <si>
    <t>28-04-2023 04:00</t>
  </si>
  <si>
    <t>28-04-2023 05:00</t>
  </si>
  <si>
    <t>28-04-2023 06:00</t>
  </si>
  <si>
    <t>28-04-2023 07:00</t>
  </si>
  <si>
    <t>28-04-2023 08:00</t>
  </si>
  <si>
    <t>28-04-2023 09:00</t>
  </si>
  <si>
    <t>28-04-2023 10:00</t>
  </si>
  <si>
    <t>28-04-2023 11:00</t>
  </si>
  <si>
    <t>28-04-2023 12:00</t>
  </si>
  <si>
    <t>28-04-2023 13:00</t>
  </si>
  <si>
    <t>28-04-2023 14:00</t>
  </si>
  <si>
    <t>28-04-2023 15:00</t>
  </si>
  <si>
    <t>28-04-2023 16:00</t>
  </si>
  <si>
    <t>28-04-2023 17:00</t>
  </si>
  <si>
    <t>28-04-2023 18:00</t>
  </si>
  <si>
    <t>28-04-2023 19:00</t>
  </si>
  <si>
    <t>28-04-2023 20:00</t>
  </si>
  <si>
    <t>28-04-2023 21:00</t>
  </si>
  <si>
    <t>28-04-2023 22:00</t>
  </si>
  <si>
    <t>28-04-2023 23:00</t>
  </si>
  <si>
    <t>28-04-2023 24:00</t>
  </si>
  <si>
    <t>29-04-2023 01:00</t>
  </si>
  <si>
    <t>29-04-2023 02:00</t>
  </si>
  <si>
    <t>29-04-2023 03:00</t>
  </si>
  <si>
    <t>29-04-2023 04:00</t>
  </si>
  <si>
    <t>29-04-2023 05:00</t>
  </si>
  <si>
    <t>29-04-2023 06:00</t>
  </si>
  <si>
    <t>29-04-2023 07:00</t>
  </si>
  <si>
    <t>29-04-2023 08:00</t>
  </si>
  <si>
    <t>29-04-2023 09:00</t>
  </si>
  <si>
    <t>29-04-2023 10:00</t>
  </si>
  <si>
    <t>29-04-2023 11:00</t>
  </si>
  <si>
    <t>29-04-2023 12:00</t>
  </si>
  <si>
    <t>29-04-2023 13:00</t>
  </si>
  <si>
    <t>29-04-2023 14:00</t>
  </si>
  <si>
    <t>29-04-2023 15:00</t>
  </si>
  <si>
    <t>29-04-2023 16:00</t>
  </si>
  <si>
    <t>29-04-2023 17:00</t>
  </si>
  <si>
    <t>29-04-2023 18:00</t>
  </si>
  <si>
    <t>29-04-2023 19:00</t>
  </si>
  <si>
    <t>29-04-2023 20:00</t>
  </si>
  <si>
    <t>29-04-2023 21:00</t>
  </si>
  <si>
    <t>29-04-2023 22:00</t>
  </si>
  <si>
    <t>29-04-2023 23:00</t>
  </si>
  <si>
    <t>29-04-2023 24:00</t>
  </si>
  <si>
    <t>30-04-2023 01:00</t>
  </si>
  <si>
    <t>30-04-2023 02:00</t>
  </si>
  <si>
    <t>30-04-2023 03:00</t>
  </si>
  <si>
    <t>30-04-2023 04:00</t>
  </si>
  <si>
    <t>30-04-2023 05:00</t>
  </si>
  <si>
    <t>30-04-2023 06:00</t>
  </si>
  <si>
    <t>30-04-2023 07:00</t>
  </si>
  <si>
    <t>30-04-2023 08:00</t>
  </si>
  <si>
    <t>30-04-2023 09:00</t>
  </si>
  <si>
    <t>30-04-2023 10:00</t>
  </si>
  <si>
    <t>30-04-2023 11:00</t>
  </si>
  <si>
    <t>30-04-2023 12:00</t>
  </si>
  <si>
    <t>30-04-2023 13:00</t>
  </si>
  <si>
    <t>30-04-2023 14:00</t>
  </si>
  <si>
    <t>30-04-2023 15:00</t>
  </si>
  <si>
    <t>30-04-2023 16:00</t>
  </si>
  <si>
    <t>30-04-2023 17:00</t>
  </si>
  <si>
    <t>30-04-2023 18:00</t>
  </si>
  <si>
    <t>30-04-2023 19:00</t>
  </si>
  <si>
    <t>30-04-2023 20:00</t>
  </si>
  <si>
    <t>30-04-2023 21:00</t>
  </si>
  <si>
    <t>30-04-2023 22:00</t>
  </si>
  <si>
    <t>30-04-2023 23:00</t>
  </si>
  <si>
    <t>30-04-2023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</si>
</sst>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0" fontId="8" fillId="9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28" Type="http://schemas.openxmlformats.org/officeDocument/2006/relationships/worksheet" Target="worksheets/sheet2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29" Type="http://schemas.openxmlformats.org/officeDocument/2006/relationships/worksheet" Target="worksheets/sheet27.xml" /><Relationship Id="rId26" Type="http://schemas.openxmlformats.org/officeDocument/2006/relationships/worksheet" Target="worksheets/sheet24.xml" /><Relationship Id="rId31" Type="http://schemas.openxmlformats.org/officeDocument/2006/relationships/worksheet" Target="worksheets/sheet29.xml" /><Relationship Id="rId21" Type="http://schemas.openxmlformats.org/officeDocument/2006/relationships/worksheet" Target="worksheets/sheet19.xml" /><Relationship Id="rId27" Type="http://schemas.openxmlformats.org/officeDocument/2006/relationships/worksheet" Target="worksheets/sheet25.xml" /><Relationship Id="rId8" Type="http://schemas.openxmlformats.org/officeDocument/2006/relationships/worksheet" Target="worksheets/sheet6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17" Type="http://schemas.openxmlformats.org/officeDocument/2006/relationships/worksheet" Target="worksheets/sheet15.xml" /><Relationship Id="rId35" Type="http://schemas.openxmlformats.org/officeDocument/2006/relationships/calcChain" Target="calcChain.xml" /><Relationship Id="rId22" Type="http://schemas.openxmlformats.org/officeDocument/2006/relationships/worksheet" Target="worksheets/sheet20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3" Type="http://schemas.openxmlformats.org/officeDocument/2006/relationships/worksheet" Target="worksheets/sheet21.xml" /><Relationship Id="rId20" Type="http://schemas.openxmlformats.org/officeDocument/2006/relationships/worksheet" Target="worksheets/sheet18.xml" /><Relationship Id="rId33" Type="http://schemas.openxmlformats.org/officeDocument/2006/relationships/worksheet" Target="worksheets/sheet31.xml" /><Relationship Id="rId11" Type="http://schemas.openxmlformats.org/officeDocument/2006/relationships/worksheet" Target="worksheets/sheet9.xml" /><Relationship Id="rId34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2" Type="http://schemas.openxmlformats.org/officeDocument/2006/relationships/worksheet" Target="worksheets/sheet30.xml" /><Relationship Id="rId30" Type="http://schemas.openxmlformats.org/officeDocument/2006/relationships/worksheet" Target="worksheets/sheet28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24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6691fd-1e2a-4692-80a2-cadb0d8c07cd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H67" sqref="H67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62</v>
      </c>
      <c r="B9" s="51">
        <v>7.31</v>
      </c>
      <c r="C9" s="51">
        <v>37.71</v>
      </c>
      <c r="D9" s="51">
        <v>28.29</v>
      </c>
      <c r="E9" s="51">
        <v>2.0499999999999998</v>
      </c>
      <c r="F9" s="51">
        <v>4.93</v>
      </c>
      <c r="G9" s="51">
        <v>45.74</v>
      </c>
      <c r="H9" s="51">
        <v>15.10</v>
      </c>
      <c r="I9" s="51">
        <v>0.57999999999999996</v>
      </c>
      <c r="J9" s="51">
        <v>0.40</v>
      </c>
      <c r="K9" s="51">
        <v>203.77</v>
      </c>
      <c r="L9" s="51">
        <v>21.11</v>
      </c>
      <c r="M9" s="51">
        <v>71</v>
      </c>
      <c r="N9" s="51">
        <v>5.20</v>
      </c>
      <c r="O9" s="51">
        <v>0</v>
      </c>
      <c r="P9" s="51">
        <v>0.84</v>
      </c>
      <c r="Q9" s="51">
        <v>41.02</v>
      </c>
      <c r="R9" s="43"/>
      <c r="S9" s="43"/>
      <c r="T9" s="43"/>
      <c r="U9" s="43"/>
    </row>
    <row r="10" spans="1:21" s="11" customFormat="1" ht="15">
      <c r="A10" s="50" t="s">
        <v>63</v>
      </c>
      <c r="B10" s="51">
        <v>6.20</v>
      </c>
      <c r="C10" s="51">
        <v>34.40</v>
      </c>
      <c r="D10" s="51">
        <v>25.70</v>
      </c>
      <c r="E10" s="51">
        <v>1.75</v>
      </c>
      <c r="F10" s="51">
        <v>4.5199999999999996</v>
      </c>
      <c r="G10" s="51">
        <v>32.53</v>
      </c>
      <c r="H10" s="51">
        <v>12.39</v>
      </c>
      <c r="I10" s="51">
        <v>0.56000000000000005</v>
      </c>
      <c r="J10" s="51">
        <v>0.41</v>
      </c>
      <c r="K10" s="51">
        <v>108.41</v>
      </c>
      <c r="L10" s="51">
        <v>21.21</v>
      </c>
      <c r="M10" s="51">
        <v>71.430000000000007</v>
      </c>
      <c r="N10" s="51">
        <v>4.9000000000000004</v>
      </c>
      <c r="O10" s="51">
        <v>0</v>
      </c>
      <c r="P10" s="51">
        <v>0.69</v>
      </c>
      <c r="Q10" s="51">
        <v>39.47</v>
      </c>
      <c r="R10" s="43"/>
      <c r="S10" s="43"/>
      <c r="T10" s="43"/>
      <c r="U10" s="43"/>
    </row>
    <row r="11" spans="1:21" s="11" customFormat="1" ht="15">
      <c r="A11" s="50" t="s">
        <v>64</v>
      </c>
      <c r="B11" s="51">
        <v>6.66</v>
      </c>
      <c r="C11" s="51">
        <v>33.94</v>
      </c>
      <c r="D11" s="51">
        <v>25.81</v>
      </c>
      <c r="E11" s="51">
        <v>2.11</v>
      </c>
      <c r="F11" s="51">
        <v>5.76</v>
      </c>
      <c r="G11" s="51">
        <v>31.94</v>
      </c>
      <c r="H11" s="51">
        <v>11.87</v>
      </c>
      <c r="I11" s="51">
        <v>0.56000000000000005</v>
      </c>
      <c r="J11" s="51">
        <v>0.87</v>
      </c>
      <c r="K11" s="51">
        <v>84.58</v>
      </c>
      <c r="L11" s="51">
        <v>20.77</v>
      </c>
      <c r="M11" s="51">
        <v>79.31</v>
      </c>
      <c r="N11" s="51">
        <v>4.9000000000000004</v>
      </c>
      <c r="O11" s="51">
        <v>0</v>
      </c>
      <c r="P11" s="51">
        <v>0.62</v>
      </c>
      <c r="Q11" s="51">
        <v>39.799999999999997</v>
      </c>
      <c r="R11" s="43"/>
      <c r="S11" s="43"/>
      <c r="T11" s="43"/>
      <c r="U11" s="43"/>
    </row>
    <row r="12" spans="1:21" s="11" customFormat="1" ht="15">
      <c r="A12" s="50" t="s">
        <v>65</v>
      </c>
      <c r="B12" s="51">
        <v>7.39</v>
      </c>
      <c r="C12" s="51">
        <v>40.01</v>
      </c>
      <c r="D12" s="51">
        <v>29.75</v>
      </c>
      <c r="E12" s="51">
        <v>1.97</v>
      </c>
      <c r="F12" s="51">
        <v>4.76</v>
      </c>
      <c r="G12" s="51">
        <v>33.15</v>
      </c>
      <c r="H12" s="51">
        <v>15.89</v>
      </c>
      <c r="I12" s="51">
        <v>0.56000000000000005</v>
      </c>
      <c r="J12" s="51">
        <v>1.98</v>
      </c>
      <c r="K12" s="51">
        <v>25.73</v>
      </c>
      <c r="L12" s="51">
        <v>19.95</v>
      </c>
      <c r="M12" s="51">
        <v>80.900000000000006</v>
      </c>
      <c r="N12" s="51">
        <v>5</v>
      </c>
      <c r="O12" s="51">
        <v>0</v>
      </c>
      <c r="P12" s="51">
        <v>0.65</v>
      </c>
      <c r="Q12" s="51">
        <v>42.94</v>
      </c>
      <c r="R12" s="43"/>
      <c r="S12" s="43"/>
      <c r="T12" s="43"/>
      <c r="U12" s="43"/>
    </row>
    <row r="13" spans="1:21" s="11" customFormat="1" ht="15">
      <c r="A13" s="50" t="s">
        <v>66</v>
      </c>
      <c r="B13" s="51">
        <v>7.21</v>
      </c>
      <c r="C13" s="51">
        <v>33.65</v>
      </c>
      <c r="D13" s="51">
        <v>26.10</v>
      </c>
      <c r="E13" s="51">
        <v>2.14</v>
      </c>
      <c r="F13" s="51">
        <v>4.88</v>
      </c>
      <c r="G13" s="51">
        <v>38.51</v>
      </c>
      <c r="H13" s="51">
        <v>19.05</v>
      </c>
      <c r="I13" s="51">
        <v>0.56999999999999995</v>
      </c>
      <c r="J13" s="51">
        <v>2.67</v>
      </c>
      <c r="K13" s="51">
        <v>109.47</v>
      </c>
      <c r="L13" s="51">
        <v>19.88</v>
      </c>
      <c r="M13" s="51">
        <v>86.38</v>
      </c>
      <c r="N13" s="51">
        <v>8.3000000000000007</v>
      </c>
      <c r="O13" s="51">
        <v>0.80</v>
      </c>
      <c r="P13" s="51">
        <v>0.65</v>
      </c>
      <c r="Q13" s="51">
        <v>39.94</v>
      </c>
      <c r="R13" s="43"/>
      <c r="S13" s="43"/>
      <c r="T13" s="43"/>
      <c r="U13" s="43"/>
    </row>
    <row r="14" spans="1:21" s="11" customFormat="1" ht="15">
      <c r="A14" s="50" t="s">
        <v>67</v>
      </c>
      <c r="B14" s="51">
        <v>5.28</v>
      </c>
      <c r="C14" s="51">
        <v>34.31</v>
      </c>
      <c r="D14" s="51">
        <v>24.67</v>
      </c>
      <c r="E14" s="51">
        <v>1.69</v>
      </c>
      <c r="F14" s="51">
        <v>4.7300000000000004</v>
      </c>
      <c r="G14" s="51">
        <v>38.51</v>
      </c>
      <c r="H14" s="51">
        <v>19.05</v>
      </c>
      <c r="I14" s="51">
        <v>0.51</v>
      </c>
      <c r="J14" s="51">
        <v>2.41</v>
      </c>
      <c r="K14" s="51">
        <v>118.78</v>
      </c>
      <c r="L14" s="51">
        <v>17.96</v>
      </c>
      <c r="M14" s="51">
        <v>86.02</v>
      </c>
      <c r="N14" s="51">
        <v>8.90</v>
      </c>
      <c r="O14" s="51">
        <v>0</v>
      </c>
      <c r="P14" s="51">
        <v>0.51</v>
      </c>
      <c r="Q14" s="51">
        <v>42.08</v>
      </c>
      <c r="R14" s="43"/>
      <c r="S14" s="43"/>
      <c r="T14" s="43"/>
      <c r="U14" s="43"/>
    </row>
    <row r="15" spans="1:21" s="11" customFormat="1" ht="15">
      <c r="A15" s="50" t="s">
        <v>68</v>
      </c>
      <c r="B15" s="51">
        <v>6.53</v>
      </c>
      <c r="C15" s="51">
        <v>32.82</v>
      </c>
      <c r="D15" s="51">
        <v>24.75</v>
      </c>
      <c r="E15" s="51">
        <v>1.94</v>
      </c>
      <c r="F15" s="51">
        <v>3.70</v>
      </c>
      <c r="G15" s="51">
        <v>32.880000000000003</v>
      </c>
      <c r="H15" s="51">
        <v>12.86</v>
      </c>
      <c r="I15" s="51">
        <v>0.52</v>
      </c>
      <c r="J15" s="51">
        <v>1.94</v>
      </c>
      <c r="K15" s="51">
        <v>121.95</v>
      </c>
      <c r="L15" s="51">
        <v>18.940000000000001</v>
      </c>
      <c r="M15" s="51">
        <v>83.30</v>
      </c>
      <c r="N15" s="51">
        <v>89.80</v>
      </c>
      <c r="O15" s="51">
        <v>0</v>
      </c>
      <c r="P15" s="51">
        <v>0.45</v>
      </c>
      <c r="Q15" s="51">
        <v>42.93</v>
      </c>
      <c r="R15" s="43"/>
      <c r="S15" s="43"/>
      <c r="T15" s="43"/>
      <c r="U15" s="43"/>
    </row>
    <row r="16" spans="1:21" s="11" customFormat="1" ht="15">
      <c r="A16" s="50" t="s">
        <v>69</v>
      </c>
      <c r="B16" s="51">
        <v>7.31</v>
      </c>
      <c r="C16" s="51">
        <v>33.29</v>
      </c>
      <c r="D16" s="51">
        <v>25.58</v>
      </c>
      <c r="E16" s="51">
        <v>1.86</v>
      </c>
      <c r="F16" s="51">
        <v>3.43</v>
      </c>
      <c r="G16" s="51">
        <v>23.95</v>
      </c>
      <c r="H16" s="51">
        <v>11.37</v>
      </c>
      <c r="I16" s="51">
        <v>0.52</v>
      </c>
      <c r="J16" s="51">
        <v>1.33</v>
      </c>
      <c r="K16" s="51">
        <v>197.46</v>
      </c>
      <c r="L16" s="51">
        <v>21.06</v>
      </c>
      <c r="M16" s="51">
        <v>76.39</v>
      </c>
      <c r="N16" s="51">
        <v>323.30</v>
      </c>
      <c r="O16" s="51">
        <v>0</v>
      </c>
      <c r="P16" s="51">
        <v>0.42</v>
      </c>
      <c r="Q16" s="51">
        <v>43.71</v>
      </c>
      <c r="R16" s="43"/>
      <c r="S16" s="43"/>
      <c r="T16" s="43"/>
      <c r="U16" s="43"/>
    </row>
    <row r="17" spans="1:21" s="11" customFormat="1" ht="15">
      <c r="A17" s="50" t="s">
        <v>70</v>
      </c>
      <c r="B17" s="51">
        <v>6.65</v>
      </c>
      <c r="C17" s="51">
        <v>30.83</v>
      </c>
      <c r="D17" s="51">
        <v>24.09</v>
      </c>
      <c r="E17" s="51">
        <v>2.35</v>
      </c>
      <c r="F17" s="51">
        <v>3.72</v>
      </c>
      <c r="G17" s="51">
        <v>20.92</v>
      </c>
      <c r="H17" s="51">
        <v>10.84</v>
      </c>
      <c r="I17" s="51">
        <v>0.52</v>
      </c>
      <c r="J17" s="51">
        <v>0.87</v>
      </c>
      <c r="K17" s="51">
        <v>202.74</v>
      </c>
      <c r="L17" s="51">
        <v>22.23</v>
      </c>
      <c r="M17" s="51">
        <v>68.97</v>
      </c>
      <c r="N17" s="51">
        <v>550.70000000000005</v>
      </c>
      <c r="O17" s="51">
        <v>0</v>
      </c>
      <c r="P17" s="51">
        <v>0.40</v>
      </c>
      <c r="Q17" s="51">
        <v>42.87</v>
      </c>
      <c r="R17" s="43"/>
      <c r="S17" s="43"/>
      <c r="T17" s="43"/>
      <c r="U17" s="43"/>
    </row>
    <row r="18" spans="1:21" s="11" customFormat="1" ht="15">
      <c r="A18" s="50" t="s">
        <v>71</v>
      </c>
      <c r="B18" s="51">
        <v>5.75</v>
      </c>
      <c r="C18" s="51">
        <v>34.58</v>
      </c>
      <c r="D18" s="51">
        <v>25.18</v>
      </c>
      <c r="E18" s="51">
        <v>2.4500000000000002</v>
      </c>
      <c r="F18" s="51">
        <v>5.0999999999999996</v>
      </c>
      <c r="G18" s="51">
        <v>17.420000000000002</v>
      </c>
      <c r="H18" s="51">
        <v>7.67</v>
      </c>
      <c r="I18" s="51">
        <v>0.52</v>
      </c>
      <c r="J18" s="51">
        <v>1.30</v>
      </c>
      <c r="K18" s="51">
        <v>190.43</v>
      </c>
      <c r="L18" s="51">
        <v>25.12</v>
      </c>
      <c r="M18" s="51">
        <v>67.78</v>
      </c>
      <c r="N18" s="51">
        <v>819.70</v>
      </c>
      <c r="O18" s="51">
        <v>0</v>
      </c>
      <c r="P18" s="51">
        <v>0.38</v>
      </c>
      <c r="Q18" s="51">
        <v>41.51</v>
      </c>
      <c r="R18" s="43"/>
      <c r="S18" s="43"/>
      <c r="T18" s="43"/>
      <c r="U18" s="43"/>
    </row>
    <row r="19" spans="1:21" s="11" customFormat="1" ht="15">
      <c r="A19" s="50" t="s">
        <v>72</v>
      </c>
      <c r="B19" s="51">
        <v>5.64</v>
      </c>
      <c r="C19" s="51">
        <v>33.67</v>
      </c>
      <c r="D19" s="51">
        <v>24.42</v>
      </c>
      <c r="E19" s="51">
        <v>2.80</v>
      </c>
      <c r="F19" s="51">
        <v>18.89</v>
      </c>
      <c r="G19" s="51">
        <v>14.28</v>
      </c>
      <c r="H19" s="51">
        <v>8.5399999999999991</v>
      </c>
      <c r="I19" s="51">
        <v>0.52</v>
      </c>
      <c r="J19" s="51">
        <v>0.56999999999999995</v>
      </c>
      <c r="K19" s="51">
        <v>267.83999999999997</v>
      </c>
      <c r="L19" s="51">
        <v>25.87</v>
      </c>
      <c r="M19" s="51">
        <v>61.51</v>
      </c>
      <c r="N19" s="51">
        <v>955.20</v>
      </c>
      <c r="O19" s="51">
        <v>0</v>
      </c>
      <c r="P19" s="51">
        <v>0.40</v>
      </c>
      <c r="Q19" s="51">
        <v>36.78</v>
      </c>
      <c r="R19" s="43"/>
      <c r="S19" s="43"/>
      <c r="T19" s="43"/>
      <c r="U19" s="43"/>
    </row>
    <row r="20" spans="1:21" s="11" customFormat="1" ht="15">
      <c r="A20" s="50" t="s">
        <v>73</v>
      </c>
      <c r="B20" s="51">
        <v>4.72</v>
      </c>
      <c r="C20" s="51">
        <v>28.94</v>
      </c>
      <c r="D20" s="51">
        <v>21.18</v>
      </c>
      <c r="E20" s="51">
        <v>2.72</v>
      </c>
      <c r="F20" s="51">
        <v>6.96</v>
      </c>
      <c r="G20" s="51">
        <v>15.99</v>
      </c>
      <c r="H20" s="51">
        <v>6.26</v>
      </c>
      <c r="I20" s="51">
        <v>0.49</v>
      </c>
      <c r="J20" s="51">
        <v>0.90</v>
      </c>
      <c r="K20" s="51">
        <v>325.52</v>
      </c>
      <c r="L20" s="51">
        <v>29.15</v>
      </c>
      <c r="M20" s="51">
        <v>42.39</v>
      </c>
      <c r="N20" s="51">
        <v>986.5</v>
      </c>
      <c r="O20" s="51">
        <v>0</v>
      </c>
      <c r="P20" s="51">
        <v>0.39</v>
      </c>
      <c r="Q20" s="51">
        <v>38.32</v>
      </c>
      <c r="R20" s="43"/>
      <c r="S20" s="43"/>
      <c r="T20" s="43"/>
      <c r="U20" s="43"/>
    </row>
    <row r="21" spans="1:21" s="11" customFormat="1" ht="15">
      <c r="A21" s="50" t="s">
        <v>74</v>
      </c>
      <c r="B21" s="51">
        <v>4.26</v>
      </c>
      <c r="C21" s="51">
        <v>36</v>
      </c>
      <c r="D21" s="51">
        <v>24.04</v>
      </c>
      <c r="E21" s="51">
        <v>3.31</v>
      </c>
      <c r="F21" s="51">
        <v>17.239999999999998</v>
      </c>
      <c r="G21" s="51">
        <v>19.45</v>
      </c>
      <c r="H21" s="51">
        <v>7.12</v>
      </c>
      <c r="I21" s="51">
        <v>0.48</v>
      </c>
      <c r="J21" s="51">
        <v>0.45</v>
      </c>
      <c r="K21" s="51">
        <v>164.68</v>
      </c>
      <c r="L21" s="51">
        <v>29.87</v>
      </c>
      <c r="M21" s="51">
        <v>43.06</v>
      </c>
      <c r="N21" s="51">
        <v>972.60</v>
      </c>
      <c r="O21" s="51">
        <v>0</v>
      </c>
      <c r="P21" s="51">
        <v>0.37</v>
      </c>
      <c r="Q21" s="51">
        <v>37.159999999999997</v>
      </c>
      <c r="R21" s="43"/>
      <c r="S21" s="43"/>
      <c r="T21" s="43"/>
      <c r="U21" s="43"/>
    </row>
    <row r="22" spans="1:21" s="11" customFormat="1" ht="15">
      <c r="A22" s="50" t="s">
        <v>75</v>
      </c>
      <c r="B22" s="51">
        <v>4.2699999999999996</v>
      </c>
      <c r="C22" s="51">
        <v>33.99</v>
      </c>
      <c r="D22" s="51">
        <v>23.92</v>
      </c>
      <c r="E22" s="51">
        <v>3.68</v>
      </c>
      <c r="F22" s="51">
        <v>14.13</v>
      </c>
      <c r="G22" s="51">
        <v>19.45</v>
      </c>
      <c r="H22" s="51">
        <v>7.12</v>
      </c>
      <c r="I22" s="51">
        <v>0.48</v>
      </c>
      <c r="J22" s="51">
        <v>0.73</v>
      </c>
      <c r="K22" s="51">
        <v>358.93</v>
      </c>
      <c r="L22" s="51">
        <v>30.91</v>
      </c>
      <c r="M22" s="51">
        <v>41.16</v>
      </c>
      <c r="N22" s="51">
        <v>914.10</v>
      </c>
      <c r="O22" s="51">
        <v>0</v>
      </c>
      <c r="P22" s="51">
        <v>0.39</v>
      </c>
      <c r="Q22" s="51">
        <v>35.90</v>
      </c>
      <c r="R22" s="43"/>
      <c r="S22" s="43"/>
      <c r="T22" s="43"/>
      <c r="U22" s="43"/>
    </row>
    <row r="23" spans="1:21" s="11" customFormat="1" ht="15">
      <c r="A23" s="50" t="s">
        <v>76</v>
      </c>
      <c r="B23" s="51">
        <v>3.65</v>
      </c>
      <c r="C23" s="51">
        <v>31.06</v>
      </c>
      <c r="D23" s="51">
        <v>21.65</v>
      </c>
      <c r="E23" s="51">
        <v>3.82</v>
      </c>
      <c r="F23" s="51">
        <v>11.09</v>
      </c>
      <c r="G23" s="51">
        <v>19.97</v>
      </c>
      <c r="H23" s="51">
        <v>6.73</v>
      </c>
      <c r="I23" s="51">
        <v>0.51</v>
      </c>
      <c r="J23" s="51">
        <v>1.71</v>
      </c>
      <c r="K23" s="51">
        <v>327.23</v>
      </c>
      <c r="L23" s="51">
        <v>31.25</v>
      </c>
      <c r="M23" s="51">
        <v>34.94</v>
      </c>
      <c r="N23" s="51">
        <v>735.90</v>
      </c>
      <c r="O23" s="51">
        <v>0</v>
      </c>
      <c r="P23" s="51">
        <v>0.54</v>
      </c>
      <c r="Q23" s="51">
        <v>37.54</v>
      </c>
      <c r="R23" s="43"/>
      <c r="S23" s="43"/>
      <c r="T23" s="43"/>
      <c r="U23" s="43"/>
    </row>
    <row r="24" spans="1:21" s="11" customFormat="1" ht="15">
      <c r="A24" s="50" t="s">
        <v>77</v>
      </c>
      <c r="B24" s="51">
        <v>4.8099999999999996</v>
      </c>
      <c r="C24" s="51">
        <v>42.44</v>
      </c>
      <c r="D24" s="51">
        <v>27.68</v>
      </c>
      <c r="E24" s="51">
        <v>4.45</v>
      </c>
      <c r="F24" s="51">
        <v>15.09</v>
      </c>
      <c r="G24" s="51">
        <v>24.52</v>
      </c>
      <c r="H24" s="51">
        <v>10.36</v>
      </c>
      <c r="I24" s="51">
        <v>0.49</v>
      </c>
      <c r="J24" s="51">
        <v>0.70</v>
      </c>
      <c r="K24" s="51">
        <v>205.63</v>
      </c>
      <c r="L24" s="51">
        <v>30.19</v>
      </c>
      <c r="M24" s="51">
        <v>35.17</v>
      </c>
      <c r="N24" s="51">
        <v>326.60000000000002</v>
      </c>
      <c r="O24" s="51">
        <v>0</v>
      </c>
      <c r="P24" s="51">
        <v>0.71</v>
      </c>
      <c r="Q24" s="51">
        <v>38.83</v>
      </c>
      <c r="R24" s="43"/>
      <c r="S24" s="43"/>
      <c r="T24" s="43"/>
      <c r="U24" s="43"/>
    </row>
    <row r="25" spans="1:21" s="11" customFormat="1" ht="15">
      <c r="A25" s="50" t="s">
        <v>78</v>
      </c>
      <c r="B25" s="51">
        <v>3.12</v>
      </c>
      <c r="C25" s="51">
        <v>45.62</v>
      </c>
      <c r="D25" s="51">
        <v>29.42</v>
      </c>
      <c r="E25" s="51">
        <v>5.12</v>
      </c>
      <c r="F25" s="51">
        <v>29.32</v>
      </c>
      <c r="G25" s="51">
        <v>32.39</v>
      </c>
      <c r="H25" s="51">
        <v>10.88</v>
      </c>
      <c r="I25" s="51">
        <v>0.49</v>
      </c>
      <c r="J25" s="51">
        <v>0.96</v>
      </c>
      <c r="K25" s="51">
        <v>203.72</v>
      </c>
      <c r="L25" s="51">
        <v>28.75</v>
      </c>
      <c r="M25" s="51">
        <v>32.61</v>
      </c>
      <c r="N25" s="51">
        <v>145.69999999999999</v>
      </c>
      <c r="O25" s="51">
        <v>0</v>
      </c>
      <c r="P25" s="51">
        <v>0.74</v>
      </c>
      <c r="Q25" s="51">
        <v>39.31</v>
      </c>
      <c r="R25" s="43"/>
      <c r="S25" s="43"/>
      <c r="T25" s="43"/>
      <c r="U25" s="43"/>
    </row>
    <row r="26" spans="1:21" s="11" customFormat="1" ht="15">
      <c r="A26" s="50" t="s">
        <v>79</v>
      </c>
      <c r="B26" s="51">
        <v>4.4800000000000004</v>
      </c>
      <c r="C26" s="51">
        <v>53.64</v>
      </c>
      <c r="D26" s="51">
        <v>34.57</v>
      </c>
      <c r="E26" s="51">
        <v>4.37</v>
      </c>
      <c r="F26" s="51">
        <v>14.79</v>
      </c>
      <c r="G26" s="51">
        <v>32.39</v>
      </c>
      <c r="H26" s="51">
        <v>10.88</v>
      </c>
      <c r="I26" s="51">
        <v>0.49</v>
      </c>
      <c r="J26" s="51">
        <v>0.54</v>
      </c>
      <c r="K26" s="51">
        <v>260.83999999999997</v>
      </c>
      <c r="L26" s="51">
        <v>28.53</v>
      </c>
      <c r="M26" s="51">
        <v>35.40</v>
      </c>
      <c r="N26" s="51">
        <v>74.80</v>
      </c>
      <c r="O26" s="51">
        <v>0</v>
      </c>
      <c r="P26" s="51">
        <v>0.72</v>
      </c>
      <c r="Q26" s="51">
        <v>37.28</v>
      </c>
      <c r="R26" s="43"/>
      <c r="S26" s="43"/>
      <c r="T26" s="43"/>
      <c r="U26" s="43"/>
    </row>
    <row r="27" spans="1:21" s="11" customFormat="1" ht="15">
      <c r="A27" s="50" t="s">
        <v>80</v>
      </c>
      <c r="B27" s="51">
        <v>5.75</v>
      </c>
      <c r="C27" s="51">
        <v>59.45</v>
      </c>
      <c r="D27" s="51">
        <v>39.159999999999997</v>
      </c>
      <c r="E27" s="51">
        <v>2.77</v>
      </c>
      <c r="F27" s="51">
        <v>6.33</v>
      </c>
      <c r="G27" s="51">
        <v>40.76</v>
      </c>
      <c r="H27" s="51">
        <v>11.34</v>
      </c>
      <c r="I27" s="51">
        <v>0.51</v>
      </c>
      <c r="J27" s="51">
        <v>0.72</v>
      </c>
      <c r="K27" s="51">
        <v>295.39999999999998</v>
      </c>
      <c r="L27" s="51">
        <v>27.16</v>
      </c>
      <c r="M27" s="51">
        <v>39.479999999999997</v>
      </c>
      <c r="N27" s="51">
        <v>9.60</v>
      </c>
      <c r="O27" s="51">
        <v>0</v>
      </c>
      <c r="P27" s="51">
        <v>0.68</v>
      </c>
      <c r="Q27" s="51">
        <v>42.02</v>
      </c>
      <c r="R27" s="43"/>
      <c r="S27" s="43"/>
      <c r="T27" s="43"/>
      <c r="U27" s="43"/>
    </row>
    <row r="28" spans="1:21" s="11" customFormat="1" ht="15">
      <c r="A28" s="50" t="s">
        <v>81</v>
      </c>
      <c r="B28" s="51">
        <v>9.65</v>
      </c>
      <c r="C28" s="51">
        <v>59.97</v>
      </c>
      <c r="D28" s="51">
        <v>41.91</v>
      </c>
      <c r="E28" s="51">
        <v>2.57</v>
      </c>
      <c r="F28" s="51">
        <v>12.14</v>
      </c>
      <c r="G28" s="51">
        <v>40.76</v>
      </c>
      <c r="H28" s="51">
        <v>12.11</v>
      </c>
      <c r="I28" s="51">
        <v>0.51</v>
      </c>
      <c r="J28" s="51">
        <v>0.18</v>
      </c>
      <c r="K28" s="51">
        <v>290.16000000000003</v>
      </c>
      <c r="L28" s="51">
        <v>25.87</v>
      </c>
      <c r="M28" s="51">
        <v>43.65</v>
      </c>
      <c r="N28" s="51">
        <v>4.80</v>
      </c>
      <c r="O28" s="51">
        <v>0</v>
      </c>
      <c r="P28" s="51">
        <v>0.73</v>
      </c>
      <c r="Q28" s="51">
        <v>42.53</v>
      </c>
      <c r="R28" s="43"/>
      <c r="S28" s="43"/>
      <c r="T28" s="43"/>
      <c r="U28" s="43"/>
    </row>
    <row r="29" spans="1:21" s="11" customFormat="1" ht="15">
      <c r="A29" s="50" t="s">
        <v>82</v>
      </c>
      <c r="B29" s="51">
        <v>18.63</v>
      </c>
      <c r="C29" s="51">
        <v>55.67</v>
      </c>
      <c r="D29" s="51">
        <v>47.40</v>
      </c>
      <c r="E29" s="51">
        <v>2.29</v>
      </c>
      <c r="F29" s="51">
        <v>12.86</v>
      </c>
      <c r="G29" s="51">
        <v>57.52</v>
      </c>
      <c r="H29" s="51">
        <v>13.43</v>
      </c>
      <c r="I29" s="51">
        <v>0.55000000000000004</v>
      </c>
      <c r="J29" s="51">
        <v>0.41</v>
      </c>
      <c r="K29" s="51">
        <v>344.93</v>
      </c>
      <c r="L29" s="51">
        <v>25.06</v>
      </c>
      <c r="M29" s="51">
        <v>52.51</v>
      </c>
      <c r="N29" s="51">
        <v>5.30</v>
      </c>
      <c r="O29" s="51">
        <v>0</v>
      </c>
      <c r="P29" s="51">
        <v>0.96</v>
      </c>
      <c r="Q29" s="51">
        <v>39.51</v>
      </c>
      <c r="R29" s="43"/>
      <c r="S29" s="43"/>
      <c r="T29" s="43"/>
      <c r="U29" s="43"/>
    </row>
    <row r="30" spans="1:21" s="11" customFormat="1" ht="15">
      <c r="A30" s="50" t="s">
        <v>83</v>
      </c>
      <c r="B30" s="51">
        <v>56.18</v>
      </c>
      <c r="C30" s="51">
        <v>69.16</v>
      </c>
      <c r="D30" s="51">
        <v>84.96</v>
      </c>
      <c r="E30" s="51">
        <v>2.63</v>
      </c>
      <c r="F30" s="51">
        <v>5.60</v>
      </c>
      <c r="G30" s="51">
        <v>60.97</v>
      </c>
      <c r="H30" s="51">
        <v>14.20</v>
      </c>
      <c r="I30" s="51">
        <v>0.64</v>
      </c>
      <c r="J30" s="51">
        <v>0.070000000000000007</v>
      </c>
      <c r="K30" s="51">
        <v>340.27</v>
      </c>
      <c r="L30" s="51">
        <v>23.59</v>
      </c>
      <c r="M30" s="51">
        <v>58.30</v>
      </c>
      <c r="N30" s="51">
        <v>5</v>
      </c>
      <c r="O30" s="51">
        <v>0</v>
      </c>
      <c r="P30" s="51">
        <v>1.25</v>
      </c>
      <c r="Q30" s="51">
        <v>45.46</v>
      </c>
      <c r="R30" s="43"/>
      <c r="S30" s="43"/>
      <c r="T30" s="43"/>
      <c r="U30" s="43"/>
    </row>
    <row r="31" spans="1:21" s="11" customFormat="1" ht="15">
      <c r="A31" s="50" t="s">
        <v>84</v>
      </c>
      <c r="B31" s="51">
        <v>61.95</v>
      </c>
      <c r="C31" s="51">
        <v>57.91</v>
      </c>
      <c r="D31" s="51">
        <v>82.90</v>
      </c>
      <c r="E31" s="51">
        <v>2.46</v>
      </c>
      <c r="F31" s="51">
        <v>3.05</v>
      </c>
      <c r="G31" s="51">
        <v>80.709999999999994</v>
      </c>
      <c r="H31" s="51">
        <v>21.61</v>
      </c>
      <c r="I31" s="51">
        <v>0.68</v>
      </c>
      <c r="J31" s="51">
        <v>0.22</v>
      </c>
      <c r="K31" s="51">
        <v>336.12</v>
      </c>
      <c r="L31" s="51">
        <v>22.91</v>
      </c>
      <c r="M31" s="51">
        <v>63.68</v>
      </c>
      <c r="N31" s="51">
        <v>5.0999999999999996</v>
      </c>
      <c r="O31" s="51">
        <v>0</v>
      </c>
      <c r="P31" s="51">
        <v>1.42</v>
      </c>
      <c r="Q31" s="51">
        <v>50.54</v>
      </c>
      <c r="R31" s="43"/>
      <c r="S31" s="43"/>
      <c r="T31" s="43"/>
      <c r="U31" s="43"/>
    </row>
    <row r="32" spans="1:21" s="11" customFormat="1" ht="15">
      <c r="A32" s="50" t="s">
        <v>85</v>
      </c>
      <c r="B32" s="51">
        <v>62.64</v>
      </c>
      <c r="C32" s="51">
        <v>63.51</v>
      </c>
      <c r="D32" s="51">
        <v>84.01</v>
      </c>
      <c r="E32" s="51">
        <v>2.61</v>
      </c>
      <c r="F32" s="51">
        <v>3.48</v>
      </c>
      <c r="G32" s="51">
        <v>80.709999999999994</v>
      </c>
      <c r="H32" s="51">
        <v>22.51</v>
      </c>
      <c r="I32" s="51">
        <v>0.72</v>
      </c>
      <c r="J32" s="51">
        <v>0.27</v>
      </c>
      <c r="K32" s="51">
        <v>254.89</v>
      </c>
      <c r="L32" s="51">
        <v>22.83</v>
      </c>
      <c r="M32" s="51">
        <v>67.150000000000006</v>
      </c>
      <c r="N32" s="51">
        <v>5.30</v>
      </c>
      <c r="O32" s="51">
        <v>0</v>
      </c>
      <c r="P32" s="51">
        <v>1.43</v>
      </c>
      <c r="Q32" s="51">
        <v>49.11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3.1200000000000001</v>
      </c>
      <c r="C34" s="28">
        <f t="shared" si="0"/>
        <v>28.940000000000001</v>
      </c>
      <c r="D34" s="28">
        <f t="shared" si="0"/>
        <v>21.18</v>
      </c>
      <c r="E34" s="28">
        <f t="shared" si="0"/>
        <v>1.6899999999999999</v>
      </c>
      <c r="F34" s="28">
        <f t="shared" si="0"/>
        <v>3.0499999999999998</v>
      </c>
      <c r="G34" s="28">
        <f t="shared" si="0"/>
        <v>14.279999999999999</v>
      </c>
      <c r="H34" s="28">
        <f t="shared" si="0"/>
        <v>6.2599999999999998</v>
      </c>
      <c r="I34" s="28">
        <f t="shared" si="0"/>
        <v>0.47999999999999998</v>
      </c>
      <c r="J34" s="28">
        <f t="shared" si="0"/>
        <v>0.070000000000000007</v>
      </c>
      <c r="K34" s="28">
        <f t="shared" si="0"/>
        <v>25.73</v>
      </c>
      <c r="L34" s="28">
        <f t="shared" si="0"/>
        <v>17.960000000000001</v>
      </c>
      <c r="M34" s="28">
        <f t="shared" si="0"/>
        <v>32.609999999999999</v>
      </c>
      <c r="N34" s="28">
        <f t="shared" si="0"/>
        <v>4.7999999999999998</v>
      </c>
      <c r="O34" s="28">
        <f t="shared" si="0"/>
        <v>0</v>
      </c>
      <c r="P34" s="28">
        <f t="shared" si="0"/>
        <v>0.37</v>
      </c>
      <c r="Q34" s="28">
        <f t="shared" si="0"/>
        <v>35.899999999999999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62.640000000000001</v>
      </c>
      <c r="C35" s="29">
        <f t="shared" si="1"/>
        <v>69.159999999999997</v>
      </c>
      <c r="D35" s="29">
        <f t="shared" si="1"/>
        <v>84.959999999999994</v>
      </c>
      <c r="E35" s="29">
        <f t="shared" si="1"/>
        <v>5.1200000000000001</v>
      </c>
      <c r="F35" s="29">
        <f t="shared" si="1"/>
        <v>29.32</v>
      </c>
      <c r="G35" s="29">
        <f t="shared" si="1"/>
        <v>80.709999999999994</v>
      </c>
      <c r="H35" s="29">
        <f t="shared" si="1"/>
        <v>22.510000000000002</v>
      </c>
      <c r="I35" s="29">
        <f t="shared" si="1"/>
        <v>0.71999999999999997</v>
      </c>
      <c r="J35" s="29">
        <f t="shared" si="1"/>
        <v>2.6699999999999999</v>
      </c>
      <c r="K35" s="29">
        <f t="shared" si="1"/>
        <v>358.93000000000001</v>
      </c>
      <c r="L35" s="29">
        <f t="shared" si="1"/>
        <v>31.25</v>
      </c>
      <c r="M35" s="29">
        <f t="shared" si="1"/>
        <v>86.379999999999995</v>
      </c>
      <c r="N35" s="29">
        <f t="shared" si="1"/>
        <v>986.5</v>
      </c>
      <c r="O35" s="29">
        <f t="shared" si="1"/>
        <v>0.80000000000000004</v>
      </c>
      <c r="P35" s="29">
        <f t="shared" si="1"/>
        <v>1.4299999999999999</v>
      </c>
      <c r="Q35" s="29">
        <f t="shared" si="1"/>
        <v>50.539999999999999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13.168333333333335</v>
      </c>
      <c r="C36" s="28">
        <f t="shared" si="2"/>
        <v>42.357083333333328</v>
      </c>
      <c r="D36" s="28">
        <f t="shared" si="2"/>
        <v>35.297499999999999</v>
      </c>
      <c r="E36" s="28">
        <f t="shared" si="2"/>
        <v>2.7462500000000003</v>
      </c>
      <c r="F36" s="28">
        <f t="shared" si="2"/>
        <v>9.0208333333333339</v>
      </c>
      <c r="G36" s="28">
        <f t="shared" si="2"/>
        <v>35.642499999999998</v>
      </c>
      <c r="H36" s="28">
        <f t="shared" si="2"/>
        <v>12.465833333333331</v>
      </c>
      <c r="I36" s="28">
        <f t="shared" si="2"/>
        <v>0.54083333333333339</v>
      </c>
      <c r="J36" s="28">
        <f t="shared" si="2"/>
        <v>0.94208333333333327</v>
      </c>
      <c r="K36" s="28">
        <f t="shared" si="2"/>
        <v>222.47833333333332</v>
      </c>
      <c r="L36" s="28">
        <f t="shared" si="2"/>
        <v>24.59041666666667</v>
      </c>
      <c r="M36" s="28">
        <f t="shared" si="2"/>
        <v>59.270416666666669</v>
      </c>
      <c r="N36" s="28">
        <f t="shared" si="2"/>
        <v>290.30000000000007</v>
      </c>
      <c r="O36" s="28">
        <f t="shared" si="2"/>
        <v>0.033333333333333333</v>
      </c>
      <c r="P36" s="28">
        <f t="shared" si="2"/>
        <v>0.68083333333333351</v>
      </c>
      <c r="Q36" s="28">
        <f t="shared" si="2"/>
        <v>41.106666666666662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18.451000365637459</v>
      </c>
      <c r="C37" s="28">
        <f t="shared" si="3" ref="C37:Q37">STDEV(C9:C32)</f>
        <v>12.313297682539838</v>
      </c>
      <c r="D37" s="28">
        <f t="shared" si="3"/>
        <v>19.843666441111296</v>
      </c>
      <c r="E37" s="28">
        <f t="shared" si="3"/>
        <v>0.92129782042130115</v>
      </c>
      <c r="F37" s="28">
        <f t="shared" si="3"/>
        <v>6.5802820850508068</v>
      </c>
      <c r="G37" s="28">
        <f t="shared" si="3"/>
        <v>18.454739994398988</v>
      </c>
      <c r="H37" s="28">
        <f t="shared" si="3"/>
        <v>4.5492626413200439</v>
      </c>
      <c r="I37" s="28">
        <f t="shared" si="3"/>
        <v>0.062060045724783026</v>
      </c>
      <c r="J37" s="28">
        <f t="shared" si="3"/>
        <v>0.72123070642066966</v>
      </c>
      <c r="K37" s="28">
        <f t="shared" si="3"/>
        <v>94.915999918768904</v>
      </c>
      <c r="L37" s="28">
        <f t="shared" si="3"/>
        <v>4.1189566842425762</v>
      </c>
      <c r="M37" s="28">
        <f t="shared" si="3"/>
        <v>18.344844194336783</v>
      </c>
      <c r="N37" s="28">
        <f t="shared" si="3"/>
        <v>384.9232933184615</v>
      </c>
      <c r="O37" s="28">
        <f t="shared" si="3"/>
        <v>0.16329931618554525</v>
      </c>
      <c r="P37" s="28">
        <f t="shared" si="3"/>
        <v>0.31160058975591104</v>
      </c>
      <c r="Q37" s="28">
        <f t="shared" si="3"/>
        <v>3.646236495307202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fec3ef-66c7-462b-a0a4-878d5c1981d6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0" sqref="G70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2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86</v>
      </c>
      <c r="B9" s="51">
        <v>61.10</v>
      </c>
      <c r="C9" s="51">
        <v>57.08</v>
      </c>
      <c r="D9" s="51">
        <v>82.24</v>
      </c>
      <c r="E9" s="51">
        <v>1.87</v>
      </c>
      <c r="F9" s="51">
        <v>6.45</v>
      </c>
      <c r="G9" s="51">
        <v>78.33</v>
      </c>
      <c r="H9" s="51">
        <v>22.51</v>
      </c>
      <c r="I9" s="51">
        <v>0.72</v>
      </c>
      <c r="J9" s="51">
        <v>0.21</v>
      </c>
      <c r="K9" s="51">
        <v>318.86</v>
      </c>
      <c r="L9" s="51">
        <v>21.51</v>
      </c>
      <c r="M9" s="51">
        <v>68.22</v>
      </c>
      <c r="N9" s="51">
        <v>4.5999999999999996</v>
      </c>
      <c r="O9" s="51">
        <v>0</v>
      </c>
      <c r="P9" s="51">
        <v>1.34</v>
      </c>
      <c r="Q9" s="51">
        <v>44.05</v>
      </c>
      <c r="R9" s="43"/>
      <c r="S9" s="43"/>
      <c r="T9" s="43"/>
      <c r="U9" s="43"/>
    </row>
    <row r="10" spans="1:21" s="11" customFormat="1" ht="15">
      <c r="A10" s="50" t="s">
        <v>87</v>
      </c>
      <c r="B10" s="51">
        <v>55.09</v>
      </c>
      <c r="C10" s="51">
        <v>46.73</v>
      </c>
      <c r="D10" s="51">
        <v>70.64</v>
      </c>
      <c r="E10" s="51">
        <v>1.97</v>
      </c>
      <c r="F10" s="51">
        <v>5.72</v>
      </c>
      <c r="G10" s="51">
        <v>74.680000000000007</v>
      </c>
      <c r="H10" s="51">
        <v>20.54</v>
      </c>
      <c r="I10" s="51">
        <v>0.76</v>
      </c>
      <c r="J10" s="51">
        <v>0.14000000000000001</v>
      </c>
      <c r="K10" s="51">
        <v>348.66</v>
      </c>
      <c r="L10" s="51">
        <v>21.08</v>
      </c>
      <c r="M10" s="51">
        <v>75.72</v>
      </c>
      <c r="N10" s="51">
        <v>5</v>
      </c>
      <c r="O10" s="51">
        <v>0</v>
      </c>
      <c r="P10" s="51">
        <v>1.23</v>
      </c>
      <c r="Q10" s="51">
        <v>48.59</v>
      </c>
      <c r="R10" s="43"/>
      <c r="S10" s="43"/>
      <c r="T10" s="43"/>
      <c r="U10" s="43"/>
    </row>
    <row r="11" spans="1:21" s="11" customFormat="1" ht="15">
      <c r="A11" s="50" t="s">
        <v>88</v>
      </c>
      <c r="B11" s="51">
        <v>41.87</v>
      </c>
      <c r="C11" s="51">
        <v>47.48</v>
      </c>
      <c r="D11" s="51">
        <v>60.66</v>
      </c>
      <c r="E11" s="51">
        <v>1.57</v>
      </c>
      <c r="F11" s="51">
        <v>3.16</v>
      </c>
      <c r="G11" s="51">
        <v>59.47</v>
      </c>
      <c r="H11" s="51">
        <v>18.80</v>
      </c>
      <c r="I11" s="51">
        <v>0.72</v>
      </c>
      <c r="J11" s="51">
        <v>0.25</v>
      </c>
      <c r="K11" s="51">
        <v>347.08</v>
      </c>
      <c r="L11" s="51">
        <v>20.309999999999999</v>
      </c>
      <c r="M11" s="51">
        <v>75.34</v>
      </c>
      <c r="N11" s="51">
        <v>5</v>
      </c>
      <c r="O11" s="51">
        <v>0</v>
      </c>
      <c r="P11" s="51">
        <v>1.06</v>
      </c>
      <c r="Q11" s="51">
        <v>48.10</v>
      </c>
      <c r="R11" s="43"/>
      <c r="S11" s="43"/>
      <c r="T11" s="43"/>
      <c r="U11" s="43"/>
    </row>
    <row r="12" spans="1:21" s="11" customFormat="1" ht="15">
      <c r="A12" s="50" t="s">
        <v>89</v>
      </c>
      <c r="B12" s="51">
        <v>31.06</v>
      </c>
      <c r="C12" s="51">
        <v>48.42</v>
      </c>
      <c r="D12" s="51">
        <v>53.37</v>
      </c>
      <c r="E12" s="51">
        <v>1.89</v>
      </c>
      <c r="F12" s="51">
        <v>3.74</v>
      </c>
      <c r="G12" s="51">
        <v>54.5</v>
      </c>
      <c r="H12" s="51">
        <v>20.47</v>
      </c>
      <c r="I12" s="51">
        <v>0.60</v>
      </c>
      <c r="J12" s="51">
        <v>0.38</v>
      </c>
      <c r="K12" s="51">
        <v>334.23</v>
      </c>
      <c r="L12" s="51">
        <v>20.170000000000002</v>
      </c>
      <c r="M12" s="51">
        <v>75.67</v>
      </c>
      <c r="N12" s="51">
        <v>4.9000000000000004</v>
      </c>
      <c r="O12" s="51">
        <v>0</v>
      </c>
      <c r="P12" s="51">
        <v>0.90</v>
      </c>
      <c r="Q12" s="51">
        <v>45.72</v>
      </c>
      <c r="R12" s="43"/>
      <c r="S12" s="43"/>
      <c r="T12" s="43"/>
      <c r="U12" s="43"/>
    </row>
    <row r="13" spans="1:21" s="11" customFormat="1" ht="15">
      <c r="A13" s="50" t="s">
        <v>90</v>
      </c>
      <c r="B13" s="51">
        <v>32.78</v>
      </c>
      <c r="C13" s="51">
        <v>43.61</v>
      </c>
      <c r="D13" s="51">
        <v>52.10</v>
      </c>
      <c r="E13" s="51">
        <v>1.84</v>
      </c>
      <c r="F13" s="51">
        <v>3.20</v>
      </c>
      <c r="G13" s="51">
        <v>52.98</v>
      </c>
      <c r="H13" s="51">
        <v>20.47</v>
      </c>
      <c r="I13" s="51">
        <v>0.61</v>
      </c>
      <c r="J13" s="51">
        <v>0.14000000000000001</v>
      </c>
      <c r="K13" s="51">
        <v>356.52</v>
      </c>
      <c r="L13" s="51">
        <v>19.11</v>
      </c>
      <c r="M13" s="51">
        <v>81.28</v>
      </c>
      <c r="N13" s="51">
        <v>5</v>
      </c>
      <c r="O13" s="51">
        <v>0</v>
      </c>
      <c r="P13" s="51">
        <v>0.85</v>
      </c>
      <c r="Q13" s="51">
        <v>41.83</v>
      </c>
      <c r="R13" s="43"/>
      <c r="S13" s="43"/>
      <c r="T13" s="43"/>
      <c r="U13" s="43"/>
    </row>
    <row r="14" spans="1:21" s="11" customFormat="1" ht="15">
      <c r="A14" s="50" t="s">
        <v>91</v>
      </c>
      <c r="B14" s="51">
        <v>45.79</v>
      </c>
      <c r="C14" s="51">
        <v>48.97</v>
      </c>
      <c r="D14" s="51">
        <v>65.489999999999995</v>
      </c>
      <c r="E14" s="51">
        <v>1.83</v>
      </c>
      <c r="F14" s="51">
        <v>3.07</v>
      </c>
      <c r="G14" s="51">
        <v>61.24</v>
      </c>
      <c r="H14" s="51">
        <v>19.57</v>
      </c>
      <c r="I14" s="51">
        <v>0.61</v>
      </c>
      <c r="J14" s="51">
        <v>0.17</v>
      </c>
      <c r="K14" s="51">
        <v>55.70</v>
      </c>
      <c r="L14" s="51">
        <v>18.829999999999998</v>
      </c>
      <c r="M14" s="51">
        <v>81.819999999999993</v>
      </c>
      <c r="N14" s="51">
        <v>10.70</v>
      </c>
      <c r="O14" s="51">
        <v>0</v>
      </c>
      <c r="P14" s="51">
        <v>0.90</v>
      </c>
      <c r="Q14" s="51">
        <v>49.14</v>
      </c>
      <c r="R14" s="43"/>
      <c r="S14" s="43"/>
      <c r="T14" s="43"/>
      <c r="U14" s="43"/>
    </row>
    <row r="15" spans="1:21" s="11" customFormat="1" ht="15">
      <c r="A15" s="50" t="s">
        <v>92</v>
      </c>
      <c r="B15" s="51">
        <v>48.10</v>
      </c>
      <c r="C15" s="51">
        <v>51.54</v>
      </c>
      <c r="D15" s="51">
        <v>68.680000000000007</v>
      </c>
      <c r="E15" s="51">
        <v>1.78</v>
      </c>
      <c r="F15" s="51">
        <v>3.06</v>
      </c>
      <c r="G15" s="51">
        <v>79.099999999999994</v>
      </c>
      <c r="H15" s="51">
        <v>26.77</v>
      </c>
      <c r="I15" s="51">
        <v>0.57999999999999996</v>
      </c>
      <c r="J15" s="51">
        <v>0.47</v>
      </c>
      <c r="K15" s="51">
        <v>294.12</v>
      </c>
      <c r="L15" s="51">
        <v>22.33</v>
      </c>
      <c r="M15" s="51">
        <v>74.680000000000007</v>
      </c>
      <c r="N15" s="51">
        <v>157.30000000000001</v>
      </c>
      <c r="O15" s="51">
        <v>0</v>
      </c>
      <c r="P15" s="51">
        <v>1.01</v>
      </c>
      <c r="Q15" s="51">
        <v>48.98</v>
      </c>
      <c r="R15" s="43"/>
      <c r="S15" s="43"/>
      <c r="T15" s="43"/>
      <c r="U15" s="43"/>
    </row>
    <row r="16" spans="1:21" s="11" customFormat="1" ht="15">
      <c r="A16" s="50" t="s">
        <v>93</v>
      </c>
      <c r="B16" s="51">
        <v>46.20</v>
      </c>
      <c r="C16" s="51">
        <v>57.53</v>
      </c>
      <c r="D16" s="51">
        <v>70.540000000000006</v>
      </c>
      <c r="E16" s="51">
        <v>1.89</v>
      </c>
      <c r="F16" s="51">
        <v>3.62</v>
      </c>
      <c r="G16" s="51">
        <v>82.07</v>
      </c>
      <c r="H16" s="51">
        <v>32.99</v>
      </c>
      <c r="I16" s="51">
        <v>0.60</v>
      </c>
      <c r="J16" s="51">
        <v>0.73</v>
      </c>
      <c r="K16" s="51">
        <v>223.52</v>
      </c>
      <c r="L16" s="51">
        <v>27.16</v>
      </c>
      <c r="M16" s="51">
        <v>64.27</v>
      </c>
      <c r="N16" s="51">
        <v>381</v>
      </c>
      <c r="O16" s="51">
        <v>0</v>
      </c>
      <c r="P16" s="51">
        <v>1</v>
      </c>
      <c r="Q16" s="51">
        <v>41.5</v>
      </c>
      <c r="R16" s="43"/>
      <c r="S16" s="43"/>
      <c r="T16" s="43"/>
      <c r="U16" s="43"/>
    </row>
    <row r="17" spans="1:21" s="11" customFormat="1" ht="15">
      <c r="A17" s="50" t="s">
        <v>94</v>
      </c>
      <c r="B17" s="51">
        <v>38.200000000000003</v>
      </c>
      <c r="C17" s="51">
        <v>53.87</v>
      </c>
      <c r="D17" s="51">
        <v>61.09</v>
      </c>
      <c r="E17" s="51">
        <v>3.05</v>
      </c>
      <c r="F17" s="51">
        <v>5.85</v>
      </c>
      <c r="G17" s="51">
        <v>82.07</v>
      </c>
      <c r="H17" s="51">
        <v>32.99</v>
      </c>
      <c r="I17" s="51">
        <v>0.61</v>
      </c>
      <c r="J17" s="51">
        <v>0.40</v>
      </c>
      <c r="K17" s="51">
        <v>345.89</v>
      </c>
      <c r="L17" s="51">
        <v>30.27</v>
      </c>
      <c r="M17" s="51">
        <v>42.38</v>
      </c>
      <c r="N17" s="51">
        <v>614.10</v>
      </c>
      <c r="O17" s="51">
        <v>0</v>
      </c>
      <c r="P17" s="51">
        <v>1.01</v>
      </c>
      <c r="Q17" s="51">
        <v>46.77</v>
      </c>
      <c r="R17" s="43"/>
      <c r="S17" s="43"/>
      <c r="T17" s="43"/>
      <c r="U17" s="43"/>
    </row>
    <row r="18" spans="1:21" s="11" customFormat="1" ht="15">
      <c r="A18" s="50" t="s">
        <v>95</v>
      </c>
      <c r="B18" s="51">
        <v>26.33</v>
      </c>
      <c r="C18" s="51">
        <v>60.36</v>
      </c>
      <c r="D18" s="51">
        <v>54.69</v>
      </c>
      <c r="E18" s="51">
        <v>2.29</v>
      </c>
      <c r="F18" s="51">
        <v>4.18</v>
      </c>
      <c r="G18" s="51">
        <v>80.72</v>
      </c>
      <c r="H18" s="51">
        <v>32.869999999999997</v>
      </c>
      <c r="I18" s="51">
        <v>0.62</v>
      </c>
      <c r="J18" s="51">
        <v>0.65</v>
      </c>
      <c r="K18" s="51">
        <v>347.60</v>
      </c>
      <c r="L18" s="51">
        <v>30.03</v>
      </c>
      <c r="M18" s="51">
        <v>36.119999999999997</v>
      </c>
      <c r="N18" s="51">
        <v>805.10</v>
      </c>
      <c r="O18" s="51">
        <v>0</v>
      </c>
      <c r="P18" s="51">
        <v>0.93</v>
      </c>
      <c r="Q18" s="51">
        <v>47.80</v>
      </c>
      <c r="R18" s="43"/>
      <c r="S18" s="43"/>
      <c r="T18" s="43"/>
      <c r="U18" s="43"/>
    </row>
    <row r="19" spans="1:21" s="11" customFormat="1" ht="15">
      <c r="A19" s="50" t="s">
        <v>96</v>
      </c>
      <c r="B19" s="51">
        <v>8.3800000000000008</v>
      </c>
      <c r="C19" s="51">
        <v>57.75</v>
      </c>
      <c r="D19" s="51">
        <v>40.33</v>
      </c>
      <c r="E19" s="51">
        <v>1.91</v>
      </c>
      <c r="F19" s="51">
        <v>8.3699999999999992</v>
      </c>
      <c r="G19" s="51">
        <v>66.89</v>
      </c>
      <c r="H19" s="51">
        <v>27.75</v>
      </c>
      <c r="I19" s="51">
        <v>0.56000000000000005</v>
      </c>
      <c r="J19" s="51">
        <v>0.60</v>
      </c>
      <c r="K19" s="51">
        <v>230.25</v>
      </c>
      <c r="L19" s="51">
        <v>30.78</v>
      </c>
      <c r="M19" s="51">
        <v>32.619999999999997</v>
      </c>
      <c r="N19" s="51">
        <v>922</v>
      </c>
      <c r="O19" s="51">
        <v>0</v>
      </c>
      <c r="P19" s="51">
        <v>0.75</v>
      </c>
      <c r="Q19" s="51">
        <v>44.47</v>
      </c>
      <c r="R19" s="43"/>
      <c r="S19" s="43"/>
      <c r="T19" s="43"/>
      <c r="U19" s="43"/>
    </row>
    <row r="20" spans="1:21" s="11" customFormat="1" ht="15">
      <c r="A20" s="50" t="s">
        <v>97</v>
      </c>
      <c r="B20" s="51">
        <v>6.66</v>
      </c>
      <c r="C20" s="51">
        <v>55.63</v>
      </c>
      <c r="D20" s="51">
        <v>37.78</v>
      </c>
      <c r="E20" s="51">
        <v>2.3199999999999998</v>
      </c>
      <c r="F20" s="51">
        <v>13.09</v>
      </c>
      <c r="G20" s="51">
        <v>57.27</v>
      </c>
      <c r="H20" s="51">
        <v>25.03</v>
      </c>
      <c r="I20" s="51">
        <v>0.56999999999999995</v>
      </c>
      <c r="J20" s="51">
        <v>0.65</v>
      </c>
      <c r="K20" s="51">
        <v>34.979999999999997</v>
      </c>
      <c r="L20" s="51">
        <v>34.729999999999997</v>
      </c>
      <c r="M20" s="51">
        <v>25.5</v>
      </c>
      <c r="N20" s="51">
        <v>945.20</v>
      </c>
      <c r="O20" s="51">
        <v>0</v>
      </c>
      <c r="P20" s="51">
        <v>0.67</v>
      </c>
      <c r="Q20" s="51">
        <v>38.07</v>
      </c>
      <c r="R20" s="43"/>
      <c r="S20" s="43"/>
      <c r="T20" s="43"/>
      <c r="U20" s="43"/>
    </row>
    <row r="21" spans="1:21" s="11" customFormat="1" ht="15">
      <c r="A21" s="50" t="s">
        <v>98</v>
      </c>
      <c r="B21" s="51">
        <v>5.81</v>
      </c>
      <c r="C21" s="51">
        <v>56</v>
      </c>
      <c r="D21" s="51">
        <v>35.82</v>
      </c>
      <c r="E21" s="51">
        <v>1.94</v>
      </c>
      <c r="F21" s="51">
        <v>10.53</v>
      </c>
      <c r="G21" s="51">
        <v>50.58</v>
      </c>
      <c r="H21" s="51">
        <v>22.66</v>
      </c>
      <c r="I21" s="51">
        <v>0.57999999999999996</v>
      </c>
      <c r="J21" s="51">
        <v>0.71</v>
      </c>
      <c r="K21" s="51">
        <v>20.99</v>
      </c>
      <c r="L21" s="51">
        <v>33.96</v>
      </c>
      <c r="M21" s="51">
        <v>24.08</v>
      </c>
      <c r="N21" s="51">
        <v>919.70</v>
      </c>
      <c r="O21" s="51">
        <v>0</v>
      </c>
      <c r="P21" s="51">
        <v>0.70</v>
      </c>
      <c r="Q21" s="51">
        <v>43.19</v>
      </c>
      <c r="R21" s="43"/>
      <c r="S21" s="43"/>
      <c r="T21" s="43"/>
      <c r="U21" s="43"/>
    </row>
    <row r="22" spans="1:21" s="11" customFormat="1" ht="15">
      <c r="A22" s="50" t="s">
        <v>99</v>
      </c>
      <c r="B22" s="51">
        <v>4.18</v>
      </c>
      <c r="C22" s="51">
        <v>58.28</v>
      </c>
      <c r="D22" s="51">
        <v>37.119999999999997</v>
      </c>
      <c r="E22" s="51">
        <v>1.79</v>
      </c>
      <c r="F22" s="51">
        <v>9.77</v>
      </c>
      <c r="G22" s="51">
        <v>48.13</v>
      </c>
      <c r="H22" s="51">
        <v>18.47</v>
      </c>
      <c r="I22" s="51">
        <v>0.55000000000000004</v>
      </c>
      <c r="J22" s="51">
        <v>0.94</v>
      </c>
      <c r="K22" s="51">
        <v>358.27</v>
      </c>
      <c r="L22" s="51">
        <v>35.26</v>
      </c>
      <c r="M22" s="51">
        <v>20.27</v>
      </c>
      <c r="N22" s="51">
        <v>868.10</v>
      </c>
      <c r="O22" s="51">
        <v>0</v>
      </c>
      <c r="P22" s="51">
        <v>0.69</v>
      </c>
      <c r="Q22" s="51">
        <v>42.87</v>
      </c>
      <c r="R22" s="43"/>
      <c r="S22" s="43"/>
      <c r="T22" s="43"/>
      <c r="U22" s="43"/>
    </row>
    <row r="23" spans="1:21" s="11" customFormat="1" ht="15">
      <c r="A23" s="50" t="s">
        <v>100</v>
      </c>
      <c r="B23" s="51">
        <v>4.42</v>
      </c>
      <c r="C23" s="51">
        <v>53.99</v>
      </c>
      <c r="D23" s="51">
        <v>35.08</v>
      </c>
      <c r="E23" s="51">
        <v>2.04</v>
      </c>
      <c r="F23" s="51">
        <v>15.67</v>
      </c>
      <c r="G23" s="51">
        <v>43.97</v>
      </c>
      <c r="H23" s="51">
        <v>17.329999999999998</v>
      </c>
      <c r="I23" s="51">
        <v>0.54</v>
      </c>
      <c r="J23" s="51">
        <v>0.75</v>
      </c>
      <c r="K23" s="51">
        <v>247.41</v>
      </c>
      <c r="L23" s="51">
        <v>33.49</v>
      </c>
      <c r="M23" s="51">
        <v>21.81</v>
      </c>
      <c r="N23" s="51">
        <v>703.70</v>
      </c>
      <c r="O23" s="51">
        <v>0</v>
      </c>
      <c r="P23" s="51">
        <v>0.61</v>
      </c>
      <c r="Q23" s="51">
        <v>37.10</v>
      </c>
      <c r="R23" s="43"/>
      <c r="S23" s="43"/>
      <c r="T23" s="43"/>
      <c r="U23" s="43"/>
    </row>
    <row r="24" spans="1:21" s="11" customFormat="1" ht="15">
      <c r="A24" s="50" t="s">
        <v>101</v>
      </c>
      <c r="B24" s="51">
        <v>4.20</v>
      </c>
      <c r="C24" s="51">
        <v>49.13</v>
      </c>
      <c r="D24" s="51">
        <v>31.97</v>
      </c>
      <c r="E24" s="51">
        <v>2.65</v>
      </c>
      <c r="F24" s="51">
        <v>19.71</v>
      </c>
      <c r="G24" s="51">
        <v>43.97</v>
      </c>
      <c r="H24" s="51">
        <v>17.38</v>
      </c>
      <c r="I24" s="51">
        <v>0.52</v>
      </c>
      <c r="J24" s="51">
        <v>0.38</v>
      </c>
      <c r="K24" s="51">
        <v>249.31</v>
      </c>
      <c r="L24" s="51">
        <v>32.94</v>
      </c>
      <c r="M24" s="51">
        <v>22.85</v>
      </c>
      <c r="N24" s="51">
        <v>397</v>
      </c>
      <c r="O24" s="51">
        <v>0</v>
      </c>
      <c r="P24" s="51">
        <v>0.55000000000000004</v>
      </c>
      <c r="Q24" s="51">
        <v>40.04</v>
      </c>
      <c r="R24" s="43"/>
      <c r="S24" s="43"/>
      <c r="T24" s="43"/>
      <c r="U24" s="43"/>
    </row>
    <row r="25" spans="1:21" s="11" customFormat="1" ht="15">
      <c r="A25" s="50" t="s">
        <v>102</v>
      </c>
      <c r="B25" s="51">
        <v>5.41</v>
      </c>
      <c r="C25" s="51">
        <v>50.97</v>
      </c>
      <c r="D25" s="51">
        <v>34.21</v>
      </c>
      <c r="E25" s="51">
        <v>1.36</v>
      </c>
      <c r="F25" s="51">
        <v>9.52</v>
      </c>
      <c r="G25" s="51">
        <v>41.33</v>
      </c>
      <c r="H25" s="51">
        <v>14.59</v>
      </c>
      <c r="I25" s="51">
        <v>0.53</v>
      </c>
      <c r="J25" s="51">
        <v>0.36</v>
      </c>
      <c r="K25" s="51">
        <v>261.47000000000003</v>
      </c>
      <c r="L25" s="51">
        <v>31.62</v>
      </c>
      <c r="M25" s="51">
        <v>22.73</v>
      </c>
      <c r="N25" s="51">
        <v>168.70</v>
      </c>
      <c r="O25" s="51">
        <v>0</v>
      </c>
      <c r="P25" s="51">
        <v>0.53</v>
      </c>
      <c r="Q25" s="51">
        <v>40.72</v>
      </c>
      <c r="R25" s="43"/>
      <c r="S25" s="43"/>
      <c r="T25" s="43"/>
      <c r="U25" s="43"/>
    </row>
    <row r="26" spans="1:21" s="11" customFormat="1" ht="15">
      <c r="A26" s="50" t="s">
        <v>103</v>
      </c>
      <c r="B26" s="51">
        <v>10.98</v>
      </c>
      <c r="C26" s="51">
        <v>51.20</v>
      </c>
      <c r="D26" s="51">
        <v>36.69</v>
      </c>
      <c r="E26" s="51">
        <v>2.29</v>
      </c>
      <c r="F26" s="51">
        <v>20.170000000000002</v>
      </c>
      <c r="G26" s="51">
        <v>38.54</v>
      </c>
      <c r="H26" s="51">
        <v>13.11</v>
      </c>
      <c r="I26" s="51">
        <v>0.5</v>
      </c>
      <c r="J26" s="51">
        <v>0.92</v>
      </c>
      <c r="K26" s="51">
        <v>25.31</v>
      </c>
      <c r="L26" s="51">
        <v>30.73</v>
      </c>
      <c r="M26" s="51">
        <v>24.30</v>
      </c>
      <c r="N26" s="51">
        <v>60.5</v>
      </c>
      <c r="O26" s="51">
        <v>0</v>
      </c>
      <c r="P26" s="51">
        <v>0.64</v>
      </c>
      <c r="Q26" s="51">
        <v>39.729999999999997</v>
      </c>
      <c r="R26" s="43"/>
      <c r="S26" s="43"/>
      <c r="T26" s="43"/>
      <c r="U26" s="43"/>
    </row>
    <row r="27" spans="1:21" s="11" customFormat="1" ht="15">
      <c r="A27" s="50" t="s">
        <v>104</v>
      </c>
      <c r="B27" s="51">
        <v>44.48</v>
      </c>
      <c r="C27" s="51">
        <v>82.37</v>
      </c>
      <c r="D27" s="51">
        <v>82.87</v>
      </c>
      <c r="E27" s="51">
        <v>3.95</v>
      </c>
      <c r="F27" s="51">
        <v>22.66</v>
      </c>
      <c r="G27" s="51">
        <v>38.950000000000003</v>
      </c>
      <c r="H27" s="51">
        <v>15.01</v>
      </c>
      <c r="I27" s="51">
        <v>0.61</v>
      </c>
      <c r="J27" s="51">
        <v>0.67</v>
      </c>
      <c r="K27" s="51">
        <v>264.87</v>
      </c>
      <c r="L27" s="51">
        <v>28.60</v>
      </c>
      <c r="M27" s="51">
        <v>31.65</v>
      </c>
      <c r="N27" s="51">
        <v>9.5</v>
      </c>
      <c r="O27" s="51">
        <v>0</v>
      </c>
      <c r="P27" s="51">
        <v>1.69</v>
      </c>
      <c r="Q27" s="51">
        <v>32.409999999999997</v>
      </c>
      <c r="R27" s="43"/>
      <c r="S27" s="43"/>
      <c r="T27" s="43"/>
      <c r="U27" s="43"/>
    </row>
    <row r="28" spans="1:21" s="11" customFormat="1" ht="15">
      <c r="A28" s="50" t="s">
        <v>105</v>
      </c>
      <c r="B28" s="51">
        <v>33.5</v>
      </c>
      <c r="C28" s="51">
        <v>63.75</v>
      </c>
      <c r="D28" s="51">
        <v>63.79</v>
      </c>
      <c r="E28" s="51">
        <v>4.4400000000000004</v>
      </c>
      <c r="F28" s="51">
        <v>6.84</v>
      </c>
      <c r="G28" s="51">
        <v>54.59</v>
      </c>
      <c r="H28" s="51">
        <v>17.03</v>
      </c>
      <c r="I28" s="51">
        <v>0.70</v>
      </c>
      <c r="J28" s="51">
        <v>0.42</v>
      </c>
      <c r="K28" s="51">
        <v>262.44</v>
      </c>
      <c r="L28" s="51">
        <v>27.11</v>
      </c>
      <c r="M28" s="51">
        <v>37.14</v>
      </c>
      <c r="N28" s="51">
        <v>5.40</v>
      </c>
      <c r="O28" s="51">
        <v>0</v>
      </c>
      <c r="P28" s="51">
        <v>1.25</v>
      </c>
      <c r="Q28" s="51">
        <v>40.42</v>
      </c>
      <c r="R28" s="43"/>
      <c r="S28" s="43"/>
      <c r="T28" s="43"/>
      <c r="U28" s="43"/>
    </row>
    <row r="29" spans="1:21" s="11" customFormat="1" ht="15">
      <c r="A29" s="50" t="s">
        <v>106</v>
      </c>
      <c r="B29" s="51">
        <v>149.82</v>
      </c>
      <c r="C29" s="51">
        <v>84.88</v>
      </c>
      <c r="D29" s="51">
        <v>168.73</v>
      </c>
      <c r="E29" s="51">
        <v>2.12</v>
      </c>
      <c r="F29" s="51">
        <v>3.35</v>
      </c>
      <c r="G29" s="51">
        <v>80.61</v>
      </c>
      <c r="H29" s="51">
        <v>23.22</v>
      </c>
      <c r="I29" s="51">
        <v>0.73</v>
      </c>
      <c r="J29" s="51">
        <v>0.13</v>
      </c>
      <c r="K29" s="51">
        <v>357.53</v>
      </c>
      <c r="L29" s="51">
        <v>25.14</v>
      </c>
      <c r="M29" s="51">
        <v>46.87</v>
      </c>
      <c r="N29" s="51">
        <v>5</v>
      </c>
      <c r="O29" s="51">
        <v>0</v>
      </c>
      <c r="P29" s="51">
        <v>2.85</v>
      </c>
      <c r="Q29" s="51">
        <v>40.51</v>
      </c>
      <c r="R29" s="43"/>
      <c r="S29" s="43"/>
      <c r="T29" s="43"/>
      <c r="U29" s="43"/>
    </row>
    <row r="30" spans="1:21" s="11" customFormat="1" ht="15">
      <c r="A30" s="50" t="s">
        <v>107</v>
      </c>
      <c r="B30" s="51">
        <v>199.22</v>
      </c>
      <c r="C30" s="51">
        <v>93.47</v>
      </c>
      <c r="D30" s="51">
        <v>213.09</v>
      </c>
      <c r="E30" s="51">
        <v>3.78</v>
      </c>
      <c r="F30" s="51">
        <v>3.40</v>
      </c>
      <c r="G30" s="51">
        <v>166.56</v>
      </c>
      <c r="H30" s="51">
        <v>35.950000000000003</v>
      </c>
      <c r="I30" s="51">
        <v>1.27</v>
      </c>
      <c r="J30" s="51">
        <v>0.32</v>
      </c>
      <c r="K30" s="51">
        <v>331.54</v>
      </c>
      <c r="L30" s="51">
        <v>24.13</v>
      </c>
      <c r="M30" s="51">
        <v>47.65</v>
      </c>
      <c r="N30" s="51">
        <v>4.9000000000000004</v>
      </c>
      <c r="O30" s="51">
        <v>0</v>
      </c>
      <c r="P30" s="51">
        <v>3.18</v>
      </c>
      <c r="Q30" s="51">
        <v>40.590000000000003</v>
      </c>
      <c r="R30" s="43"/>
      <c r="S30" s="43"/>
      <c r="T30" s="43"/>
      <c r="U30" s="43"/>
    </row>
    <row r="31" spans="1:21" s="11" customFormat="1" ht="15">
      <c r="A31" s="50" t="s">
        <v>108</v>
      </c>
      <c r="B31" s="51">
        <v>140.91999999999999</v>
      </c>
      <c r="C31" s="51">
        <v>82.30</v>
      </c>
      <c r="D31" s="51">
        <v>154.41</v>
      </c>
      <c r="E31" s="51">
        <v>4.5</v>
      </c>
      <c r="F31" s="51">
        <v>3.25</v>
      </c>
      <c r="G31" s="51">
        <v>166.56</v>
      </c>
      <c r="H31" s="51">
        <v>36.380000000000003</v>
      </c>
      <c r="I31" s="51">
        <v>1</v>
      </c>
      <c r="J31" s="51">
        <v>0.13</v>
      </c>
      <c r="K31" s="51">
        <v>249.34</v>
      </c>
      <c r="L31" s="51">
        <v>23.95</v>
      </c>
      <c r="M31" s="51">
        <v>49.78</v>
      </c>
      <c r="N31" s="51">
        <v>4.9000000000000004</v>
      </c>
      <c r="O31" s="51">
        <v>0</v>
      </c>
      <c r="P31" s="51">
        <v>2.57</v>
      </c>
      <c r="Q31" s="51">
        <v>44.32</v>
      </c>
      <c r="R31" s="43"/>
      <c r="S31" s="43"/>
      <c r="T31" s="43"/>
      <c r="U31" s="43"/>
    </row>
    <row r="32" spans="1:21" s="11" customFormat="1" ht="15">
      <c r="A32" s="50" t="s">
        <v>109</v>
      </c>
      <c r="B32" s="51">
        <v>114.22</v>
      </c>
      <c r="C32" s="51">
        <v>69.12</v>
      </c>
      <c r="D32" s="51">
        <v>130.19999999999999</v>
      </c>
      <c r="E32" s="51">
        <v>4.46</v>
      </c>
      <c r="F32" s="51">
        <v>3.79</v>
      </c>
      <c r="G32" s="51">
        <v>125.54</v>
      </c>
      <c r="H32" s="51">
        <v>39.28</v>
      </c>
      <c r="I32" s="51">
        <v>1.0900000000000001</v>
      </c>
      <c r="J32" s="51">
        <v>0.37</v>
      </c>
      <c r="K32" s="51">
        <v>87.31</v>
      </c>
      <c r="L32" s="51">
        <v>24.20</v>
      </c>
      <c r="M32" s="51">
        <v>40.36</v>
      </c>
      <c r="N32" s="51">
        <v>4.30</v>
      </c>
      <c r="O32" s="51">
        <v>0</v>
      </c>
      <c r="P32" s="51">
        <v>2.35</v>
      </c>
      <c r="Q32" s="51">
        <v>50.10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4.1799999999999997</v>
      </c>
      <c r="C34" s="28">
        <f t="shared" si="0"/>
        <v>43.609999999999999</v>
      </c>
      <c r="D34" s="28">
        <f t="shared" si="0"/>
        <v>31.969999999999999</v>
      </c>
      <c r="E34" s="28">
        <f t="shared" si="0"/>
        <v>1.3600000000000001</v>
      </c>
      <c r="F34" s="28">
        <f t="shared" si="0"/>
        <v>3.0600000000000001</v>
      </c>
      <c r="G34" s="28">
        <f t="shared" si="0"/>
        <v>38.539999999999999</v>
      </c>
      <c r="H34" s="28">
        <f t="shared" si="0"/>
        <v>13.109999999999999</v>
      </c>
      <c r="I34" s="28">
        <f t="shared" si="0"/>
        <v>0.5</v>
      </c>
      <c r="J34" s="28">
        <f t="shared" si="0"/>
        <v>0.13</v>
      </c>
      <c r="K34" s="28">
        <f t="shared" si="0"/>
        <v>20.989999999999998</v>
      </c>
      <c r="L34" s="28">
        <f t="shared" si="0"/>
        <v>18.829999999999998</v>
      </c>
      <c r="M34" s="28">
        <f t="shared" si="0"/>
        <v>20.27</v>
      </c>
      <c r="N34" s="28">
        <f t="shared" si="0"/>
        <v>4.2999999999999998</v>
      </c>
      <c r="O34" s="28">
        <f t="shared" si="0"/>
        <v>0</v>
      </c>
      <c r="P34" s="28">
        <f t="shared" si="0"/>
        <v>0.53000000000000003</v>
      </c>
      <c r="Q34" s="28">
        <f t="shared" si="0"/>
        <v>32.409999999999997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199.22</v>
      </c>
      <c r="C35" s="29">
        <f t="shared" si="1"/>
        <v>93.469999999999999</v>
      </c>
      <c r="D35" s="29">
        <f t="shared" si="1"/>
        <v>213.09</v>
      </c>
      <c r="E35" s="29">
        <f t="shared" si="1"/>
        <v>4.5</v>
      </c>
      <c r="F35" s="29">
        <f t="shared" si="1"/>
        <v>22.66</v>
      </c>
      <c r="G35" s="29">
        <f t="shared" si="1"/>
        <v>166.56</v>
      </c>
      <c r="H35" s="29">
        <f t="shared" si="1"/>
        <v>39.280000000000001</v>
      </c>
      <c r="I35" s="29">
        <f t="shared" si="1"/>
        <v>1.27</v>
      </c>
      <c r="J35" s="29">
        <f t="shared" si="1"/>
        <v>0.93999999999999995</v>
      </c>
      <c r="K35" s="29">
        <f t="shared" si="1"/>
        <v>358.26999999999998</v>
      </c>
      <c r="L35" s="29">
        <f t="shared" si="1"/>
        <v>35.259999999999998</v>
      </c>
      <c r="M35" s="29">
        <f t="shared" si="1"/>
        <v>81.819999999999993</v>
      </c>
      <c r="N35" s="29">
        <f t="shared" si="1"/>
        <v>945.20000000000005</v>
      </c>
      <c r="O35" s="29">
        <f t="shared" si="1"/>
        <v>0</v>
      </c>
      <c r="P35" s="29">
        <f t="shared" si="1"/>
        <v>3.1800000000000002</v>
      </c>
      <c r="Q35" s="29">
        <f t="shared" si="1"/>
        <v>50.100000000000001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48.280000000000008</v>
      </c>
      <c r="C36" s="28">
        <f t="shared" si="2"/>
        <v>59.351249999999993</v>
      </c>
      <c r="D36" s="28">
        <f t="shared" si="2"/>
        <v>72.566250000000011</v>
      </c>
      <c r="E36" s="28">
        <f t="shared" si="2"/>
        <v>2.4804166666666667</v>
      </c>
      <c r="F36" s="28">
        <f t="shared" si="2"/>
        <v>8.0070833333333322</v>
      </c>
      <c r="G36" s="28">
        <f t="shared" si="2"/>
        <v>72.027083333333323</v>
      </c>
      <c r="H36" s="28">
        <f t="shared" si="2"/>
        <v>23.798749999999998</v>
      </c>
      <c r="I36" s="28">
        <f t="shared" si="2"/>
        <v>0.67416666666666669</v>
      </c>
      <c r="J36" s="28">
        <f t="shared" si="2"/>
        <v>0.45375000000000004</v>
      </c>
      <c r="K36" s="28">
        <f t="shared" si="2"/>
        <v>248.04999999999998</v>
      </c>
      <c r="L36" s="28">
        <f t="shared" si="2"/>
        <v>26.976666666666674</v>
      </c>
      <c r="M36" s="28">
        <f t="shared" si="2"/>
        <v>46.796249999999993</v>
      </c>
      <c r="N36" s="28">
        <f t="shared" si="2"/>
        <v>292.14999999999992</v>
      </c>
      <c r="O36" s="28">
        <f t="shared" si="2"/>
        <v>0</v>
      </c>
      <c r="P36" s="28">
        <f t="shared" si="2"/>
        <v>1.2191666666666667</v>
      </c>
      <c r="Q36" s="28">
        <f t="shared" si="2"/>
        <v>43.209166666666668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51.839039259079122</v>
      </c>
      <c r="C37" s="28">
        <f t="shared" si="3" ref="C37:Q37">STDEV(C9:C32)</f>
        <v>13.451380828586059</v>
      </c>
      <c r="D37" s="28">
        <f t="shared" si="3"/>
        <v>47.279076336569105</v>
      </c>
      <c r="E37" s="28">
        <f t="shared" si="3"/>
        <v>0.98452583672974525</v>
      </c>
      <c r="F37" s="28">
        <f t="shared" si="3"/>
        <v>6.0454873426502944</v>
      </c>
      <c r="G37" s="28">
        <f t="shared" si="3"/>
        <v>35.164089201685002</v>
      </c>
      <c r="H37" s="28">
        <f t="shared" si="3"/>
        <v>7.6194957681509168</v>
      </c>
      <c r="I37" s="28">
        <f t="shared" si="3"/>
        <v>0.18994087562155793</v>
      </c>
      <c r="J37" s="28">
        <f t="shared" si="3"/>
        <v>0.25242842291559031</v>
      </c>
      <c r="K37" s="28">
        <f t="shared" si="3"/>
        <v>115.69124268838425</v>
      </c>
      <c r="L37" s="28">
        <f t="shared" si="3"/>
        <v>5.3652275503156748</v>
      </c>
      <c r="M37" s="28">
        <f t="shared" si="3"/>
        <v>21.975277178347902</v>
      </c>
      <c r="N37" s="28">
        <f t="shared" si="3"/>
        <v>371.54618883092138</v>
      </c>
      <c r="O37" s="28">
        <f t="shared" si="3"/>
        <v>0</v>
      </c>
      <c r="P37" s="28">
        <f t="shared" si="3"/>
        <v>0.75557013697211328</v>
      </c>
      <c r="Q37" s="28">
        <f t="shared" si="3"/>
        <v>4.4133571138638619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f254284-f998-4026-8852-1a3bceb33c1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M63" sqref="M63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110</v>
      </c>
      <c r="B9" s="51">
        <v>91.65</v>
      </c>
      <c r="C9" s="51">
        <v>66.95</v>
      </c>
      <c r="D9" s="51">
        <v>110.73</v>
      </c>
      <c r="E9" s="51">
        <v>12.17</v>
      </c>
      <c r="F9" s="51">
        <v>5.08</v>
      </c>
      <c r="G9" s="51">
        <v>125.54</v>
      </c>
      <c r="H9" s="51">
        <v>42.11</v>
      </c>
      <c r="I9" s="51">
        <v>1</v>
      </c>
      <c r="J9" s="51">
        <v>0.32</v>
      </c>
      <c r="K9" s="51">
        <v>88.29</v>
      </c>
      <c r="L9" s="51">
        <v>23.89</v>
      </c>
      <c r="M9" s="51">
        <v>39.99</v>
      </c>
      <c r="N9" s="51">
        <v>4.70</v>
      </c>
      <c r="O9" s="51">
        <v>0</v>
      </c>
      <c r="P9" s="51">
        <v>2.14</v>
      </c>
      <c r="Q9" s="51">
        <v>49.10</v>
      </c>
      <c r="R9" s="43"/>
      <c r="S9" s="43"/>
      <c r="T9" s="43"/>
      <c r="U9" s="43"/>
    </row>
    <row r="10" spans="1:21" s="11" customFormat="1" ht="15">
      <c r="A10" s="50" t="s">
        <v>111</v>
      </c>
      <c r="B10" s="51">
        <v>61.63</v>
      </c>
      <c r="C10" s="51">
        <v>64.13</v>
      </c>
      <c r="D10" s="51">
        <v>86.56</v>
      </c>
      <c r="E10" s="51">
        <v>15.74</v>
      </c>
      <c r="F10" s="51">
        <v>4.29</v>
      </c>
      <c r="G10" s="51">
        <v>149.34</v>
      </c>
      <c r="H10" s="51">
        <v>51.15</v>
      </c>
      <c r="I10" s="51">
        <v>0.77</v>
      </c>
      <c r="J10" s="51">
        <v>0.14000000000000001</v>
      </c>
      <c r="K10" s="51">
        <v>290.44</v>
      </c>
      <c r="L10" s="51">
        <v>22.89</v>
      </c>
      <c r="M10" s="51">
        <v>48.33</v>
      </c>
      <c r="N10" s="51">
        <v>5</v>
      </c>
      <c r="O10" s="51">
        <v>0</v>
      </c>
      <c r="P10" s="51">
        <v>1.93</v>
      </c>
      <c r="Q10" s="51">
        <v>42.12</v>
      </c>
      <c r="R10" s="43"/>
      <c r="S10" s="43"/>
      <c r="T10" s="43"/>
      <c r="U10" s="43"/>
    </row>
    <row r="11" spans="1:21" s="11" customFormat="1" ht="15">
      <c r="A11" s="50" t="s">
        <v>112</v>
      </c>
      <c r="B11" s="51">
        <v>67.45</v>
      </c>
      <c r="C11" s="51">
        <v>54.59</v>
      </c>
      <c r="D11" s="51">
        <v>83.76</v>
      </c>
      <c r="E11" s="51">
        <v>5.64</v>
      </c>
      <c r="F11" s="51">
        <v>3.51</v>
      </c>
      <c r="G11" s="51">
        <v>149.34</v>
      </c>
      <c r="H11" s="51">
        <v>52.35</v>
      </c>
      <c r="I11" s="51">
        <v>0.94</v>
      </c>
      <c r="J11" s="51">
        <v>0.75</v>
      </c>
      <c r="K11" s="51">
        <v>281.11</v>
      </c>
      <c r="L11" s="51">
        <v>21.71</v>
      </c>
      <c r="M11" s="51">
        <v>62.63</v>
      </c>
      <c r="N11" s="51">
        <v>5.5</v>
      </c>
      <c r="O11" s="51">
        <v>0</v>
      </c>
      <c r="P11" s="51">
        <v>1.93</v>
      </c>
      <c r="Q11" s="51">
        <v>46.46</v>
      </c>
      <c r="R11" s="43"/>
      <c r="S11" s="43"/>
      <c r="T11" s="43"/>
      <c r="U11" s="43"/>
    </row>
    <row r="12" spans="1:21" s="11" customFormat="1" ht="15">
      <c r="A12" s="50" t="s">
        <v>113</v>
      </c>
      <c r="B12" s="51">
        <v>55.27</v>
      </c>
      <c r="C12" s="51">
        <v>51.35</v>
      </c>
      <c r="D12" s="51">
        <v>74.25</v>
      </c>
      <c r="E12" s="51">
        <v>2.15</v>
      </c>
      <c r="F12" s="51">
        <v>3.08</v>
      </c>
      <c r="G12" s="51">
        <v>147.36000000000001</v>
      </c>
      <c r="H12" s="51">
        <v>52.35</v>
      </c>
      <c r="I12" s="51">
        <v>0.90</v>
      </c>
      <c r="J12" s="51">
        <v>0.19</v>
      </c>
      <c r="K12" s="51">
        <v>359.48</v>
      </c>
      <c r="L12" s="51">
        <v>19.45</v>
      </c>
      <c r="M12" s="51">
        <v>66.849999999999994</v>
      </c>
      <c r="N12" s="51">
        <v>5.0999999999999996</v>
      </c>
      <c r="O12" s="51">
        <v>0</v>
      </c>
      <c r="P12" s="51">
        <v>1.63</v>
      </c>
      <c r="Q12" s="51">
        <v>46.90</v>
      </c>
      <c r="R12" s="43"/>
      <c r="S12" s="43"/>
      <c r="T12" s="43"/>
      <c r="U12" s="43"/>
    </row>
    <row r="13" spans="1:21" s="11" customFormat="1" ht="15">
      <c r="A13" s="50" t="s">
        <v>114</v>
      </c>
      <c r="B13" s="51">
        <v>46.72</v>
      </c>
      <c r="C13" s="51">
        <v>51.88</v>
      </c>
      <c r="D13" s="51">
        <v>67.84</v>
      </c>
      <c r="E13" s="51">
        <v>2.0099999999999998</v>
      </c>
      <c r="F13" s="51">
        <v>3.32</v>
      </c>
      <c r="G13" s="51">
        <v>102.49</v>
      </c>
      <c r="H13" s="51">
        <v>42.68</v>
      </c>
      <c r="I13" s="51">
        <v>0.69</v>
      </c>
      <c r="J13" s="51">
        <v>0.34</v>
      </c>
      <c r="K13" s="51">
        <v>287.10000000000002</v>
      </c>
      <c r="L13" s="51">
        <v>20.60</v>
      </c>
      <c r="M13" s="51">
        <v>63.54</v>
      </c>
      <c r="N13" s="51">
        <v>4.9000000000000004</v>
      </c>
      <c r="O13" s="51">
        <v>0</v>
      </c>
      <c r="P13" s="51">
        <v>1.31</v>
      </c>
      <c r="Q13" s="51">
        <v>45.68</v>
      </c>
      <c r="R13" s="43"/>
      <c r="S13" s="43"/>
      <c r="T13" s="43"/>
      <c r="U13" s="43"/>
    </row>
    <row r="14" spans="1:21" s="11" customFormat="1" ht="15">
      <c r="A14" s="50" t="s">
        <v>115</v>
      </c>
      <c r="B14" s="51">
        <v>45.77</v>
      </c>
      <c r="C14" s="51">
        <v>47.16</v>
      </c>
      <c r="D14" s="51">
        <v>63.63</v>
      </c>
      <c r="E14" s="51">
        <v>2.02</v>
      </c>
      <c r="F14" s="51">
        <v>3.27</v>
      </c>
      <c r="G14" s="51">
        <v>102.49</v>
      </c>
      <c r="H14" s="51">
        <v>40.57</v>
      </c>
      <c r="I14" s="51">
        <v>0.65</v>
      </c>
      <c r="J14" s="51">
        <v>0.39</v>
      </c>
      <c r="K14" s="51">
        <v>306.02999999999997</v>
      </c>
      <c r="L14" s="51">
        <v>20.02</v>
      </c>
      <c r="M14" s="51">
        <v>64.209999999999994</v>
      </c>
      <c r="N14" s="51">
        <v>11.20</v>
      </c>
      <c r="O14" s="51">
        <v>0</v>
      </c>
      <c r="P14" s="51">
        <v>1.25</v>
      </c>
      <c r="Q14" s="51">
        <v>39.72</v>
      </c>
      <c r="R14" s="43"/>
      <c r="S14" s="43"/>
      <c r="T14" s="43"/>
      <c r="U14" s="43"/>
    </row>
    <row r="15" spans="1:21" s="11" customFormat="1" ht="15">
      <c r="A15" s="50" t="s">
        <v>116</v>
      </c>
      <c r="B15" s="51">
        <v>53.86</v>
      </c>
      <c r="C15" s="51">
        <v>51.71</v>
      </c>
      <c r="D15" s="51">
        <v>73.48</v>
      </c>
      <c r="E15" s="51">
        <v>2.2400000000000002</v>
      </c>
      <c r="F15" s="51">
        <v>3.05</v>
      </c>
      <c r="G15" s="51">
        <v>138.44</v>
      </c>
      <c r="H15" s="51">
        <v>45.07</v>
      </c>
      <c r="I15" s="51">
        <v>0.68</v>
      </c>
      <c r="J15" s="51">
        <v>0.62</v>
      </c>
      <c r="K15" s="51">
        <v>52.37</v>
      </c>
      <c r="L15" s="51">
        <v>22.20</v>
      </c>
      <c r="M15" s="51">
        <v>60.95</v>
      </c>
      <c r="N15" s="51">
        <v>144</v>
      </c>
      <c r="O15" s="51">
        <v>0</v>
      </c>
      <c r="P15" s="51">
        <v>1.42</v>
      </c>
      <c r="Q15" s="51">
        <v>43.99</v>
      </c>
      <c r="R15" s="43"/>
      <c r="S15" s="43"/>
      <c r="T15" s="43"/>
      <c r="U15" s="43"/>
    </row>
    <row r="16" spans="1:21" s="11" customFormat="1" ht="15">
      <c r="A16" s="50" t="s">
        <v>117</v>
      </c>
      <c r="B16" s="51">
        <v>56.98</v>
      </c>
      <c r="C16" s="51">
        <v>60.47</v>
      </c>
      <c r="D16" s="51">
        <v>78.739999999999995</v>
      </c>
      <c r="E16" s="51">
        <v>6.54</v>
      </c>
      <c r="F16" s="51">
        <v>4.7699999999999996</v>
      </c>
      <c r="G16" s="51">
        <v>227.98</v>
      </c>
      <c r="H16" s="51">
        <v>61.70</v>
      </c>
      <c r="I16" s="51">
        <v>0.68</v>
      </c>
      <c r="J16" s="51">
        <v>0.42</v>
      </c>
      <c r="K16" s="51">
        <v>171.53</v>
      </c>
      <c r="L16" s="51">
        <v>26.51</v>
      </c>
      <c r="M16" s="51">
        <v>49.34</v>
      </c>
      <c r="N16" s="51">
        <v>380.20</v>
      </c>
      <c r="O16" s="51">
        <v>0</v>
      </c>
      <c r="P16" s="51">
        <v>1.68</v>
      </c>
      <c r="Q16" s="51">
        <v>44.63</v>
      </c>
      <c r="R16" s="43"/>
      <c r="S16" s="43"/>
      <c r="T16" s="43"/>
      <c r="U16" s="43"/>
    </row>
    <row r="17" spans="1:21" s="11" customFormat="1" ht="15">
      <c r="A17" s="50" t="s">
        <v>118</v>
      </c>
      <c r="B17" s="51">
        <v>48.61</v>
      </c>
      <c r="C17" s="51">
        <v>66.650000000000006</v>
      </c>
      <c r="D17" s="51">
        <v>77.150000000000006</v>
      </c>
      <c r="E17" s="51">
        <v>11.78</v>
      </c>
      <c r="F17" s="51">
        <v>9.8000000000000007</v>
      </c>
      <c r="G17" s="51">
        <v>227.98</v>
      </c>
      <c r="H17" s="51">
        <v>64.62</v>
      </c>
      <c r="I17" s="51">
        <v>0.61</v>
      </c>
      <c r="J17" s="51">
        <v>0.52</v>
      </c>
      <c r="K17" s="51">
        <v>200.82</v>
      </c>
      <c r="L17" s="51">
        <v>28.97</v>
      </c>
      <c r="M17" s="51">
        <v>40.409999999999997</v>
      </c>
      <c r="N17" s="51">
        <v>474.30</v>
      </c>
      <c r="O17" s="51">
        <v>0</v>
      </c>
      <c r="P17" s="51">
        <v>1.76</v>
      </c>
      <c r="Q17" s="51">
        <v>40.86</v>
      </c>
      <c r="R17" s="43"/>
      <c r="S17" s="43"/>
      <c r="T17" s="43"/>
      <c r="U17" s="43"/>
    </row>
    <row r="18" spans="1:21" s="11" customFormat="1" ht="15">
      <c r="A18" s="50" t="s">
        <v>119</v>
      </c>
      <c r="B18" s="51">
        <v>42.71</v>
      </c>
      <c r="C18" s="51">
        <v>64.599999999999994</v>
      </c>
      <c r="D18" s="51">
        <v>68.260000000000005</v>
      </c>
      <c r="E18" s="51">
        <v>6.04</v>
      </c>
      <c r="F18" s="51">
        <v>5.93</v>
      </c>
      <c r="G18" s="51">
        <v>120.88</v>
      </c>
      <c r="H18" s="51">
        <v>64.62</v>
      </c>
      <c r="I18" s="51">
        <v>0.63</v>
      </c>
      <c r="J18" s="51">
        <v>1.03</v>
      </c>
      <c r="K18" s="51">
        <v>236.73</v>
      </c>
      <c r="L18" s="51">
        <v>29.16</v>
      </c>
      <c r="M18" s="51">
        <v>40.32</v>
      </c>
      <c r="N18" s="51">
        <v>735.5</v>
      </c>
      <c r="O18" s="51">
        <v>0</v>
      </c>
      <c r="P18" s="51">
        <v>1.66</v>
      </c>
      <c r="Q18" s="51">
        <v>42.69</v>
      </c>
      <c r="R18" s="43"/>
      <c r="S18" s="43"/>
      <c r="T18" s="43"/>
      <c r="U18" s="43"/>
    </row>
    <row r="19" spans="1:21" s="11" customFormat="1" ht="15">
      <c r="A19" s="50" t="s">
        <v>120</v>
      </c>
      <c r="B19" s="51">
        <v>19.32</v>
      </c>
      <c r="C19" s="51">
        <v>69.45</v>
      </c>
      <c r="D19" s="51">
        <v>55.30</v>
      </c>
      <c r="E19" s="51">
        <v>3</v>
      </c>
      <c r="F19" s="51">
        <v>56.57</v>
      </c>
      <c r="G19" s="51">
        <v>120.88</v>
      </c>
      <c r="H19" s="51">
        <v>58.54</v>
      </c>
      <c r="I19" s="51">
        <v>0.62</v>
      </c>
      <c r="J19" s="51">
        <v>0.33</v>
      </c>
      <c r="K19" s="51">
        <v>345.98</v>
      </c>
      <c r="L19" s="51">
        <v>32.79</v>
      </c>
      <c r="M19" s="51">
        <v>33.340000000000003</v>
      </c>
      <c r="N19" s="51">
        <v>875.30</v>
      </c>
      <c r="O19" s="51">
        <v>0</v>
      </c>
      <c r="P19" s="51">
        <v>1.35</v>
      </c>
      <c r="Q19" s="51">
        <v>43.69</v>
      </c>
      <c r="R19" s="43"/>
      <c r="S19" s="43"/>
      <c r="T19" s="43"/>
      <c r="U19" s="43"/>
    </row>
    <row r="20" spans="1:21" s="11" customFormat="1" ht="15">
      <c r="A20" s="50" t="s">
        <v>121</v>
      </c>
      <c r="B20" s="51">
        <v>3</v>
      </c>
      <c r="C20" s="51">
        <v>59.60</v>
      </c>
      <c r="D20" s="51">
        <v>37.020000000000003</v>
      </c>
      <c r="E20" s="51">
        <v>6.38</v>
      </c>
      <c r="F20" s="51">
        <v>21.12</v>
      </c>
      <c r="G20" s="55" t="s">
        <v>12</v>
      </c>
      <c r="H20" s="55" t="s">
        <v>12</v>
      </c>
      <c r="I20" s="51">
        <v>0.49</v>
      </c>
      <c r="J20" s="51">
        <v>0.51</v>
      </c>
      <c r="K20" s="51">
        <v>282.68</v>
      </c>
      <c r="L20" s="51">
        <v>34.93</v>
      </c>
      <c r="M20" s="51">
        <v>27.25</v>
      </c>
      <c r="N20" s="51">
        <v>907.60</v>
      </c>
      <c r="O20" s="51">
        <v>0</v>
      </c>
      <c r="P20" s="51">
        <v>0.88</v>
      </c>
      <c r="Q20" s="51">
        <v>35.340000000000003</v>
      </c>
      <c r="R20" s="43"/>
      <c r="S20" s="43"/>
      <c r="T20" s="43"/>
      <c r="U20" s="43"/>
    </row>
    <row r="21" spans="1:21" s="11" customFormat="1" ht="15">
      <c r="A21" s="50" t="s">
        <v>122</v>
      </c>
      <c r="B21" s="51">
        <v>3.39</v>
      </c>
      <c r="C21" s="51">
        <v>45.13</v>
      </c>
      <c r="D21" s="51">
        <v>29.5</v>
      </c>
      <c r="E21" s="51">
        <v>2.79</v>
      </c>
      <c r="F21" s="51">
        <v>12.06</v>
      </c>
      <c r="G21" s="51">
        <v>54.21</v>
      </c>
      <c r="H21" s="51">
        <v>24.07</v>
      </c>
      <c r="I21" s="51">
        <v>0.49</v>
      </c>
      <c r="J21" s="51">
        <v>0.30</v>
      </c>
      <c r="K21" s="51">
        <v>296.63</v>
      </c>
      <c r="L21" s="51">
        <v>34.799999999999997</v>
      </c>
      <c r="M21" s="51">
        <v>26.78</v>
      </c>
      <c r="N21" s="51">
        <v>909.70</v>
      </c>
      <c r="O21" s="51">
        <v>0</v>
      </c>
      <c r="P21" s="51">
        <v>0.85</v>
      </c>
      <c r="Q21" s="51">
        <v>34.64</v>
      </c>
      <c r="R21" s="43"/>
      <c r="S21" s="43"/>
      <c r="T21" s="43"/>
      <c r="U21" s="43"/>
    </row>
    <row r="22" spans="1:21" s="11" customFormat="1" ht="15">
      <c r="A22" s="50" t="s">
        <v>123</v>
      </c>
      <c r="B22" s="51">
        <v>3.23</v>
      </c>
      <c r="C22" s="51">
        <v>49.81</v>
      </c>
      <c r="D22" s="51">
        <v>30.76</v>
      </c>
      <c r="E22" s="51">
        <v>2.4900000000000002</v>
      </c>
      <c r="F22" s="51">
        <v>10.54</v>
      </c>
      <c r="G22" s="51">
        <v>54.21</v>
      </c>
      <c r="H22" s="51">
        <v>24.07</v>
      </c>
      <c r="I22" s="51">
        <v>0.49</v>
      </c>
      <c r="J22" s="51">
        <v>0.55000000000000004</v>
      </c>
      <c r="K22" s="51">
        <v>264.43</v>
      </c>
      <c r="L22" s="51">
        <v>33.409999999999997</v>
      </c>
      <c r="M22" s="51">
        <v>24.81</v>
      </c>
      <c r="N22" s="51">
        <v>831</v>
      </c>
      <c r="O22" s="51">
        <v>0</v>
      </c>
      <c r="P22" s="51">
        <v>0.66</v>
      </c>
      <c r="Q22" s="51">
        <v>37.10</v>
      </c>
      <c r="R22" s="43"/>
      <c r="S22" s="43"/>
      <c r="T22" s="43"/>
      <c r="U22" s="43"/>
    </row>
    <row r="23" spans="1:21" s="11" customFormat="1" ht="15">
      <c r="A23" s="50" t="s">
        <v>124</v>
      </c>
      <c r="B23" s="51">
        <v>3.41</v>
      </c>
      <c r="C23" s="51">
        <v>48.93</v>
      </c>
      <c r="D23" s="51">
        <v>30.23</v>
      </c>
      <c r="E23" s="51">
        <v>2.14</v>
      </c>
      <c r="F23" s="51">
        <v>15.14</v>
      </c>
      <c r="G23" s="51">
        <v>52.41</v>
      </c>
      <c r="H23" s="51">
        <v>22.64</v>
      </c>
      <c r="I23" s="51">
        <v>0.49</v>
      </c>
      <c r="J23" s="51">
        <v>1.38</v>
      </c>
      <c r="K23" s="51">
        <v>241.24</v>
      </c>
      <c r="L23" s="51">
        <v>35.33</v>
      </c>
      <c r="M23" s="51">
        <v>24.63</v>
      </c>
      <c r="N23" s="51">
        <v>693.10</v>
      </c>
      <c r="O23" s="51">
        <v>0</v>
      </c>
      <c r="P23" s="51">
        <v>0.56000000000000005</v>
      </c>
      <c r="Q23" s="51">
        <v>38.15</v>
      </c>
      <c r="R23" s="43"/>
      <c r="S23" s="43"/>
      <c r="T23" s="43"/>
      <c r="U23" s="43"/>
    </row>
    <row r="24" spans="1:21" s="11" customFormat="1" ht="15">
      <c r="A24" s="50" t="s">
        <v>125</v>
      </c>
      <c r="B24" s="51">
        <v>3.13</v>
      </c>
      <c r="C24" s="51">
        <v>41.25</v>
      </c>
      <c r="D24" s="51">
        <v>25.93</v>
      </c>
      <c r="E24" s="51">
        <v>2.86</v>
      </c>
      <c r="F24" s="51">
        <v>25.43</v>
      </c>
      <c r="G24" s="51">
        <v>34.06</v>
      </c>
      <c r="H24" s="51">
        <v>17.05</v>
      </c>
      <c r="I24" s="51">
        <v>0.48</v>
      </c>
      <c r="J24" s="51">
        <v>0.84</v>
      </c>
      <c r="K24" s="51">
        <v>215.73</v>
      </c>
      <c r="L24" s="51">
        <v>31.54</v>
      </c>
      <c r="M24" s="51">
        <v>25.82</v>
      </c>
      <c r="N24" s="51">
        <v>234.90</v>
      </c>
      <c r="O24" s="51">
        <v>0</v>
      </c>
      <c r="P24" s="51">
        <v>0.45</v>
      </c>
      <c r="Q24" s="51">
        <v>32.76</v>
      </c>
      <c r="R24" s="43"/>
      <c r="S24" s="43"/>
      <c r="T24" s="43"/>
      <c r="U24" s="43"/>
    </row>
    <row r="25" spans="1:21" s="11" customFormat="1" ht="15">
      <c r="A25" s="50" t="s">
        <v>126</v>
      </c>
      <c r="B25" s="51">
        <v>8.24</v>
      </c>
      <c r="C25" s="51">
        <v>48.64</v>
      </c>
      <c r="D25" s="51">
        <v>33.159999999999997</v>
      </c>
      <c r="E25" s="51">
        <v>5.91</v>
      </c>
      <c r="F25" s="51">
        <v>17.239999999999998</v>
      </c>
      <c r="G25" s="51">
        <v>34.51</v>
      </c>
      <c r="H25" s="51">
        <v>16.88</v>
      </c>
      <c r="I25" s="51">
        <v>0.52</v>
      </c>
      <c r="J25" s="51">
        <v>1.17</v>
      </c>
      <c r="K25" s="51">
        <v>199.82</v>
      </c>
      <c r="L25" s="51">
        <v>32.090000000000003</v>
      </c>
      <c r="M25" s="51">
        <v>25.79</v>
      </c>
      <c r="N25" s="51">
        <v>174.40</v>
      </c>
      <c r="O25" s="51">
        <v>0</v>
      </c>
      <c r="P25" s="51">
        <v>0.62</v>
      </c>
      <c r="Q25" s="51">
        <v>36.85</v>
      </c>
      <c r="R25" s="43"/>
      <c r="S25" s="43"/>
      <c r="T25" s="43"/>
      <c r="U25" s="43"/>
    </row>
    <row r="26" spans="1:21" s="11" customFormat="1" ht="15">
      <c r="A26" s="50" t="s">
        <v>127</v>
      </c>
      <c r="B26" s="51">
        <v>4.6500000000000004</v>
      </c>
      <c r="C26" s="51">
        <v>56.23</v>
      </c>
      <c r="D26" s="51">
        <v>35.24</v>
      </c>
      <c r="E26" s="51">
        <v>2.68</v>
      </c>
      <c r="F26" s="51">
        <v>11.61</v>
      </c>
      <c r="G26" s="51">
        <v>34.51</v>
      </c>
      <c r="H26" s="51">
        <v>14.55</v>
      </c>
      <c r="I26" s="51">
        <v>0.55000000000000004</v>
      </c>
      <c r="J26" s="51">
        <v>0.59</v>
      </c>
      <c r="K26" s="51">
        <v>306.89999999999998</v>
      </c>
      <c r="L26" s="51">
        <v>31.33</v>
      </c>
      <c r="M26" s="51">
        <v>32.880000000000003</v>
      </c>
      <c r="N26" s="51">
        <v>71.70</v>
      </c>
      <c r="O26" s="51">
        <v>0</v>
      </c>
      <c r="P26" s="51">
        <v>0.62</v>
      </c>
      <c r="Q26" s="51">
        <v>37.99</v>
      </c>
      <c r="R26" s="43"/>
      <c r="S26" s="43"/>
      <c r="T26" s="43"/>
      <c r="U26" s="43"/>
    </row>
    <row r="27" spans="1:21" s="11" customFormat="1" ht="15">
      <c r="A27" s="50" t="s">
        <v>128</v>
      </c>
      <c r="B27" s="51">
        <v>5.27</v>
      </c>
      <c r="C27" s="51">
        <v>59.81</v>
      </c>
      <c r="D27" s="51">
        <v>37.35</v>
      </c>
      <c r="E27" s="51">
        <v>4.83</v>
      </c>
      <c r="F27" s="51">
        <v>24.01</v>
      </c>
      <c r="G27" s="51">
        <v>160.72</v>
      </c>
      <c r="H27" s="51">
        <v>18.87</v>
      </c>
      <c r="I27" s="51">
        <v>0.53</v>
      </c>
      <c r="J27" s="51">
        <v>0.99</v>
      </c>
      <c r="K27" s="51">
        <v>194.86</v>
      </c>
      <c r="L27" s="51">
        <v>29.56</v>
      </c>
      <c r="M27" s="51">
        <v>35.94</v>
      </c>
      <c r="N27" s="51">
        <v>9.40</v>
      </c>
      <c r="O27" s="51">
        <v>0</v>
      </c>
      <c r="P27" s="51">
        <v>0.60</v>
      </c>
      <c r="Q27" s="51">
        <v>37.26</v>
      </c>
      <c r="R27" s="43"/>
      <c r="S27" s="43"/>
      <c r="T27" s="43"/>
      <c r="U27" s="43"/>
    </row>
    <row r="28" spans="1:21" s="11" customFormat="1" ht="15">
      <c r="A28" s="50" t="s">
        <v>129</v>
      </c>
      <c r="B28" s="51">
        <v>9.91</v>
      </c>
      <c r="C28" s="51">
        <v>63.24</v>
      </c>
      <c r="D28" s="51">
        <v>43.59</v>
      </c>
      <c r="E28" s="51">
        <v>5.42</v>
      </c>
      <c r="F28" s="51">
        <v>21.23</v>
      </c>
      <c r="G28" s="51">
        <v>160.72</v>
      </c>
      <c r="H28" s="51">
        <v>19.760000000000002</v>
      </c>
      <c r="I28" s="51">
        <v>0.52</v>
      </c>
      <c r="J28" s="51">
        <v>0.72</v>
      </c>
      <c r="K28" s="51">
        <v>182.97</v>
      </c>
      <c r="L28" s="51">
        <v>28.44</v>
      </c>
      <c r="M28" s="51">
        <v>40.54</v>
      </c>
      <c r="N28" s="51">
        <v>4.9000000000000004</v>
      </c>
      <c r="O28" s="51">
        <v>0</v>
      </c>
      <c r="P28" s="51">
        <v>0.80</v>
      </c>
      <c r="Q28" s="51">
        <v>33.229999999999997</v>
      </c>
      <c r="R28" s="43"/>
      <c r="S28" s="43"/>
      <c r="T28" s="43"/>
      <c r="U28" s="43"/>
    </row>
    <row r="29" spans="1:21" s="11" customFormat="1" ht="15">
      <c r="A29" s="50" t="s">
        <v>130</v>
      </c>
      <c r="B29" s="51">
        <v>11.94</v>
      </c>
      <c r="C29" s="51">
        <v>66.47</v>
      </c>
      <c r="D29" s="51">
        <v>45.43</v>
      </c>
      <c r="E29" s="51">
        <v>5.41</v>
      </c>
      <c r="F29" s="51">
        <v>13.16</v>
      </c>
      <c r="G29" s="51">
        <v>82.38</v>
      </c>
      <c r="H29" s="51">
        <v>19.760000000000002</v>
      </c>
      <c r="I29" s="51">
        <v>0.64</v>
      </c>
      <c r="J29" s="51">
        <v>0.55000000000000004</v>
      </c>
      <c r="K29" s="51">
        <v>275.98</v>
      </c>
      <c r="L29" s="51">
        <v>27.5</v>
      </c>
      <c r="M29" s="51">
        <v>44.16</v>
      </c>
      <c r="N29" s="51">
        <v>5.0999999999999996</v>
      </c>
      <c r="O29" s="51">
        <v>0</v>
      </c>
      <c r="P29" s="51">
        <v>0.87</v>
      </c>
      <c r="Q29" s="51">
        <v>41.31</v>
      </c>
      <c r="R29" s="43"/>
      <c r="S29" s="43"/>
      <c r="T29" s="43"/>
      <c r="U29" s="43"/>
    </row>
    <row r="30" spans="1:21" s="11" customFormat="1" ht="15">
      <c r="A30" s="50" t="s">
        <v>131</v>
      </c>
      <c r="B30" s="51">
        <v>12.82</v>
      </c>
      <c r="C30" s="51">
        <v>68.66</v>
      </c>
      <c r="D30" s="51">
        <v>48.91</v>
      </c>
      <c r="E30" s="51">
        <v>3.30</v>
      </c>
      <c r="F30" s="51">
        <v>9.08</v>
      </c>
      <c r="G30" s="51">
        <v>66.13</v>
      </c>
      <c r="H30" s="51">
        <v>19.850000000000001</v>
      </c>
      <c r="I30" s="51">
        <v>0.61</v>
      </c>
      <c r="J30" s="51">
        <v>0.28000000000000003</v>
      </c>
      <c r="K30" s="51">
        <v>227</v>
      </c>
      <c r="L30" s="51">
        <v>26.79</v>
      </c>
      <c r="M30" s="51">
        <v>48.65</v>
      </c>
      <c r="N30" s="51">
        <v>4.80</v>
      </c>
      <c r="O30" s="51">
        <v>0</v>
      </c>
      <c r="P30" s="51">
        <v>0.96</v>
      </c>
      <c r="Q30" s="51">
        <v>41.55</v>
      </c>
      <c r="R30" s="43"/>
      <c r="S30" s="43"/>
      <c r="T30" s="43"/>
      <c r="U30" s="43"/>
    </row>
    <row r="31" spans="1:21" s="11" customFormat="1" ht="15">
      <c r="A31" s="50" t="s">
        <v>132</v>
      </c>
      <c r="B31" s="51">
        <v>19.079999999999998</v>
      </c>
      <c r="C31" s="51">
        <v>64.489999999999995</v>
      </c>
      <c r="D31" s="51">
        <v>51.63</v>
      </c>
      <c r="E31" s="51">
        <v>4.99</v>
      </c>
      <c r="F31" s="51">
        <v>17.34</v>
      </c>
      <c r="G31" s="51">
        <v>72.05</v>
      </c>
      <c r="H31" s="51">
        <v>25.59</v>
      </c>
      <c r="I31" s="51">
        <v>0.59</v>
      </c>
      <c r="J31" s="51">
        <v>0.62</v>
      </c>
      <c r="K31" s="51">
        <v>330.48</v>
      </c>
      <c r="L31" s="51">
        <v>25.77</v>
      </c>
      <c r="M31" s="51">
        <v>49.87</v>
      </c>
      <c r="N31" s="51">
        <v>4.9000000000000004</v>
      </c>
      <c r="O31" s="51">
        <v>0</v>
      </c>
      <c r="P31" s="51">
        <v>1.1299999999999999</v>
      </c>
      <c r="Q31" s="51">
        <v>38.24</v>
      </c>
      <c r="R31" s="43"/>
      <c r="S31" s="43"/>
      <c r="T31" s="43"/>
      <c r="U31" s="43"/>
    </row>
    <row r="32" spans="1:21" s="11" customFormat="1" ht="15">
      <c r="A32" s="50" t="s">
        <v>133</v>
      </c>
      <c r="B32" s="51">
        <v>9.99</v>
      </c>
      <c r="C32" s="51">
        <v>48.23</v>
      </c>
      <c r="D32" s="51">
        <v>34.35</v>
      </c>
      <c r="E32" s="51">
        <v>4.03</v>
      </c>
      <c r="F32" s="51">
        <v>14.70</v>
      </c>
      <c r="G32" s="51">
        <v>72.05</v>
      </c>
      <c r="H32" s="51">
        <v>26.41</v>
      </c>
      <c r="I32" s="51">
        <v>0.57999999999999996</v>
      </c>
      <c r="J32" s="51">
        <v>1.27</v>
      </c>
      <c r="K32" s="51">
        <v>258.88</v>
      </c>
      <c r="L32" s="51">
        <v>25.24</v>
      </c>
      <c r="M32" s="51">
        <v>53.84</v>
      </c>
      <c r="N32" s="51">
        <v>5</v>
      </c>
      <c r="O32" s="51">
        <v>0</v>
      </c>
      <c r="P32" s="51">
        <v>0.88</v>
      </c>
      <c r="Q32" s="51">
        <v>38.10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</v>
      </c>
      <c r="C34" s="28">
        <f t="shared" si="0"/>
        <v>41.25</v>
      </c>
      <c r="D34" s="28">
        <f t="shared" si="0"/>
        <v>25.93</v>
      </c>
      <c r="E34" s="28">
        <f t="shared" si="0"/>
        <v>2.0099999999999998</v>
      </c>
      <c r="F34" s="28">
        <f t="shared" si="0"/>
        <v>3.0499999999999998</v>
      </c>
      <c r="G34" s="28">
        <f t="shared" si="0"/>
        <v>34.060000000000002</v>
      </c>
      <c r="H34" s="28">
        <f t="shared" si="0"/>
        <v>14.550000000000001</v>
      </c>
      <c r="I34" s="28">
        <f t="shared" si="0"/>
        <v>0.47999999999999998</v>
      </c>
      <c r="J34" s="28">
        <f t="shared" si="0"/>
        <v>0.14000000000000001</v>
      </c>
      <c r="K34" s="28">
        <f t="shared" si="0"/>
        <v>52.369999999999997</v>
      </c>
      <c r="L34" s="28">
        <f t="shared" si="0"/>
        <v>19.449999999999999</v>
      </c>
      <c r="M34" s="28">
        <f t="shared" si="0"/>
        <v>24.629999999999999</v>
      </c>
      <c r="N34" s="28">
        <f t="shared" si="0"/>
        <v>4.7000000000000002</v>
      </c>
      <c r="O34" s="28">
        <f t="shared" si="0"/>
        <v>0</v>
      </c>
      <c r="P34" s="28">
        <f t="shared" si="0"/>
        <v>0.45000000000000001</v>
      </c>
      <c r="Q34" s="28">
        <f t="shared" si="0"/>
        <v>32.759999999999998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91.650000000000006</v>
      </c>
      <c r="C35" s="29">
        <f t="shared" si="1"/>
        <v>69.450000000000003</v>
      </c>
      <c r="D35" s="29">
        <f t="shared" si="1"/>
        <v>110.73</v>
      </c>
      <c r="E35" s="29">
        <f t="shared" si="1"/>
        <v>15.74</v>
      </c>
      <c r="F35" s="29">
        <f t="shared" si="1"/>
        <v>56.57</v>
      </c>
      <c r="G35" s="29">
        <f t="shared" si="1"/>
        <v>227.97999999999999</v>
      </c>
      <c r="H35" s="29">
        <f t="shared" si="1"/>
        <v>64.620000000000005</v>
      </c>
      <c r="I35" s="29">
        <f t="shared" si="1"/>
        <v>1</v>
      </c>
      <c r="J35" s="29">
        <f t="shared" si="1"/>
        <v>1.3799999999999999</v>
      </c>
      <c r="K35" s="29">
        <f t="shared" si="1"/>
        <v>359.48000000000002</v>
      </c>
      <c r="L35" s="29">
        <f t="shared" si="1"/>
        <v>35.329999999999998</v>
      </c>
      <c r="M35" s="29">
        <f t="shared" si="1"/>
        <v>66.849999999999994</v>
      </c>
      <c r="N35" s="29">
        <f t="shared" si="1"/>
        <v>909.70000000000005</v>
      </c>
      <c r="O35" s="29">
        <f t="shared" si="1"/>
        <v>0</v>
      </c>
      <c r="P35" s="29">
        <f t="shared" si="1"/>
        <v>2.1400000000000001</v>
      </c>
      <c r="Q35" s="29">
        <f t="shared" si="1"/>
        <v>49.100000000000001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28.667916666666674</v>
      </c>
      <c r="C36" s="28">
        <f t="shared" si="2"/>
        <v>57.059583333333336</v>
      </c>
      <c r="D36" s="28">
        <f t="shared" si="2"/>
        <v>55.116666666666667</v>
      </c>
      <c r="E36" s="28">
        <f t="shared" si="2"/>
        <v>5.1066666666666665</v>
      </c>
      <c r="F36" s="28">
        <f t="shared" si="2"/>
        <v>13.13875</v>
      </c>
      <c r="G36" s="28">
        <f t="shared" si="2"/>
        <v>108.29043478260873</v>
      </c>
      <c r="H36" s="28">
        <f t="shared" si="2"/>
        <v>35.880869565217388</v>
      </c>
      <c r="I36" s="28">
        <f t="shared" si="2"/>
        <v>0.63124999999999998</v>
      </c>
      <c r="J36" s="28">
        <f t="shared" si="2"/>
        <v>0.61749999999999994</v>
      </c>
      <c r="K36" s="28">
        <f t="shared" si="2"/>
        <v>245.72833333333327</v>
      </c>
      <c r="L36" s="28">
        <f t="shared" si="2"/>
        <v>27.705000000000002</v>
      </c>
      <c r="M36" s="28">
        <f t="shared" si="2"/>
        <v>42.95291666666666</v>
      </c>
      <c r="N36" s="28">
        <f t="shared" si="2"/>
        <v>270.92499999999995</v>
      </c>
      <c r="O36" s="28">
        <f t="shared" si="2"/>
        <v>0</v>
      </c>
      <c r="P36" s="28">
        <f t="shared" si="2"/>
        <v>1.1641666666666668</v>
      </c>
      <c r="Q36" s="28">
        <f t="shared" si="2"/>
        <v>40.348333333333336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26.459231639434947</v>
      </c>
      <c r="C37" s="28">
        <f t="shared" si="3" ref="C37:Q37">STDEV(C9:C32)</f>
        <v>8.4569006961212967</v>
      </c>
      <c r="D37" s="28">
        <f t="shared" si="3"/>
        <v>22.846893550930236</v>
      </c>
      <c r="E37" s="28">
        <f t="shared" si="3"/>
        <v>3.5517168740798</v>
      </c>
      <c r="F37" s="28">
        <f t="shared" si="3"/>
        <v>11.643639544739701</v>
      </c>
      <c r="G37" s="28">
        <f t="shared" si="3"/>
        <v>56.84154966205783</v>
      </c>
      <c r="H37" s="28">
        <f t="shared" si="3"/>
        <v>17.432578412804492</v>
      </c>
      <c r="I37" s="28">
        <f t="shared" si="3"/>
        <v>0.14462282278245417</v>
      </c>
      <c r="J37" s="28">
        <f t="shared" si="3"/>
        <v>0.34225911872121978</v>
      </c>
      <c r="K37" s="28">
        <f t="shared" si="3"/>
        <v>74.480755067079912</v>
      </c>
      <c r="L37" s="28">
        <f t="shared" si="3"/>
        <v>4.9679652032667594</v>
      </c>
      <c r="M37" s="28">
        <f t="shared" si="3"/>
        <v>13.925322095772696</v>
      </c>
      <c r="N37" s="28">
        <f t="shared" si="3"/>
        <v>351.96271325488323</v>
      </c>
      <c r="O37" s="28">
        <f t="shared" si="3"/>
        <v>0</v>
      </c>
      <c r="P37" s="28">
        <f t="shared" si="3"/>
        <v>0.50647045209032637</v>
      </c>
      <c r="Q37" s="28">
        <f t="shared" si="3"/>
        <v>4.4616634319174961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5e7739-f0d3-4d52-8b93-e10530abc2e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0" sqref="G70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134</v>
      </c>
      <c r="B9" s="51">
        <v>8.7899999999999991</v>
      </c>
      <c r="C9" s="51">
        <v>46.85</v>
      </c>
      <c r="D9" s="51">
        <v>32.65</v>
      </c>
      <c r="E9" s="51">
        <v>2.90</v>
      </c>
      <c r="F9" s="51">
        <v>4.8899999999999997</v>
      </c>
      <c r="G9" s="51">
        <v>65.75</v>
      </c>
      <c r="H9" s="51">
        <v>26.41</v>
      </c>
      <c r="I9" s="51">
        <v>0.69</v>
      </c>
      <c r="J9" s="51">
        <v>1.1100000000000001</v>
      </c>
      <c r="K9" s="51">
        <v>235.01</v>
      </c>
      <c r="L9" s="51">
        <v>24.44</v>
      </c>
      <c r="M9" s="51">
        <v>59.88</v>
      </c>
      <c r="N9" s="51">
        <v>4.9000000000000004</v>
      </c>
      <c r="O9" s="51">
        <v>0</v>
      </c>
      <c r="P9" s="51">
        <v>0.86</v>
      </c>
      <c r="Q9" s="51">
        <v>42.67</v>
      </c>
      <c r="R9" s="43"/>
      <c r="S9" s="43"/>
      <c r="T9" s="43"/>
      <c r="U9" s="43"/>
    </row>
    <row r="10" spans="1:21" s="11" customFormat="1" ht="15">
      <c r="A10" s="50" t="s">
        <v>135</v>
      </c>
      <c r="B10" s="51">
        <v>5.20</v>
      </c>
      <c r="C10" s="51">
        <v>46.03</v>
      </c>
      <c r="D10" s="51">
        <v>30.31</v>
      </c>
      <c r="E10" s="51">
        <v>3.14</v>
      </c>
      <c r="F10" s="51">
        <v>12.52</v>
      </c>
      <c r="G10" s="51">
        <v>45.31</v>
      </c>
      <c r="H10" s="51">
        <v>25.23</v>
      </c>
      <c r="I10" s="51">
        <v>0.63</v>
      </c>
      <c r="J10" s="51">
        <v>0.37</v>
      </c>
      <c r="K10" s="51">
        <v>294.25</v>
      </c>
      <c r="L10" s="51">
        <v>23.38</v>
      </c>
      <c r="M10" s="51">
        <v>63.44</v>
      </c>
      <c r="N10" s="51">
        <v>4.80</v>
      </c>
      <c r="O10" s="51">
        <v>0</v>
      </c>
      <c r="P10" s="51">
        <v>0.71</v>
      </c>
      <c r="Q10" s="51">
        <v>42.56</v>
      </c>
      <c r="R10" s="43"/>
      <c r="S10" s="43"/>
      <c r="T10" s="43"/>
      <c r="U10" s="43"/>
    </row>
    <row r="11" spans="1:21" s="11" customFormat="1" ht="15">
      <c r="A11" s="50" t="s">
        <v>136</v>
      </c>
      <c r="B11" s="51">
        <v>5.78</v>
      </c>
      <c r="C11" s="51">
        <v>43.07</v>
      </c>
      <c r="D11" s="51">
        <v>28.61</v>
      </c>
      <c r="E11" s="51">
        <v>3.34</v>
      </c>
      <c r="F11" s="51">
        <v>13.57</v>
      </c>
      <c r="G11" s="51">
        <v>45.31</v>
      </c>
      <c r="H11" s="51">
        <v>23.45</v>
      </c>
      <c r="I11" s="51">
        <v>0.52</v>
      </c>
      <c r="J11" s="51">
        <v>0.09</v>
      </c>
      <c r="K11" s="51">
        <v>296.98</v>
      </c>
      <c r="L11" s="51">
        <v>22.64</v>
      </c>
      <c r="M11" s="51">
        <v>65.849999999999994</v>
      </c>
      <c r="N11" s="51">
        <v>4.70</v>
      </c>
      <c r="O11" s="51">
        <v>0</v>
      </c>
      <c r="P11" s="51">
        <v>0.64</v>
      </c>
      <c r="Q11" s="51">
        <v>35.97</v>
      </c>
      <c r="R11" s="43"/>
      <c r="S11" s="43"/>
      <c r="T11" s="43"/>
      <c r="U11" s="43"/>
    </row>
    <row r="12" spans="1:21" s="11" customFormat="1" ht="15">
      <c r="A12" s="50" t="s">
        <v>137</v>
      </c>
      <c r="B12" s="51">
        <v>9.7100000000000009</v>
      </c>
      <c r="C12" s="51">
        <v>42.39</v>
      </c>
      <c r="D12" s="51">
        <v>31.93</v>
      </c>
      <c r="E12" s="51">
        <v>3.33</v>
      </c>
      <c r="F12" s="51">
        <v>12.81</v>
      </c>
      <c r="G12" s="51">
        <v>49.37</v>
      </c>
      <c r="H12" s="51">
        <v>22.10</v>
      </c>
      <c r="I12" s="51">
        <v>0.57999999999999996</v>
      </c>
      <c r="J12" s="51">
        <v>0.20</v>
      </c>
      <c r="K12" s="51">
        <v>351.95</v>
      </c>
      <c r="L12" s="51">
        <v>22.22</v>
      </c>
      <c r="M12" s="51">
        <v>67.540000000000006</v>
      </c>
      <c r="N12" s="51">
        <v>5</v>
      </c>
      <c r="O12" s="51">
        <v>0</v>
      </c>
      <c r="P12" s="51">
        <v>0.66</v>
      </c>
      <c r="Q12" s="51">
        <v>41.93</v>
      </c>
      <c r="R12" s="43"/>
      <c r="S12" s="43"/>
      <c r="T12" s="43"/>
      <c r="U12" s="43"/>
    </row>
    <row r="13" spans="1:21" s="11" customFormat="1" ht="15">
      <c r="A13" s="50" t="s">
        <v>138</v>
      </c>
      <c r="B13" s="51">
        <v>8.32</v>
      </c>
      <c r="C13" s="51">
        <v>47.27</v>
      </c>
      <c r="D13" s="51">
        <v>32.71</v>
      </c>
      <c r="E13" s="51">
        <v>0.77</v>
      </c>
      <c r="F13" s="51">
        <v>3.73</v>
      </c>
      <c r="G13" s="51">
        <v>49.37</v>
      </c>
      <c r="H13" s="51">
        <v>23.36</v>
      </c>
      <c r="I13" s="51">
        <v>0.61</v>
      </c>
      <c r="J13" s="51">
        <v>0.51</v>
      </c>
      <c r="K13" s="51">
        <v>345.40</v>
      </c>
      <c r="L13" s="51">
        <v>21.87</v>
      </c>
      <c r="M13" s="51">
        <v>68.44</v>
      </c>
      <c r="N13" s="51">
        <v>5</v>
      </c>
      <c r="O13" s="51">
        <v>0</v>
      </c>
      <c r="P13" s="51">
        <v>0.67</v>
      </c>
      <c r="Q13" s="51">
        <v>43.32</v>
      </c>
      <c r="R13" s="43"/>
      <c r="S13" s="43"/>
      <c r="T13" s="43"/>
      <c r="U13" s="43"/>
    </row>
    <row r="14" spans="1:21" s="11" customFormat="1" ht="15">
      <c r="A14" s="50" t="s">
        <v>139</v>
      </c>
      <c r="B14" s="51">
        <v>13.19</v>
      </c>
      <c r="C14" s="51">
        <v>46.87</v>
      </c>
      <c r="D14" s="51">
        <v>36.159999999999997</v>
      </c>
      <c r="E14" s="51">
        <v>1.29</v>
      </c>
      <c r="F14" s="51">
        <v>6.18</v>
      </c>
      <c r="G14" s="51">
        <v>59.86</v>
      </c>
      <c r="H14" s="51">
        <v>23.36</v>
      </c>
      <c r="I14" s="51">
        <v>0.56000000000000005</v>
      </c>
      <c r="J14" s="51">
        <v>0.10</v>
      </c>
      <c r="K14" s="51">
        <v>354.22</v>
      </c>
      <c r="L14" s="51">
        <v>22.12</v>
      </c>
      <c r="M14" s="51">
        <v>66.09</v>
      </c>
      <c r="N14" s="51">
        <v>10.60</v>
      </c>
      <c r="O14" s="51">
        <v>0</v>
      </c>
      <c r="P14" s="51">
        <v>0.63</v>
      </c>
      <c r="Q14" s="51">
        <v>42.30</v>
      </c>
      <c r="R14" s="43"/>
      <c r="S14" s="43"/>
      <c r="T14" s="43"/>
      <c r="U14" s="43"/>
    </row>
    <row r="15" spans="1:21" s="11" customFormat="1" ht="15">
      <c r="A15" s="50" t="s">
        <v>140</v>
      </c>
      <c r="B15" s="51">
        <v>17.440000000000001</v>
      </c>
      <c r="C15" s="51">
        <v>51.36</v>
      </c>
      <c r="D15" s="51">
        <v>43.07</v>
      </c>
      <c r="E15" s="51">
        <v>1.94</v>
      </c>
      <c r="F15" s="51">
        <v>5.99</v>
      </c>
      <c r="G15" s="51">
        <v>73.03</v>
      </c>
      <c r="H15" s="51">
        <v>24.67</v>
      </c>
      <c r="I15" s="51">
        <v>0.56000000000000005</v>
      </c>
      <c r="J15" s="51">
        <v>0.47</v>
      </c>
      <c r="K15" s="51">
        <v>262.36</v>
      </c>
      <c r="L15" s="51">
        <v>23.84</v>
      </c>
      <c r="M15" s="51">
        <v>65.12</v>
      </c>
      <c r="N15" s="51">
        <v>131.60</v>
      </c>
      <c r="O15" s="51">
        <v>0</v>
      </c>
      <c r="P15" s="51">
        <v>0.77</v>
      </c>
      <c r="Q15" s="51">
        <v>36.5</v>
      </c>
      <c r="R15" s="43"/>
      <c r="S15" s="43"/>
      <c r="T15" s="43"/>
      <c r="U15" s="43"/>
    </row>
    <row r="16" spans="1:21" s="11" customFormat="1" ht="15">
      <c r="A16" s="50" t="s">
        <v>141</v>
      </c>
      <c r="B16" s="51">
        <v>13.61</v>
      </c>
      <c r="C16" s="51">
        <v>45.44</v>
      </c>
      <c r="D16" s="51">
        <v>33.47</v>
      </c>
      <c r="E16" s="51">
        <v>1.97</v>
      </c>
      <c r="F16" s="51">
        <v>4.25</v>
      </c>
      <c r="G16" s="51">
        <v>73.03</v>
      </c>
      <c r="H16" s="51">
        <v>26.08</v>
      </c>
      <c r="I16" s="51">
        <v>0.61</v>
      </c>
      <c r="J16" s="51">
        <v>0.77</v>
      </c>
      <c r="K16" s="51">
        <v>229.10</v>
      </c>
      <c r="L16" s="51">
        <v>25.93</v>
      </c>
      <c r="M16" s="51">
        <v>59.45</v>
      </c>
      <c r="N16" s="51">
        <v>348.30</v>
      </c>
      <c r="O16" s="51">
        <v>0</v>
      </c>
      <c r="P16" s="51">
        <v>0.64</v>
      </c>
      <c r="Q16" s="51">
        <v>42.22</v>
      </c>
      <c r="R16" s="43"/>
      <c r="S16" s="43"/>
      <c r="T16" s="43"/>
      <c r="U16" s="43"/>
    </row>
    <row r="17" spans="1:21" s="11" customFormat="1" ht="15">
      <c r="A17" s="50" t="s">
        <v>142</v>
      </c>
      <c r="B17" s="51">
        <v>7.51</v>
      </c>
      <c r="C17" s="51">
        <v>46.94</v>
      </c>
      <c r="D17" s="51">
        <v>31.99</v>
      </c>
      <c r="E17" s="51">
        <v>2.76</v>
      </c>
      <c r="F17" s="51">
        <v>5.64</v>
      </c>
      <c r="G17" s="51">
        <v>58.74</v>
      </c>
      <c r="H17" s="51">
        <v>26.36</v>
      </c>
      <c r="I17" s="51">
        <v>0.56999999999999995</v>
      </c>
      <c r="J17" s="51">
        <v>0.52</v>
      </c>
      <c r="K17" s="51">
        <v>257.52</v>
      </c>
      <c r="L17" s="51">
        <v>28.80</v>
      </c>
      <c r="M17" s="51">
        <v>51.18</v>
      </c>
      <c r="N17" s="51">
        <v>558.40</v>
      </c>
      <c r="O17" s="51">
        <v>0</v>
      </c>
      <c r="P17" s="51">
        <v>0.63</v>
      </c>
      <c r="Q17" s="51">
        <v>41.84</v>
      </c>
      <c r="R17" s="43"/>
      <c r="S17" s="43"/>
      <c r="T17" s="43"/>
      <c r="U17" s="43"/>
    </row>
    <row r="18" spans="1:21" s="11" customFormat="1" ht="15">
      <c r="A18" s="50" t="s">
        <v>143</v>
      </c>
      <c r="B18" s="51">
        <v>3.94</v>
      </c>
      <c r="C18" s="51">
        <v>46.5</v>
      </c>
      <c r="D18" s="51">
        <v>29.17</v>
      </c>
      <c r="E18" s="51">
        <v>2.82</v>
      </c>
      <c r="F18" s="51">
        <v>8.06</v>
      </c>
      <c r="G18" s="51">
        <v>55.91</v>
      </c>
      <c r="H18" s="51">
        <v>26.36</v>
      </c>
      <c r="I18" s="51">
        <v>0.53</v>
      </c>
      <c r="J18" s="51">
        <v>0.53</v>
      </c>
      <c r="K18" s="51">
        <v>261.27999999999997</v>
      </c>
      <c r="L18" s="51">
        <v>29.98</v>
      </c>
      <c r="M18" s="51">
        <v>47.08</v>
      </c>
      <c r="N18" s="51">
        <v>751.10</v>
      </c>
      <c r="O18" s="51">
        <v>0</v>
      </c>
      <c r="P18" s="51">
        <v>0.60</v>
      </c>
      <c r="Q18" s="51">
        <v>33.01</v>
      </c>
      <c r="R18" s="43"/>
      <c r="S18" s="43"/>
      <c r="T18" s="43"/>
      <c r="U18" s="43"/>
    </row>
    <row r="19" spans="1:21" s="11" customFormat="1" ht="15">
      <c r="A19" s="50" t="s">
        <v>144</v>
      </c>
      <c r="B19" s="51">
        <v>4.25</v>
      </c>
      <c r="C19" s="51">
        <v>41.47</v>
      </c>
      <c r="D19" s="51">
        <v>26.27</v>
      </c>
      <c r="E19" s="51">
        <v>3.09</v>
      </c>
      <c r="F19" s="51">
        <v>8.48</v>
      </c>
      <c r="G19" s="51">
        <v>56.10</v>
      </c>
      <c r="H19" s="51">
        <v>26.16</v>
      </c>
      <c r="I19" s="51">
        <v>0.5</v>
      </c>
      <c r="J19" s="51">
        <v>0.43</v>
      </c>
      <c r="K19" s="51">
        <v>328.23</v>
      </c>
      <c r="L19" s="51">
        <v>33.270000000000003</v>
      </c>
      <c r="M19" s="51">
        <v>46.68</v>
      </c>
      <c r="N19" s="51">
        <v>839.30</v>
      </c>
      <c r="O19" s="51">
        <v>0</v>
      </c>
      <c r="P19" s="51">
        <v>0.55000000000000004</v>
      </c>
      <c r="Q19" s="51">
        <v>33.090000000000003</v>
      </c>
      <c r="R19" s="43"/>
      <c r="S19" s="43"/>
      <c r="T19" s="43"/>
      <c r="U19" s="43"/>
    </row>
    <row r="20" spans="1:21" s="11" customFormat="1" ht="15">
      <c r="A20" s="50" t="s">
        <v>145</v>
      </c>
      <c r="B20" s="51">
        <v>3.19</v>
      </c>
      <c r="C20" s="51">
        <v>38.43</v>
      </c>
      <c r="D20" s="51">
        <v>24.5</v>
      </c>
      <c r="E20" s="51">
        <v>2.36</v>
      </c>
      <c r="F20" s="51">
        <v>8.7799999999999994</v>
      </c>
      <c r="G20" s="51">
        <v>56.10</v>
      </c>
      <c r="H20" s="51">
        <v>26.16</v>
      </c>
      <c r="I20" s="51">
        <v>0.49</v>
      </c>
      <c r="J20" s="51">
        <v>0.43</v>
      </c>
      <c r="K20" s="51">
        <v>319.10000000000002</v>
      </c>
      <c r="L20" s="51">
        <v>34.159999999999997</v>
      </c>
      <c r="M20" s="51">
        <v>42.02</v>
      </c>
      <c r="N20" s="51">
        <v>875.20</v>
      </c>
      <c r="O20" s="51">
        <v>0</v>
      </c>
      <c r="P20" s="51">
        <v>0.54</v>
      </c>
      <c r="Q20" s="51">
        <v>35.07</v>
      </c>
      <c r="R20" s="43"/>
      <c r="S20" s="43"/>
      <c r="T20" s="43"/>
      <c r="U20" s="43"/>
    </row>
    <row r="21" spans="1:21" s="11" customFormat="1" ht="15">
      <c r="A21" s="50" t="s">
        <v>146</v>
      </c>
      <c r="B21" s="51">
        <v>3.82</v>
      </c>
      <c r="C21" s="51">
        <v>60.86</v>
      </c>
      <c r="D21" s="51">
        <v>36.89</v>
      </c>
      <c r="E21" s="51">
        <v>2.2599999999999998</v>
      </c>
      <c r="F21" s="51">
        <v>9.99</v>
      </c>
      <c r="G21" s="51">
        <v>41.41</v>
      </c>
      <c r="H21" s="51">
        <v>23.18</v>
      </c>
      <c r="I21" s="51">
        <v>0.49</v>
      </c>
      <c r="J21" s="51">
        <v>0.47</v>
      </c>
      <c r="K21" s="51">
        <v>29.69</v>
      </c>
      <c r="L21" s="51">
        <v>35.770000000000003</v>
      </c>
      <c r="M21" s="51">
        <v>36.89</v>
      </c>
      <c r="N21" s="51">
        <v>900.10</v>
      </c>
      <c r="O21" s="51">
        <v>0</v>
      </c>
      <c r="P21" s="51">
        <v>0.54</v>
      </c>
      <c r="Q21" s="51">
        <v>33.43</v>
      </c>
      <c r="R21" s="43"/>
      <c r="S21" s="43"/>
      <c r="T21" s="43"/>
      <c r="U21" s="43"/>
    </row>
    <row r="22" spans="1:21" s="11" customFormat="1" ht="15">
      <c r="A22" s="50" t="s">
        <v>147</v>
      </c>
      <c r="B22" s="51">
        <v>3.46</v>
      </c>
      <c r="C22" s="51">
        <v>29.94</v>
      </c>
      <c r="D22" s="51">
        <v>19.80</v>
      </c>
      <c r="E22" s="51">
        <v>2.40</v>
      </c>
      <c r="F22" s="51">
        <v>10.40</v>
      </c>
      <c r="G22" s="51">
        <v>40.60</v>
      </c>
      <c r="H22" s="51">
        <v>21.05</v>
      </c>
      <c r="I22" s="51">
        <v>0.48</v>
      </c>
      <c r="J22" s="51">
        <v>0.39</v>
      </c>
      <c r="K22" s="51">
        <v>32.97</v>
      </c>
      <c r="L22" s="51">
        <v>36.090000000000003</v>
      </c>
      <c r="M22" s="51">
        <v>30.18</v>
      </c>
      <c r="N22" s="51">
        <v>855.40</v>
      </c>
      <c r="O22" s="51">
        <v>0</v>
      </c>
      <c r="P22" s="51">
        <v>0.5</v>
      </c>
      <c r="Q22" s="51">
        <v>22.74</v>
      </c>
      <c r="R22" s="43"/>
      <c r="S22" s="43"/>
      <c r="T22" s="43"/>
      <c r="U22" s="43"/>
    </row>
    <row r="23" spans="1:21" s="11" customFormat="1" ht="15">
      <c r="A23" s="50" t="s">
        <v>148</v>
      </c>
      <c r="B23" s="51">
        <v>3.07</v>
      </c>
      <c r="C23" s="51">
        <v>39.68</v>
      </c>
      <c r="D23" s="51">
        <v>25.05</v>
      </c>
      <c r="E23" s="51">
        <v>1.95</v>
      </c>
      <c r="F23" s="51">
        <v>9.86</v>
      </c>
      <c r="G23" s="51">
        <v>41.60</v>
      </c>
      <c r="H23" s="51">
        <v>20.91</v>
      </c>
      <c r="I23" s="51">
        <v>0.48</v>
      </c>
      <c r="J23" s="51">
        <v>1.34</v>
      </c>
      <c r="K23" s="51">
        <v>31.65</v>
      </c>
      <c r="L23" s="51">
        <v>34.39</v>
      </c>
      <c r="M23" s="51">
        <v>28.43</v>
      </c>
      <c r="N23" s="51">
        <v>441.90</v>
      </c>
      <c r="O23" s="51">
        <v>0</v>
      </c>
      <c r="P23" s="51">
        <v>0.52</v>
      </c>
      <c r="Q23" s="51">
        <v>29.24</v>
      </c>
      <c r="R23" s="43"/>
      <c r="S23" s="43"/>
      <c r="T23" s="43"/>
      <c r="U23" s="43"/>
    </row>
    <row r="24" spans="1:21" s="11" customFormat="1" ht="15">
      <c r="A24" s="50" t="s">
        <v>149</v>
      </c>
      <c r="B24" s="51">
        <v>3.5</v>
      </c>
      <c r="C24" s="51">
        <v>62.14</v>
      </c>
      <c r="D24" s="51">
        <v>37.840000000000003</v>
      </c>
      <c r="E24" s="51">
        <v>2.2200000000000002</v>
      </c>
      <c r="F24" s="51">
        <v>13.51</v>
      </c>
      <c r="G24" s="51">
        <v>41.60</v>
      </c>
      <c r="H24" s="51">
        <v>20.09</v>
      </c>
      <c r="I24" s="51">
        <v>0.48</v>
      </c>
      <c r="J24" s="51">
        <v>0.26</v>
      </c>
      <c r="K24" s="51">
        <v>46.72</v>
      </c>
      <c r="L24" s="51">
        <v>32.880000000000003</v>
      </c>
      <c r="M24" s="51">
        <v>30.71</v>
      </c>
      <c r="N24" s="51">
        <v>278.5</v>
      </c>
      <c r="O24" s="51">
        <v>0</v>
      </c>
      <c r="P24" s="51">
        <v>0.60</v>
      </c>
      <c r="Q24" s="51">
        <v>29.46</v>
      </c>
      <c r="R24" s="43"/>
      <c r="S24" s="43"/>
      <c r="T24" s="43"/>
      <c r="U24" s="43"/>
    </row>
    <row r="25" spans="1:21" s="11" customFormat="1" ht="15">
      <c r="A25" s="50" t="s">
        <v>150</v>
      </c>
      <c r="B25" s="51">
        <v>5.60</v>
      </c>
      <c r="C25" s="51">
        <v>54.59</v>
      </c>
      <c r="D25" s="51">
        <v>35.340000000000003</v>
      </c>
      <c r="E25" s="51">
        <v>10.45</v>
      </c>
      <c r="F25" s="51">
        <v>32.200000000000003</v>
      </c>
      <c r="G25" s="51">
        <v>39.60</v>
      </c>
      <c r="H25" s="51">
        <v>19.760000000000002</v>
      </c>
      <c r="I25" s="51">
        <v>0.49</v>
      </c>
      <c r="J25" s="51">
        <v>0.61</v>
      </c>
      <c r="K25" s="51">
        <v>288.70</v>
      </c>
      <c r="L25" s="51">
        <v>31.66</v>
      </c>
      <c r="M25" s="51">
        <v>32.549999999999997</v>
      </c>
      <c r="N25" s="51">
        <v>151.60</v>
      </c>
      <c r="O25" s="51">
        <v>0</v>
      </c>
      <c r="P25" s="51">
        <v>0.65</v>
      </c>
      <c r="Q25" s="51">
        <v>32.270000000000003</v>
      </c>
      <c r="R25" s="43"/>
      <c r="S25" s="43"/>
      <c r="T25" s="43"/>
      <c r="U25" s="43"/>
    </row>
    <row r="26" spans="1:21" s="11" customFormat="1" ht="15">
      <c r="A26" s="50" t="s">
        <v>151</v>
      </c>
      <c r="B26" s="51">
        <v>6.64</v>
      </c>
      <c r="C26" s="51">
        <v>72.77</v>
      </c>
      <c r="D26" s="51">
        <v>44.97</v>
      </c>
      <c r="E26" s="51">
        <v>6.24</v>
      </c>
      <c r="F26" s="51">
        <v>11.70</v>
      </c>
      <c r="G26" s="51">
        <v>45.10</v>
      </c>
      <c r="H26" s="51">
        <v>20.36</v>
      </c>
      <c r="I26" s="51">
        <v>0.54</v>
      </c>
      <c r="J26" s="51">
        <v>0.97</v>
      </c>
      <c r="K26" s="51">
        <v>327.97</v>
      </c>
      <c r="L26" s="51">
        <v>32.01</v>
      </c>
      <c r="M26" s="51">
        <v>33.99</v>
      </c>
      <c r="N26" s="51">
        <v>77.400000000000006</v>
      </c>
      <c r="O26" s="51">
        <v>0</v>
      </c>
      <c r="P26" s="51">
        <v>0.68</v>
      </c>
      <c r="Q26" s="51">
        <v>32.90</v>
      </c>
      <c r="R26" s="43"/>
      <c r="S26" s="43"/>
      <c r="T26" s="43"/>
      <c r="U26" s="43"/>
    </row>
    <row r="27" spans="1:21" s="11" customFormat="1" ht="15">
      <c r="A27" s="50" t="s">
        <v>152</v>
      </c>
      <c r="B27" s="51">
        <v>4.5</v>
      </c>
      <c r="C27" s="51">
        <v>57.22</v>
      </c>
      <c r="D27" s="51">
        <v>35.93</v>
      </c>
      <c r="E27" s="51">
        <v>2.4700000000000002</v>
      </c>
      <c r="F27" s="51">
        <v>7.88</v>
      </c>
      <c r="G27" s="51">
        <v>65.75</v>
      </c>
      <c r="H27" s="51">
        <v>21.06</v>
      </c>
      <c r="I27" s="51">
        <v>0.54</v>
      </c>
      <c r="J27" s="51">
        <v>0.88</v>
      </c>
      <c r="K27" s="51">
        <v>219.69</v>
      </c>
      <c r="L27" s="51">
        <v>27.83</v>
      </c>
      <c r="M27" s="51">
        <v>42.84</v>
      </c>
      <c r="N27" s="51">
        <v>11.5</v>
      </c>
      <c r="O27" s="51">
        <v>0</v>
      </c>
      <c r="P27" s="51">
        <v>0.57999999999999996</v>
      </c>
      <c r="Q27" s="51">
        <v>35.799999999999997</v>
      </c>
      <c r="R27" s="43"/>
      <c r="S27" s="43"/>
      <c r="T27" s="43"/>
      <c r="U27" s="43"/>
    </row>
    <row r="28" spans="1:21" s="11" customFormat="1" ht="15">
      <c r="A28" s="50" t="s">
        <v>153</v>
      </c>
      <c r="B28" s="51">
        <v>4.30</v>
      </c>
      <c r="C28" s="51">
        <v>54.64</v>
      </c>
      <c r="D28" s="51">
        <v>34.159999999999997</v>
      </c>
      <c r="E28" s="51">
        <v>2.2599999999999998</v>
      </c>
      <c r="F28" s="51">
        <v>14.09</v>
      </c>
      <c r="G28" s="51">
        <v>65.75</v>
      </c>
      <c r="H28" s="51">
        <v>21.06</v>
      </c>
      <c r="I28" s="51">
        <v>0.55000000000000004</v>
      </c>
      <c r="J28" s="51">
        <v>0.96</v>
      </c>
      <c r="K28" s="51">
        <v>212.77</v>
      </c>
      <c r="L28" s="51">
        <v>26.32</v>
      </c>
      <c r="M28" s="51">
        <v>47.60</v>
      </c>
      <c r="N28" s="51">
        <v>4.5</v>
      </c>
      <c r="O28" s="51">
        <v>0</v>
      </c>
      <c r="P28" s="51">
        <v>0.57999999999999996</v>
      </c>
      <c r="Q28" s="51">
        <v>35.81</v>
      </c>
      <c r="R28" s="43"/>
      <c r="S28" s="43"/>
      <c r="T28" s="43"/>
      <c r="U28" s="43"/>
    </row>
    <row r="29" spans="1:21" s="11" customFormat="1" ht="15">
      <c r="A29" s="50" t="s">
        <v>154</v>
      </c>
      <c r="B29" s="51">
        <v>6.86</v>
      </c>
      <c r="C29" s="51">
        <v>58.75</v>
      </c>
      <c r="D29" s="51">
        <v>38.659999999999997</v>
      </c>
      <c r="E29" s="51">
        <v>2.56</v>
      </c>
      <c r="F29" s="51">
        <v>17.02</v>
      </c>
      <c r="G29" s="51">
        <v>53.62</v>
      </c>
      <c r="H29" s="51">
        <v>18.78</v>
      </c>
      <c r="I29" s="51">
        <v>0.54</v>
      </c>
      <c r="J29" s="51">
        <v>0.38</v>
      </c>
      <c r="K29" s="51">
        <v>265.72000000000003</v>
      </c>
      <c r="L29" s="51">
        <v>25.46</v>
      </c>
      <c r="M29" s="51">
        <v>51.96</v>
      </c>
      <c r="N29" s="51">
        <v>4.80</v>
      </c>
      <c r="O29" s="51">
        <v>0</v>
      </c>
      <c r="P29" s="51">
        <v>0.65</v>
      </c>
      <c r="Q29" s="51">
        <v>29.73</v>
      </c>
      <c r="R29" s="43"/>
      <c r="S29" s="43"/>
      <c r="T29" s="43"/>
      <c r="U29" s="43"/>
    </row>
    <row r="30" spans="1:21" s="11" customFormat="1" ht="15">
      <c r="A30" s="50" t="s">
        <v>155</v>
      </c>
      <c r="B30" s="51">
        <v>24.70</v>
      </c>
      <c r="C30" s="51">
        <v>62.88</v>
      </c>
      <c r="D30" s="51">
        <v>53.99</v>
      </c>
      <c r="E30" s="51">
        <v>2.79</v>
      </c>
      <c r="F30" s="51">
        <v>10.90</v>
      </c>
      <c r="G30" s="51">
        <v>78.47</v>
      </c>
      <c r="H30" s="51">
        <v>22.45</v>
      </c>
      <c r="I30" s="51">
        <v>0.62</v>
      </c>
      <c r="J30" s="51">
        <v>0.22</v>
      </c>
      <c r="K30" s="51">
        <v>323.13</v>
      </c>
      <c r="L30" s="51">
        <v>24.69</v>
      </c>
      <c r="M30" s="51">
        <v>55.36</v>
      </c>
      <c r="N30" s="51">
        <v>4.9000000000000004</v>
      </c>
      <c r="O30" s="51">
        <v>0</v>
      </c>
      <c r="P30" s="51">
        <v>0.97</v>
      </c>
      <c r="Q30" s="51">
        <v>37.92</v>
      </c>
      <c r="R30" s="43"/>
      <c r="S30" s="43"/>
      <c r="T30" s="43"/>
      <c r="U30" s="43"/>
    </row>
    <row r="31" spans="1:21" s="11" customFormat="1" ht="15">
      <c r="A31" s="50" t="s">
        <v>156</v>
      </c>
      <c r="B31" s="51">
        <v>27.77</v>
      </c>
      <c r="C31" s="51">
        <v>67.41</v>
      </c>
      <c r="D31" s="51">
        <v>60.21</v>
      </c>
      <c r="E31" s="51">
        <v>1.83</v>
      </c>
      <c r="F31" s="51">
        <v>4.21</v>
      </c>
      <c r="G31" s="51">
        <v>78.47</v>
      </c>
      <c r="H31" s="51">
        <v>24.37</v>
      </c>
      <c r="I31" s="51">
        <v>0.66</v>
      </c>
      <c r="J31" s="51">
        <v>0.47</v>
      </c>
      <c r="K31" s="51">
        <v>357.67</v>
      </c>
      <c r="L31" s="51">
        <v>24.59</v>
      </c>
      <c r="M31" s="51">
        <v>54.90</v>
      </c>
      <c r="N31" s="51">
        <v>4.80</v>
      </c>
      <c r="O31" s="51">
        <v>0</v>
      </c>
      <c r="P31" s="51">
        <v>1.05</v>
      </c>
      <c r="Q31" s="51">
        <v>39.79</v>
      </c>
      <c r="R31" s="43"/>
      <c r="S31" s="43"/>
      <c r="T31" s="43"/>
      <c r="U31" s="43"/>
    </row>
    <row r="32" spans="1:21" s="11" customFormat="1" ht="15">
      <c r="A32" s="50" t="s">
        <v>157</v>
      </c>
      <c r="B32" s="51">
        <v>18.649999999999999</v>
      </c>
      <c r="C32" s="51">
        <v>61.29</v>
      </c>
      <c r="D32" s="51">
        <v>49.52</v>
      </c>
      <c r="E32" s="51">
        <v>1.79</v>
      </c>
      <c r="F32" s="51">
        <v>11.61</v>
      </c>
      <c r="G32" s="51">
        <v>88.55</v>
      </c>
      <c r="H32" s="51">
        <v>27.77</v>
      </c>
      <c r="I32" s="51">
        <v>0.60</v>
      </c>
      <c r="J32" s="51">
        <v>0.20</v>
      </c>
      <c r="K32" s="51">
        <v>356.68</v>
      </c>
      <c r="L32" s="51">
        <v>23.72</v>
      </c>
      <c r="M32" s="51">
        <v>63.81</v>
      </c>
      <c r="N32" s="51">
        <v>5.0999999999999996</v>
      </c>
      <c r="O32" s="51">
        <v>0</v>
      </c>
      <c r="P32" s="51">
        <v>0.96</v>
      </c>
      <c r="Q32" s="51">
        <v>39.29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3.0699999999999998</v>
      </c>
      <c r="C34" s="28">
        <f t="shared" si="0"/>
        <v>29.940000000000001</v>
      </c>
      <c r="D34" s="28">
        <f t="shared" si="0"/>
        <v>19.800000000000001</v>
      </c>
      <c r="E34" s="28">
        <f t="shared" si="0"/>
        <v>0.77000000000000002</v>
      </c>
      <c r="F34" s="28">
        <f t="shared" si="0"/>
        <v>3.73</v>
      </c>
      <c r="G34" s="28">
        <f t="shared" si="0"/>
        <v>39.600000000000001</v>
      </c>
      <c r="H34" s="28">
        <f t="shared" si="0"/>
        <v>18.780000000000001</v>
      </c>
      <c r="I34" s="28">
        <f t="shared" si="0"/>
        <v>0.47999999999999998</v>
      </c>
      <c r="J34" s="28">
        <f t="shared" si="0"/>
        <v>0.089999999999999997</v>
      </c>
      <c r="K34" s="28">
        <f t="shared" si="0"/>
        <v>29.690000000000001</v>
      </c>
      <c r="L34" s="28">
        <f t="shared" si="0"/>
        <v>21.870000000000001</v>
      </c>
      <c r="M34" s="28">
        <f t="shared" si="0"/>
        <v>28.43</v>
      </c>
      <c r="N34" s="28">
        <f t="shared" si="0"/>
        <v>4.5</v>
      </c>
      <c r="O34" s="28">
        <f t="shared" si="0"/>
        <v>0</v>
      </c>
      <c r="P34" s="28">
        <f t="shared" si="0"/>
        <v>0.5</v>
      </c>
      <c r="Q34" s="28">
        <f t="shared" si="0"/>
        <v>22.739999999999998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27.77</v>
      </c>
      <c r="C35" s="29">
        <f t="shared" si="1"/>
        <v>72.769999999999996</v>
      </c>
      <c r="D35" s="29">
        <f t="shared" si="1"/>
        <v>60.210000000000001</v>
      </c>
      <c r="E35" s="29">
        <f t="shared" si="1"/>
        <v>10.449999999999999</v>
      </c>
      <c r="F35" s="29">
        <f t="shared" si="1"/>
        <v>32.200000000000003</v>
      </c>
      <c r="G35" s="29">
        <f t="shared" si="1"/>
        <v>88.549999999999997</v>
      </c>
      <c r="H35" s="29">
        <f t="shared" si="1"/>
        <v>27.77</v>
      </c>
      <c r="I35" s="29">
        <f t="shared" si="1"/>
        <v>0.68999999999999995</v>
      </c>
      <c r="J35" s="29">
        <f t="shared" si="1"/>
        <v>1.3400000000000001</v>
      </c>
      <c r="K35" s="29">
        <f t="shared" si="1"/>
        <v>357.67000000000002</v>
      </c>
      <c r="L35" s="29">
        <f t="shared" si="1"/>
        <v>36.090000000000003</v>
      </c>
      <c r="M35" s="29">
        <f t="shared" si="1"/>
        <v>68.439999999999998</v>
      </c>
      <c r="N35" s="29">
        <f t="shared" si="1"/>
        <v>900.10000000000002</v>
      </c>
      <c r="O35" s="29">
        <f t="shared" si="1"/>
        <v>0</v>
      </c>
      <c r="P35" s="29">
        <f t="shared" si="1"/>
        <v>1.05</v>
      </c>
      <c r="Q35" s="29">
        <f t="shared" si="1"/>
        <v>43.32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8.9083333333333332</v>
      </c>
      <c r="C36" s="28">
        <f t="shared" si="2"/>
        <v>51.032916666666672</v>
      </c>
      <c r="D36" s="28">
        <f t="shared" si="2"/>
        <v>35.549999999999997</v>
      </c>
      <c r="E36" s="28">
        <f t="shared" si="2"/>
        <v>2.8720833333333338</v>
      </c>
      <c r="F36" s="28">
        <f t="shared" si="2"/>
        <v>10.344583333333334</v>
      </c>
      <c r="G36" s="28">
        <f t="shared" si="2"/>
        <v>57.016666666666659</v>
      </c>
      <c r="H36" s="28">
        <f t="shared" si="2"/>
        <v>23.355833333333333</v>
      </c>
      <c r="I36" s="28">
        <f t="shared" si="2"/>
        <v>0.55500000000000005</v>
      </c>
      <c r="J36" s="28">
        <f t="shared" si="2"/>
        <v>0.52833333333333343</v>
      </c>
      <c r="K36" s="28">
        <f t="shared" si="2"/>
        <v>251.19833333333335</v>
      </c>
      <c r="L36" s="28">
        <f t="shared" si="2"/>
        <v>27.835833333333344</v>
      </c>
      <c r="M36" s="28">
        <f t="shared" si="2"/>
        <v>50.499583333333327</v>
      </c>
      <c r="N36" s="28">
        <f t="shared" si="2"/>
        <v>261.64166666666665</v>
      </c>
      <c r="O36" s="28">
        <f t="shared" si="2"/>
        <v>0</v>
      </c>
      <c r="P36" s="28">
        <f t="shared" si="2"/>
        <v>0.67416666666666669</v>
      </c>
      <c r="Q36" s="28">
        <f t="shared" si="2"/>
        <v>36.202500000000001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6.9115999951352514</v>
      </c>
      <c r="C37" s="28">
        <f t="shared" si="3" ref="C37:Q37">STDEV(C9:C32)</f>
        <v>10.288448769358258</v>
      </c>
      <c r="D37" s="28">
        <f t="shared" si="3"/>
        <v>9.4114647938149165</v>
      </c>
      <c r="E37" s="28">
        <f t="shared" si="3"/>
        <v>1.8992950160443776</v>
      </c>
      <c r="F37" s="28">
        <f t="shared" si="3"/>
        <v>5.8811881224701557</v>
      </c>
      <c r="G37" s="28">
        <f t="shared" si="3"/>
        <v>13.998153190818558</v>
      </c>
      <c r="H37" s="28">
        <f t="shared" si="3"/>
        <v>2.5881484344682755</v>
      </c>
      <c r="I37" s="28">
        <f t="shared" si="3"/>
        <v>0.060144752924489522</v>
      </c>
      <c r="J37" s="28">
        <f t="shared" si="3"/>
        <v>0.32448844913677333</v>
      </c>
      <c r="K37" s="28">
        <f t="shared" si="3"/>
        <v>108.24060267139431</v>
      </c>
      <c r="L37" s="28">
        <f t="shared" si="3"/>
        <v>4.7989065028595643</v>
      </c>
      <c r="M37" s="28">
        <f t="shared" si="3"/>
        <v>13.351129728836908</v>
      </c>
      <c r="N37" s="28">
        <f t="shared" si="3"/>
        <v>341.74873291539114</v>
      </c>
      <c r="O37" s="28">
        <f t="shared" si="3"/>
        <v>0</v>
      </c>
      <c r="P37" s="28">
        <f t="shared" si="3"/>
        <v>0.14705564361438381</v>
      </c>
      <c r="Q37" s="28">
        <f t="shared" si="3"/>
        <v>5.3931593144746053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28bcdd-871d-4552-ae8f-5932859bfe59}">
  <sheetPr codeName=""/>
  <dimension ref="A1:U119"/>
  <sheetViews>
    <sheetView workbookViewId="0" topLeftCell="A1">
      <pane xSplit="2" ySplit="8" topLeftCell="C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158</v>
      </c>
      <c r="B9" s="51">
        <v>17.79</v>
      </c>
      <c r="C9" s="51">
        <v>54.80</v>
      </c>
      <c r="D9" s="51">
        <v>45.02</v>
      </c>
      <c r="E9" s="51">
        <v>2.46</v>
      </c>
      <c r="F9" s="51">
        <v>10.46</v>
      </c>
      <c r="G9" s="51">
        <v>88.55</v>
      </c>
      <c r="H9" s="51">
        <v>27.77</v>
      </c>
      <c r="I9" s="51">
        <v>0.57999999999999996</v>
      </c>
      <c r="J9" s="51">
        <v>0.16</v>
      </c>
      <c r="K9" s="51">
        <v>331.02</v>
      </c>
      <c r="L9" s="51">
        <v>23.30</v>
      </c>
      <c r="M9" s="51">
        <v>62.01</v>
      </c>
      <c r="N9" s="51">
        <v>4.70</v>
      </c>
      <c r="O9" s="51">
        <v>0</v>
      </c>
      <c r="P9" s="51">
        <v>0.87</v>
      </c>
      <c r="Q9" s="51">
        <v>34.72</v>
      </c>
      <c r="R9" s="43"/>
      <c r="S9" s="43"/>
      <c r="T9" s="43"/>
      <c r="U9" s="43"/>
    </row>
    <row r="10" spans="1:21" s="11" customFormat="1" ht="15">
      <c r="A10" s="50" t="s">
        <v>159</v>
      </c>
      <c r="B10" s="51">
        <v>17.12</v>
      </c>
      <c r="C10" s="51">
        <v>48.05</v>
      </c>
      <c r="D10" s="51">
        <v>38.81</v>
      </c>
      <c r="E10" s="51">
        <v>2.38</v>
      </c>
      <c r="F10" s="51">
        <v>4.1900000000000004</v>
      </c>
      <c r="G10" s="51">
        <v>67.80</v>
      </c>
      <c r="H10" s="51">
        <v>27.71</v>
      </c>
      <c r="I10" s="51">
        <v>0.63</v>
      </c>
      <c r="J10" s="51">
        <v>0.21</v>
      </c>
      <c r="K10" s="51">
        <v>334.53</v>
      </c>
      <c r="L10" s="51">
        <v>22.84</v>
      </c>
      <c r="M10" s="51">
        <v>63.5</v>
      </c>
      <c r="N10" s="51">
        <v>4.80</v>
      </c>
      <c r="O10" s="51">
        <v>0</v>
      </c>
      <c r="P10" s="51">
        <v>0.86</v>
      </c>
      <c r="Q10" s="51">
        <v>39.57</v>
      </c>
      <c r="R10" s="43"/>
      <c r="S10" s="43"/>
      <c r="T10" s="43"/>
      <c r="U10" s="43"/>
    </row>
    <row r="11" spans="1:21" s="11" customFormat="1" ht="15">
      <c r="A11" s="50" t="s">
        <v>160</v>
      </c>
      <c r="B11" s="51">
        <v>6.81</v>
      </c>
      <c r="C11" s="51">
        <v>48.36</v>
      </c>
      <c r="D11" s="51">
        <v>32.89</v>
      </c>
      <c r="E11" s="51">
        <v>2.02</v>
      </c>
      <c r="F11" s="51">
        <v>7.94</v>
      </c>
      <c r="G11" s="51">
        <v>59.08</v>
      </c>
      <c r="H11" s="51">
        <v>20.85</v>
      </c>
      <c r="I11" s="51">
        <v>0.59</v>
      </c>
      <c r="J11" s="51">
        <v>0.19</v>
      </c>
      <c r="K11" s="51">
        <v>342.41</v>
      </c>
      <c r="L11" s="51">
        <v>22.16</v>
      </c>
      <c r="M11" s="51">
        <v>64.650000000000006</v>
      </c>
      <c r="N11" s="51">
        <v>4.80</v>
      </c>
      <c r="O11" s="51">
        <v>0</v>
      </c>
      <c r="P11" s="51">
        <v>0.72</v>
      </c>
      <c r="Q11" s="51">
        <v>39.159999999999997</v>
      </c>
      <c r="R11" s="43"/>
      <c r="S11" s="43"/>
      <c r="T11" s="43"/>
      <c r="U11" s="43"/>
    </row>
    <row r="12" spans="1:21" s="11" customFormat="1" ht="15">
      <c r="A12" s="50" t="s">
        <v>161</v>
      </c>
      <c r="B12" s="51">
        <v>11.91</v>
      </c>
      <c r="C12" s="51">
        <v>51.14</v>
      </c>
      <c r="D12" s="51">
        <v>37.21</v>
      </c>
      <c r="E12" s="51">
        <v>2.48</v>
      </c>
      <c r="F12" s="51">
        <v>6.47</v>
      </c>
      <c r="G12" s="51">
        <v>45</v>
      </c>
      <c r="H12" s="51">
        <v>20.77</v>
      </c>
      <c r="I12" s="51">
        <v>0.54</v>
      </c>
      <c r="J12" s="51">
        <v>0.11</v>
      </c>
      <c r="K12" s="51">
        <v>330.71</v>
      </c>
      <c r="L12" s="51">
        <v>21.94</v>
      </c>
      <c r="M12" s="51">
        <v>69.78</v>
      </c>
      <c r="N12" s="51">
        <v>4.9000000000000004</v>
      </c>
      <c r="O12" s="51">
        <v>0</v>
      </c>
      <c r="P12" s="51">
        <v>0.88</v>
      </c>
      <c r="Q12" s="51">
        <v>33.15</v>
      </c>
      <c r="R12" s="43"/>
      <c r="S12" s="43"/>
      <c r="T12" s="43"/>
      <c r="U12" s="43"/>
    </row>
    <row r="13" spans="1:21" s="11" customFormat="1" ht="15">
      <c r="A13" s="50" t="s">
        <v>162</v>
      </c>
      <c r="B13" s="51">
        <v>13.03</v>
      </c>
      <c r="C13" s="51">
        <v>46.75</v>
      </c>
      <c r="D13" s="51">
        <v>36.99</v>
      </c>
      <c r="E13" s="51">
        <v>2.62</v>
      </c>
      <c r="F13" s="51">
        <v>4.5599999999999996</v>
      </c>
      <c r="G13" s="51">
        <v>68.77</v>
      </c>
      <c r="H13" s="51">
        <v>27.88</v>
      </c>
      <c r="I13" s="51">
        <v>0.56999999999999995</v>
      </c>
      <c r="J13" s="51">
        <v>0.070000000000000007</v>
      </c>
      <c r="K13" s="51">
        <v>276.30</v>
      </c>
      <c r="L13" s="51">
        <v>21.24</v>
      </c>
      <c r="M13" s="51">
        <v>70.70</v>
      </c>
      <c r="N13" s="51">
        <v>4.70</v>
      </c>
      <c r="O13" s="51">
        <v>0</v>
      </c>
      <c r="P13" s="51">
        <v>1.02</v>
      </c>
      <c r="Q13" s="51">
        <v>38.49</v>
      </c>
      <c r="R13" s="43"/>
      <c r="S13" s="43"/>
      <c r="T13" s="43"/>
      <c r="U13" s="43"/>
    </row>
    <row r="14" spans="1:21" s="11" customFormat="1" ht="15">
      <c r="A14" s="50" t="s">
        <v>163</v>
      </c>
      <c r="B14" s="51">
        <v>40.840000000000003</v>
      </c>
      <c r="C14" s="51">
        <v>54.74</v>
      </c>
      <c r="D14" s="51">
        <v>63.70</v>
      </c>
      <c r="E14" s="51">
        <v>2.38</v>
      </c>
      <c r="F14" s="51">
        <v>3.08</v>
      </c>
      <c r="G14" s="51">
        <v>86.05</v>
      </c>
      <c r="H14" s="51">
        <v>30.23</v>
      </c>
      <c r="I14" s="51">
        <v>0.57999999999999996</v>
      </c>
      <c r="J14" s="51">
        <v>0.19</v>
      </c>
      <c r="K14" s="51">
        <v>215.69</v>
      </c>
      <c r="L14" s="51">
        <v>20.88</v>
      </c>
      <c r="M14" s="51">
        <v>73.94</v>
      </c>
      <c r="N14" s="51">
        <v>12</v>
      </c>
      <c r="O14" s="51">
        <v>0</v>
      </c>
      <c r="P14" s="51">
        <v>1.25</v>
      </c>
      <c r="Q14" s="51">
        <v>41.09</v>
      </c>
      <c r="R14" s="43"/>
      <c r="S14" s="43"/>
      <c r="T14" s="43"/>
      <c r="U14" s="43"/>
    </row>
    <row r="15" spans="1:21" s="11" customFormat="1" ht="15">
      <c r="A15" s="50" t="s">
        <v>164</v>
      </c>
      <c r="B15" s="51">
        <v>53.47</v>
      </c>
      <c r="C15" s="51">
        <v>55.37</v>
      </c>
      <c r="D15" s="51">
        <v>73.67</v>
      </c>
      <c r="E15" s="51">
        <v>2.66</v>
      </c>
      <c r="F15" s="51">
        <v>3.43</v>
      </c>
      <c r="G15" s="51">
        <v>87.67</v>
      </c>
      <c r="H15" s="51">
        <v>31.82</v>
      </c>
      <c r="I15" s="51">
        <v>0.64</v>
      </c>
      <c r="J15" s="51">
        <v>0.53</v>
      </c>
      <c r="K15" s="51">
        <v>252.78</v>
      </c>
      <c r="L15" s="51">
        <v>23.66</v>
      </c>
      <c r="M15" s="51">
        <v>69.23</v>
      </c>
      <c r="N15" s="51">
        <v>94.30</v>
      </c>
      <c r="O15" s="51">
        <v>0</v>
      </c>
      <c r="P15" s="51">
        <v>1.34</v>
      </c>
      <c r="Q15" s="51">
        <v>41.48</v>
      </c>
      <c r="R15" s="43"/>
      <c r="S15" s="43"/>
      <c r="T15" s="43"/>
      <c r="U15" s="43"/>
    </row>
    <row r="16" spans="1:21" s="11" customFormat="1" ht="15">
      <c r="A16" s="50" t="s">
        <v>165</v>
      </c>
      <c r="B16" s="51">
        <v>51.64</v>
      </c>
      <c r="C16" s="51">
        <v>58.84</v>
      </c>
      <c r="D16" s="51">
        <v>72.28</v>
      </c>
      <c r="E16" s="51">
        <v>6.49</v>
      </c>
      <c r="F16" s="51">
        <v>10.56</v>
      </c>
      <c r="G16" s="51">
        <v>96.90</v>
      </c>
      <c r="H16" s="51">
        <v>31.82</v>
      </c>
      <c r="I16" s="51">
        <v>0.59</v>
      </c>
      <c r="J16" s="51">
        <v>0.30</v>
      </c>
      <c r="K16" s="51">
        <v>346.28</v>
      </c>
      <c r="L16" s="51">
        <v>28.52</v>
      </c>
      <c r="M16" s="51">
        <v>55.85</v>
      </c>
      <c r="N16" s="51">
        <v>334.40</v>
      </c>
      <c r="O16" s="51">
        <v>0</v>
      </c>
      <c r="P16" s="51">
        <v>1.28</v>
      </c>
      <c r="Q16" s="51">
        <v>36.85</v>
      </c>
      <c r="R16" s="43"/>
      <c r="S16" s="43"/>
      <c r="T16" s="43"/>
      <c r="U16" s="43"/>
    </row>
    <row r="17" spans="1:21" s="11" customFormat="1" ht="15">
      <c r="A17" s="50" t="s">
        <v>166</v>
      </c>
      <c r="B17" s="51">
        <v>45.74</v>
      </c>
      <c r="C17" s="51">
        <v>60.55</v>
      </c>
      <c r="D17" s="51">
        <v>65.33</v>
      </c>
      <c r="E17" s="51">
        <v>4.62</v>
      </c>
      <c r="F17" s="51">
        <v>5.88</v>
      </c>
      <c r="G17" s="51">
        <v>102.21</v>
      </c>
      <c r="H17" s="51">
        <v>32.159999999999997</v>
      </c>
      <c r="I17" s="51">
        <v>0.68</v>
      </c>
      <c r="J17" s="51">
        <v>0.25</v>
      </c>
      <c r="K17" s="51">
        <v>274.62</v>
      </c>
      <c r="L17" s="51">
        <v>32.78</v>
      </c>
      <c r="M17" s="51">
        <v>43.51</v>
      </c>
      <c r="N17" s="51">
        <v>549.60</v>
      </c>
      <c r="O17" s="51">
        <v>0</v>
      </c>
      <c r="P17" s="51">
        <v>1.26</v>
      </c>
      <c r="Q17" s="51">
        <v>41.61</v>
      </c>
      <c r="R17" s="43"/>
      <c r="S17" s="43"/>
      <c r="T17" s="43"/>
      <c r="U17" s="43"/>
    </row>
    <row r="18" spans="1:21" s="11" customFormat="1" ht="15">
      <c r="A18" s="50" t="s">
        <v>167</v>
      </c>
      <c r="B18" s="51">
        <v>30.82</v>
      </c>
      <c r="C18" s="51">
        <v>69.17</v>
      </c>
      <c r="D18" s="51">
        <v>61.10</v>
      </c>
      <c r="E18" s="51">
        <v>5.82</v>
      </c>
      <c r="F18" s="51">
        <v>10.92</v>
      </c>
      <c r="G18" s="51">
        <v>102.21</v>
      </c>
      <c r="H18" s="51">
        <v>34.43</v>
      </c>
      <c r="I18" s="51">
        <v>0.63</v>
      </c>
      <c r="J18" s="51">
        <v>0.38</v>
      </c>
      <c r="K18" s="51">
        <v>343.29</v>
      </c>
      <c r="L18" s="51">
        <v>35.11</v>
      </c>
      <c r="M18" s="51">
        <v>34.869999999999997</v>
      </c>
      <c r="N18" s="51">
        <v>710.80</v>
      </c>
      <c r="O18" s="51">
        <v>0</v>
      </c>
      <c r="P18" s="51">
        <v>1.20</v>
      </c>
      <c r="Q18" s="51">
        <v>41.09</v>
      </c>
      <c r="R18" s="43"/>
      <c r="S18" s="43"/>
      <c r="T18" s="43"/>
      <c r="U18" s="43"/>
    </row>
    <row r="19" spans="1:21" s="11" customFormat="1" ht="15">
      <c r="A19" s="50" t="s">
        <v>168</v>
      </c>
      <c r="B19" s="51">
        <v>14.04</v>
      </c>
      <c r="C19" s="51">
        <v>67.27</v>
      </c>
      <c r="D19" s="51">
        <v>45.17</v>
      </c>
      <c r="E19" s="51">
        <v>6.56</v>
      </c>
      <c r="F19" s="51">
        <v>23.61</v>
      </c>
      <c r="G19" s="51">
        <v>93.25</v>
      </c>
      <c r="H19" s="51">
        <v>34.43</v>
      </c>
      <c r="I19" s="51">
        <v>0.59</v>
      </c>
      <c r="J19" s="51">
        <v>0.61</v>
      </c>
      <c r="K19" s="51">
        <v>92.55</v>
      </c>
      <c r="L19" s="51">
        <v>36.450000000000003</v>
      </c>
      <c r="M19" s="51">
        <v>28.15</v>
      </c>
      <c r="N19" s="51">
        <v>813.70</v>
      </c>
      <c r="O19" s="51">
        <v>0</v>
      </c>
      <c r="P19" s="51">
        <v>1.19</v>
      </c>
      <c r="Q19" s="51">
        <v>35.72</v>
      </c>
      <c r="R19" s="43"/>
      <c r="S19" s="43"/>
      <c r="T19" s="43"/>
      <c r="U19" s="43"/>
    </row>
    <row r="20" spans="1:21" s="11" customFormat="1" ht="15">
      <c r="A20" s="50" t="s">
        <v>169</v>
      </c>
      <c r="B20" s="51">
        <v>5.75</v>
      </c>
      <c r="C20" s="51">
        <v>56.49</v>
      </c>
      <c r="D20" s="51">
        <v>35.39</v>
      </c>
      <c r="E20" s="51">
        <v>10.52</v>
      </c>
      <c r="F20" s="51">
        <v>34.89</v>
      </c>
      <c r="G20" s="51">
        <v>72.67</v>
      </c>
      <c r="H20" s="51">
        <v>27.75</v>
      </c>
      <c r="I20" s="51">
        <v>0.55000000000000004</v>
      </c>
      <c r="J20" s="51">
        <v>0.69</v>
      </c>
      <c r="K20" s="51">
        <v>194.60</v>
      </c>
      <c r="L20" s="51">
        <v>36.25</v>
      </c>
      <c r="M20" s="51">
        <v>25.76</v>
      </c>
      <c r="N20" s="51">
        <v>860.70</v>
      </c>
      <c r="O20" s="51">
        <v>0</v>
      </c>
      <c r="P20" s="51">
        <v>1.0900000000000001</v>
      </c>
      <c r="Q20" s="51">
        <v>34.82</v>
      </c>
      <c r="R20" s="43"/>
      <c r="S20" s="43"/>
      <c r="T20" s="43"/>
      <c r="U20" s="43"/>
    </row>
    <row r="21" spans="1:21" s="11" customFormat="1" ht="15">
      <c r="A21" s="50" t="s">
        <v>170</v>
      </c>
      <c r="B21" s="51">
        <v>3.60</v>
      </c>
      <c r="C21" s="51">
        <v>59.40</v>
      </c>
      <c r="D21" s="51">
        <v>36.33</v>
      </c>
      <c r="E21" s="51">
        <v>4.09</v>
      </c>
      <c r="F21" s="51">
        <v>16.77</v>
      </c>
      <c r="G21" s="51">
        <v>72.180000000000007</v>
      </c>
      <c r="H21" s="51">
        <v>27.41</v>
      </c>
      <c r="I21" s="51">
        <v>0.61</v>
      </c>
      <c r="J21" s="51">
        <v>0.96</v>
      </c>
      <c r="K21" s="51">
        <v>121.45</v>
      </c>
      <c r="L21" s="51">
        <v>34.93</v>
      </c>
      <c r="M21" s="51">
        <v>25.14</v>
      </c>
      <c r="N21" s="51">
        <v>846</v>
      </c>
      <c r="O21" s="51">
        <v>0</v>
      </c>
      <c r="P21" s="51">
        <v>0.96</v>
      </c>
      <c r="Q21" s="51">
        <v>37.40</v>
      </c>
      <c r="R21" s="43"/>
      <c r="S21" s="43"/>
      <c r="T21" s="43"/>
      <c r="U21" s="43"/>
    </row>
    <row r="22" spans="1:21" s="11" customFormat="1" ht="15">
      <c r="A22" s="50" t="s">
        <v>171</v>
      </c>
      <c r="B22" s="51">
        <v>3.64</v>
      </c>
      <c r="C22" s="51">
        <v>63.13</v>
      </c>
      <c r="D22" s="51">
        <v>38.42</v>
      </c>
      <c r="E22" s="51">
        <v>8.92</v>
      </c>
      <c r="F22" s="51">
        <v>36.630000000000003</v>
      </c>
      <c r="G22" s="51">
        <v>68.150000000000006</v>
      </c>
      <c r="H22" s="51">
        <v>27.41</v>
      </c>
      <c r="I22" s="51">
        <v>0.56999999999999995</v>
      </c>
      <c r="J22" s="51">
        <v>0.92</v>
      </c>
      <c r="K22" s="51">
        <v>230.68</v>
      </c>
      <c r="L22" s="51">
        <v>35.78</v>
      </c>
      <c r="M22" s="51">
        <v>29.55</v>
      </c>
      <c r="N22" s="51">
        <v>702.10</v>
      </c>
      <c r="O22" s="51">
        <v>0</v>
      </c>
      <c r="P22" s="51">
        <v>0.84</v>
      </c>
      <c r="Q22" s="51">
        <v>37</v>
      </c>
      <c r="R22" s="43"/>
      <c r="S22" s="43"/>
      <c r="T22" s="43"/>
      <c r="U22" s="43"/>
    </row>
    <row r="23" spans="1:21" s="11" customFormat="1" ht="15">
      <c r="A23" s="50" t="s">
        <v>172</v>
      </c>
      <c r="B23" s="51">
        <v>5.95</v>
      </c>
      <c r="C23" s="51">
        <v>54.67</v>
      </c>
      <c r="D23" s="51">
        <v>35.68</v>
      </c>
      <c r="E23" s="51">
        <v>9.1999999999999993</v>
      </c>
      <c r="F23" s="51">
        <v>37.119999999999997</v>
      </c>
      <c r="G23" s="51">
        <v>53.22</v>
      </c>
      <c r="H23" s="51">
        <v>26.90</v>
      </c>
      <c r="I23" s="51">
        <v>0.56999999999999995</v>
      </c>
      <c r="J23" s="51">
        <v>1.80</v>
      </c>
      <c r="K23" s="51">
        <v>306.23</v>
      </c>
      <c r="L23" s="51">
        <v>32.19</v>
      </c>
      <c r="M23" s="51">
        <v>33.869999999999997</v>
      </c>
      <c r="N23" s="51">
        <v>339.70</v>
      </c>
      <c r="O23" s="51">
        <v>0</v>
      </c>
      <c r="P23" s="51">
        <v>0.90</v>
      </c>
      <c r="Q23" s="51">
        <v>31.10</v>
      </c>
      <c r="R23" s="43"/>
      <c r="S23" s="43"/>
      <c r="T23" s="43"/>
      <c r="U23" s="43"/>
    </row>
    <row r="24" spans="1:21" s="11" customFormat="1" ht="15">
      <c r="A24" s="50" t="s">
        <v>173</v>
      </c>
      <c r="B24" s="51">
        <v>7.27</v>
      </c>
      <c r="C24" s="51">
        <v>63.40</v>
      </c>
      <c r="D24" s="51">
        <v>40.64</v>
      </c>
      <c r="E24" s="51">
        <v>7.51</v>
      </c>
      <c r="F24" s="51">
        <v>19.04</v>
      </c>
      <c r="G24" s="51">
        <v>141.69</v>
      </c>
      <c r="H24" s="51">
        <v>26.34</v>
      </c>
      <c r="I24" s="51">
        <v>0.57999999999999996</v>
      </c>
      <c r="J24" s="51">
        <v>0.96</v>
      </c>
      <c r="K24" s="51">
        <v>34.450000000000003</v>
      </c>
      <c r="L24" s="51">
        <v>34.340000000000003</v>
      </c>
      <c r="M24" s="51">
        <v>28.85</v>
      </c>
      <c r="N24" s="51">
        <v>375.60</v>
      </c>
      <c r="O24" s="51">
        <v>0</v>
      </c>
      <c r="P24" s="51">
        <v>0.81</v>
      </c>
      <c r="Q24" s="51">
        <v>34.880000000000003</v>
      </c>
      <c r="R24" s="43"/>
      <c r="S24" s="43"/>
      <c r="T24" s="43"/>
      <c r="U24" s="43"/>
    </row>
    <row r="25" spans="1:21" s="11" customFormat="1" ht="15">
      <c r="A25" s="50" t="s">
        <v>174</v>
      </c>
      <c r="B25" s="51">
        <v>7.90</v>
      </c>
      <c r="C25" s="51">
        <v>70.010000000000005</v>
      </c>
      <c r="D25" s="51">
        <v>45.71</v>
      </c>
      <c r="E25" s="51">
        <v>8.5399999999999991</v>
      </c>
      <c r="F25" s="51">
        <v>33.24</v>
      </c>
      <c r="G25" s="51">
        <v>141.69</v>
      </c>
      <c r="H25" s="51">
        <v>26.34</v>
      </c>
      <c r="I25" s="51">
        <v>0.57999999999999996</v>
      </c>
      <c r="J25" s="51">
        <v>0.67</v>
      </c>
      <c r="K25" s="51">
        <v>43.88</v>
      </c>
      <c r="L25" s="51">
        <v>33.83</v>
      </c>
      <c r="M25" s="51">
        <v>22.26</v>
      </c>
      <c r="N25" s="51">
        <v>192.40</v>
      </c>
      <c r="O25" s="51">
        <v>0</v>
      </c>
      <c r="P25" s="51">
        <v>0.83</v>
      </c>
      <c r="Q25" s="51">
        <v>35.40</v>
      </c>
      <c r="R25" s="43"/>
      <c r="S25" s="43"/>
      <c r="T25" s="43"/>
      <c r="U25" s="43"/>
    </row>
    <row r="26" spans="1:21" s="11" customFormat="1" ht="15">
      <c r="A26" s="50" t="s">
        <v>175</v>
      </c>
      <c r="B26" s="51">
        <v>14.57</v>
      </c>
      <c r="C26" s="51">
        <v>93.29</v>
      </c>
      <c r="D26" s="51">
        <v>58.65</v>
      </c>
      <c r="E26" s="51">
        <v>17.22</v>
      </c>
      <c r="F26" s="51">
        <v>56.35</v>
      </c>
      <c r="G26" s="51">
        <v>60.30</v>
      </c>
      <c r="H26" s="51">
        <v>25.48</v>
      </c>
      <c r="I26" s="51">
        <v>0.55000000000000004</v>
      </c>
      <c r="J26" s="51">
        <v>0.45</v>
      </c>
      <c r="K26" s="51">
        <v>200.44</v>
      </c>
      <c r="L26" s="51">
        <v>31.70</v>
      </c>
      <c r="M26" s="51">
        <v>27.56</v>
      </c>
      <c r="N26" s="51">
        <v>67.30</v>
      </c>
      <c r="O26" s="51">
        <v>0</v>
      </c>
      <c r="P26" s="51">
        <v>1.06</v>
      </c>
      <c r="Q26" s="51">
        <v>33.729999999999997</v>
      </c>
      <c r="R26" s="43"/>
      <c r="S26" s="43"/>
      <c r="T26" s="43"/>
      <c r="U26" s="43"/>
    </row>
    <row r="27" spans="1:21" s="11" customFormat="1" ht="15">
      <c r="A27" s="50" t="s">
        <v>176</v>
      </c>
      <c r="B27" s="51">
        <v>6.66</v>
      </c>
      <c r="C27" s="51">
        <v>67.73</v>
      </c>
      <c r="D27" s="51">
        <v>43.46</v>
      </c>
      <c r="E27" s="51">
        <v>6.81</v>
      </c>
      <c r="F27" s="51">
        <v>25.40</v>
      </c>
      <c r="G27" s="51">
        <v>60.30</v>
      </c>
      <c r="H27" s="51">
        <v>27.74</v>
      </c>
      <c r="I27" s="51">
        <v>0.60</v>
      </c>
      <c r="J27" s="51">
        <v>1.1200000000000001</v>
      </c>
      <c r="K27" s="51">
        <v>207.87</v>
      </c>
      <c r="L27" s="51">
        <v>29.29</v>
      </c>
      <c r="M27" s="51">
        <v>46.71</v>
      </c>
      <c r="N27" s="51">
        <v>10</v>
      </c>
      <c r="O27" s="51">
        <v>0</v>
      </c>
      <c r="P27" s="51">
        <v>0.76</v>
      </c>
      <c r="Q27" s="51">
        <v>33.54</v>
      </c>
      <c r="R27" s="43"/>
      <c r="S27" s="43"/>
      <c r="T27" s="43"/>
      <c r="U27" s="43"/>
    </row>
    <row r="28" spans="1:21" s="11" customFormat="1" ht="15">
      <c r="A28" s="50" t="s">
        <v>177</v>
      </c>
      <c r="B28" s="51">
        <v>5.16</v>
      </c>
      <c r="C28" s="51">
        <v>65.97</v>
      </c>
      <c r="D28" s="51">
        <v>40.98</v>
      </c>
      <c r="E28" s="51">
        <v>3.48</v>
      </c>
      <c r="F28" s="51">
        <v>13.28</v>
      </c>
      <c r="G28" s="51">
        <v>59.26</v>
      </c>
      <c r="H28" s="51">
        <v>27.74</v>
      </c>
      <c r="I28" s="51">
        <v>0.62</v>
      </c>
      <c r="J28" s="51">
        <v>0.44</v>
      </c>
      <c r="K28" s="51">
        <v>236.30</v>
      </c>
      <c r="L28" s="51">
        <v>27.35</v>
      </c>
      <c r="M28" s="51">
        <v>47.49</v>
      </c>
      <c r="N28" s="51">
        <v>4.80</v>
      </c>
      <c r="O28" s="51">
        <v>0</v>
      </c>
      <c r="P28" s="51">
        <v>0.77</v>
      </c>
      <c r="Q28" s="51">
        <v>38.54</v>
      </c>
      <c r="R28" s="43"/>
      <c r="S28" s="43"/>
      <c r="T28" s="43"/>
      <c r="U28" s="43"/>
    </row>
    <row r="29" spans="1:21" s="11" customFormat="1" ht="15">
      <c r="A29" s="50" t="s">
        <v>178</v>
      </c>
      <c r="B29" s="51">
        <v>50.81</v>
      </c>
      <c r="C29" s="51">
        <v>89.57</v>
      </c>
      <c r="D29" s="51">
        <v>90.92</v>
      </c>
      <c r="E29" s="51">
        <v>5.03</v>
      </c>
      <c r="F29" s="51">
        <v>8.42</v>
      </c>
      <c r="G29" s="51">
        <v>55.96</v>
      </c>
      <c r="H29" s="51">
        <v>26.91</v>
      </c>
      <c r="I29" s="51">
        <v>0.61</v>
      </c>
      <c r="J29" s="51">
        <v>0.19</v>
      </c>
      <c r="K29" s="51">
        <v>355</v>
      </c>
      <c r="L29" s="51">
        <v>26.55</v>
      </c>
      <c r="M29" s="51">
        <v>54.90</v>
      </c>
      <c r="N29" s="51">
        <v>5.0999999999999996</v>
      </c>
      <c r="O29" s="51">
        <v>0</v>
      </c>
      <c r="P29" s="51">
        <v>1.80</v>
      </c>
      <c r="Q29" s="51">
        <v>38.369999999999997</v>
      </c>
      <c r="R29" s="43"/>
      <c r="S29" s="43"/>
      <c r="T29" s="43"/>
      <c r="U29" s="43"/>
    </row>
    <row r="30" spans="1:21" s="11" customFormat="1" ht="15">
      <c r="A30" s="50" t="s">
        <v>179</v>
      </c>
      <c r="B30" s="51">
        <v>74.260000000000005</v>
      </c>
      <c r="C30" s="51">
        <v>88.05</v>
      </c>
      <c r="D30" s="51">
        <v>106.82</v>
      </c>
      <c r="E30" s="51">
        <v>5.32</v>
      </c>
      <c r="F30" s="51">
        <v>8.34</v>
      </c>
      <c r="G30" s="51">
        <v>100.17</v>
      </c>
      <c r="H30" s="51">
        <v>28.15</v>
      </c>
      <c r="I30" s="51">
        <v>0.87</v>
      </c>
      <c r="J30" s="51">
        <v>0.52</v>
      </c>
      <c r="K30" s="51">
        <v>172.44</v>
      </c>
      <c r="L30" s="51">
        <v>25.73</v>
      </c>
      <c r="M30" s="51">
        <v>57.63</v>
      </c>
      <c r="N30" s="51">
        <v>4.80</v>
      </c>
      <c r="O30" s="51">
        <v>0</v>
      </c>
      <c r="P30" s="51">
        <v>2.11</v>
      </c>
      <c r="Q30" s="51">
        <v>35.53</v>
      </c>
      <c r="R30" s="43"/>
      <c r="S30" s="43"/>
      <c r="T30" s="43"/>
      <c r="U30" s="43"/>
    </row>
    <row r="31" spans="1:21" s="11" customFormat="1" ht="15">
      <c r="A31" s="50" t="s">
        <v>180</v>
      </c>
      <c r="B31" s="51">
        <v>41.24</v>
      </c>
      <c r="C31" s="51">
        <v>67.53</v>
      </c>
      <c r="D31" s="51">
        <v>66.44</v>
      </c>
      <c r="E31" s="51">
        <v>4.87</v>
      </c>
      <c r="F31" s="51">
        <v>8.02</v>
      </c>
      <c r="G31" s="51">
        <v>100.17</v>
      </c>
      <c r="H31" s="51">
        <v>30.17</v>
      </c>
      <c r="I31" s="51">
        <v>0.82</v>
      </c>
      <c r="J31" s="51">
        <v>0.20</v>
      </c>
      <c r="K31" s="51">
        <v>66.290000000000006</v>
      </c>
      <c r="L31" s="51">
        <v>25.81</v>
      </c>
      <c r="M31" s="51">
        <v>60.60</v>
      </c>
      <c r="N31" s="51">
        <v>5.20</v>
      </c>
      <c r="O31" s="51">
        <v>0</v>
      </c>
      <c r="P31" s="51">
        <v>1.62</v>
      </c>
      <c r="Q31" s="51">
        <v>39.10</v>
      </c>
      <c r="R31" s="43"/>
      <c r="S31" s="43"/>
      <c r="T31" s="43"/>
      <c r="U31" s="43"/>
    </row>
    <row r="32" spans="1:21" s="11" customFormat="1" ht="15">
      <c r="A32" s="50" t="s">
        <v>181</v>
      </c>
      <c r="B32" s="51">
        <v>40.10</v>
      </c>
      <c r="C32" s="51">
        <v>67.09</v>
      </c>
      <c r="D32" s="51">
        <v>69.92</v>
      </c>
      <c r="E32" s="51">
        <v>3.35</v>
      </c>
      <c r="F32" s="51">
        <v>3.45</v>
      </c>
      <c r="G32" s="51">
        <v>106.31</v>
      </c>
      <c r="H32" s="51">
        <v>33.33</v>
      </c>
      <c r="I32" s="51">
        <v>0.83</v>
      </c>
      <c r="J32" s="51">
        <v>0.62</v>
      </c>
      <c r="K32" s="51">
        <v>289.38</v>
      </c>
      <c r="L32" s="51">
        <v>24.44</v>
      </c>
      <c r="M32" s="51">
        <v>60.86</v>
      </c>
      <c r="N32" s="51">
        <v>5.0999999999999996</v>
      </c>
      <c r="O32" s="51">
        <v>0</v>
      </c>
      <c r="P32" s="51">
        <v>1.60</v>
      </c>
      <c r="Q32" s="51">
        <v>41.79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3.6000000000000001</v>
      </c>
      <c r="C34" s="28">
        <f t="shared" si="0"/>
        <v>46.75</v>
      </c>
      <c r="D34" s="28">
        <f t="shared" si="0"/>
        <v>32.890000000000001</v>
      </c>
      <c r="E34" s="28">
        <f t="shared" si="0"/>
        <v>2.02</v>
      </c>
      <c r="F34" s="28">
        <f t="shared" si="0"/>
        <v>3.0800000000000001</v>
      </c>
      <c r="G34" s="28">
        <f t="shared" si="0"/>
        <v>45</v>
      </c>
      <c r="H34" s="28">
        <f t="shared" si="0"/>
        <v>20.77</v>
      </c>
      <c r="I34" s="28">
        <f t="shared" si="0"/>
        <v>0.54000000000000004</v>
      </c>
      <c r="J34" s="28">
        <f t="shared" si="0"/>
        <v>0.070000000000000007</v>
      </c>
      <c r="K34" s="28">
        <f t="shared" si="0"/>
        <v>34.450000000000003</v>
      </c>
      <c r="L34" s="28">
        <f t="shared" si="0"/>
        <v>20.879999999999999</v>
      </c>
      <c r="M34" s="28">
        <f t="shared" si="0"/>
        <v>22.260000000000002</v>
      </c>
      <c r="N34" s="28">
        <f t="shared" si="0"/>
        <v>4.7000000000000002</v>
      </c>
      <c r="O34" s="28">
        <f t="shared" si="0"/>
        <v>0</v>
      </c>
      <c r="P34" s="28">
        <f t="shared" si="0"/>
        <v>0.71999999999999997</v>
      </c>
      <c r="Q34" s="28">
        <f t="shared" si="0"/>
        <v>31.100000000000001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74.260000000000005</v>
      </c>
      <c r="C35" s="29">
        <f t="shared" si="1"/>
        <v>93.290000000000006</v>
      </c>
      <c r="D35" s="29">
        <f t="shared" si="1"/>
        <v>106.81999999999999</v>
      </c>
      <c r="E35" s="29">
        <f t="shared" si="1"/>
        <v>17.219999999999999</v>
      </c>
      <c r="F35" s="29">
        <f t="shared" si="1"/>
        <v>56.350000000000001</v>
      </c>
      <c r="G35" s="29">
        <f t="shared" si="1"/>
        <v>141.69</v>
      </c>
      <c r="H35" s="29">
        <f t="shared" si="1"/>
        <v>34.43</v>
      </c>
      <c r="I35" s="29">
        <f t="shared" si="1"/>
        <v>0.87</v>
      </c>
      <c r="J35" s="29">
        <f t="shared" si="1"/>
        <v>1.8</v>
      </c>
      <c r="K35" s="29">
        <f t="shared" si="1"/>
        <v>355</v>
      </c>
      <c r="L35" s="29">
        <f t="shared" si="1"/>
        <v>36.450000000000003</v>
      </c>
      <c r="M35" s="29">
        <f t="shared" si="1"/>
        <v>73.939999999999998</v>
      </c>
      <c r="N35" s="29">
        <f t="shared" si="1"/>
        <v>860.70000000000005</v>
      </c>
      <c r="O35" s="29">
        <f t="shared" si="1"/>
        <v>0</v>
      </c>
      <c r="P35" s="29">
        <f t="shared" si="1"/>
        <v>2.1099999999999999</v>
      </c>
      <c r="Q35" s="29">
        <f t="shared" si="1"/>
        <v>41.789999999999999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23.754999999999999</v>
      </c>
      <c r="C36" s="28">
        <f t="shared" si="2"/>
        <v>63.390416666666653</v>
      </c>
      <c r="D36" s="28">
        <f t="shared" si="2"/>
        <v>53.397083333333335</v>
      </c>
      <c r="E36" s="28">
        <f t="shared" si="2"/>
        <v>5.6395833333333343</v>
      </c>
      <c r="F36" s="28">
        <f t="shared" si="2"/>
        <v>16.335416666666664</v>
      </c>
      <c r="G36" s="28">
        <f t="shared" si="2"/>
        <v>82.898333333333355</v>
      </c>
      <c r="H36" s="28">
        <f t="shared" si="2"/>
        <v>28.397499999999997</v>
      </c>
      <c r="I36" s="28">
        <f t="shared" si="2"/>
        <v>0.62416666666666665</v>
      </c>
      <c r="J36" s="28">
        <f t="shared" si="2"/>
        <v>0.52249999999999974</v>
      </c>
      <c r="K36" s="28">
        <f t="shared" si="2"/>
        <v>233.29958333333332</v>
      </c>
      <c r="L36" s="28">
        <f t="shared" si="2"/>
        <v>28.627916666666664</v>
      </c>
      <c r="M36" s="28">
        <f t="shared" si="2"/>
        <v>48.223749999999988</v>
      </c>
      <c r="N36" s="28">
        <f t="shared" si="2"/>
        <v>248.22916666666671</v>
      </c>
      <c r="O36" s="28">
        <f t="shared" si="2"/>
        <v>0</v>
      </c>
      <c r="P36" s="28">
        <f t="shared" si="2"/>
        <v>1.1258333333333332</v>
      </c>
      <c r="Q36" s="28">
        <f t="shared" si="2"/>
        <v>37.255416666666669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20.594760414283506</v>
      </c>
      <c r="C37" s="28">
        <f t="shared" si="3" ref="C37:Q37">STDEV(C9:C32)</f>
        <v>12.520645031017986</v>
      </c>
      <c r="D37" s="28">
        <f t="shared" si="3"/>
        <v>19.492518627092203</v>
      </c>
      <c r="E37" s="28">
        <f t="shared" si="3"/>
        <v>3.5083645132698216</v>
      </c>
      <c r="F37" s="28">
        <f t="shared" si="3"/>
        <v>14.129086243622062</v>
      </c>
      <c r="G37" s="28">
        <f t="shared" si="3"/>
        <v>25.729507112105388</v>
      </c>
      <c r="H37" s="28">
        <f t="shared" si="3"/>
        <v>3.5028041561756686</v>
      </c>
      <c r="I37" s="28">
        <f t="shared" si="3"/>
        <v>0.089390042567083758</v>
      </c>
      <c r="J37" s="28">
        <f t="shared" si="3"/>
        <v>0.40607613336289139</v>
      </c>
      <c r="K37" s="28">
        <f t="shared" si="3"/>
        <v>101.32852310909813</v>
      </c>
      <c r="L37" s="28">
        <f t="shared" si="3"/>
        <v>5.4343560709431999</v>
      </c>
      <c r="M37" s="28">
        <f t="shared" si="3"/>
        <v>17.376569635074976</v>
      </c>
      <c r="N37" s="28">
        <f t="shared" si="3"/>
        <v>320.27582471196212</v>
      </c>
      <c r="O37" s="28">
        <f t="shared" si="3"/>
        <v>0</v>
      </c>
      <c r="P37" s="28">
        <f t="shared" si="3"/>
        <v>0.3606023543614415</v>
      </c>
      <c r="Q37" s="28">
        <f t="shared" si="3"/>
        <v>3.0330799085886375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afe802-e9dd-47b5-998b-35dc330d160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6" sqref="H66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182</v>
      </c>
      <c r="B9" s="51">
        <v>28.87</v>
      </c>
      <c r="C9" s="51">
        <v>62.02</v>
      </c>
      <c r="D9" s="51">
        <v>58.12</v>
      </c>
      <c r="E9" s="51">
        <v>3.01</v>
      </c>
      <c r="F9" s="51">
        <v>15.10</v>
      </c>
      <c r="G9" s="51">
        <v>106.31</v>
      </c>
      <c r="H9" s="51">
        <v>34.42</v>
      </c>
      <c r="I9" s="51">
        <v>0.78</v>
      </c>
      <c r="J9" s="51">
        <v>0.24</v>
      </c>
      <c r="K9" s="51">
        <v>297.61</v>
      </c>
      <c r="L9" s="51">
        <v>24.09</v>
      </c>
      <c r="M9" s="51">
        <v>56.79</v>
      </c>
      <c r="N9" s="51">
        <v>5.0999999999999996</v>
      </c>
      <c r="O9" s="51">
        <v>0</v>
      </c>
      <c r="P9" s="51">
        <v>1.38</v>
      </c>
      <c r="Q9" s="51">
        <v>41.67</v>
      </c>
      <c r="R9" s="43"/>
      <c r="S9" s="43"/>
      <c r="T9" s="43"/>
      <c r="U9" s="43"/>
    </row>
    <row r="10" spans="1:21" s="11" customFormat="1" ht="15">
      <c r="A10" s="50" t="s">
        <v>183</v>
      </c>
      <c r="B10" s="51">
        <v>24.99</v>
      </c>
      <c r="C10" s="51">
        <v>55.91</v>
      </c>
      <c r="D10" s="51">
        <v>49.78</v>
      </c>
      <c r="E10" s="51">
        <v>2.2799999999999998</v>
      </c>
      <c r="F10" s="51">
        <v>9.82</v>
      </c>
      <c r="G10" s="51">
        <v>81.67</v>
      </c>
      <c r="H10" s="51">
        <v>34.42</v>
      </c>
      <c r="I10" s="51">
        <v>0.66</v>
      </c>
      <c r="J10" s="51">
        <v>0.18</v>
      </c>
      <c r="K10" s="51">
        <v>291.33999999999997</v>
      </c>
      <c r="L10" s="51">
        <v>23.24</v>
      </c>
      <c r="M10" s="51">
        <v>63.17</v>
      </c>
      <c r="N10" s="51">
        <v>5.20</v>
      </c>
      <c r="O10" s="51">
        <v>0</v>
      </c>
      <c r="P10" s="51">
        <v>1.18</v>
      </c>
      <c r="Q10" s="51">
        <v>36.340000000000003</v>
      </c>
      <c r="R10" s="43"/>
      <c r="S10" s="43"/>
      <c r="T10" s="43"/>
      <c r="U10" s="43"/>
    </row>
    <row r="11" spans="1:21" s="11" customFormat="1" ht="15">
      <c r="A11" s="50" t="s">
        <v>184</v>
      </c>
      <c r="B11" s="51">
        <v>28.17</v>
      </c>
      <c r="C11" s="51">
        <v>61.99</v>
      </c>
      <c r="D11" s="51">
        <v>57.54</v>
      </c>
      <c r="E11" s="51">
        <v>1.80</v>
      </c>
      <c r="F11" s="51">
        <v>4.7699999999999996</v>
      </c>
      <c r="G11" s="51">
        <v>102.74</v>
      </c>
      <c r="H11" s="51">
        <v>32.520000000000003</v>
      </c>
      <c r="I11" s="51">
        <v>0.78</v>
      </c>
      <c r="J11" s="51">
        <v>0.12</v>
      </c>
      <c r="K11" s="51">
        <v>358.54</v>
      </c>
      <c r="L11" s="51">
        <v>22.32</v>
      </c>
      <c r="M11" s="51">
        <v>64.78</v>
      </c>
      <c r="N11" s="51">
        <v>4.9000000000000004</v>
      </c>
      <c r="O11" s="51">
        <v>0</v>
      </c>
      <c r="P11" s="51">
        <v>1.28</v>
      </c>
      <c r="Q11" s="51">
        <v>40.840000000000003</v>
      </c>
      <c r="R11" s="43"/>
      <c r="S11" s="43"/>
      <c r="T11" s="43"/>
      <c r="U11" s="43"/>
    </row>
    <row r="12" spans="1:21" s="11" customFormat="1" ht="15">
      <c r="A12" s="50" t="s">
        <v>185</v>
      </c>
      <c r="B12" s="51">
        <v>21.86</v>
      </c>
      <c r="C12" s="51">
        <v>55.21</v>
      </c>
      <c r="D12" s="51">
        <v>48.74</v>
      </c>
      <c r="E12" s="51">
        <v>1.39</v>
      </c>
      <c r="F12" s="51">
        <v>3.34</v>
      </c>
      <c r="G12" s="51">
        <v>102.74</v>
      </c>
      <c r="H12" s="51">
        <v>32.58</v>
      </c>
      <c r="I12" s="51">
        <v>0.76</v>
      </c>
      <c r="J12" s="51">
        <v>0.47</v>
      </c>
      <c r="K12" s="51">
        <v>307.98</v>
      </c>
      <c r="L12" s="51">
        <v>22.69</v>
      </c>
      <c r="M12" s="51">
        <v>66.22</v>
      </c>
      <c r="N12" s="51">
        <v>4.9000000000000004</v>
      </c>
      <c r="O12" s="51">
        <v>0</v>
      </c>
      <c r="P12" s="51">
        <v>1.0900000000000001</v>
      </c>
      <c r="Q12" s="51">
        <v>41.01</v>
      </c>
      <c r="R12" s="43"/>
      <c r="S12" s="43"/>
      <c r="T12" s="43"/>
      <c r="U12" s="43"/>
    </row>
    <row r="13" spans="1:21" s="11" customFormat="1" ht="15">
      <c r="A13" s="50" t="s">
        <v>186</v>
      </c>
      <c r="B13" s="51">
        <v>23.20</v>
      </c>
      <c r="C13" s="51">
        <v>52.96</v>
      </c>
      <c r="D13" s="51">
        <v>47.11</v>
      </c>
      <c r="E13" s="51">
        <v>2.31</v>
      </c>
      <c r="F13" s="51">
        <v>3.33</v>
      </c>
      <c r="G13" s="51">
        <v>81.209999999999994</v>
      </c>
      <c r="H13" s="51">
        <v>34.54</v>
      </c>
      <c r="I13" s="51">
        <v>0.65</v>
      </c>
      <c r="J13" s="51">
        <v>0.37</v>
      </c>
      <c r="K13" s="51">
        <v>350.91</v>
      </c>
      <c r="L13" s="51">
        <v>22.17</v>
      </c>
      <c r="M13" s="51">
        <v>69.23</v>
      </c>
      <c r="N13" s="51">
        <v>5.20</v>
      </c>
      <c r="O13" s="51">
        <v>0</v>
      </c>
      <c r="P13" s="51">
        <v>0.96</v>
      </c>
      <c r="Q13" s="51">
        <v>34.130000000000003</v>
      </c>
      <c r="R13" s="43"/>
      <c r="S13" s="43"/>
      <c r="T13" s="43"/>
      <c r="U13" s="43"/>
    </row>
    <row r="14" spans="1:21" s="11" customFormat="1" ht="15">
      <c r="A14" s="50" t="s">
        <v>187</v>
      </c>
      <c r="B14" s="51">
        <v>52.60</v>
      </c>
      <c r="C14" s="51">
        <v>50.95</v>
      </c>
      <c r="D14" s="51">
        <v>71.040000000000006</v>
      </c>
      <c r="E14" s="51">
        <v>3.02</v>
      </c>
      <c r="F14" s="51">
        <v>3.20</v>
      </c>
      <c r="G14" s="51">
        <v>155.65</v>
      </c>
      <c r="H14" s="51">
        <v>35.54</v>
      </c>
      <c r="I14" s="51">
        <v>0.69</v>
      </c>
      <c r="J14" s="51">
        <v>0.15</v>
      </c>
      <c r="K14" s="51">
        <v>333.25</v>
      </c>
      <c r="L14" s="51">
        <v>21.84</v>
      </c>
      <c r="M14" s="51">
        <v>75.62</v>
      </c>
      <c r="N14" s="51">
        <v>13.30</v>
      </c>
      <c r="O14" s="51">
        <v>0</v>
      </c>
      <c r="P14" s="51">
        <v>1.07</v>
      </c>
      <c r="Q14" s="51">
        <v>39.17</v>
      </c>
      <c r="R14" s="43"/>
      <c r="S14" s="43"/>
      <c r="T14" s="43"/>
      <c r="U14" s="43"/>
    </row>
    <row r="15" spans="1:21" s="11" customFormat="1" ht="15">
      <c r="A15" s="50" t="s">
        <v>188</v>
      </c>
      <c r="B15" s="51">
        <v>62.24</v>
      </c>
      <c r="C15" s="51">
        <v>53.86</v>
      </c>
      <c r="D15" s="51">
        <v>80.37</v>
      </c>
      <c r="E15" s="51">
        <v>3.12</v>
      </c>
      <c r="F15" s="51">
        <v>3.18</v>
      </c>
      <c r="G15" s="51">
        <v>155.65</v>
      </c>
      <c r="H15" s="51">
        <v>35.54</v>
      </c>
      <c r="I15" s="51">
        <v>0.78</v>
      </c>
      <c r="J15" s="51">
        <v>0.14000000000000001</v>
      </c>
      <c r="K15" s="51">
        <v>295.91000000000003</v>
      </c>
      <c r="L15" s="51">
        <v>24.94</v>
      </c>
      <c r="M15" s="51">
        <v>71.37</v>
      </c>
      <c r="N15" s="51">
        <v>141.90</v>
      </c>
      <c r="O15" s="51">
        <v>0</v>
      </c>
      <c r="P15" s="51">
        <v>1.17</v>
      </c>
      <c r="Q15" s="51">
        <v>42.52</v>
      </c>
      <c r="R15" s="43"/>
      <c r="S15" s="43"/>
      <c r="T15" s="43"/>
      <c r="U15" s="43"/>
    </row>
    <row r="16" spans="1:21" s="11" customFormat="1" ht="15">
      <c r="A16" s="50" t="s">
        <v>189</v>
      </c>
      <c r="B16" s="51">
        <v>64.430000000000007</v>
      </c>
      <c r="C16" s="51">
        <v>56.85</v>
      </c>
      <c r="D16" s="51">
        <v>83.79</v>
      </c>
      <c r="E16" s="51">
        <v>2.89</v>
      </c>
      <c r="F16" s="51">
        <v>5.12</v>
      </c>
      <c r="G16" s="51">
        <v>132.29</v>
      </c>
      <c r="H16" s="51">
        <v>36.40</v>
      </c>
      <c r="I16" s="51">
        <v>0.72</v>
      </c>
      <c r="J16" s="51">
        <v>0.51</v>
      </c>
      <c r="K16" s="51">
        <v>318.85000000000002</v>
      </c>
      <c r="L16" s="51">
        <v>24.55</v>
      </c>
      <c r="M16" s="51">
        <v>60.96</v>
      </c>
      <c r="N16" s="51">
        <v>243.80</v>
      </c>
      <c r="O16" s="51">
        <v>0</v>
      </c>
      <c r="P16" s="51">
        <v>1.1299999999999999</v>
      </c>
      <c r="Q16" s="51">
        <v>42.52</v>
      </c>
      <c r="R16" s="43"/>
      <c r="S16" s="43"/>
      <c r="T16" s="43"/>
      <c r="U16" s="43"/>
    </row>
    <row r="17" spans="1:21" s="11" customFormat="1" ht="15">
      <c r="A17" s="50" t="s">
        <v>190</v>
      </c>
      <c r="B17" s="51">
        <v>49.58</v>
      </c>
      <c r="C17" s="51">
        <v>58.55</v>
      </c>
      <c r="D17" s="51">
        <v>71.489999999999995</v>
      </c>
      <c r="E17" s="51">
        <v>5.98</v>
      </c>
      <c r="F17" s="51">
        <v>4.82</v>
      </c>
      <c r="G17" s="51">
        <v>85.02</v>
      </c>
      <c r="H17" s="51">
        <v>36.40</v>
      </c>
      <c r="I17" s="51">
        <v>0.69</v>
      </c>
      <c r="J17" s="51">
        <v>1</v>
      </c>
      <c r="K17" s="51">
        <v>359.07</v>
      </c>
      <c r="L17" s="51">
        <v>29.55</v>
      </c>
      <c r="M17" s="51">
        <v>53.54</v>
      </c>
      <c r="N17" s="51">
        <v>416.40</v>
      </c>
      <c r="O17" s="51">
        <v>0</v>
      </c>
      <c r="P17" s="51">
        <v>1.18</v>
      </c>
      <c r="Q17" s="51">
        <v>36.450000000000003</v>
      </c>
      <c r="R17" s="43"/>
      <c r="S17" s="43"/>
      <c r="T17" s="43"/>
      <c r="U17" s="43"/>
    </row>
    <row r="18" spans="1:21" s="11" customFormat="1" ht="15">
      <c r="A18" s="50" t="s">
        <v>191</v>
      </c>
      <c r="B18" s="51">
        <v>45.99</v>
      </c>
      <c r="C18" s="51">
        <v>69.88</v>
      </c>
      <c r="D18" s="51">
        <v>73.19</v>
      </c>
      <c r="E18" s="51">
        <v>6.88</v>
      </c>
      <c r="F18" s="51">
        <v>6.62</v>
      </c>
      <c r="G18" s="51">
        <v>107.26</v>
      </c>
      <c r="H18" s="51">
        <v>39.380000000000003</v>
      </c>
      <c r="I18" s="51">
        <v>0.66</v>
      </c>
      <c r="J18" s="51">
        <v>0.84</v>
      </c>
      <c r="K18" s="51">
        <v>31.37</v>
      </c>
      <c r="L18" s="51">
        <v>31.08</v>
      </c>
      <c r="M18" s="51">
        <v>34.74</v>
      </c>
      <c r="N18" s="51">
        <v>526.40</v>
      </c>
      <c r="O18" s="51">
        <v>0</v>
      </c>
      <c r="P18" s="51">
        <v>1.19</v>
      </c>
      <c r="Q18" s="51">
        <v>40.17</v>
      </c>
      <c r="R18" s="43"/>
      <c r="S18" s="43"/>
      <c r="T18" s="43"/>
      <c r="U18" s="43"/>
    </row>
    <row r="19" spans="1:21" s="11" customFormat="1" ht="15">
      <c r="A19" s="50" t="s">
        <v>192</v>
      </c>
      <c r="B19" s="51">
        <v>28.26</v>
      </c>
      <c r="C19" s="51">
        <v>75.87</v>
      </c>
      <c r="D19" s="51">
        <v>63.26</v>
      </c>
      <c r="E19" s="51">
        <v>3.47</v>
      </c>
      <c r="F19" s="51">
        <v>12.59</v>
      </c>
      <c r="G19" s="51">
        <v>222.01</v>
      </c>
      <c r="H19" s="51">
        <v>40.65</v>
      </c>
      <c r="I19" s="51">
        <v>0.65</v>
      </c>
      <c r="J19" s="51">
        <v>0.18</v>
      </c>
      <c r="K19" s="51">
        <v>336.28</v>
      </c>
      <c r="L19" s="51">
        <v>31.20</v>
      </c>
      <c r="M19" s="51">
        <v>36.64</v>
      </c>
      <c r="N19" s="51">
        <v>668.60</v>
      </c>
      <c r="O19" s="51">
        <v>0</v>
      </c>
      <c r="P19" s="51">
        <v>1.22</v>
      </c>
      <c r="Q19" s="51">
        <v>40.200000000000003</v>
      </c>
      <c r="R19" s="43"/>
      <c r="S19" s="43"/>
      <c r="T19" s="43"/>
      <c r="U19" s="43"/>
    </row>
    <row r="20" spans="1:21" s="11" customFormat="1" ht="15">
      <c r="A20" s="50" t="s">
        <v>193</v>
      </c>
      <c r="B20" s="51">
        <v>12.15</v>
      </c>
      <c r="C20" s="51">
        <v>58.78</v>
      </c>
      <c r="D20" s="51">
        <v>42.30</v>
      </c>
      <c r="E20" s="51">
        <v>11.62</v>
      </c>
      <c r="F20" s="51">
        <v>21.34</v>
      </c>
      <c r="G20" s="51">
        <v>222.01</v>
      </c>
      <c r="H20" s="51">
        <v>40.65</v>
      </c>
      <c r="I20" s="51">
        <v>0.61</v>
      </c>
      <c r="J20" s="51">
        <v>1.46</v>
      </c>
      <c r="K20" s="51">
        <v>37.409999999999997</v>
      </c>
      <c r="L20" s="51">
        <v>34.049999999999997</v>
      </c>
      <c r="M20" s="51">
        <v>31.70</v>
      </c>
      <c r="N20" s="51">
        <v>752.90</v>
      </c>
      <c r="O20" s="51">
        <v>0</v>
      </c>
      <c r="P20" s="51">
        <v>1.1000000000000001</v>
      </c>
      <c r="Q20" s="51">
        <v>37.18</v>
      </c>
      <c r="R20" s="43"/>
      <c r="S20" s="43"/>
      <c r="T20" s="43"/>
      <c r="U20" s="43"/>
    </row>
    <row r="21" spans="1:21" s="11" customFormat="1" ht="15">
      <c r="A21" s="50" t="s">
        <v>194</v>
      </c>
      <c r="B21" s="51">
        <v>14.22</v>
      </c>
      <c r="C21" s="51">
        <v>75.84</v>
      </c>
      <c r="D21" s="51">
        <v>51.42</v>
      </c>
      <c r="E21" s="51">
        <v>14.65</v>
      </c>
      <c r="F21" s="51">
        <v>16.14</v>
      </c>
      <c r="G21" s="51">
        <v>170.90</v>
      </c>
      <c r="H21" s="51">
        <v>36.72</v>
      </c>
      <c r="I21" s="51">
        <v>0.61</v>
      </c>
      <c r="J21" s="51">
        <v>1.49</v>
      </c>
      <c r="K21" s="51">
        <v>35.78</v>
      </c>
      <c r="L21" s="51">
        <v>34.590000000000003</v>
      </c>
      <c r="M21" s="51">
        <v>30.15</v>
      </c>
      <c r="N21" s="51">
        <v>652.90</v>
      </c>
      <c r="O21" s="51">
        <v>0</v>
      </c>
      <c r="P21" s="51">
        <v>1.1399999999999999</v>
      </c>
      <c r="Q21" s="51">
        <v>33.700000000000003</v>
      </c>
      <c r="R21" s="43"/>
      <c r="S21" s="43"/>
      <c r="T21" s="43"/>
      <c r="U21" s="43"/>
    </row>
    <row r="22" spans="1:21" s="11" customFormat="1" ht="15">
      <c r="A22" s="50" t="s">
        <v>195</v>
      </c>
      <c r="B22" s="51">
        <v>9.17</v>
      </c>
      <c r="C22" s="51">
        <v>75.83</v>
      </c>
      <c r="D22" s="51">
        <v>48.65</v>
      </c>
      <c r="E22" s="51">
        <v>12.01</v>
      </c>
      <c r="F22" s="51">
        <v>9.90</v>
      </c>
      <c r="G22" s="51">
        <v>170.90</v>
      </c>
      <c r="H22" s="51">
        <v>36</v>
      </c>
      <c r="I22" s="51">
        <v>0.69</v>
      </c>
      <c r="J22" s="51">
        <v>1.21</v>
      </c>
      <c r="K22" s="51">
        <v>36.44</v>
      </c>
      <c r="L22" s="51">
        <v>34.840000000000003</v>
      </c>
      <c r="M22" s="51">
        <v>28.93</v>
      </c>
      <c r="N22" s="51">
        <v>803.60</v>
      </c>
      <c r="O22" s="51">
        <v>0</v>
      </c>
      <c r="P22" s="51">
        <v>1.0900000000000001</v>
      </c>
      <c r="Q22" s="51">
        <v>38.28</v>
      </c>
      <c r="R22" s="43"/>
      <c r="S22" s="43"/>
      <c r="T22" s="43"/>
      <c r="U22" s="43"/>
    </row>
    <row r="23" spans="1:21" s="11" customFormat="1" ht="15">
      <c r="A23" s="50" t="s">
        <v>196</v>
      </c>
      <c r="B23" s="51">
        <v>19.64</v>
      </c>
      <c r="C23" s="51">
        <v>76.61</v>
      </c>
      <c r="D23" s="51">
        <v>57.92</v>
      </c>
      <c r="E23" s="51">
        <v>17.80</v>
      </c>
      <c r="F23" s="51">
        <v>24.72</v>
      </c>
      <c r="G23" s="51">
        <v>102.91</v>
      </c>
      <c r="H23" s="51">
        <v>37.22</v>
      </c>
      <c r="I23" s="51">
        <v>0.60</v>
      </c>
      <c r="J23" s="51">
        <v>1.18</v>
      </c>
      <c r="K23" s="51">
        <v>34.380000000000003</v>
      </c>
      <c r="L23" s="51">
        <v>35.86</v>
      </c>
      <c r="M23" s="51">
        <v>26.72</v>
      </c>
      <c r="N23" s="51">
        <v>631.60</v>
      </c>
      <c r="O23" s="51">
        <v>0</v>
      </c>
      <c r="P23" s="51">
        <v>1.1100000000000001</v>
      </c>
      <c r="Q23" s="51">
        <v>37.08</v>
      </c>
      <c r="R23" s="43"/>
      <c r="S23" s="43"/>
      <c r="T23" s="43"/>
      <c r="U23" s="43"/>
    </row>
    <row r="24" spans="1:21" s="11" customFormat="1" ht="15">
      <c r="A24" s="50" t="s">
        <v>197</v>
      </c>
      <c r="B24" s="51">
        <v>12.71</v>
      </c>
      <c r="C24" s="51">
        <v>68.63</v>
      </c>
      <c r="D24" s="51">
        <v>48.74</v>
      </c>
      <c r="E24" s="51">
        <v>26.55</v>
      </c>
      <c r="F24" s="51">
        <v>45.28</v>
      </c>
      <c r="G24" s="51">
        <v>139.5</v>
      </c>
      <c r="H24" s="51">
        <v>37.22</v>
      </c>
      <c r="I24" s="51">
        <v>0.56999999999999995</v>
      </c>
      <c r="J24" s="51">
        <v>0.87</v>
      </c>
      <c r="K24" s="51">
        <v>43.14</v>
      </c>
      <c r="L24" s="51">
        <v>34.880000000000003</v>
      </c>
      <c r="M24" s="51">
        <v>26.19</v>
      </c>
      <c r="N24" s="51">
        <v>308.60000000000002</v>
      </c>
      <c r="O24" s="51">
        <v>0</v>
      </c>
      <c r="P24" s="51">
        <v>1.01</v>
      </c>
      <c r="Q24" s="51">
        <v>33.590000000000003</v>
      </c>
      <c r="R24" s="43"/>
      <c r="S24" s="43"/>
      <c r="T24" s="43"/>
      <c r="U24" s="43"/>
    </row>
    <row r="25" spans="1:21" s="11" customFormat="1" ht="15">
      <c r="A25" s="50" t="s">
        <v>198</v>
      </c>
      <c r="B25" s="51">
        <v>13.67</v>
      </c>
      <c r="C25" s="51">
        <v>70.22</v>
      </c>
      <c r="D25" s="51">
        <v>50.45</v>
      </c>
      <c r="E25" s="51">
        <v>23.29</v>
      </c>
      <c r="F25" s="51">
        <v>33.04</v>
      </c>
      <c r="G25" s="51">
        <v>139.5</v>
      </c>
      <c r="H25" s="51">
        <v>36.049999999999997</v>
      </c>
      <c r="I25" s="51">
        <v>0.62</v>
      </c>
      <c r="J25" s="51">
        <v>0.84</v>
      </c>
      <c r="K25" s="51">
        <v>33.68</v>
      </c>
      <c r="L25" s="51">
        <v>32.46</v>
      </c>
      <c r="M25" s="51">
        <v>25.42</v>
      </c>
      <c r="N25" s="51">
        <v>123.80</v>
      </c>
      <c r="O25" s="51">
        <v>0</v>
      </c>
      <c r="P25" s="51">
        <v>1.1200000000000001</v>
      </c>
      <c r="Q25" s="51">
        <v>37.44</v>
      </c>
      <c r="R25" s="43"/>
      <c r="S25" s="43"/>
      <c r="T25" s="43"/>
      <c r="U25" s="43"/>
    </row>
    <row r="26" spans="1:21" s="11" customFormat="1" ht="15">
      <c r="A26" s="50" t="s">
        <v>199</v>
      </c>
      <c r="B26" s="51">
        <v>20.99</v>
      </c>
      <c r="C26" s="51">
        <v>84.40</v>
      </c>
      <c r="D26" s="51">
        <v>64.150000000000006</v>
      </c>
      <c r="E26" s="51">
        <v>18.829999999999998</v>
      </c>
      <c r="F26" s="51">
        <v>23.35</v>
      </c>
      <c r="G26" s="51">
        <v>94.07</v>
      </c>
      <c r="H26" s="51">
        <v>36.049999999999997</v>
      </c>
      <c r="I26" s="51">
        <v>0.67</v>
      </c>
      <c r="J26" s="51">
        <v>0.34</v>
      </c>
      <c r="K26" s="51">
        <v>104.14</v>
      </c>
      <c r="L26" s="51">
        <v>31.17</v>
      </c>
      <c r="M26" s="51">
        <v>31.24</v>
      </c>
      <c r="N26" s="51">
        <v>70.900000000000006</v>
      </c>
      <c r="O26" s="51">
        <v>0</v>
      </c>
      <c r="P26" s="51">
        <v>1.30</v>
      </c>
      <c r="Q26" s="51">
        <v>36.68</v>
      </c>
      <c r="R26" s="43"/>
      <c r="S26" s="43"/>
      <c r="T26" s="43"/>
      <c r="U26" s="43"/>
    </row>
    <row r="27" spans="1:21" s="11" customFormat="1" ht="15">
      <c r="A27" s="50" t="s">
        <v>200</v>
      </c>
      <c r="B27" s="51">
        <v>77.87</v>
      </c>
      <c r="C27" s="51">
        <v>121.66</v>
      </c>
      <c r="D27" s="51">
        <v>130.32</v>
      </c>
      <c r="E27" s="51">
        <v>22.42</v>
      </c>
      <c r="F27" s="51">
        <v>28.17</v>
      </c>
      <c r="G27" s="51">
        <v>163.97</v>
      </c>
      <c r="H27" s="51">
        <v>33.869999999999997</v>
      </c>
      <c r="I27" s="51">
        <v>0.81</v>
      </c>
      <c r="J27" s="51">
        <v>0.17</v>
      </c>
      <c r="K27" s="51">
        <v>145.79</v>
      </c>
      <c r="L27" s="51">
        <v>29.53</v>
      </c>
      <c r="M27" s="51">
        <v>37.159999999999997</v>
      </c>
      <c r="N27" s="51">
        <v>17.30</v>
      </c>
      <c r="O27" s="51">
        <v>0</v>
      </c>
      <c r="P27" s="51">
        <v>2.2000000000000002</v>
      </c>
      <c r="Q27" s="51">
        <v>35.07</v>
      </c>
      <c r="R27" s="43"/>
      <c r="S27" s="43"/>
      <c r="T27" s="43"/>
      <c r="U27" s="43"/>
    </row>
    <row r="28" spans="1:21" s="11" customFormat="1" ht="15">
      <c r="A28" s="50" t="s">
        <v>201</v>
      </c>
      <c r="B28" s="51">
        <v>81.319999999999993</v>
      </c>
      <c r="C28" s="51">
        <v>121.08</v>
      </c>
      <c r="D28" s="51">
        <v>132.78</v>
      </c>
      <c r="E28" s="51">
        <v>16.04</v>
      </c>
      <c r="F28" s="51">
        <v>3.92</v>
      </c>
      <c r="G28" s="51">
        <v>163.97</v>
      </c>
      <c r="H28" s="51">
        <v>35.97</v>
      </c>
      <c r="I28" s="51">
        <v>1.24</v>
      </c>
      <c r="J28" s="51">
        <v>0.10</v>
      </c>
      <c r="K28" s="51">
        <v>322.56</v>
      </c>
      <c r="L28" s="51">
        <v>27.75</v>
      </c>
      <c r="M28" s="51">
        <v>41.06</v>
      </c>
      <c r="N28" s="51">
        <v>5.0999999999999996</v>
      </c>
      <c r="O28" s="51">
        <v>0</v>
      </c>
      <c r="P28" s="51">
        <v>2.67</v>
      </c>
      <c r="Q28" s="51">
        <v>28.47</v>
      </c>
      <c r="R28" s="43"/>
      <c r="S28" s="43"/>
      <c r="T28" s="43"/>
      <c r="U28" s="43"/>
    </row>
    <row r="29" spans="1:21" s="11" customFormat="1" ht="15">
      <c r="A29" s="50" t="s">
        <v>202</v>
      </c>
      <c r="B29" s="51">
        <v>66.05</v>
      </c>
      <c r="C29" s="51">
        <v>85.21</v>
      </c>
      <c r="D29" s="51">
        <v>100.73</v>
      </c>
      <c r="E29" s="51">
        <v>7.47</v>
      </c>
      <c r="F29" s="51">
        <v>4.6399999999999997</v>
      </c>
      <c r="G29" s="51">
        <v>140.19</v>
      </c>
      <c r="H29" s="51">
        <v>39.31</v>
      </c>
      <c r="I29" s="51">
        <v>1.1599999999999999</v>
      </c>
      <c r="J29" s="51">
        <v>0.68</v>
      </c>
      <c r="K29" s="51">
        <v>290.88</v>
      </c>
      <c r="L29" s="51">
        <v>27.23</v>
      </c>
      <c r="M29" s="51">
        <v>41.84</v>
      </c>
      <c r="N29" s="51">
        <v>5.20</v>
      </c>
      <c r="O29" s="51">
        <v>0</v>
      </c>
      <c r="P29" s="51">
        <v>2.19</v>
      </c>
      <c r="Q29" s="51">
        <v>38.83</v>
      </c>
      <c r="R29" s="43"/>
      <c r="S29" s="43"/>
      <c r="T29" s="43"/>
      <c r="U29" s="43"/>
    </row>
    <row r="30" spans="1:21" s="11" customFormat="1" ht="15">
      <c r="A30" s="50" t="s">
        <v>203</v>
      </c>
      <c r="B30" s="51">
        <v>48.85</v>
      </c>
      <c r="C30" s="51">
        <v>79.23</v>
      </c>
      <c r="D30" s="51">
        <v>83.64</v>
      </c>
      <c r="E30" s="51">
        <v>3.44</v>
      </c>
      <c r="F30" s="51">
        <v>8.77</v>
      </c>
      <c r="G30" s="51">
        <v>140.19</v>
      </c>
      <c r="H30" s="51">
        <v>45.98</v>
      </c>
      <c r="I30" s="51">
        <v>0.94</v>
      </c>
      <c r="J30" s="51">
        <v>1.01</v>
      </c>
      <c r="K30" s="51">
        <v>238.40</v>
      </c>
      <c r="L30" s="51">
        <v>25.68</v>
      </c>
      <c r="M30" s="51">
        <v>60.63</v>
      </c>
      <c r="N30" s="51">
        <v>5.20</v>
      </c>
      <c r="O30" s="51">
        <v>0</v>
      </c>
      <c r="P30" s="51">
        <v>1.87</v>
      </c>
      <c r="Q30" s="51">
        <v>39.83</v>
      </c>
      <c r="R30" s="43"/>
      <c r="S30" s="43"/>
      <c r="T30" s="43"/>
      <c r="U30" s="43"/>
    </row>
    <row r="31" spans="1:21" s="11" customFormat="1" ht="15">
      <c r="A31" s="50" t="s">
        <v>204</v>
      </c>
      <c r="B31" s="51">
        <v>23.70</v>
      </c>
      <c r="C31" s="51">
        <v>57.35</v>
      </c>
      <c r="D31" s="51">
        <v>50.21</v>
      </c>
      <c r="E31" s="51">
        <v>2.81</v>
      </c>
      <c r="F31" s="51">
        <v>11.10</v>
      </c>
      <c r="G31" s="51">
        <v>106.04</v>
      </c>
      <c r="H31" s="51">
        <v>45.98</v>
      </c>
      <c r="I31" s="51">
        <v>0.76</v>
      </c>
      <c r="J31" s="51">
        <v>0.74</v>
      </c>
      <c r="K31" s="51">
        <v>240.56</v>
      </c>
      <c r="L31" s="51">
        <v>23.95</v>
      </c>
      <c r="M31" s="51">
        <v>65.83</v>
      </c>
      <c r="N31" s="51">
        <v>4.70</v>
      </c>
      <c r="O31" s="51">
        <v>0</v>
      </c>
      <c r="P31" s="51">
        <v>1.36</v>
      </c>
      <c r="Q31" s="51">
        <v>34.67</v>
      </c>
      <c r="R31" s="43"/>
      <c r="S31" s="43"/>
      <c r="T31" s="43"/>
      <c r="U31" s="43"/>
    </row>
    <row r="32" spans="1:21" s="11" customFormat="1" ht="15">
      <c r="A32" s="50" t="s">
        <v>205</v>
      </c>
      <c r="B32" s="51">
        <v>19.75</v>
      </c>
      <c r="C32" s="51">
        <v>50.77</v>
      </c>
      <c r="D32" s="51">
        <v>43.91</v>
      </c>
      <c r="E32" s="51">
        <v>2.88</v>
      </c>
      <c r="F32" s="51">
        <v>11.96</v>
      </c>
      <c r="G32" s="51">
        <v>47.30</v>
      </c>
      <c r="H32" s="51">
        <v>29.78</v>
      </c>
      <c r="I32" s="51">
        <v>0.66</v>
      </c>
      <c r="J32" s="51">
        <v>0.45</v>
      </c>
      <c r="K32" s="51">
        <v>261.07</v>
      </c>
      <c r="L32" s="51">
        <v>23.20</v>
      </c>
      <c r="M32" s="51">
        <v>67.84</v>
      </c>
      <c r="N32" s="51">
        <v>4.70</v>
      </c>
      <c r="O32" s="51">
        <v>0</v>
      </c>
      <c r="P32" s="51">
        <v>1.21</v>
      </c>
      <c r="Q32" s="51">
        <v>35.14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9.1699999999999999</v>
      </c>
      <c r="C34" s="28">
        <f t="shared" si="0"/>
        <v>50.770000000000003</v>
      </c>
      <c r="D34" s="28">
        <f t="shared" si="0"/>
        <v>42.299999999999997</v>
      </c>
      <c r="E34" s="28">
        <f t="shared" si="0"/>
        <v>1.3899999999999999</v>
      </c>
      <c r="F34" s="28">
        <f t="shared" si="0"/>
        <v>3.1800000000000002</v>
      </c>
      <c r="G34" s="28">
        <f t="shared" si="0"/>
        <v>47.299999999999997</v>
      </c>
      <c r="H34" s="28">
        <f t="shared" si="0"/>
        <v>29.780000000000001</v>
      </c>
      <c r="I34" s="28">
        <f t="shared" si="0"/>
        <v>0.56999999999999995</v>
      </c>
      <c r="J34" s="28">
        <f t="shared" si="0"/>
        <v>0.10000000000000001</v>
      </c>
      <c r="K34" s="28">
        <f t="shared" si="0"/>
        <v>31.370000000000001</v>
      </c>
      <c r="L34" s="28">
        <f t="shared" si="0"/>
        <v>21.84</v>
      </c>
      <c r="M34" s="28">
        <f t="shared" si="0"/>
        <v>25.420000000000002</v>
      </c>
      <c r="N34" s="28">
        <f t="shared" si="0"/>
        <v>4.7000000000000002</v>
      </c>
      <c r="O34" s="28">
        <f t="shared" si="0"/>
        <v>0</v>
      </c>
      <c r="P34" s="28">
        <f t="shared" si="0"/>
        <v>0.95999999999999996</v>
      </c>
      <c r="Q34" s="28">
        <f t="shared" si="0"/>
        <v>28.469999999999999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81.319999999999993</v>
      </c>
      <c r="C35" s="29">
        <f t="shared" si="1"/>
        <v>121.66</v>
      </c>
      <c r="D35" s="29">
        <f t="shared" si="1"/>
        <v>132.78</v>
      </c>
      <c r="E35" s="29">
        <f t="shared" si="1"/>
        <v>26.550000000000001</v>
      </c>
      <c r="F35" s="29">
        <f t="shared" si="1"/>
        <v>45.280000000000001</v>
      </c>
      <c r="G35" s="29">
        <f t="shared" si="1"/>
        <v>222.00999999999999</v>
      </c>
      <c r="H35" s="29">
        <f t="shared" si="1"/>
        <v>45.979999999999997</v>
      </c>
      <c r="I35" s="29">
        <f t="shared" si="1"/>
        <v>1.24</v>
      </c>
      <c r="J35" s="29">
        <f t="shared" si="1"/>
        <v>1.49</v>
      </c>
      <c r="K35" s="29">
        <f t="shared" si="1"/>
        <v>359.06999999999999</v>
      </c>
      <c r="L35" s="29">
        <f t="shared" si="1"/>
        <v>35.859999999999999</v>
      </c>
      <c r="M35" s="29">
        <f t="shared" si="1"/>
        <v>75.620000000000005</v>
      </c>
      <c r="N35" s="29">
        <f t="shared" si="1"/>
        <v>803.60000000000002</v>
      </c>
      <c r="O35" s="29">
        <f t="shared" si="1"/>
        <v>0</v>
      </c>
      <c r="P35" s="29">
        <f t="shared" si="1"/>
        <v>2.6699999999999999</v>
      </c>
      <c r="Q35" s="29">
        <f t="shared" si="1"/>
        <v>42.520000000000003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35.428333333333335</v>
      </c>
      <c r="C36" s="28">
        <f t="shared" si="2"/>
        <v>69.985833333333332</v>
      </c>
      <c r="D36" s="28">
        <f t="shared" si="2"/>
        <v>67.068750000000009</v>
      </c>
      <c r="E36" s="28">
        <f t="shared" si="2"/>
        <v>8.9983333333333331</v>
      </c>
      <c r="F36" s="28">
        <f t="shared" si="2"/>
        <v>13.092499999999999</v>
      </c>
      <c r="G36" s="28">
        <f t="shared" si="2"/>
        <v>130.58333333333334</v>
      </c>
      <c r="H36" s="28">
        <f t="shared" si="2"/>
        <v>36.799583333333324</v>
      </c>
      <c r="I36" s="28">
        <f t="shared" si="2"/>
        <v>0.7400000000000001</v>
      </c>
      <c r="J36" s="28">
        <f t="shared" si="2"/>
        <v>0.61416666666666653</v>
      </c>
      <c r="K36" s="28">
        <f t="shared" si="2"/>
        <v>212.72249999999997</v>
      </c>
      <c r="L36" s="28">
        <f t="shared" si="2"/>
        <v>28.03583333333334</v>
      </c>
      <c r="M36" s="28">
        <f t="shared" si="2"/>
        <v>48.657083333333325</v>
      </c>
      <c r="N36" s="28">
        <f t="shared" si="2"/>
        <v>225.92500000000004</v>
      </c>
      <c r="O36" s="28">
        <f t="shared" si="2"/>
        <v>0</v>
      </c>
      <c r="P36" s="28">
        <f t="shared" si="2"/>
        <v>1.3425000000000002</v>
      </c>
      <c r="Q36" s="28">
        <f t="shared" si="2"/>
        <v>37.540833333333332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22.158822105460594</v>
      </c>
      <c r="C37" s="28">
        <f t="shared" si="3" ref="C37:Q37">STDEV(C9:C32)</f>
        <v>19.074912482941681</v>
      </c>
      <c r="D37" s="28">
        <f t="shared" si="3"/>
        <v>24.844543152501739</v>
      </c>
      <c r="E37" s="28">
        <f t="shared" si="3"/>
        <v>7.9679104601802164</v>
      </c>
      <c r="F37" s="28">
        <f t="shared" si="3"/>
        <v>11.059879805149235</v>
      </c>
      <c r="G37" s="28">
        <f t="shared" si="3"/>
        <v>43.252802640197501</v>
      </c>
      <c r="H37" s="28">
        <f t="shared" si="3"/>
        <v>3.7756836169576387</v>
      </c>
      <c r="I37" s="28">
        <f t="shared" si="3"/>
        <v>0.16442257329422719</v>
      </c>
      <c r="J37" s="28">
        <f t="shared" si="3"/>
        <v>0.44268859077888745</v>
      </c>
      <c r="K37" s="28">
        <f t="shared" si="3"/>
        <v>130.05949134580857</v>
      </c>
      <c r="L37" s="28">
        <f t="shared" si="3"/>
        <v>4.7885496730236063</v>
      </c>
      <c r="M37" s="28">
        <f t="shared" si="3"/>
        <v>17.340257627885759</v>
      </c>
      <c r="N37" s="28">
        <f t="shared" si="3"/>
        <v>287.88731981982716</v>
      </c>
      <c r="O37" s="28">
        <f t="shared" si="3"/>
        <v>0</v>
      </c>
      <c r="P37" s="28">
        <f t="shared" si="3"/>
        <v>0.4347438026160273</v>
      </c>
      <c r="Q37" s="28">
        <f t="shared" si="3"/>
        <v>3.3735002035257691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40ab4f-b906-4d66-a4ae-f48bdc6f09a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81" sqref="I81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206</v>
      </c>
      <c r="B9" s="51">
        <v>15.90</v>
      </c>
      <c r="C9" s="51">
        <v>54.35</v>
      </c>
      <c r="D9" s="51">
        <v>43.12</v>
      </c>
      <c r="E9" s="51">
        <v>2.0699999999999998</v>
      </c>
      <c r="F9" s="51">
        <v>3.71</v>
      </c>
      <c r="G9" s="51">
        <v>31.10</v>
      </c>
      <c r="H9" s="51">
        <v>22.61</v>
      </c>
      <c r="I9" s="51">
        <v>0.69</v>
      </c>
      <c r="J9" s="51">
        <v>0.31</v>
      </c>
      <c r="K9" s="51">
        <v>259.57</v>
      </c>
      <c r="L9" s="51">
        <v>22.71</v>
      </c>
      <c r="M9" s="51">
        <v>69.89</v>
      </c>
      <c r="N9" s="51">
        <v>4.5999999999999996</v>
      </c>
      <c r="O9" s="51">
        <v>0</v>
      </c>
      <c r="P9" s="51">
        <v>1.05</v>
      </c>
      <c r="Q9" s="51">
        <v>37.36</v>
      </c>
      <c r="R9" s="43"/>
      <c r="S9" s="43"/>
      <c r="T9" s="43"/>
      <c r="U9" s="43"/>
    </row>
    <row r="10" spans="1:21" s="11" customFormat="1" ht="15">
      <c r="A10" s="50" t="s">
        <v>207</v>
      </c>
      <c r="B10" s="51">
        <v>7.12</v>
      </c>
      <c r="C10" s="51">
        <v>51.48</v>
      </c>
      <c r="D10" s="51">
        <v>34.86</v>
      </c>
      <c r="E10" s="51">
        <v>2.39</v>
      </c>
      <c r="F10" s="51">
        <v>13.87</v>
      </c>
      <c r="G10" s="51">
        <v>28.17</v>
      </c>
      <c r="H10" s="51">
        <v>17.14</v>
      </c>
      <c r="I10" s="51">
        <v>0.63</v>
      </c>
      <c r="J10" s="51">
        <v>0.35</v>
      </c>
      <c r="K10" s="51">
        <v>298.11</v>
      </c>
      <c r="L10" s="51">
        <v>22.28</v>
      </c>
      <c r="M10" s="51">
        <v>71.31</v>
      </c>
      <c r="N10" s="51">
        <v>4.70</v>
      </c>
      <c r="O10" s="51">
        <v>0</v>
      </c>
      <c r="P10" s="51">
        <v>0.76</v>
      </c>
      <c r="Q10" s="51">
        <v>36.729999999999997</v>
      </c>
      <c r="R10" s="43"/>
      <c r="S10" s="43"/>
      <c r="T10" s="43"/>
      <c r="U10" s="43"/>
    </row>
    <row r="11" spans="1:21" s="11" customFormat="1" ht="15">
      <c r="A11" s="50" t="s">
        <v>208</v>
      </c>
      <c r="B11" s="51">
        <v>6.59</v>
      </c>
      <c r="C11" s="51">
        <v>46.08</v>
      </c>
      <c r="D11" s="51">
        <v>31.35</v>
      </c>
      <c r="E11" s="51">
        <v>2.10</v>
      </c>
      <c r="F11" s="51">
        <v>10.88</v>
      </c>
      <c r="G11" s="51">
        <v>37.85</v>
      </c>
      <c r="H11" s="51">
        <v>17.14</v>
      </c>
      <c r="I11" s="51">
        <v>0.60</v>
      </c>
      <c r="J11" s="51">
        <v>0.11</v>
      </c>
      <c r="K11" s="51">
        <v>268.56</v>
      </c>
      <c r="L11" s="51">
        <v>21.93</v>
      </c>
      <c r="M11" s="51">
        <v>69.23</v>
      </c>
      <c r="N11" s="51">
        <v>4.70</v>
      </c>
      <c r="O11" s="51">
        <v>0</v>
      </c>
      <c r="P11" s="51">
        <v>0.66</v>
      </c>
      <c r="Q11" s="51">
        <v>29.10</v>
      </c>
      <c r="R11" s="43"/>
      <c r="S11" s="43"/>
      <c r="T11" s="43"/>
      <c r="U11" s="43"/>
    </row>
    <row r="12" spans="1:21" s="11" customFormat="1" ht="15">
      <c r="A12" s="50" t="s">
        <v>209</v>
      </c>
      <c r="B12" s="51">
        <v>7.49</v>
      </c>
      <c r="C12" s="51">
        <v>48.95</v>
      </c>
      <c r="D12" s="51">
        <v>33.76</v>
      </c>
      <c r="E12" s="51">
        <v>2.13</v>
      </c>
      <c r="F12" s="51">
        <v>6.98</v>
      </c>
      <c r="G12" s="51">
        <v>37.85</v>
      </c>
      <c r="H12" s="51">
        <v>14.01</v>
      </c>
      <c r="I12" s="51">
        <v>0.57999999999999996</v>
      </c>
      <c r="J12" s="51">
        <v>0.22</v>
      </c>
      <c r="K12" s="51">
        <v>355.98</v>
      </c>
      <c r="L12" s="51">
        <v>21.13</v>
      </c>
      <c r="M12" s="51">
        <v>72.80</v>
      </c>
      <c r="N12" s="51">
        <v>4.9000000000000004</v>
      </c>
      <c r="O12" s="51">
        <v>0</v>
      </c>
      <c r="P12" s="51">
        <v>0.63</v>
      </c>
      <c r="Q12" s="51">
        <v>36.33</v>
      </c>
      <c r="R12" s="43"/>
      <c r="S12" s="43"/>
      <c r="T12" s="43"/>
      <c r="U12" s="43"/>
    </row>
    <row r="13" spans="1:21" s="11" customFormat="1" ht="15">
      <c r="A13" s="50" t="s">
        <v>210</v>
      </c>
      <c r="B13" s="51">
        <v>7.79</v>
      </c>
      <c r="C13" s="51">
        <v>50.14</v>
      </c>
      <c r="D13" s="51">
        <v>33.700000000000003</v>
      </c>
      <c r="E13" s="51">
        <v>1.42</v>
      </c>
      <c r="F13" s="51">
        <v>4.17</v>
      </c>
      <c r="G13" s="51">
        <v>31.40</v>
      </c>
      <c r="H13" s="51">
        <v>14.04</v>
      </c>
      <c r="I13" s="51">
        <v>0.56999999999999995</v>
      </c>
      <c r="J13" s="51">
        <v>0.27</v>
      </c>
      <c r="K13" s="51">
        <v>250.86</v>
      </c>
      <c r="L13" s="51">
        <v>21.57</v>
      </c>
      <c r="M13" s="51">
        <v>73.25</v>
      </c>
      <c r="N13" s="51">
        <v>4.80</v>
      </c>
      <c r="O13" s="51">
        <v>0</v>
      </c>
      <c r="P13" s="51">
        <v>0.55000000000000004</v>
      </c>
      <c r="Q13" s="51">
        <v>36.93</v>
      </c>
      <c r="R13" s="43"/>
      <c r="S13" s="43"/>
      <c r="T13" s="43"/>
      <c r="U13" s="43"/>
    </row>
    <row r="14" spans="1:21" s="11" customFormat="1" ht="15">
      <c r="A14" s="50" t="s">
        <v>211</v>
      </c>
      <c r="B14" s="51">
        <v>11.64</v>
      </c>
      <c r="C14" s="51">
        <v>48.39</v>
      </c>
      <c r="D14" s="51">
        <v>36.04</v>
      </c>
      <c r="E14" s="51">
        <v>1.93</v>
      </c>
      <c r="F14" s="51">
        <v>7.13</v>
      </c>
      <c r="G14" s="51">
        <v>59.44</v>
      </c>
      <c r="H14" s="51">
        <v>18.190000000000001</v>
      </c>
      <c r="I14" s="51">
        <v>0.56000000000000005</v>
      </c>
      <c r="J14" s="51">
        <v>1.1499999999999999</v>
      </c>
      <c r="K14" s="51">
        <v>158.44999999999999</v>
      </c>
      <c r="L14" s="51">
        <v>21.60</v>
      </c>
      <c r="M14" s="51">
        <v>68.83</v>
      </c>
      <c r="N14" s="51">
        <v>13</v>
      </c>
      <c r="O14" s="51">
        <v>0</v>
      </c>
      <c r="P14" s="51">
        <v>0.53</v>
      </c>
      <c r="Q14" s="51">
        <v>32.130000000000003</v>
      </c>
      <c r="R14" s="43"/>
      <c r="S14" s="43"/>
      <c r="T14" s="43"/>
      <c r="U14" s="43"/>
    </row>
    <row r="15" spans="1:21" s="11" customFormat="1" ht="15">
      <c r="A15" s="50" t="s">
        <v>212</v>
      </c>
      <c r="B15" s="51">
        <v>12.89</v>
      </c>
      <c r="C15" s="51">
        <v>47.13</v>
      </c>
      <c r="D15" s="51">
        <v>37</v>
      </c>
      <c r="E15" s="51">
        <v>1.58</v>
      </c>
      <c r="F15" s="51">
        <v>4.1900000000000004</v>
      </c>
      <c r="G15" s="51">
        <v>59.44</v>
      </c>
      <c r="H15" s="51">
        <v>18.190000000000001</v>
      </c>
      <c r="I15" s="51">
        <v>0.60</v>
      </c>
      <c r="J15" s="51">
        <v>0.68</v>
      </c>
      <c r="K15" s="51">
        <v>193.66</v>
      </c>
      <c r="L15" s="51">
        <v>22.25</v>
      </c>
      <c r="M15" s="51">
        <v>70.430000000000007</v>
      </c>
      <c r="N15" s="51">
        <v>141.10</v>
      </c>
      <c r="O15" s="51">
        <v>0</v>
      </c>
      <c r="P15" s="51">
        <v>0.52</v>
      </c>
      <c r="Q15" s="51">
        <v>36.93</v>
      </c>
      <c r="R15" s="43"/>
      <c r="S15" s="43"/>
      <c r="T15" s="43"/>
      <c r="U15" s="43"/>
    </row>
    <row r="16" spans="1:21" s="11" customFormat="1" ht="15">
      <c r="A16" s="50" t="s">
        <v>213</v>
      </c>
      <c r="B16" s="51">
        <v>12.67</v>
      </c>
      <c r="C16" s="51">
        <v>50.10</v>
      </c>
      <c r="D16" s="51">
        <v>36.54</v>
      </c>
      <c r="E16" s="51">
        <v>1.66</v>
      </c>
      <c r="F16" s="51">
        <v>3.60</v>
      </c>
      <c r="G16" s="51">
        <v>42.81</v>
      </c>
      <c r="H16" s="51">
        <v>18.54</v>
      </c>
      <c r="I16" s="51">
        <v>0.59</v>
      </c>
      <c r="J16" s="51">
        <v>0.71</v>
      </c>
      <c r="K16" s="51">
        <v>182.37</v>
      </c>
      <c r="L16" s="51">
        <v>25.08</v>
      </c>
      <c r="M16" s="51">
        <v>66.790000000000006</v>
      </c>
      <c r="N16" s="51">
        <v>351.70</v>
      </c>
      <c r="O16" s="51">
        <v>0</v>
      </c>
      <c r="P16" s="51">
        <v>0.57999999999999996</v>
      </c>
      <c r="Q16" s="51">
        <v>39.03</v>
      </c>
      <c r="R16" s="43"/>
      <c r="S16" s="43"/>
      <c r="T16" s="43"/>
      <c r="U16" s="43"/>
    </row>
    <row r="17" spans="1:21" s="11" customFormat="1" ht="15">
      <c r="A17" s="50" t="s">
        <v>214</v>
      </c>
      <c r="B17" s="51">
        <v>7.87</v>
      </c>
      <c r="C17" s="51">
        <v>50.51</v>
      </c>
      <c r="D17" s="51">
        <v>34.65</v>
      </c>
      <c r="E17" s="51">
        <v>2.67</v>
      </c>
      <c r="F17" s="51">
        <v>11.02</v>
      </c>
      <c r="G17" s="51">
        <v>38.700000000000003</v>
      </c>
      <c r="H17" s="51">
        <v>19.32</v>
      </c>
      <c r="I17" s="51">
        <v>0.56000000000000005</v>
      </c>
      <c r="J17" s="51">
        <v>0.84</v>
      </c>
      <c r="K17" s="51">
        <v>216.48</v>
      </c>
      <c r="L17" s="51">
        <v>27.88</v>
      </c>
      <c r="M17" s="51">
        <v>57.28</v>
      </c>
      <c r="N17" s="51">
        <v>572.40</v>
      </c>
      <c r="O17" s="51">
        <v>0</v>
      </c>
      <c r="P17" s="51">
        <v>0.57999999999999996</v>
      </c>
      <c r="Q17" s="51">
        <v>37.90</v>
      </c>
      <c r="R17" s="43"/>
      <c r="S17" s="43"/>
      <c r="T17" s="43"/>
      <c r="U17" s="43"/>
    </row>
    <row r="18" spans="1:21" s="11" customFormat="1" ht="15">
      <c r="A18" s="50" t="s">
        <v>215</v>
      </c>
      <c r="B18" s="51">
        <v>7.45</v>
      </c>
      <c r="C18" s="51">
        <v>44.67</v>
      </c>
      <c r="D18" s="51">
        <v>31.26</v>
      </c>
      <c r="E18" s="51">
        <v>7.18</v>
      </c>
      <c r="F18" s="51">
        <v>19.64</v>
      </c>
      <c r="G18" s="51">
        <v>46.20</v>
      </c>
      <c r="H18" s="51">
        <v>19.86</v>
      </c>
      <c r="I18" s="51">
        <v>0.56999999999999995</v>
      </c>
      <c r="J18" s="51">
        <v>0.59</v>
      </c>
      <c r="K18" s="51">
        <v>174.30</v>
      </c>
      <c r="L18" s="51">
        <v>31.72</v>
      </c>
      <c r="M18" s="51">
        <v>42.16</v>
      </c>
      <c r="N18" s="51">
        <v>734.10</v>
      </c>
      <c r="O18" s="51">
        <v>0</v>
      </c>
      <c r="P18" s="51">
        <v>0.66</v>
      </c>
      <c r="Q18" s="51">
        <v>32.08</v>
      </c>
      <c r="R18" s="43"/>
      <c r="S18" s="43"/>
      <c r="T18" s="43"/>
      <c r="U18" s="43"/>
    </row>
    <row r="19" spans="1:21" s="11" customFormat="1" ht="15">
      <c r="A19" s="50" t="s">
        <v>216</v>
      </c>
      <c r="B19" s="51">
        <v>7.07</v>
      </c>
      <c r="C19" s="51">
        <v>85.27</v>
      </c>
      <c r="D19" s="51">
        <v>52.09</v>
      </c>
      <c r="E19" s="51">
        <v>7.33</v>
      </c>
      <c r="F19" s="51">
        <v>21.79</v>
      </c>
      <c r="G19" s="51">
        <v>53.82</v>
      </c>
      <c r="H19" s="51">
        <v>19.86</v>
      </c>
      <c r="I19" s="51">
        <v>0.61</v>
      </c>
      <c r="J19" s="51">
        <v>0.57999999999999996</v>
      </c>
      <c r="K19" s="51">
        <v>277.45</v>
      </c>
      <c r="L19" s="51">
        <v>33.799999999999997</v>
      </c>
      <c r="M19" s="51">
        <v>34.72</v>
      </c>
      <c r="N19" s="51">
        <v>656.10</v>
      </c>
      <c r="O19" s="51">
        <v>0</v>
      </c>
      <c r="P19" s="51">
        <v>1.34</v>
      </c>
      <c r="Q19" s="51">
        <v>32.97</v>
      </c>
      <c r="R19" s="43"/>
      <c r="S19" s="43"/>
      <c r="T19" s="43"/>
      <c r="U19" s="43"/>
    </row>
    <row r="20" spans="1:21" s="11" customFormat="1" ht="15">
      <c r="A20" s="50" t="s">
        <v>217</v>
      </c>
      <c r="B20" s="51">
        <v>4.1100000000000003</v>
      </c>
      <c r="C20" s="51">
        <v>79.83</v>
      </c>
      <c r="D20" s="51">
        <v>47.47</v>
      </c>
      <c r="E20" s="51">
        <v>2.2999999999999998</v>
      </c>
      <c r="F20" s="51">
        <v>11.79</v>
      </c>
      <c r="G20" s="51">
        <v>53.82</v>
      </c>
      <c r="H20" s="51">
        <v>22.53</v>
      </c>
      <c r="I20" s="51">
        <v>0.56000000000000005</v>
      </c>
      <c r="J20" s="51">
        <v>0.66</v>
      </c>
      <c r="K20" s="51">
        <v>127.36</v>
      </c>
      <c r="L20" s="51">
        <v>35.04</v>
      </c>
      <c r="M20" s="51">
        <v>33.979999999999997</v>
      </c>
      <c r="N20" s="51">
        <v>712</v>
      </c>
      <c r="O20" s="51">
        <v>0</v>
      </c>
      <c r="P20" s="51">
        <v>1.27</v>
      </c>
      <c r="Q20" s="51">
        <v>33.42</v>
      </c>
      <c r="R20" s="43"/>
      <c r="S20" s="43"/>
      <c r="T20" s="43"/>
      <c r="U20" s="43"/>
    </row>
    <row r="21" spans="1:21" s="11" customFormat="1" ht="15">
      <c r="A21" s="50" t="s">
        <v>218</v>
      </c>
      <c r="B21" s="51">
        <v>6.84</v>
      </c>
      <c r="C21" s="51">
        <v>53.43</v>
      </c>
      <c r="D21" s="51">
        <v>35.71</v>
      </c>
      <c r="E21" s="51">
        <v>7.40</v>
      </c>
      <c r="F21" s="51">
        <v>38.61</v>
      </c>
      <c r="G21" s="51">
        <v>46.48</v>
      </c>
      <c r="H21" s="51">
        <v>25.17</v>
      </c>
      <c r="I21" s="51">
        <v>0.52</v>
      </c>
      <c r="J21" s="51">
        <v>0.42</v>
      </c>
      <c r="K21" s="51">
        <v>342.67</v>
      </c>
      <c r="L21" s="51">
        <v>35.24</v>
      </c>
      <c r="M21" s="51">
        <v>28.24</v>
      </c>
      <c r="N21" s="51">
        <v>811.80</v>
      </c>
      <c r="O21" s="51">
        <v>0</v>
      </c>
      <c r="P21" s="51">
        <v>1.1000000000000001</v>
      </c>
      <c r="Q21" s="51">
        <v>32.270000000000003</v>
      </c>
      <c r="R21" s="43"/>
      <c r="S21" s="43"/>
      <c r="T21" s="43"/>
      <c r="U21" s="43"/>
    </row>
    <row r="22" spans="1:21" s="11" customFormat="1" ht="15">
      <c r="A22" s="50" t="s">
        <v>219</v>
      </c>
      <c r="B22" s="51">
        <v>3.47</v>
      </c>
      <c r="C22" s="51">
        <v>38.659999999999997</v>
      </c>
      <c r="D22" s="51">
        <v>24.86</v>
      </c>
      <c r="E22" s="51">
        <v>6.93</v>
      </c>
      <c r="F22" s="51">
        <v>55.02</v>
      </c>
      <c r="G22" s="51">
        <v>45.40</v>
      </c>
      <c r="H22" s="51">
        <v>25.5</v>
      </c>
      <c r="I22" s="51">
        <v>0.56000000000000005</v>
      </c>
      <c r="J22" s="51">
        <v>0.74</v>
      </c>
      <c r="K22" s="51">
        <v>220.59</v>
      </c>
      <c r="L22" s="51">
        <v>34.700000000000003</v>
      </c>
      <c r="M22" s="51">
        <v>28.41</v>
      </c>
      <c r="N22" s="51">
        <v>699.20</v>
      </c>
      <c r="O22" s="51">
        <v>0</v>
      </c>
      <c r="P22" s="51">
        <v>0.87</v>
      </c>
      <c r="Q22" s="51">
        <v>28.60</v>
      </c>
      <c r="R22" s="43"/>
      <c r="S22" s="43"/>
      <c r="T22" s="43"/>
      <c r="U22" s="43"/>
    </row>
    <row r="23" spans="1:21" s="11" customFormat="1" ht="15">
      <c r="A23" s="50" t="s">
        <v>220</v>
      </c>
      <c r="B23" s="51">
        <v>2.4900000000000002</v>
      </c>
      <c r="C23" s="51">
        <v>45.11</v>
      </c>
      <c r="D23" s="51">
        <v>27.63</v>
      </c>
      <c r="E23" s="51">
        <v>3.24</v>
      </c>
      <c r="F23" s="51">
        <v>19.88</v>
      </c>
      <c r="G23" s="51">
        <v>52.13</v>
      </c>
      <c r="H23" s="51">
        <v>25.5</v>
      </c>
      <c r="I23" s="51">
        <v>0.61</v>
      </c>
      <c r="J23" s="51">
        <v>0.46</v>
      </c>
      <c r="K23" s="51">
        <v>233.14</v>
      </c>
      <c r="L23" s="51">
        <v>35.49</v>
      </c>
      <c r="M23" s="51">
        <v>26.66</v>
      </c>
      <c r="N23" s="51">
        <v>688.60</v>
      </c>
      <c r="O23" s="51">
        <v>0</v>
      </c>
      <c r="P23" s="51">
        <v>0.77</v>
      </c>
      <c r="Q23" s="51">
        <v>32.01</v>
      </c>
      <c r="R23" s="43"/>
      <c r="S23" s="43"/>
      <c r="T23" s="43"/>
      <c r="U23" s="43"/>
    </row>
    <row r="24" spans="1:21" s="11" customFormat="1" ht="15">
      <c r="A24" s="50" t="s">
        <v>221</v>
      </c>
      <c r="B24" s="51">
        <v>2.14</v>
      </c>
      <c r="C24" s="51">
        <v>66.5</v>
      </c>
      <c r="D24" s="51">
        <v>39.15</v>
      </c>
      <c r="E24" s="51">
        <v>2.79</v>
      </c>
      <c r="F24" s="51">
        <v>30.52</v>
      </c>
      <c r="G24" s="51">
        <v>52.13</v>
      </c>
      <c r="H24" s="51">
        <v>23.37</v>
      </c>
      <c r="I24" s="51">
        <v>0.53</v>
      </c>
      <c r="J24" s="51">
        <v>0.55000000000000004</v>
      </c>
      <c r="K24" s="51">
        <v>258.14999999999998</v>
      </c>
      <c r="L24" s="51">
        <v>33.96</v>
      </c>
      <c r="M24" s="51">
        <v>26.61</v>
      </c>
      <c r="N24" s="51">
        <v>400.10</v>
      </c>
      <c r="O24" s="51">
        <v>0</v>
      </c>
      <c r="P24" s="51">
        <v>0.63</v>
      </c>
      <c r="Q24" s="51">
        <v>31.14</v>
      </c>
      <c r="R24" s="43"/>
      <c r="S24" s="43"/>
      <c r="T24" s="43"/>
      <c r="U24" s="43"/>
    </row>
    <row r="25" spans="1:21" s="11" customFormat="1" ht="15">
      <c r="A25" s="50" t="s">
        <v>222</v>
      </c>
      <c r="B25" s="51">
        <v>2.69</v>
      </c>
      <c r="C25" s="51">
        <v>55.91</v>
      </c>
      <c r="D25" s="51">
        <v>33.700000000000003</v>
      </c>
      <c r="E25" s="51">
        <v>3.38</v>
      </c>
      <c r="F25" s="51">
        <v>30.22</v>
      </c>
      <c r="G25" s="51">
        <v>53.01</v>
      </c>
      <c r="H25" s="51">
        <v>23.37</v>
      </c>
      <c r="I25" s="51">
        <v>0.49</v>
      </c>
      <c r="J25" s="51">
        <v>0.44</v>
      </c>
      <c r="K25" s="51">
        <v>291.39</v>
      </c>
      <c r="L25" s="51">
        <v>32.950000000000003</v>
      </c>
      <c r="M25" s="51">
        <v>25.09</v>
      </c>
      <c r="N25" s="51">
        <v>200.30</v>
      </c>
      <c r="O25" s="51">
        <v>0</v>
      </c>
      <c r="P25" s="51">
        <v>0.61</v>
      </c>
      <c r="Q25" s="51">
        <v>28.58</v>
      </c>
      <c r="R25" s="43"/>
      <c r="S25" s="43"/>
      <c r="T25" s="43"/>
      <c r="U25" s="43"/>
    </row>
    <row r="26" spans="1:21" s="11" customFormat="1" ht="15">
      <c r="A26" s="50" t="s">
        <v>223</v>
      </c>
      <c r="B26" s="51">
        <v>4.66</v>
      </c>
      <c r="C26" s="51">
        <v>59.45</v>
      </c>
      <c r="D26" s="51">
        <v>37.29</v>
      </c>
      <c r="E26" s="51">
        <v>3.37</v>
      </c>
      <c r="F26" s="51">
        <v>24.19</v>
      </c>
      <c r="G26" s="51">
        <v>53.01</v>
      </c>
      <c r="H26" s="51">
        <v>21.49</v>
      </c>
      <c r="I26" s="51">
        <v>0.52</v>
      </c>
      <c r="J26" s="51">
        <v>0.52</v>
      </c>
      <c r="K26" s="51">
        <v>258.83</v>
      </c>
      <c r="L26" s="51">
        <v>32.200000000000003</v>
      </c>
      <c r="M26" s="51">
        <v>26.18</v>
      </c>
      <c r="N26" s="51">
        <v>74.400000000000006</v>
      </c>
      <c r="O26" s="51">
        <v>0</v>
      </c>
      <c r="P26" s="51">
        <v>0.63</v>
      </c>
      <c r="Q26" s="51">
        <v>31.07</v>
      </c>
      <c r="R26" s="43"/>
      <c r="S26" s="43"/>
      <c r="T26" s="43"/>
      <c r="U26" s="43"/>
    </row>
    <row r="27" spans="1:21" s="11" customFormat="1" ht="15">
      <c r="A27" s="50" t="s">
        <v>224</v>
      </c>
      <c r="B27" s="51">
        <v>3.18</v>
      </c>
      <c r="C27" s="51">
        <v>53.70</v>
      </c>
      <c r="D27" s="51">
        <v>32.78</v>
      </c>
      <c r="E27" s="51">
        <v>2.23</v>
      </c>
      <c r="F27" s="51">
        <v>13.58</v>
      </c>
      <c r="G27" s="51">
        <v>65.599999999999994</v>
      </c>
      <c r="H27" s="51">
        <v>23.56</v>
      </c>
      <c r="I27" s="51">
        <v>0.53</v>
      </c>
      <c r="J27" s="51">
        <v>0.28999999999999998</v>
      </c>
      <c r="K27" s="51">
        <v>281.87</v>
      </c>
      <c r="L27" s="51">
        <v>30.62</v>
      </c>
      <c r="M27" s="51">
        <v>32.08</v>
      </c>
      <c r="N27" s="51">
        <v>7.80</v>
      </c>
      <c r="O27" s="51">
        <v>0</v>
      </c>
      <c r="P27" s="51">
        <v>0.70</v>
      </c>
      <c r="Q27" s="51">
        <v>31.37</v>
      </c>
      <c r="R27" s="43"/>
      <c r="S27" s="43"/>
      <c r="T27" s="43"/>
      <c r="U27" s="43"/>
    </row>
    <row r="28" spans="1:21" s="11" customFormat="1" ht="15">
      <c r="A28" s="50" t="s">
        <v>225</v>
      </c>
      <c r="B28" s="51">
        <v>3.07</v>
      </c>
      <c r="C28" s="51">
        <v>55.36</v>
      </c>
      <c r="D28" s="51">
        <v>33.729999999999997</v>
      </c>
      <c r="E28" s="51">
        <v>1.41</v>
      </c>
      <c r="F28" s="51">
        <v>11.25</v>
      </c>
      <c r="G28" s="51">
        <v>217.79</v>
      </c>
      <c r="H28" s="51">
        <v>31.04</v>
      </c>
      <c r="I28" s="51">
        <v>0.53</v>
      </c>
      <c r="J28" s="51">
        <v>2.93</v>
      </c>
      <c r="K28" s="51">
        <v>351.75</v>
      </c>
      <c r="L28" s="51">
        <v>29.97</v>
      </c>
      <c r="M28" s="51">
        <v>52.18</v>
      </c>
      <c r="N28" s="51">
        <v>12.30</v>
      </c>
      <c r="O28" s="51">
        <v>0</v>
      </c>
      <c r="P28" s="51">
        <v>0.74</v>
      </c>
      <c r="Q28" s="51">
        <v>30.64</v>
      </c>
      <c r="R28" s="43"/>
      <c r="S28" s="43"/>
      <c r="T28" s="43"/>
      <c r="U28" s="43"/>
    </row>
    <row r="29" spans="1:21" s="11" customFormat="1" ht="15">
      <c r="A29" s="50" t="s">
        <v>226</v>
      </c>
      <c r="B29" s="51">
        <v>3.10</v>
      </c>
      <c r="C29" s="51">
        <v>45.19</v>
      </c>
      <c r="D29" s="51">
        <v>28.12</v>
      </c>
      <c r="E29" s="51">
        <v>1.47</v>
      </c>
      <c r="F29" s="51">
        <v>11.52</v>
      </c>
      <c r="G29" s="51">
        <v>217.79</v>
      </c>
      <c r="H29" s="51">
        <v>31.04</v>
      </c>
      <c r="I29" s="51">
        <v>0.49</v>
      </c>
      <c r="J29" s="51">
        <v>3.18</v>
      </c>
      <c r="K29" s="51">
        <v>15.21</v>
      </c>
      <c r="L29" s="51">
        <v>23.02</v>
      </c>
      <c r="M29" s="51">
        <v>55.05</v>
      </c>
      <c r="N29" s="51">
        <v>5.60</v>
      </c>
      <c r="O29" s="51">
        <v>0</v>
      </c>
      <c r="P29" s="51">
        <v>0.60</v>
      </c>
      <c r="Q29" s="51">
        <v>21.85</v>
      </c>
      <c r="R29" s="43"/>
      <c r="S29" s="43"/>
      <c r="T29" s="43"/>
      <c r="U29" s="43"/>
    </row>
    <row r="30" spans="1:21" s="11" customFormat="1" ht="15">
      <c r="A30" s="50" t="s">
        <v>227</v>
      </c>
      <c r="B30" s="51">
        <v>4.74</v>
      </c>
      <c r="C30" s="51">
        <v>48.24</v>
      </c>
      <c r="D30" s="51">
        <v>30.40</v>
      </c>
      <c r="E30" s="51">
        <v>1.70</v>
      </c>
      <c r="F30" s="51">
        <v>10.96</v>
      </c>
      <c r="G30" s="51">
        <v>54.92</v>
      </c>
      <c r="H30" s="51">
        <v>27.57</v>
      </c>
      <c r="I30" s="51">
        <v>0.48</v>
      </c>
      <c r="J30" s="51">
        <v>3.21</v>
      </c>
      <c r="K30" s="51">
        <v>24.92</v>
      </c>
      <c r="L30" s="51">
        <v>22.82</v>
      </c>
      <c r="M30" s="51">
        <v>53.15</v>
      </c>
      <c r="N30" s="51">
        <v>5.30</v>
      </c>
      <c r="O30" s="51">
        <v>0</v>
      </c>
      <c r="P30" s="51">
        <v>0.56999999999999995</v>
      </c>
      <c r="Q30" s="51">
        <v>26.76</v>
      </c>
      <c r="R30" s="43"/>
      <c r="S30" s="43"/>
      <c r="T30" s="43"/>
      <c r="U30" s="43"/>
    </row>
    <row r="31" spans="1:21" s="11" customFormat="1" ht="15">
      <c r="A31" s="50" t="s">
        <v>228</v>
      </c>
      <c r="B31" s="51">
        <v>3.92</v>
      </c>
      <c r="C31" s="51">
        <v>48.86</v>
      </c>
      <c r="D31" s="51">
        <v>30.65</v>
      </c>
      <c r="E31" s="51">
        <v>2.99</v>
      </c>
      <c r="F31" s="51">
        <v>16.100000000000001</v>
      </c>
      <c r="G31" s="51">
        <v>61.73</v>
      </c>
      <c r="H31" s="51">
        <v>21.69</v>
      </c>
      <c r="I31" s="51">
        <v>0.48</v>
      </c>
      <c r="J31" s="51">
        <v>2.93</v>
      </c>
      <c r="K31" s="51">
        <v>21.92</v>
      </c>
      <c r="L31" s="51">
        <v>23.03</v>
      </c>
      <c r="M31" s="51">
        <v>52.55</v>
      </c>
      <c r="N31" s="51">
        <v>4.80</v>
      </c>
      <c r="O31" s="51">
        <v>0</v>
      </c>
      <c r="P31" s="51">
        <v>0.55000000000000004</v>
      </c>
      <c r="Q31" s="51">
        <v>28.18</v>
      </c>
      <c r="R31" s="43"/>
      <c r="S31" s="43"/>
      <c r="T31" s="43"/>
      <c r="U31" s="43"/>
    </row>
    <row r="32" spans="1:21" s="11" customFormat="1" ht="15">
      <c r="A32" s="50" t="s">
        <v>229</v>
      </c>
      <c r="B32" s="51">
        <v>4.25</v>
      </c>
      <c r="C32" s="51">
        <v>47.05</v>
      </c>
      <c r="D32" s="51">
        <v>29.81</v>
      </c>
      <c r="E32" s="51">
        <v>5.03</v>
      </c>
      <c r="F32" s="51">
        <v>11.81</v>
      </c>
      <c r="G32" s="51">
        <v>61.73</v>
      </c>
      <c r="H32" s="51">
        <v>20.61</v>
      </c>
      <c r="I32" s="51">
        <v>0.49</v>
      </c>
      <c r="J32" s="51">
        <v>1.35</v>
      </c>
      <c r="K32" s="51">
        <v>83.18</v>
      </c>
      <c r="L32" s="51">
        <v>22.88</v>
      </c>
      <c r="M32" s="51">
        <v>50.76</v>
      </c>
      <c r="N32" s="51">
        <v>5</v>
      </c>
      <c r="O32" s="51">
        <v>0</v>
      </c>
      <c r="P32" s="51">
        <v>0.61</v>
      </c>
      <c r="Q32" s="51">
        <v>28.12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2.1400000000000001</v>
      </c>
      <c r="C34" s="28">
        <f t="shared" si="0"/>
        <v>38.659999999999997</v>
      </c>
      <c r="D34" s="28">
        <f t="shared" si="0"/>
        <v>24.859999999999999</v>
      </c>
      <c r="E34" s="28">
        <f t="shared" si="0"/>
        <v>1.4099999999999999</v>
      </c>
      <c r="F34" s="28">
        <f t="shared" si="0"/>
        <v>3.6000000000000001</v>
      </c>
      <c r="G34" s="28">
        <f t="shared" si="0"/>
        <v>28.170000000000002</v>
      </c>
      <c r="H34" s="28">
        <f t="shared" si="0"/>
        <v>14.01</v>
      </c>
      <c r="I34" s="28">
        <f t="shared" si="0"/>
        <v>0.47999999999999998</v>
      </c>
      <c r="J34" s="28">
        <f t="shared" si="0"/>
        <v>0.11</v>
      </c>
      <c r="K34" s="28">
        <f t="shared" si="0"/>
        <v>15.210000000000001</v>
      </c>
      <c r="L34" s="28">
        <f t="shared" si="0"/>
        <v>21.129999999999999</v>
      </c>
      <c r="M34" s="28">
        <f t="shared" si="0"/>
        <v>25.09</v>
      </c>
      <c r="N34" s="28">
        <f t="shared" si="0"/>
        <v>4.5999999999999996</v>
      </c>
      <c r="O34" s="28">
        <f t="shared" si="0"/>
        <v>0</v>
      </c>
      <c r="P34" s="28">
        <f t="shared" si="0"/>
        <v>0.52000000000000002</v>
      </c>
      <c r="Q34" s="28">
        <f t="shared" si="0"/>
        <v>21.850000000000001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15.9</v>
      </c>
      <c r="C35" s="29">
        <f t="shared" si="1"/>
        <v>85.269999999999996</v>
      </c>
      <c r="D35" s="29">
        <f t="shared" si="1"/>
        <v>52.090000000000003</v>
      </c>
      <c r="E35" s="29">
        <f t="shared" si="1"/>
        <v>7.4000000000000004</v>
      </c>
      <c r="F35" s="29">
        <f t="shared" si="1"/>
        <v>55.020000000000003</v>
      </c>
      <c r="G35" s="29">
        <f t="shared" si="1"/>
        <v>217.78999999999999</v>
      </c>
      <c r="H35" s="29">
        <f t="shared" si="1"/>
        <v>31.039999999999999</v>
      </c>
      <c r="I35" s="29">
        <f t="shared" si="1"/>
        <v>0.68999999999999995</v>
      </c>
      <c r="J35" s="29">
        <f t="shared" si="1"/>
        <v>3.21</v>
      </c>
      <c r="K35" s="29">
        <f t="shared" si="1"/>
        <v>355.98000000000002</v>
      </c>
      <c r="L35" s="29">
        <f t="shared" si="1"/>
        <v>35.490000000000002</v>
      </c>
      <c r="M35" s="29">
        <f t="shared" si="1"/>
        <v>73.25</v>
      </c>
      <c r="N35" s="29">
        <f t="shared" si="1"/>
        <v>811.79999999999995</v>
      </c>
      <c r="O35" s="29">
        <f t="shared" si="1"/>
        <v>0</v>
      </c>
      <c r="P35" s="29">
        <f t="shared" si="1"/>
        <v>1.3400000000000001</v>
      </c>
      <c r="Q35" s="29">
        <f t="shared" si="1"/>
        <v>39.030000000000001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6.3808333333333342</v>
      </c>
      <c r="C36" s="28">
        <f t="shared" si="2"/>
        <v>53.098333333333329</v>
      </c>
      <c r="D36" s="28">
        <f t="shared" si="2"/>
        <v>34.81958333333332</v>
      </c>
      <c r="E36" s="28">
        <f t="shared" si="2"/>
        <v>3.1958333333333329</v>
      </c>
      <c r="F36" s="28">
        <f t="shared" si="2"/>
        <v>16.351249999999997</v>
      </c>
      <c r="G36" s="28">
        <f t="shared" si="2"/>
        <v>62.596666666666671</v>
      </c>
      <c r="H36" s="28">
        <f t="shared" si="2"/>
        <v>21.7225</v>
      </c>
      <c r="I36" s="28">
        <f t="shared" si="2"/>
        <v>0.55624999999999991</v>
      </c>
      <c r="J36" s="28">
        <f t="shared" si="2"/>
        <v>0.9787499999999999</v>
      </c>
      <c r="K36" s="28">
        <f t="shared" si="2"/>
        <v>214.44875000000002</v>
      </c>
      <c r="L36" s="28">
        <f t="shared" si="2"/>
        <v>27.661249999999999</v>
      </c>
      <c r="M36" s="28">
        <f t="shared" si="2"/>
        <v>49.484583333333326</v>
      </c>
      <c r="N36" s="28">
        <f t="shared" si="2"/>
        <v>254.97083333333339</v>
      </c>
      <c r="O36" s="28">
        <f t="shared" si="2"/>
        <v>0</v>
      </c>
      <c r="P36" s="28">
        <f t="shared" si="2"/>
        <v>0.72958333333333325</v>
      </c>
      <c r="Q36" s="28">
        <f t="shared" si="2"/>
        <v>32.145833333333336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3.7104118096380394</v>
      </c>
      <c r="C37" s="28">
        <f t="shared" si="3" ref="C37:Q37">STDEV(C9:C32)</f>
        <v>10.672858166830252</v>
      </c>
      <c r="D37" s="28">
        <f t="shared" si="3"/>
        <v>6.0918573445048585</v>
      </c>
      <c r="E37" s="28">
        <f t="shared" si="3"/>
        <v>2.0067038009949392</v>
      </c>
      <c r="F37" s="28">
        <f t="shared" si="3"/>
        <v>12.303682132668218</v>
      </c>
      <c r="G37" s="28">
        <f t="shared" si="3"/>
        <v>48.891380290053839</v>
      </c>
      <c r="H37" s="28">
        <f t="shared" si="3"/>
        <v>4.5112605487967903</v>
      </c>
      <c r="I37" s="28">
        <f t="shared" si="3"/>
        <v>0.052981744189780168</v>
      </c>
      <c r="J37" s="28">
        <f t="shared" si="3"/>
        <v>0.99281905396353254</v>
      </c>
      <c r="K37" s="28">
        <f t="shared" si="3"/>
        <v>100.22307160019727</v>
      </c>
      <c r="L37" s="28">
        <f t="shared" si="3"/>
        <v>5.5454786224611716</v>
      </c>
      <c r="M37" s="28">
        <f t="shared" si="3"/>
        <v>18.081634203550706</v>
      </c>
      <c r="N37" s="28">
        <f t="shared" si="3"/>
        <v>310.37993334840809</v>
      </c>
      <c r="O37" s="28">
        <f t="shared" si="3"/>
        <v>0</v>
      </c>
      <c r="P37" s="28">
        <f t="shared" si="3"/>
        <v>0.23135666361075832</v>
      </c>
      <c r="Q37" s="28">
        <f t="shared" si="3"/>
        <v>4.1748709083574305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db610d-5206-4316-9b00-0f249eba255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1" sqref="I6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230</v>
      </c>
      <c r="B9" s="51">
        <v>3.53</v>
      </c>
      <c r="C9" s="51">
        <v>43.36</v>
      </c>
      <c r="D9" s="51">
        <v>27.26</v>
      </c>
      <c r="E9" s="51">
        <v>2.5099999999999998</v>
      </c>
      <c r="F9" s="51">
        <v>10.44</v>
      </c>
      <c r="G9" s="51">
        <v>45.03</v>
      </c>
      <c r="H9" s="51">
        <v>14.35</v>
      </c>
      <c r="I9" s="51">
        <v>0.5</v>
      </c>
      <c r="J9" s="51">
        <v>0.94</v>
      </c>
      <c r="K9" s="51">
        <v>94.83</v>
      </c>
      <c r="L9" s="51">
        <v>23.22</v>
      </c>
      <c r="M9" s="51">
        <v>48.06</v>
      </c>
      <c r="N9" s="51">
        <v>4.70</v>
      </c>
      <c r="O9" s="51">
        <v>0</v>
      </c>
      <c r="P9" s="51">
        <v>0.55000000000000004</v>
      </c>
      <c r="Q9" s="51">
        <v>32.01</v>
      </c>
      <c r="R9" s="43"/>
      <c r="S9" s="43"/>
      <c r="T9" s="43"/>
      <c r="U9" s="43"/>
    </row>
    <row r="10" spans="1:21" s="11" customFormat="1" ht="15">
      <c r="A10" s="50" t="s">
        <v>231</v>
      </c>
      <c r="B10" s="51">
        <v>2.78</v>
      </c>
      <c r="C10" s="51">
        <v>42.90</v>
      </c>
      <c r="D10" s="51">
        <v>26.56</v>
      </c>
      <c r="E10" s="51">
        <v>2.02</v>
      </c>
      <c r="F10" s="51">
        <v>6.81</v>
      </c>
      <c r="G10" s="51">
        <v>18.510000000000002</v>
      </c>
      <c r="H10" s="51">
        <v>12.07</v>
      </c>
      <c r="I10" s="51">
        <v>0.49</v>
      </c>
      <c r="J10" s="51">
        <v>1.52</v>
      </c>
      <c r="K10" s="51">
        <v>354.95</v>
      </c>
      <c r="L10" s="51">
        <v>23.49</v>
      </c>
      <c r="M10" s="51">
        <v>48.87</v>
      </c>
      <c r="N10" s="51">
        <v>5.30</v>
      </c>
      <c r="O10" s="51">
        <v>0</v>
      </c>
      <c r="P10" s="51">
        <v>0.48</v>
      </c>
      <c r="Q10" s="51">
        <v>33.799999999999997</v>
      </c>
      <c r="R10" s="43"/>
      <c r="S10" s="43"/>
      <c r="T10" s="43"/>
      <c r="U10" s="43"/>
    </row>
    <row r="11" spans="1:21" s="11" customFormat="1" ht="15">
      <c r="A11" s="50" t="s">
        <v>232</v>
      </c>
      <c r="B11" s="51">
        <v>3.02</v>
      </c>
      <c r="C11" s="51">
        <v>42.58</v>
      </c>
      <c r="D11" s="51">
        <v>26.24</v>
      </c>
      <c r="E11" s="51">
        <v>1.90</v>
      </c>
      <c r="F11" s="51">
        <v>11.02</v>
      </c>
      <c r="G11" s="51">
        <v>43.30</v>
      </c>
      <c r="H11" s="51">
        <v>12.07</v>
      </c>
      <c r="I11" s="51">
        <v>0.49</v>
      </c>
      <c r="J11" s="51">
        <v>0.30</v>
      </c>
      <c r="K11" s="51">
        <v>356.38</v>
      </c>
      <c r="L11" s="51">
        <v>22.5</v>
      </c>
      <c r="M11" s="51">
        <v>56.64</v>
      </c>
      <c r="N11" s="51">
        <v>5.20</v>
      </c>
      <c r="O11" s="51">
        <v>0</v>
      </c>
      <c r="P11" s="51">
        <v>0.43</v>
      </c>
      <c r="Q11" s="51">
        <v>32.49</v>
      </c>
      <c r="R11" s="43"/>
      <c r="S11" s="43"/>
      <c r="T11" s="43"/>
      <c r="U11" s="43"/>
    </row>
    <row r="12" spans="1:21" s="11" customFormat="1" ht="15">
      <c r="A12" s="50" t="s">
        <v>233</v>
      </c>
      <c r="B12" s="51">
        <v>3.73</v>
      </c>
      <c r="C12" s="51">
        <v>37.520000000000003</v>
      </c>
      <c r="D12" s="51">
        <v>24.44</v>
      </c>
      <c r="E12" s="51">
        <v>1.60</v>
      </c>
      <c r="F12" s="51">
        <v>4.42</v>
      </c>
      <c r="G12" s="51">
        <v>43.30</v>
      </c>
      <c r="H12" s="51">
        <v>11.86</v>
      </c>
      <c r="I12" s="51">
        <v>0.49</v>
      </c>
      <c r="J12" s="51">
        <v>0.31</v>
      </c>
      <c r="K12" s="51">
        <v>353.51</v>
      </c>
      <c r="L12" s="51">
        <v>21.22</v>
      </c>
      <c r="M12" s="51">
        <v>59.60</v>
      </c>
      <c r="N12" s="51">
        <v>4.9000000000000004</v>
      </c>
      <c r="O12" s="51">
        <v>0</v>
      </c>
      <c r="P12" s="51">
        <v>0.42</v>
      </c>
      <c r="Q12" s="51">
        <v>23.16</v>
      </c>
      <c r="R12" s="43"/>
      <c r="S12" s="43"/>
      <c r="T12" s="43"/>
      <c r="U12" s="43"/>
    </row>
    <row r="13" spans="1:21" s="11" customFormat="1" ht="15">
      <c r="A13" s="50" t="s">
        <v>234</v>
      </c>
      <c r="B13" s="51">
        <v>3.75</v>
      </c>
      <c r="C13" s="51">
        <v>38.119999999999997</v>
      </c>
      <c r="D13" s="51">
        <v>24.16</v>
      </c>
      <c r="E13" s="51">
        <v>1.1599999999999999</v>
      </c>
      <c r="F13" s="51">
        <v>5.95</v>
      </c>
      <c r="G13" s="51">
        <v>36.69</v>
      </c>
      <c r="H13" s="51">
        <v>12.19</v>
      </c>
      <c r="I13" s="51">
        <v>0.49</v>
      </c>
      <c r="J13" s="51">
        <v>0.18</v>
      </c>
      <c r="K13" s="51">
        <v>342.31</v>
      </c>
      <c r="L13" s="51">
        <v>20.64</v>
      </c>
      <c r="M13" s="51">
        <v>62.17</v>
      </c>
      <c r="N13" s="51">
        <v>4.70</v>
      </c>
      <c r="O13" s="51">
        <v>0</v>
      </c>
      <c r="P13" s="51">
        <v>0.41</v>
      </c>
      <c r="Q13" s="51">
        <v>24.12</v>
      </c>
      <c r="R13" s="43"/>
      <c r="S13" s="43"/>
      <c r="T13" s="43"/>
      <c r="U13" s="43"/>
    </row>
    <row r="14" spans="1:21" s="11" customFormat="1" ht="15">
      <c r="A14" s="50" t="s">
        <v>235</v>
      </c>
      <c r="B14" s="51">
        <v>3.09</v>
      </c>
      <c r="C14" s="51">
        <v>39.51</v>
      </c>
      <c r="D14" s="51">
        <v>25.02</v>
      </c>
      <c r="E14" s="51">
        <v>0.94</v>
      </c>
      <c r="F14" s="51">
        <v>5.37</v>
      </c>
      <c r="G14" s="56" t="s">
        <v>15</v>
      </c>
      <c r="H14" s="56" t="s">
        <v>15</v>
      </c>
      <c r="I14" s="51">
        <v>0.48</v>
      </c>
      <c r="J14" s="51">
        <v>0.32</v>
      </c>
      <c r="K14" s="51">
        <v>349.87</v>
      </c>
      <c r="L14" s="51">
        <v>20.45</v>
      </c>
      <c r="M14" s="51">
        <v>62.96</v>
      </c>
      <c r="N14" s="51">
        <v>8.6999999999999993</v>
      </c>
      <c r="O14" s="51">
        <v>0</v>
      </c>
      <c r="P14" s="51">
        <v>0.41</v>
      </c>
      <c r="Q14" s="51">
        <v>24.35</v>
      </c>
      <c r="R14" s="43"/>
      <c r="S14" s="43"/>
      <c r="T14" s="43"/>
      <c r="U14" s="43"/>
    </row>
    <row r="15" spans="1:21" s="11" customFormat="1" ht="15">
      <c r="A15" s="50" t="s">
        <v>236</v>
      </c>
      <c r="B15" s="51">
        <v>6.29</v>
      </c>
      <c r="C15" s="51">
        <v>42.30</v>
      </c>
      <c r="D15" s="51">
        <v>28.56</v>
      </c>
      <c r="E15" s="51">
        <v>0.87</v>
      </c>
      <c r="F15" s="51">
        <v>4.18</v>
      </c>
      <c r="G15" s="56" t="s">
        <v>15</v>
      </c>
      <c r="H15" s="56" t="s">
        <v>15</v>
      </c>
      <c r="I15" s="51">
        <v>0.47</v>
      </c>
      <c r="J15" s="51">
        <v>0.62</v>
      </c>
      <c r="K15" s="51">
        <v>351.93</v>
      </c>
      <c r="L15" s="51">
        <v>22.38</v>
      </c>
      <c r="M15" s="51">
        <v>63.55</v>
      </c>
      <c r="N15" s="51">
        <v>118</v>
      </c>
      <c r="O15" s="51">
        <v>0</v>
      </c>
      <c r="P15" s="51">
        <v>0.66</v>
      </c>
      <c r="Q15" s="51">
        <v>20.20</v>
      </c>
      <c r="R15" s="43"/>
      <c r="S15" s="43"/>
      <c r="T15" s="43"/>
      <c r="U15" s="43"/>
    </row>
    <row r="16" spans="1:21" s="11" customFormat="1" ht="15">
      <c r="A16" s="50" t="s">
        <v>237</v>
      </c>
      <c r="B16" s="51">
        <v>9.26</v>
      </c>
      <c r="C16" s="51">
        <v>46.80</v>
      </c>
      <c r="D16" s="51">
        <v>32.950000000000003</v>
      </c>
      <c r="E16" s="51">
        <v>1.1000000000000001</v>
      </c>
      <c r="F16" s="51">
        <v>4.82</v>
      </c>
      <c r="G16" s="51">
        <v>34</v>
      </c>
      <c r="H16" s="51">
        <v>14.15</v>
      </c>
      <c r="I16" s="51">
        <v>0.48</v>
      </c>
      <c r="J16" s="51">
        <v>1.01</v>
      </c>
      <c r="K16" s="51">
        <v>353.33</v>
      </c>
      <c r="L16" s="51">
        <v>24.23</v>
      </c>
      <c r="M16" s="51">
        <v>53.86</v>
      </c>
      <c r="N16" s="51">
        <v>139</v>
      </c>
      <c r="O16" s="51">
        <v>0</v>
      </c>
      <c r="P16" s="51">
        <v>0.69</v>
      </c>
      <c r="Q16" s="51">
        <v>24.02</v>
      </c>
      <c r="R16" s="43"/>
      <c r="S16" s="43"/>
      <c r="T16" s="43"/>
      <c r="U16" s="43"/>
    </row>
    <row r="17" spans="1:21" s="11" customFormat="1" ht="15">
      <c r="A17" s="50" t="s">
        <v>238</v>
      </c>
      <c r="B17" s="51">
        <v>9.01</v>
      </c>
      <c r="C17" s="51">
        <v>54.48</v>
      </c>
      <c r="D17" s="51">
        <v>36.65</v>
      </c>
      <c r="E17" s="51">
        <v>2.0099999999999998</v>
      </c>
      <c r="F17" s="51">
        <v>4.33</v>
      </c>
      <c r="G17" s="51">
        <v>34</v>
      </c>
      <c r="H17" s="51">
        <v>15.83</v>
      </c>
      <c r="I17" s="51">
        <v>0.5</v>
      </c>
      <c r="J17" s="51">
        <v>0.64</v>
      </c>
      <c r="K17" s="51">
        <v>351.20</v>
      </c>
      <c r="L17" s="51">
        <v>28.05</v>
      </c>
      <c r="M17" s="51">
        <v>48.51</v>
      </c>
      <c r="N17" s="51">
        <v>378.70</v>
      </c>
      <c r="O17" s="51">
        <v>0</v>
      </c>
      <c r="P17" s="51">
        <v>0.73</v>
      </c>
      <c r="Q17" s="51">
        <v>29.81</v>
      </c>
      <c r="R17" s="43"/>
      <c r="S17" s="43"/>
      <c r="T17" s="43"/>
      <c r="U17" s="43"/>
    </row>
    <row r="18" spans="1:21" s="11" customFormat="1" ht="15">
      <c r="A18" s="50" t="s">
        <v>239</v>
      </c>
      <c r="B18" s="51">
        <v>6.24</v>
      </c>
      <c r="C18" s="51">
        <v>55.74</v>
      </c>
      <c r="D18" s="51">
        <v>36.51</v>
      </c>
      <c r="E18" s="51">
        <v>1.51</v>
      </c>
      <c r="F18" s="51">
        <v>7.05</v>
      </c>
      <c r="G18" s="56" t="s">
        <v>15</v>
      </c>
      <c r="H18" s="56" t="s">
        <v>15</v>
      </c>
      <c r="I18" s="51">
        <v>0.5</v>
      </c>
      <c r="J18" s="51">
        <v>0.44</v>
      </c>
      <c r="K18" s="51">
        <v>357.76</v>
      </c>
      <c r="L18" s="51">
        <v>25.70</v>
      </c>
      <c r="M18" s="51">
        <v>63.17</v>
      </c>
      <c r="N18" s="51">
        <v>217.70</v>
      </c>
      <c r="O18" s="51">
        <v>0.20</v>
      </c>
      <c r="P18" s="51">
        <v>0.78</v>
      </c>
      <c r="Q18" s="51">
        <v>30.13</v>
      </c>
      <c r="R18" s="43"/>
      <c r="S18" s="43"/>
      <c r="T18" s="43"/>
      <c r="U18" s="43"/>
    </row>
    <row r="19" spans="1:21" s="11" customFormat="1" ht="15">
      <c r="A19" s="50" t="s">
        <v>240</v>
      </c>
      <c r="B19" s="51">
        <v>8.08</v>
      </c>
      <c r="C19" s="51">
        <v>81.58</v>
      </c>
      <c r="D19" s="51">
        <v>51.71</v>
      </c>
      <c r="E19" s="51">
        <v>1.90</v>
      </c>
      <c r="F19" s="51">
        <v>12.25</v>
      </c>
      <c r="G19" s="56" t="s">
        <v>15</v>
      </c>
      <c r="H19" s="56" t="s">
        <v>15</v>
      </c>
      <c r="I19" s="51">
        <v>0.53</v>
      </c>
      <c r="J19" s="51">
        <v>1.1299999999999999</v>
      </c>
      <c r="K19" s="51">
        <v>347.18</v>
      </c>
      <c r="L19" s="51">
        <v>23.37</v>
      </c>
      <c r="M19" s="51">
        <v>68.30</v>
      </c>
      <c r="N19" s="51">
        <v>196.20</v>
      </c>
      <c r="O19" s="51">
        <v>0.20</v>
      </c>
      <c r="P19" s="51">
        <v>1.23</v>
      </c>
      <c r="Q19" s="51">
        <v>23.99</v>
      </c>
      <c r="R19" s="43"/>
      <c r="S19" s="43"/>
      <c r="T19" s="43"/>
      <c r="U19" s="43"/>
    </row>
    <row r="20" spans="1:21" s="11" customFormat="1" ht="15">
      <c r="A20" s="50" t="s">
        <v>241</v>
      </c>
      <c r="B20" s="51">
        <v>5.47</v>
      </c>
      <c r="C20" s="51">
        <v>69.42</v>
      </c>
      <c r="D20" s="51">
        <v>43.03</v>
      </c>
      <c r="E20" s="51">
        <v>1.43</v>
      </c>
      <c r="F20" s="51">
        <v>6.71</v>
      </c>
      <c r="G20" s="56" t="s">
        <v>15</v>
      </c>
      <c r="H20" s="56" t="s">
        <v>15</v>
      </c>
      <c r="I20" s="51">
        <v>0.56000000000000005</v>
      </c>
      <c r="J20" s="51">
        <v>1.88</v>
      </c>
      <c r="K20" s="51">
        <v>356.07</v>
      </c>
      <c r="L20" s="51">
        <v>28.37</v>
      </c>
      <c r="M20" s="51">
        <v>57.98</v>
      </c>
      <c r="N20" s="51">
        <v>701.80</v>
      </c>
      <c r="O20" s="51">
        <v>0</v>
      </c>
      <c r="P20" s="51">
        <v>1.0900000000000001</v>
      </c>
      <c r="Q20" s="51">
        <v>22.56</v>
      </c>
      <c r="R20" s="43"/>
      <c r="S20" s="43"/>
      <c r="T20" s="43"/>
      <c r="U20" s="43"/>
    </row>
    <row r="21" spans="1:21" s="11" customFormat="1" ht="15">
      <c r="A21" s="50" t="s">
        <v>242</v>
      </c>
      <c r="B21" s="51">
        <v>3.83</v>
      </c>
      <c r="C21" s="51">
        <v>51.48</v>
      </c>
      <c r="D21" s="51">
        <v>32.229999999999997</v>
      </c>
      <c r="E21" s="51">
        <v>1.74</v>
      </c>
      <c r="F21" s="51">
        <v>13.67</v>
      </c>
      <c r="G21" s="56" t="s">
        <v>15</v>
      </c>
      <c r="H21" s="56" t="s">
        <v>15</v>
      </c>
      <c r="I21" s="51">
        <v>0.51</v>
      </c>
      <c r="J21" s="51">
        <v>2.1800000000000002</v>
      </c>
      <c r="K21" s="51">
        <v>24.15</v>
      </c>
      <c r="L21" s="51">
        <v>30.41</v>
      </c>
      <c r="M21" s="51">
        <v>35.43</v>
      </c>
      <c r="N21" s="51">
        <v>871.80</v>
      </c>
      <c r="O21" s="51">
        <v>0</v>
      </c>
      <c r="P21" s="51">
        <v>0.84</v>
      </c>
      <c r="Q21" s="51">
        <v>25.75</v>
      </c>
      <c r="R21" s="43"/>
      <c r="S21" s="43"/>
      <c r="T21" s="43"/>
      <c r="U21" s="43"/>
    </row>
    <row r="22" spans="1:21" s="11" customFormat="1" ht="15">
      <c r="A22" s="50" t="s">
        <v>243</v>
      </c>
      <c r="B22" s="51">
        <v>4.66</v>
      </c>
      <c r="C22" s="51">
        <v>57.61</v>
      </c>
      <c r="D22" s="51">
        <v>36.270000000000003</v>
      </c>
      <c r="E22" s="51">
        <v>2.5099999999999998</v>
      </c>
      <c r="F22" s="51">
        <v>21.34</v>
      </c>
      <c r="G22" s="56" t="s">
        <v>15</v>
      </c>
      <c r="H22" s="56" t="s">
        <v>15</v>
      </c>
      <c r="I22" s="51">
        <v>0.49</v>
      </c>
      <c r="J22" s="51">
        <v>2.36</v>
      </c>
      <c r="K22" s="51">
        <v>30.41</v>
      </c>
      <c r="L22" s="51">
        <v>31.17</v>
      </c>
      <c r="M22" s="51">
        <v>32.659999999999997</v>
      </c>
      <c r="N22" s="51">
        <v>807.5</v>
      </c>
      <c r="O22" s="51">
        <v>0</v>
      </c>
      <c r="P22" s="51">
        <v>0.63</v>
      </c>
      <c r="Q22" s="51">
        <v>26.32</v>
      </c>
      <c r="R22" s="43"/>
      <c r="S22" s="43"/>
      <c r="T22" s="43"/>
      <c r="U22" s="43"/>
    </row>
    <row r="23" spans="1:21" s="11" customFormat="1" ht="15">
      <c r="A23" s="50" t="s">
        <v>244</v>
      </c>
      <c r="B23" s="51">
        <v>4.99</v>
      </c>
      <c r="C23" s="51">
        <v>59.64</v>
      </c>
      <c r="D23" s="51">
        <v>37.03</v>
      </c>
      <c r="E23" s="51">
        <v>1.91</v>
      </c>
      <c r="F23" s="51">
        <v>9.74</v>
      </c>
      <c r="G23" s="56" t="s">
        <v>15</v>
      </c>
      <c r="H23" s="56" t="s">
        <v>15</v>
      </c>
      <c r="I23" s="51">
        <v>0.49</v>
      </c>
      <c r="J23" s="51">
        <v>2.75</v>
      </c>
      <c r="K23" s="51">
        <v>27.19</v>
      </c>
      <c r="L23" s="51">
        <v>30.27</v>
      </c>
      <c r="M23" s="51">
        <v>32.380000000000003</v>
      </c>
      <c r="N23" s="51">
        <v>493.70</v>
      </c>
      <c r="O23" s="51">
        <v>0</v>
      </c>
      <c r="P23" s="51">
        <v>0.56999999999999995</v>
      </c>
      <c r="Q23" s="51">
        <v>23.49</v>
      </c>
      <c r="R23" s="43"/>
      <c r="S23" s="43"/>
      <c r="T23" s="43"/>
      <c r="U23" s="43"/>
    </row>
    <row r="24" spans="1:21" s="11" customFormat="1" ht="15">
      <c r="A24" s="50" t="s">
        <v>245</v>
      </c>
      <c r="B24" s="51">
        <v>4.07</v>
      </c>
      <c r="C24" s="51">
        <v>54.01</v>
      </c>
      <c r="D24" s="51">
        <v>33.57</v>
      </c>
      <c r="E24" s="51">
        <v>2.69</v>
      </c>
      <c r="F24" s="51">
        <v>10.94</v>
      </c>
      <c r="G24" s="56" t="s">
        <v>15</v>
      </c>
      <c r="H24" s="56" t="s">
        <v>15</v>
      </c>
      <c r="I24" s="51">
        <v>0.49</v>
      </c>
      <c r="J24" s="51">
        <v>2.5099999999999998</v>
      </c>
      <c r="K24" s="51">
        <v>31.90</v>
      </c>
      <c r="L24" s="51">
        <v>28.32</v>
      </c>
      <c r="M24" s="51">
        <v>34.19</v>
      </c>
      <c r="N24" s="51">
        <v>291.10000000000002</v>
      </c>
      <c r="O24" s="51">
        <v>0</v>
      </c>
      <c r="P24" s="51">
        <v>0.61</v>
      </c>
      <c r="Q24" s="51">
        <v>30.55</v>
      </c>
      <c r="R24" s="43"/>
      <c r="S24" s="43"/>
      <c r="T24" s="43"/>
      <c r="U24" s="43"/>
    </row>
    <row r="25" spans="1:21" s="11" customFormat="1" ht="15">
      <c r="A25" s="50" t="s">
        <v>246</v>
      </c>
      <c r="B25" s="51">
        <v>8.06</v>
      </c>
      <c r="C25" s="51">
        <v>60.14</v>
      </c>
      <c r="D25" s="51">
        <v>38.47</v>
      </c>
      <c r="E25" s="51">
        <v>4.8499999999999996</v>
      </c>
      <c r="F25" s="51">
        <v>11.26</v>
      </c>
      <c r="G25" s="51">
        <v>33.64</v>
      </c>
      <c r="H25" s="51">
        <v>18.95</v>
      </c>
      <c r="I25" s="51">
        <v>0.5</v>
      </c>
      <c r="J25" s="51">
        <v>1.57</v>
      </c>
      <c r="K25" s="51">
        <v>63.27</v>
      </c>
      <c r="L25" s="51">
        <v>27.51</v>
      </c>
      <c r="M25" s="51">
        <v>34.42</v>
      </c>
      <c r="N25" s="51">
        <v>178.30</v>
      </c>
      <c r="O25" s="51">
        <v>0</v>
      </c>
      <c r="P25" s="51">
        <v>0.73</v>
      </c>
      <c r="Q25" s="51">
        <v>30.88</v>
      </c>
      <c r="R25" s="43"/>
      <c r="S25" s="43"/>
      <c r="T25" s="43"/>
      <c r="U25" s="43"/>
    </row>
    <row r="26" spans="1:21" s="11" customFormat="1" ht="15">
      <c r="A26" s="50" t="s">
        <v>247</v>
      </c>
      <c r="B26" s="51">
        <v>6.04</v>
      </c>
      <c r="C26" s="51">
        <v>55.56</v>
      </c>
      <c r="D26" s="51">
        <v>35.56</v>
      </c>
      <c r="E26" s="51">
        <v>4.4000000000000004</v>
      </c>
      <c r="F26" s="51">
        <v>11.52</v>
      </c>
      <c r="G26" s="51">
        <v>33.64</v>
      </c>
      <c r="H26" s="51">
        <v>21.61</v>
      </c>
      <c r="I26" s="51">
        <v>0.52</v>
      </c>
      <c r="J26" s="51">
        <v>1.73</v>
      </c>
      <c r="K26" s="51">
        <v>110.02</v>
      </c>
      <c r="L26" s="51">
        <v>26.10</v>
      </c>
      <c r="M26" s="51">
        <v>35.72</v>
      </c>
      <c r="N26" s="51">
        <v>75.70</v>
      </c>
      <c r="O26" s="51">
        <v>0</v>
      </c>
      <c r="P26" s="51">
        <v>0.71</v>
      </c>
      <c r="Q26" s="51">
        <v>28.22</v>
      </c>
      <c r="R26" s="43"/>
      <c r="S26" s="43"/>
      <c r="T26" s="43"/>
      <c r="U26" s="43"/>
    </row>
    <row r="27" spans="1:21" s="11" customFormat="1" ht="15">
      <c r="A27" s="50" t="s">
        <v>248</v>
      </c>
      <c r="B27" s="51">
        <v>8.86</v>
      </c>
      <c r="C27" s="51">
        <v>54.71</v>
      </c>
      <c r="D27" s="51">
        <v>38.01</v>
      </c>
      <c r="E27" s="51">
        <v>4.82</v>
      </c>
      <c r="F27" s="51">
        <v>10.62</v>
      </c>
      <c r="G27" s="51">
        <v>68.239999999999995</v>
      </c>
      <c r="H27" s="51">
        <v>21.61</v>
      </c>
      <c r="I27" s="51">
        <v>0.52</v>
      </c>
      <c r="J27" s="51">
        <v>1.18</v>
      </c>
      <c r="K27" s="51">
        <v>123.69</v>
      </c>
      <c r="L27" s="51">
        <v>25.33</v>
      </c>
      <c r="M27" s="51">
        <v>38.24</v>
      </c>
      <c r="N27" s="51">
        <v>11.80</v>
      </c>
      <c r="O27" s="51">
        <v>0</v>
      </c>
      <c r="P27" s="51">
        <v>0.75</v>
      </c>
      <c r="Q27" s="51">
        <v>32.29</v>
      </c>
      <c r="R27" s="43"/>
      <c r="S27" s="43"/>
      <c r="T27" s="43"/>
      <c r="U27" s="43"/>
    </row>
    <row r="28" spans="1:21" s="11" customFormat="1" ht="15">
      <c r="A28" s="50" t="s">
        <v>249</v>
      </c>
      <c r="B28" s="51">
        <v>18.350000000000001</v>
      </c>
      <c r="C28" s="51">
        <v>66.70</v>
      </c>
      <c r="D28" s="51">
        <v>52.27</v>
      </c>
      <c r="E28" s="51">
        <v>2.93</v>
      </c>
      <c r="F28" s="51">
        <v>4.08</v>
      </c>
      <c r="G28" s="51">
        <v>68.239999999999995</v>
      </c>
      <c r="H28" s="51">
        <v>23.04</v>
      </c>
      <c r="I28" s="51">
        <v>0.56000000000000005</v>
      </c>
      <c r="J28" s="51">
        <v>0.40</v>
      </c>
      <c r="K28" s="51">
        <v>264.10000000000002</v>
      </c>
      <c r="L28" s="51">
        <v>24.51</v>
      </c>
      <c r="M28" s="51">
        <v>43.65</v>
      </c>
      <c r="N28" s="51">
        <v>5.20</v>
      </c>
      <c r="O28" s="51">
        <v>0</v>
      </c>
      <c r="P28" s="51">
        <v>1.1000000000000001</v>
      </c>
      <c r="Q28" s="51">
        <v>33.64</v>
      </c>
      <c r="R28" s="43"/>
      <c r="S28" s="43"/>
      <c r="T28" s="43"/>
      <c r="U28" s="43"/>
    </row>
    <row r="29" spans="1:21" s="11" customFormat="1" ht="15">
      <c r="A29" s="50" t="s">
        <v>250</v>
      </c>
      <c r="B29" s="51">
        <v>58.45</v>
      </c>
      <c r="C29" s="51">
        <v>82.38</v>
      </c>
      <c r="D29" s="51">
        <v>92.05</v>
      </c>
      <c r="E29" s="51">
        <v>6.76</v>
      </c>
      <c r="F29" s="51">
        <v>3.63</v>
      </c>
      <c r="G29" s="51">
        <v>86.44</v>
      </c>
      <c r="H29" s="51">
        <v>25.65</v>
      </c>
      <c r="I29" s="51">
        <v>0.65</v>
      </c>
      <c r="J29" s="51">
        <v>0.27</v>
      </c>
      <c r="K29" s="51">
        <v>313.30</v>
      </c>
      <c r="L29" s="51">
        <v>23</v>
      </c>
      <c r="M29" s="51">
        <v>52.58</v>
      </c>
      <c r="N29" s="51">
        <v>5</v>
      </c>
      <c r="O29" s="51">
        <v>0</v>
      </c>
      <c r="P29" s="51">
        <v>1.78</v>
      </c>
      <c r="Q29" s="51">
        <v>33.43</v>
      </c>
      <c r="R29" s="43"/>
      <c r="S29" s="43"/>
      <c r="T29" s="43"/>
      <c r="U29" s="43"/>
    </row>
    <row r="30" spans="1:21" s="11" customFormat="1" ht="15">
      <c r="A30" s="50" t="s">
        <v>251</v>
      </c>
      <c r="B30" s="51">
        <v>57.31</v>
      </c>
      <c r="C30" s="51">
        <v>72.88</v>
      </c>
      <c r="D30" s="51">
        <v>86.92</v>
      </c>
      <c r="E30" s="51">
        <v>9.69</v>
      </c>
      <c r="F30" s="51">
        <v>3.43</v>
      </c>
      <c r="G30" s="51">
        <v>119.84</v>
      </c>
      <c r="H30" s="51">
        <v>28.53</v>
      </c>
      <c r="I30" s="51">
        <v>0.77</v>
      </c>
      <c r="J30" s="51">
        <v>0.24</v>
      </c>
      <c r="K30" s="51">
        <v>54.89</v>
      </c>
      <c r="L30" s="51">
        <v>22.32</v>
      </c>
      <c r="M30" s="51">
        <v>57.62</v>
      </c>
      <c r="N30" s="51">
        <v>4.80</v>
      </c>
      <c r="O30" s="51">
        <v>0</v>
      </c>
      <c r="P30" s="51">
        <v>1.93</v>
      </c>
      <c r="Q30" s="51">
        <v>30.32</v>
      </c>
      <c r="R30" s="43"/>
      <c r="S30" s="43"/>
      <c r="T30" s="43"/>
      <c r="U30" s="43"/>
    </row>
    <row r="31" spans="1:21" s="11" customFormat="1" ht="15">
      <c r="A31" s="50" t="s">
        <v>252</v>
      </c>
      <c r="B31" s="51">
        <v>46.53</v>
      </c>
      <c r="C31" s="51">
        <v>58.79</v>
      </c>
      <c r="D31" s="51">
        <v>69.72</v>
      </c>
      <c r="E31" s="51">
        <v>8.15</v>
      </c>
      <c r="F31" s="51">
        <v>3.31</v>
      </c>
      <c r="G31" s="51">
        <v>119.84</v>
      </c>
      <c r="H31" s="51">
        <v>41.20</v>
      </c>
      <c r="I31" s="51">
        <v>0.74</v>
      </c>
      <c r="J31" s="51">
        <v>0.45</v>
      </c>
      <c r="K31" s="51">
        <v>157.11000000000001</v>
      </c>
      <c r="L31" s="51">
        <v>22.51</v>
      </c>
      <c r="M31" s="51">
        <v>56.55</v>
      </c>
      <c r="N31" s="51">
        <v>5</v>
      </c>
      <c r="O31" s="51">
        <v>0</v>
      </c>
      <c r="P31" s="51">
        <v>1.90</v>
      </c>
      <c r="Q31" s="51">
        <v>35.40</v>
      </c>
      <c r="R31" s="43"/>
      <c r="S31" s="43"/>
      <c r="T31" s="43"/>
      <c r="U31" s="43"/>
    </row>
    <row r="32" spans="1:21" s="11" customFormat="1" ht="15">
      <c r="A32" s="50" t="s">
        <v>253</v>
      </c>
      <c r="B32" s="51">
        <v>43.90</v>
      </c>
      <c r="C32" s="51">
        <v>66.209999999999994</v>
      </c>
      <c r="D32" s="51">
        <v>68.92</v>
      </c>
      <c r="E32" s="51">
        <v>6.22</v>
      </c>
      <c r="F32" s="51">
        <v>3.10</v>
      </c>
      <c r="G32" s="51">
        <v>235.94</v>
      </c>
      <c r="H32" s="51">
        <v>47.48</v>
      </c>
      <c r="I32" s="51">
        <v>0.75</v>
      </c>
      <c r="J32" s="51">
        <v>0.45</v>
      </c>
      <c r="K32" s="51">
        <v>225.45</v>
      </c>
      <c r="L32" s="51">
        <v>23.11</v>
      </c>
      <c r="M32" s="51">
        <v>55.91</v>
      </c>
      <c r="N32" s="51">
        <v>5.40</v>
      </c>
      <c r="O32" s="51">
        <v>0</v>
      </c>
      <c r="P32" s="51">
        <v>1.83</v>
      </c>
      <c r="Q32" s="51">
        <v>35.659999999999997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2.7799999999999998</v>
      </c>
      <c r="C34" s="28">
        <f t="shared" si="0"/>
        <v>37.520000000000003</v>
      </c>
      <c r="D34" s="28">
        <f t="shared" si="0"/>
        <v>24.16</v>
      </c>
      <c r="E34" s="28">
        <f t="shared" si="0"/>
        <v>0.87</v>
      </c>
      <c r="F34" s="28">
        <f t="shared" si="0"/>
        <v>3.1000000000000001</v>
      </c>
      <c r="G34" s="28">
        <f t="shared" si="0"/>
        <v>18.510000000000002</v>
      </c>
      <c r="H34" s="28">
        <f t="shared" si="0"/>
        <v>11.859999999999999</v>
      </c>
      <c r="I34" s="28">
        <f t="shared" si="0"/>
        <v>0.46999999999999997</v>
      </c>
      <c r="J34" s="28">
        <f t="shared" si="0"/>
        <v>0.17999999999999999</v>
      </c>
      <c r="K34" s="28">
        <f t="shared" si="0"/>
        <v>24.149999999999999</v>
      </c>
      <c r="L34" s="28">
        <f t="shared" si="0"/>
        <v>20.449999999999999</v>
      </c>
      <c r="M34" s="28">
        <f t="shared" si="0"/>
        <v>32.380000000000003</v>
      </c>
      <c r="N34" s="28">
        <f t="shared" si="0"/>
        <v>4.7000000000000002</v>
      </c>
      <c r="O34" s="28">
        <f t="shared" si="0"/>
        <v>0</v>
      </c>
      <c r="P34" s="28">
        <f t="shared" si="0"/>
        <v>0.40999999999999998</v>
      </c>
      <c r="Q34" s="28">
        <f t="shared" si="0"/>
        <v>20.199999999999999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58.450000000000003</v>
      </c>
      <c r="C35" s="29">
        <f t="shared" si="1"/>
        <v>82.379999999999995</v>
      </c>
      <c r="D35" s="29">
        <f t="shared" si="1"/>
        <v>92.049999999999997</v>
      </c>
      <c r="E35" s="29">
        <f t="shared" si="1"/>
        <v>9.6899999999999995</v>
      </c>
      <c r="F35" s="29">
        <f t="shared" si="1"/>
        <v>21.34</v>
      </c>
      <c r="G35" s="29">
        <f t="shared" si="1"/>
        <v>235.94</v>
      </c>
      <c r="H35" s="29">
        <f t="shared" si="1"/>
        <v>47.479999999999997</v>
      </c>
      <c r="I35" s="29">
        <f t="shared" si="1"/>
        <v>0.77000000000000002</v>
      </c>
      <c r="J35" s="29">
        <f t="shared" si="1"/>
        <v>2.75</v>
      </c>
      <c r="K35" s="29">
        <f t="shared" si="1"/>
        <v>357.75999999999999</v>
      </c>
      <c r="L35" s="29">
        <f t="shared" si="1"/>
        <v>31.170000000000002</v>
      </c>
      <c r="M35" s="29">
        <f t="shared" si="1"/>
        <v>68.299999999999997</v>
      </c>
      <c r="N35" s="29">
        <f t="shared" si="1"/>
        <v>871.79999999999995</v>
      </c>
      <c r="O35" s="29">
        <f t="shared" si="1"/>
        <v>0.20000000000000001</v>
      </c>
      <c r="P35" s="29">
        <f t="shared" si="1"/>
        <v>1.9299999999999999</v>
      </c>
      <c r="Q35" s="29">
        <f t="shared" si="1"/>
        <v>35.659999999999997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13.720833333333331</v>
      </c>
      <c r="C36" s="28">
        <f t="shared" si="2"/>
        <v>55.600833333333334</v>
      </c>
      <c r="D36" s="28">
        <f t="shared" si="2"/>
        <v>41.837916666666665</v>
      </c>
      <c r="E36" s="28">
        <f t="shared" si="2"/>
        <v>3.1508333333333329</v>
      </c>
      <c r="F36" s="28">
        <f t="shared" si="2"/>
        <v>7.9162500000000007</v>
      </c>
      <c r="G36" s="28">
        <f t="shared" si="2"/>
        <v>68.043333333333337</v>
      </c>
      <c r="H36" s="28">
        <f t="shared" si="2"/>
        <v>21.372666666666667</v>
      </c>
      <c r="I36" s="28">
        <f t="shared" si="2"/>
        <v>0.54041666666666666</v>
      </c>
      <c r="J36" s="28">
        <f t="shared" si="2"/>
        <v>1.0574999999999997</v>
      </c>
      <c r="K36" s="28">
        <f t="shared" si="2"/>
        <v>224.78333333333333</v>
      </c>
      <c r="L36" s="28">
        <f t="shared" si="2"/>
        <v>24.924166666666668</v>
      </c>
      <c r="M36" s="28">
        <f t="shared" si="2"/>
        <v>50.125833333333325</v>
      </c>
      <c r="N36" s="28">
        <f t="shared" si="2"/>
        <v>189.17499999999998</v>
      </c>
      <c r="O36" s="28">
        <f t="shared" si="2"/>
        <v>0.016666666666666666</v>
      </c>
      <c r="P36" s="28">
        <f t="shared" si="2"/>
        <v>0.88583333333333325</v>
      </c>
      <c r="Q36" s="28">
        <f t="shared" si="2"/>
        <v>28.607916666666664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17.787154357707912</v>
      </c>
      <c r="C37" s="28">
        <f t="shared" si="3" ref="C37:Q37">STDEV(C9:C32)</f>
        <v>12.881574612319458</v>
      </c>
      <c r="D37" s="28">
        <f t="shared" si="3"/>
        <v>19.167754167320716</v>
      </c>
      <c r="E37" s="28">
        <f t="shared" si="3"/>
        <v>2.4143770763214829</v>
      </c>
      <c r="F37" s="28">
        <f t="shared" si="3"/>
        <v>4.4334340527406066</v>
      </c>
      <c r="G37" s="28">
        <f t="shared" si="3"/>
        <v>55.914048664850206</v>
      </c>
      <c r="H37" s="28">
        <f t="shared" si="3"/>
        <v>10.800457309541942</v>
      </c>
      <c r="I37" s="28">
        <f t="shared" si="3"/>
        <v>0.090336528634861288</v>
      </c>
      <c r="J37" s="28">
        <f t="shared" si="3"/>
        <v>0.81360309733923752</v>
      </c>
      <c r="K37" s="28">
        <f t="shared" si="3"/>
        <v>138.67917679075805</v>
      </c>
      <c r="L37" s="28">
        <f t="shared" si="3"/>
        <v>3.1744262291094114</v>
      </c>
      <c r="M37" s="28">
        <f t="shared" si="3"/>
        <v>11.555027859792498</v>
      </c>
      <c r="N37" s="28">
        <f t="shared" si="3"/>
        <v>269.84186874989359</v>
      </c>
      <c r="O37" s="28">
        <f t="shared" si="3"/>
        <v>0.056465970257327996</v>
      </c>
      <c r="P37" s="28">
        <f t="shared" si="3"/>
        <v>0.49399803437970746</v>
      </c>
      <c r="Q37" s="28">
        <f t="shared" si="3"/>
        <v>4.5900042428385097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15</v>
      </c>
      <c r="H38" s="32">
        <f t="shared" si="4"/>
        <v>15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a49efd-9479-4774-ab57-5d1ec9a784af}">
  <sheetPr codeName=""/>
  <dimension ref="A1:U119"/>
  <sheetViews>
    <sheetView workbookViewId="0" topLeftCell="A1">
      <pane xSplit="2" ySplit="8" topLeftCell="C12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89" sqref="G8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254</v>
      </c>
      <c r="B9" s="51">
        <v>37.47</v>
      </c>
      <c r="C9" s="51">
        <v>61.07</v>
      </c>
      <c r="D9" s="51">
        <v>62.58</v>
      </c>
      <c r="E9" s="51">
        <v>6.36</v>
      </c>
      <c r="F9" s="51">
        <v>3.35</v>
      </c>
      <c r="G9" s="51">
        <v>235.94</v>
      </c>
      <c r="H9" s="51">
        <v>51.75</v>
      </c>
      <c r="I9" s="51">
        <v>0.75</v>
      </c>
      <c r="J9" s="51">
        <v>0.28999999999999998</v>
      </c>
      <c r="K9" s="51">
        <v>243.90</v>
      </c>
      <c r="L9" s="51">
        <v>22.79</v>
      </c>
      <c r="M9" s="51">
        <v>62.89</v>
      </c>
      <c r="N9" s="51">
        <v>5.0999999999999996</v>
      </c>
      <c r="O9" s="51">
        <v>0</v>
      </c>
      <c r="P9" s="51">
        <v>1.78</v>
      </c>
      <c r="Q9" s="51">
        <v>34.03</v>
      </c>
      <c r="R9" s="43"/>
      <c r="S9" s="43"/>
      <c r="T9" s="43"/>
      <c r="U9" s="43"/>
    </row>
    <row r="10" spans="1:21" s="11" customFormat="1" ht="15">
      <c r="A10" s="50" t="s">
        <v>255</v>
      </c>
      <c r="B10" s="51">
        <v>41.59</v>
      </c>
      <c r="C10" s="51">
        <v>52.32</v>
      </c>
      <c r="D10" s="51">
        <v>62.53</v>
      </c>
      <c r="E10" s="51">
        <v>3.52</v>
      </c>
      <c r="F10" s="51">
        <v>3.07</v>
      </c>
      <c r="G10" s="51">
        <v>178.35</v>
      </c>
      <c r="H10" s="51">
        <v>51.75</v>
      </c>
      <c r="I10" s="51">
        <v>0.76</v>
      </c>
      <c r="J10" s="51">
        <v>0.26</v>
      </c>
      <c r="K10" s="51">
        <v>129.75</v>
      </c>
      <c r="L10" s="51">
        <v>21.89</v>
      </c>
      <c r="M10" s="51">
        <v>66.760000000000005</v>
      </c>
      <c r="N10" s="51">
        <v>5.40</v>
      </c>
      <c r="O10" s="51">
        <v>0</v>
      </c>
      <c r="P10" s="51">
        <v>1.66</v>
      </c>
      <c r="Q10" s="51">
        <v>33.340000000000003</v>
      </c>
      <c r="R10" s="43"/>
      <c r="S10" s="43"/>
      <c r="T10" s="43"/>
      <c r="U10" s="43"/>
    </row>
    <row r="11" spans="1:21" s="11" customFormat="1" ht="15">
      <c r="A11" s="50" t="s">
        <v>256</v>
      </c>
      <c r="B11" s="51">
        <v>39.68</v>
      </c>
      <c r="C11" s="51">
        <v>51.54</v>
      </c>
      <c r="D11" s="51">
        <v>60.33</v>
      </c>
      <c r="E11" s="51">
        <v>2.1800000000000002</v>
      </c>
      <c r="F11" s="51">
        <v>3.06</v>
      </c>
      <c r="G11" s="51">
        <v>137.16999999999999</v>
      </c>
      <c r="H11" s="51">
        <v>51.09</v>
      </c>
      <c r="I11" s="51">
        <v>0.80</v>
      </c>
      <c r="J11" s="51">
        <v>0.57999999999999996</v>
      </c>
      <c r="K11" s="51">
        <v>69.87</v>
      </c>
      <c r="L11" s="51">
        <v>22.19</v>
      </c>
      <c r="M11" s="51">
        <v>63.90</v>
      </c>
      <c r="N11" s="51">
        <v>5.30</v>
      </c>
      <c r="O11" s="51">
        <v>0</v>
      </c>
      <c r="P11" s="51">
        <v>1.74</v>
      </c>
      <c r="Q11" s="51">
        <v>35.799999999999997</v>
      </c>
      <c r="R11" s="43"/>
      <c r="S11" s="43"/>
      <c r="T11" s="43"/>
      <c r="U11" s="43"/>
    </row>
    <row r="12" spans="1:21" s="11" customFormat="1" ht="15">
      <c r="A12" s="50" t="s">
        <v>257</v>
      </c>
      <c r="B12" s="51">
        <v>36.799999999999997</v>
      </c>
      <c r="C12" s="51">
        <v>53.28</v>
      </c>
      <c r="D12" s="51">
        <v>59.21</v>
      </c>
      <c r="E12" s="51">
        <v>5.17</v>
      </c>
      <c r="F12" s="51">
        <v>6.51</v>
      </c>
      <c r="G12" s="51">
        <v>194.41</v>
      </c>
      <c r="H12" s="51">
        <v>60.04</v>
      </c>
      <c r="I12" s="51">
        <v>0.77</v>
      </c>
      <c r="J12" s="51">
        <v>1</v>
      </c>
      <c r="K12" s="51">
        <v>80.08</v>
      </c>
      <c r="L12" s="51">
        <v>21.92</v>
      </c>
      <c r="M12" s="51">
        <v>59.66</v>
      </c>
      <c r="N12" s="51">
        <v>5.20</v>
      </c>
      <c r="O12" s="51">
        <v>0</v>
      </c>
      <c r="P12" s="51">
        <v>1.72</v>
      </c>
      <c r="Q12" s="51">
        <v>35.799999999999997</v>
      </c>
      <c r="R12" s="43"/>
      <c r="S12" s="43"/>
      <c r="T12" s="43"/>
      <c r="U12" s="43"/>
    </row>
    <row r="13" spans="1:21" s="11" customFormat="1" ht="15">
      <c r="A13" s="50" t="s">
        <v>258</v>
      </c>
      <c r="B13" s="51">
        <v>31.76</v>
      </c>
      <c r="C13" s="51">
        <v>51.15</v>
      </c>
      <c r="D13" s="51">
        <v>53.72</v>
      </c>
      <c r="E13" s="51">
        <v>5.66</v>
      </c>
      <c r="F13" s="51">
        <v>3.62</v>
      </c>
      <c r="G13" s="51">
        <v>194.41</v>
      </c>
      <c r="H13" s="51">
        <v>60.04</v>
      </c>
      <c r="I13" s="51">
        <v>0.71</v>
      </c>
      <c r="J13" s="51">
        <v>1.08</v>
      </c>
      <c r="K13" s="51">
        <v>29.53</v>
      </c>
      <c r="L13" s="51">
        <v>20.71</v>
      </c>
      <c r="M13" s="51">
        <v>63.83</v>
      </c>
      <c r="N13" s="51">
        <v>4.80</v>
      </c>
      <c r="O13" s="51">
        <v>0</v>
      </c>
      <c r="P13" s="51">
        <v>1.56</v>
      </c>
      <c r="Q13" s="51">
        <v>30.59</v>
      </c>
      <c r="R13" s="43"/>
      <c r="S13" s="43"/>
      <c r="T13" s="43"/>
      <c r="U13" s="43"/>
    </row>
    <row r="14" spans="1:21" s="11" customFormat="1" ht="15">
      <c r="A14" s="50" t="s">
        <v>259</v>
      </c>
      <c r="B14" s="51">
        <v>30.71</v>
      </c>
      <c r="C14" s="51">
        <v>49.73</v>
      </c>
      <c r="D14" s="51">
        <v>52.82</v>
      </c>
      <c r="E14" s="51">
        <v>5.86</v>
      </c>
      <c r="F14" s="51">
        <v>4.33</v>
      </c>
      <c r="G14" s="51">
        <v>180.14</v>
      </c>
      <c r="H14" s="51">
        <v>56.82</v>
      </c>
      <c r="I14" s="51">
        <v>0.71</v>
      </c>
      <c r="J14" s="51">
        <v>0.98</v>
      </c>
      <c r="K14" s="51">
        <v>348.99</v>
      </c>
      <c r="L14" s="51">
        <v>20.83</v>
      </c>
      <c r="M14" s="51">
        <v>61.12</v>
      </c>
      <c r="N14" s="51">
        <v>18.80</v>
      </c>
      <c r="O14" s="51">
        <v>0</v>
      </c>
      <c r="P14" s="51">
        <v>1.43</v>
      </c>
      <c r="Q14" s="51">
        <v>34.31</v>
      </c>
      <c r="R14" s="43"/>
      <c r="S14" s="43"/>
      <c r="T14" s="43"/>
      <c r="U14" s="43"/>
    </row>
    <row r="15" spans="1:21" s="11" customFormat="1" ht="15">
      <c r="A15" s="50" t="s">
        <v>260</v>
      </c>
      <c r="B15" s="51">
        <v>26.28</v>
      </c>
      <c r="C15" s="51">
        <v>55.11</v>
      </c>
      <c r="D15" s="51">
        <v>52.23</v>
      </c>
      <c r="E15" s="51">
        <v>2.52</v>
      </c>
      <c r="F15" s="51">
        <v>3.15</v>
      </c>
      <c r="G15" s="51">
        <v>180.14</v>
      </c>
      <c r="H15" s="51">
        <v>56.82</v>
      </c>
      <c r="I15" s="51">
        <v>0.69</v>
      </c>
      <c r="J15" s="51">
        <v>0.67</v>
      </c>
      <c r="K15" s="51">
        <v>190.15</v>
      </c>
      <c r="L15" s="51">
        <v>21.62</v>
      </c>
      <c r="M15" s="51">
        <v>61.66</v>
      </c>
      <c r="N15" s="51">
        <v>107.70</v>
      </c>
      <c r="O15" s="51">
        <v>0</v>
      </c>
      <c r="P15" s="51">
        <v>1.23</v>
      </c>
      <c r="Q15" s="51">
        <v>34.44</v>
      </c>
      <c r="R15" s="43"/>
      <c r="S15" s="43"/>
      <c r="T15" s="43"/>
      <c r="U15" s="43"/>
    </row>
    <row r="16" spans="1:21" s="11" customFormat="1" ht="15">
      <c r="A16" s="50" t="s">
        <v>261</v>
      </c>
      <c r="B16" s="51">
        <v>32.47</v>
      </c>
      <c r="C16" s="51">
        <v>56.76</v>
      </c>
      <c r="D16" s="51">
        <v>54.53</v>
      </c>
      <c r="E16" s="51">
        <v>8.15</v>
      </c>
      <c r="F16" s="51">
        <v>5.33</v>
      </c>
      <c r="G16" s="51">
        <v>157.58000000000001</v>
      </c>
      <c r="H16" s="51">
        <v>51.94</v>
      </c>
      <c r="I16" s="51">
        <v>0.64</v>
      </c>
      <c r="J16" s="51">
        <v>0.59</v>
      </c>
      <c r="K16" s="51">
        <v>199.24</v>
      </c>
      <c r="L16" s="51">
        <v>24.83</v>
      </c>
      <c r="M16" s="51">
        <v>57.79</v>
      </c>
      <c r="N16" s="51">
        <v>401.70</v>
      </c>
      <c r="O16" s="51">
        <v>0</v>
      </c>
      <c r="P16" s="51">
        <v>1.28</v>
      </c>
      <c r="Q16" s="51">
        <v>34.08</v>
      </c>
      <c r="R16" s="43"/>
      <c r="S16" s="43"/>
      <c r="T16" s="43"/>
      <c r="U16" s="43"/>
    </row>
    <row r="17" spans="1:21" s="11" customFormat="1" ht="15">
      <c r="A17" s="50" t="s">
        <v>262</v>
      </c>
      <c r="B17" s="51">
        <v>31.20</v>
      </c>
      <c r="C17" s="51">
        <v>60.32</v>
      </c>
      <c r="D17" s="51">
        <v>55.15</v>
      </c>
      <c r="E17" s="51">
        <v>16.82</v>
      </c>
      <c r="F17" s="51">
        <v>8.3000000000000007</v>
      </c>
      <c r="G17" s="51">
        <v>157.58000000000001</v>
      </c>
      <c r="H17" s="51">
        <v>54.76</v>
      </c>
      <c r="I17" s="51">
        <v>0.62</v>
      </c>
      <c r="J17" s="51">
        <v>0.68</v>
      </c>
      <c r="K17" s="51">
        <v>26.03</v>
      </c>
      <c r="L17" s="51">
        <v>31.60</v>
      </c>
      <c r="M17" s="51">
        <v>43.08</v>
      </c>
      <c r="N17" s="51">
        <v>537.70000000000005</v>
      </c>
      <c r="O17" s="51">
        <v>0</v>
      </c>
      <c r="P17" s="51">
        <v>1.31</v>
      </c>
      <c r="Q17" s="51">
        <v>30.31</v>
      </c>
      <c r="R17" s="43"/>
      <c r="S17" s="43"/>
      <c r="T17" s="43"/>
      <c r="U17" s="43"/>
    </row>
    <row r="18" spans="1:21" s="11" customFormat="1" ht="15">
      <c r="A18" s="50" t="s">
        <v>263</v>
      </c>
      <c r="B18" s="51">
        <v>24.77</v>
      </c>
      <c r="C18" s="51">
        <v>70.81</v>
      </c>
      <c r="D18" s="51">
        <v>52.94</v>
      </c>
      <c r="E18" s="51">
        <v>6.05</v>
      </c>
      <c r="F18" s="51">
        <v>6.05</v>
      </c>
      <c r="G18" s="51">
        <v>138.43</v>
      </c>
      <c r="H18" s="51">
        <v>54.76</v>
      </c>
      <c r="I18" s="51">
        <v>0.61</v>
      </c>
      <c r="J18" s="51">
        <v>0.57999999999999996</v>
      </c>
      <c r="K18" s="51">
        <v>87.84</v>
      </c>
      <c r="L18" s="51">
        <v>34.31</v>
      </c>
      <c r="M18" s="51">
        <v>34.520000000000003</v>
      </c>
      <c r="N18" s="51">
        <v>733.80</v>
      </c>
      <c r="O18" s="51">
        <v>0</v>
      </c>
      <c r="P18" s="51">
        <v>1.26</v>
      </c>
      <c r="Q18" s="51">
        <v>34.06</v>
      </c>
      <c r="R18" s="43"/>
      <c r="S18" s="43"/>
      <c r="T18" s="43"/>
      <c r="U18" s="43"/>
    </row>
    <row r="19" spans="1:21" s="11" customFormat="1" ht="15">
      <c r="A19" s="50" t="s">
        <v>264</v>
      </c>
      <c r="B19" s="51">
        <v>10.44</v>
      </c>
      <c r="C19" s="51">
        <v>72.900000000000006</v>
      </c>
      <c r="D19" s="51">
        <v>49.35</v>
      </c>
      <c r="E19" s="51">
        <v>5.43</v>
      </c>
      <c r="F19" s="51">
        <v>14.26</v>
      </c>
      <c r="G19" s="51">
        <v>113.61</v>
      </c>
      <c r="H19" s="51">
        <v>52.26</v>
      </c>
      <c r="I19" s="51">
        <v>0.59</v>
      </c>
      <c r="J19" s="51">
        <v>1.1000000000000001</v>
      </c>
      <c r="K19" s="51">
        <v>208.65</v>
      </c>
      <c r="L19" s="51">
        <v>33.130000000000003</v>
      </c>
      <c r="M19" s="51">
        <v>30.62</v>
      </c>
      <c r="N19" s="51">
        <v>863.90</v>
      </c>
      <c r="O19" s="51">
        <v>0</v>
      </c>
      <c r="P19" s="51">
        <v>1.1399999999999999</v>
      </c>
      <c r="Q19" s="51">
        <v>33.020000000000003</v>
      </c>
      <c r="R19" s="43"/>
      <c r="S19" s="43"/>
      <c r="T19" s="43"/>
      <c r="U19" s="43"/>
    </row>
    <row r="20" spans="1:21" s="11" customFormat="1" ht="15">
      <c r="A20" s="50" t="s">
        <v>265</v>
      </c>
      <c r="B20" s="51">
        <v>3.55</v>
      </c>
      <c r="C20" s="51">
        <v>60.81</v>
      </c>
      <c r="D20" s="51">
        <v>37.15</v>
      </c>
      <c r="E20" s="51">
        <v>4.34</v>
      </c>
      <c r="F20" s="51">
        <v>12.83</v>
      </c>
      <c r="G20" s="51">
        <v>65.180000000000007</v>
      </c>
      <c r="H20" s="51">
        <v>44.66</v>
      </c>
      <c r="I20" s="51">
        <v>0.57999999999999996</v>
      </c>
      <c r="J20" s="51">
        <v>1.22</v>
      </c>
      <c r="K20" s="51">
        <v>255.22</v>
      </c>
      <c r="L20" s="51">
        <v>31.68</v>
      </c>
      <c r="M20" s="51">
        <v>29.71</v>
      </c>
      <c r="N20" s="51">
        <v>914.5</v>
      </c>
      <c r="O20" s="51">
        <v>0</v>
      </c>
      <c r="P20" s="51">
        <v>0.95</v>
      </c>
      <c r="Q20" s="51">
        <v>29.29</v>
      </c>
      <c r="R20" s="43"/>
      <c r="S20" s="43"/>
      <c r="T20" s="43"/>
      <c r="U20" s="43"/>
    </row>
    <row r="21" spans="1:21" s="11" customFormat="1" ht="15">
      <c r="A21" s="50" t="s">
        <v>266</v>
      </c>
      <c r="B21" s="51">
        <v>2.92</v>
      </c>
      <c r="C21" s="51">
        <v>50.65</v>
      </c>
      <c r="D21" s="51">
        <v>30.83</v>
      </c>
      <c r="E21" s="51">
        <v>3.48</v>
      </c>
      <c r="F21" s="51">
        <v>12.68</v>
      </c>
      <c r="G21" s="51">
        <v>62.61</v>
      </c>
      <c r="H21" s="51">
        <v>36.03</v>
      </c>
      <c r="I21" s="51">
        <v>0.60</v>
      </c>
      <c r="J21" s="51">
        <v>1.26</v>
      </c>
      <c r="K21" s="51">
        <v>246.46</v>
      </c>
      <c r="L21" s="51">
        <v>33</v>
      </c>
      <c r="M21" s="51">
        <v>29.31</v>
      </c>
      <c r="N21" s="51">
        <v>910.20</v>
      </c>
      <c r="O21" s="51">
        <v>0</v>
      </c>
      <c r="P21" s="51">
        <v>0.76</v>
      </c>
      <c r="Q21" s="51">
        <v>26.76</v>
      </c>
      <c r="R21" s="43"/>
      <c r="S21" s="43"/>
      <c r="T21" s="43"/>
      <c r="U21" s="43"/>
    </row>
    <row r="22" spans="1:21" s="11" customFormat="1" ht="15">
      <c r="A22" s="50" t="s">
        <v>267</v>
      </c>
      <c r="B22" s="51">
        <v>2.91</v>
      </c>
      <c r="C22" s="51">
        <v>46.05</v>
      </c>
      <c r="D22" s="51">
        <v>28.48</v>
      </c>
      <c r="E22" s="51">
        <v>3.02</v>
      </c>
      <c r="F22" s="51">
        <v>17.38</v>
      </c>
      <c r="G22" s="51">
        <v>40.03</v>
      </c>
      <c r="H22" s="51">
        <v>30.41</v>
      </c>
      <c r="I22" s="51">
        <v>0.59</v>
      </c>
      <c r="J22" s="51">
        <v>1.07</v>
      </c>
      <c r="K22" s="51">
        <v>276.14</v>
      </c>
      <c r="L22" s="51">
        <v>33.74</v>
      </c>
      <c r="M22" s="51">
        <v>27.08</v>
      </c>
      <c r="N22" s="51">
        <v>846.70</v>
      </c>
      <c r="O22" s="51">
        <v>0</v>
      </c>
      <c r="P22" s="51">
        <v>0.55000000000000004</v>
      </c>
      <c r="Q22" s="51">
        <v>25.62</v>
      </c>
      <c r="R22" s="43"/>
      <c r="S22" s="43"/>
      <c r="T22" s="43"/>
      <c r="U22" s="43"/>
    </row>
    <row r="23" spans="1:21" s="11" customFormat="1" ht="15">
      <c r="A23" s="50" t="s">
        <v>268</v>
      </c>
      <c r="B23" s="51">
        <v>3.53</v>
      </c>
      <c r="C23" s="51">
        <v>45.05</v>
      </c>
      <c r="D23" s="51">
        <v>28.43</v>
      </c>
      <c r="E23" s="51">
        <v>5.20</v>
      </c>
      <c r="F23" s="51">
        <v>22.94</v>
      </c>
      <c r="G23" s="51">
        <v>59.15</v>
      </c>
      <c r="H23" s="51">
        <v>24.61</v>
      </c>
      <c r="I23" s="51">
        <v>0.52</v>
      </c>
      <c r="J23" s="51">
        <v>0.36</v>
      </c>
      <c r="K23" s="51">
        <v>201.09</v>
      </c>
      <c r="L23" s="51">
        <v>35.159999999999997</v>
      </c>
      <c r="M23" s="51">
        <v>25.44</v>
      </c>
      <c r="N23" s="51">
        <v>683.40</v>
      </c>
      <c r="O23" s="51">
        <v>0</v>
      </c>
      <c r="P23" s="51">
        <v>0.54</v>
      </c>
      <c r="Q23" s="51">
        <v>24.31</v>
      </c>
      <c r="R23" s="43"/>
      <c r="S23" s="43"/>
      <c r="T23" s="43"/>
      <c r="U23" s="43"/>
    </row>
    <row r="24" spans="1:21" s="11" customFormat="1" ht="15">
      <c r="A24" s="50" t="s">
        <v>269</v>
      </c>
      <c r="B24" s="51">
        <v>4.55</v>
      </c>
      <c r="C24" s="51">
        <v>45.67</v>
      </c>
      <c r="D24" s="51">
        <v>28.78</v>
      </c>
      <c r="E24" s="51">
        <v>5.59</v>
      </c>
      <c r="F24" s="51">
        <v>30.62</v>
      </c>
      <c r="G24" s="51">
        <v>59.15</v>
      </c>
      <c r="H24" s="51">
        <v>23.76</v>
      </c>
      <c r="I24" s="51">
        <v>0.56999999999999995</v>
      </c>
      <c r="J24" s="51">
        <v>0.42</v>
      </c>
      <c r="K24" s="51">
        <v>356.80</v>
      </c>
      <c r="L24" s="51">
        <v>34.840000000000003</v>
      </c>
      <c r="M24" s="51">
        <v>23.36</v>
      </c>
      <c r="N24" s="51">
        <v>371.40</v>
      </c>
      <c r="O24" s="51">
        <v>0</v>
      </c>
      <c r="P24" s="51">
        <v>0.63</v>
      </c>
      <c r="Q24" s="51">
        <v>20.92</v>
      </c>
      <c r="R24" s="43"/>
      <c r="S24" s="43"/>
      <c r="T24" s="43"/>
      <c r="U24" s="43"/>
    </row>
    <row r="25" spans="1:21" s="11" customFormat="1" ht="15">
      <c r="A25" s="50" t="s">
        <v>270</v>
      </c>
      <c r="B25" s="51">
        <v>5.73</v>
      </c>
      <c r="C25" s="51">
        <v>47.40</v>
      </c>
      <c r="D25" s="51">
        <v>31.49</v>
      </c>
      <c r="E25" s="51">
        <v>4.46</v>
      </c>
      <c r="F25" s="51">
        <v>26.85</v>
      </c>
      <c r="G25" s="51">
        <v>117.55</v>
      </c>
      <c r="H25" s="51">
        <v>21.97</v>
      </c>
      <c r="I25" s="51">
        <v>0.56000000000000005</v>
      </c>
      <c r="J25" s="51">
        <v>0.43</v>
      </c>
      <c r="K25" s="51">
        <v>351.63</v>
      </c>
      <c r="L25" s="51">
        <v>33.58</v>
      </c>
      <c r="M25" s="51">
        <v>24.52</v>
      </c>
      <c r="N25" s="51">
        <v>133.10</v>
      </c>
      <c r="O25" s="51">
        <v>0</v>
      </c>
      <c r="P25" s="51">
        <v>0.61</v>
      </c>
      <c r="Q25" s="51">
        <v>22.07</v>
      </c>
      <c r="R25" s="43"/>
      <c r="S25" s="43"/>
      <c r="T25" s="43"/>
      <c r="U25" s="43"/>
    </row>
    <row r="26" spans="1:21" s="11" customFormat="1" ht="15">
      <c r="A26" s="50" t="s">
        <v>271</v>
      </c>
      <c r="B26" s="51">
        <v>4.17</v>
      </c>
      <c r="C26" s="51">
        <v>53.41</v>
      </c>
      <c r="D26" s="51">
        <v>33.56</v>
      </c>
      <c r="E26" s="51">
        <v>6.71</v>
      </c>
      <c r="F26" s="51">
        <v>40.99</v>
      </c>
      <c r="G26" s="51">
        <v>117.55</v>
      </c>
      <c r="H26" s="51">
        <v>21.01</v>
      </c>
      <c r="I26" s="51">
        <v>0.54</v>
      </c>
      <c r="J26" s="51">
        <v>0.54</v>
      </c>
      <c r="K26" s="51">
        <v>336.76</v>
      </c>
      <c r="L26" s="51">
        <v>32.51</v>
      </c>
      <c r="M26" s="51">
        <v>28.28</v>
      </c>
      <c r="N26" s="51">
        <v>67</v>
      </c>
      <c r="O26" s="51">
        <v>0</v>
      </c>
      <c r="P26" s="51">
        <v>0.63</v>
      </c>
      <c r="Q26" s="51">
        <v>22.36</v>
      </c>
      <c r="R26" s="43"/>
      <c r="S26" s="43"/>
      <c r="T26" s="43"/>
      <c r="U26" s="43"/>
    </row>
    <row r="27" spans="1:21" s="11" customFormat="1" ht="15">
      <c r="A27" s="50" t="s">
        <v>272</v>
      </c>
      <c r="B27" s="51">
        <v>4.59</v>
      </c>
      <c r="C27" s="51">
        <v>64.47</v>
      </c>
      <c r="D27" s="51">
        <v>39.99</v>
      </c>
      <c r="E27" s="51">
        <v>8.15</v>
      </c>
      <c r="F27" s="51">
        <v>44.68</v>
      </c>
      <c r="G27" s="51">
        <v>60.86</v>
      </c>
      <c r="H27" s="51">
        <v>20.69</v>
      </c>
      <c r="I27" s="51">
        <v>0.5</v>
      </c>
      <c r="J27" s="51">
        <v>0.31</v>
      </c>
      <c r="K27" s="51">
        <v>290.35000000000002</v>
      </c>
      <c r="L27" s="51">
        <v>30.78</v>
      </c>
      <c r="M27" s="51">
        <v>32.07</v>
      </c>
      <c r="N27" s="51">
        <v>10.199999999999999</v>
      </c>
      <c r="O27" s="51">
        <v>0</v>
      </c>
      <c r="P27" s="51">
        <v>0.77</v>
      </c>
      <c r="Q27" s="51">
        <v>20.71</v>
      </c>
      <c r="R27" s="43"/>
      <c r="S27" s="43"/>
      <c r="T27" s="43"/>
      <c r="U27" s="43"/>
    </row>
    <row r="28" spans="1:21" s="11" customFormat="1" ht="15">
      <c r="A28" s="50" t="s">
        <v>273</v>
      </c>
      <c r="B28" s="51">
        <v>43.02</v>
      </c>
      <c r="C28" s="51">
        <v>98.80</v>
      </c>
      <c r="D28" s="51">
        <v>89.77</v>
      </c>
      <c r="E28" s="51">
        <v>7.02</v>
      </c>
      <c r="F28" s="51">
        <v>21.87</v>
      </c>
      <c r="G28" s="51">
        <v>169.80</v>
      </c>
      <c r="H28" s="51">
        <v>24.07</v>
      </c>
      <c r="I28" s="51">
        <v>0.69</v>
      </c>
      <c r="J28" s="51">
        <v>0.23</v>
      </c>
      <c r="K28" s="51">
        <v>333.60</v>
      </c>
      <c r="L28" s="51">
        <v>28.84</v>
      </c>
      <c r="M28" s="51">
        <v>40.57</v>
      </c>
      <c r="N28" s="51">
        <v>5.0999999999999996</v>
      </c>
      <c r="O28" s="51">
        <v>0</v>
      </c>
      <c r="P28" s="51">
        <v>1.60</v>
      </c>
      <c r="Q28" s="51">
        <v>24.57</v>
      </c>
      <c r="R28" s="43"/>
      <c r="S28" s="43"/>
      <c r="T28" s="43"/>
      <c r="U28" s="43"/>
    </row>
    <row r="29" spans="1:21" s="11" customFormat="1" ht="15">
      <c r="A29" s="50" t="s">
        <v>274</v>
      </c>
      <c r="B29" s="51">
        <v>51.40</v>
      </c>
      <c r="C29" s="51">
        <v>84.76</v>
      </c>
      <c r="D29" s="51">
        <v>88.33</v>
      </c>
      <c r="E29" s="51">
        <v>4.71</v>
      </c>
      <c r="F29" s="51">
        <v>4.95</v>
      </c>
      <c r="G29" s="51">
        <v>169.80</v>
      </c>
      <c r="H29" s="51">
        <v>27.12</v>
      </c>
      <c r="I29" s="51">
        <v>0.74</v>
      </c>
      <c r="J29" s="51">
        <v>3.02</v>
      </c>
      <c r="K29" s="51">
        <v>23.86</v>
      </c>
      <c r="L29" s="51">
        <v>27.62</v>
      </c>
      <c r="M29" s="51">
        <v>39.979999999999997</v>
      </c>
      <c r="N29" s="51">
        <v>5.60</v>
      </c>
      <c r="O29" s="51">
        <v>0</v>
      </c>
      <c r="P29" s="51">
        <v>1.88</v>
      </c>
      <c r="Q29" s="51">
        <v>32.869999999999997</v>
      </c>
      <c r="R29" s="43"/>
      <c r="S29" s="43"/>
      <c r="T29" s="43"/>
      <c r="U29" s="43"/>
    </row>
    <row r="30" spans="1:21" s="11" customFormat="1" ht="15">
      <c r="A30" s="50" t="s">
        <v>275</v>
      </c>
      <c r="B30" s="51">
        <v>22.27</v>
      </c>
      <c r="C30" s="51">
        <v>68.95</v>
      </c>
      <c r="D30" s="51">
        <v>56.65</v>
      </c>
      <c r="E30" s="51">
        <v>3.99</v>
      </c>
      <c r="F30" s="51">
        <v>9.5399999999999991</v>
      </c>
      <c r="G30" s="51">
        <v>105.16</v>
      </c>
      <c r="H30" s="51">
        <v>27.12</v>
      </c>
      <c r="I30" s="51">
        <v>0.72</v>
      </c>
      <c r="J30" s="51">
        <v>2.29</v>
      </c>
      <c r="K30" s="51">
        <v>18.739999999999998</v>
      </c>
      <c r="L30" s="51">
        <v>26.02</v>
      </c>
      <c r="M30" s="51">
        <v>43.71</v>
      </c>
      <c r="N30" s="51">
        <v>5.5</v>
      </c>
      <c r="O30" s="51">
        <v>0</v>
      </c>
      <c r="P30" s="51">
        <v>1.28</v>
      </c>
      <c r="Q30" s="51">
        <v>32.69</v>
      </c>
      <c r="R30" s="43"/>
      <c r="S30" s="43"/>
      <c r="T30" s="43"/>
      <c r="U30" s="43"/>
    </row>
    <row r="31" spans="1:21" s="11" customFormat="1" ht="15">
      <c r="A31" s="50" t="s">
        <v>276</v>
      </c>
      <c r="B31" s="51">
        <v>11.30</v>
      </c>
      <c r="C31" s="51">
        <v>61.35</v>
      </c>
      <c r="D31" s="51">
        <v>43.66</v>
      </c>
      <c r="E31" s="51">
        <v>12.20</v>
      </c>
      <c r="F31" s="51">
        <v>9.77</v>
      </c>
      <c r="G31" s="51">
        <v>103.85</v>
      </c>
      <c r="H31" s="51">
        <v>24</v>
      </c>
      <c r="I31" s="51">
        <v>0.57999999999999996</v>
      </c>
      <c r="J31" s="51">
        <v>1.69</v>
      </c>
      <c r="K31" s="51">
        <v>23.87</v>
      </c>
      <c r="L31" s="51">
        <v>24.65</v>
      </c>
      <c r="M31" s="51">
        <v>43.94</v>
      </c>
      <c r="N31" s="51">
        <v>5</v>
      </c>
      <c r="O31" s="51">
        <v>0</v>
      </c>
      <c r="P31" s="51">
        <v>0.97</v>
      </c>
      <c r="Q31" s="51">
        <v>27.98</v>
      </c>
      <c r="R31" s="43"/>
      <c r="S31" s="43"/>
      <c r="T31" s="43"/>
      <c r="U31" s="43"/>
    </row>
    <row r="32" spans="1:21" s="11" customFormat="1" ht="15">
      <c r="A32" s="50" t="s">
        <v>277</v>
      </c>
      <c r="B32" s="51">
        <v>10.58</v>
      </c>
      <c r="C32" s="51">
        <v>59.38</v>
      </c>
      <c r="D32" s="51">
        <v>41.20</v>
      </c>
      <c r="E32" s="51">
        <v>17.57</v>
      </c>
      <c r="F32" s="51">
        <v>9.93</v>
      </c>
      <c r="G32" s="51">
        <v>103.85</v>
      </c>
      <c r="H32" s="51">
        <v>20.88</v>
      </c>
      <c r="I32" s="51">
        <v>0.60</v>
      </c>
      <c r="J32" s="51">
        <v>0.37</v>
      </c>
      <c r="K32" s="51">
        <v>119.61</v>
      </c>
      <c r="L32" s="51">
        <v>23.98</v>
      </c>
      <c r="M32" s="51">
        <v>46.45</v>
      </c>
      <c r="N32" s="51">
        <v>4.80</v>
      </c>
      <c r="O32" s="51">
        <v>0</v>
      </c>
      <c r="P32" s="51">
        <v>0.93</v>
      </c>
      <c r="Q32" s="51">
        <v>31.47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2.9100000000000001</v>
      </c>
      <c r="C34" s="28">
        <f t="shared" si="0"/>
        <v>45.049999999999997</v>
      </c>
      <c r="D34" s="28">
        <f t="shared" si="0"/>
        <v>28.43</v>
      </c>
      <c r="E34" s="28">
        <f t="shared" si="0"/>
        <v>2.1800000000000002</v>
      </c>
      <c r="F34" s="28">
        <f t="shared" si="0"/>
        <v>3.0600000000000001</v>
      </c>
      <c r="G34" s="28">
        <f t="shared" si="0"/>
        <v>40.030000000000001</v>
      </c>
      <c r="H34" s="28">
        <f t="shared" si="0"/>
        <v>20.690000000000001</v>
      </c>
      <c r="I34" s="28">
        <f t="shared" si="0"/>
        <v>0.5</v>
      </c>
      <c r="J34" s="28">
        <f t="shared" si="0"/>
        <v>0.23000000000000001</v>
      </c>
      <c r="K34" s="28">
        <f t="shared" si="0"/>
        <v>18.739999999999998</v>
      </c>
      <c r="L34" s="28">
        <f t="shared" si="0"/>
        <v>20.710000000000001</v>
      </c>
      <c r="M34" s="28">
        <f t="shared" si="0"/>
        <v>23.359999999999999</v>
      </c>
      <c r="N34" s="28">
        <f t="shared" si="0"/>
        <v>4.7999999999999998</v>
      </c>
      <c r="O34" s="28">
        <f t="shared" si="0"/>
        <v>0</v>
      </c>
      <c r="P34" s="28">
        <f t="shared" si="0"/>
        <v>0.54000000000000004</v>
      </c>
      <c r="Q34" s="28">
        <f t="shared" si="0"/>
        <v>20.710000000000001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51.399999999999999</v>
      </c>
      <c r="C35" s="29">
        <f t="shared" si="1"/>
        <v>98.799999999999997</v>
      </c>
      <c r="D35" s="29">
        <f t="shared" si="1"/>
        <v>89.769999999999996</v>
      </c>
      <c r="E35" s="29">
        <f t="shared" si="1"/>
        <v>17.57</v>
      </c>
      <c r="F35" s="29">
        <f t="shared" si="1"/>
        <v>44.68</v>
      </c>
      <c r="G35" s="29">
        <f t="shared" si="1"/>
        <v>235.94</v>
      </c>
      <c r="H35" s="29">
        <f t="shared" si="1"/>
        <v>60.039999999999999</v>
      </c>
      <c r="I35" s="29">
        <f t="shared" si="1"/>
        <v>0.80000000000000004</v>
      </c>
      <c r="J35" s="29">
        <f t="shared" si="1"/>
        <v>3.02</v>
      </c>
      <c r="K35" s="29">
        <f t="shared" si="1"/>
        <v>356.80000000000001</v>
      </c>
      <c r="L35" s="29">
        <f t="shared" si="1"/>
        <v>35.159999999999997</v>
      </c>
      <c r="M35" s="29">
        <f t="shared" si="1"/>
        <v>66.760000000000005</v>
      </c>
      <c r="N35" s="29">
        <f t="shared" si="1"/>
        <v>914.5</v>
      </c>
      <c r="O35" s="29">
        <f t="shared" si="1"/>
        <v>0</v>
      </c>
      <c r="P35" s="29">
        <f t="shared" si="1"/>
        <v>1.8799999999999999</v>
      </c>
      <c r="Q35" s="29">
        <f t="shared" si="1"/>
        <v>35.799999999999997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21.403749999999999</v>
      </c>
      <c r="C36" s="28">
        <f t="shared" si="2"/>
        <v>59.239166666666655</v>
      </c>
      <c r="D36" s="28">
        <f t="shared" si="2"/>
        <v>49.737916666666671</v>
      </c>
      <c r="E36" s="28">
        <f t="shared" si="2"/>
        <v>6.423333333333332</v>
      </c>
      <c r="F36" s="28">
        <f t="shared" si="2"/>
        <v>13.585833333333333</v>
      </c>
      <c r="G36" s="28">
        <f t="shared" si="2"/>
        <v>129.26250000000002</v>
      </c>
      <c r="H36" s="28">
        <f t="shared" si="2"/>
        <v>39.515000000000001</v>
      </c>
      <c r="I36" s="28">
        <f t="shared" si="2"/>
        <v>0.64333333333333331</v>
      </c>
      <c r="J36" s="28">
        <f t="shared" si="2"/>
        <v>0.87583333333333346</v>
      </c>
      <c r="K36" s="28">
        <f t="shared" si="2"/>
        <v>185.33999999999995</v>
      </c>
      <c r="L36" s="28">
        <f t="shared" si="2"/>
        <v>28.009166666666669</v>
      </c>
      <c r="M36" s="28">
        <f t="shared" si="2"/>
        <v>43.343750000000007</v>
      </c>
      <c r="N36" s="28">
        <f t="shared" si="2"/>
        <v>277.16250000000002</v>
      </c>
      <c r="O36" s="28">
        <f t="shared" si="2"/>
        <v>0</v>
      </c>
      <c r="P36" s="28">
        <f t="shared" si="2"/>
        <v>1.1754166666666666</v>
      </c>
      <c r="Q36" s="28">
        <f t="shared" si="2"/>
        <v>29.641666666666669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15.910915807954812</v>
      </c>
      <c r="C37" s="28">
        <f t="shared" si="3" ref="C37:Q37">STDEV(C9:C32)</f>
        <v>12.852079147196308</v>
      </c>
      <c r="D37" s="28">
        <f t="shared" si="3"/>
        <v>16.713810737951338</v>
      </c>
      <c r="E37" s="28">
        <f t="shared" si="3"/>
        <v>3.9390482923258743</v>
      </c>
      <c r="F37" s="28">
        <f t="shared" si="3"/>
        <v>11.974931393709861</v>
      </c>
      <c r="G37" s="28">
        <f t="shared" si="3"/>
        <v>53.530118320355861</v>
      </c>
      <c r="H37" s="28">
        <f t="shared" si="3"/>
        <v>15.303909134028757</v>
      </c>
      <c r="I37" s="28">
        <f t="shared" si="3"/>
        <v>0.086460177647518802</v>
      </c>
      <c r="J37" s="28">
        <f t="shared" si="3"/>
        <v>0.67632585834541803</v>
      </c>
      <c r="K37" s="28">
        <f t="shared" si="3"/>
        <v>120.13745251024841</v>
      </c>
      <c r="L37" s="28">
        <f t="shared" si="3"/>
        <v>5.2357275285888489</v>
      </c>
      <c r="M37" s="28">
        <f t="shared" si="3"/>
        <v>15.099039074664974</v>
      </c>
      <c r="N37" s="28">
        <f t="shared" si="3"/>
        <v>355.86952153660985</v>
      </c>
      <c r="O37" s="28">
        <f t="shared" si="3"/>
        <v>0</v>
      </c>
      <c r="P37" s="28">
        <f t="shared" si="3"/>
        <v>0.43520089480673096</v>
      </c>
      <c r="Q37" s="28">
        <f t="shared" si="3"/>
        <v>5.0058467265064195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a558ee-8ab1-465f-b447-add2bee9afbd}">
  <sheetPr codeName=""/>
  <dimension ref="A1:U119"/>
  <sheetViews>
    <sheetView workbookViewId="0" topLeftCell="A1">
      <pane xSplit="2" ySplit="8" topLeftCell="C33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9" sqref="G6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278</v>
      </c>
      <c r="B9" s="58">
        <v>8.5</v>
      </c>
      <c r="C9" s="58">
        <v>60.12</v>
      </c>
      <c r="D9" s="58">
        <v>40.74</v>
      </c>
      <c r="E9" s="58">
        <v>4.16</v>
      </c>
      <c r="F9" s="58">
        <v>5.07</v>
      </c>
      <c r="G9" s="58">
        <v>101.13</v>
      </c>
      <c r="H9" s="58">
        <v>21.11</v>
      </c>
      <c r="I9" s="58">
        <v>0.60</v>
      </c>
      <c r="J9" s="58">
        <v>0.31</v>
      </c>
      <c r="K9" s="58">
        <v>340.65</v>
      </c>
      <c r="L9" s="58">
        <v>23.62</v>
      </c>
      <c r="M9" s="58">
        <v>53.06</v>
      </c>
      <c r="N9" s="58">
        <v>5.30</v>
      </c>
      <c r="O9" s="58">
        <v>0</v>
      </c>
      <c r="P9" s="58">
        <v>1.03</v>
      </c>
      <c r="Q9" s="58">
        <v>32.03</v>
      </c>
      <c r="R9" s="43"/>
      <c r="S9" s="43"/>
      <c r="T9" s="43"/>
      <c r="U9" s="43"/>
    </row>
    <row r="10" spans="1:21" s="11" customFormat="1" ht="15">
      <c r="A10" s="57" t="s">
        <v>279</v>
      </c>
      <c r="B10" s="58">
        <v>10.55</v>
      </c>
      <c r="C10" s="58">
        <v>57</v>
      </c>
      <c r="D10" s="58">
        <v>40.659999999999997</v>
      </c>
      <c r="E10" s="58">
        <v>8.3800000000000008</v>
      </c>
      <c r="F10" s="58">
        <v>9.19</v>
      </c>
      <c r="G10" s="58">
        <v>101.13</v>
      </c>
      <c r="H10" s="58">
        <v>21.11</v>
      </c>
      <c r="I10" s="58">
        <v>0.56999999999999995</v>
      </c>
      <c r="J10" s="58">
        <v>0.46</v>
      </c>
      <c r="K10" s="58">
        <v>356.86</v>
      </c>
      <c r="L10" s="58">
        <v>22.65</v>
      </c>
      <c r="M10" s="58">
        <v>56.55</v>
      </c>
      <c r="N10" s="58">
        <v>5</v>
      </c>
      <c r="O10" s="58">
        <v>0</v>
      </c>
      <c r="P10" s="58">
        <v>0.98</v>
      </c>
      <c r="Q10" s="58">
        <v>27.58</v>
      </c>
      <c r="R10" s="43"/>
      <c r="S10" s="43"/>
      <c r="T10" s="43"/>
      <c r="U10" s="43"/>
    </row>
    <row r="11" spans="1:21" s="11" customFormat="1" ht="15">
      <c r="A11" s="57" t="s">
        <v>280</v>
      </c>
      <c r="B11" s="58">
        <v>9.09</v>
      </c>
      <c r="C11" s="58">
        <v>48.63</v>
      </c>
      <c r="D11" s="58">
        <v>33.909999999999997</v>
      </c>
      <c r="E11" s="58">
        <v>11.59</v>
      </c>
      <c r="F11" s="58">
        <v>6.59</v>
      </c>
      <c r="G11" s="58">
        <v>70.08</v>
      </c>
      <c r="H11" s="58">
        <v>20.30</v>
      </c>
      <c r="I11" s="58">
        <v>0.56999999999999995</v>
      </c>
      <c r="J11" s="58">
        <v>0.74</v>
      </c>
      <c r="K11" s="58">
        <v>355.09</v>
      </c>
      <c r="L11" s="58">
        <v>22.62</v>
      </c>
      <c r="M11" s="58">
        <v>53.60</v>
      </c>
      <c r="N11" s="58">
        <v>4.9000000000000004</v>
      </c>
      <c r="O11" s="58">
        <v>0</v>
      </c>
      <c r="P11" s="58">
        <v>1.01</v>
      </c>
      <c r="Q11" s="58">
        <v>27.46</v>
      </c>
      <c r="R11" s="43"/>
      <c r="S11" s="43"/>
      <c r="T11" s="43"/>
      <c r="U11" s="43"/>
    </row>
    <row r="12" spans="1:21" s="11" customFormat="1" ht="15">
      <c r="A12" s="57" t="s">
        <v>281</v>
      </c>
      <c r="B12" s="58">
        <v>8.61</v>
      </c>
      <c r="C12" s="58">
        <v>48.67</v>
      </c>
      <c r="D12" s="58">
        <v>33.04</v>
      </c>
      <c r="E12" s="58">
        <v>4.16</v>
      </c>
      <c r="F12" s="58">
        <v>4.4800000000000004</v>
      </c>
      <c r="G12" s="58">
        <v>126.88</v>
      </c>
      <c r="H12" s="58">
        <v>21.45</v>
      </c>
      <c r="I12" s="58">
        <v>0.59</v>
      </c>
      <c r="J12" s="58">
        <v>0.72</v>
      </c>
      <c r="K12" s="58">
        <v>278.44</v>
      </c>
      <c r="L12" s="58">
        <v>22.37</v>
      </c>
      <c r="M12" s="58">
        <v>58.73</v>
      </c>
      <c r="N12" s="58">
        <v>5.30</v>
      </c>
      <c r="O12" s="58">
        <v>0</v>
      </c>
      <c r="P12" s="58">
        <v>0.94</v>
      </c>
      <c r="Q12" s="58">
        <v>29.63</v>
      </c>
      <c r="R12" s="43"/>
      <c r="S12" s="43"/>
      <c r="T12" s="43"/>
      <c r="U12" s="43"/>
    </row>
    <row r="13" spans="1:21" s="11" customFormat="1" ht="15">
      <c r="A13" s="57" t="s">
        <v>282</v>
      </c>
      <c r="B13" s="58">
        <v>6.63</v>
      </c>
      <c r="C13" s="58">
        <v>48.37</v>
      </c>
      <c r="D13" s="58">
        <v>32.54</v>
      </c>
      <c r="E13" s="58">
        <v>2.46</v>
      </c>
      <c r="F13" s="58">
        <v>3.85</v>
      </c>
      <c r="G13" s="58">
        <v>126.88</v>
      </c>
      <c r="H13" s="58">
        <v>22.40</v>
      </c>
      <c r="I13" s="58">
        <v>0.56999999999999995</v>
      </c>
      <c r="J13" s="58">
        <v>0.52</v>
      </c>
      <c r="K13" s="58">
        <v>300.85000000000002</v>
      </c>
      <c r="L13" s="58">
        <v>21.71</v>
      </c>
      <c r="M13" s="58">
        <v>60.95</v>
      </c>
      <c r="N13" s="58">
        <v>5.20</v>
      </c>
      <c r="O13" s="58">
        <v>0</v>
      </c>
      <c r="P13" s="58">
        <v>0.77</v>
      </c>
      <c r="Q13" s="58">
        <v>29.40</v>
      </c>
      <c r="R13" s="43"/>
      <c r="S13" s="43"/>
      <c r="T13" s="43"/>
      <c r="U13" s="43"/>
    </row>
    <row r="14" spans="1:21" s="11" customFormat="1" ht="15">
      <c r="A14" s="57" t="s">
        <v>283</v>
      </c>
      <c r="B14" s="58">
        <v>11.64</v>
      </c>
      <c r="C14" s="58">
        <v>44.57</v>
      </c>
      <c r="D14" s="58">
        <v>34.67</v>
      </c>
      <c r="E14" s="58">
        <v>4.4400000000000004</v>
      </c>
      <c r="F14" s="58">
        <v>6.82</v>
      </c>
      <c r="G14" s="58">
        <v>95.30</v>
      </c>
      <c r="H14" s="58">
        <v>22.40</v>
      </c>
      <c r="I14" s="58">
        <v>0.54</v>
      </c>
      <c r="J14" s="58">
        <v>0.18</v>
      </c>
      <c r="K14" s="58">
        <v>275.18</v>
      </c>
      <c r="L14" s="58">
        <v>21.71</v>
      </c>
      <c r="M14" s="58">
        <v>59.47</v>
      </c>
      <c r="N14" s="58">
        <v>13.20</v>
      </c>
      <c r="O14" s="58">
        <v>0</v>
      </c>
      <c r="P14" s="58">
        <v>0.73</v>
      </c>
      <c r="Q14" s="58">
        <v>24.49</v>
      </c>
      <c r="R14" s="43"/>
      <c r="S14" s="43"/>
      <c r="T14" s="43"/>
      <c r="U14" s="43"/>
    </row>
    <row r="15" spans="1:21" s="11" customFormat="1" ht="15">
      <c r="A15" s="57" t="s">
        <v>284</v>
      </c>
      <c r="B15" s="58">
        <v>11.17</v>
      </c>
      <c r="C15" s="58">
        <v>45.72</v>
      </c>
      <c r="D15" s="58">
        <v>34.10</v>
      </c>
      <c r="E15" s="58">
        <v>4</v>
      </c>
      <c r="F15" s="58">
        <v>3.86</v>
      </c>
      <c r="G15" s="58">
        <v>95.30</v>
      </c>
      <c r="H15" s="58">
        <v>22.58</v>
      </c>
      <c r="I15" s="58">
        <v>0.56999999999999995</v>
      </c>
      <c r="J15" s="58">
        <v>0.17</v>
      </c>
      <c r="K15" s="58">
        <v>317.56</v>
      </c>
      <c r="L15" s="58">
        <v>22.61</v>
      </c>
      <c r="M15" s="58">
        <v>56.15</v>
      </c>
      <c r="N15" s="58">
        <v>37</v>
      </c>
      <c r="O15" s="58">
        <v>0</v>
      </c>
      <c r="P15" s="58">
        <v>0.71</v>
      </c>
      <c r="Q15" s="58">
        <v>29.66</v>
      </c>
      <c r="R15" s="43"/>
      <c r="S15" s="43"/>
      <c r="T15" s="43"/>
      <c r="U15" s="43"/>
    </row>
    <row r="16" spans="1:21" s="11" customFormat="1" ht="15">
      <c r="A16" s="57" t="s">
        <v>285</v>
      </c>
      <c r="B16" s="58">
        <v>10.050000000000001</v>
      </c>
      <c r="C16" s="58">
        <v>50.49</v>
      </c>
      <c r="D16" s="58">
        <v>35.979999999999997</v>
      </c>
      <c r="E16" s="58">
        <v>2.61</v>
      </c>
      <c r="F16" s="58">
        <v>3.81</v>
      </c>
      <c r="G16" s="58">
        <v>87.25</v>
      </c>
      <c r="H16" s="58">
        <v>22.90</v>
      </c>
      <c r="I16" s="58">
        <v>0.56000000000000005</v>
      </c>
      <c r="J16" s="58">
        <v>0.40</v>
      </c>
      <c r="K16" s="58">
        <v>36.94</v>
      </c>
      <c r="L16" s="58">
        <v>25.80</v>
      </c>
      <c r="M16" s="58">
        <v>54.19</v>
      </c>
      <c r="N16" s="58">
        <v>250.30</v>
      </c>
      <c r="O16" s="58">
        <v>0</v>
      </c>
      <c r="P16" s="58">
        <v>0.79</v>
      </c>
      <c r="Q16" s="58">
        <v>30.45</v>
      </c>
      <c r="R16" s="43"/>
      <c r="S16" s="43"/>
      <c r="T16" s="43"/>
      <c r="U16" s="43"/>
    </row>
    <row r="17" spans="1:21" s="11" customFormat="1" ht="15">
      <c r="A17" s="57" t="s">
        <v>286</v>
      </c>
      <c r="B17" s="58">
        <v>6.74</v>
      </c>
      <c r="C17" s="58">
        <v>50.20</v>
      </c>
      <c r="D17" s="58">
        <v>33.270000000000003</v>
      </c>
      <c r="E17" s="58">
        <v>4.6100000000000003</v>
      </c>
      <c r="F17" s="58">
        <v>8.75</v>
      </c>
      <c r="G17" s="58">
        <v>93.35</v>
      </c>
      <c r="H17" s="58">
        <v>22.90</v>
      </c>
      <c r="I17" s="58">
        <v>0.56000000000000005</v>
      </c>
      <c r="J17" s="58">
        <v>0.71</v>
      </c>
      <c r="K17" s="58">
        <v>353.79</v>
      </c>
      <c r="L17" s="58">
        <v>26.64</v>
      </c>
      <c r="M17" s="58">
        <v>45.58</v>
      </c>
      <c r="N17" s="58">
        <v>208.20</v>
      </c>
      <c r="O17" s="58">
        <v>0</v>
      </c>
      <c r="P17" s="58">
        <v>0.85</v>
      </c>
      <c r="Q17" s="58">
        <v>26.60</v>
      </c>
      <c r="R17" s="43"/>
      <c r="S17" s="43"/>
      <c r="T17" s="43"/>
      <c r="U17" s="43"/>
    </row>
    <row r="18" spans="1:21" s="11" customFormat="1" ht="15">
      <c r="A18" s="57" t="s">
        <v>287</v>
      </c>
      <c r="B18" s="58">
        <v>8.6999999999999993</v>
      </c>
      <c r="C18" s="58">
        <v>51.20</v>
      </c>
      <c r="D18" s="58">
        <v>35.97</v>
      </c>
      <c r="E18" s="58">
        <v>6.27</v>
      </c>
      <c r="F18" s="58">
        <v>12.21</v>
      </c>
      <c r="G18" s="58">
        <v>93.35</v>
      </c>
      <c r="H18" s="58">
        <v>21.64</v>
      </c>
      <c r="I18" s="58">
        <v>0.54</v>
      </c>
      <c r="J18" s="58">
        <v>0.64</v>
      </c>
      <c r="K18" s="58">
        <v>283.86</v>
      </c>
      <c r="L18" s="58">
        <v>28.95</v>
      </c>
      <c r="M18" s="58">
        <v>44.73</v>
      </c>
      <c r="N18" s="58">
        <v>547.29999999999995</v>
      </c>
      <c r="O18" s="58">
        <v>0</v>
      </c>
      <c r="P18" s="58">
        <v>1.06</v>
      </c>
      <c r="Q18" s="58">
        <v>21.76</v>
      </c>
      <c r="R18" s="43"/>
      <c r="S18" s="43"/>
      <c r="T18" s="43"/>
      <c r="U18" s="43"/>
    </row>
    <row r="19" spans="1:21" s="11" customFormat="1" ht="15">
      <c r="A19" s="57" t="s">
        <v>288</v>
      </c>
      <c r="B19" s="58">
        <v>6.64</v>
      </c>
      <c r="C19" s="58">
        <v>58.94</v>
      </c>
      <c r="D19" s="58">
        <v>36.18</v>
      </c>
      <c r="E19" s="58">
        <v>3.25</v>
      </c>
      <c r="F19" s="58">
        <v>46.5</v>
      </c>
      <c r="G19" s="58">
        <v>69.180000000000007</v>
      </c>
      <c r="H19" s="58">
        <v>23.57</v>
      </c>
      <c r="I19" s="58">
        <v>0.57999999999999996</v>
      </c>
      <c r="J19" s="58">
        <v>0.53</v>
      </c>
      <c r="K19" s="58">
        <v>359.69</v>
      </c>
      <c r="L19" s="58">
        <v>30.94</v>
      </c>
      <c r="M19" s="58">
        <v>38.729999999999997</v>
      </c>
      <c r="N19" s="58">
        <v>418.80</v>
      </c>
      <c r="O19" s="58">
        <v>0</v>
      </c>
      <c r="P19" s="58">
        <v>1.1599999999999999</v>
      </c>
      <c r="Q19" s="58">
        <v>26.01</v>
      </c>
      <c r="R19" s="43"/>
      <c r="S19" s="43"/>
      <c r="T19" s="43"/>
      <c r="U19" s="43"/>
    </row>
    <row r="20" spans="1:21" s="11" customFormat="1" ht="15">
      <c r="A20" s="57" t="s">
        <v>289</v>
      </c>
      <c r="B20" s="58">
        <v>2.91</v>
      </c>
      <c r="C20" s="58">
        <v>63.35</v>
      </c>
      <c r="D20" s="58">
        <v>37.43</v>
      </c>
      <c r="E20" s="58">
        <v>12.09</v>
      </c>
      <c r="F20" s="58">
        <v>49.23</v>
      </c>
      <c r="G20" s="55" t="s">
        <v>12</v>
      </c>
      <c r="H20" s="55" t="s">
        <v>12</v>
      </c>
      <c r="I20" s="58">
        <v>0.54</v>
      </c>
      <c r="J20" s="58">
        <v>0.79</v>
      </c>
      <c r="K20" s="58">
        <v>359.03</v>
      </c>
      <c r="L20" s="58">
        <v>34.36</v>
      </c>
      <c r="M20" s="58">
        <v>36.14</v>
      </c>
      <c r="N20" s="58">
        <v>831.90</v>
      </c>
      <c r="O20" s="58">
        <v>0</v>
      </c>
      <c r="P20" s="58">
        <v>1.44</v>
      </c>
      <c r="Q20" s="58">
        <v>22.87</v>
      </c>
      <c r="R20" s="43"/>
      <c r="S20" s="43"/>
      <c r="T20" s="43"/>
      <c r="U20" s="43"/>
    </row>
    <row r="21" spans="1:21" s="11" customFormat="1" ht="15">
      <c r="A21" s="57" t="s">
        <v>290</v>
      </c>
      <c r="B21" s="55" t="s">
        <v>12</v>
      </c>
      <c r="C21" s="55" t="s">
        <v>12</v>
      </c>
      <c r="D21" s="55" t="s">
        <v>12</v>
      </c>
      <c r="E21" s="58">
        <v>10.34</v>
      </c>
      <c r="F21" s="58">
        <v>36.40</v>
      </c>
      <c r="G21" s="55" t="s">
        <v>12</v>
      </c>
      <c r="H21" s="55" t="s">
        <v>12</v>
      </c>
      <c r="I21" s="58">
        <v>0.52</v>
      </c>
      <c r="J21" s="58">
        <v>0.42</v>
      </c>
      <c r="K21" s="58">
        <v>40.26</v>
      </c>
      <c r="L21" s="58">
        <v>34.65</v>
      </c>
      <c r="M21" s="58">
        <v>29.06</v>
      </c>
      <c r="N21" s="58">
        <v>858.90</v>
      </c>
      <c r="O21" s="58">
        <v>0</v>
      </c>
      <c r="P21" s="58">
        <v>1.21</v>
      </c>
      <c r="Q21" s="58">
        <v>18.37</v>
      </c>
      <c r="R21" s="43"/>
      <c r="S21" s="43"/>
      <c r="T21" s="43"/>
      <c r="U21" s="43"/>
    </row>
    <row r="22" spans="1:21" s="11" customFormat="1" ht="15">
      <c r="A22" s="57" t="s">
        <v>291</v>
      </c>
      <c r="B22" s="58">
        <v>2</v>
      </c>
      <c r="C22" s="58">
        <v>42.76</v>
      </c>
      <c r="D22" s="58">
        <v>25.94</v>
      </c>
      <c r="E22" s="58">
        <v>7.30</v>
      </c>
      <c r="F22" s="58">
        <v>29.27</v>
      </c>
      <c r="G22" s="58">
        <v>99.55</v>
      </c>
      <c r="H22" s="58">
        <v>13.90</v>
      </c>
      <c r="I22" s="58">
        <v>0.51</v>
      </c>
      <c r="J22" s="58">
        <v>0.53</v>
      </c>
      <c r="K22" s="58">
        <v>321.99</v>
      </c>
      <c r="L22" s="58">
        <v>36.909999999999997</v>
      </c>
      <c r="M22" s="58">
        <v>25.93</v>
      </c>
      <c r="N22" s="58">
        <v>821</v>
      </c>
      <c r="O22" s="58">
        <v>0</v>
      </c>
      <c r="P22" s="58">
        <v>1.08</v>
      </c>
      <c r="Q22" s="58">
        <v>20.74</v>
      </c>
      <c r="R22" s="43"/>
      <c r="S22" s="43"/>
      <c r="T22" s="43"/>
      <c r="U22" s="43"/>
    </row>
    <row r="23" spans="1:21" s="11" customFormat="1" ht="15">
      <c r="A23" s="57" t="s">
        <v>292</v>
      </c>
      <c r="B23" s="58">
        <v>2.06</v>
      </c>
      <c r="C23" s="58">
        <v>42.27</v>
      </c>
      <c r="D23" s="58">
        <v>25.67</v>
      </c>
      <c r="E23" s="58">
        <v>8.09</v>
      </c>
      <c r="F23" s="58">
        <v>31.65</v>
      </c>
      <c r="G23" s="58">
        <v>97.23</v>
      </c>
      <c r="H23" s="58">
        <v>17.309999999999999</v>
      </c>
      <c r="I23" s="58">
        <v>0.5</v>
      </c>
      <c r="J23" s="58">
        <v>0.53</v>
      </c>
      <c r="K23" s="58">
        <v>357.81</v>
      </c>
      <c r="L23" s="58">
        <v>36.22</v>
      </c>
      <c r="M23" s="58">
        <v>26.39</v>
      </c>
      <c r="N23" s="58">
        <v>690.70</v>
      </c>
      <c r="O23" s="58">
        <v>0</v>
      </c>
      <c r="P23" s="58">
        <v>1.05</v>
      </c>
      <c r="Q23" s="58">
        <v>25.41</v>
      </c>
      <c r="R23" s="43"/>
      <c r="S23" s="43"/>
      <c r="T23" s="43"/>
      <c r="U23" s="43"/>
    </row>
    <row r="24" spans="1:21" s="11" customFormat="1" ht="15">
      <c r="A24" s="57" t="s">
        <v>293</v>
      </c>
      <c r="B24" s="58">
        <v>2.65</v>
      </c>
      <c r="C24" s="58">
        <v>44.92</v>
      </c>
      <c r="D24" s="58">
        <v>27.65</v>
      </c>
      <c r="E24" s="58">
        <v>9.52</v>
      </c>
      <c r="F24" s="58">
        <v>49.24</v>
      </c>
      <c r="G24" s="58">
        <v>81.5</v>
      </c>
      <c r="H24" s="58">
        <v>17.09</v>
      </c>
      <c r="I24" s="58">
        <v>0.49</v>
      </c>
      <c r="J24" s="58">
        <v>0.87</v>
      </c>
      <c r="K24" s="58">
        <v>198.69</v>
      </c>
      <c r="L24" s="58">
        <v>35.36</v>
      </c>
      <c r="M24" s="58">
        <v>26.88</v>
      </c>
      <c r="N24" s="58">
        <v>371.40</v>
      </c>
      <c r="O24" s="58">
        <v>0</v>
      </c>
      <c r="P24" s="58">
        <v>0.94</v>
      </c>
      <c r="Q24" s="58">
        <v>26.47</v>
      </c>
      <c r="R24" s="43"/>
      <c r="S24" s="43"/>
      <c r="T24" s="43"/>
      <c r="U24" s="43"/>
    </row>
    <row r="25" spans="1:21" s="11" customFormat="1" ht="15">
      <c r="A25" s="57" t="s">
        <v>294</v>
      </c>
      <c r="B25" s="58">
        <v>2.37</v>
      </c>
      <c r="C25" s="58">
        <v>42.13</v>
      </c>
      <c r="D25" s="58">
        <v>25.80</v>
      </c>
      <c r="E25" s="58">
        <v>12.57</v>
      </c>
      <c r="F25" s="58">
        <v>42.87</v>
      </c>
      <c r="G25" s="58">
        <v>59.95</v>
      </c>
      <c r="H25" s="58">
        <v>16.75</v>
      </c>
      <c r="I25" s="58">
        <v>0.48</v>
      </c>
      <c r="J25" s="58">
        <v>0.75</v>
      </c>
      <c r="K25" s="58">
        <v>279.51</v>
      </c>
      <c r="L25" s="58">
        <v>32.43</v>
      </c>
      <c r="M25" s="58">
        <v>28.67</v>
      </c>
      <c r="N25" s="58">
        <v>127.60</v>
      </c>
      <c r="O25" s="58">
        <v>0</v>
      </c>
      <c r="P25" s="58">
        <v>0.86</v>
      </c>
      <c r="Q25" s="58">
        <v>23.88</v>
      </c>
      <c r="R25" s="43"/>
      <c r="S25" s="43"/>
      <c r="T25" s="43"/>
      <c r="U25" s="43"/>
    </row>
    <row r="26" spans="1:21" s="11" customFormat="1" ht="15">
      <c r="A26" s="57" t="s">
        <v>295</v>
      </c>
      <c r="B26" s="58">
        <v>2.33</v>
      </c>
      <c r="C26" s="58">
        <v>43.30</v>
      </c>
      <c r="D26" s="58">
        <v>26.47</v>
      </c>
      <c r="E26" s="58">
        <v>4.1500000000000004</v>
      </c>
      <c r="F26" s="58">
        <v>18.47</v>
      </c>
      <c r="G26" s="58">
        <v>33.10</v>
      </c>
      <c r="H26" s="58">
        <v>20.03</v>
      </c>
      <c r="I26" s="58">
        <v>0.53</v>
      </c>
      <c r="J26" s="58">
        <v>0.79</v>
      </c>
      <c r="K26" s="58">
        <v>253.62</v>
      </c>
      <c r="L26" s="58">
        <v>31.80</v>
      </c>
      <c r="M26" s="58">
        <v>30.82</v>
      </c>
      <c r="N26" s="58">
        <v>65.30</v>
      </c>
      <c r="O26" s="58">
        <v>0</v>
      </c>
      <c r="P26" s="58">
        <v>0.75</v>
      </c>
      <c r="Q26" s="58">
        <v>25.08</v>
      </c>
      <c r="R26" s="43"/>
      <c r="S26" s="43"/>
      <c r="T26" s="43"/>
      <c r="U26" s="43"/>
    </row>
    <row r="27" spans="1:21" s="11" customFormat="1" ht="15">
      <c r="A27" s="57" t="s">
        <v>296</v>
      </c>
      <c r="B27" s="58">
        <v>2.33</v>
      </c>
      <c r="C27" s="58">
        <v>53.87</v>
      </c>
      <c r="D27" s="58">
        <v>32.340000000000003</v>
      </c>
      <c r="E27" s="58">
        <v>3.68</v>
      </c>
      <c r="F27" s="58">
        <v>23.23</v>
      </c>
      <c r="G27" s="58">
        <v>47.31</v>
      </c>
      <c r="H27" s="58">
        <v>19.239999999999998</v>
      </c>
      <c r="I27" s="58">
        <v>0.53</v>
      </c>
      <c r="J27" s="58">
        <v>0.27</v>
      </c>
      <c r="K27" s="58">
        <v>272.02</v>
      </c>
      <c r="L27" s="58">
        <v>30.57</v>
      </c>
      <c r="M27" s="58">
        <v>35.17</v>
      </c>
      <c r="N27" s="58">
        <v>10.10</v>
      </c>
      <c r="O27" s="58">
        <v>0</v>
      </c>
      <c r="P27" s="58">
        <v>0.71</v>
      </c>
      <c r="Q27" s="58">
        <v>24.18</v>
      </c>
      <c r="R27" s="43"/>
      <c r="S27" s="43"/>
      <c r="T27" s="43"/>
      <c r="U27" s="43"/>
    </row>
    <row r="28" spans="1:21" s="11" customFormat="1" ht="15">
      <c r="A28" s="57" t="s">
        <v>297</v>
      </c>
      <c r="B28" s="58">
        <v>5.28</v>
      </c>
      <c r="C28" s="58">
        <v>76.900000000000006</v>
      </c>
      <c r="D28" s="58">
        <v>46.93</v>
      </c>
      <c r="E28" s="58">
        <v>5.15</v>
      </c>
      <c r="F28" s="58">
        <v>32.200000000000003</v>
      </c>
      <c r="G28" s="58">
        <v>62.52</v>
      </c>
      <c r="H28" s="58">
        <v>19.05</v>
      </c>
      <c r="I28" s="58">
        <v>0.56999999999999995</v>
      </c>
      <c r="J28" s="58">
        <v>0.34</v>
      </c>
      <c r="K28" s="58">
        <v>354.32</v>
      </c>
      <c r="L28" s="58">
        <v>28.89</v>
      </c>
      <c r="M28" s="58">
        <v>37.659999999999997</v>
      </c>
      <c r="N28" s="58">
        <v>5</v>
      </c>
      <c r="O28" s="58">
        <v>0</v>
      </c>
      <c r="P28" s="58">
        <v>0.93</v>
      </c>
      <c r="Q28" s="58">
        <v>22.45</v>
      </c>
      <c r="R28" s="43"/>
      <c r="S28" s="43"/>
      <c r="T28" s="43"/>
      <c r="U28" s="43"/>
    </row>
    <row r="29" spans="1:21" s="11" customFormat="1" ht="15">
      <c r="A29" s="57" t="s">
        <v>298</v>
      </c>
      <c r="B29" s="58">
        <v>83.93</v>
      </c>
      <c r="C29" s="58">
        <v>97.30</v>
      </c>
      <c r="D29" s="58">
        <v>120.30</v>
      </c>
      <c r="E29" s="58">
        <v>5.5</v>
      </c>
      <c r="F29" s="58">
        <v>23.96</v>
      </c>
      <c r="G29" s="58">
        <v>62</v>
      </c>
      <c r="H29" s="58">
        <v>21.04</v>
      </c>
      <c r="I29" s="58">
        <v>0.65</v>
      </c>
      <c r="J29" s="58">
        <v>0.27</v>
      </c>
      <c r="K29" s="58">
        <v>200.90</v>
      </c>
      <c r="L29" s="58">
        <v>28.28</v>
      </c>
      <c r="M29" s="58">
        <v>47.32</v>
      </c>
      <c r="N29" s="58">
        <v>5.5</v>
      </c>
      <c r="O29" s="58">
        <v>0</v>
      </c>
      <c r="P29" s="58">
        <v>1.75</v>
      </c>
      <c r="Q29" s="58">
        <v>22.86</v>
      </c>
      <c r="R29" s="43"/>
      <c r="S29" s="43"/>
      <c r="T29" s="43"/>
      <c r="U29" s="43"/>
    </row>
    <row r="30" spans="1:21" s="11" customFormat="1" ht="15">
      <c r="A30" s="57" t="s">
        <v>299</v>
      </c>
      <c r="B30" s="58">
        <v>76.81</v>
      </c>
      <c r="C30" s="58">
        <v>74.94</v>
      </c>
      <c r="D30" s="58">
        <v>103.35</v>
      </c>
      <c r="E30" s="58">
        <v>3.79</v>
      </c>
      <c r="F30" s="58">
        <v>4.79</v>
      </c>
      <c r="G30" s="58">
        <v>86.17</v>
      </c>
      <c r="H30" s="58">
        <v>24.48</v>
      </c>
      <c r="I30" s="58">
        <v>0.79</v>
      </c>
      <c r="J30" s="58">
        <v>0.15</v>
      </c>
      <c r="K30" s="58">
        <v>294.92</v>
      </c>
      <c r="L30" s="58">
        <v>26.17</v>
      </c>
      <c r="M30" s="58">
        <v>52.39</v>
      </c>
      <c r="N30" s="58">
        <v>5</v>
      </c>
      <c r="O30" s="58">
        <v>0</v>
      </c>
      <c r="P30" s="58">
        <v>1.94</v>
      </c>
      <c r="Q30" s="58">
        <v>34.01</v>
      </c>
      <c r="R30" s="43"/>
      <c r="S30" s="43"/>
      <c r="T30" s="43"/>
      <c r="U30" s="43"/>
    </row>
    <row r="31" spans="1:21" s="11" customFormat="1" ht="15">
      <c r="A31" s="57" t="s">
        <v>300</v>
      </c>
      <c r="B31" s="58">
        <v>89.72</v>
      </c>
      <c r="C31" s="58">
        <v>74.41</v>
      </c>
      <c r="D31" s="58">
        <v>113.75</v>
      </c>
      <c r="E31" s="58">
        <v>4.63</v>
      </c>
      <c r="F31" s="58">
        <v>12.04</v>
      </c>
      <c r="G31" s="58">
        <v>96.61</v>
      </c>
      <c r="H31" s="58">
        <v>28.22</v>
      </c>
      <c r="I31" s="58">
        <v>0.90</v>
      </c>
      <c r="J31" s="58">
        <v>0.30</v>
      </c>
      <c r="K31" s="58">
        <v>347.62</v>
      </c>
      <c r="L31" s="58">
        <v>25.65</v>
      </c>
      <c r="M31" s="58">
        <v>54.27</v>
      </c>
      <c r="N31" s="58">
        <v>5</v>
      </c>
      <c r="O31" s="58">
        <v>0</v>
      </c>
      <c r="P31" s="58">
        <v>2.2400000000000002</v>
      </c>
      <c r="Q31" s="58">
        <v>35.03</v>
      </c>
      <c r="R31" s="43"/>
      <c r="S31" s="43"/>
      <c r="T31" s="43"/>
      <c r="U31" s="43"/>
    </row>
    <row r="32" spans="1:21" s="11" customFormat="1" ht="15">
      <c r="A32" s="57" t="s">
        <v>301</v>
      </c>
      <c r="B32" s="58">
        <v>79.819999999999993</v>
      </c>
      <c r="C32" s="58">
        <v>71.05</v>
      </c>
      <c r="D32" s="58">
        <v>103.96</v>
      </c>
      <c r="E32" s="58">
        <v>4</v>
      </c>
      <c r="F32" s="58">
        <v>8.08</v>
      </c>
      <c r="G32" s="58">
        <v>93.45</v>
      </c>
      <c r="H32" s="58">
        <v>31.68</v>
      </c>
      <c r="I32" s="58">
        <v>0.88</v>
      </c>
      <c r="J32" s="58">
        <v>0.14000000000000001</v>
      </c>
      <c r="K32" s="58">
        <v>59.81</v>
      </c>
      <c r="L32" s="58">
        <v>24.84</v>
      </c>
      <c r="M32" s="58">
        <v>54.81</v>
      </c>
      <c r="N32" s="58">
        <v>5</v>
      </c>
      <c r="O32" s="58">
        <v>0</v>
      </c>
      <c r="P32" s="58">
        <v>1.80</v>
      </c>
      <c r="Q32" s="58">
        <v>32.31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42.130000000000003</v>
      </c>
      <c r="D34" s="28">
        <f t="shared" si="0"/>
        <v>25.670000000000002</v>
      </c>
      <c r="E34" s="28">
        <f t="shared" si="0"/>
        <v>2.46</v>
      </c>
      <c r="F34" s="28">
        <f t="shared" si="0"/>
        <v>3.8100000000000001</v>
      </c>
      <c r="G34" s="28">
        <f t="shared" si="0"/>
        <v>33.100000000000001</v>
      </c>
      <c r="H34" s="28">
        <f t="shared" si="0"/>
        <v>13.9</v>
      </c>
      <c r="I34" s="28">
        <f t="shared" si="0"/>
        <v>0.47999999999999998</v>
      </c>
      <c r="J34" s="28">
        <f t="shared" si="0"/>
        <v>0.14000000000000001</v>
      </c>
      <c r="K34" s="28">
        <f t="shared" si="0"/>
        <v>36.939999999999998</v>
      </c>
      <c r="L34" s="28">
        <f t="shared" si="0"/>
        <v>21.710000000000001</v>
      </c>
      <c r="M34" s="28">
        <f t="shared" si="0"/>
        <v>25.93</v>
      </c>
      <c r="N34" s="28">
        <f t="shared" si="0"/>
        <v>4.9000000000000004</v>
      </c>
      <c r="O34" s="28">
        <f t="shared" si="0"/>
        <v>0</v>
      </c>
      <c r="P34" s="28">
        <f t="shared" si="0"/>
        <v>0.70999999999999996</v>
      </c>
      <c r="Q34" s="28">
        <f t="shared" si="0"/>
        <v>18.370000000000001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89.719999999999999</v>
      </c>
      <c r="C35" s="29">
        <f t="shared" si="1"/>
        <v>97.299999999999997</v>
      </c>
      <c r="D35" s="29">
        <f t="shared" si="1"/>
        <v>120.3</v>
      </c>
      <c r="E35" s="29">
        <f t="shared" si="1"/>
        <v>12.57</v>
      </c>
      <c r="F35" s="29">
        <f t="shared" si="1"/>
        <v>49.240000000000002</v>
      </c>
      <c r="G35" s="29">
        <f t="shared" si="1"/>
        <v>126.88</v>
      </c>
      <c r="H35" s="29">
        <f t="shared" si="1"/>
        <v>31.68</v>
      </c>
      <c r="I35" s="29">
        <f t="shared" si="1"/>
        <v>0.90000000000000002</v>
      </c>
      <c r="J35" s="29">
        <f t="shared" si="1"/>
        <v>0.87</v>
      </c>
      <c r="K35" s="29">
        <f t="shared" si="1"/>
        <v>359.69</v>
      </c>
      <c r="L35" s="29">
        <f t="shared" si="1"/>
        <v>36.909999999999997</v>
      </c>
      <c r="M35" s="29">
        <f t="shared" si="1"/>
        <v>60.950000000000003</v>
      </c>
      <c r="N35" s="29">
        <f t="shared" si="1"/>
        <v>858.89999999999998</v>
      </c>
      <c r="O35" s="29">
        <f t="shared" si="1"/>
        <v>0</v>
      </c>
      <c r="P35" s="29">
        <f t="shared" si="1"/>
        <v>2.2400000000000002</v>
      </c>
      <c r="Q35" s="29">
        <f t="shared" si="1"/>
        <v>35.030000000000001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19.588260869565218</v>
      </c>
      <c r="C36" s="28">
        <f t="shared" si="2"/>
        <v>56.135217391304352</v>
      </c>
      <c r="D36" s="28">
        <f t="shared" si="2"/>
        <v>46.984782608695646</v>
      </c>
      <c r="E36" s="28">
        <f t="shared" si="2"/>
        <v>6.1141666666666667</v>
      </c>
      <c r="F36" s="28">
        <f t="shared" si="2"/>
        <v>19.690000000000001</v>
      </c>
      <c r="G36" s="28">
        <f t="shared" si="2"/>
        <v>85.419090909090897</v>
      </c>
      <c r="H36" s="28">
        <f t="shared" si="2"/>
        <v>21.415909090909093</v>
      </c>
      <c r="I36" s="28">
        <f t="shared" si="2"/>
        <v>0.58916666666666673</v>
      </c>
      <c r="J36" s="28">
        <f t="shared" si="2"/>
        <v>0.48041666666666666</v>
      </c>
      <c r="K36" s="28">
        <f t="shared" si="2"/>
        <v>274.97541666666666</v>
      </c>
      <c r="L36" s="28">
        <f t="shared" si="2"/>
        <v>28.15625</v>
      </c>
      <c r="M36" s="28">
        <f t="shared" si="2"/>
        <v>44.468749999999993</v>
      </c>
      <c r="N36" s="28">
        <f t="shared" si="2"/>
        <v>220.95416666666668</v>
      </c>
      <c r="O36" s="28">
        <f t="shared" si="2"/>
        <v>0</v>
      </c>
      <c r="P36" s="28">
        <f t="shared" si="2"/>
        <v>1.11375</v>
      </c>
      <c r="Q36" s="28">
        <f t="shared" si="2"/>
        <v>26.61375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29.786099358925178</v>
      </c>
      <c r="C37" s="28">
        <f t="shared" si="3" ref="C37:Q37">STDEV(C9:C32)</f>
        <v>14.272161354305087</v>
      </c>
      <c r="D37" s="28">
        <f t="shared" si="3"/>
        <v>30.316798953950098</v>
      </c>
      <c r="E37" s="28">
        <f t="shared" si="3"/>
        <v>3.1030923099479275</v>
      </c>
      <c r="F37" s="28">
        <f t="shared" si="3"/>
        <v>16.073081195913709</v>
      </c>
      <c r="G37" s="28">
        <f t="shared" si="3"/>
        <v>23.105361964599332</v>
      </c>
      <c r="H37" s="28">
        <f t="shared" si="3"/>
        <v>3.7864578988697759</v>
      </c>
      <c r="I37" s="28">
        <f t="shared" si="3"/>
        <v>0.11111751189292968</v>
      </c>
      <c r="J37" s="28">
        <f t="shared" si="3"/>
        <v>0.23032074358931756</v>
      </c>
      <c r="K37" s="28">
        <f t="shared" si="3"/>
        <v>100.29236092887845</v>
      </c>
      <c r="L37" s="28">
        <f t="shared" si="3"/>
        <v>5.0150805728496506</v>
      </c>
      <c r="M37" s="28">
        <f t="shared" si="3"/>
        <v>12.154214982787943</v>
      </c>
      <c r="N37" s="28">
        <f t="shared" si="3"/>
        <v>305.77741688610064</v>
      </c>
      <c r="O37" s="28">
        <f t="shared" si="3"/>
        <v>0</v>
      </c>
      <c r="P37" s="28">
        <f t="shared" si="3"/>
        <v>0.41937647816107004</v>
      </c>
      <c r="Q37" s="28">
        <f t="shared" si="3"/>
        <v>4.2904543313692569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23</v>
      </c>
      <c r="C38" s="32">
        <f>COUNT(C9:C32)+1</f>
        <v>24</v>
      </c>
      <c r="D38" s="32">
        <f>COUNT(D9:D32)+1</f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215bca-1a40-400e-977a-24926fa2a94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73" sqref="H73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302</v>
      </c>
      <c r="B9" s="58">
        <v>56.73</v>
      </c>
      <c r="C9" s="58">
        <v>62.83</v>
      </c>
      <c r="D9" s="58">
        <v>78.260000000000005</v>
      </c>
      <c r="E9" s="58">
        <v>3.82</v>
      </c>
      <c r="F9" s="58">
        <v>6.16</v>
      </c>
      <c r="G9" s="58">
        <v>106.94</v>
      </c>
      <c r="H9" s="58">
        <v>31.18</v>
      </c>
      <c r="I9" s="58">
        <v>0.76</v>
      </c>
      <c r="J9" s="58">
        <v>0.15</v>
      </c>
      <c r="K9" s="58">
        <v>344</v>
      </c>
      <c r="L9" s="58">
        <v>24.08</v>
      </c>
      <c r="M9" s="58">
        <v>54.66</v>
      </c>
      <c r="N9" s="58">
        <v>4.9000000000000004</v>
      </c>
      <c r="O9" s="58">
        <v>0</v>
      </c>
      <c r="P9" s="58">
        <v>1.68</v>
      </c>
      <c r="Q9" s="58">
        <v>35.94</v>
      </c>
      <c r="R9" s="43"/>
      <c r="S9" s="43"/>
      <c r="T9" s="43"/>
      <c r="U9" s="43"/>
    </row>
    <row r="10" spans="1:21" s="11" customFormat="1" ht="15">
      <c r="A10" s="57" t="s">
        <v>303</v>
      </c>
      <c r="B10" s="58">
        <v>44.93</v>
      </c>
      <c r="C10" s="58">
        <v>55</v>
      </c>
      <c r="D10" s="58">
        <v>67.12</v>
      </c>
      <c r="E10" s="58">
        <v>2.46</v>
      </c>
      <c r="F10" s="58">
        <v>4.13</v>
      </c>
      <c r="G10" s="58">
        <v>111.70</v>
      </c>
      <c r="H10" s="58">
        <v>28.17</v>
      </c>
      <c r="I10" s="58">
        <v>0.79</v>
      </c>
      <c r="J10" s="58">
        <v>0.25</v>
      </c>
      <c r="K10" s="58">
        <v>278.20999999999998</v>
      </c>
      <c r="L10" s="58">
        <v>23.65</v>
      </c>
      <c r="M10" s="58">
        <v>58.71</v>
      </c>
      <c r="N10" s="58">
        <v>5</v>
      </c>
      <c r="O10" s="58">
        <v>0</v>
      </c>
      <c r="P10" s="58">
        <v>1.38</v>
      </c>
      <c r="Q10" s="58">
        <v>35.96</v>
      </c>
      <c r="R10" s="43"/>
      <c r="S10" s="43"/>
      <c r="T10" s="43"/>
      <c r="U10" s="43"/>
    </row>
    <row r="11" spans="1:21" s="11" customFormat="1" ht="15">
      <c r="A11" s="57" t="s">
        <v>304</v>
      </c>
      <c r="B11" s="58">
        <v>23.01</v>
      </c>
      <c r="C11" s="58">
        <v>49.91</v>
      </c>
      <c r="D11" s="58">
        <v>45.08</v>
      </c>
      <c r="E11" s="58">
        <v>2.78</v>
      </c>
      <c r="F11" s="58">
        <v>13.02</v>
      </c>
      <c r="G11" s="58">
        <v>107.68</v>
      </c>
      <c r="H11" s="58">
        <v>26.85</v>
      </c>
      <c r="I11" s="58">
        <v>0.69</v>
      </c>
      <c r="J11" s="58">
        <v>0.13</v>
      </c>
      <c r="K11" s="58">
        <v>330.84</v>
      </c>
      <c r="L11" s="58">
        <v>23.48</v>
      </c>
      <c r="M11" s="58">
        <v>57.87</v>
      </c>
      <c r="N11" s="58">
        <v>5</v>
      </c>
      <c r="O11" s="58">
        <v>0</v>
      </c>
      <c r="P11" s="58">
        <v>0.92</v>
      </c>
      <c r="Q11" s="58">
        <v>34.86</v>
      </c>
      <c r="R11" s="43"/>
      <c r="S11" s="43"/>
      <c r="T11" s="43"/>
      <c r="U11" s="43"/>
    </row>
    <row r="12" spans="1:21" s="11" customFormat="1" ht="15">
      <c r="A12" s="57" t="s">
        <v>305</v>
      </c>
      <c r="B12" s="58">
        <v>26.94</v>
      </c>
      <c r="C12" s="58">
        <v>51.05</v>
      </c>
      <c r="D12" s="58">
        <v>49.03</v>
      </c>
      <c r="E12" s="58">
        <v>2.62</v>
      </c>
      <c r="F12" s="58">
        <v>6.52</v>
      </c>
      <c r="G12" s="58">
        <v>80.34</v>
      </c>
      <c r="H12" s="58">
        <v>25.73</v>
      </c>
      <c r="I12" s="58">
        <v>0.61</v>
      </c>
      <c r="J12" s="58">
        <v>0.20</v>
      </c>
      <c r="K12" s="58">
        <v>344.60</v>
      </c>
      <c r="L12" s="58">
        <v>22.46</v>
      </c>
      <c r="M12" s="58">
        <v>65.58</v>
      </c>
      <c r="N12" s="58">
        <v>5.0999999999999996</v>
      </c>
      <c r="O12" s="58">
        <v>0</v>
      </c>
      <c r="P12" s="58">
        <v>0.94</v>
      </c>
      <c r="Q12" s="58">
        <v>29.84</v>
      </c>
      <c r="R12" s="43"/>
      <c r="S12" s="43"/>
      <c r="T12" s="43"/>
      <c r="U12" s="43"/>
    </row>
    <row r="13" spans="1:21" s="11" customFormat="1" ht="15">
      <c r="A13" s="57" t="s">
        <v>306</v>
      </c>
      <c r="B13" s="58">
        <v>33.99</v>
      </c>
      <c r="C13" s="58">
        <v>48.17</v>
      </c>
      <c r="D13" s="58">
        <v>54.58</v>
      </c>
      <c r="E13" s="58">
        <v>3.08</v>
      </c>
      <c r="F13" s="58">
        <v>3.70</v>
      </c>
      <c r="G13" s="58">
        <v>59.47</v>
      </c>
      <c r="H13" s="58">
        <v>24.55</v>
      </c>
      <c r="I13" s="58">
        <v>0.73</v>
      </c>
      <c r="J13" s="58">
        <v>0.36</v>
      </c>
      <c r="K13" s="58">
        <v>323.02</v>
      </c>
      <c r="L13" s="58">
        <v>22.25</v>
      </c>
      <c r="M13" s="58">
        <v>67.069999999999993</v>
      </c>
      <c r="N13" s="58">
        <v>5.0999999999999996</v>
      </c>
      <c r="O13" s="58">
        <v>0</v>
      </c>
      <c r="P13" s="58">
        <v>0.97</v>
      </c>
      <c r="Q13" s="58">
        <v>34.31</v>
      </c>
      <c r="R13" s="43"/>
      <c r="S13" s="43"/>
      <c r="T13" s="43"/>
      <c r="U13" s="43"/>
    </row>
    <row r="14" spans="1:21" s="11" customFormat="1" ht="15">
      <c r="A14" s="57" t="s">
        <v>307</v>
      </c>
      <c r="B14" s="58">
        <v>48.61</v>
      </c>
      <c r="C14" s="58">
        <v>53.88</v>
      </c>
      <c r="D14" s="58">
        <v>65.900000000000006</v>
      </c>
      <c r="E14" s="58">
        <v>5.37</v>
      </c>
      <c r="F14" s="58">
        <v>2.86</v>
      </c>
      <c r="G14" s="58">
        <v>70.58</v>
      </c>
      <c r="H14" s="58">
        <v>22.33</v>
      </c>
      <c r="I14" s="58">
        <v>0.65</v>
      </c>
      <c r="J14" s="58">
        <v>0.12</v>
      </c>
      <c r="K14" s="58">
        <v>309.89999999999998</v>
      </c>
      <c r="L14" s="58">
        <v>22.24</v>
      </c>
      <c r="M14" s="58">
        <v>64.599999999999994</v>
      </c>
      <c r="N14" s="58">
        <v>15.90</v>
      </c>
      <c r="O14" s="58">
        <v>0</v>
      </c>
      <c r="P14" s="58">
        <v>0.98</v>
      </c>
      <c r="Q14" s="58">
        <v>34.659999999999997</v>
      </c>
      <c r="R14" s="43"/>
      <c r="S14" s="43"/>
      <c r="T14" s="43"/>
      <c r="U14" s="43"/>
    </row>
    <row r="15" spans="1:21" s="11" customFormat="1" ht="15">
      <c r="A15" s="57" t="s">
        <v>308</v>
      </c>
      <c r="B15" s="58">
        <v>57.82</v>
      </c>
      <c r="C15" s="58">
        <v>58.49</v>
      </c>
      <c r="D15" s="58">
        <v>76.97</v>
      </c>
      <c r="E15" s="58">
        <v>6.43</v>
      </c>
      <c r="F15" s="58">
        <v>3.98</v>
      </c>
      <c r="G15" s="58">
        <v>83.27</v>
      </c>
      <c r="H15" s="58">
        <v>29.32</v>
      </c>
      <c r="I15" s="58">
        <v>0.65</v>
      </c>
      <c r="J15" s="58">
        <v>0.30</v>
      </c>
      <c r="K15" s="58">
        <v>352.52</v>
      </c>
      <c r="L15" s="58">
        <v>25.28</v>
      </c>
      <c r="M15" s="58">
        <v>61.49</v>
      </c>
      <c r="N15" s="58">
        <v>148.5</v>
      </c>
      <c r="O15" s="58">
        <v>0</v>
      </c>
      <c r="P15" s="58">
        <v>1.1599999999999999</v>
      </c>
      <c r="Q15" s="58">
        <v>29.18</v>
      </c>
      <c r="R15" s="43"/>
      <c r="S15" s="43"/>
      <c r="T15" s="43"/>
      <c r="U15" s="43"/>
    </row>
    <row r="16" spans="1:21" s="11" customFormat="1" ht="15">
      <c r="A16" s="57" t="s">
        <v>309</v>
      </c>
      <c r="B16" s="58">
        <v>43.44</v>
      </c>
      <c r="C16" s="58">
        <v>61.22</v>
      </c>
      <c r="D16" s="58">
        <v>69.36</v>
      </c>
      <c r="E16" s="58">
        <v>11.23</v>
      </c>
      <c r="F16" s="58">
        <v>7.03</v>
      </c>
      <c r="G16" s="58">
        <v>115.28</v>
      </c>
      <c r="H16" s="58">
        <v>32.14</v>
      </c>
      <c r="I16" s="58">
        <v>0.67</v>
      </c>
      <c r="J16" s="58">
        <v>0.69</v>
      </c>
      <c r="K16" s="58">
        <v>229.20</v>
      </c>
      <c r="L16" s="58">
        <v>27.51</v>
      </c>
      <c r="M16" s="58">
        <v>54.83</v>
      </c>
      <c r="N16" s="58">
        <v>352.70</v>
      </c>
      <c r="O16" s="58">
        <v>0</v>
      </c>
      <c r="P16" s="58">
        <v>1.1599999999999999</v>
      </c>
      <c r="Q16" s="58">
        <v>33.79</v>
      </c>
      <c r="R16" s="43"/>
      <c r="S16" s="43"/>
      <c r="T16" s="43"/>
      <c r="U16" s="43"/>
    </row>
    <row r="17" spans="1:21" s="11" customFormat="1" ht="15">
      <c r="A17" s="57" t="s">
        <v>310</v>
      </c>
      <c r="B17" s="58">
        <v>28.46</v>
      </c>
      <c r="C17" s="58">
        <v>57.40</v>
      </c>
      <c r="D17" s="58">
        <v>50.71</v>
      </c>
      <c r="E17" s="58">
        <v>3.42</v>
      </c>
      <c r="F17" s="58">
        <v>5.83</v>
      </c>
      <c r="G17" s="58">
        <v>112.37</v>
      </c>
      <c r="H17" s="58">
        <v>34.75</v>
      </c>
      <c r="I17" s="58">
        <v>0.67</v>
      </c>
      <c r="J17" s="58">
        <v>0.72</v>
      </c>
      <c r="K17" s="58">
        <v>210.35</v>
      </c>
      <c r="L17" s="58">
        <v>31.19</v>
      </c>
      <c r="M17" s="58">
        <v>50.62</v>
      </c>
      <c r="N17" s="58">
        <v>567.60</v>
      </c>
      <c r="O17" s="58">
        <v>0</v>
      </c>
      <c r="P17" s="58">
        <v>0.93</v>
      </c>
      <c r="Q17" s="58">
        <v>34.26</v>
      </c>
      <c r="R17" s="43"/>
      <c r="S17" s="43"/>
      <c r="T17" s="43"/>
      <c r="U17" s="43"/>
    </row>
    <row r="18" spans="1:21" s="11" customFormat="1" ht="15">
      <c r="A18" s="57" t="s">
        <v>311</v>
      </c>
      <c r="B18" s="58">
        <v>11.28</v>
      </c>
      <c r="C18" s="58">
        <v>61.42</v>
      </c>
      <c r="D18" s="58">
        <v>43.32</v>
      </c>
      <c r="E18" s="58">
        <v>19.18</v>
      </c>
      <c r="F18" s="58">
        <v>26.76</v>
      </c>
      <c r="G18" s="58">
        <v>93.01</v>
      </c>
      <c r="H18" s="58">
        <v>34.57</v>
      </c>
      <c r="I18" s="58">
        <v>0.60</v>
      </c>
      <c r="J18" s="58">
        <v>0.49</v>
      </c>
      <c r="K18" s="58">
        <v>91.48</v>
      </c>
      <c r="L18" s="58">
        <v>34.36</v>
      </c>
      <c r="M18" s="58">
        <v>33.14</v>
      </c>
      <c r="N18" s="58">
        <v>733.70</v>
      </c>
      <c r="O18" s="58">
        <v>0</v>
      </c>
      <c r="P18" s="58">
        <v>1.02</v>
      </c>
      <c r="Q18" s="58">
        <v>32.049999999999997</v>
      </c>
      <c r="R18" s="43"/>
      <c r="S18" s="43"/>
      <c r="T18" s="43"/>
      <c r="U18" s="43"/>
    </row>
    <row r="19" spans="1:21" s="11" customFormat="1" ht="15">
      <c r="A19" s="57" t="s">
        <v>312</v>
      </c>
      <c r="B19" s="58">
        <v>7.19</v>
      </c>
      <c r="C19" s="58">
        <v>67.86</v>
      </c>
      <c r="D19" s="58">
        <v>43.81</v>
      </c>
      <c r="E19" s="58">
        <v>21.54</v>
      </c>
      <c r="F19" s="58">
        <v>55.85</v>
      </c>
      <c r="G19" s="58">
        <v>85.41</v>
      </c>
      <c r="H19" s="58">
        <v>34.729999999999997</v>
      </c>
      <c r="I19" s="58">
        <v>0.62</v>
      </c>
      <c r="J19" s="58">
        <v>0.43</v>
      </c>
      <c r="K19" s="58">
        <v>150.65</v>
      </c>
      <c r="L19" s="58">
        <v>36.06</v>
      </c>
      <c r="M19" s="58">
        <v>29.19</v>
      </c>
      <c r="N19" s="58">
        <v>778.60</v>
      </c>
      <c r="O19" s="58">
        <v>0</v>
      </c>
      <c r="P19" s="58">
        <v>1.06</v>
      </c>
      <c r="Q19" s="58">
        <v>29.21</v>
      </c>
      <c r="R19" s="43"/>
      <c r="S19" s="43"/>
      <c r="T19" s="43"/>
      <c r="U19" s="43"/>
    </row>
    <row r="20" spans="1:21" s="11" customFormat="1" ht="15">
      <c r="A20" s="57" t="s">
        <v>313</v>
      </c>
      <c r="B20" s="58">
        <v>3.57</v>
      </c>
      <c r="C20" s="58">
        <v>63.74</v>
      </c>
      <c r="D20" s="58">
        <v>38.78</v>
      </c>
      <c r="E20" s="58">
        <v>14.04</v>
      </c>
      <c r="F20" s="58">
        <v>32.90</v>
      </c>
      <c r="G20" s="58">
        <v>96.25</v>
      </c>
      <c r="H20" s="58">
        <v>38.14</v>
      </c>
      <c r="I20" s="58">
        <v>0.73</v>
      </c>
      <c r="J20" s="58">
        <v>1.04</v>
      </c>
      <c r="K20" s="58">
        <v>131.88</v>
      </c>
      <c r="L20" s="58">
        <v>34.090000000000003</v>
      </c>
      <c r="M20" s="58">
        <v>28.59</v>
      </c>
      <c r="N20" s="58">
        <v>774.60</v>
      </c>
      <c r="O20" s="58">
        <v>0</v>
      </c>
      <c r="P20" s="58">
        <v>1.05</v>
      </c>
      <c r="Q20" s="58">
        <v>33.49</v>
      </c>
      <c r="R20" s="43"/>
      <c r="S20" s="43"/>
      <c r="T20" s="43"/>
      <c r="U20" s="43"/>
    </row>
    <row r="21" spans="1:21" s="11" customFormat="1" ht="15">
      <c r="A21" s="57" t="s">
        <v>314</v>
      </c>
      <c r="B21" s="58">
        <v>3.25</v>
      </c>
      <c r="C21" s="58">
        <v>57.49</v>
      </c>
      <c r="D21" s="58">
        <v>34.07</v>
      </c>
      <c r="E21" s="58">
        <v>15.32</v>
      </c>
      <c r="F21" s="58">
        <v>41.05</v>
      </c>
      <c r="G21" s="58">
        <v>114.17</v>
      </c>
      <c r="H21" s="58">
        <v>41.88</v>
      </c>
      <c r="I21" s="58">
        <v>0.70</v>
      </c>
      <c r="J21" s="58">
        <v>1.06</v>
      </c>
      <c r="K21" s="58">
        <v>191.92</v>
      </c>
      <c r="L21" s="58">
        <v>36.42</v>
      </c>
      <c r="M21" s="58">
        <v>23.40</v>
      </c>
      <c r="N21" s="58">
        <v>729.5</v>
      </c>
      <c r="O21" s="58">
        <v>0</v>
      </c>
      <c r="P21" s="58">
        <v>1.01</v>
      </c>
      <c r="Q21" s="58">
        <v>33.909999999999997</v>
      </c>
      <c r="R21" s="43"/>
      <c r="S21" s="43"/>
      <c r="T21" s="43"/>
      <c r="U21" s="43"/>
    </row>
    <row r="22" spans="1:21" s="11" customFormat="1" ht="15">
      <c r="A22" s="57" t="s">
        <v>315</v>
      </c>
      <c r="B22" s="58">
        <v>4.08</v>
      </c>
      <c r="C22" s="58">
        <v>50.31</v>
      </c>
      <c r="D22" s="58">
        <v>31.78</v>
      </c>
      <c r="E22" s="58">
        <v>14.69</v>
      </c>
      <c r="F22" s="58">
        <v>40.049999999999997</v>
      </c>
      <c r="G22" s="58">
        <v>109.13</v>
      </c>
      <c r="H22" s="58">
        <v>41.33</v>
      </c>
      <c r="I22" s="58">
        <v>0.64</v>
      </c>
      <c r="J22" s="58">
        <v>0.84</v>
      </c>
      <c r="K22" s="58">
        <v>357.62</v>
      </c>
      <c r="L22" s="58">
        <v>38.85</v>
      </c>
      <c r="M22" s="58">
        <v>19.760000000000002</v>
      </c>
      <c r="N22" s="58">
        <v>725.30</v>
      </c>
      <c r="O22" s="58">
        <v>0</v>
      </c>
      <c r="P22" s="58">
        <v>0.88</v>
      </c>
      <c r="Q22" s="58">
        <v>29.67</v>
      </c>
      <c r="R22" s="43"/>
      <c r="S22" s="43"/>
      <c r="T22" s="43"/>
      <c r="U22" s="43"/>
    </row>
    <row r="23" spans="1:21" s="11" customFormat="1" ht="15">
      <c r="A23" s="57" t="s">
        <v>316</v>
      </c>
      <c r="B23" s="58">
        <v>5.53</v>
      </c>
      <c r="C23" s="58">
        <v>49.86</v>
      </c>
      <c r="D23" s="58">
        <v>32.520000000000003</v>
      </c>
      <c r="E23" s="58">
        <v>9.4700000000000006</v>
      </c>
      <c r="F23" s="58">
        <v>41.46</v>
      </c>
      <c r="G23" s="58">
        <v>76.20</v>
      </c>
      <c r="H23" s="58">
        <v>36.71</v>
      </c>
      <c r="I23" s="58">
        <v>0.71</v>
      </c>
      <c r="J23" s="58">
        <v>1.05</v>
      </c>
      <c r="K23" s="58">
        <v>356.60</v>
      </c>
      <c r="L23" s="58">
        <v>39.119999999999997</v>
      </c>
      <c r="M23" s="58">
        <v>16.20</v>
      </c>
      <c r="N23" s="58">
        <v>676.60</v>
      </c>
      <c r="O23" s="58">
        <v>0</v>
      </c>
      <c r="P23" s="58">
        <v>0.82</v>
      </c>
      <c r="Q23" s="58">
        <v>26.90</v>
      </c>
      <c r="R23" s="43"/>
      <c r="S23" s="43"/>
      <c r="T23" s="43"/>
      <c r="U23" s="43"/>
    </row>
    <row r="24" spans="1:21" s="11" customFormat="1" ht="15">
      <c r="A24" s="57" t="s">
        <v>317</v>
      </c>
      <c r="B24" s="58">
        <v>4.08</v>
      </c>
      <c r="C24" s="58">
        <v>52.94</v>
      </c>
      <c r="D24" s="58">
        <v>33.119999999999997</v>
      </c>
      <c r="E24" s="58">
        <v>4.25</v>
      </c>
      <c r="F24" s="58">
        <v>21.84</v>
      </c>
      <c r="G24" s="58">
        <v>54.67</v>
      </c>
      <c r="H24" s="58">
        <v>30.41</v>
      </c>
      <c r="I24" s="58">
        <v>0.75</v>
      </c>
      <c r="J24" s="58">
        <v>0.71</v>
      </c>
      <c r="K24" s="58">
        <v>310.51</v>
      </c>
      <c r="L24" s="58">
        <v>37.42</v>
      </c>
      <c r="M24" s="58">
        <v>17.579999999999998</v>
      </c>
      <c r="N24" s="58">
        <v>370.20</v>
      </c>
      <c r="O24" s="58">
        <v>0</v>
      </c>
      <c r="P24" s="58">
        <v>0.74</v>
      </c>
      <c r="Q24" s="58">
        <v>26.45</v>
      </c>
      <c r="R24" s="43"/>
      <c r="S24" s="43"/>
      <c r="T24" s="43"/>
      <c r="U24" s="43"/>
    </row>
    <row r="25" spans="1:21" s="11" customFormat="1" ht="15">
      <c r="A25" s="57" t="s">
        <v>318</v>
      </c>
      <c r="B25" s="58">
        <v>9.32</v>
      </c>
      <c r="C25" s="58">
        <v>53.53</v>
      </c>
      <c r="D25" s="58">
        <v>34.96</v>
      </c>
      <c r="E25" s="58">
        <v>7.53</v>
      </c>
      <c r="F25" s="58">
        <v>62.52</v>
      </c>
      <c r="G25" s="58">
        <v>63.23</v>
      </c>
      <c r="H25" s="58">
        <v>27.11</v>
      </c>
      <c r="I25" s="58">
        <v>0.62</v>
      </c>
      <c r="J25" s="58">
        <v>0.70</v>
      </c>
      <c r="K25" s="58">
        <v>60.47</v>
      </c>
      <c r="L25" s="58">
        <v>35.85</v>
      </c>
      <c r="M25" s="58">
        <v>20.03</v>
      </c>
      <c r="N25" s="58">
        <v>129.60</v>
      </c>
      <c r="O25" s="58">
        <v>0</v>
      </c>
      <c r="P25" s="58">
        <v>0.78</v>
      </c>
      <c r="Q25" s="58">
        <v>24.20</v>
      </c>
      <c r="R25" s="43"/>
      <c r="S25" s="43"/>
      <c r="T25" s="43"/>
      <c r="U25" s="43"/>
    </row>
    <row r="26" spans="1:21" s="11" customFormat="1" ht="15">
      <c r="A26" s="57" t="s">
        <v>319</v>
      </c>
      <c r="B26" s="58">
        <v>17.87</v>
      </c>
      <c r="C26" s="58">
        <v>106.34</v>
      </c>
      <c r="D26" s="58">
        <v>67.02</v>
      </c>
      <c r="E26" s="58">
        <v>7.11</v>
      </c>
      <c r="F26" s="58">
        <v>37.909999999999997</v>
      </c>
      <c r="G26" s="58">
        <v>55.85</v>
      </c>
      <c r="H26" s="58">
        <v>26.56</v>
      </c>
      <c r="I26" s="58">
        <v>0.65</v>
      </c>
      <c r="J26" s="58">
        <v>0.25</v>
      </c>
      <c r="K26" s="58">
        <v>353.65</v>
      </c>
      <c r="L26" s="58">
        <v>33.950000000000003</v>
      </c>
      <c r="M26" s="58">
        <v>26.21</v>
      </c>
      <c r="N26" s="58">
        <v>57.80</v>
      </c>
      <c r="O26" s="58">
        <v>0</v>
      </c>
      <c r="P26" s="58">
        <v>1.31</v>
      </c>
      <c r="Q26" s="58">
        <v>23.88</v>
      </c>
      <c r="R26" s="43"/>
      <c r="S26" s="43"/>
      <c r="T26" s="43"/>
      <c r="U26" s="43"/>
    </row>
    <row r="27" spans="1:21" s="11" customFormat="1" ht="15">
      <c r="A27" s="57" t="s">
        <v>320</v>
      </c>
      <c r="B27" s="58">
        <v>47.76</v>
      </c>
      <c r="C27" s="58">
        <v>137.72999999999999</v>
      </c>
      <c r="D27" s="58">
        <v>112.07</v>
      </c>
      <c r="E27" s="58">
        <v>6.57</v>
      </c>
      <c r="F27" s="58">
        <v>6.42</v>
      </c>
      <c r="G27" s="58">
        <v>142.44</v>
      </c>
      <c r="H27" s="58">
        <v>26.38</v>
      </c>
      <c r="I27" s="58">
        <v>0.79</v>
      </c>
      <c r="J27" s="58">
        <v>0.32</v>
      </c>
      <c r="K27" s="58">
        <v>352.97</v>
      </c>
      <c r="L27" s="58">
        <v>31.25</v>
      </c>
      <c r="M27" s="58">
        <v>33.83</v>
      </c>
      <c r="N27" s="58">
        <v>9.90</v>
      </c>
      <c r="O27" s="58">
        <v>0</v>
      </c>
      <c r="P27" s="58">
        <v>1.31</v>
      </c>
      <c r="Q27" s="58">
        <v>26.75</v>
      </c>
      <c r="R27" s="43"/>
      <c r="S27" s="43"/>
      <c r="T27" s="43"/>
      <c r="U27" s="43"/>
    </row>
    <row r="28" spans="1:21" s="11" customFormat="1" ht="15">
      <c r="A28" s="57" t="s">
        <v>321</v>
      </c>
      <c r="B28" s="58">
        <v>76.150000000000006</v>
      </c>
      <c r="C28" s="58">
        <v>114.47</v>
      </c>
      <c r="D28" s="58">
        <v>123.99</v>
      </c>
      <c r="E28" s="58">
        <v>5.37</v>
      </c>
      <c r="F28" s="58">
        <v>5.74</v>
      </c>
      <c r="G28" s="58">
        <v>143.94</v>
      </c>
      <c r="H28" s="58">
        <v>30.66</v>
      </c>
      <c r="I28" s="58">
        <v>0.99</v>
      </c>
      <c r="J28" s="58">
        <v>0.19</v>
      </c>
      <c r="K28" s="58">
        <v>113.48</v>
      </c>
      <c r="L28" s="58">
        <v>29.35</v>
      </c>
      <c r="M28" s="58">
        <v>36.659999999999997</v>
      </c>
      <c r="N28" s="58">
        <v>5</v>
      </c>
      <c r="O28" s="58">
        <v>0</v>
      </c>
      <c r="P28" s="58">
        <v>2.31</v>
      </c>
      <c r="Q28" s="58">
        <v>29.69</v>
      </c>
      <c r="R28" s="43"/>
      <c r="S28" s="43"/>
      <c r="T28" s="43"/>
      <c r="U28" s="43"/>
    </row>
    <row r="29" spans="1:21" s="11" customFormat="1" ht="15">
      <c r="A29" s="57" t="s">
        <v>322</v>
      </c>
      <c r="B29" s="58">
        <v>167.36</v>
      </c>
      <c r="C29" s="58">
        <v>126.29</v>
      </c>
      <c r="D29" s="58">
        <v>204.65</v>
      </c>
      <c r="E29" s="58">
        <v>7.63</v>
      </c>
      <c r="F29" s="58">
        <v>4.2699999999999996</v>
      </c>
      <c r="G29" s="58">
        <v>143.37</v>
      </c>
      <c r="H29" s="58">
        <v>36.79</v>
      </c>
      <c r="I29" s="58">
        <v>1.51</v>
      </c>
      <c r="J29" s="58">
        <v>0.27</v>
      </c>
      <c r="K29" s="58">
        <v>343.25</v>
      </c>
      <c r="L29" s="58">
        <v>27.89</v>
      </c>
      <c r="M29" s="58">
        <v>40.72</v>
      </c>
      <c r="N29" s="58">
        <v>5.20</v>
      </c>
      <c r="O29" s="58">
        <v>0</v>
      </c>
      <c r="P29" s="58">
        <v>3.96</v>
      </c>
      <c r="Q29" s="58">
        <v>27.48</v>
      </c>
      <c r="R29" s="43"/>
      <c r="S29" s="43"/>
      <c r="T29" s="43"/>
      <c r="U29" s="43"/>
    </row>
    <row r="30" spans="1:21" s="11" customFormat="1" ht="15">
      <c r="A30" s="57" t="s">
        <v>323</v>
      </c>
      <c r="B30" s="58">
        <v>187.76</v>
      </c>
      <c r="C30" s="58">
        <v>118.60</v>
      </c>
      <c r="D30" s="58">
        <v>216.51</v>
      </c>
      <c r="E30" s="58">
        <v>6.92</v>
      </c>
      <c r="F30" s="58">
        <v>3.98</v>
      </c>
      <c r="G30" s="58">
        <v>179.40</v>
      </c>
      <c r="H30" s="58">
        <v>40.07</v>
      </c>
      <c r="I30" s="58">
        <v>1.58</v>
      </c>
      <c r="J30" s="58">
        <v>0.13</v>
      </c>
      <c r="K30" s="58">
        <v>359.19</v>
      </c>
      <c r="L30" s="58">
        <v>26.96</v>
      </c>
      <c r="M30" s="58">
        <v>45.79</v>
      </c>
      <c r="N30" s="58">
        <v>4.9000000000000004</v>
      </c>
      <c r="O30" s="58">
        <v>0</v>
      </c>
      <c r="P30" s="58">
        <v>4.43</v>
      </c>
      <c r="Q30" s="58">
        <v>29.37</v>
      </c>
      <c r="R30" s="43"/>
      <c r="S30" s="43"/>
      <c r="T30" s="43"/>
      <c r="U30" s="43"/>
    </row>
    <row r="31" spans="1:21" s="11" customFormat="1" ht="15">
      <c r="A31" s="57" t="s">
        <v>324</v>
      </c>
      <c r="B31" s="58">
        <v>124.45</v>
      </c>
      <c r="C31" s="58">
        <v>95.48</v>
      </c>
      <c r="D31" s="58">
        <v>153.22999999999999</v>
      </c>
      <c r="E31" s="58">
        <v>5.0199999999999996</v>
      </c>
      <c r="F31" s="58">
        <v>3.66</v>
      </c>
      <c r="G31" s="58">
        <v>176.41</v>
      </c>
      <c r="H31" s="58">
        <v>44.10</v>
      </c>
      <c r="I31" s="58">
        <v>1.45</v>
      </c>
      <c r="J31" s="58">
        <v>0.25</v>
      </c>
      <c r="K31" s="58">
        <v>26.95</v>
      </c>
      <c r="L31" s="58">
        <v>26</v>
      </c>
      <c r="M31" s="58">
        <v>53.06</v>
      </c>
      <c r="N31" s="58">
        <v>5</v>
      </c>
      <c r="O31" s="58">
        <v>0</v>
      </c>
      <c r="P31" s="58">
        <v>2.98</v>
      </c>
      <c r="Q31" s="58">
        <v>38.90</v>
      </c>
      <c r="R31" s="43"/>
      <c r="S31" s="43"/>
      <c r="T31" s="43"/>
      <c r="U31" s="43"/>
    </row>
    <row r="32" spans="1:21" s="11" customFormat="1" ht="15">
      <c r="A32" s="57" t="s">
        <v>325</v>
      </c>
      <c r="B32" s="58">
        <v>97.47</v>
      </c>
      <c r="C32" s="58">
        <v>89.72</v>
      </c>
      <c r="D32" s="58">
        <v>127.81</v>
      </c>
      <c r="E32" s="58">
        <v>4.92</v>
      </c>
      <c r="F32" s="58">
        <v>8.3699999999999992</v>
      </c>
      <c r="G32" s="58">
        <v>158.52000000000001</v>
      </c>
      <c r="H32" s="58">
        <v>45.68</v>
      </c>
      <c r="I32" s="58">
        <v>1.1000000000000001</v>
      </c>
      <c r="J32" s="58">
        <v>0.80</v>
      </c>
      <c r="K32" s="58">
        <v>75</v>
      </c>
      <c r="L32" s="58">
        <v>25.84</v>
      </c>
      <c r="M32" s="58">
        <v>50.96</v>
      </c>
      <c r="N32" s="58">
        <v>4.80</v>
      </c>
      <c r="O32" s="58">
        <v>0</v>
      </c>
      <c r="P32" s="58">
        <v>2.73</v>
      </c>
      <c r="Q32" s="58">
        <v>38.950000000000003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3.25</v>
      </c>
      <c r="C34" s="28">
        <f t="shared" si="0"/>
        <v>48.170000000000002</v>
      </c>
      <c r="D34" s="28">
        <f t="shared" si="0"/>
        <v>31.780000000000001</v>
      </c>
      <c r="E34" s="28">
        <f t="shared" si="0"/>
        <v>2.46</v>
      </c>
      <c r="F34" s="28">
        <f t="shared" si="0"/>
        <v>2.8599999999999999</v>
      </c>
      <c r="G34" s="28">
        <f t="shared" si="0"/>
        <v>54.670000000000002</v>
      </c>
      <c r="H34" s="28">
        <f t="shared" si="0"/>
        <v>22.329999999999998</v>
      </c>
      <c r="I34" s="28">
        <f t="shared" si="0"/>
        <v>0.59999999999999998</v>
      </c>
      <c r="J34" s="28">
        <f t="shared" si="0"/>
        <v>0.12</v>
      </c>
      <c r="K34" s="28">
        <f t="shared" si="0"/>
        <v>26.949999999999999</v>
      </c>
      <c r="L34" s="28">
        <f t="shared" si="0"/>
        <v>22.239999999999998</v>
      </c>
      <c r="M34" s="28">
        <f t="shared" si="0"/>
        <v>16.199999999999999</v>
      </c>
      <c r="N34" s="28">
        <f t="shared" si="0"/>
        <v>4.7999999999999998</v>
      </c>
      <c r="O34" s="28">
        <f t="shared" si="0"/>
        <v>0</v>
      </c>
      <c r="P34" s="28">
        <f t="shared" si="0"/>
        <v>0.73999999999999999</v>
      </c>
      <c r="Q34" s="28">
        <f t="shared" si="0"/>
        <v>23.879999999999999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187.75999999999999</v>
      </c>
      <c r="C35" s="29">
        <f t="shared" si="1"/>
        <v>137.72999999999999</v>
      </c>
      <c r="D35" s="29">
        <f t="shared" si="1"/>
        <v>216.50999999999999</v>
      </c>
      <c r="E35" s="29">
        <f t="shared" si="1"/>
        <v>21.539999999999999</v>
      </c>
      <c r="F35" s="29">
        <f t="shared" si="1"/>
        <v>62.520000000000003</v>
      </c>
      <c r="G35" s="29">
        <f t="shared" si="1"/>
        <v>179.40000000000001</v>
      </c>
      <c r="H35" s="29">
        <f t="shared" si="1"/>
        <v>45.68</v>
      </c>
      <c r="I35" s="29">
        <f t="shared" si="1"/>
        <v>1.5800000000000001</v>
      </c>
      <c r="J35" s="29">
        <f t="shared" si="1"/>
        <v>1.0600000000000001</v>
      </c>
      <c r="K35" s="29">
        <f t="shared" si="1"/>
        <v>359.19</v>
      </c>
      <c r="L35" s="29">
        <f t="shared" si="1"/>
        <v>39.119999999999997</v>
      </c>
      <c r="M35" s="29">
        <f t="shared" si="1"/>
        <v>67.069999999999993</v>
      </c>
      <c r="N35" s="29">
        <f t="shared" si="1"/>
        <v>778.60000000000002</v>
      </c>
      <c r="O35" s="29">
        <f t="shared" si="1"/>
        <v>0</v>
      </c>
      <c r="P35" s="29">
        <f t="shared" si="1"/>
        <v>4.4299999999999997</v>
      </c>
      <c r="Q35" s="29">
        <f t="shared" si="1"/>
        <v>38.950000000000003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47.127083333333331</v>
      </c>
      <c r="C36" s="28">
        <f t="shared" si="2"/>
        <v>72.655416666666653</v>
      </c>
      <c r="D36" s="28">
        <f t="shared" si="2"/>
        <v>77.277083333333337</v>
      </c>
      <c r="E36" s="28">
        <f t="shared" si="2"/>
        <v>7.9487499999999995</v>
      </c>
      <c r="F36" s="28">
        <f t="shared" si="2"/>
        <v>18.583749999999998</v>
      </c>
      <c r="G36" s="28">
        <f t="shared" si="2"/>
        <v>105.81791666666668</v>
      </c>
      <c r="H36" s="28">
        <f t="shared" si="2"/>
        <v>32.922499999999992</v>
      </c>
      <c r="I36" s="28">
        <f t="shared" si="2"/>
        <v>0.81916666666666671</v>
      </c>
      <c r="J36" s="28">
        <f t="shared" si="2"/>
        <v>0.47708333333333336</v>
      </c>
      <c r="K36" s="28">
        <f t="shared" si="2"/>
        <v>249.92749999999998</v>
      </c>
      <c r="L36" s="28">
        <f t="shared" si="2"/>
        <v>29.814583333333342</v>
      </c>
      <c r="M36" s="28">
        <f t="shared" si="2"/>
        <v>42.10625000000001</v>
      </c>
      <c r="N36" s="28">
        <f t="shared" si="2"/>
        <v>255.02083333333337</v>
      </c>
      <c r="O36" s="28">
        <f t="shared" si="2"/>
        <v>0</v>
      </c>
      <c r="P36" s="28">
        <f t="shared" si="2"/>
        <v>1.5212499999999995</v>
      </c>
      <c r="Q36" s="28">
        <f t="shared" si="2"/>
        <v>31.404166666666672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50.969338308878676</v>
      </c>
      <c r="C37" s="28">
        <f t="shared" si="3" ref="C37:Q37">STDEV(C9:C32)</f>
        <v>28.020402346235677</v>
      </c>
      <c r="D37" s="28">
        <f t="shared" si="3"/>
        <v>52.840025711671863</v>
      </c>
      <c r="E37" s="28">
        <f t="shared" si="3"/>
        <v>5.3499437725610948</v>
      </c>
      <c r="F37" s="28">
        <f t="shared" si="3"/>
        <v>18.696634622189418</v>
      </c>
      <c r="G37" s="28">
        <f t="shared" si="3"/>
        <v>36.508197290253257</v>
      </c>
      <c r="H37" s="28">
        <f t="shared" si="3"/>
        <v>6.5745505715137291</v>
      </c>
      <c r="I37" s="28">
        <f t="shared" si="3"/>
        <v>0.2922464217308619</v>
      </c>
      <c r="J37" s="28">
        <f t="shared" si="3"/>
        <v>0.3185221194512402</v>
      </c>
      <c r="K37" s="28">
        <f t="shared" si="3"/>
        <v>114.66065259864796</v>
      </c>
      <c r="L37" s="28">
        <f t="shared" si="3"/>
        <v>5.7222707404959339</v>
      </c>
      <c r="M37" s="28">
        <f t="shared" si="3"/>
        <v>16.908957444142597</v>
      </c>
      <c r="N37" s="28">
        <f t="shared" si="3"/>
        <v>318.01743044814469</v>
      </c>
      <c r="O37" s="28">
        <f t="shared" si="3"/>
        <v>0</v>
      </c>
      <c r="P37" s="28">
        <f t="shared" si="3"/>
        <v>1.0144791445774572</v>
      </c>
      <c r="Q37" s="28">
        <f t="shared" si="3"/>
        <v>4.2886847245590527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7acdf6-90e3-4b39-96ea-569bdff430b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4" sqref="G7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326</v>
      </c>
      <c r="B9" s="58">
        <v>55.26</v>
      </c>
      <c r="C9" s="58">
        <v>85.43</v>
      </c>
      <c r="D9" s="58">
        <v>92.20</v>
      </c>
      <c r="E9" s="58">
        <v>10.47</v>
      </c>
      <c r="F9" s="58">
        <v>7.56</v>
      </c>
      <c r="G9" s="58">
        <v>141.97999999999999</v>
      </c>
      <c r="H9" s="58">
        <v>46.07</v>
      </c>
      <c r="I9" s="58">
        <v>1.08</v>
      </c>
      <c r="J9" s="58">
        <v>0.15</v>
      </c>
      <c r="K9" s="58">
        <v>261.33</v>
      </c>
      <c r="L9" s="58">
        <v>25.72</v>
      </c>
      <c r="M9" s="58">
        <v>48.27</v>
      </c>
      <c r="N9" s="58">
        <v>5</v>
      </c>
      <c r="O9" s="58">
        <v>0</v>
      </c>
      <c r="P9" s="58">
        <v>2.2999999999999998</v>
      </c>
      <c r="Q9" s="58">
        <v>35.01</v>
      </c>
      <c r="R9" s="43"/>
      <c r="S9" s="43"/>
      <c r="T9" s="43"/>
      <c r="U9" s="43"/>
    </row>
    <row r="10" spans="1:21" s="11" customFormat="1" ht="15">
      <c r="A10" s="57" t="s">
        <v>327</v>
      </c>
      <c r="B10" s="58">
        <v>69.55</v>
      </c>
      <c r="C10" s="58">
        <v>71.88</v>
      </c>
      <c r="D10" s="58">
        <v>91.63</v>
      </c>
      <c r="E10" s="58">
        <v>9.4499999999999993</v>
      </c>
      <c r="F10" s="58">
        <v>6.57</v>
      </c>
      <c r="G10" s="58">
        <v>208.51</v>
      </c>
      <c r="H10" s="58">
        <v>46.58</v>
      </c>
      <c r="I10" s="58">
        <v>1.01</v>
      </c>
      <c r="J10" s="58">
        <v>0.44</v>
      </c>
      <c r="K10" s="58">
        <v>351.99</v>
      </c>
      <c r="L10" s="58">
        <v>24.63</v>
      </c>
      <c r="M10" s="58">
        <v>57.53</v>
      </c>
      <c r="N10" s="58">
        <v>5.0999999999999996</v>
      </c>
      <c r="O10" s="58">
        <v>0</v>
      </c>
      <c r="P10" s="58">
        <v>2.21</v>
      </c>
      <c r="Q10" s="58">
        <v>36.43</v>
      </c>
      <c r="R10" s="43"/>
      <c r="S10" s="43"/>
      <c r="T10" s="43"/>
      <c r="U10" s="43"/>
    </row>
    <row r="11" spans="1:21" s="11" customFormat="1" ht="15">
      <c r="A11" s="57" t="s">
        <v>328</v>
      </c>
      <c r="B11" s="58">
        <v>52.56</v>
      </c>
      <c r="C11" s="58">
        <v>63.63</v>
      </c>
      <c r="D11" s="58">
        <v>77.72</v>
      </c>
      <c r="E11" s="58">
        <v>5.52</v>
      </c>
      <c r="F11" s="58">
        <v>4.84</v>
      </c>
      <c r="G11" s="58">
        <v>202.47</v>
      </c>
      <c r="H11" s="58">
        <v>47.51</v>
      </c>
      <c r="I11" s="58">
        <v>1.01</v>
      </c>
      <c r="J11" s="58">
        <v>0.22</v>
      </c>
      <c r="K11" s="58">
        <v>63.71</v>
      </c>
      <c r="L11" s="58">
        <v>24.71</v>
      </c>
      <c r="M11" s="58">
        <v>59.27</v>
      </c>
      <c r="N11" s="58">
        <v>5.30</v>
      </c>
      <c r="O11" s="58">
        <v>0</v>
      </c>
      <c r="P11" s="58">
        <v>1.95</v>
      </c>
      <c r="Q11" s="58">
        <v>36.90</v>
      </c>
      <c r="R11" s="43"/>
      <c r="S11" s="43"/>
      <c r="T11" s="43"/>
      <c r="U11" s="43"/>
    </row>
    <row r="12" spans="1:21" s="11" customFormat="1" ht="15">
      <c r="A12" s="57" t="s">
        <v>329</v>
      </c>
      <c r="B12" s="58">
        <v>30.26</v>
      </c>
      <c r="C12" s="58">
        <v>59.88</v>
      </c>
      <c r="D12" s="58">
        <v>58.05</v>
      </c>
      <c r="E12" s="58">
        <v>8.27</v>
      </c>
      <c r="F12" s="58">
        <v>14.59</v>
      </c>
      <c r="G12" s="58">
        <v>155.77000000000001</v>
      </c>
      <c r="H12" s="58">
        <v>47.48</v>
      </c>
      <c r="I12" s="58">
        <v>0.90</v>
      </c>
      <c r="J12" s="58">
        <v>0.13</v>
      </c>
      <c r="K12" s="58">
        <v>291.75</v>
      </c>
      <c r="L12" s="58">
        <v>23.82</v>
      </c>
      <c r="M12" s="58">
        <v>58.51</v>
      </c>
      <c r="N12" s="58">
        <v>4.9000000000000004</v>
      </c>
      <c r="O12" s="58">
        <v>0</v>
      </c>
      <c r="P12" s="58">
        <v>1.5</v>
      </c>
      <c r="Q12" s="58">
        <v>34.75</v>
      </c>
      <c r="R12" s="43"/>
      <c r="S12" s="43"/>
      <c r="T12" s="43"/>
      <c r="U12" s="43"/>
    </row>
    <row r="13" spans="1:21" s="11" customFormat="1" ht="15">
      <c r="A13" s="57" t="s">
        <v>330</v>
      </c>
      <c r="B13" s="58">
        <v>43.98</v>
      </c>
      <c r="C13" s="58">
        <v>66.5</v>
      </c>
      <c r="D13" s="58">
        <v>71.58</v>
      </c>
      <c r="E13" s="58">
        <v>5.97</v>
      </c>
      <c r="F13" s="58">
        <v>4.42</v>
      </c>
      <c r="G13" s="58">
        <v>89.06</v>
      </c>
      <c r="H13" s="58">
        <v>46.28</v>
      </c>
      <c r="I13" s="58">
        <v>0.75</v>
      </c>
      <c r="J13" s="58">
        <v>0.18</v>
      </c>
      <c r="K13" s="58">
        <v>355.59</v>
      </c>
      <c r="L13" s="58">
        <v>23.03</v>
      </c>
      <c r="M13" s="58">
        <v>56.70</v>
      </c>
      <c r="N13" s="58">
        <v>5.20</v>
      </c>
      <c r="O13" s="58">
        <v>0</v>
      </c>
      <c r="P13" s="58">
        <v>1.41</v>
      </c>
      <c r="Q13" s="58">
        <v>29.63</v>
      </c>
      <c r="R13" s="43"/>
      <c r="S13" s="43"/>
      <c r="T13" s="43"/>
      <c r="U13" s="43"/>
    </row>
    <row r="14" spans="1:21" s="11" customFormat="1" ht="15">
      <c r="A14" s="57" t="s">
        <v>331</v>
      </c>
      <c r="B14" s="58">
        <v>48.13</v>
      </c>
      <c r="C14" s="58">
        <v>61.16</v>
      </c>
      <c r="D14" s="58">
        <v>73.09</v>
      </c>
      <c r="E14" s="58">
        <v>4.3600000000000003</v>
      </c>
      <c r="F14" s="58">
        <v>3.77</v>
      </c>
      <c r="G14" s="58">
        <v>101.17</v>
      </c>
      <c r="H14" s="58">
        <v>40.409999999999997</v>
      </c>
      <c r="I14" s="58">
        <v>0.83</v>
      </c>
      <c r="J14" s="58">
        <v>0.22</v>
      </c>
      <c r="K14" s="58">
        <v>344.86</v>
      </c>
      <c r="L14" s="58">
        <v>22.69</v>
      </c>
      <c r="M14" s="58">
        <v>57.55</v>
      </c>
      <c r="N14" s="58">
        <v>16.600000000000001</v>
      </c>
      <c r="O14" s="58">
        <v>0</v>
      </c>
      <c r="P14" s="58">
        <v>1.47</v>
      </c>
      <c r="Q14" s="58">
        <v>34.47</v>
      </c>
      <c r="R14" s="43"/>
      <c r="S14" s="43"/>
      <c r="T14" s="43"/>
      <c r="U14" s="43"/>
    </row>
    <row r="15" spans="1:21" s="11" customFormat="1" ht="15">
      <c r="A15" s="57" t="s">
        <v>332</v>
      </c>
      <c r="B15" s="58">
        <v>71.72</v>
      </c>
      <c r="C15" s="58">
        <v>69.239999999999995</v>
      </c>
      <c r="D15" s="58">
        <v>93.71</v>
      </c>
      <c r="E15" s="58">
        <v>4.28</v>
      </c>
      <c r="F15" s="58">
        <v>4.07</v>
      </c>
      <c r="G15" s="58">
        <v>204.17</v>
      </c>
      <c r="H15" s="58">
        <v>42.20</v>
      </c>
      <c r="I15" s="58">
        <v>0.83</v>
      </c>
      <c r="J15" s="58">
        <v>0.19</v>
      </c>
      <c r="K15" s="58">
        <v>355.45</v>
      </c>
      <c r="L15" s="58">
        <v>25.77</v>
      </c>
      <c r="M15" s="58">
        <v>60.19</v>
      </c>
      <c r="N15" s="58">
        <v>149.40</v>
      </c>
      <c r="O15" s="58">
        <v>0</v>
      </c>
      <c r="P15" s="58">
        <v>1.46</v>
      </c>
      <c r="Q15" s="58">
        <v>35.630000000000003</v>
      </c>
      <c r="R15" s="43"/>
      <c r="S15" s="43"/>
      <c r="T15" s="43"/>
      <c r="U15" s="43"/>
    </row>
    <row r="16" spans="1:21" s="11" customFormat="1" ht="15">
      <c r="A16" s="57" t="s">
        <v>333</v>
      </c>
      <c r="B16" s="58">
        <v>70.97</v>
      </c>
      <c r="C16" s="58">
        <v>75.64</v>
      </c>
      <c r="D16" s="58">
        <v>98.69</v>
      </c>
      <c r="E16" s="58">
        <v>6.77</v>
      </c>
      <c r="F16" s="58">
        <v>13.37</v>
      </c>
      <c r="G16" s="58">
        <v>197.12</v>
      </c>
      <c r="H16" s="58">
        <v>43.33</v>
      </c>
      <c r="I16" s="58">
        <v>0.80</v>
      </c>
      <c r="J16" s="58">
        <v>0.28000000000000003</v>
      </c>
      <c r="K16" s="58">
        <v>28.40</v>
      </c>
      <c r="L16" s="58">
        <v>32.92</v>
      </c>
      <c r="M16" s="58">
        <v>45.87</v>
      </c>
      <c r="N16" s="58">
        <v>348.80</v>
      </c>
      <c r="O16" s="58">
        <v>0</v>
      </c>
      <c r="P16" s="58">
        <v>1.62</v>
      </c>
      <c r="Q16" s="58">
        <v>32.5</v>
      </c>
      <c r="R16" s="43"/>
      <c r="S16" s="43"/>
      <c r="T16" s="43"/>
      <c r="U16" s="43"/>
    </row>
    <row r="17" spans="1:21" s="11" customFormat="1" ht="15">
      <c r="A17" s="57" t="s">
        <v>334</v>
      </c>
      <c r="B17" s="58">
        <v>53.60</v>
      </c>
      <c r="C17" s="58">
        <v>75.81</v>
      </c>
      <c r="D17" s="58">
        <v>85.13</v>
      </c>
      <c r="E17" s="58">
        <v>5.80</v>
      </c>
      <c r="F17" s="58">
        <v>15.66</v>
      </c>
      <c r="G17" s="58">
        <v>142.53</v>
      </c>
      <c r="H17" s="58">
        <v>45.75</v>
      </c>
      <c r="I17" s="58">
        <v>0.82</v>
      </c>
      <c r="J17" s="58">
        <v>0.30</v>
      </c>
      <c r="K17" s="58">
        <v>216.64</v>
      </c>
      <c r="L17" s="58">
        <v>33.69</v>
      </c>
      <c r="M17" s="58">
        <v>33.89</v>
      </c>
      <c r="N17" s="58">
        <v>549.5</v>
      </c>
      <c r="O17" s="58">
        <v>0</v>
      </c>
      <c r="P17" s="58">
        <v>1.66</v>
      </c>
      <c r="Q17" s="58">
        <v>33.42</v>
      </c>
      <c r="R17" s="43"/>
      <c r="S17" s="43"/>
      <c r="T17" s="43"/>
      <c r="U17" s="43"/>
    </row>
    <row r="18" spans="1:21" s="11" customFormat="1" ht="15">
      <c r="A18" s="57" t="s">
        <v>335</v>
      </c>
      <c r="B18" s="58">
        <v>35.64</v>
      </c>
      <c r="C18" s="58">
        <v>84.45</v>
      </c>
      <c r="D18" s="58">
        <v>72.099999999999994</v>
      </c>
      <c r="E18" s="58">
        <v>3.60</v>
      </c>
      <c r="F18" s="58">
        <v>8.3699999999999992</v>
      </c>
      <c r="G18" s="58">
        <v>156.46</v>
      </c>
      <c r="H18" s="58">
        <v>45.04</v>
      </c>
      <c r="I18" s="58">
        <v>0.82</v>
      </c>
      <c r="J18" s="58">
        <v>0.82</v>
      </c>
      <c r="K18" s="58">
        <v>230.58</v>
      </c>
      <c r="L18" s="58">
        <v>34.08</v>
      </c>
      <c r="M18" s="58">
        <v>28.40</v>
      </c>
      <c r="N18" s="58">
        <v>712.60</v>
      </c>
      <c r="O18" s="58">
        <v>0</v>
      </c>
      <c r="P18" s="58">
        <v>1.45</v>
      </c>
      <c r="Q18" s="58">
        <v>33.729999999999997</v>
      </c>
      <c r="R18" s="43"/>
      <c r="S18" s="43"/>
      <c r="T18" s="43"/>
      <c r="U18" s="43"/>
    </row>
    <row r="19" spans="1:21" s="11" customFormat="1" ht="15">
      <c r="A19" s="57" t="s">
        <v>336</v>
      </c>
      <c r="B19" s="58">
        <v>6.59</v>
      </c>
      <c r="C19" s="58">
        <v>79.92</v>
      </c>
      <c r="D19" s="58">
        <v>50.13</v>
      </c>
      <c r="E19" s="58">
        <v>15.09</v>
      </c>
      <c r="F19" s="58">
        <v>34.97</v>
      </c>
      <c r="G19" s="58">
        <v>153.57</v>
      </c>
      <c r="H19" s="58">
        <v>41.66</v>
      </c>
      <c r="I19" s="58">
        <v>0.72</v>
      </c>
      <c r="J19" s="58">
        <v>0.71</v>
      </c>
      <c r="K19" s="58">
        <v>219.97</v>
      </c>
      <c r="L19" s="58">
        <v>36.36</v>
      </c>
      <c r="M19" s="58">
        <v>23.76</v>
      </c>
      <c r="N19" s="58">
        <v>810.70</v>
      </c>
      <c r="O19" s="58">
        <v>0</v>
      </c>
      <c r="P19" s="58">
        <v>1.21</v>
      </c>
      <c r="Q19" s="58">
        <v>30.46</v>
      </c>
      <c r="R19" s="43"/>
      <c r="S19" s="43"/>
      <c r="T19" s="43"/>
      <c r="U19" s="43"/>
    </row>
    <row r="20" spans="1:21" s="11" customFormat="1" ht="15">
      <c r="A20" s="57" t="s">
        <v>337</v>
      </c>
      <c r="B20" s="58">
        <v>3.05</v>
      </c>
      <c r="C20" s="58">
        <v>61.76</v>
      </c>
      <c r="D20" s="58">
        <v>37.24</v>
      </c>
      <c r="E20" s="58">
        <v>13.27</v>
      </c>
      <c r="F20" s="58">
        <v>36.81</v>
      </c>
      <c r="G20" s="58">
        <v>116.72</v>
      </c>
      <c r="H20" s="58">
        <v>39.729999999999997</v>
      </c>
      <c r="I20" s="58">
        <v>0.69</v>
      </c>
      <c r="J20" s="58">
        <v>0.78</v>
      </c>
      <c r="K20" s="58">
        <v>216.51</v>
      </c>
      <c r="L20" s="58">
        <v>35.700000000000003</v>
      </c>
      <c r="M20" s="58">
        <v>17.77</v>
      </c>
      <c r="N20" s="58">
        <v>847.90</v>
      </c>
      <c r="O20" s="58">
        <v>0</v>
      </c>
      <c r="P20" s="58">
        <v>1.05</v>
      </c>
      <c r="Q20" s="58">
        <v>27.78</v>
      </c>
      <c r="R20" s="43"/>
      <c r="S20" s="43"/>
      <c r="T20" s="43"/>
      <c r="U20" s="43"/>
    </row>
    <row r="21" spans="1:21" s="11" customFormat="1" ht="15">
      <c r="A21" s="57" t="s">
        <v>338</v>
      </c>
      <c r="B21" s="58">
        <v>4.30</v>
      </c>
      <c r="C21" s="58">
        <v>56.11</v>
      </c>
      <c r="D21" s="58">
        <v>33.78</v>
      </c>
      <c r="E21" s="58">
        <v>8.14</v>
      </c>
      <c r="F21" s="58">
        <v>35.49</v>
      </c>
      <c r="G21" s="58">
        <v>55.53</v>
      </c>
      <c r="H21" s="58">
        <v>34.25</v>
      </c>
      <c r="I21" s="58">
        <v>0.80</v>
      </c>
      <c r="J21" s="58">
        <v>0.42</v>
      </c>
      <c r="K21" s="58">
        <v>190.46</v>
      </c>
      <c r="L21" s="58">
        <v>39.33</v>
      </c>
      <c r="M21" s="58">
        <v>15.63</v>
      </c>
      <c r="N21" s="58">
        <v>849.10</v>
      </c>
      <c r="O21" s="58">
        <v>0</v>
      </c>
      <c r="P21" s="58">
        <v>0.94</v>
      </c>
      <c r="Q21" s="58">
        <v>28.39</v>
      </c>
      <c r="R21" s="43"/>
      <c r="S21" s="43"/>
      <c r="T21" s="43"/>
      <c r="U21" s="43"/>
    </row>
    <row r="22" spans="1:21" s="11" customFormat="1" ht="15">
      <c r="A22" s="57" t="s">
        <v>339</v>
      </c>
      <c r="B22" s="58">
        <v>3.15</v>
      </c>
      <c r="C22" s="58">
        <v>56.40</v>
      </c>
      <c r="D22" s="58">
        <v>34.39</v>
      </c>
      <c r="E22" s="58">
        <v>6.71</v>
      </c>
      <c r="F22" s="58">
        <v>28.68</v>
      </c>
      <c r="G22" s="58">
        <v>47.83</v>
      </c>
      <c r="H22" s="58">
        <v>32.42</v>
      </c>
      <c r="I22" s="58">
        <v>0.80</v>
      </c>
      <c r="J22" s="58">
        <v>0.86</v>
      </c>
      <c r="K22" s="58">
        <v>355.32</v>
      </c>
      <c r="L22" s="58">
        <v>39.65</v>
      </c>
      <c r="M22" s="58">
        <v>14.77</v>
      </c>
      <c r="N22" s="58">
        <v>788.10</v>
      </c>
      <c r="O22" s="58">
        <v>0</v>
      </c>
      <c r="P22" s="58">
        <v>0.82</v>
      </c>
      <c r="Q22" s="58">
        <v>25</v>
      </c>
      <c r="R22" s="43"/>
      <c r="S22" s="43"/>
      <c r="T22" s="43"/>
      <c r="U22" s="43"/>
    </row>
    <row r="23" spans="1:21" s="11" customFormat="1" ht="15">
      <c r="A23" s="57" t="s">
        <v>340</v>
      </c>
      <c r="B23" s="58">
        <v>3.87</v>
      </c>
      <c r="C23" s="58">
        <v>52.30</v>
      </c>
      <c r="D23" s="58">
        <v>32.700000000000003</v>
      </c>
      <c r="E23" s="58">
        <v>4.68</v>
      </c>
      <c r="F23" s="58">
        <v>31.96</v>
      </c>
      <c r="G23" s="58">
        <v>130.85</v>
      </c>
      <c r="H23" s="58">
        <v>29.88</v>
      </c>
      <c r="I23" s="58">
        <v>0.68</v>
      </c>
      <c r="J23" s="58">
        <v>0.83</v>
      </c>
      <c r="K23" s="58">
        <v>359.97</v>
      </c>
      <c r="L23" s="58">
        <v>40.40</v>
      </c>
      <c r="M23" s="58">
        <v>14.43</v>
      </c>
      <c r="N23" s="58">
        <v>668.60</v>
      </c>
      <c r="O23" s="58">
        <v>0</v>
      </c>
      <c r="P23" s="58">
        <v>0.76</v>
      </c>
      <c r="Q23" s="58">
        <v>20.41</v>
      </c>
      <c r="R23" s="43"/>
      <c r="S23" s="43"/>
      <c r="T23" s="43"/>
      <c r="U23" s="43"/>
    </row>
    <row r="24" spans="1:21" s="11" customFormat="1" ht="15">
      <c r="A24" s="57" t="s">
        <v>341</v>
      </c>
      <c r="B24" s="3" t="s">
        <v>4</v>
      </c>
      <c r="C24" s="3" t="s">
        <v>4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43"/>
      <c r="S24" s="43"/>
      <c r="T24" s="43"/>
      <c r="U24" s="43"/>
    </row>
    <row r="25" spans="1:21" s="11" customFormat="1" ht="15">
      <c r="A25" s="57" t="s">
        <v>342</v>
      </c>
      <c r="B25" s="3" t="s">
        <v>4</v>
      </c>
      <c r="C25" s="3" t="s">
        <v>4</v>
      </c>
      <c r="D25" s="3" t="s">
        <v>4</v>
      </c>
      <c r="E25" s="3" t="s">
        <v>4</v>
      </c>
      <c r="F25" s="3" t="s">
        <v>4</v>
      </c>
      <c r="G25" s="3" t="s">
        <v>4</v>
      </c>
      <c r="H25" s="3" t="s">
        <v>4</v>
      </c>
      <c r="I25" s="3" t="s">
        <v>4</v>
      </c>
      <c r="J25" s="3" t="s">
        <v>4</v>
      </c>
      <c r="K25" s="3" t="s">
        <v>4</v>
      </c>
      <c r="L25" s="3" t="s">
        <v>4</v>
      </c>
      <c r="M25" s="3" t="s">
        <v>4</v>
      </c>
      <c r="N25" s="3" t="s">
        <v>4</v>
      </c>
      <c r="O25" s="3" t="s">
        <v>4</v>
      </c>
      <c r="P25" s="3" t="s">
        <v>4</v>
      </c>
      <c r="Q25" s="3" t="s">
        <v>4</v>
      </c>
      <c r="R25" s="43"/>
      <c r="S25" s="43"/>
      <c r="T25" s="43"/>
      <c r="U25" s="43"/>
    </row>
    <row r="26" spans="1:21" s="11" customFormat="1" ht="15">
      <c r="A26" s="57" t="s">
        <v>343</v>
      </c>
      <c r="B26" s="6" t="s">
        <v>20</v>
      </c>
      <c r="C26" s="6" t="s">
        <v>20</v>
      </c>
      <c r="D26" s="6" t="s">
        <v>20</v>
      </c>
      <c r="E26" s="6" t="s">
        <v>20</v>
      </c>
      <c r="F26" s="58">
        <v>40.25</v>
      </c>
      <c r="G26" s="58">
        <v>36.44</v>
      </c>
      <c r="H26" s="58">
        <v>21.07</v>
      </c>
      <c r="I26" s="6" t="s">
        <v>20</v>
      </c>
      <c r="J26" s="58">
        <v>0.22</v>
      </c>
      <c r="K26" s="58">
        <v>272.64999999999998</v>
      </c>
      <c r="L26" s="58">
        <v>33.78</v>
      </c>
      <c r="M26" s="58">
        <v>16.48</v>
      </c>
      <c r="N26" s="58">
        <v>19.399999999999999</v>
      </c>
      <c r="O26" s="58">
        <v>0</v>
      </c>
      <c r="P26" s="58">
        <v>0.55000000000000004</v>
      </c>
      <c r="Q26" s="6" t="s">
        <v>20</v>
      </c>
      <c r="R26" s="43"/>
      <c r="S26" s="43"/>
      <c r="T26" s="43"/>
      <c r="U26" s="43"/>
    </row>
    <row r="27" spans="1:21" s="11" customFormat="1" ht="15">
      <c r="A27" s="57" t="s">
        <v>344</v>
      </c>
      <c r="B27" s="58">
        <v>63.86</v>
      </c>
      <c r="C27" s="58">
        <v>116.58</v>
      </c>
      <c r="D27" s="58">
        <v>116.29</v>
      </c>
      <c r="E27" s="58">
        <v>3.28</v>
      </c>
      <c r="F27" s="58">
        <v>22.81</v>
      </c>
      <c r="G27" s="5" t="s">
        <v>14</v>
      </c>
      <c r="H27" s="58">
        <v>41.82</v>
      </c>
      <c r="I27" s="6" t="s">
        <v>20</v>
      </c>
      <c r="J27" s="58">
        <v>0.17</v>
      </c>
      <c r="K27" s="58">
        <v>345.96</v>
      </c>
      <c r="L27" s="58">
        <v>32.82</v>
      </c>
      <c r="M27" s="58">
        <v>26.39</v>
      </c>
      <c r="N27" s="58">
        <v>10.5</v>
      </c>
      <c r="O27" s="58">
        <v>0</v>
      </c>
      <c r="P27" s="58">
        <v>1.32</v>
      </c>
      <c r="Q27" s="58">
        <v>52.49</v>
      </c>
      <c r="R27" s="43"/>
      <c r="S27" s="43"/>
      <c r="T27" s="43"/>
      <c r="U27" s="43"/>
    </row>
    <row r="28" spans="1:21" s="11" customFormat="1" ht="15">
      <c r="A28" s="57" t="s">
        <v>345</v>
      </c>
      <c r="B28" s="58">
        <v>40.35</v>
      </c>
      <c r="C28" s="58">
        <v>141.32</v>
      </c>
      <c r="D28" s="58">
        <v>111.09</v>
      </c>
      <c r="E28" s="58">
        <v>3.10</v>
      </c>
      <c r="F28" s="58">
        <v>19.75</v>
      </c>
      <c r="G28" s="58">
        <v>121.22</v>
      </c>
      <c r="H28" s="58">
        <v>40.21</v>
      </c>
      <c r="I28" s="5" t="s">
        <v>14</v>
      </c>
      <c r="J28" s="58">
        <v>0.22</v>
      </c>
      <c r="K28" s="58">
        <v>288.61</v>
      </c>
      <c r="L28" s="58">
        <v>30.91</v>
      </c>
      <c r="M28" s="58">
        <v>30.02</v>
      </c>
      <c r="N28" s="58">
        <v>4.70</v>
      </c>
      <c r="O28" s="58">
        <v>0</v>
      </c>
      <c r="P28" s="58">
        <v>1.34</v>
      </c>
      <c r="Q28" s="58">
        <v>37.21</v>
      </c>
      <c r="R28" s="43"/>
      <c r="S28" s="43"/>
      <c r="T28" s="43"/>
      <c r="U28" s="43"/>
    </row>
    <row r="29" spans="1:21" s="11" customFormat="1" ht="15">
      <c r="A29" s="57" t="s">
        <v>346</v>
      </c>
      <c r="B29" s="58">
        <v>100.22</v>
      </c>
      <c r="C29" s="58">
        <v>125.88</v>
      </c>
      <c r="D29" s="58">
        <v>150.58000000000001</v>
      </c>
      <c r="E29" s="58">
        <v>7.20</v>
      </c>
      <c r="F29" s="58">
        <v>17.68</v>
      </c>
      <c r="G29" s="58">
        <v>114.71</v>
      </c>
      <c r="H29" s="58">
        <v>40.19</v>
      </c>
      <c r="I29" s="5" t="s">
        <v>14</v>
      </c>
      <c r="J29" s="58">
        <v>0.36</v>
      </c>
      <c r="K29" s="58">
        <v>318.91000000000003</v>
      </c>
      <c r="L29" s="58">
        <v>29.83</v>
      </c>
      <c r="M29" s="58">
        <v>34.549999999999997</v>
      </c>
      <c r="N29" s="58">
        <v>5.30</v>
      </c>
      <c r="O29" s="58">
        <v>0</v>
      </c>
      <c r="P29" s="58">
        <v>3.35</v>
      </c>
      <c r="Q29" s="58">
        <v>24.95</v>
      </c>
      <c r="R29" s="43"/>
      <c r="S29" s="43"/>
      <c r="T29" s="43"/>
      <c r="U29" s="43"/>
    </row>
    <row r="30" spans="1:21" s="11" customFormat="1" ht="15">
      <c r="A30" s="57" t="s">
        <v>347</v>
      </c>
      <c r="B30" s="58">
        <v>132.46</v>
      </c>
      <c r="C30" s="58">
        <v>136.72999999999999</v>
      </c>
      <c r="D30" s="58">
        <v>182.42</v>
      </c>
      <c r="E30" s="58">
        <v>6.51</v>
      </c>
      <c r="F30" s="58">
        <v>6.18</v>
      </c>
      <c r="G30" s="58">
        <v>99.30</v>
      </c>
      <c r="H30" s="58">
        <v>44.29</v>
      </c>
      <c r="I30" s="5" t="s">
        <v>14</v>
      </c>
      <c r="J30" s="58">
        <v>0.23</v>
      </c>
      <c r="K30" s="58">
        <v>359.34</v>
      </c>
      <c r="L30" s="58">
        <v>27.70</v>
      </c>
      <c r="M30" s="58">
        <v>39.090000000000003</v>
      </c>
      <c r="N30" s="58">
        <v>5.0999999999999996</v>
      </c>
      <c r="O30" s="58">
        <v>0</v>
      </c>
      <c r="P30" s="58">
        <v>3.5</v>
      </c>
      <c r="Q30" s="58">
        <v>34.299999999999997</v>
      </c>
      <c r="R30" s="43"/>
      <c r="S30" s="43"/>
      <c r="T30" s="43"/>
      <c r="U30" s="43"/>
    </row>
    <row r="31" spans="1:21" s="11" customFormat="1" ht="15">
      <c r="A31" s="57" t="s">
        <v>348</v>
      </c>
      <c r="B31" s="58">
        <v>97.52</v>
      </c>
      <c r="C31" s="58">
        <v>105.49</v>
      </c>
      <c r="D31" s="58">
        <v>136.28</v>
      </c>
      <c r="E31" s="58">
        <v>3.12</v>
      </c>
      <c r="F31" s="58">
        <v>3.61</v>
      </c>
      <c r="G31" s="58">
        <v>99.30</v>
      </c>
      <c r="H31" s="58">
        <v>45.37</v>
      </c>
      <c r="I31" s="58">
        <v>1.1499999999999999</v>
      </c>
      <c r="J31" s="58">
        <v>0.18</v>
      </c>
      <c r="K31" s="58">
        <v>78.650000000000006</v>
      </c>
      <c r="L31" s="58">
        <v>26.61</v>
      </c>
      <c r="M31" s="58">
        <v>43.09</v>
      </c>
      <c r="N31" s="58">
        <v>5</v>
      </c>
      <c r="O31" s="58">
        <v>0</v>
      </c>
      <c r="P31" s="58">
        <v>2.44</v>
      </c>
      <c r="Q31" s="58">
        <v>34.96</v>
      </c>
      <c r="R31" s="43"/>
      <c r="S31" s="43"/>
      <c r="T31" s="43"/>
      <c r="U31" s="43"/>
    </row>
    <row r="32" spans="1:21" s="11" customFormat="1" ht="15">
      <c r="A32" s="57" t="s">
        <v>349</v>
      </c>
      <c r="B32" s="58">
        <v>106.71</v>
      </c>
      <c r="C32" s="58">
        <v>113.90</v>
      </c>
      <c r="D32" s="58">
        <v>149.16999999999999</v>
      </c>
      <c r="E32" s="58">
        <v>3.52</v>
      </c>
      <c r="F32" s="58">
        <v>3.41</v>
      </c>
      <c r="G32" s="58">
        <v>107.32</v>
      </c>
      <c r="H32" s="58">
        <v>45.64</v>
      </c>
      <c r="I32" s="58">
        <v>1.1599999999999999</v>
      </c>
      <c r="J32" s="58">
        <v>0.16</v>
      </c>
      <c r="K32" s="58">
        <v>125.39</v>
      </c>
      <c r="L32" s="58">
        <v>25.95</v>
      </c>
      <c r="M32" s="58">
        <v>44.27</v>
      </c>
      <c r="N32" s="58">
        <v>4.9000000000000004</v>
      </c>
      <c r="O32" s="58">
        <v>0</v>
      </c>
      <c r="P32" s="58">
        <v>2.2999999999999998</v>
      </c>
      <c r="Q32" s="58">
        <v>33.15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3.0499999999999998</v>
      </c>
      <c r="C34" s="28">
        <f t="shared" si="0"/>
        <v>52.299999999999997</v>
      </c>
      <c r="D34" s="28">
        <f t="shared" si="0"/>
        <v>32.700000000000003</v>
      </c>
      <c r="E34" s="28">
        <f t="shared" si="0"/>
        <v>3.1000000000000001</v>
      </c>
      <c r="F34" s="28">
        <f t="shared" si="0"/>
        <v>3.4100000000000001</v>
      </c>
      <c r="G34" s="28">
        <f t="shared" si="0"/>
        <v>36.439999999999998</v>
      </c>
      <c r="H34" s="28">
        <f t="shared" si="0"/>
        <v>21.07</v>
      </c>
      <c r="I34" s="28">
        <f t="shared" si="0"/>
        <v>0.68000000000000005</v>
      </c>
      <c r="J34" s="28">
        <f t="shared" si="0"/>
        <v>0.13</v>
      </c>
      <c r="K34" s="28">
        <f t="shared" si="0"/>
        <v>28.399999999999999</v>
      </c>
      <c r="L34" s="28">
        <f t="shared" si="0"/>
        <v>22.690000000000001</v>
      </c>
      <c r="M34" s="28">
        <f t="shared" si="0"/>
        <v>14.43</v>
      </c>
      <c r="N34" s="28">
        <f t="shared" si="0"/>
        <v>4.7000000000000002</v>
      </c>
      <c r="O34" s="28">
        <f t="shared" si="0"/>
        <v>0</v>
      </c>
      <c r="P34" s="28">
        <f t="shared" si="0"/>
        <v>0.55000000000000004</v>
      </c>
      <c r="Q34" s="28">
        <f t="shared" si="0"/>
        <v>20.41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132.46000000000001</v>
      </c>
      <c r="C35" s="29">
        <f t="shared" si="1"/>
        <v>141.31999999999999</v>
      </c>
      <c r="D35" s="29">
        <f t="shared" si="1"/>
        <v>182.41999999999999</v>
      </c>
      <c r="E35" s="29">
        <f t="shared" si="1"/>
        <v>15.09</v>
      </c>
      <c r="F35" s="29">
        <f t="shared" si="1"/>
        <v>40.25</v>
      </c>
      <c r="G35" s="29">
        <f t="shared" si="1"/>
        <v>208.50999999999999</v>
      </c>
      <c r="H35" s="29">
        <f t="shared" si="1"/>
        <v>47.509999999999998</v>
      </c>
      <c r="I35" s="29">
        <f t="shared" si="1"/>
        <v>1.1599999999999999</v>
      </c>
      <c r="J35" s="29">
        <f t="shared" si="1"/>
        <v>0.85999999999999999</v>
      </c>
      <c r="K35" s="29">
        <f t="shared" si="1"/>
        <v>359.97000000000003</v>
      </c>
      <c r="L35" s="29">
        <f t="shared" si="1"/>
        <v>40.399999999999999</v>
      </c>
      <c r="M35" s="29">
        <f t="shared" si="1"/>
        <v>60.189999999999998</v>
      </c>
      <c r="N35" s="29">
        <f t="shared" si="1"/>
        <v>849.10000000000002</v>
      </c>
      <c r="O35" s="29">
        <f t="shared" si="1"/>
        <v>0</v>
      </c>
      <c r="P35" s="29">
        <f t="shared" si="1"/>
        <v>3.5</v>
      </c>
      <c r="Q35" s="29">
        <f t="shared" si="1"/>
        <v>52.490000000000002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52.083333333333336</v>
      </c>
      <c r="C36" s="28">
        <f t="shared" si="2"/>
        <v>83.810000000000002</v>
      </c>
      <c r="D36" s="28">
        <f t="shared" si="2"/>
        <v>87.998571428571424</v>
      </c>
      <c r="E36" s="28">
        <f t="shared" si="2"/>
        <v>6.6242857142857146</v>
      </c>
      <c r="F36" s="28">
        <f t="shared" si="2"/>
        <v>16.582727272727276</v>
      </c>
      <c r="G36" s="28">
        <f t="shared" si="2"/>
        <v>127.7157142857143</v>
      </c>
      <c r="H36" s="28">
        <f t="shared" si="2"/>
        <v>41.235454545454552</v>
      </c>
      <c r="I36" s="28">
        <f t="shared" si="2"/>
        <v>0.873529411764706</v>
      </c>
      <c r="J36" s="28">
        <f t="shared" si="2"/>
        <v>0.36681818181818182</v>
      </c>
      <c r="K36" s="28">
        <f t="shared" si="2"/>
        <v>256.00181818181812</v>
      </c>
      <c r="L36" s="28">
        <f t="shared" si="2"/>
        <v>30.459090909090914</v>
      </c>
      <c r="M36" s="28">
        <f t="shared" si="2"/>
        <v>37.564999999999998</v>
      </c>
      <c r="N36" s="28">
        <f t="shared" si="2"/>
        <v>264.62272727272733</v>
      </c>
      <c r="O36" s="28">
        <f t="shared" si="2"/>
        <v>0</v>
      </c>
      <c r="P36" s="28">
        <f t="shared" si="2"/>
        <v>1.6640909090909093</v>
      </c>
      <c r="Q36" s="28">
        <f t="shared" si="2"/>
        <v>32.931904761904761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37.058445910930118</v>
      </c>
      <c r="C37" s="28">
        <f t="shared" si="3" ref="C37:Q37">STDEV(C9:C32)</f>
        <v>27.9471431455882</v>
      </c>
      <c r="D37" s="28">
        <f t="shared" si="3"/>
        <v>41.865013231302612</v>
      </c>
      <c r="E37" s="28">
        <f t="shared" si="3"/>
        <v>3.2816498463860673</v>
      </c>
      <c r="F37" s="28">
        <f t="shared" si="3"/>
        <v>12.758792367774571</v>
      </c>
      <c r="G37" s="28">
        <f t="shared" si="3"/>
        <v>49.989223595833991</v>
      </c>
      <c r="H37" s="28">
        <f t="shared" si="3"/>
        <v>6.5808580474503566</v>
      </c>
      <c r="I37" s="28">
        <f t="shared" si="3"/>
        <v>0.15304987653011135</v>
      </c>
      <c r="J37" s="28">
        <f t="shared" si="3"/>
        <v>0.25471527266709015</v>
      </c>
      <c r="K37" s="28">
        <f t="shared" si="3"/>
        <v>104.56424366713355</v>
      </c>
      <c r="L37" s="28">
        <f t="shared" si="3"/>
        <v>5.7110885536412788</v>
      </c>
      <c r="M37" s="28">
        <f t="shared" si="3"/>
        <v>16.473067702277259</v>
      </c>
      <c r="N37" s="28">
        <f t="shared" si="3"/>
        <v>350.47325002442614</v>
      </c>
      <c r="O37" s="28">
        <f t="shared" si="3"/>
        <v>0</v>
      </c>
      <c r="P37" s="28">
        <f t="shared" si="3"/>
        <v>0.7660701142280768</v>
      </c>
      <c r="Q37" s="28">
        <f t="shared" si="3"/>
        <v>6.3276185244115437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COUNT(B9:B32)+3</f>
        <v>24</v>
      </c>
      <c r="C38" s="32">
        <f>COUNT(C9:C32)+3</f>
        <v>24</v>
      </c>
      <c r="D38" s="32">
        <f>COUNT(D9:D32)+3</f>
        <v>24</v>
      </c>
      <c r="E38" s="32">
        <f>COUNT(E9:E32)+3</f>
        <v>24</v>
      </c>
      <c r="F38" s="32">
        <f>COUNT(F9:F32)+2</f>
        <v>24</v>
      </c>
      <c r="G38" s="32">
        <f>COUNT(G9:G32)+3</f>
        <v>24</v>
      </c>
      <c r="H38" s="32">
        <f>COUNT(H9:H32)+2</f>
        <v>24</v>
      </c>
      <c r="I38" s="32">
        <f>COUNT(I9:I32)+7</f>
        <v>24</v>
      </c>
      <c r="J38" s="32">
        <f>COUNT(J9:J32)+2</f>
        <v>24</v>
      </c>
      <c r="K38" s="32">
        <f t="shared" si="4" ref="K38:P38">COUNT(K9:K32)+2</f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54ede5-2020-4091-8e3d-286438fbbda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80" sqref="H80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350</v>
      </c>
      <c r="B9" s="58">
        <v>75.73</v>
      </c>
      <c r="C9" s="58">
        <v>94.65</v>
      </c>
      <c r="D9" s="58">
        <v>113.70</v>
      </c>
      <c r="E9" s="58">
        <v>5.68</v>
      </c>
      <c r="F9" s="58">
        <v>17.20</v>
      </c>
      <c r="G9" s="58">
        <v>150.30000000000001</v>
      </c>
      <c r="H9" s="58">
        <v>46.02</v>
      </c>
      <c r="I9" s="58">
        <v>1.1299999999999999</v>
      </c>
      <c r="J9" s="58">
        <v>0.17</v>
      </c>
      <c r="K9" s="58">
        <v>262.55</v>
      </c>
      <c r="L9" s="58">
        <v>26.20</v>
      </c>
      <c r="M9" s="58">
        <v>49.11</v>
      </c>
      <c r="N9" s="58">
        <v>5</v>
      </c>
      <c r="O9" s="58">
        <v>0</v>
      </c>
      <c r="P9" s="58">
        <v>1.89</v>
      </c>
      <c r="Q9" s="58">
        <v>35.89</v>
      </c>
      <c r="R9" s="43"/>
      <c r="S9" s="43"/>
      <c r="T9" s="43"/>
      <c r="U9" s="43"/>
    </row>
    <row r="10" spans="1:21" s="11" customFormat="1" ht="15">
      <c r="A10" s="57" t="s">
        <v>351</v>
      </c>
      <c r="B10" s="58">
        <v>64.680000000000007</v>
      </c>
      <c r="C10" s="58">
        <v>64.47</v>
      </c>
      <c r="D10" s="58">
        <v>87.35</v>
      </c>
      <c r="E10" s="58">
        <v>4.26</v>
      </c>
      <c r="F10" s="58">
        <v>9.61</v>
      </c>
      <c r="G10" s="58">
        <v>148.90</v>
      </c>
      <c r="H10" s="58">
        <v>44.74</v>
      </c>
      <c r="I10" s="58">
        <v>1.06</v>
      </c>
      <c r="J10" s="58">
        <v>0.18</v>
      </c>
      <c r="K10" s="58">
        <v>331.53</v>
      </c>
      <c r="L10" s="58">
        <v>25.43</v>
      </c>
      <c r="M10" s="58">
        <v>44.56</v>
      </c>
      <c r="N10" s="58">
        <v>5.20</v>
      </c>
      <c r="O10" s="58">
        <v>0</v>
      </c>
      <c r="P10" s="58">
        <v>1.80</v>
      </c>
      <c r="Q10" s="58">
        <v>35.44</v>
      </c>
      <c r="R10" s="43"/>
      <c r="S10" s="43"/>
      <c r="T10" s="43"/>
      <c r="U10" s="43"/>
    </row>
    <row r="11" spans="1:21" s="11" customFormat="1" ht="15">
      <c r="A11" s="57" t="s">
        <v>352</v>
      </c>
      <c r="B11" s="58">
        <v>39.89</v>
      </c>
      <c r="C11" s="58">
        <v>65.73</v>
      </c>
      <c r="D11" s="58">
        <v>68.41</v>
      </c>
      <c r="E11" s="58">
        <v>4.09</v>
      </c>
      <c r="F11" s="58">
        <v>4.7300000000000004</v>
      </c>
      <c r="G11" s="58">
        <v>128.33000000000001</v>
      </c>
      <c r="H11" s="58">
        <v>38.159999999999997</v>
      </c>
      <c r="I11" s="58">
        <v>0.87</v>
      </c>
      <c r="J11" s="58">
        <v>0.14000000000000001</v>
      </c>
      <c r="K11" s="58">
        <v>346.18</v>
      </c>
      <c r="L11" s="58">
        <v>23.98</v>
      </c>
      <c r="M11" s="58">
        <v>52.59</v>
      </c>
      <c r="N11" s="58">
        <v>5</v>
      </c>
      <c r="O11" s="58">
        <v>0</v>
      </c>
      <c r="P11" s="58">
        <v>1.43</v>
      </c>
      <c r="Q11" s="58">
        <v>29.29</v>
      </c>
      <c r="R11" s="43"/>
      <c r="S11" s="43"/>
      <c r="T11" s="43"/>
      <c r="U11" s="43"/>
    </row>
    <row r="12" spans="1:21" s="11" customFormat="1" ht="15">
      <c r="A12" s="57" t="s">
        <v>353</v>
      </c>
      <c r="B12" s="58">
        <v>29.43</v>
      </c>
      <c r="C12" s="58">
        <v>66.930000000000007</v>
      </c>
      <c r="D12" s="58">
        <v>60.77</v>
      </c>
      <c r="E12" s="58">
        <v>9.17</v>
      </c>
      <c r="F12" s="58">
        <v>4.96</v>
      </c>
      <c r="G12" s="58">
        <v>137.49</v>
      </c>
      <c r="H12" s="58">
        <v>38.630000000000003</v>
      </c>
      <c r="I12" s="58">
        <v>0.78</v>
      </c>
      <c r="J12" s="58">
        <v>0.09</v>
      </c>
      <c r="K12" s="58">
        <v>341.57</v>
      </c>
      <c r="L12" s="58">
        <v>23.23</v>
      </c>
      <c r="M12" s="58">
        <v>53.95</v>
      </c>
      <c r="N12" s="58">
        <v>4.80</v>
      </c>
      <c r="O12" s="58">
        <v>0</v>
      </c>
      <c r="P12" s="58">
        <v>1.31</v>
      </c>
      <c r="Q12" s="58">
        <v>18.38</v>
      </c>
      <c r="R12" s="43"/>
      <c r="S12" s="43"/>
      <c r="T12" s="43"/>
      <c r="U12" s="43"/>
    </row>
    <row r="13" spans="1:21" s="11" customFormat="1" ht="15">
      <c r="A13" s="57" t="s">
        <v>354</v>
      </c>
      <c r="B13" s="58">
        <v>43.34</v>
      </c>
      <c r="C13" s="58">
        <v>68.739999999999995</v>
      </c>
      <c r="D13" s="58">
        <v>73.430000000000007</v>
      </c>
      <c r="E13" s="58">
        <v>7.04</v>
      </c>
      <c r="F13" s="58">
        <v>4.17</v>
      </c>
      <c r="G13" s="58">
        <v>136.5</v>
      </c>
      <c r="H13" s="58">
        <v>42.92</v>
      </c>
      <c r="I13" s="58">
        <v>0.80</v>
      </c>
      <c r="J13" s="58">
        <v>0.27</v>
      </c>
      <c r="K13" s="58">
        <v>297.45</v>
      </c>
      <c r="L13" s="58">
        <v>23.66</v>
      </c>
      <c r="M13" s="58">
        <v>52.91</v>
      </c>
      <c r="N13" s="58">
        <v>5</v>
      </c>
      <c r="O13" s="58">
        <v>0</v>
      </c>
      <c r="P13" s="58">
        <v>1.30</v>
      </c>
      <c r="Q13" s="58">
        <v>23.78</v>
      </c>
      <c r="R13" s="43"/>
      <c r="S13" s="43"/>
      <c r="T13" s="43"/>
      <c r="U13" s="43"/>
    </row>
    <row r="14" spans="1:21" s="11" customFormat="1" ht="15">
      <c r="A14" s="57" t="s">
        <v>355</v>
      </c>
      <c r="B14" s="58">
        <v>71.959999999999994</v>
      </c>
      <c r="C14" s="58">
        <v>66.11</v>
      </c>
      <c r="D14" s="58">
        <v>94.93</v>
      </c>
      <c r="E14" s="58">
        <v>2.71</v>
      </c>
      <c r="F14" s="58">
        <v>3.24</v>
      </c>
      <c r="G14" s="58">
        <v>207.32</v>
      </c>
      <c r="H14" s="58">
        <v>49.12</v>
      </c>
      <c r="I14" s="58">
        <v>0.91</v>
      </c>
      <c r="J14" s="58">
        <v>0.13</v>
      </c>
      <c r="K14" s="58">
        <v>334.67</v>
      </c>
      <c r="L14" s="58">
        <v>23.03</v>
      </c>
      <c r="M14" s="58">
        <v>60.43</v>
      </c>
      <c r="N14" s="58">
        <v>16.5</v>
      </c>
      <c r="O14" s="58">
        <v>0</v>
      </c>
      <c r="P14" s="58">
        <v>1.46</v>
      </c>
      <c r="Q14" s="58">
        <v>32.549999999999997</v>
      </c>
      <c r="R14" s="43"/>
      <c r="S14" s="43"/>
      <c r="T14" s="43"/>
      <c r="U14" s="43"/>
    </row>
    <row r="15" spans="1:21" s="11" customFormat="1" ht="15">
      <c r="A15" s="57" t="s">
        <v>356</v>
      </c>
      <c r="B15" s="58">
        <v>124.67</v>
      </c>
      <c r="C15" s="58">
        <v>90.37</v>
      </c>
      <c r="D15" s="58">
        <v>150.59</v>
      </c>
      <c r="E15" s="58">
        <v>10.16</v>
      </c>
      <c r="F15" s="58">
        <v>3.03</v>
      </c>
      <c r="G15" s="58">
        <v>204.90</v>
      </c>
      <c r="H15" s="58">
        <v>57.81</v>
      </c>
      <c r="I15" s="58">
        <v>0.92</v>
      </c>
      <c r="J15" s="58">
        <v>0.31</v>
      </c>
      <c r="K15" s="58">
        <v>334.49</v>
      </c>
      <c r="L15" s="58">
        <v>25.98</v>
      </c>
      <c r="M15" s="58">
        <v>56.69</v>
      </c>
      <c r="N15" s="58">
        <v>133.80000000000001</v>
      </c>
      <c r="O15" s="58">
        <v>0</v>
      </c>
      <c r="P15" s="58">
        <v>1.73</v>
      </c>
      <c r="Q15" s="58">
        <v>32.450000000000003</v>
      </c>
      <c r="R15" s="43"/>
      <c r="S15" s="43"/>
      <c r="T15" s="43"/>
      <c r="U15" s="43"/>
    </row>
    <row r="16" spans="1:21" s="11" customFormat="1" ht="15">
      <c r="A16" s="57" t="s">
        <v>357</v>
      </c>
      <c r="B16" s="58">
        <v>69.239999999999995</v>
      </c>
      <c r="C16" s="58">
        <v>85.05</v>
      </c>
      <c r="D16" s="58">
        <v>97.28</v>
      </c>
      <c r="E16" s="58">
        <v>14.17</v>
      </c>
      <c r="F16" s="58">
        <v>18.600000000000001</v>
      </c>
      <c r="G16" s="58">
        <v>193.17</v>
      </c>
      <c r="H16" s="58">
        <v>67.30</v>
      </c>
      <c r="I16" s="58">
        <v>1.02</v>
      </c>
      <c r="J16" s="58">
        <v>0.86</v>
      </c>
      <c r="K16" s="58">
        <v>179.62</v>
      </c>
      <c r="L16" s="58">
        <v>28.90</v>
      </c>
      <c r="M16" s="58">
        <v>38.90</v>
      </c>
      <c r="N16" s="58">
        <v>332</v>
      </c>
      <c r="O16" s="58">
        <v>0</v>
      </c>
      <c r="P16" s="58">
        <v>1.59</v>
      </c>
      <c r="Q16" s="58">
        <v>31.48</v>
      </c>
      <c r="R16" s="43"/>
      <c r="S16" s="43"/>
      <c r="T16" s="43"/>
      <c r="U16" s="43"/>
    </row>
    <row r="17" spans="1:21" s="11" customFormat="1" ht="15">
      <c r="A17" s="57" t="s">
        <v>358</v>
      </c>
      <c r="B17" s="58">
        <v>63.90</v>
      </c>
      <c r="C17" s="58">
        <v>70.41</v>
      </c>
      <c r="D17" s="58">
        <v>85.98</v>
      </c>
      <c r="E17" s="58">
        <v>5.14</v>
      </c>
      <c r="F17" s="58">
        <v>10.87</v>
      </c>
      <c r="G17" s="58">
        <v>183.09</v>
      </c>
      <c r="H17" s="58">
        <v>65.989999999999995</v>
      </c>
      <c r="I17" s="58">
        <v>0.83</v>
      </c>
      <c r="J17" s="58">
        <v>0.70</v>
      </c>
      <c r="K17" s="58">
        <v>203.02</v>
      </c>
      <c r="L17" s="58">
        <v>32.880000000000003</v>
      </c>
      <c r="M17" s="58">
        <v>33.479999999999997</v>
      </c>
      <c r="N17" s="58">
        <v>527.40</v>
      </c>
      <c r="O17" s="58">
        <v>0</v>
      </c>
      <c r="P17" s="58">
        <v>1.39</v>
      </c>
      <c r="Q17" s="58">
        <v>32.10</v>
      </c>
      <c r="R17" s="43"/>
      <c r="S17" s="43"/>
      <c r="T17" s="43"/>
      <c r="U17" s="43"/>
    </row>
    <row r="18" spans="1:21" s="11" customFormat="1" ht="15">
      <c r="A18" s="57" t="s">
        <v>359</v>
      </c>
      <c r="B18" s="58">
        <v>25.56</v>
      </c>
      <c r="C18" s="58">
        <v>75.13</v>
      </c>
      <c r="D18" s="58">
        <v>59.71</v>
      </c>
      <c r="E18" s="58">
        <v>2.89</v>
      </c>
      <c r="F18" s="58">
        <v>7.84</v>
      </c>
      <c r="G18" s="58">
        <v>119.59</v>
      </c>
      <c r="H18" s="58">
        <v>56.22</v>
      </c>
      <c r="I18" s="58">
        <v>0.81</v>
      </c>
      <c r="J18" s="58">
        <v>0.25</v>
      </c>
      <c r="K18" s="58">
        <v>351.19</v>
      </c>
      <c r="L18" s="58">
        <v>34.08</v>
      </c>
      <c r="M18" s="58">
        <v>33.799999999999997</v>
      </c>
      <c r="N18" s="58">
        <v>668.40</v>
      </c>
      <c r="O18" s="58">
        <v>0</v>
      </c>
      <c r="P18" s="58">
        <v>1.1599999999999999</v>
      </c>
      <c r="Q18" s="58">
        <v>25.26</v>
      </c>
      <c r="R18" s="43"/>
      <c r="S18" s="43"/>
      <c r="T18" s="43"/>
      <c r="U18" s="43"/>
    </row>
    <row r="19" spans="1:21" s="11" customFormat="1" ht="15">
      <c r="A19" s="57" t="s">
        <v>360</v>
      </c>
      <c r="B19" s="58">
        <v>6.76</v>
      </c>
      <c r="C19" s="58">
        <v>73.47</v>
      </c>
      <c r="D19" s="58">
        <v>45.99</v>
      </c>
      <c r="E19" s="58">
        <v>7.48</v>
      </c>
      <c r="F19" s="58">
        <v>17.510000000000002</v>
      </c>
      <c r="G19" s="58">
        <v>111.82</v>
      </c>
      <c r="H19" s="58">
        <v>43.42</v>
      </c>
      <c r="I19" s="58">
        <v>0.69</v>
      </c>
      <c r="J19" s="58">
        <v>0.32</v>
      </c>
      <c r="K19" s="58">
        <v>324.20999999999998</v>
      </c>
      <c r="L19" s="58">
        <v>36.020000000000003</v>
      </c>
      <c r="M19" s="58">
        <v>26.71</v>
      </c>
      <c r="N19" s="58">
        <v>733.10</v>
      </c>
      <c r="O19" s="58">
        <v>0</v>
      </c>
      <c r="P19" s="58">
        <v>1.1499999999999999</v>
      </c>
      <c r="Q19" s="58">
        <v>10.66</v>
      </c>
      <c r="R19" s="43"/>
      <c r="S19" s="43"/>
      <c r="T19" s="43"/>
      <c r="U19" s="43"/>
    </row>
    <row r="20" spans="1:21" s="11" customFormat="1" ht="15">
      <c r="A20" s="57" t="s">
        <v>361</v>
      </c>
      <c r="B20" s="58">
        <v>2.5299999999999998</v>
      </c>
      <c r="C20" s="58">
        <v>65.510000000000005</v>
      </c>
      <c r="D20" s="58">
        <v>38.700000000000003</v>
      </c>
      <c r="E20" s="58">
        <v>14.60</v>
      </c>
      <c r="F20" s="58">
        <v>27.76</v>
      </c>
      <c r="G20" s="58">
        <v>108.82</v>
      </c>
      <c r="H20" s="58">
        <v>41.26</v>
      </c>
      <c r="I20" s="58">
        <v>0.63</v>
      </c>
      <c r="J20" s="58">
        <v>0.46</v>
      </c>
      <c r="K20" s="58">
        <v>358.24</v>
      </c>
      <c r="L20" s="58">
        <v>39.47</v>
      </c>
      <c r="M20" s="58">
        <v>26.46</v>
      </c>
      <c r="N20" s="58">
        <v>782.80</v>
      </c>
      <c r="O20" s="58">
        <v>0</v>
      </c>
      <c r="P20" s="58">
        <v>1.36</v>
      </c>
      <c r="Q20" s="58">
        <v>7.32</v>
      </c>
      <c r="R20" s="43"/>
      <c r="S20" s="43"/>
      <c r="T20" s="43"/>
      <c r="U20" s="43"/>
    </row>
    <row r="21" spans="1:21" s="11" customFormat="1" ht="15">
      <c r="A21" s="57" t="s">
        <v>362</v>
      </c>
      <c r="B21" s="58">
        <v>2.02</v>
      </c>
      <c r="C21" s="58">
        <v>67.930000000000007</v>
      </c>
      <c r="D21" s="58">
        <v>39.549999999999997</v>
      </c>
      <c r="E21" s="58">
        <v>6.79</v>
      </c>
      <c r="F21" s="58">
        <v>21.83</v>
      </c>
      <c r="G21" s="58">
        <v>101.18</v>
      </c>
      <c r="H21" s="58">
        <v>45.28</v>
      </c>
      <c r="I21" s="58">
        <v>0.62</v>
      </c>
      <c r="J21" s="58">
        <v>0.43</v>
      </c>
      <c r="K21" s="58">
        <v>355.79</v>
      </c>
      <c r="L21" s="58">
        <v>38.909999999999997</v>
      </c>
      <c r="M21" s="58">
        <v>22.21</v>
      </c>
      <c r="N21" s="58">
        <v>786.5</v>
      </c>
      <c r="O21" s="58">
        <v>0</v>
      </c>
      <c r="P21" s="58">
        <v>1.36</v>
      </c>
      <c r="Q21" s="58">
        <v>8.5399999999999991</v>
      </c>
      <c r="R21" s="43"/>
      <c r="S21" s="43"/>
      <c r="T21" s="43"/>
      <c r="U21" s="43"/>
    </row>
    <row r="22" spans="1:21" s="11" customFormat="1" ht="15">
      <c r="A22" s="57" t="s">
        <v>363</v>
      </c>
      <c r="B22" s="58">
        <v>2.87</v>
      </c>
      <c r="C22" s="58">
        <v>60.36</v>
      </c>
      <c r="D22" s="58">
        <v>35.520000000000003</v>
      </c>
      <c r="E22" s="58">
        <v>8.6199999999999992</v>
      </c>
      <c r="F22" s="58">
        <v>32.630000000000003</v>
      </c>
      <c r="G22" s="58">
        <v>119</v>
      </c>
      <c r="H22" s="58">
        <v>45.66</v>
      </c>
      <c r="I22" s="58">
        <v>0.59</v>
      </c>
      <c r="J22" s="58">
        <v>0.84</v>
      </c>
      <c r="K22" s="58">
        <v>341.04</v>
      </c>
      <c r="L22" s="58">
        <v>37.90</v>
      </c>
      <c r="M22" s="58">
        <v>20.49</v>
      </c>
      <c r="N22" s="58">
        <v>674.5</v>
      </c>
      <c r="O22" s="58">
        <v>0</v>
      </c>
      <c r="P22" s="58">
        <v>1.22</v>
      </c>
      <c r="Q22" s="58">
        <v>6.78</v>
      </c>
      <c r="R22" s="43"/>
      <c r="S22" s="43"/>
      <c r="T22" s="43"/>
      <c r="U22" s="43"/>
    </row>
    <row r="23" spans="1:21" s="11" customFormat="1" ht="15">
      <c r="A23" s="57" t="s">
        <v>364</v>
      </c>
      <c r="B23" s="58">
        <v>1.98</v>
      </c>
      <c r="C23" s="58">
        <v>48.72</v>
      </c>
      <c r="D23" s="58">
        <v>28.91</v>
      </c>
      <c r="E23" s="58">
        <v>5.82</v>
      </c>
      <c r="F23" s="58">
        <v>32.53</v>
      </c>
      <c r="G23" s="58">
        <v>111.46</v>
      </c>
      <c r="H23" s="58">
        <v>43.53</v>
      </c>
      <c r="I23" s="58">
        <v>0.59</v>
      </c>
      <c r="J23" s="58">
        <v>1.63</v>
      </c>
      <c r="K23" s="58">
        <v>199.67</v>
      </c>
      <c r="L23" s="58">
        <v>37.40</v>
      </c>
      <c r="M23" s="58">
        <v>19.079999999999998</v>
      </c>
      <c r="N23" s="58">
        <v>581.10</v>
      </c>
      <c r="O23" s="58">
        <v>0</v>
      </c>
      <c r="P23" s="58">
        <v>1.03</v>
      </c>
      <c r="Q23" s="58">
        <v>6.19</v>
      </c>
      <c r="R23" s="43"/>
      <c r="S23" s="43"/>
      <c r="T23" s="43"/>
      <c r="U23" s="43"/>
    </row>
    <row r="24" spans="1:21" s="11" customFormat="1" ht="15">
      <c r="A24" s="57" t="s">
        <v>365</v>
      </c>
      <c r="B24" s="58">
        <v>1.95</v>
      </c>
      <c r="C24" s="58">
        <v>46.52</v>
      </c>
      <c r="D24" s="58">
        <v>27.64</v>
      </c>
      <c r="E24" s="58">
        <v>5.87</v>
      </c>
      <c r="F24" s="58">
        <v>34.340000000000003</v>
      </c>
      <c r="G24" s="58">
        <v>62.77</v>
      </c>
      <c r="H24" s="58">
        <v>33.96</v>
      </c>
      <c r="I24" s="58">
        <v>0.63</v>
      </c>
      <c r="J24" s="58">
        <v>1.18</v>
      </c>
      <c r="K24" s="58">
        <v>201.93</v>
      </c>
      <c r="L24" s="58">
        <v>36.03</v>
      </c>
      <c r="M24" s="58">
        <v>21.47</v>
      </c>
      <c r="N24" s="58">
        <v>152.80000000000001</v>
      </c>
      <c r="O24" s="58">
        <v>0</v>
      </c>
      <c r="P24" s="58">
        <v>0.83</v>
      </c>
      <c r="Q24" s="58">
        <v>7.39</v>
      </c>
      <c r="R24" s="43"/>
      <c r="S24" s="43"/>
      <c r="T24" s="43"/>
      <c r="U24" s="43"/>
    </row>
    <row r="25" spans="1:21" s="11" customFormat="1" ht="15">
      <c r="A25" s="57" t="s">
        <v>366</v>
      </c>
      <c r="B25" s="58">
        <v>1.76</v>
      </c>
      <c r="C25" s="58">
        <v>48.33</v>
      </c>
      <c r="D25" s="58">
        <v>28.69</v>
      </c>
      <c r="E25" s="58">
        <v>7.68</v>
      </c>
      <c r="F25" s="58">
        <v>46.5</v>
      </c>
      <c r="G25" s="58">
        <v>72.09</v>
      </c>
      <c r="H25" s="58">
        <v>32</v>
      </c>
      <c r="I25" s="58">
        <v>0.62</v>
      </c>
      <c r="J25" s="58">
        <v>0.85</v>
      </c>
      <c r="K25" s="58">
        <v>223.37</v>
      </c>
      <c r="L25" s="58">
        <v>35.770000000000003</v>
      </c>
      <c r="M25" s="58">
        <v>22.02</v>
      </c>
      <c r="N25" s="58">
        <v>180.10</v>
      </c>
      <c r="O25" s="58">
        <v>0</v>
      </c>
      <c r="P25" s="58">
        <v>0.70</v>
      </c>
      <c r="Q25" s="58">
        <v>4.97</v>
      </c>
      <c r="R25" s="43"/>
      <c r="S25" s="43"/>
      <c r="T25" s="43"/>
      <c r="U25" s="43"/>
    </row>
    <row r="26" spans="1:21" s="11" customFormat="1" ht="15">
      <c r="A26" s="57" t="s">
        <v>367</v>
      </c>
      <c r="B26" s="58">
        <v>9.31</v>
      </c>
      <c r="C26" s="58">
        <v>90.49</v>
      </c>
      <c r="D26" s="58">
        <v>58.04</v>
      </c>
      <c r="E26" s="58">
        <v>11.62</v>
      </c>
      <c r="F26" s="58">
        <v>62.82</v>
      </c>
      <c r="G26" s="58">
        <v>74.64</v>
      </c>
      <c r="H26" s="58">
        <v>31.57</v>
      </c>
      <c r="I26" s="58">
        <v>0.57999999999999996</v>
      </c>
      <c r="J26" s="58">
        <v>0.42</v>
      </c>
      <c r="K26" s="58">
        <v>249.36</v>
      </c>
      <c r="L26" s="58">
        <v>34.90</v>
      </c>
      <c r="M26" s="58">
        <v>26.67</v>
      </c>
      <c r="N26" s="58">
        <v>58.80</v>
      </c>
      <c r="O26" s="58">
        <v>0</v>
      </c>
      <c r="P26" s="58">
        <v>0.79</v>
      </c>
      <c r="Q26" s="58">
        <v>0.98</v>
      </c>
      <c r="R26" s="43"/>
      <c r="S26" s="43"/>
      <c r="T26" s="43"/>
      <c r="U26" s="43"/>
    </row>
    <row r="27" spans="1:21" s="11" customFormat="1" ht="15">
      <c r="A27" s="57" t="s">
        <v>368</v>
      </c>
      <c r="B27" s="58">
        <v>25.20</v>
      </c>
      <c r="C27" s="58">
        <v>98.34</v>
      </c>
      <c r="D27" s="58">
        <v>75.12</v>
      </c>
      <c r="E27" s="58">
        <v>12.13</v>
      </c>
      <c r="F27" s="58">
        <v>52.67</v>
      </c>
      <c r="G27" s="58">
        <v>123.02</v>
      </c>
      <c r="H27" s="58">
        <v>29.40</v>
      </c>
      <c r="I27" s="58">
        <v>0.67</v>
      </c>
      <c r="J27" s="58">
        <v>0.21</v>
      </c>
      <c r="K27" s="58">
        <v>255.18</v>
      </c>
      <c r="L27" s="58">
        <v>33.61</v>
      </c>
      <c r="M27" s="58">
        <v>32.57</v>
      </c>
      <c r="N27" s="58">
        <v>9.60</v>
      </c>
      <c r="O27" s="58">
        <v>0</v>
      </c>
      <c r="P27" s="58">
        <v>1.56</v>
      </c>
      <c r="Q27" s="58">
        <v>4.72</v>
      </c>
      <c r="R27" s="43"/>
      <c r="S27" s="43"/>
      <c r="T27" s="43"/>
      <c r="U27" s="43"/>
    </row>
    <row r="28" spans="1:21" s="11" customFormat="1" ht="15">
      <c r="A28" s="57" t="s">
        <v>369</v>
      </c>
      <c r="B28" s="58">
        <v>39.270000000000003</v>
      </c>
      <c r="C28" s="58">
        <v>110.35</v>
      </c>
      <c r="D28" s="58">
        <v>93.04</v>
      </c>
      <c r="E28" s="58">
        <v>8.32</v>
      </c>
      <c r="F28" s="58">
        <v>33.11</v>
      </c>
      <c r="G28" s="58">
        <v>120.29</v>
      </c>
      <c r="H28" s="58">
        <v>34.29</v>
      </c>
      <c r="I28" s="58">
        <v>0.81</v>
      </c>
      <c r="J28" s="58">
        <v>1.29</v>
      </c>
      <c r="K28" s="58">
        <v>164.33</v>
      </c>
      <c r="L28" s="58">
        <v>32.15</v>
      </c>
      <c r="M28" s="58">
        <v>35.11</v>
      </c>
      <c r="N28" s="58">
        <v>5.20</v>
      </c>
      <c r="O28" s="58">
        <v>0</v>
      </c>
      <c r="P28" s="58">
        <v>1.52</v>
      </c>
      <c r="Q28" s="58">
        <v>14.02</v>
      </c>
      <c r="R28" s="43"/>
      <c r="S28" s="43"/>
      <c r="T28" s="43"/>
      <c r="U28" s="43"/>
    </row>
    <row r="29" spans="1:21" s="11" customFormat="1" ht="15">
      <c r="A29" s="57" t="s">
        <v>370</v>
      </c>
      <c r="B29" s="58">
        <v>20.63</v>
      </c>
      <c r="C29" s="58">
        <v>109.55</v>
      </c>
      <c r="D29" s="58">
        <v>77.650000000000006</v>
      </c>
      <c r="E29" s="58">
        <v>14.49</v>
      </c>
      <c r="F29" s="58">
        <v>16.989999999999998</v>
      </c>
      <c r="G29" s="58">
        <v>134.91999999999999</v>
      </c>
      <c r="H29" s="58">
        <v>38.96</v>
      </c>
      <c r="I29" s="58">
        <v>0.74</v>
      </c>
      <c r="J29" s="58">
        <v>0.86</v>
      </c>
      <c r="K29" s="58">
        <v>262.52</v>
      </c>
      <c r="L29" s="58">
        <v>32.33</v>
      </c>
      <c r="M29" s="58">
        <v>30.90</v>
      </c>
      <c r="N29" s="58">
        <v>5.80</v>
      </c>
      <c r="O29" s="58">
        <v>0</v>
      </c>
      <c r="P29" s="58">
        <v>1.91</v>
      </c>
      <c r="Q29" s="58">
        <v>10.84</v>
      </c>
      <c r="R29" s="43"/>
      <c r="S29" s="43"/>
      <c r="T29" s="43"/>
      <c r="U29" s="43"/>
    </row>
    <row r="30" spans="1:21" s="11" customFormat="1" ht="15">
      <c r="A30" s="57" t="s">
        <v>371</v>
      </c>
      <c r="B30" s="58">
        <v>80.39</v>
      </c>
      <c r="C30" s="58">
        <v>119.01</v>
      </c>
      <c r="D30" s="58">
        <v>130.79</v>
      </c>
      <c r="E30" s="58">
        <v>16.04</v>
      </c>
      <c r="F30" s="58">
        <v>19.86</v>
      </c>
      <c r="G30" s="58">
        <v>160.96</v>
      </c>
      <c r="H30" s="58">
        <v>47.12</v>
      </c>
      <c r="I30" s="58">
        <v>0.97</v>
      </c>
      <c r="J30" s="58">
        <v>0.18</v>
      </c>
      <c r="K30" s="58">
        <v>161.75</v>
      </c>
      <c r="L30" s="58">
        <v>29.79</v>
      </c>
      <c r="M30" s="58">
        <v>40.10</v>
      </c>
      <c r="N30" s="58">
        <v>5.20</v>
      </c>
      <c r="O30" s="58">
        <v>0</v>
      </c>
      <c r="P30" s="58">
        <v>2.91</v>
      </c>
      <c r="Q30" s="58">
        <v>10.02</v>
      </c>
      <c r="R30" s="43"/>
      <c r="S30" s="43"/>
      <c r="T30" s="43"/>
      <c r="U30" s="43"/>
    </row>
    <row r="31" spans="1:21" s="11" customFormat="1" ht="15">
      <c r="A31" s="57" t="s">
        <v>372</v>
      </c>
      <c r="B31" s="58">
        <v>103.81</v>
      </c>
      <c r="C31" s="58">
        <v>109.34</v>
      </c>
      <c r="D31" s="58">
        <v>144.24</v>
      </c>
      <c r="E31" s="58">
        <v>10.5</v>
      </c>
      <c r="F31" s="58">
        <v>4.09</v>
      </c>
      <c r="G31" s="58">
        <v>160.96</v>
      </c>
      <c r="H31" s="58">
        <v>56.77</v>
      </c>
      <c r="I31" s="58">
        <v>1.17</v>
      </c>
      <c r="J31" s="58">
        <v>0.21</v>
      </c>
      <c r="K31" s="58">
        <v>345.86</v>
      </c>
      <c r="L31" s="58">
        <v>27.90</v>
      </c>
      <c r="M31" s="58">
        <v>45.83</v>
      </c>
      <c r="N31" s="58">
        <v>5</v>
      </c>
      <c r="O31" s="58">
        <v>0</v>
      </c>
      <c r="P31" s="58">
        <v>2.42</v>
      </c>
      <c r="Q31" s="58">
        <v>25.21</v>
      </c>
      <c r="R31" s="43"/>
      <c r="S31" s="43"/>
      <c r="T31" s="43"/>
      <c r="U31" s="43"/>
    </row>
    <row r="32" spans="1:21" s="11" customFormat="1" ht="15">
      <c r="A32" s="57" t="s">
        <v>373</v>
      </c>
      <c r="B32" s="58">
        <v>44.72</v>
      </c>
      <c r="C32" s="58">
        <v>83.27</v>
      </c>
      <c r="D32" s="58">
        <v>82.46</v>
      </c>
      <c r="E32" s="58">
        <v>6.68</v>
      </c>
      <c r="F32" s="58">
        <v>16.16</v>
      </c>
      <c r="G32" s="58">
        <v>179.21</v>
      </c>
      <c r="H32" s="58">
        <v>59.87</v>
      </c>
      <c r="I32" s="58">
        <v>0.99</v>
      </c>
      <c r="J32" s="58">
        <v>0.18</v>
      </c>
      <c r="K32" s="58">
        <v>343.28</v>
      </c>
      <c r="L32" s="58">
        <v>28.03</v>
      </c>
      <c r="M32" s="58">
        <v>41.28</v>
      </c>
      <c r="N32" s="58">
        <v>5</v>
      </c>
      <c r="O32" s="58">
        <v>0</v>
      </c>
      <c r="P32" s="58">
        <v>1.92</v>
      </c>
      <c r="Q32" s="58">
        <v>28.60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1.76</v>
      </c>
      <c r="C34" s="28">
        <f t="shared" si="0"/>
        <v>46.520000000000003</v>
      </c>
      <c r="D34" s="28">
        <f t="shared" si="0"/>
        <v>27.640000000000001</v>
      </c>
      <c r="E34" s="28">
        <f t="shared" si="0"/>
        <v>2.71</v>
      </c>
      <c r="F34" s="28">
        <f t="shared" si="0"/>
        <v>3.0299999999999998</v>
      </c>
      <c r="G34" s="28">
        <f t="shared" si="0"/>
        <v>62.770000000000003</v>
      </c>
      <c r="H34" s="28">
        <f t="shared" si="0"/>
        <v>29.399999999999999</v>
      </c>
      <c r="I34" s="28">
        <f t="shared" si="0"/>
        <v>0.57999999999999996</v>
      </c>
      <c r="J34" s="28">
        <f t="shared" si="0"/>
        <v>0.089999999999999997</v>
      </c>
      <c r="K34" s="28">
        <f t="shared" si="0"/>
        <v>161.75</v>
      </c>
      <c r="L34" s="28">
        <f t="shared" si="0"/>
        <v>23.030000000000001</v>
      </c>
      <c r="M34" s="28">
        <f t="shared" si="0"/>
        <v>19.079999999999998</v>
      </c>
      <c r="N34" s="28">
        <f t="shared" si="0"/>
        <v>4.7999999999999998</v>
      </c>
      <c r="O34" s="28">
        <f t="shared" si="0"/>
        <v>0</v>
      </c>
      <c r="P34" s="28">
        <f t="shared" si="0"/>
        <v>0.69999999999999996</v>
      </c>
      <c r="Q34" s="28">
        <f t="shared" si="0"/>
        <v>0.97999999999999998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124.67</v>
      </c>
      <c r="C35" s="29">
        <f t="shared" si="1"/>
        <v>119.01000000000001</v>
      </c>
      <c r="D35" s="29">
        <f t="shared" si="1"/>
        <v>150.59</v>
      </c>
      <c r="E35" s="29">
        <f t="shared" si="1"/>
        <v>16.039999999999999</v>
      </c>
      <c r="F35" s="29">
        <f t="shared" si="1"/>
        <v>62.82</v>
      </c>
      <c r="G35" s="29">
        <f t="shared" si="1"/>
        <v>207.31999999999999</v>
      </c>
      <c r="H35" s="29">
        <f t="shared" si="1"/>
        <v>67.299999999999997</v>
      </c>
      <c r="I35" s="29">
        <f t="shared" si="1"/>
        <v>1.1699999999999999</v>
      </c>
      <c r="J35" s="29">
        <f t="shared" si="1"/>
        <v>1.6299999999999999</v>
      </c>
      <c r="K35" s="29">
        <f t="shared" si="1"/>
        <v>358.24000000000001</v>
      </c>
      <c r="L35" s="29">
        <f t="shared" si="1"/>
        <v>39.469999999999999</v>
      </c>
      <c r="M35" s="29">
        <f t="shared" si="1"/>
        <v>60.43</v>
      </c>
      <c r="N35" s="29">
        <f t="shared" si="1"/>
        <v>786.5</v>
      </c>
      <c r="O35" s="29">
        <f t="shared" si="1"/>
        <v>0</v>
      </c>
      <c r="P35" s="29">
        <f t="shared" si="1"/>
        <v>2.9100000000000001</v>
      </c>
      <c r="Q35" s="29">
        <f t="shared" si="1"/>
        <v>35.890000000000001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39.649999999999999</v>
      </c>
      <c r="C36" s="28">
        <f t="shared" si="2"/>
        <v>78.282499999999985</v>
      </c>
      <c r="D36" s="28">
        <f t="shared" si="2"/>
        <v>74.937083333333348</v>
      </c>
      <c r="E36" s="28">
        <f t="shared" si="2"/>
        <v>8.4145833333333346</v>
      </c>
      <c r="F36" s="28">
        <f t="shared" si="2"/>
        <v>20.960416666666671</v>
      </c>
      <c r="G36" s="28">
        <f t="shared" si="2"/>
        <v>135.44708333333332</v>
      </c>
      <c r="H36" s="28">
        <f t="shared" si="2"/>
        <v>45.416666666666664</v>
      </c>
      <c r="I36" s="28">
        <f t="shared" si="2"/>
        <v>0.80958333333333321</v>
      </c>
      <c r="J36" s="28">
        <f t="shared" si="2"/>
        <v>0.50666666666666671</v>
      </c>
      <c r="K36" s="28">
        <f t="shared" si="2"/>
        <v>282.0333333333333</v>
      </c>
      <c r="L36" s="28">
        <f t="shared" si="2"/>
        <v>31.149166666666659</v>
      </c>
      <c r="M36" s="28">
        <f t="shared" si="2"/>
        <v>36.971666666666671</v>
      </c>
      <c r="N36" s="28">
        <f t="shared" si="2"/>
        <v>237.02500000000006</v>
      </c>
      <c r="O36" s="28">
        <f t="shared" si="2"/>
        <v>0</v>
      </c>
      <c r="P36" s="28">
        <f t="shared" si="2"/>
        <v>1.4891666666666665</v>
      </c>
      <c r="Q36" s="28">
        <f t="shared" si="2"/>
        <v>18.452499999999997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35.372839248804148</v>
      </c>
      <c r="C37" s="28">
        <f t="shared" si="3" ref="C37:Q37">STDEV(C9:C32)</f>
        <v>20.692670882727356</v>
      </c>
      <c r="D37" s="28">
        <f t="shared" si="3"/>
        <v>35.465408435135963</v>
      </c>
      <c r="E37" s="28">
        <f t="shared" si="3"/>
        <v>3.8330496193054895</v>
      </c>
      <c r="F37" s="28">
        <f t="shared" si="3"/>
        <v>16.483925893497538</v>
      </c>
      <c r="G37" s="28">
        <f t="shared" si="3"/>
        <v>39.663024559533362</v>
      </c>
      <c r="H37" s="28">
        <f t="shared" si="3"/>
        <v>10.596460716208268</v>
      </c>
      <c r="I37" s="28">
        <f t="shared" si="3"/>
        <v>0.18049398801662384</v>
      </c>
      <c r="J37" s="28">
        <f t="shared" si="3"/>
        <v>0.42299826977410221</v>
      </c>
      <c r="K37" s="28">
        <f t="shared" si="3"/>
        <v>68.913791871765071</v>
      </c>
      <c r="L37" s="28">
        <f t="shared" si="3"/>
        <v>5.374470988459942</v>
      </c>
      <c r="M37" s="28">
        <f t="shared" si="3"/>
        <v>12.714571122950987</v>
      </c>
      <c r="N37" s="28">
        <f t="shared" si="3"/>
        <v>304.02981868917703</v>
      </c>
      <c r="O37" s="28">
        <f t="shared" si="3"/>
        <v>0</v>
      </c>
      <c r="P37" s="28">
        <f t="shared" si="3"/>
        <v>0.49989491649368911</v>
      </c>
      <c r="Q37" s="28">
        <f t="shared" si="3"/>
        <v>11.796016000254525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58eabd-b939-45a9-9c4a-3222dd62639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83" sqref="F8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374</v>
      </c>
      <c r="B9" s="58">
        <v>15.03</v>
      </c>
      <c r="C9" s="58">
        <v>55.64</v>
      </c>
      <c r="D9" s="58">
        <v>43.41</v>
      </c>
      <c r="E9" s="58">
        <v>7.72</v>
      </c>
      <c r="F9" s="58">
        <v>35.08</v>
      </c>
      <c r="G9" s="58">
        <v>160.24</v>
      </c>
      <c r="H9" s="58">
        <v>57.97</v>
      </c>
      <c r="I9" s="58">
        <v>0.79</v>
      </c>
      <c r="J9" s="58">
        <v>0.11</v>
      </c>
      <c r="K9" s="58">
        <v>356.08</v>
      </c>
      <c r="L9" s="58">
        <v>26.87</v>
      </c>
      <c r="M9" s="58">
        <v>40.97</v>
      </c>
      <c r="N9" s="58">
        <v>4.5999999999999996</v>
      </c>
      <c r="O9" s="58">
        <v>0</v>
      </c>
      <c r="P9" s="58">
        <v>1.1399999999999999</v>
      </c>
      <c r="Q9" s="58">
        <v>16.09</v>
      </c>
      <c r="R9" s="43"/>
      <c r="S9" s="43"/>
      <c r="T9" s="43"/>
      <c r="U9" s="43"/>
    </row>
    <row r="10" spans="1:21" s="11" customFormat="1" ht="15">
      <c r="A10" s="57" t="s">
        <v>375</v>
      </c>
      <c r="B10" s="58">
        <v>13.49</v>
      </c>
      <c r="C10" s="58">
        <v>46.53</v>
      </c>
      <c r="D10" s="58">
        <v>37.14</v>
      </c>
      <c r="E10" s="58">
        <v>5.49</v>
      </c>
      <c r="F10" s="58">
        <v>30.84</v>
      </c>
      <c r="G10" s="58">
        <v>88.22</v>
      </c>
      <c r="H10" s="58">
        <v>46.77</v>
      </c>
      <c r="I10" s="58">
        <v>0.65</v>
      </c>
      <c r="J10" s="58">
        <v>0.14000000000000001</v>
      </c>
      <c r="K10" s="58">
        <v>341.13</v>
      </c>
      <c r="L10" s="58">
        <v>26.58</v>
      </c>
      <c r="M10" s="58">
        <v>43.52</v>
      </c>
      <c r="N10" s="58">
        <v>4.5999999999999996</v>
      </c>
      <c r="O10" s="58">
        <v>0</v>
      </c>
      <c r="P10" s="58">
        <v>1.07</v>
      </c>
      <c r="Q10" s="58">
        <v>9.0500000000000007</v>
      </c>
      <c r="R10" s="43"/>
      <c r="S10" s="43"/>
      <c r="T10" s="43"/>
      <c r="U10" s="43"/>
    </row>
    <row r="11" spans="1:21" s="11" customFormat="1" ht="15">
      <c r="A11" s="57" t="s">
        <v>376</v>
      </c>
      <c r="B11" s="58">
        <v>12.32</v>
      </c>
      <c r="C11" s="58">
        <v>52.60</v>
      </c>
      <c r="D11" s="58">
        <v>38.33</v>
      </c>
      <c r="E11" s="58">
        <v>2.94</v>
      </c>
      <c r="F11" s="58">
        <v>11.19</v>
      </c>
      <c r="G11" s="58">
        <v>87.59</v>
      </c>
      <c r="H11" s="58">
        <v>41.26</v>
      </c>
      <c r="I11" s="58">
        <v>0.72</v>
      </c>
      <c r="J11" s="58">
        <v>0.10</v>
      </c>
      <c r="K11" s="58">
        <v>326.08999999999997</v>
      </c>
      <c r="L11" s="58">
        <v>25.90</v>
      </c>
      <c r="M11" s="58">
        <v>47.77</v>
      </c>
      <c r="N11" s="58">
        <v>4.9000000000000004</v>
      </c>
      <c r="O11" s="58">
        <v>0</v>
      </c>
      <c r="P11" s="58">
        <v>1.17</v>
      </c>
      <c r="Q11" s="58">
        <v>8.83</v>
      </c>
      <c r="R11" s="43"/>
      <c r="S11" s="43"/>
      <c r="T11" s="43"/>
      <c r="U11" s="43"/>
    </row>
    <row r="12" spans="1:21" s="11" customFormat="1" ht="15">
      <c r="A12" s="57" t="s">
        <v>377</v>
      </c>
      <c r="B12" s="58">
        <v>3.89</v>
      </c>
      <c r="C12" s="58">
        <v>52.04</v>
      </c>
      <c r="D12" s="58">
        <v>32.49</v>
      </c>
      <c r="E12" s="58">
        <v>1.99</v>
      </c>
      <c r="F12" s="58">
        <v>23.86</v>
      </c>
      <c r="G12" s="58">
        <v>81.87</v>
      </c>
      <c r="H12" s="58">
        <v>34.14</v>
      </c>
      <c r="I12" s="58">
        <v>0.63</v>
      </c>
      <c r="J12" s="58">
        <v>0.36</v>
      </c>
      <c r="K12" s="58">
        <v>269.51</v>
      </c>
      <c r="L12" s="58">
        <v>25.61</v>
      </c>
      <c r="M12" s="58">
        <v>49.91</v>
      </c>
      <c r="N12" s="58">
        <v>4.9000000000000004</v>
      </c>
      <c r="O12" s="58">
        <v>0</v>
      </c>
      <c r="P12" s="58">
        <v>0.96</v>
      </c>
      <c r="Q12" s="58">
        <v>6.30</v>
      </c>
      <c r="R12" s="43"/>
      <c r="S12" s="43"/>
      <c r="T12" s="43"/>
      <c r="U12" s="43"/>
    </row>
    <row r="13" spans="1:21" s="11" customFormat="1" ht="15">
      <c r="A13" s="57" t="s">
        <v>378</v>
      </c>
      <c r="B13" s="58">
        <v>3.13</v>
      </c>
      <c r="C13" s="58">
        <v>39.07</v>
      </c>
      <c r="D13" s="58">
        <v>24.34</v>
      </c>
      <c r="E13" s="58">
        <v>3.81</v>
      </c>
      <c r="F13" s="58">
        <v>23.37</v>
      </c>
      <c r="G13" s="58">
        <v>75.459999999999994</v>
      </c>
      <c r="H13" s="58">
        <v>33.229999999999997</v>
      </c>
      <c r="I13" s="58">
        <v>0.55000000000000004</v>
      </c>
      <c r="J13" s="58">
        <v>0.28999999999999998</v>
      </c>
      <c r="K13" s="58">
        <v>275.86</v>
      </c>
      <c r="L13" s="58">
        <v>24.46</v>
      </c>
      <c r="M13" s="58">
        <v>50</v>
      </c>
      <c r="N13" s="58">
        <v>4.70</v>
      </c>
      <c r="O13" s="58">
        <v>0</v>
      </c>
      <c r="P13" s="58">
        <v>0.70</v>
      </c>
      <c r="Q13" s="58">
        <v>0.01</v>
      </c>
      <c r="R13" s="43"/>
      <c r="S13" s="43"/>
      <c r="T13" s="43"/>
      <c r="U13" s="43"/>
    </row>
    <row r="14" spans="1:21" s="11" customFormat="1" ht="15">
      <c r="A14" s="57" t="s">
        <v>379</v>
      </c>
      <c r="B14" s="58">
        <v>6.94</v>
      </c>
      <c r="C14" s="58">
        <v>46.45</v>
      </c>
      <c r="D14" s="58">
        <v>31.85</v>
      </c>
      <c r="E14" s="58">
        <v>4.08</v>
      </c>
      <c r="F14" s="58">
        <v>15.60</v>
      </c>
      <c r="G14" s="58">
        <v>80.760000000000005</v>
      </c>
      <c r="H14" s="58">
        <v>28.38</v>
      </c>
      <c r="I14" s="58">
        <v>0.56999999999999995</v>
      </c>
      <c r="J14" s="58">
        <v>0.24</v>
      </c>
      <c r="K14" s="58">
        <v>312.83999999999997</v>
      </c>
      <c r="L14" s="58">
        <v>24.35</v>
      </c>
      <c r="M14" s="58">
        <v>52.79</v>
      </c>
      <c r="N14" s="58">
        <v>14.90</v>
      </c>
      <c r="O14" s="58">
        <v>0</v>
      </c>
      <c r="P14" s="58">
        <v>0.78</v>
      </c>
      <c r="Q14" s="58">
        <v>4.5199999999999996</v>
      </c>
      <c r="R14" s="43"/>
      <c r="S14" s="43"/>
      <c r="T14" s="43"/>
      <c r="U14" s="43"/>
    </row>
    <row r="15" spans="1:21" s="11" customFormat="1" ht="15">
      <c r="A15" s="57" t="s">
        <v>380</v>
      </c>
      <c r="B15" s="58">
        <v>4.91</v>
      </c>
      <c r="C15" s="58">
        <v>52.18</v>
      </c>
      <c r="D15" s="58">
        <v>33.21</v>
      </c>
      <c r="E15" s="58">
        <v>2.61</v>
      </c>
      <c r="F15" s="58">
        <v>4.28</v>
      </c>
      <c r="G15" s="58">
        <v>78.92</v>
      </c>
      <c r="H15" s="58">
        <v>26.30</v>
      </c>
      <c r="I15" s="58">
        <v>0.62</v>
      </c>
      <c r="J15" s="58">
        <v>0.51</v>
      </c>
      <c r="K15" s="58">
        <v>241.07</v>
      </c>
      <c r="L15" s="58">
        <v>24.82</v>
      </c>
      <c r="M15" s="58">
        <v>52.08</v>
      </c>
      <c r="N15" s="58">
        <v>118.30</v>
      </c>
      <c r="O15" s="58">
        <v>0</v>
      </c>
      <c r="P15" s="58">
        <v>0.76</v>
      </c>
      <c r="Q15" s="58">
        <v>7.06</v>
      </c>
      <c r="R15" s="43"/>
      <c r="S15" s="43"/>
      <c r="T15" s="43"/>
      <c r="U15" s="43"/>
    </row>
    <row r="16" spans="1:21" s="11" customFormat="1" ht="15">
      <c r="A16" s="57" t="s">
        <v>381</v>
      </c>
      <c r="B16" s="58">
        <v>3.90</v>
      </c>
      <c r="C16" s="58">
        <v>51.82</v>
      </c>
      <c r="D16" s="58">
        <v>32.369999999999997</v>
      </c>
      <c r="E16" s="58">
        <v>2.4500000000000002</v>
      </c>
      <c r="F16" s="58">
        <v>7.47</v>
      </c>
      <c r="G16" s="58">
        <v>67.95</v>
      </c>
      <c r="H16" s="58">
        <v>27.88</v>
      </c>
      <c r="I16" s="58">
        <v>0.59</v>
      </c>
      <c r="J16" s="58">
        <v>1.18</v>
      </c>
      <c r="K16" s="58">
        <v>231.10</v>
      </c>
      <c r="L16" s="58">
        <v>26.70</v>
      </c>
      <c r="M16" s="58">
        <v>50.20</v>
      </c>
      <c r="N16" s="58">
        <v>349.30</v>
      </c>
      <c r="O16" s="58">
        <v>0</v>
      </c>
      <c r="P16" s="58">
        <v>0.83</v>
      </c>
      <c r="Q16" s="58">
        <v>5.27</v>
      </c>
      <c r="R16" s="43"/>
      <c r="S16" s="43"/>
      <c r="T16" s="43"/>
      <c r="U16" s="43"/>
    </row>
    <row r="17" spans="1:21" s="11" customFormat="1" ht="15">
      <c r="A17" s="57" t="s">
        <v>382</v>
      </c>
      <c r="B17" s="58">
        <v>4.17</v>
      </c>
      <c r="C17" s="58">
        <v>47.84</v>
      </c>
      <c r="D17" s="58">
        <v>29.84</v>
      </c>
      <c r="E17" s="58">
        <v>1.95</v>
      </c>
      <c r="F17" s="58">
        <v>12.55</v>
      </c>
      <c r="G17" s="58">
        <v>70.72</v>
      </c>
      <c r="H17" s="58">
        <v>29.41</v>
      </c>
      <c r="I17" s="58">
        <v>0.55000000000000004</v>
      </c>
      <c r="J17" s="58">
        <v>0.70</v>
      </c>
      <c r="K17" s="58">
        <v>245.34</v>
      </c>
      <c r="L17" s="58">
        <v>30.68</v>
      </c>
      <c r="M17" s="58">
        <v>44.89</v>
      </c>
      <c r="N17" s="58">
        <v>546</v>
      </c>
      <c r="O17" s="58">
        <v>0</v>
      </c>
      <c r="P17" s="58">
        <v>0.86</v>
      </c>
      <c r="Q17" s="5" t="s">
        <v>14</v>
      </c>
      <c r="R17" s="43"/>
      <c r="S17" s="43"/>
      <c r="T17" s="43"/>
      <c r="U17" s="43"/>
    </row>
    <row r="18" spans="1:21" s="11" customFormat="1" ht="15">
      <c r="A18" s="57" t="s">
        <v>383</v>
      </c>
      <c r="B18" s="58">
        <v>3.29</v>
      </c>
      <c r="C18" s="58">
        <v>50.04</v>
      </c>
      <c r="D18" s="58">
        <v>29.92</v>
      </c>
      <c r="E18" s="58">
        <v>1.57</v>
      </c>
      <c r="F18" s="58">
        <v>11.04</v>
      </c>
      <c r="G18" s="58">
        <v>100.27</v>
      </c>
      <c r="H18" s="58">
        <v>29.22</v>
      </c>
      <c r="I18" s="58">
        <v>0.55000000000000004</v>
      </c>
      <c r="J18" s="58">
        <v>0.33</v>
      </c>
      <c r="K18" s="58">
        <v>359.63</v>
      </c>
      <c r="L18" s="58">
        <v>33.53</v>
      </c>
      <c r="M18" s="58">
        <v>34.450000000000003</v>
      </c>
      <c r="N18" s="58">
        <v>703.80</v>
      </c>
      <c r="O18" s="58">
        <v>0</v>
      </c>
      <c r="P18" s="58">
        <v>0.85</v>
      </c>
      <c r="Q18" s="58">
        <v>0.87</v>
      </c>
      <c r="R18" s="43"/>
      <c r="S18" s="43"/>
      <c r="T18" s="43"/>
      <c r="U18" s="43"/>
    </row>
    <row r="19" spans="1:21" s="11" customFormat="1" ht="15">
      <c r="A19" s="57" t="s">
        <v>384</v>
      </c>
      <c r="B19" s="58">
        <v>3.40</v>
      </c>
      <c r="C19" s="58">
        <v>98.57</v>
      </c>
      <c r="D19" s="58">
        <v>57.77</v>
      </c>
      <c r="E19" s="58">
        <v>9.9600000000000009</v>
      </c>
      <c r="F19" s="58">
        <v>53.83</v>
      </c>
      <c r="G19" s="58">
        <v>95.30</v>
      </c>
      <c r="H19" s="58">
        <v>31.77</v>
      </c>
      <c r="I19" s="58">
        <v>0.53</v>
      </c>
      <c r="J19" s="58">
        <v>0.22</v>
      </c>
      <c r="K19" s="58">
        <v>303.69</v>
      </c>
      <c r="L19" s="58">
        <v>36.229999999999997</v>
      </c>
      <c r="M19" s="58">
        <v>27.63</v>
      </c>
      <c r="N19" s="58">
        <v>797.60</v>
      </c>
      <c r="O19" s="58">
        <v>0</v>
      </c>
      <c r="P19" s="58">
        <v>1.02</v>
      </c>
      <c r="Q19" s="58">
        <v>24.70</v>
      </c>
      <c r="R19" s="43"/>
      <c r="S19" s="43"/>
      <c r="T19" s="43"/>
      <c r="U19" s="43"/>
    </row>
    <row r="20" spans="1:21" s="11" customFormat="1" ht="15">
      <c r="A20" s="57" t="s">
        <v>385</v>
      </c>
      <c r="B20" s="58">
        <v>3.25</v>
      </c>
      <c r="C20" s="58">
        <v>61.53</v>
      </c>
      <c r="D20" s="58">
        <v>37.21</v>
      </c>
      <c r="E20" s="58">
        <v>20.25</v>
      </c>
      <c r="F20" s="58">
        <v>71.81</v>
      </c>
      <c r="G20" s="58">
        <v>65.78</v>
      </c>
      <c r="H20" s="58">
        <v>31.76</v>
      </c>
      <c r="I20" s="58">
        <v>0.56000000000000005</v>
      </c>
      <c r="J20" s="58">
        <v>0.61</v>
      </c>
      <c r="K20" s="58">
        <v>26.68</v>
      </c>
      <c r="L20" s="58">
        <v>40.049999999999997</v>
      </c>
      <c r="M20" s="58">
        <v>20.99</v>
      </c>
      <c r="N20" s="58">
        <v>808.30</v>
      </c>
      <c r="O20" s="58">
        <v>0</v>
      </c>
      <c r="P20" s="58">
        <v>1.1399999999999999</v>
      </c>
      <c r="Q20" s="58">
        <v>16.920000000000002</v>
      </c>
      <c r="R20" s="43"/>
      <c r="S20" s="43"/>
      <c r="T20" s="43"/>
      <c r="U20" s="43"/>
    </row>
    <row r="21" spans="1:21" s="11" customFormat="1" ht="15">
      <c r="A21" s="57" t="s">
        <v>386</v>
      </c>
      <c r="B21" s="58">
        <v>6.85</v>
      </c>
      <c r="C21" s="58">
        <v>53.09</v>
      </c>
      <c r="D21" s="58">
        <v>33.90</v>
      </c>
      <c r="E21" s="58">
        <v>5.49</v>
      </c>
      <c r="F21" s="58">
        <v>45.28</v>
      </c>
      <c r="G21" s="58">
        <v>63.79</v>
      </c>
      <c r="H21" s="58">
        <v>31.28</v>
      </c>
      <c r="I21" s="58">
        <v>0.56999999999999995</v>
      </c>
      <c r="J21" s="58">
        <v>1.1499999999999999</v>
      </c>
      <c r="K21" s="58">
        <v>27.56</v>
      </c>
      <c r="L21" s="58">
        <v>42.07</v>
      </c>
      <c r="M21" s="58">
        <v>15.86</v>
      </c>
      <c r="N21" s="58">
        <v>787.5</v>
      </c>
      <c r="O21" s="58">
        <v>0</v>
      </c>
      <c r="P21" s="58">
        <v>0.98</v>
      </c>
      <c r="Q21" s="58">
        <v>15.59</v>
      </c>
      <c r="R21" s="43"/>
      <c r="S21" s="43"/>
      <c r="T21" s="43"/>
      <c r="U21" s="43"/>
    </row>
    <row r="22" spans="1:21" s="11" customFormat="1" ht="15">
      <c r="A22" s="57" t="s">
        <v>387</v>
      </c>
      <c r="B22" s="58">
        <v>4.21</v>
      </c>
      <c r="C22" s="58">
        <v>53.55</v>
      </c>
      <c r="D22" s="58">
        <v>33.090000000000003</v>
      </c>
      <c r="E22" s="58">
        <v>7.57</v>
      </c>
      <c r="F22" s="58">
        <v>54.32</v>
      </c>
      <c r="G22" s="58">
        <v>49.22</v>
      </c>
      <c r="H22" s="58">
        <v>28.07</v>
      </c>
      <c r="I22" s="58">
        <v>0.57999999999999996</v>
      </c>
      <c r="J22" s="58">
        <v>0.86</v>
      </c>
      <c r="K22" s="58">
        <v>33.36</v>
      </c>
      <c r="L22" s="58">
        <v>41.75</v>
      </c>
      <c r="M22" s="58">
        <v>13.16</v>
      </c>
      <c r="N22" s="58">
        <v>629.40</v>
      </c>
      <c r="O22" s="58">
        <v>0</v>
      </c>
      <c r="P22" s="58">
        <v>0.83</v>
      </c>
      <c r="Q22" s="58">
        <v>12.85</v>
      </c>
      <c r="R22" s="43"/>
      <c r="S22" s="43"/>
      <c r="T22" s="43"/>
      <c r="U22" s="43"/>
    </row>
    <row r="23" spans="1:21" s="11" customFormat="1" ht="15">
      <c r="A23" s="57" t="s">
        <v>388</v>
      </c>
      <c r="B23" s="58">
        <v>4.7699999999999996</v>
      </c>
      <c r="C23" s="58">
        <v>50.78</v>
      </c>
      <c r="D23" s="58">
        <v>31.93</v>
      </c>
      <c r="E23" s="58">
        <v>7.11</v>
      </c>
      <c r="F23" s="58">
        <v>54.54</v>
      </c>
      <c r="G23" s="56" t="s">
        <v>15</v>
      </c>
      <c r="H23" s="56" t="s">
        <v>15</v>
      </c>
      <c r="I23" s="58">
        <v>0.59</v>
      </c>
      <c r="J23" s="58">
        <v>0.34</v>
      </c>
      <c r="K23" s="58">
        <v>125.01</v>
      </c>
      <c r="L23" s="58">
        <v>40.19</v>
      </c>
      <c r="M23" s="58">
        <v>14.38</v>
      </c>
      <c r="N23" s="58">
        <v>490.5</v>
      </c>
      <c r="O23" s="58">
        <v>0</v>
      </c>
      <c r="P23" s="58">
        <v>0.69</v>
      </c>
      <c r="Q23" s="58">
        <v>9.91</v>
      </c>
      <c r="R23" s="43"/>
      <c r="S23" s="43"/>
      <c r="T23" s="43"/>
      <c r="U23" s="43"/>
    </row>
    <row r="24" spans="1:21" s="11" customFormat="1" ht="15">
      <c r="A24" s="57" t="s">
        <v>389</v>
      </c>
      <c r="B24" s="58">
        <v>3.79</v>
      </c>
      <c r="C24" s="58">
        <v>48.61</v>
      </c>
      <c r="D24" s="58">
        <v>30.51</v>
      </c>
      <c r="E24" s="58">
        <v>7.19</v>
      </c>
      <c r="F24" s="58">
        <v>59.92</v>
      </c>
      <c r="G24" s="58">
        <v>39.130000000000003</v>
      </c>
      <c r="H24" s="58">
        <v>23.69</v>
      </c>
      <c r="I24" s="58">
        <v>0.62</v>
      </c>
      <c r="J24" s="58">
        <v>1.02</v>
      </c>
      <c r="K24" s="58">
        <v>191.96</v>
      </c>
      <c r="L24" s="58">
        <v>37.96</v>
      </c>
      <c r="M24" s="58">
        <v>18.59</v>
      </c>
      <c r="N24" s="58">
        <v>270.89999999999998</v>
      </c>
      <c r="O24" s="58">
        <v>0</v>
      </c>
      <c r="P24" s="58">
        <v>0.65</v>
      </c>
      <c r="Q24" s="58">
        <v>13.58</v>
      </c>
      <c r="R24" s="43"/>
      <c r="S24" s="43"/>
      <c r="T24" s="43"/>
      <c r="U24" s="43"/>
    </row>
    <row r="25" spans="1:21" s="11" customFormat="1" ht="15">
      <c r="A25" s="57" t="s">
        <v>390</v>
      </c>
      <c r="B25" s="58">
        <v>2.84</v>
      </c>
      <c r="C25" s="58">
        <v>66.959999999999994</v>
      </c>
      <c r="D25" s="58">
        <v>39.880000000000003</v>
      </c>
      <c r="E25" s="58">
        <v>6.04</v>
      </c>
      <c r="F25" s="58">
        <v>51.12</v>
      </c>
      <c r="G25" s="58">
        <v>37.409999999999997</v>
      </c>
      <c r="H25" s="58">
        <v>23.33</v>
      </c>
      <c r="I25" s="58">
        <v>0.61</v>
      </c>
      <c r="J25" s="58">
        <v>0.88</v>
      </c>
      <c r="K25" s="58">
        <v>248.99</v>
      </c>
      <c r="L25" s="58">
        <v>35.659999999999997</v>
      </c>
      <c r="M25" s="58">
        <v>24.97</v>
      </c>
      <c r="N25" s="58">
        <v>75.80</v>
      </c>
      <c r="O25" s="58">
        <v>0</v>
      </c>
      <c r="P25" s="58">
        <v>0.65</v>
      </c>
      <c r="Q25" s="58">
        <v>12.07</v>
      </c>
      <c r="R25" s="43"/>
      <c r="S25" s="43"/>
      <c r="T25" s="43"/>
      <c r="U25" s="43"/>
    </row>
    <row r="26" spans="1:21" s="11" customFormat="1" ht="15">
      <c r="A26" s="57" t="s">
        <v>391</v>
      </c>
      <c r="B26" s="58">
        <v>1.59</v>
      </c>
      <c r="C26" s="58">
        <v>60.64</v>
      </c>
      <c r="D26" s="58">
        <v>35.39</v>
      </c>
      <c r="E26" s="58">
        <v>11.99</v>
      </c>
      <c r="F26" s="58">
        <v>77.959999999999994</v>
      </c>
      <c r="G26" s="58">
        <v>80.02</v>
      </c>
      <c r="H26" s="58">
        <v>26.42</v>
      </c>
      <c r="I26" s="58">
        <v>0.61</v>
      </c>
      <c r="J26" s="58">
        <v>0.21</v>
      </c>
      <c r="K26" s="58">
        <v>310.32</v>
      </c>
      <c r="L26" s="58">
        <v>34</v>
      </c>
      <c r="M26" s="58">
        <v>25.68</v>
      </c>
      <c r="N26" s="58">
        <v>28.10</v>
      </c>
      <c r="O26" s="58">
        <v>0</v>
      </c>
      <c r="P26" s="58">
        <v>0.88</v>
      </c>
      <c r="Q26" s="58">
        <v>9.65</v>
      </c>
      <c r="R26" s="43"/>
      <c r="S26" s="43"/>
      <c r="T26" s="43"/>
      <c r="U26" s="43"/>
    </row>
    <row r="27" spans="1:21" s="11" customFormat="1" ht="15">
      <c r="A27" s="57" t="s">
        <v>392</v>
      </c>
      <c r="B27" s="58">
        <v>1.5</v>
      </c>
      <c r="C27" s="58">
        <v>60.14</v>
      </c>
      <c r="D27" s="58">
        <v>34.74</v>
      </c>
      <c r="E27" s="58">
        <v>12.78</v>
      </c>
      <c r="F27" s="58">
        <v>52.78</v>
      </c>
      <c r="G27" s="58">
        <v>76.70</v>
      </c>
      <c r="H27" s="58">
        <v>26.97</v>
      </c>
      <c r="I27" s="58">
        <v>0.57999999999999996</v>
      </c>
      <c r="J27" s="58">
        <v>0.36</v>
      </c>
      <c r="K27" s="58">
        <v>273.67</v>
      </c>
      <c r="L27" s="58">
        <v>33.18</v>
      </c>
      <c r="M27" s="58">
        <v>28.80</v>
      </c>
      <c r="N27" s="58">
        <v>5.70</v>
      </c>
      <c r="O27" s="58">
        <v>0</v>
      </c>
      <c r="P27" s="58">
        <v>1.01</v>
      </c>
      <c r="Q27" s="58">
        <v>12.67</v>
      </c>
      <c r="R27" s="43"/>
      <c r="S27" s="43"/>
      <c r="T27" s="43"/>
      <c r="U27" s="43"/>
    </row>
    <row r="28" spans="1:21" s="11" customFormat="1" ht="15">
      <c r="A28" s="57" t="s">
        <v>393</v>
      </c>
      <c r="B28" s="58">
        <v>11.14</v>
      </c>
      <c r="C28" s="58">
        <v>85.89</v>
      </c>
      <c r="D28" s="58">
        <v>56.98</v>
      </c>
      <c r="E28" s="58">
        <v>6.74</v>
      </c>
      <c r="F28" s="58">
        <v>32.33</v>
      </c>
      <c r="G28" s="58">
        <v>79.08</v>
      </c>
      <c r="H28" s="58">
        <v>27.32</v>
      </c>
      <c r="I28" s="58">
        <v>0.57999999999999996</v>
      </c>
      <c r="J28" s="58">
        <v>0.30</v>
      </c>
      <c r="K28" s="58">
        <v>344.53</v>
      </c>
      <c r="L28" s="58">
        <v>31.93</v>
      </c>
      <c r="M28" s="58">
        <v>30.52</v>
      </c>
      <c r="N28" s="58">
        <v>5.0999999999999996</v>
      </c>
      <c r="O28" s="58">
        <v>0</v>
      </c>
      <c r="P28" s="58">
        <v>1.26</v>
      </c>
      <c r="Q28" s="58">
        <v>10.34</v>
      </c>
      <c r="R28" s="43"/>
      <c r="S28" s="43"/>
      <c r="T28" s="43"/>
      <c r="U28" s="43"/>
    </row>
    <row r="29" spans="1:21" s="11" customFormat="1" ht="15">
      <c r="A29" s="57" t="s">
        <v>394</v>
      </c>
      <c r="B29" s="58">
        <v>60.17</v>
      </c>
      <c r="C29" s="58">
        <v>98.5</v>
      </c>
      <c r="D29" s="58">
        <v>101.91</v>
      </c>
      <c r="E29" s="58">
        <v>6.75</v>
      </c>
      <c r="F29" s="58">
        <v>11.92</v>
      </c>
      <c r="G29" s="58">
        <v>111.61</v>
      </c>
      <c r="H29" s="58">
        <v>30.58</v>
      </c>
      <c r="I29" s="58">
        <v>0.87</v>
      </c>
      <c r="J29" s="58">
        <v>0.14000000000000001</v>
      </c>
      <c r="K29" s="58">
        <v>69.89</v>
      </c>
      <c r="L29" s="58">
        <v>31.10</v>
      </c>
      <c r="M29" s="58">
        <v>37.049999999999997</v>
      </c>
      <c r="N29" s="58">
        <v>5.5</v>
      </c>
      <c r="O29" s="58">
        <v>0</v>
      </c>
      <c r="P29" s="58">
        <v>2.82</v>
      </c>
      <c r="Q29" s="58">
        <v>18.940000000000001</v>
      </c>
      <c r="R29" s="43"/>
      <c r="S29" s="43"/>
      <c r="T29" s="43"/>
      <c r="U29" s="43"/>
    </row>
    <row r="30" spans="1:21" s="11" customFormat="1" ht="15">
      <c r="A30" s="57" t="s">
        <v>395</v>
      </c>
      <c r="B30" s="58">
        <v>125.96</v>
      </c>
      <c r="C30" s="58">
        <v>110.64</v>
      </c>
      <c r="D30" s="58">
        <v>162.71</v>
      </c>
      <c r="E30" s="58">
        <v>6.81</v>
      </c>
      <c r="F30" s="58">
        <v>4.18</v>
      </c>
      <c r="G30" s="58">
        <v>208.81</v>
      </c>
      <c r="H30" s="58">
        <v>37.10</v>
      </c>
      <c r="I30" s="58">
        <v>1.29</v>
      </c>
      <c r="J30" s="58">
        <v>0.20</v>
      </c>
      <c r="K30" s="58">
        <v>300.20</v>
      </c>
      <c r="L30" s="58">
        <v>29.22</v>
      </c>
      <c r="M30" s="58">
        <v>42.43</v>
      </c>
      <c r="N30" s="58">
        <v>5.20</v>
      </c>
      <c r="O30" s="58">
        <v>0</v>
      </c>
      <c r="P30" s="58">
        <v>3.38</v>
      </c>
      <c r="Q30" s="58">
        <v>24.88</v>
      </c>
      <c r="R30" s="43"/>
      <c r="S30" s="43"/>
      <c r="T30" s="43"/>
      <c r="U30" s="43"/>
    </row>
    <row r="31" spans="1:21" s="11" customFormat="1" ht="15">
      <c r="A31" s="57" t="s">
        <v>396</v>
      </c>
      <c r="B31" s="58">
        <v>60.61</v>
      </c>
      <c r="C31" s="58">
        <v>86.07</v>
      </c>
      <c r="D31" s="58">
        <v>96.42</v>
      </c>
      <c r="E31" s="58">
        <v>5.91</v>
      </c>
      <c r="F31" s="58">
        <v>5.28</v>
      </c>
      <c r="G31" s="58">
        <v>198.54</v>
      </c>
      <c r="H31" s="58">
        <v>43.78</v>
      </c>
      <c r="I31" s="58">
        <v>1.23</v>
      </c>
      <c r="J31" s="58">
        <v>0.10</v>
      </c>
      <c r="K31" s="58">
        <v>338.19</v>
      </c>
      <c r="L31" s="58">
        <v>28.59</v>
      </c>
      <c r="M31" s="58">
        <v>42.84</v>
      </c>
      <c r="N31" s="58">
        <v>4.9000000000000004</v>
      </c>
      <c r="O31" s="58">
        <v>0</v>
      </c>
      <c r="P31" s="58">
        <v>2.70</v>
      </c>
      <c r="Q31" s="58">
        <v>27.18</v>
      </c>
      <c r="R31" s="43"/>
      <c r="S31" s="43"/>
      <c r="T31" s="43"/>
      <c r="U31" s="43"/>
    </row>
    <row r="32" spans="1:21" s="11" customFormat="1" ht="15">
      <c r="A32" s="57" t="s">
        <v>397</v>
      </c>
      <c r="B32" s="58">
        <v>69.80</v>
      </c>
      <c r="C32" s="58">
        <v>84.04</v>
      </c>
      <c r="D32" s="58">
        <v>98.91</v>
      </c>
      <c r="E32" s="58">
        <v>9.07</v>
      </c>
      <c r="F32" s="58">
        <v>4.34</v>
      </c>
      <c r="G32" s="58">
        <v>136.81</v>
      </c>
      <c r="H32" s="58">
        <v>44.68</v>
      </c>
      <c r="I32" s="58">
        <v>1.1599999999999999</v>
      </c>
      <c r="J32" s="58">
        <v>0.13</v>
      </c>
      <c r="K32" s="58">
        <v>326.77999999999997</v>
      </c>
      <c r="L32" s="58">
        <v>27.56</v>
      </c>
      <c r="M32" s="58">
        <v>48.76</v>
      </c>
      <c r="N32" s="58">
        <v>5.0999999999999996</v>
      </c>
      <c r="O32" s="58">
        <v>0</v>
      </c>
      <c r="P32" s="58">
        <v>2.62</v>
      </c>
      <c r="Q32" s="58">
        <v>29.65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</v>
      </c>
      <c r="C34" s="28">
        <f t="shared" si="0"/>
        <v>39.07</v>
      </c>
      <c r="D34" s="28">
        <f t="shared" si="0"/>
        <v>24.34</v>
      </c>
      <c r="E34" s="28">
        <f t="shared" si="0"/>
        <v>1.5700000000000001</v>
      </c>
      <c r="F34" s="28">
        <f t="shared" si="0"/>
        <v>4.1799999999999997</v>
      </c>
      <c r="G34" s="28">
        <f t="shared" si="0"/>
        <v>37.409999999999997</v>
      </c>
      <c r="H34" s="28">
        <f t="shared" si="0"/>
        <v>23.329999999999998</v>
      </c>
      <c r="I34" s="28">
        <f t="shared" si="0"/>
        <v>0.53000000000000003</v>
      </c>
      <c r="J34" s="28">
        <f t="shared" si="0"/>
        <v>0.10000000000000001</v>
      </c>
      <c r="K34" s="28">
        <f t="shared" si="0"/>
        <v>26.68</v>
      </c>
      <c r="L34" s="28">
        <f t="shared" si="0"/>
        <v>24.350000000000001</v>
      </c>
      <c r="M34" s="28">
        <f t="shared" si="0"/>
        <v>13.16</v>
      </c>
      <c r="N34" s="28">
        <f t="shared" si="0"/>
        <v>4.5999999999999996</v>
      </c>
      <c r="O34" s="28">
        <f t="shared" si="0"/>
        <v>0</v>
      </c>
      <c r="P34" s="28">
        <f t="shared" si="0"/>
        <v>0.65000000000000002</v>
      </c>
      <c r="Q34" s="28">
        <f t="shared" si="0"/>
        <v>0.01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125.95999999999999</v>
      </c>
      <c r="C35" s="29">
        <f t="shared" si="1"/>
        <v>110.64</v>
      </c>
      <c r="D35" s="29">
        <f t="shared" si="1"/>
        <v>162.71000000000001</v>
      </c>
      <c r="E35" s="29">
        <f t="shared" si="1"/>
        <v>20.25</v>
      </c>
      <c r="F35" s="29">
        <f t="shared" si="1"/>
        <v>77.959999999999994</v>
      </c>
      <c r="G35" s="29">
        <f t="shared" si="1"/>
        <v>208.81</v>
      </c>
      <c r="H35" s="29">
        <f t="shared" si="1"/>
        <v>57.969999999999999</v>
      </c>
      <c r="I35" s="29">
        <f t="shared" si="1"/>
        <v>1.29</v>
      </c>
      <c r="J35" s="29">
        <f t="shared" si="1"/>
        <v>1.1799999999999999</v>
      </c>
      <c r="K35" s="29">
        <f t="shared" si="1"/>
        <v>359.63</v>
      </c>
      <c r="L35" s="29">
        <f t="shared" si="1"/>
        <v>42.07</v>
      </c>
      <c r="M35" s="29">
        <f t="shared" si="1"/>
        <v>52.789999999999999</v>
      </c>
      <c r="N35" s="29">
        <f t="shared" si="1"/>
        <v>808.29999999999995</v>
      </c>
      <c r="O35" s="29">
        <f t="shared" si="1"/>
        <v>0</v>
      </c>
      <c r="P35" s="29">
        <f t="shared" si="1"/>
        <v>3.3799999999999999</v>
      </c>
      <c r="Q35" s="29">
        <f t="shared" si="1"/>
        <v>29.649999999999999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17.956250000000001</v>
      </c>
      <c r="C36" s="28">
        <f t="shared" si="2"/>
        <v>63.050833333333337</v>
      </c>
      <c r="D36" s="28">
        <f t="shared" si="2"/>
        <v>49.34375</v>
      </c>
      <c r="E36" s="28">
        <f t="shared" si="2"/>
        <v>6.5945833333333326</v>
      </c>
      <c r="F36" s="28">
        <f t="shared" si="2"/>
        <v>31.453749999999999</v>
      </c>
      <c r="G36" s="28">
        <f t="shared" si="2"/>
        <v>92.791304347826085</v>
      </c>
      <c r="H36" s="28">
        <f t="shared" si="2"/>
        <v>33.100434782608694</v>
      </c>
      <c r="I36" s="28">
        <f t="shared" si="2"/>
        <v>0.69166666666666654</v>
      </c>
      <c r="J36" s="28">
        <f t="shared" si="2"/>
        <v>0.43666666666666676</v>
      </c>
      <c r="K36" s="28">
        <f t="shared" si="2"/>
        <v>244.97833333333332</v>
      </c>
      <c r="L36" s="28">
        <f t="shared" si="2"/>
        <v>31.62458333333333</v>
      </c>
      <c r="M36" s="28">
        <f t="shared" si="2"/>
        <v>35.759999999999991</v>
      </c>
      <c r="N36" s="28">
        <f t="shared" si="2"/>
        <v>236.48333333333332</v>
      </c>
      <c r="O36" s="28">
        <f t="shared" si="2"/>
        <v>0</v>
      </c>
      <c r="P36" s="28">
        <f t="shared" si="2"/>
        <v>1.2395833333333335</v>
      </c>
      <c r="Q36" s="28">
        <f t="shared" si="2"/>
        <v>12.909999999999998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30.399394417952816</v>
      </c>
      <c r="C37" s="28">
        <f t="shared" si="3" ref="C37:Q37">STDEV(C9:C32)</f>
        <v>19.68165707866893</v>
      </c>
      <c r="D37" s="28">
        <f t="shared" si="3"/>
        <v>33.001727993295717</v>
      </c>
      <c r="E37" s="28">
        <f t="shared" si="3"/>
        <v>4.2011830416295082</v>
      </c>
      <c r="F37" s="28">
        <f t="shared" si="3"/>
        <v>23.427665327927819</v>
      </c>
      <c r="G37" s="28">
        <f t="shared" si="3"/>
        <v>44.456959400418228</v>
      </c>
      <c r="H37" s="28">
        <f t="shared" si="3"/>
        <v>8.5275033531940245</v>
      </c>
      <c r="I37" s="28">
        <f t="shared" si="3"/>
        <v>0.2216473239899012</v>
      </c>
      <c r="J37" s="28">
        <f t="shared" si="3"/>
        <v>0.34586585319426516</v>
      </c>
      <c r="K37" s="28">
        <f t="shared" si="3"/>
        <v>108.77655700390228</v>
      </c>
      <c r="L37" s="28">
        <f t="shared" si="3"/>
        <v>5.7856125745092273</v>
      </c>
      <c r="M37" s="28">
        <f t="shared" si="3"/>
        <v>13.165656904960366</v>
      </c>
      <c r="N37" s="28">
        <f t="shared" si="3"/>
        <v>310.26628348350494</v>
      </c>
      <c r="O37" s="28">
        <f t="shared" si="3"/>
        <v>0</v>
      </c>
      <c r="P37" s="28">
        <f t="shared" si="3"/>
        <v>0.77762447160604398</v>
      </c>
      <c r="Q37" s="28">
        <f t="shared" si="3"/>
        <v>8.0139747260077474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94b138-9c29-4794-9968-8e7a11a9df9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70" sqref="H7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398</v>
      </c>
      <c r="B9" s="58">
        <v>45.67</v>
      </c>
      <c r="C9" s="58">
        <v>76.260000000000005</v>
      </c>
      <c r="D9" s="58">
        <v>76.010000000000005</v>
      </c>
      <c r="E9" s="58">
        <v>10.83</v>
      </c>
      <c r="F9" s="58">
        <v>9.2200000000000006</v>
      </c>
      <c r="G9" s="58">
        <v>128.44</v>
      </c>
      <c r="H9" s="58">
        <v>45.82</v>
      </c>
      <c r="I9" s="58">
        <v>1.06</v>
      </c>
      <c r="J9" s="58">
        <v>1.1399999999999999</v>
      </c>
      <c r="K9" s="58">
        <v>313.16000000000003</v>
      </c>
      <c r="L9" s="58">
        <v>28.03</v>
      </c>
      <c r="M9" s="58">
        <v>43.13</v>
      </c>
      <c r="N9" s="58">
        <v>5.40</v>
      </c>
      <c r="O9" s="58">
        <v>0</v>
      </c>
      <c r="P9" s="58">
        <v>2.14</v>
      </c>
      <c r="Q9" s="58">
        <v>32.07</v>
      </c>
      <c r="R9" s="43"/>
      <c r="S9" s="43"/>
      <c r="T9" s="43"/>
      <c r="U9" s="43"/>
    </row>
    <row r="10" spans="1:21" s="11" customFormat="1" ht="15">
      <c r="A10" s="57" t="s">
        <v>399</v>
      </c>
      <c r="B10" s="58">
        <v>30.20</v>
      </c>
      <c r="C10" s="58">
        <v>48.02</v>
      </c>
      <c r="D10" s="58">
        <v>50.99</v>
      </c>
      <c r="E10" s="58">
        <v>4.8600000000000003</v>
      </c>
      <c r="F10" s="58">
        <v>13.60</v>
      </c>
      <c r="G10" s="58">
        <v>108.90</v>
      </c>
      <c r="H10" s="58">
        <v>44.60</v>
      </c>
      <c r="I10" s="58">
        <v>0.89</v>
      </c>
      <c r="J10" s="58">
        <v>0.36</v>
      </c>
      <c r="K10" s="58">
        <v>24.33</v>
      </c>
      <c r="L10" s="58">
        <v>27.39</v>
      </c>
      <c r="M10" s="58">
        <v>40.90</v>
      </c>
      <c r="N10" s="58">
        <v>4.9000000000000004</v>
      </c>
      <c r="O10" s="58">
        <v>0</v>
      </c>
      <c r="P10" s="58">
        <v>1.68</v>
      </c>
      <c r="Q10" s="58">
        <v>25.47</v>
      </c>
      <c r="R10" s="43"/>
      <c r="S10" s="43"/>
      <c r="T10" s="43"/>
      <c r="U10" s="43"/>
    </row>
    <row r="11" spans="1:21" s="11" customFormat="1" ht="15">
      <c r="A11" s="57" t="s">
        <v>400</v>
      </c>
      <c r="B11" s="58">
        <v>20.25</v>
      </c>
      <c r="C11" s="58">
        <v>50.14</v>
      </c>
      <c r="D11" s="58">
        <v>42.69</v>
      </c>
      <c r="E11" s="58">
        <v>7.43</v>
      </c>
      <c r="F11" s="58">
        <v>14.52</v>
      </c>
      <c r="G11" s="58">
        <v>86.38</v>
      </c>
      <c r="H11" s="58">
        <v>38.090000000000003</v>
      </c>
      <c r="I11" s="58">
        <v>0.77</v>
      </c>
      <c r="J11" s="58">
        <v>0.47</v>
      </c>
      <c r="K11" s="58">
        <v>359.71</v>
      </c>
      <c r="L11" s="58">
        <v>27.55</v>
      </c>
      <c r="M11" s="58">
        <v>33.369999999999997</v>
      </c>
      <c r="N11" s="58">
        <v>4.70</v>
      </c>
      <c r="O11" s="58">
        <v>0</v>
      </c>
      <c r="P11" s="58">
        <v>1.45</v>
      </c>
      <c r="Q11" s="58">
        <v>19.91</v>
      </c>
      <c r="R11" s="43"/>
      <c r="S11" s="43"/>
      <c r="T11" s="43"/>
      <c r="U11" s="43"/>
    </row>
    <row r="12" spans="1:21" s="11" customFormat="1" ht="15">
      <c r="A12" s="57" t="s">
        <v>401</v>
      </c>
      <c r="B12" s="58">
        <v>11.5</v>
      </c>
      <c r="C12" s="58">
        <v>50.33</v>
      </c>
      <c r="D12" s="58">
        <v>37.11</v>
      </c>
      <c r="E12" s="58">
        <v>5.5</v>
      </c>
      <c r="F12" s="58">
        <v>10.62</v>
      </c>
      <c r="G12" s="8" t="s">
        <v>8</v>
      </c>
      <c r="H12" s="58">
        <v>30.60</v>
      </c>
      <c r="I12" s="58">
        <v>0.66</v>
      </c>
      <c r="J12" s="58">
        <v>0.61</v>
      </c>
      <c r="K12" s="58">
        <v>351.41</v>
      </c>
      <c r="L12" s="58">
        <v>27.39</v>
      </c>
      <c r="M12" s="58">
        <v>30.05</v>
      </c>
      <c r="N12" s="58">
        <v>4.70</v>
      </c>
      <c r="O12" s="58">
        <v>0</v>
      </c>
      <c r="P12" s="58">
        <v>1.23</v>
      </c>
      <c r="Q12" s="58">
        <v>19.170000000000002</v>
      </c>
      <c r="R12" s="43"/>
      <c r="S12" s="43"/>
      <c r="T12" s="43"/>
      <c r="U12" s="43"/>
    </row>
    <row r="13" spans="1:21" s="11" customFormat="1" ht="15">
      <c r="A13" s="57" t="s">
        <v>402</v>
      </c>
      <c r="B13" s="58">
        <v>8.3000000000000007</v>
      </c>
      <c r="C13" s="58">
        <v>51.74</v>
      </c>
      <c r="D13" s="58">
        <v>35.86</v>
      </c>
      <c r="E13" s="58">
        <v>5.43</v>
      </c>
      <c r="F13" s="58">
        <v>11.14</v>
      </c>
      <c r="G13" s="8" t="s">
        <v>8</v>
      </c>
      <c r="H13" s="58">
        <v>23.73</v>
      </c>
      <c r="I13" s="58">
        <v>0.63</v>
      </c>
      <c r="J13" s="58">
        <v>0.47</v>
      </c>
      <c r="K13" s="58">
        <v>357.72</v>
      </c>
      <c r="L13" s="58">
        <v>27.27</v>
      </c>
      <c r="M13" s="58">
        <v>35.57</v>
      </c>
      <c r="N13" s="58">
        <v>5.30</v>
      </c>
      <c r="O13" s="58">
        <v>0</v>
      </c>
      <c r="P13" s="58">
        <v>0.96</v>
      </c>
      <c r="Q13" s="58">
        <v>10.61</v>
      </c>
      <c r="R13" s="43"/>
      <c r="S13" s="43"/>
      <c r="T13" s="43"/>
      <c r="U13" s="43"/>
    </row>
    <row r="14" spans="1:21" s="11" customFormat="1" ht="15">
      <c r="A14" s="57" t="s">
        <v>403</v>
      </c>
      <c r="B14" s="58">
        <v>12.5</v>
      </c>
      <c r="C14" s="58">
        <v>53.38</v>
      </c>
      <c r="D14" s="58">
        <v>40.130000000000003</v>
      </c>
      <c r="E14" s="58">
        <v>5.81</v>
      </c>
      <c r="F14" s="58">
        <v>12.77</v>
      </c>
      <c r="G14" s="58">
        <v>41.88</v>
      </c>
      <c r="H14" s="58">
        <v>19.13</v>
      </c>
      <c r="I14" s="58">
        <v>0.56999999999999995</v>
      </c>
      <c r="J14" s="58">
        <v>0.43</v>
      </c>
      <c r="K14" s="58">
        <v>349.98</v>
      </c>
      <c r="L14" s="58">
        <v>26.05</v>
      </c>
      <c r="M14" s="58">
        <v>35.5</v>
      </c>
      <c r="N14" s="58">
        <v>19.30</v>
      </c>
      <c r="O14" s="58">
        <v>0</v>
      </c>
      <c r="P14" s="58">
        <v>0.79</v>
      </c>
      <c r="Q14" s="58">
        <v>10.050000000000001</v>
      </c>
      <c r="R14" s="43"/>
      <c r="S14" s="43"/>
      <c r="T14" s="43"/>
      <c r="U14" s="43"/>
    </row>
    <row r="15" spans="1:21" s="11" customFormat="1" ht="15">
      <c r="A15" s="57" t="s">
        <v>404</v>
      </c>
      <c r="B15" s="58">
        <v>7.28</v>
      </c>
      <c r="C15" s="58">
        <v>48.94</v>
      </c>
      <c r="D15" s="58">
        <v>33.49</v>
      </c>
      <c r="E15" s="58">
        <v>2.70</v>
      </c>
      <c r="F15" s="58">
        <v>8.09</v>
      </c>
      <c r="G15" s="58">
        <v>83.07</v>
      </c>
      <c r="H15" s="58">
        <v>19</v>
      </c>
      <c r="I15" s="58">
        <v>0.56000000000000005</v>
      </c>
      <c r="J15" s="58">
        <v>0.10</v>
      </c>
      <c r="K15" s="58">
        <v>354.96</v>
      </c>
      <c r="L15" s="58">
        <v>25.99</v>
      </c>
      <c r="M15" s="58">
        <v>39.979999999999997</v>
      </c>
      <c r="N15" s="58">
        <v>70.5</v>
      </c>
      <c r="O15" s="58">
        <v>0</v>
      </c>
      <c r="P15" s="58">
        <v>0.78</v>
      </c>
      <c r="Q15" s="58">
        <v>11.33</v>
      </c>
      <c r="R15" s="43"/>
      <c r="S15" s="43"/>
      <c r="T15" s="43"/>
      <c r="U15" s="43"/>
    </row>
    <row r="16" spans="1:21" s="11" customFormat="1" ht="15">
      <c r="A16" s="57" t="s">
        <v>405</v>
      </c>
      <c r="B16" s="58">
        <v>8.36</v>
      </c>
      <c r="C16" s="58">
        <v>50.64</v>
      </c>
      <c r="D16" s="58">
        <v>35.29</v>
      </c>
      <c r="E16" s="58">
        <v>2.16</v>
      </c>
      <c r="F16" s="58">
        <v>7.26</v>
      </c>
      <c r="G16" s="58">
        <v>132.79</v>
      </c>
      <c r="H16" s="58">
        <v>21.53</v>
      </c>
      <c r="I16" s="58">
        <v>0.55000000000000004</v>
      </c>
      <c r="J16" s="58">
        <v>0.18</v>
      </c>
      <c r="K16" s="58">
        <v>307.08999999999997</v>
      </c>
      <c r="L16" s="58">
        <v>27.06</v>
      </c>
      <c r="M16" s="58">
        <v>39.96</v>
      </c>
      <c r="N16" s="58">
        <v>160.69999999999999</v>
      </c>
      <c r="O16" s="58">
        <v>0</v>
      </c>
      <c r="P16" s="58">
        <v>0.75</v>
      </c>
      <c r="Q16" s="58">
        <v>7.26</v>
      </c>
      <c r="R16" s="43"/>
      <c r="S16" s="43"/>
      <c r="T16" s="43"/>
      <c r="U16" s="43"/>
    </row>
    <row r="17" spans="1:21" s="11" customFormat="1" ht="15">
      <c r="A17" s="57" t="s">
        <v>406</v>
      </c>
      <c r="B17" s="58">
        <v>9.58</v>
      </c>
      <c r="C17" s="58">
        <v>52.89</v>
      </c>
      <c r="D17" s="58">
        <v>37.01</v>
      </c>
      <c r="E17" s="58">
        <v>4.59</v>
      </c>
      <c r="F17" s="58">
        <v>13.34</v>
      </c>
      <c r="G17" s="58">
        <v>132.51</v>
      </c>
      <c r="H17" s="58">
        <v>21.69</v>
      </c>
      <c r="I17" s="58">
        <v>0.55000000000000004</v>
      </c>
      <c r="J17" s="58">
        <v>0.77</v>
      </c>
      <c r="K17" s="58">
        <v>358.20</v>
      </c>
      <c r="L17" s="58">
        <v>31.40</v>
      </c>
      <c r="M17" s="58">
        <v>40.11</v>
      </c>
      <c r="N17" s="58">
        <v>351.80</v>
      </c>
      <c r="O17" s="58">
        <v>0</v>
      </c>
      <c r="P17" s="58">
        <v>0.83</v>
      </c>
      <c r="Q17" s="58">
        <v>10.199999999999999</v>
      </c>
      <c r="R17" s="43"/>
      <c r="S17" s="43"/>
      <c r="T17" s="43"/>
      <c r="U17" s="43"/>
    </row>
    <row r="18" spans="1:21" s="11" customFormat="1" ht="15">
      <c r="A18" s="57" t="s">
        <v>407</v>
      </c>
      <c r="B18" s="58">
        <v>7.84</v>
      </c>
      <c r="C18" s="58">
        <v>51.13</v>
      </c>
      <c r="D18" s="58">
        <v>34.5</v>
      </c>
      <c r="E18" s="58">
        <v>5.23</v>
      </c>
      <c r="F18" s="58">
        <v>14.54</v>
      </c>
      <c r="G18" s="58">
        <v>121.62</v>
      </c>
      <c r="H18" s="58">
        <v>21.5</v>
      </c>
      <c r="I18" s="58">
        <v>0.60</v>
      </c>
      <c r="J18" s="58">
        <v>1.1100000000000001</v>
      </c>
      <c r="K18" s="58">
        <v>355.38</v>
      </c>
      <c r="L18" s="58">
        <v>35.28</v>
      </c>
      <c r="M18" s="58">
        <v>28.29</v>
      </c>
      <c r="N18" s="58">
        <v>524.79999999999995</v>
      </c>
      <c r="O18" s="58">
        <v>0</v>
      </c>
      <c r="P18" s="58">
        <v>0.79</v>
      </c>
      <c r="Q18" s="58">
        <v>13.07</v>
      </c>
      <c r="R18" s="43"/>
      <c r="S18" s="43"/>
      <c r="T18" s="43"/>
      <c r="U18" s="43"/>
    </row>
    <row r="19" spans="1:21" s="11" customFormat="1" ht="15">
      <c r="A19" s="57" t="s">
        <v>408</v>
      </c>
      <c r="B19" s="58">
        <v>7.35</v>
      </c>
      <c r="C19" s="58">
        <v>55.35</v>
      </c>
      <c r="D19" s="58">
        <v>36.07</v>
      </c>
      <c r="E19" s="58">
        <v>4.58</v>
      </c>
      <c r="F19" s="58">
        <v>10.130000000000001</v>
      </c>
      <c r="G19" s="58">
        <v>63.45</v>
      </c>
      <c r="H19" s="58">
        <v>22.27</v>
      </c>
      <c r="I19" s="58">
        <v>0.59</v>
      </c>
      <c r="J19" s="58">
        <v>0.88</v>
      </c>
      <c r="K19" s="58">
        <v>18.93</v>
      </c>
      <c r="L19" s="58">
        <v>38.15</v>
      </c>
      <c r="M19" s="58">
        <v>23.27</v>
      </c>
      <c r="N19" s="58">
        <v>781.10</v>
      </c>
      <c r="O19" s="58">
        <v>0</v>
      </c>
      <c r="P19" s="58">
        <v>0.81</v>
      </c>
      <c r="Q19" s="58">
        <v>8.07</v>
      </c>
      <c r="R19" s="43"/>
      <c r="S19" s="43"/>
      <c r="T19" s="43"/>
      <c r="U19" s="43"/>
    </row>
    <row r="20" spans="1:21" s="11" customFormat="1" ht="15">
      <c r="A20" s="57" t="s">
        <v>409</v>
      </c>
      <c r="B20" s="58">
        <v>5.13</v>
      </c>
      <c r="C20" s="58">
        <v>55.99</v>
      </c>
      <c r="D20" s="58">
        <v>35.60</v>
      </c>
      <c r="E20" s="58">
        <v>8.15</v>
      </c>
      <c r="F20" s="58">
        <v>27.37</v>
      </c>
      <c r="G20" s="58">
        <v>93.60</v>
      </c>
      <c r="H20" s="58">
        <v>22.25</v>
      </c>
      <c r="I20" s="58">
        <v>0.57999999999999996</v>
      </c>
      <c r="J20" s="58">
        <v>1.43</v>
      </c>
      <c r="K20" s="58">
        <v>19.12</v>
      </c>
      <c r="L20" s="58">
        <v>38.520000000000003</v>
      </c>
      <c r="M20" s="58">
        <v>20.67</v>
      </c>
      <c r="N20" s="58">
        <v>764.20</v>
      </c>
      <c r="O20" s="58">
        <v>0</v>
      </c>
      <c r="P20" s="58">
        <v>0.79</v>
      </c>
      <c r="Q20" s="58">
        <v>10.19</v>
      </c>
      <c r="R20" s="43"/>
      <c r="S20" s="43"/>
      <c r="T20" s="43"/>
      <c r="U20" s="43"/>
    </row>
    <row r="21" spans="1:21" s="11" customFormat="1" ht="15">
      <c r="A21" s="57" t="s">
        <v>410</v>
      </c>
      <c r="B21" s="58">
        <v>6.58</v>
      </c>
      <c r="C21" s="58">
        <v>55.18</v>
      </c>
      <c r="D21" s="58">
        <v>36.340000000000003</v>
      </c>
      <c r="E21" s="58">
        <v>3.77</v>
      </c>
      <c r="F21" s="58">
        <v>15.58</v>
      </c>
      <c r="G21" s="58">
        <v>83.86</v>
      </c>
      <c r="H21" s="58">
        <v>22.04</v>
      </c>
      <c r="I21" s="58">
        <v>0.56999999999999995</v>
      </c>
      <c r="J21" s="58">
        <v>1.62</v>
      </c>
      <c r="K21" s="58">
        <v>30.49</v>
      </c>
      <c r="L21" s="58">
        <v>38.69</v>
      </c>
      <c r="M21" s="58">
        <v>20.03</v>
      </c>
      <c r="N21" s="58">
        <v>801.20</v>
      </c>
      <c r="O21" s="58">
        <v>0</v>
      </c>
      <c r="P21" s="58">
        <v>0.73</v>
      </c>
      <c r="Q21" s="58">
        <v>10.95</v>
      </c>
      <c r="R21" s="43"/>
      <c r="S21" s="43"/>
      <c r="T21" s="43"/>
      <c r="U21" s="43"/>
    </row>
    <row r="22" spans="1:21" s="11" customFormat="1" ht="15">
      <c r="A22" s="57" t="s">
        <v>411</v>
      </c>
      <c r="B22" s="58">
        <v>7.24</v>
      </c>
      <c r="C22" s="58">
        <v>53.76</v>
      </c>
      <c r="D22" s="58">
        <v>34.76</v>
      </c>
      <c r="E22" s="58">
        <v>3.47</v>
      </c>
      <c r="F22" s="58">
        <v>14.34</v>
      </c>
      <c r="G22" s="58">
        <v>29.25</v>
      </c>
      <c r="H22" s="58">
        <v>21.06</v>
      </c>
      <c r="I22" s="58">
        <v>0.60</v>
      </c>
      <c r="J22" s="58">
        <v>1.90</v>
      </c>
      <c r="K22" s="58">
        <v>349.23</v>
      </c>
      <c r="L22" s="58">
        <v>38.450000000000003</v>
      </c>
      <c r="M22" s="58">
        <v>17.93</v>
      </c>
      <c r="N22" s="58">
        <v>689.30</v>
      </c>
      <c r="O22" s="58">
        <v>0</v>
      </c>
      <c r="P22" s="58">
        <v>0.73</v>
      </c>
      <c r="Q22" s="58">
        <v>8.15</v>
      </c>
      <c r="R22" s="43"/>
      <c r="S22" s="43"/>
      <c r="T22" s="43"/>
      <c r="U22" s="43"/>
    </row>
    <row r="23" spans="1:21" s="11" customFormat="1" ht="15">
      <c r="A23" s="57" t="s">
        <v>412</v>
      </c>
      <c r="B23" s="58">
        <v>4.84</v>
      </c>
      <c r="C23" s="58">
        <v>51.33</v>
      </c>
      <c r="D23" s="58">
        <v>32.549999999999997</v>
      </c>
      <c r="E23" s="58">
        <v>3.24</v>
      </c>
      <c r="F23" s="58">
        <v>21.32</v>
      </c>
      <c r="G23" s="58">
        <v>39.119999999999997</v>
      </c>
      <c r="H23" s="58">
        <v>19.329999999999998</v>
      </c>
      <c r="I23" s="58">
        <v>0.57999999999999996</v>
      </c>
      <c r="J23" s="58">
        <v>1.48</v>
      </c>
      <c r="K23" s="58">
        <v>18.440000000000001</v>
      </c>
      <c r="L23" s="58">
        <v>38.79</v>
      </c>
      <c r="M23" s="58">
        <v>16.75</v>
      </c>
      <c r="N23" s="58">
        <v>657</v>
      </c>
      <c r="O23" s="58">
        <v>0</v>
      </c>
      <c r="P23" s="58">
        <v>0.69</v>
      </c>
      <c r="Q23" s="58">
        <v>7.01</v>
      </c>
      <c r="R23" s="43"/>
      <c r="S23" s="43"/>
      <c r="T23" s="43"/>
      <c r="U23" s="43"/>
    </row>
    <row r="24" spans="1:21" s="11" customFormat="1" ht="15">
      <c r="A24" s="57" t="s">
        <v>413</v>
      </c>
      <c r="B24" s="58">
        <v>4.07</v>
      </c>
      <c r="C24" s="58">
        <v>47.63</v>
      </c>
      <c r="D24" s="58">
        <v>29.29</v>
      </c>
      <c r="E24" s="58">
        <v>2.54</v>
      </c>
      <c r="F24" s="58">
        <v>14.15</v>
      </c>
      <c r="G24" s="58">
        <v>49.93</v>
      </c>
      <c r="H24" s="58">
        <v>17.37</v>
      </c>
      <c r="I24" s="58">
        <v>0.56000000000000005</v>
      </c>
      <c r="J24" s="58">
        <v>1.92</v>
      </c>
      <c r="K24" s="58">
        <v>30.22</v>
      </c>
      <c r="L24" s="58">
        <v>36.83</v>
      </c>
      <c r="M24" s="58">
        <v>17.57</v>
      </c>
      <c r="N24" s="58">
        <v>268</v>
      </c>
      <c r="O24" s="58">
        <v>0</v>
      </c>
      <c r="P24" s="58">
        <v>0.64</v>
      </c>
      <c r="Q24" s="58">
        <v>7.16</v>
      </c>
      <c r="R24" s="43"/>
      <c r="S24" s="43"/>
      <c r="T24" s="43"/>
      <c r="U24" s="43"/>
    </row>
    <row r="25" spans="1:21" s="11" customFormat="1" ht="15">
      <c r="A25" s="57" t="s">
        <v>414</v>
      </c>
      <c r="B25" s="58">
        <v>4.55</v>
      </c>
      <c r="C25" s="58">
        <v>46.37</v>
      </c>
      <c r="D25" s="58">
        <v>29.15</v>
      </c>
      <c r="E25" s="58">
        <v>1.55</v>
      </c>
      <c r="F25" s="58">
        <v>12.24</v>
      </c>
      <c r="G25" s="58">
        <v>51.32</v>
      </c>
      <c r="H25" s="58">
        <v>15.12</v>
      </c>
      <c r="I25" s="58">
        <v>0.55000000000000004</v>
      </c>
      <c r="J25" s="58">
        <v>1.82</v>
      </c>
      <c r="K25" s="58">
        <v>39.520000000000003</v>
      </c>
      <c r="L25" s="58">
        <v>35.65</v>
      </c>
      <c r="M25" s="58">
        <v>19.079999999999998</v>
      </c>
      <c r="N25" s="58">
        <v>171.5</v>
      </c>
      <c r="O25" s="58">
        <v>0</v>
      </c>
      <c r="P25" s="58">
        <v>0.57999999999999996</v>
      </c>
      <c r="Q25" s="58">
        <v>2.75</v>
      </c>
      <c r="R25" s="43"/>
      <c r="S25" s="43"/>
      <c r="T25" s="43"/>
      <c r="U25" s="43"/>
    </row>
    <row r="26" spans="1:21" s="11" customFormat="1" ht="15">
      <c r="A26" s="57" t="s">
        <v>415</v>
      </c>
      <c r="B26" s="58">
        <v>4.0999999999999996</v>
      </c>
      <c r="C26" s="58">
        <v>45.34</v>
      </c>
      <c r="D26" s="58">
        <v>27.94</v>
      </c>
      <c r="E26" s="58">
        <v>1.49</v>
      </c>
      <c r="F26" s="58">
        <v>9.83</v>
      </c>
      <c r="G26" s="58">
        <v>45.73</v>
      </c>
      <c r="H26" s="58">
        <v>15.82</v>
      </c>
      <c r="I26" s="58">
        <v>0.54</v>
      </c>
      <c r="J26" s="58">
        <v>2.3199999999999998</v>
      </c>
      <c r="K26" s="58">
        <v>31.86</v>
      </c>
      <c r="L26" s="58">
        <v>33.22</v>
      </c>
      <c r="M26" s="58">
        <v>20.350000000000001</v>
      </c>
      <c r="N26" s="58">
        <v>62.10</v>
      </c>
      <c r="O26" s="58">
        <v>0</v>
      </c>
      <c r="P26" s="58">
        <v>0.55000000000000004</v>
      </c>
      <c r="Q26" s="58">
        <v>2.2999999999999998</v>
      </c>
      <c r="R26" s="43"/>
      <c r="S26" s="43"/>
      <c r="T26" s="43"/>
      <c r="U26" s="43"/>
    </row>
    <row r="27" spans="1:21" s="11" customFormat="1" ht="15">
      <c r="A27" s="57" t="s">
        <v>416</v>
      </c>
      <c r="B27" s="58">
        <v>3.91</v>
      </c>
      <c r="C27" s="58">
        <v>46.04</v>
      </c>
      <c r="D27" s="58">
        <v>29.18</v>
      </c>
      <c r="E27" s="58">
        <v>1.49</v>
      </c>
      <c r="F27" s="58">
        <v>8.61</v>
      </c>
      <c r="G27" s="58">
        <v>30.14</v>
      </c>
      <c r="H27" s="58">
        <v>15.64</v>
      </c>
      <c r="I27" s="58">
        <v>0.54</v>
      </c>
      <c r="J27" s="58">
        <v>1.69</v>
      </c>
      <c r="K27" s="58">
        <v>25.30</v>
      </c>
      <c r="L27" s="58">
        <v>31.56</v>
      </c>
      <c r="M27" s="58">
        <v>23.89</v>
      </c>
      <c r="N27" s="58">
        <v>10.80</v>
      </c>
      <c r="O27" s="58">
        <v>0</v>
      </c>
      <c r="P27" s="58">
        <v>0.60</v>
      </c>
      <c r="Q27" s="58">
        <v>2.2400000000000002</v>
      </c>
      <c r="R27" s="43"/>
      <c r="S27" s="43"/>
      <c r="T27" s="43"/>
      <c r="U27" s="43"/>
    </row>
    <row r="28" spans="1:21" s="11" customFormat="1" ht="15">
      <c r="A28" s="57" t="s">
        <v>417</v>
      </c>
      <c r="B28" s="58">
        <v>3.90</v>
      </c>
      <c r="C28" s="58">
        <v>46.92</v>
      </c>
      <c r="D28" s="58">
        <v>29.64</v>
      </c>
      <c r="E28" s="58">
        <v>1.30</v>
      </c>
      <c r="F28" s="58">
        <v>7.88</v>
      </c>
      <c r="G28" s="58">
        <v>33.619999999999997</v>
      </c>
      <c r="H28" s="58">
        <v>14.78</v>
      </c>
      <c r="I28" s="58">
        <v>0.54</v>
      </c>
      <c r="J28" s="58">
        <v>1.96</v>
      </c>
      <c r="K28" s="58">
        <v>34.76</v>
      </c>
      <c r="L28" s="58">
        <v>30.05</v>
      </c>
      <c r="M28" s="58">
        <v>24.44</v>
      </c>
      <c r="N28" s="58">
        <v>4.70</v>
      </c>
      <c r="O28" s="58">
        <v>0</v>
      </c>
      <c r="P28" s="58">
        <v>0.65</v>
      </c>
      <c r="Q28" s="8" t="s">
        <v>8</v>
      </c>
      <c r="R28" s="43"/>
      <c r="S28" s="43"/>
      <c r="T28" s="43"/>
      <c r="U28" s="43"/>
    </row>
    <row r="29" spans="1:21" s="11" customFormat="1" ht="15">
      <c r="A29" s="57" t="s">
        <v>418</v>
      </c>
      <c r="B29" s="58">
        <v>4.2699999999999996</v>
      </c>
      <c r="C29" s="58">
        <v>46.16</v>
      </c>
      <c r="D29" s="58">
        <v>29.23</v>
      </c>
      <c r="E29" s="58">
        <v>0.89</v>
      </c>
      <c r="F29" s="58">
        <v>7.76</v>
      </c>
      <c r="G29" s="58">
        <v>55.30</v>
      </c>
      <c r="H29" s="58">
        <v>14.12</v>
      </c>
      <c r="I29" s="58">
        <v>0.53</v>
      </c>
      <c r="J29" s="58">
        <v>1.73</v>
      </c>
      <c r="K29" s="58">
        <v>37.31</v>
      </c>
      <c r="L29" s="58">
        <v>29.36</v>
      </c>
      <c r="M29" s="58">
        <v>25.18</v>
      </c>
      <c r="N29" s="58">
        <v>5</v>
      </c>
      <c r="O29" s="58">
        <v>0</v>
      </c>
      <c r="P29" s="58">
        <v>0.66</v>
      </c>
      <c r="Q29" s="58">
        <v>0.47</v>
      </c>
      <c r="R29" s="43"/>
      <c r="S29" s="43"/>
      <c r="T29" s="43"/>
      <c r="U29" s="43"/>
    </row>
    <row r="30" spans="1:21" s="11" customFormat="1" ht="15">
      <c r="A30" s="57" t="s">
        <v>419</v>
      </c>
      <c r="B30" s="58">
        <v>5.36</v>
      </c>
      <c r="C30" s="58">
        <v>45.97</v>
      </c>
      <c r="D30" s="58">
        <v>30.16</v>
      </c>
      <c r="E30" s="58">
        <v>2.15</v>
      </c>
      <c r="F30" s="58">
        <v>8.84</v>
      </c>
      <c r="G30" s="58">
        <v>58.47</v>
      </c>
      <c r="H30" s="58">
        <v>14.52</v>
      </c>
      <c r="I30" s="58">
        <v>0.55000000000000004</v>
      </c>
      <c r="J30" s="58">
        <v>1.51</v>
      </c>
      <c r="K30" s="58">
        <v>42.33</v>
      </c>
      <c r="L30" s="58">
        <v>28.67</v>
      </c>
      <c r="M30" s="58">
        <v>26.34</v>
      </c>
      <c r="N30" s="58">
        <v>5.0999999999999996</v>
      </c>
      <c r="O30" s="58">
        <v>0</v>
      </c>
      <c r="P30" s="58">
        <v>0.71</v>
      </c>
      <c r="Q30" s="58">
        <v>1</v>
      </c>
      <c r="R30" s="43"/>
      <c r="S30" s="43"/>
      <c r="T30" s="43"/>
      <c r="U30" s="43"/>
    </row>
    <row r="31" spans="1:21" s="11" customFormat="1" ht="15">
      <c r="A31" s="57" t="s">
        <v>420</v>
      </c>
      <c r="B31" s="58">
        <v>11.73</v>
      </c>
      <c r="C31" s="58">
        <v>50.16</v>
      </c>
      <c r="D31" s="58">
        <v>37.729999999999997</v>
      </c>
      <c r="E31" s="58">
        <v>15.90</v>
      </c>
      <c r="F31" s="58">
        <v>13.93</v>
      </c>
      <c r="G31" s="58">
        <v>60.15</v>
      </c>
      <c r="H31" s="58">
        <v>14.51</v>
      </c>
      <c r="I31" s="58">
        <v>0.53</v>
      </c>
      <c r="J31" s="58">
        <v>0.91</v>
      </c>
      <c r="K31" s="58">
        <v>35.53</v>
      </c>
      <c r="L31" s="58">
        <v>27.87</v>
      </c>
      <c r="M31" s="58">
        <v>29.83</v>
      </c>
      <c r="N31" s="58">
        <v>5</v>
      </c>
      <c r="O31" s="58">
        <v>0</v>
      </c>
      <c r="P31" s="58">
        <v>0.82</v>
      </c>
      <c r="Q31" s="8" t="s">
        <v>8</v>
      </c>
      <c r="R31" s="43"/>
      <c r="S31" s="43"/>
      <c r="T31" s="43"/>
      <c r="U31" s="43"/>
    </row>
    <row r="32" spans="1:21" s="11" customFormat="1" ht="15">
      <c r="A32" s="57" t="s">
        <v>421</v>
      </c>
      <c r="B32" s="58">
        <v>15.08</v>
      </c>
      <c r="C32" s="58">
        <v>62.94</v>
      </c>
      <c r="D32" s="58">
        <v>47.47</v>
      </c>
      <c r="E32" s="58">
        <v>15.26</v>
      </c>
      <c r="F32" s="58">
        <v>17.77</v>
      </c>
      <c r="G32" s="58">
        <v>64.790000000000006</v>
      </c>
      <c r="H32" s="58">
        <v>20.47</v>
      </c>
      <c r="I32" s="58">
        <v>0.51</v>
      </c>
      <c r="J32" s="58">
        <v>0.22</v>
      </c>
      <c r="K32" s="58">
        <v>89.89</v>
      </c>
      <c r="L32" s="58">
        <v>26.57</v>
      </c>
      <c r="M32" s="58">
        <v>31.57</v>
      </c>
      <c r="N32" s="58">
        <v>5.0999999999999996</v>
      </c>
      <c r="O32" s="58">
        <v>0</v>
      </c>
      <c r="P32" s="58">
        <v>0.94</v>
      </c>
      <c r="Q32" s="58">
        <v>6.01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3.8999999999999999</v>
      </c>
      <c r="C34" s="28">
        <f t="shared" si="0"/>
        <v>45.340000000000003</v>
      </c>
      <c r="D34" s="28">
        <f t="shared" si="0"/>
        <v>27.940000000000001</v>
      </c>
      <c r="E34" s="28">
        <f t="shared" si="0"/>
        <v>0.89000000000000001</v>
      </c>
      <c r="F34" s="28">
        <f t="shared" si="0"/>
        <v>7.2599999999999998</v>
      </c>
      <c r="G34" s="28">
        <f t="shared" si="0"/>
        <v>29.25</v>
      </c>
      <c r="H34" s="28">
        <f t="shared" si="0"/>
        <v>14.119999999999999</v>
      </c>
      <c r="I34" s="28">
        <f t="shared" si="0"/>
        <v>0.51000000000000001</v>
      </c>
      <c r="J34" s="28">
        <f t="shared" si="0"/>
        <v>0.10000000000000001</v>
      </c>
      <c r="K34" s="28">
        <f t="shared" si="0"/>
        <v>18.440000000000001</v>
      </c>
      <c r="L34" s="28">
        <f t="shared" si="0"/>
        <v>25.989999999999998</v>
      </c>
      <c r="M34" s="28">
        <f t="shared" si="0"/>
        <v>16.75</v>
      </c>
      <c r="N34" s="28">
        <f t="shared" si="0"/>
        <v>4.7000000000000002</v>
      </c>
      <c r="O34" s="28">
        <f t="shared" si="0"/>
        <v>0</v>
      </c>
      <c r="P34" s="28">
        <f t="shared" si="0"/>
        <v>0.55000000000000004</v>
      </c>
      <c r="Q34" s="28">
        <f t="shared" si="0"/>
        <v>0.46999999999999997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45.670000000000002</v>
      </c>
      <c r="C35" s="29">
        <f t="shared" si="1"/>
        <v>76.260000000000005</v>
      </c>
      <c r="D35" s="29">
        <f t="shared" si="1"/>
        <v>76.010000000000005</v>
      </c>
      <c r="E35" s="29">
        <f t="shared" si="1"/>
        <v>15.9</v>
      </c>
      <c r="F35" s="29">
        <f t="shared" si="1"/>
        <v>27.370000000000001</v>
      </c>
      <c r="G35" s="29">
        <f t="shared" si="1"/>
        <v>132.78999999999999</v>
      </c>
      <c r="H35" s="29">
        <f t="shared" si="1"/>
        <v>45.82</v>
      </c>
      <c r="I35" s="29">
        <f t="shared" si="1"/>
        <v>1.0600000000000001</v>
      </c>
      <c r="J35" s="29">
        <f t="shared" si="1"/>
        <v>2.3199999999999998</v>
      </c>
      <c r="K35" s="29">
        <f t="shared" si="1"/>
        <v>359.70999999999998</v>
      </c>
      <c r="L35" s="29">
        <f t="shared" si="1"/>
        <v>38.789999999999999</v>
      </c>
      <c r="M35" s="29">
        <f t="shared" si="1"/>
        <v>43.130000000000003</v>
      </c>
      <c r="N35" s="29">
        <f t="shared" si="1"/>
        <v>801.20000000000005</v>
      </c>
      <c r="O35" s="29">
        <f t="shared" si="1"/>
        <v>0</v>
      </c>
      <c r="P35" s="29">
        <f t="shared" si="1"/>
        <v>2.1400000000000001</v>
      </c>
      <c r="Q35" s="29">
        <f t="shared" si="1"/>
        <v>32.07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10.399583333333336</v>
      </c>
      <c r="C36" s="28">
        <f t="shared" si="2"/>
        <v>51.775416666666679</v>
      </c>
      <c r="D36" s="28">
        <f t="shared" si="2"/>
        <v>37.007916666666667</v>
      </c>
      <c r="E36" s="28">
        <f t="shared" si="2"/>
        <v>5.0133333333333336</v>
      </c>
      <c r="F36" s="28">
        <f t="shared" si="2"/>
        <v>12.702083333333334</v>
      </c>
      <c r="G36" s="28">
        <f t="shared" si="2"/>
        <v>72.469090909090909</v>
      </c>
      <c r="H36" s="28">
        <f t="shared" si="2"/>
        <v>22.291250000000002</v>
      </c>
      <c r="I36" s="28">
        <f t="shared" si="2"/>
        <v>0.6087499999999999</v>
      </c>
      <c r="J36" s="28">
        <f t="shared" si="2"/>
        <v>1.1262500000000002</v>
      </c>
      <c r="K36" s="28">
        <f t="shared" si="2"/>
        <v>163.95291666666665</v>
      </c>
      <c r="L36" s="28">
        <f t="shared" si="2"/>
        <v>31.491249999999997</v>
      </c>
      <c r="M36" s="28">
        <f t="shared" si="2"/>
        <v>28.490000000000006</v>
      </c>
      <c r="N36" s="28">
        <f t="shared" si="2"/>
        <v>224.25833333333335</v>
      </c>
      <c r="O36" s="28">
        <f t="shared" si="2"/>
        <v>0</v>
      </c>
      <c r="P36" s="28">
        <f t="shared" si="2"/>
        <v>0.88750000000000018</v>
      </c>
      <c r="Q36" s="28">
        <f t="shared" si="2"/>
        <v>10.247272727272726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9.6498607690639115</v>
      </c>
      <c r="C37" s="28">
        <f t="shared" si="3" ref="C37:Q37">STDEV(C9:C32)</f>
        <v>6.6429917167850174</v>
      </c>
      <c r="D37" s="28">
        <f t="shared" si="3"/>
        <v>10.1002427776102</v>
      </c>
      <c r="E37" s="28">
        <f t="shared" si="3"/>
        <v>4.0486365570417018</v>
      </c>
      <c r="F37" s="28">
        <f t="shared" si="3"/>
        <v>4.6707842923642922</v>
      </c>
      <c r="G37" s="28">
        <f t="shared" si="3"/>
        <v>34.27569983434617</v>
      </c>
      <c r="H37" s="28">
        <f t="shared" si="3"/>
        <v>8.8807032195605515</v>
      </c>
      <c r="I37" s="28">
        <f t="shared" si="3"/>
        <v>0.12715319415024098</v>
      </c>
      <c r="J37" s="28">
        <f t="shared" si="3"/>
        <v>0.67002149543714307</v>
      </c>
      <c r="K37" s="28">
        <f t="shared" si="3"/>
        <v>157.91863291441567</v>
      </c>
      <c r="L37" s="28">
        <f t="shared" si="3"/>
        <v>4.758539520647628</v>
      </c>
      <c r="M37" s="28">
        <f t="shared" si="3"/>
        <v>8.4449326200107411</v>
      </c>
      <c r="N37" s="28">
        <f t="shared" si="3"/>
        <v>300.11772605554904</v>
      </c>
      <c r="O37" s="28">
        <f t="shared" si="3"/>
        <v>0</v>
      </c>
      <c r="P37" s="28">
        <f t="shared" si="3"/>
        <v>0.37832870456212037</v>
      </c>
      <c r="Q37" s="28">
        <f t="shared" si="3"/>
        <v>7.902309597180877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b6535e-ccd8-4404-8c5d-4ecfb7407b2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M63" sqref="M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422</v>
      </c>
      <c r="B9" s="58">
        <v>10.18</v>
      </c>
      <c r="C9" s="58">
        <v>52.79</v>
      </c>
      <c r="D9" s="58">
        <v>37.299999999999997</v>
      </c>
      <c r="E9" s="58">
        <v>12.10</v>
      </c>
      <c r="F9" s="58">
        <v>17.59</v>
      </c>
      <c r="G9" s="58">
        <v>62.94</v>
      </c>
      <c r="H9" s="58">
        <v>22.57</v>
      </c>
      <c r="I9" s="58">
        <v>0.53</v>
      </c>
      <c r="J9" s="58">
        <v>0.13</v>
      </c>
      <c r="K9" s="58">
        <v>332.91</v>
      </c>
      <c r="L9" s="58">
        <v>26.13</v>
      </c>
      <c r="M9" s="58">
        <v>37.29</v>
      </c>
      <c r="N9" s="58">
        <v>5</v>
      </c>
      <c r="O9" s="58">
        <v>0</v>
      </c>
      <c r="P9" s="58">
        <v>0.80</v>
      </c>
      <c r="Q9" s="58">
        <v>7.28</v>
      </c>
      <c r="R9" s="43"/>
      <c r="S9" s="43"/>
      <c r="T9" s="43"/>
      <c r="U9" s="43"/>
    </row>
    <row r="10" spans="1:21" s="11" customFormat="1" ht="15">
      <c r="A10" s="57" t="s">
        <v>423</v>
      </c>
      <c r="B10" s="58">
        <v>10.68</v>
      </c>
      <c r="C10" s="58">
        <v>59.83</v>
      </c>
      <c r="D10" s="58">
        <v>42.23</v>
      </c>
      <c r="E10" s="58">
        <v>9.3800000000000008</v>
      </c>
      <c r="F10" s="58">
        <v>10</v>
      </c>
      <c r="G10" s="58">
        <v>91.39</v>
      </c>
      <c r="H10" s="58">
        <v>22.52</v>
      </c>
      <c r="I10" s="58">
        <v>0.55000000000000004</v>
      </c>
      <c r="J10" s="58">
        <v>0.44</v>
      </c>
      <c r="K10" s="58">
        <v>348.09</v>
      </c>
      <c r="L10" s="58">
        <v>26.22</v>
      </c>
      <c r="M10" s="58">
        <v>38.479999999999997</v>
      </c>
      <c r="N10" s="58">
        <v>5.0999999999999996</v>
      </c>
      <c r="O10" s="58">
        <v>0</v>
      </c>
      <c r="P10" s="58">
        <v>0.72</v>
      </c>
      <c r="Q10" s="58">
        <v>4.68</v>
      </c>
      <c r="R10" s="43"/>
      <c r="S10" s="43"/>
      <c r="T10" s="43"/>
      <c r="U10" s="43"/>
    </row>
    <row r="11" spans="1:21" s="11" customFormat="1" ht="15">
      <c r="A11" s="57" t="s">
        <v>424</v>
      </c>
      <c r="B11" s="58">
        <v>6.20</v>
      </c>
      <c r="C11" s="58">
        <v>41.75</v>
      </c>
      <c r="D11" s="58">
        <v>28.66</v>
      </c>
      <c r="E11" s="58">
        <v>3.81</v>
      </c>
      <c r="F11" s="58">
        <v>14.60</v>
      </c>
      <c r="G11" s="58">
        <v>86.18</v>
      </c>
      <c r="H11" s="58">
        <v>24.75</v>
      </c>
      <c r="I11" s="58">
        <v>0.55000000000000004</v>
      </c>
      <c r="J11" s="58">
        <v>0.38</v>
      </c>
      <c r="K11" s="58">
        <v>358.52</v>
      </c>
      <c r="L11" s="58">
        <v>25.13</v>
      </c>
      <c r="M11" s="58">
        <v>39.450000000000003</v>
      </c>
      <c r="N11" s="58">
        <v>5.20</v>
      </c>
      <c r="O11" s="58">
        <v>0</v>
      </c>
      <c r="P11" s="58">
        <v>0.60</v>
      </c>
      <c r="Q11" s="58">
        <v>7.41</v>
      </c>
      <c r="R11" s="43"/>
      <c r="S11" s="43"/>
      <c r="T11" s="43"/>
      <c r="U11" s="43"/>
    </row>
    <row r="12" spans="1:21" s="11" customFormat="1" ht="15">
      <c r="A12" s="57" t="s">
        <v>425</v>
      </c>
      <c r="B12" s="58">
        <v>4.97</v>
      </c>
      <c r="C12" s="58">
        <v>35.68</v>
      </c>
      <c r="D12" s="58">
        <v>24.33</v>
      </c>
      <c r="E12" s="58">
        <v>2.5</v>
      </c>
      <c r="F12" s="58">
        <v>12.74</v>
      </c>
      <c r="G12" s="58">
        <v>54.74</v>
      </c>
      <c r="H12" s="58">
        <v>23.90</v>
      </c>
      <c r="I12" s="58">
        <v>0.56999999999999995</v>
      </c>
      <c r="J12" s="58">
        <v>0.37</v>
      </c>
      <c r="K12" s="58">
        <v>278.38</v>
      </c>
      <c r="L12" s="58">
        <v>24.22</v>
      </c>
      <c r="M12" s="58">
        <v>44.74</v>
      </c>
      <c r="N12" s="58">
        <v>4.9000000000000004</v>
      </c>
      <c r="O12" s="58">
        <v>0</v>
      </c>
      <c r="P12" s="58">
        <v>0.56999999999999995</v>
      </c>
      <c r="Q12" s="58">
        <v>7.65</v>
      </c>
      <c r="R12" s="43"/>
      <c r="S12" s="43"/>
      <c r="T12" s="43"/>
      <c r="U12" s="43"/>
    </row>
    <row r="13" spans="1:21" s="11" customFormat="1" ht="15">
      <c r="A13" s="57" t="s">
        <v>426</v>
      </c>
      <c r="B13" s="58">
        <v>5.29</v>
      </c>
      <c r="C13" s="58">
        <v>37.06</v>
      </c>
      <c r="D13" s="58">
        <v>25.34</v>
      </c>
      <c r="E13" s="58">
        <v>2.09</v>
      </c>
      <c r="F13" s="58">
        <v>10.99</v>
      </c>
      <c r="G13" s="58">
        <v>50.28</v>
      </c>
      <c r="H13" s="58">
        <v>19.989999999999998</v>
      </c>
      <c r="I13" s="58">
        <v>0.56000000000000005</v>
      </c>
      <c r="J13" s="58">
        <v>0.14000000000000001</v>
      </c>
      <c r="K13" s="58">
        <v>352.40</v>
      </c>
      <c r="L13" s="58">
        <v>23.85</v>
      </c>
      <c r="M13" s="58">
        <v>44.57</v>
      </c>
      <c r="N13" s="58">
        <v>4.70</v>
      </c>
      <c r="O13" s="58">
        <v>0</v>
      </c>
      <c r="P13" s="58">
        <v>0.56000000000000005</v>
      </c>
      <c r="Q13" s="58">
        <v>2.83</v>
      </c>
      <c r="R13" s="43"/>
      <c r="S13" s="43"/>
      <c r="T13" s="43"/>
      <c r="U13" s="43"/>
    </row>
    <row r="14" spans="1:21" s="11" customFormat="1" ht="15">
      <c r="A14" s="57" t="s">
        <v>427</v>
      </c>
      <c r="B14" s="58">
        <v>13.07</v>
      </c>
      <c r="C14" s="58">
        <v>45.90</v>
      </c>
      <c r="D14" s="58">
        <v>36.450000000000003</v>
      </c>
      <c r="E14" s="58">
        <v>2.58</v>
      </c>
      <c r="F14" s="58">
        <v>10.79</v>
      </c>
      <c r="G14" s="58">
        <v>42.89</v>
      </c>
      <c r="H14" s="58">
        <v>17.5</v>
      </c>
      <c r="I14" s="58">
        <v>0.55000000000000004</v>
      </c>
      <c r="J14" s="58">
        <v>0.070000000000000007</v>
      </c>
      <c r="K14" s="58">
        <v>347.08</v>
      </c>
      <c r="L14" s="58">
        <v>23.79</v>
      </c>
      <c r="M14" s="58">
        <v>43.13</v>
      </c>
      <c r="N14" s="58">
        <v>18.100000000000001</v>
      </c>
      <c r="O14" s="58">
        <v>0</v>
      </c>
      <c r="P14" s="58">
        <v>0.66</v>
      </c>
      <c r="Q14" s="58">
        <v>6.48</v>
      </c>
      <c r="R14" s="43"/>
      <c r="S14" s="43"/>
      <c r="T14" s="43"/>
      <c r="U14" s="43"/>
    </row>
    <row r="15" spans="1:21" s="11" customFormat="1" ht="15">
      <c r="A15" s="57" t="s">
        <v>428</v>
      </c>
      <c r="B15" s="58">
        <v>11.49</v>
      </c>
      <c r="C15" s="58">
        <v>44.43</v>
      </c>
      <c r="D15" s="58">
        <v>33.36</v>
      </c>
      <c r="E15" s="58">
        <v>1.54</v>
      </c>
      <c r="F15" s="58">
        <v>5.44</v>
      </c>
      <c r="G15" s="58">
        <v>60.55</v>
      </c>
      <c r="H15" s="58">
        <v>18.350000000000001</v>
      </c>
      <c r="I15" s="58">
        <v>0.56999999999999995</v>
      </c>
      <c r="J15" s="58">
        <v>0.11</v>
      </c>
      <c r="K15" s="58">
        <v>347.26</v>
      </c>
      <c r="L15" s="58">
        <v>24.86</v>
      </c>
      <c r="M15" s="58">
        <v>43.65</v>
      </c>
      <c r="N15" s="58">
        <v>126.20</v>
      </c>
      <c r="O15" s="58">
        <v>0</v>
      </c>
      <c r="P15" s="58">
        <v>0.65</v>
      </c>
      <c r="Q15" s="58">
        <v>7.20</v>
      </c>
      <c r="R15" s="43"/>
      <c r="S15" s="43"/>
      <c r="T15" s="43"/>
      <c r="U15" s="43"/>
    </row>
    <row r="16" spans="1:21" s="11" customFormat="1" ht="15">
      <c r="A16" s="57" t="s">
        <v>429</v>
      </c>
      <c r="B16" s="58">
        <v>10.76</v>
      </c>
      <c r="C16" s="58">
        <v>44.85</v>
      </c>
      <c r="D16" s="58">
        <v>33.86</v>
      </c>
      <c r="E16" s="58">
        <v>1.74</v>
      </c>
      <c r="F16" s="58">
        <v>10.77</v>
      </c>
      <c r="G16" s="58">
        <v>65</v>
      </c>
      <c r="H16" s="58">
        <v>22.87</v>
      </c>
      <c r="I16" s="58">
        <v>0.56999999999999995</v>
      </c>
      <c r="J16" s="58">
        <v>0.12</v>
      </c>
      <c r="K16" s="58">
        <v>276.20</v>
      </c>
      <c r="L16" s="58">
        <v>27.75</v>
      </c>
      <c r="M16" s="58">
        <v>40.549999999999997</v>
      </c>
      <c r="N16" s="58">
        <v>319.10000000000002</v>
      </c>
      <c r="O16" s="58">
        <v>0</v>
      </c>
      <c r="P16" s="58">
        <v>0.73</v>
      </c>
      <c r="Q16" s="58">
        <v>5.17</v>
      </c>
      <c r="R16" s="43"/>
      <c r="S16" s="43"/>
      <c r="T16" s="43"/>
      <c r="U16" s="43"/>
    </row>
    <row r="17" spans="1:21" s="11" customFormat="1" ht="15">
      <c r="A17" s="57" t="s">
        <v>430</v>
      </c>
      <c r="B17" s="58">
        <v>9.91</v>
      </c>
      <c r="C17" s="58">
        <v>50.11</v>
      </c>
      <c r="D17" s="58">
        <v>34.94</v>
      </c>
      <c r="E17" s="58">
        <v>2.81</v>
      </c>
      <c r="F17" s="58">
        <v>13.30</v>
      </c>
      <c r="G17" s="58">
        <v>67.72</v>
      </c>
      <c r="H17" s="58">
        <v>25.64</v>
      </c>
      <c r="I17" s="58">
        <v>0.56999999999999995</v>
      </c>
      <c r="J17" s="58">
        <v>0.15</v>
      </c>
      <c r="K17" s="58">
        <v>356.43</v>
      </c>
      <c r="L17" s="58">
        <v>32.409999999999997</v>
      </c>
      <c r="M17" s="58">
        <v>34.950000000000003</v>
      </c>
      <c r="N17" s="58">
        <v>567.10</v>
      </c>
      <c r="O17" s="58">
        <v>0</v>
      </c>
      <c r="P17" s="58">
        <v>0.78</v>
      </c>
      <c r="Q17" s="58">
        <v>9.6300000000000008</v>
      </c>
      <c r="R17" s="43"/>
      <c r="S17" s="43"/>
      <c r="T17" s="43"/>
      <c r="U17" s="43"/>
    </row>
    <row r="18" spans="1:21" s="11" customFormat="1" ht="15">
      <c r="A18" s="57" t="s">
        <v>431</v>
      </c>
      <c r="B18" s="58">
        <v>6.27</v>
      </c>
      <c r="C18" s="58">
        <v>51.57</v>
      </c>
      <c r="D18" s="58">
        <v>33.35</v>
      </c>
      <c r="E18" s="58">
        <v>4.28</v>
      </c>
      <c r="F18" s="58">
        <v>25.90</v>
      </c>
      <c r="G18" s="58">
        <v>65.48</v>
      </c>
      <c r="H18" s="58">
        <v>26.59</v>
      </c>
      <c r="I18" s="58">
        <v>0.57999999999999996</v>
      </c>
      <c r="J18" s="58">
        <v>0.38</v>
      </c>
      <c r="K18" s="58">
        <v>358.88</v>
      </c>
      <c r="L18" s="58">
        <v>37.61</v>
      </c>
      <c r="M18" s="58">
        <v>23.19</v>
      </c>
      <c r="N18" s="58">
        <v>713.5</v>
      </c>
      <c r="O18" s="58">
        <v>0</v>
      </c>
      <c r="P18" s="58">
        <v>0.91</v>
      </c>
      <c r="Q18" s="58">
        <v>9.2899999999999991</v>
      </c>
      <c r="R18" s="43"/>
      <c r="S18" s="43"/>
      <c r="T18" s="43"/>
      <c r="U18" s="43"/>
    </row>
    <row r="19" spans="1:21" s="11" customFormat="1" ht="15">
      <c r="A19" s="57" t="s">
        <v>432</v>
      </c>
      <c r="B19" s="58">
        <v>5.90</v>
      </c>
      <c r="C19" s="58">
        <v>50.92</v>
      </c>
      <c r="D19" s="58">
        <v>33.479999999999997</v>
      </c>
      <c r="E19" s="58">
        <v>5.28</v>
      </c>
      <c r="F19" s="58">
        <v>29.77</v>
      </c>
      <c r="G19" s="58">
        <v>55.75</v>
      </c>
      <c r="H19" s="58">
        <v>25.89</v>
      </c>
      <c r="I19" s="58">
        <v>0.62</v>
      </c>
      <c r="J19" s="58">
        <v>0.92</v>
      </c>
      <c r="K19" s="58">
        <v>355.42</v>
      </c>
      <c r="L19" s="58">
        <v>39.58</v>
      </c>
      <c r="M19" s="58">
        <v>18.80</v>
      </c>
      <c r="N19" s="58">
        <v>802.40</v>
      </c>
      <c r="O19" s="58">
        <v>0</v>
      </c>
      <c r="P19" s="58">
        <v>0.92</v>
      </c>
      <c r="Q19" s="58">
        <v>6.38</v>
      </c>
      <c r="R19" s="43"/>
      <c r="S19" s="43"/>
      <c r="T19" s="43"/>
      <c r="U19" s="43"/>
    </row>
    <row r="20" spans="1:21" s="11" customFormat="1" ht="15">
      <c r="A20" s="57" t="s">
        <v>433</v>
      </c>
      <c r="B20" s="58">
        <v>5.96</v>
      </c>
      <c r="C20" s="58">
        <v>51.97</v>
      </c>
      <c r="D20" s="58">
        <v>33.46</v>
      </c>
      <c r="E20" s="58">
        <v>3.75</v>
      </c>
      <c r="F20" s="58">
        <v>35.81</v>
      </c>
      <c r="G20" s="58">
        <v>55.19</v>
      </c>
      <c r="H20" s="58">
        <v>24.57</v>
      </c>
      <c r="I20" s="58">
        <v>0.65</v>
      </c>
      <c r="J20" s="58">
        <v>1.29</v>
      </c>
      <c r="K20" s="58">
        <v>357.99</v>
      </c>
      <c r="L20" s="58">
        <v>39.18</v>
      </c>
      <c r="M20" s="58">
        <v>15.95</v>
      </c>
      <c r="N20" s="58">
        <v>845.30</v>
      </c>
      <c r="O20" s="58">
        <v>0</v>
      </c>
      <c r="P20" s="58">
        <v>0.87</v>
      </c>
      <c r="Q20" s="58">
        <v>11.30</v>
      </c>
      <c r="R20" s="43"/>
      <c r="S20" s="43"/>
      <c r="T20" s="43"/>
      <c r="U20" s="43"/>
    </row>
    <row r="21" spans="1:21" s="11" customFormat="1" ht="15">
      <c r="A21" s="57" t="s">
        <v>434</v>
      </c>
      <c r="B21" s="58">
        <v>6.35</v>
      </c>
      <c r="C21" s="58">
        <v>52.06</v>
      </c>
      <c r="D21" s="58">
        <v>33.51</v>
      </c>
      <c r="E21" s="58">
        <v>2.71</v>
      </c>
      <c r="F21" s="58">
        <v>33.01</v>
      </c>
      <c r="G21" s="58">
        <v>51.43</v>
      </c>
      <c r="H21" s="58">
        <v>24.16</v>
      </c>
      <c r="I21" s="58">
        <v>0.72</v>
      </c>
      <c r="J21" s="58">
        <v>1.1599999999999999</v>
      </c>
      <c r="K21" s="58">
        <v>102.27</v>
      </c>
      <c r="L21" s="58">
        <v>40.229999999999997</v>
      </c>
      <c r="M21" s="58">
        <v>15.23</v>
      </c>
      <c r="N21" s="58">
        <v>836.90</v>
      </c>
      <c r="O21" s="58">
        <v>0</v>
      </c>
      <c r="P21" s="58">
        <v>0.78</v>
      </c>
      <c r="Q21" s="58">
        <v>11.69</v>
      </c>
      <c r="R21" s="43"/>
      <c r="S21" s="43"/>
      <c r="T21" s="43"/>
      <c r="U21" s="43"/>
    </row>
    <row r="22" spans="1:21" s="11" customFormat="1" ht="15">
      <c r="A22" s="57" t="s">
        <v>435</v>
      </c>
      <c r="B22" s="58">
        <v>4.63</v>
      </c>
      <c r="C22" s="58">
        <v>46.52</v>
      </c>
      <c r="D22" s="58">
        <v>30</v>
      </c>
      <c r="E22" s="58">
        <v>4.03</v>
      </c>
      <c r="F22" s="58">
        <v>46.47</v>
      </c>
      <c r="G22" s="58">
        <v>50.15</v>
      </c>
      <c r="H22" s="58">
        <v>21.65</v>
      </c>
      <c r="I22" s="58">
        <v>0.74</v>
      </c>
      <c r="J22" s="58">
        <v>1.33</v>
      </c>
      <c r="K22" s="58">
        <v>118.17</v>
      </c>
      <c r="L22" s="58">
        <v>39.85</v>
      </c>
      <c r="M22" s="58">
        <v>15.03</v>
      </c>
      <c r="N22" s="58">
        <v>774.10</v>
      </c>
      <c r="O22" s="58">
        <v>0</v>
      </c>
      <c r="P22" s="58">
        <v>0.66</v>
      </c>
      <c r="Q22" s="58">
        <v>11.69</v>
      </c>
      <c r="R22" s="43"/>
      <c r="S22" s="43"/>
      <c r="T22" s="43"/>
      <c r="U22" s="43"/>
    </row>
    <row r="23" spans="1:21" s="11" customFormat="1" ht="15">
      <c r="A23" s="57" t="s">
        <v>436</v>
      </c>
      <c r="B23" s="58">
        <v>4.28</v>
      </c>
      <c r="C23" s="58">
        <v>40.049999999999997</v>
      </c>
      <c r="D23" s="58">
        <v>26.16</v>
      </c>
      <c r="E23" s="58">
        <v>3.96</v>
      </c>
      <c r="F23" s="58">
        <v>53.45</v>
      </c>
      <c r="G23" s="58">
        <v>48.53</v>
      </c>
      <c r="H23" s="58">
        <v>20.010000000000002</v>
      </c>
      <c r="I23" s="58">
        <v>0.76</v>
      </c>
      <c r="J23" s="58">
        <v>1.34</v>
      </c>
      <c r="K23" s="58">
        <v>211.16</v>
      </c>
      <c r="L23" s="58">
        <v>37.450000000000003</v>
      </c>
      <c r="M23" s="58">
        <v>14.19</v>
      </c>
      <c r="N23" s="58">
        <v>641.60</v>
      </c>
      <c r="O23" s="58">
        <v>0</v>
      </c>
      <c r="P23" s="58">
        <v>0.56000000000000005</v>
      </c>
      <c r="Q23" s="58">
        <v>11.16</v>
      </c>
      <c r="R23" s="43"/>
      <c r="S23" s="43"/>
      <c r="T23" s="43"/>
      <c r="U23" s="43"/>
    </row>
    <row r="24" spans="1:21" s="11" customFormat="1" ht="15">
      <c r="A24" s="57" t="s">
        <v>437</v>
      </c>
      <c r="B24" s="58">
        <v>2.2200000000000002</v>
      </c>
      <c r="C24" s="58">
        <v>38.44</v>
      </c>
      <c r="D24" s="58">
        <v>23.64</v>
      </c>
      <c r="E24" s="58">
        <v>3.5</v>
      </c>
      <c r="F24" s="58">
        <v>37.57</v>
      </c>
      <c r="G24" s="58">
        <v>39.630000000000003</v>
      </c>
      <c r="H24" s="58">
        <v>18.57</v>
      </c>
      <c r="I24" s="58">
        <v>0.79</v>
      </c>
      <c r="J24" s="58">
        <v>0.83</v>
      </c>
      <c r="K24" s="58">
        <v>191.69</v>
      </c>
      <c r="L24" s="58">
        <v>35.950000000000003</v>
      </c>
      <c r="M24" s="58">
        <v>15.16</v>
      </c>
      <c r="N24" s="58">
        <v>396.40</v>
      </c>
      <c r="O24" s="58">
        <v>0</v>
      </c>
      <c r="P24" s="58">
        <v>0.48</v>
      </c>
      <c r="Q24" s="58">
        <v>7.51</v>
      </c>
      <c r="R24" s="43"/>
      <c r="S24" s="43"/>
      <c r="T24" s="43"/>
      <c r="U24" s="43"/>
    </row>
    <row r="25" spans="1:21" s="11" customFormat="1" ht="15">
      <c r="A25" s="57" t="s">
        <v>438</v>
      </c>
      <c r="B25" s="58">
        <v>1.59</v>
      </c>
      <c r="C25" s="58">
        <v>34.479999999999997</v>
      </c>
      <c r="D25" s="58">
        <v>20.93</v>
      </c>
      <c r="E25" s="58">
        <v>7.40</v>
      </c>
      <c r="F25" s="58">
        <v>49.94</v>
      </c>
      <c r="G25" s="58">
        <v>37.74</v>
      </c>
      <c r="H25" s="58">
        <v>17.54</v>
      </c>
      <c r="I25" s="58">
        <v>0.72</v>
      </c>
      <c r="J25" s="58">
        <v>1.1200000000000001</v>
      </c>
      <c r="K25" s="58">
        <v>218.98</v>
      </c>
      <c r="L25" s="58">
        <v>35.520000000000003</v>
      </c>
      <c r="M25" s="58">
        <v>16.850000000000001</v>
      </c>
      <c r="N25" s="58">
        <v>129.30000000000001</v>
      </c>
      <c r="O25" s="58">
        <v>0</v>
      </c>
      <c r="P25" s="58">
        <v>0.49</v>
      </c>
      <c r="Q25" s="58">
        <v>2.1800000000000002</v>
      </c>
      <c r="R25" s="43"/>
      <c r="S25" s="43"/>
      <c r="T25" s="43"/>
      <c r="U25" s="43"/>
    </row>
    <row r="26" spans="1:21" s="11" customFormat="1" ht="15">
      <c r="A26" s="57" t="s">
        <v>439</v>
      </c>
      <c r="B26" s="58">
        <v>1.65</v>
      </c>
      <c r="C26" s="58">
        <v>39.60</v>
      </c>
      <c r="D26" s="58">
        <v>23.70</v>
      </c>
      <c r="E26" s="58">
        <v>6.86</v>
      </c>
      <c r="F26" s="58">
        <v>52.80</v>
      </c>
      <c r="G26" s="58">
        <v>40.32</v>
      </c>
      <c r="H26" s="58">
        <v>17.41</v>
      </c>
      <c r="I26" s="58">
        <v>0.61</v>
      </c>
      <c r="J26" s="58">
        <v>0.64</v>
      </c>
      <c r="K26" s="58">
        <v>231.80</v>
      </c>
      <c r="L26" s="58">
        <v>34.409999999999997</v>
      </c>
      <c r="M26" s="58">
        <v>20.16</v>
      </c>
      <c r="N26" s="58">
        <v>65.099999999999994</v>
      </c>
      <c r="O26" s="58">
        <v>0</v>
      </c>
      <c r="P26" s="58">
        <v>0.54</v>
      </c>
      <c r="Q26" s="58">
        <v>3.03</v>
      </c>
      <c r="R26" s="43"/>
      <c r="S26" s="43"/>
      <c r="T26" s="43"/>
      <c r="U26" s="43"/>
    </row>
    <row r="27" spans="1:21" s="11" customFormat="1" ht="15">
      <c r="A27" s="57" t="s">
        <v>440</v>
      </c>
      <c r="B27" s="58">
        <v>1.86</v>
      </c>
      <c r="C27" s="58">
        <v>51.35</v>
      </c>
      <c r="D27" s="58">
        <v>30.36</v>
      </c>
      <c r="E27" s="58">
        <v>9.83</v>
      </c>
      <c r="F27" s="58">
        <v>48.09</v>
      </c>
      <c r="G27" s="58">
        <v>56.05</v>
      </c>
      <c r="H27" s="58">
        <v>18.25</v>
      </c>
      <c r="I27" s="58">
        <v>0.56000000000000005</v>
      </c>
      <c r="J27" s="58">
        <v>0.24</v>
      </c>
      <c r="K27" s="58">
        <v>249.69</v>
      </c>
      <c r="L27" s="58">
        <v>32.86</v>
      </c>
      <c r="M27" s="58">
        <v>24.49</v>
      </c>
      <c r="N27" s="58">
        <v>11.10</v>
      </c>
      <c r="O27" s="58">
        <v>0</v>
      </c>
      <c r="P27" s="58">
        <v>0.65</v>
      </c>
      <c r="Q27" s="58">
        <v>2.40</v>
      </c>
      <c r="R27" s="43"/>
      <c r="S27" s="43"/>
      <c r="T27" s="43"/>
      <c r="U27" s="43"/>
    </row>
    <row r="28" spans="1:21" s="11" customFormat="1" ht="15">
      <c r="A28" s="57" t="s">
        <v>441</v>
      </c>
      <c r="B28" s="58">
        <v>16.559999999999999</v>
      </c>
      <c r="C28" s="58">
        <v>105.12</v>
      </c>
      <c r="D28" s="58">
        <v>71.94</v>
      </c>
      <c r="E28" s="58">
        <v>11.02</v>
      </c>
      <c r="F28" s="58">
        <v>40.659999999999997</v>
      </c>
      <c r="G28" s="58">
        <v>62.10</v>
      </c>
      <c r="H28" s="58">
        <v>21.87</v>
      </c>
      <c r="I28" s="58">
        <v>0.57999999999999996</v>
      </c>
      <c r="J28" s="58">
        <v>0.56999999999999995</v>
      </c>
      <c r="K28" s="58">
        <v>190.65</v>
      </c>
      <c r="L28" s="58">
        <v>31.01</v>
      </c>
      <c r="M28" s="58">
        <v>26.59</v>
      </c>
      <c r="N28" s="58">
        <v>4.5999999999999996</v>
      </c>
      <c r="O28" s="58">
        <v>0</v>
      </c>
      <c r="P28" s="58">
        <v>1</v>
      </c>
      <c r="Q28" s="58">
        <v>5.90</v>
      </c>
      <c r="R28" s="43"/>
      <c r="S28" s="43"/>
      <c r="T28" s="43"/>
      <c r="U28" s="43"/>
    </row>
    <row r="29" spans="1:21" s="11" customFormat="1" ht="15">
      <c r="A29" s="57" t="s">
        <v>442</v>
      </c>
      <c r="B29" s="58">
        <v>73.89</v>
      </c>
      <c r="C29" s="58">
        <v>116.48</v>
      </c>
      <c r="D29" s="58">
        <v>124.18</v>
      </c>
      <c r="E29" s="58">
        <v>11.84</v>
      </c>
      <c r="F29" s="58">
        <v>24.82</v>
      </c>
      <c r="G29" s="58">
        <v>68.680000000000007</v>
      </c>
      <c r="H29" s="58">
        <v>23.77</v>
      </c>
      <c r="I29" s="58">
        <v>1</v>
      </c>
      <c r="J29" s="58">
        <v>0.21</v>
      </c>
      <c r="K29" s="58">
        <v>354.27</v>
      </c>
      <c r="L29" s="58">
        <v>30.16</v>
      </c>
      <c r="M29" s="58">
        <v>34.409999999999997</v>
      </c>
      <c r="N29" s="58">
        <v>5.30</v>
      </c>
      <c r="O29" s="58">
        <v>0</v>
      </c>
      <c r="P29" s="58">
        <v>2.63</v>
      </c>
      <c r="Q29" s="58">
        <v>15.18</v>
      </c>
      <c r="R29" s="43"/>
      <c r="S29" s="43"/>
      <c r="T29" s="43"/>
      <c r="U29" s="43"/>
    </row>
    <row r="30" spans="1:21" s="11" customFormat="1" ht="15">
      <c r="A30" s="57" t="s">
        <v>443</v>
      </c>
      <c r="B30" s="58">
        <v>155.52000000000001</v>
      </c>
      <c r="C30" s="58">
        <v>118.79</v>
      </c>
      <c r="D30" s="58">
        <v>190.92</v>
      </c>
      <c r="E30" s="58">
        <v>9.16</v>
      </c>
      <c r="F30" s="58">
        <v>4.0199999999999996</v>
      </c>
      <c r="G30" s="58">
        <v>94.40</v>
      </c>
      <c r="H30" s="58">
        <v>30.59</v>
      </c>
      <c r="I30" s="58">
        <v>1.1000000000000001</v>
      </c>
      <c r="J30" s="58">
        <v>0.18</v>
      </c>
      <c r="K30" s="58">
        <v>357.88</v>
      </c>
      <c r="L30" s="58">
        <v>27.86</v>
      </c>
      <c r="M30" s="58">
        <v>41.34</v>
      </c>
      <c r="N30" s="58">
        <v>5.0999999999999996</v>
      </c>
      <c r="O30" s="58">
        <v>0</v>
      </c>
      <c r="P30" s="58">
        <v>2.99</v>
      </c>
      <c r="Q30" s="58">
        <v>15.64</v>
      </c>
      <c r="R30" s="43"/>
      <c r="S30" s="43"/>
      <c r="T30" s="43"/>
      <c r="U30" s="43"/>
    </row>
    <row r="31" spans="1:21" s="11" customFormat="1" ht="15">
      <c r="A31" s="57" t="s">
        <v>444</v>
      </c>
      <c r="B31" s="58">
        <v>152.72</v>
      </c>
      <c r="C31" s="58">
        <v>119.94</v>
      </c>
      <c r="D31" s="58">
        <v>187.27</v>
      </c>
      <c r="E31" s="58">
        <v>8.33</v>
      </c>
      <c r="F31" s="58">
        <v>9.7899999999999991</v>
      </c>
      <c r="G31" s="58">
        <v>120.63</v>
      </c>
      <c r="H31" s="58">
        <v>40.83</v>
      </c>
      <c r="I31" s="58">
        <v>1.33</v>
      </c>
      <c r="J31" s="58">
        <v>0.13</v>
      </c>
      <c r="K31" s="58">
        <v>353.94</v>
      </c>
      <c r="L31" s="58">
        <v>27.36</v>
      </c>
      <c r="M31" s="58">
        <v>41.59</v>
      </c>
      <c r="N31" s="58">
        <v>4.80</v>
      </c>
      <c r="O31" s="58">
        <v>0</v>
      </c>
      <c r="P31" s="58">
        <v>3.28</v>
      </c>
      <c r="Q31" s="58">
        <v>27.05</v>
      </c>
      <c r="R31" s="43"/>
      <c r="S31" s="43"/>
      <c r="T31" s="43"/>
      <c r="U31" s="43"/>
    </row>
    <row r="32" spans="1:21" s="11" customFormat="1" ht="15">
      <c r="A32" s="57" t="s">
        <v>445</v>
      </c>
      <c r="B32" s="58">
        <v>107.37</v>
      </c>
      <c r="C32" s="58">
        <v>108.11</v>
      </c>
      <c r="D32" s="58">
        <v>146.41</v>
      </c>
      <c r="E32" s="58">
        <v>7.95</v>
      </c>
      <c r="F32" s="58">
        <v>7.41</v>
      </c>
      <c r="G32" s="58">
        <v>125.01</v>
      </c>
      <c r="H32" s="58">
        <v>40.82</v>
      </c>
      <c r="I32" s="58">
        <v>1.36</v>
      </c>
      <c r="J32" s="58">
        <v>0.23</v>
      </c>
      <c r="K32" s="58">
        <v>353.63</v>
      </c>
      <c r="L32" s="58">
        <v>26.90</v>
      </c>
      <c r="M32" s="58">
        <v>43.76</v>
      </c>
      <c r="N32" s="58">
        <v>5</v>
      </c>
      <c r="O32" s="58">
        <v>0</v>
      </c>
      <c r="P32" s="58">
        <v>2.52</v>
      </c>
      <c r="Q32" s="58">
        <v>30.40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1.5900000000000001</v>
      </c>
      <c r="C34" s="28">
        <f t="shared" si="0"/>
        <v>34.479999999999997</v>
      </c>
      <c r="D34" s="28">
        <f t="shared" si="0"/>
        <v>20.93</v>
      </c>
      <c r="E34" s="28">
        <f t="shared" si="0"/>
        <v>1.54</v>
      </c>
      <c r="F34" s="28">
        <f t="shared" si="0"/>
        <v>4.0199999999999996</v>
      </c>
      <c r="G34" s="28">
        <f t="shared" si="0"/>
        <v>37.740000000000002</v>
      </c>
      <c r="H34" s="28">
        <f t="shared" si="0"/>
        <v>17.41</v>
      </c>
      <c r="I34" s="28">
        <f t="shared" si="0"/>
        <v>0.53000000000000003</v>
      </c>
      <c r="J34" s="28">
        <f t="shared" si="0"/>
        <v>0.070000000000000007</v>
      </c>
      <c r="K34" s="28">
        <f t="shared" si="0"/>
        <v>102.27</v>
      </c>
      <c r="L34" s="28">
        <f t="shared" si="0"/>
        <v>23.789999999999999</v>
      </c>
      <c r="M34" s="28">
        <f t="shared" si="0"/>
        <v>14.19</v>
      </c>
      <c r="N34" s="28">
        <f t="shared" si="0"/>
        <v>4.5999999999999996</v>
      </c>
      <c r="O34" s="28">
        <f t="shared" si="0"/>
        <v>0</v>
      </c>
      <c r="P34" s="28">
        <f t="shared" si="0"/>
        <v>0.47999999999999998</v>
      </c>
      <c r="Q34" s="28">
        <f t="shared" si="0"/>
        <v>2.1800000000000002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155.52000000000001</v>
      </c>
      <c r="C35" s="29">
        <f t="shared" si="1"/>
        <v>119.94</v>
      </c>
      <c r="D35" s="29">
        <f t="shared" si="1"/>
        <v>190.91999999999999</v>
      </c>
      <c r="E35" s="29">
        <f t="shared" si="1"/>
        <v>12.1</v>
      </c>
      <c r="F35" s="29">
        <f t="shared" si="1"/>
        <v>53.450000000000003</v>
      </c>
      <c r="G35" s="29">
        <f t="shared" si="1"/>
        <v>125.01000000000001</v>
      </c>
      <c r="H35" s="29">
        <f t="shared" si="1"/>
        <v>40.829999999999998</v>
      </c>
      <c r="I35" s="29">
        <f t="shared" si="1"/>
        <v>1.3600000000000001</v>
      </c>
      <c r="J35" s="29">
        <f t="shared" si="1"/>
        <v>1.3400000000000001</v>
      </c>
      <c r="K35" s="29">
        <f t="shared" si="1"/>
        <v>358.88</v>
      </c>
      <c r="L35" s="29">
        <f t="shared" si="1"/>
        <v>40.229999999999997</v>
      </c>
      <c r="M35" s="29">
        <f t="shared" si="1"/>
        <v>44.740000000000002</v>
      </c>
      <c r="N35" s="29">
        <f t="shared" si="1"/>
        <v>845.29999999999995</v>
      </c>
      <c r="O35" s="29">
        <f t="shared" si="1"/>
        <v>0</v>
      </c>
      <c r="P35" s="29">
        <f t="shared" si="1"/>
        <v>3.2799999999999998</v>
      </c>
      <c r="Q35" s="29">
        <f t="shared" si="1"/>
        <v>30.399999999999999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26.221666666666668</v>
      </c>
      <c r="C36" s="28">
        <f t="shared" si="2"/>
        <v>59.908333333333331</v>
      </c>
      <c r="D36" s="28">
        <f t="shared" si="2"/>
        <v>54.407500000000006</v>
      </c>
      <c r="E36" s="28">
        <f t="shared" si="2"/>
        <v>5.7687499999999998</v>
      </c>
      <c r="F36" s="28">
        <f t="shared" si="2"/>
        <v>25.238749999999996</v>
      </c>
      <c r="G36" s="28">
        <f t="shared" si="2"/>
        <v>64.69916666666667</v>
      </c>
      <c r="H36" s="28">
        <f t="shared" si="2"/>
        <v>23.775416666666672</v>
      </c>
      <c r="I36" s="28">
        <f t="shared" si="2"/>
        <v>0.71416666666666673</v>
      </c>
      <c r="J36" s="28">
        <f t="shared" si="2"/>
        <v>0.52000000000000013</v>
      </c>
      <c r="K36" s="28">
        <f t="shared" si="2"/>
        <v>291.82041666666663</v>
      </c>
      <c r="L36" s="28">
        <f t="shared" si="2"/>
        <v>31.262083333333333</v>
      </c>
      <c r="M36" s="28">
        <f t="shared" si="2"/>
        <v>30.564583333333335</v>
      </c>
      <c r="N36" s="28">
        <f t="shared" si="2"/>
        <v>262.32916666666677</v>
      </c>
      <c r="O36" s="28">
        <f t="shared" si="2"/>
        <v>0</v>
      </c>
      <c r="P36" s="28">
        <f t="shared" si="2"/>
        <v>1.0562500000000001</v>
      </c>
      <c r="Q36" s="28">
        <f t="shared" si="2"/>
        <v>9.5470833333333349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46.297405098348435</v>
      </c>
      <c r="C37" s="28">
        <f t="shared" si="3" ref="C37:Q37">STDEV(C9:C32)</f>
        <v>28.989075253584268</v>
      </c>
      <c r="D37" s="28">
        <f t="shared" si="3"/>
        <v>51.536150524360707</v>
      </c>
      <c r="E37" s="28">
        <f t="shared" si="3"/>
        <v>3.4208075737348569</v>
      </c>
      <c r="F37" s="28">
        <f t="shared" si="3"/>
        <v>16.7387964640597</v>
      </c>
      <c r="G37" s="28">
        <f t="shared" si="3"/>
        <v>23.313749612932149</v>
      </c>
      <c r="H37" s="28">
        <f t="shared" si="3"/>
        <v>6.2267864411795646</v>
      </c>
      <c r="I37" s="28">
        <f t="shared" si="3"/>
        <v>0.24144342512529085</v>
      </c>
      <c r="J37" s="28">
        <f t="shared" si="3"/>
        <v>0.44342540179439616</v>
      </c>
      <c r="K37" s="28">
        <f t="shared" si="3"/>
        <v>82.382347490707815</v>
      </c>
      <c r="L37" s="28">
        <f t="shared" si="3"/>
        <v>5.7810905990559274</v>
      </c>
      <c r="M37" s="28">
        <f t="shared" si="3"/>
        <v>11.787767417471624</v>
      </c>
      <c r="N37" s="28">
        <f t="shared" si="3"/>
        <v>332.66292311687903</v>
      </c>
      <c r="O37" s="28">
        <f t="shared" si="3"/>
        <v>0</v>
      </c>
      <c r="P37" s="28">
        <f t="shared" si="3"/>
        <v>0.84235081249105903</v>
      </c>
      <c r="Q37" s="28">
        <f t="shared" si="3"/>
        <v>6.9672447795983565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cc1c84-5f6b-45aa-af36-8572fe08ed6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0" sqref="G7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446</v>
      </c>
      <c r="B9" s="58">
        <v>75.680000000000007</v>
      </c>
      <c r="C9" s="58">
        <v>92.30</v>
      </c>
      <c r="D9" s="58">
        <v>112.28</v>
      </c>
      <c r="E9" s="58">
        <v>8.0299999999999994</v>
      </c>
      <c r="F9" s="58">
        <v>17.100000000000001</v>
      </c>
      <c r="G9" s="58">
        <v>124.31</v>
      </c>
      <c r="H9" s="58">
        <v>48.5</v>
      </c>
      <c r="I9" s="58">
        <v>0.97</v>
      </c>
      <c r="J9" s="58">
        <v>0.17</v>
      </c>
      <c r="K9" s="58">
        <v>348.02</v>
      </c>
      <c r="L9" s="58">
        <v>25.73</v>
      </c>
      <c r="M9" s="58">
        <v>42.80</v>
      </c>
      <c r="N9" s="58">
        <v>4.80</v>
      </c>
      <c r="O9" s="58">
        <v>0</v>
      </c>
      <c r="P9" s="58">
        <v>2.13</v>
      </c>
      <c r="Q9" s="58">
        <v>30.02</v>
      </c>
      <c r="R9" s="43"/>
      <c r="S9" s="43"/>
      <c r="T9" s="43"/>
      <c r="U9" s="43"/>
    </row>
    <row r="10" spans="1:21" s="11" customFormat="1" ht="15">
      <c r="A10" s="57" t="s">
        <v>447</v>
      </c>
      <c r="B10" s="58">
        <v>49.39</v>
      </c>
      <c r="C10" s="58">
        <v>65.86</v>
      </c>
      <c r="D10" s="58">
        <v>76.599999999999994</v>
      </c>
      <c r="E10" s="58">
        <v>7.60</v>
      </c>
      <c r="F10" s="58">
        <v>17.97</v>
      </c>
      <c r="G10" s="58">
        <v>118.46</v>
      </c>
      <c r="H10" s="58">
        <v>48</v>
      </c>
      <c r="I10" s="58">
        <v>0.79</v>
      </c>
      <c r="J10" s="58">
        <v>0.08</v>
      </c>
      <c r="K10" s="58">
        <v>356.62</v>
      </c>
      <c r="L10" s="58">
        <v>24.56</v>
      </c>
      <c r="M10" s="58">
        <v>46.04</v>
      </c>
      <c r="N10" s="58">
        <v>5.20</v>
      </c>
      <c r="O10" s="58">
        <v>0</v>
      </c>
      <c r="P10" s="58">
        <v>1.54</v>
      </c>
      <c r="Q10" s="58">
        <v>29.09</v>
      </c>
      <c r="R10" s="43"/>
      <c r="S10" s="43"/>
      <c r="T10" s="43"/>
      <c r="U10" s="43"/>
    </row>
    <row r="11" spans="1:21" s="11" customFormat="1" ht="15">
      <c r="A11" s="57" t="s">
        <v>448</v>
      </c>
      <c r="B11" s="58">
        <v>35.880000000000003</v>
      </c>
      <c r="C11" s="58">
        <v>60.83</v>
      </c>
      <c r="D11" s="58">
        <v>62.09</v>
      </c>
      <c r="E11" s="58">
        <v>6.80</v>
      </c>
      <c r="F11" s="58">
        <v>14.28</v>
      </c>
      <c r="G11" s="58">
        <v>104.97</v>
      </c>
      <c r="H11" s="58">
        <v>59.15</v>
      </c>
      <c r="I11" s="58">
        <v>0.75</v>
      </c>
      <c r="J11" s="58">
        <v>0.31</v>
      </c>
      <c r="K11" s="58">
        <v>332.80</v>
      </c>
      <c r="L11" s="58">
        <v>25.69</v>
      </c>
      <c r="M11" s="58">
        <v>46.13</v>
      </c>
      <c r="N11" s="58">
        <v>5</v>
      </c>
      <c r="O11" s="58">
        <v>0</v>
      </c>
      <c r="P11" s="58">
        <v>1.36</v>
      </c>
      <c r="Q11" s="58">
        <v>30.03</v>
      </c>
      <c r="R11" s="43"/>
      <c r="S11" s="43"/>
      <c r="T11" s="43"/>
      <c r="U11" s="43"/>
    </row>
    <row r="12" spans="1:21" s="11" customFormat="1" ht="15">
      <c r="A12" s="57" t="s">
        <v>449</v>
      </c>
      <c r="B12" s="58">
        <v>31.15</v>
      </c>
      <c r="C12" s="58">
        <v>52.19</v>
      </c>
      <c r="D12" s="58">
        <v>54.13</v>
      </c>
      <c r="E12" s="58">
        <v>4.51</v>
      </c>
      <c r="F12" s="58">
        <v>10.82</v>
      </c>
      <c r="G12" s="58">
        <v>94.91</v>
      </c>
      <c r="H12" s="58">
        <v>54.87</v>
      </c>
      <c r="I12" s="58">
        <v>0.70</v>
      </c>
      <c r="J12" s="58">
        <v>0.22</v>
      </c>
      <c r="K12" s="58">
        <v>343.48</v>
      </c>
      <c r="L12" s="58">
        <v>23.52</v>
      </c>
      <c r="M12" s="58">
        <v>51.17</v>
      </c>
      <c r="N12" s="58">
        <v>5.0999999999999996</v>
      </c>
      <c r="O12" s="58">
        <v>0</v>
      </c>
      <c r="P12" s="58">
        <v>1.25</v>
      </c>
      <c r="Q12" s="58">
        <v>26.54</v>
      </c>
      <c r="R12" s="43"/>
      <c r="S12" s="43"/>
      <c r="T12" s="43"/>
      <c r="U12" s="43"/>
    </row>
    <row r="13" spans="1:21" s="11" customFormat="1" ht="15">
      <c r="A13" s="57" t="s">
        <v>450</v>
      </c>
      <c r="B13" s="58">
        <v>43.21</v>
      </c>
      <c r="C13" s="58">
        <v>68.540000000000006</v>
      </c>
      <c r="D13" s="58">
        <v>73.13</v>
      </c>
      <c r="E13" s="58">
        <v>4.7699999999999996</v>
      </c>
      <c r="F13" s="58">
        <v>6.95</v>
      </c>
      <c r="G13" s="58">
        <v>82.64</v>
      </c>
      <c r="H13" s="58">
        <v>33.78</v>
      </c>
      <c r="I13" s="58">
        <v>0.67</v>
      </c>
      <c r="J13" s="58">
        <v>0.16</v>
      </c>
      <c r="K13" s="58">
        <v>341.47</v>
      </c>
      <c r="L13" s="58">
        <v>22.95</v>
      </c>
      <c r="M13" s="58">
        <v>52.17</v>
      </c>
      <c r="N13" s="58">
        <v>4.70</v>
      </c>
      <c r="O13" s="58">
        <v>0</v>
      </c>
      <c r="P13" s="58">
        <v>1.19</v>
      </c>
      <c r="Q13" s="58">
        <v>20.58</v>
      </c>
      <c r="R13" s="43"/>
      <c r="S13" s="43"/>
      <c r="T13" s="43"/>
      <c r="U13" s="43"/>
    </row>
    <row r="14" spans="1:21" s="11" customFormat="1" ht="15">
      <c r="A14" s="57" t="s">
        <v>451</v>
      </c>
      <c r="B14" s="58">
        <v>26.60</v>
      </c>
      <c r="C14" s="58">
        <v>54.96</v>
      </c>
      <c r="D14" s="58">
        <v>52.31</v>
      </c>
      <c r="E14" s="58">
        <v>5.67</v>
      </c>
      <c r="F14" s="58">
        <v>11.89</v>
      </c>
      <c r="G14" s="58">
        <v>71.38</v>
      </c>
      <c r="H14" s="58">
        <v>23.98</v>
      </c>
      <c r="I14" s="58">
        <v>0.65</v>
      </c>
      <c r="J14" s="58">
        <v>0.20</v>
      </c>
      <c r="K14" s="58">
        <v>272.01</v>
      </c>
      <c r="L14" s="58">
        <v>23.44</v>
      </c>
      <c r="M14" s="58">
        <v>49.95</v>
      </c>
      <c r="N14" s="58">
        <v>20.70</v>
      </c>
      <c r="O14" s="58">
        <v>0</v>
      </c>
      <c r="P14" s="58">
        <v>1.1399999999999999</v>
      </c>
      <c r="Q14" s="58">
        <v>22.56</v>
      </c>
      <c r="R14" s="43"/>
      <c r="S14" s="43"/>
      <c r="T14" s="43"/>
      <c r="U14" s="43"/>
    </row>
    <row r="15" spans="1:21" s="11" customFormat="1" ht="15">
      <c r="A15" s="57" t="s">
        <v>452</v>
      </c>
      <c r="B15" s="58">
        <v>24.52</v>
      </c>
      <c r="C15" s="58">
        <v>52.47</v>
      </c>
      <c r="D15" s="58">
        <v>49.27</v>
      </c>
      <c r="E15" s="58">
        <v>3.91</v>
      </c>
      <c r="F15" s="58">
        <v>8.2799999999999994</v>
      </c>
      <c r="G15" s="58">
        <v>70.58</v>
      </c>
      <c r="H15" s="58">
        <v>27.06</v>
      </c>
      <c r="I15" s="58">
        <v>0.64</v>
      </c>
      <c r="J15" s="58">
        <v>0.57999999999999996</v>
      </c>
      <c r="K15" s="58">
        <v>345.40</v>
      </c>
      <c r="L15" s="58">
        <v>25.24</v>
      </c>
      <c r="M15" s="58">
        <v>50.31</v>
      </c>
      <c r="N15" s="58">
        <v>125.30</v>
      </c>
      <c r="O15" s="58">
        <v>0</v>
      </c>
      <c r="P15" s="58">
        <v>1.19</v>
      </c>
      <c r="Q15" s="58">
        <v>17.43</v>
      </c>
      <c r="R15" s="43"/>
      <c r="S15" s="43"/>
      <c r="T15" s="43"/>
      <c r="U15" s="43"/>
    </row>
    <row r="16" spans="1:21" s="11" customFormat="1" ht="15">
      <c r="A16" s="57" t="s">
        <v>453</v>
      </c>
      <c r="B16" s="58">
        <v>16.809999999999999</v>
      </c>
      <c r="C16" s="58">
        <v>49.59</v>
      </c>
      <c r="D16" s="58">
        <v>40.69</v>
      </c>
      <c r="E16" s="58">
        <v>3.99</v>
      </c>
      <c r="F16" s="58">
        <v>10.29</v>
      </c>
      <c r="G16" s="58">
        <v>67.02</v>
      </c>
      <c r="H16" s="58">
        <v>30.34</v>
      </c>
      <c r="I16" s="58">
        <v>0.64</v>
      </c>
      <c r="J16" s="58">
        <v>1.17</v>
      </c>
      <c r="K16" s="58">
        <v>182.40</v>
      </c>
      <c r="L16" s="58">
        <v>27.71</v>
      </c>
      <c r="M16" s="58">
        <v>44.55</v>
      </c>
      <c r="N16" s="58">
        <v>391.20</v>
      </c>
      <c r="O16" s="58">
        <v>0</v>
      </c>
      <c r="P16" s="58">
        <v>1.1599999999999999</v>
      </c>
      <c r="Q16" s="58">
        <v>16.43</v>
      </c>
      <c r="R16" s="43"/>
      <c r="S16" s="43"/>
      <c r="T16" s="43"/>
      <c r="U16" s="43"/>
    </row>
    <row r="17" spans="1:21" s="11" customFormat="1" ht="15">
      <c r="A17" s="57" t="s">
        <v>454</v>
      </c>
      <c r="B17" s="58">
        <v>9.99</v>
      </c>
      <c r="C17" s="58">
        <v>49.21</v>
      </c>
      <c r="D17" s="58">
        <v>35.81</v>
      </c>
      <c r="E17" s="58">
        <v>4.3499999999999996</v>
      </c>
      <c r="F17" s="58">
        <v>13.88</v>
      </c>
      <c r="G17" s="58">
        <v>66.84</v>
      </c>
      <c r="H17" s="58">
        <v>29.65</v>
      </c>
      <c r="I17" s="58">
        <v>0.62</v>
      </c>
      <c r="J17" s="58">
        <v>1.23</v>
      </c>
      <c r="K17" s="58">
        <v>176.16</v>
      </c>
      <c r="L17" s="58">
        <v>30.45</v>
      </c>
      <c r="M17" s="58">
        <v>39.26</v>
      </c>
      <c r="N17" s="58">
        <v>605.60</v>
      </c>
      <c r="O17" s="58">
        <v>0</v>
      </c>
      <c r="P17" s="58">
        <v>1.08</v>
      </c>
      <c r="Q17" s="58">
        <v>16.809999999999999</v>
      </c>
      <c r="R17" s="43"/>
      <c r="S17" s="43"/>
      <c r="T17" s="43"/>
      <c r="U17" s="43"/>
    </row>
    <row r="18" spans="1:21" s="11" customFormat="1" ht="15">
      <c r="A18" s="57" t="s">
        <v>455</v>
      </c>
      <c r="B18" s="58">
        <v>4</v>
      </c>
      <c r="C18" s="58">
        <v>48.46</v>
      </c>
      <c r="D18" s="58">
        <v>30.42</v>
      </c>
      <c r="E18" s="58">
        <v>4.92</v>
      </c>
      <c r="F18" s="58">
        <v>15.72</v>
      </c>
      <c r="G18" s="58">
        <v>65.48</v>
      </c>
      <c r="H18" s="58">
        <v>24.23</v>
      </c>
      <c r="I18" s="58">
        <v>0.67</v>
      </c>
      <c r="J18" s="58">
        <v>1.21</v>
      </c>
      <c r="K18" s="58">
        <v>211.42</v>
      </c>
      <c r="L18" s="58">
        <v>33.72</v>
      </c>
      <c r="M18" s="58">
        <v>30.91</v>
      </c>
      <c r="N18" s="58">
        <v>754</v>
      </c>
      <c r="O18" s="58">
        <v>0</v>
      </c>
      <c r="P18" s="58">
        <v>1.05</v>
      </c>
      <c r="Q18" s="58">
        <v>12.09</v>
      </c>
      <c r="R18" s="43"/>
      <c r="S18" s="43"/>
      <c r="T18" s="43"/>
      <c r="U18" s="43"/>
    </row>
    <row r="19" spans="1:21" s="11" customFormat="1" ht="15">
      <c r="A19" s="57" t="s">
        <v>456</v>
      </c>
      <c r="B19" s="58">
        <v>6.97</v>
      </c>
      <c r="C19" s="58">
        <v>58.62</v>
      </c>
      <c r="D19" s="58">
        <v>37.40</v>
      </c>
      <c r="E19" s="58">
        <v>12.39</v>
      </c>
      <c r="F19" s="58">
        <v>64.56</v>
      </c>
      <c r="G19" s="58">
        <v>60.12</v>
      </c>
      <c r="H19" s="58">
        <v>21.11</v>
      </c>
      <c r="I19" s="58">
        <v>0.59</v>
      </c>
      <c r="J19" s="58">
        <v>0.75</v>
      </c>
      <c r="K19" s="58">
        <v>349</v>
      </c>
      <c r="L19" s="58">
        <v>40.47</v>
      </c>
      <c r="M19" s="58">
        <v>23.18</v>
      </c>
      <c r="N19" s="58">
        <v>834.80</v>
      </c>
      <c r="O19" s="58">
        <v>0</v>
      </c>
      <c r="P19" s="58">
        <v>1.1000000000000001</v>
      </c>
      <c r="Q19" s="58">
        <v>12.65</v>
      </c>
      <c r="R19" s="43"/>
      <c r="S19" s="43"/>
      <c r="T19" s="43"/>
      <c r="U19" s="43"/>
    </row>
    <row r="20" spans="1:21" s="11" customFormat="1" ht="15">
      <c r="A20" s="57" t="s">
        <v>457</v>
      </c>
      <c r="B20" s="58">
        <v>4.05</v>
      </c>
      <c r="C20" s="58">
        <v>52.41</v>
      </c>
      <c r="D20" s="58">
        <v>32.24</v>
      </c>
      <c r="E20" s="58">
        <v>9.51</v>
      </c>
      <c r="F20" s="58">
        <v>50.46</v>
      </c>
      <c r="G20" s="58">
        <v>58.85</v>
      </c>
      <c r="H20" s="58">
        <v>20.70</v>
      </c>
      <c r="I20" s="58">
        <v>0.65</v>
      </c>
      <c r="J20" s="58">
        <v>0.54</v>
      </c>
      <c r="K20" s="58">
        <v>245.65</v>
      </c>
      <c r="L20" s="58">
        <v>39.96</v>
      </c>
      <c r="M20" s="58">
        <v>17.55</v>
      </c>
      <c r="N20" s="58">
        <v>845.5</v>
      </c>
      <c r="O20" s="58">
        <v>0</v>
      </c>
      <c r="P20" s="58">
        <v>1.08</v>
      </c>
      <c r="Q20" s="58">
        <v>16.11</v>
      </c>
      <c r="R20" s="43"/>
      <c r="S20" s="43"/>
      <c r="T20" s="43"/>
      <c r="U20" s="43"/>
    </row>
    <row r="21" spans="1:21" s="11" customFormat="1" ht="15">
      <c r="A21" s="57" t="s">
        <v>458</v>
      </c>
      <c r="B21" s="58">
        <v>4.28</v>
      </c>
      <c r="C21" s="58">
        <v>49.31</v>
      </c>
      <c r="D21" s="58">
        <v>30.21</v>
      </c>
      <c r="E21" s="58">
        <v>3.77</v>
      </c>
      <c r="F21" s="58">
        <v>37.229999999999997</v>
      </c>
      <c r="G21" s="58">
        <v>57.73</v>
      </c>
      <c r="H21" s="58">
        <v>18.5</v>
      </c>
      <c r="I21" s="58">
        <v>0.74</v>
      </c>
      <c r="J21" s="58">
        <v>1.1000000000000001</v>
      </c>
      <c r="K21" s="58">
        <v>114.39</v>
      </c>
      <c r="L21" s="58">
        <v>41.71</v>
      </c>
      <c r="M21" s="58">
        <v>14.78</v>
      </c>
      <c r="N21" s="58">
        <v>872.70</v>
      </c>
      <c r="O21" s="58">
        <v>0</v>
      </c>
      <c r="P21" s="58">
        <v>0.88</v>
      </c>
      <c r="Q21" s="58">
        <v>13.19</v>
      </c>
      <c r="R21" s="43"/>
      <c r="S21" s="43"/>
      <c r="T21" s="43"/>
      <c r="U21" s="43"/>
    </row>
    <row r="22" spans="1:21" s="11" customFormat="1" ht="15">
      <c r="A22" s="57" t="s">
        <v>459</v>
      </c>
      <c r="B22" s="58">
        <v>5.17</v>
      </c>
      <c r="C22" s="58">
        <v>42.05</v>
      </c>
      <c r="D22" s="58">
        <v>28</v>
      </c>
      <c r="E22" s="58">
        <v>4.68</v>
      </c>
      <c r="F22" s="58">
        <v>40.15</v>
      </c>
      <c r="G22" s="58">
        <v>49.83</v>
      </c>
      <c r="H22" s="58">
        <v>19.29</v>
      </c>
      <c r="I22" s="58">
        <v>0.84</v>
      </c>
      <c r="J22" s="58">
        <v>1.44</v>
      </c>
      <c r="K22" s="58">
        <v>357.41</v>
      </c>
      <c r="L22" s="58">
        <v>41.64</v>
      </c>
      <c r="M22" s="58">
        <v>14.39</v>
      </c>
      <c r="N22" s="58">
        <v>722.60</v>
      </c>
      <c r="O22" s="58">
        <v>0</v>
      </c>
      <c r="P22" s="58">
        <v>0.82</v>
      </c>
      <c r="Q22" s="58">
        <v>15.21</v>
      </c>
      <c r="R22" s="43"/>
      <c r="S22" s="43"/>
      <c r="T22" s="43"/>
      <c r="U22" s="43"/>
    </row>
    <row r="23" spans="1:21" s="11" customFormat="1" ht="15">
      <c r="A23" s="57" t="s">
        <v>460</v>
      </c>
      <c r="B23" s="58">
        <v>5.0999999999999996</v>
      </c>
      <c r="C23" s="58">
        <v>45.29</v>
      </c>
      <c r="D23" s="58">
        <v>29.72</v>
      </c>
      <c r="E23" s="58">
        <v>5.27</v>
      </c>
      <c r="F23" s="58">
        <v>38.25</v>
      </c>
      <c r="G23" s="58">
        <v>43.58</v>
      </c>
      <c r="H23" s="58">
        <v>19.23</v>
      </c>
      <c r="I23" s="58">
        <v>0.83</v>
      </c>
      <c r="J23" s="58">
        <v>0.36</v>
      </c>
      <c r="K23" s="58">
        <v>233.69</v>
      </c>
      <c r="L23" s="58">
        <v>39.69</v>
      </c>
      <c r="M23" s="58">
        <v>12.59</v>
      </c>
      <c r="N23" s="58">
        <v>571.70000000000005</v>
      </c>
      <c r="O23" s="58">
        <v>0</v>
      </c>
      <c r="P23" s="58">
        <v>0.79</v>
      </c>
      <c r="Q23" s="58">
        <v>15.37</v>
      </c>
      <c r="R23" s="43"/>
      <c r="S23" s="43"/>
      <c r="T23" s="43"/>
      <c r="U23" s="43"/>
    </row>
    <row r="24" spans="1:21" s="11" customFormat="1" ht="15">
      <c r="A24" s="57" t="s">
        <v>461</v>
      </c>
      <c r="B24" s="58">
        <v>4.09</v>
      </c>
      <c r="C24" s="58">
        <v>47.52</v>
      </c>
      <c r="D24" s="58">
        <v>30.04</v>
      </c>
      <c r="E24" s="58">
        <v>5.95</v>
      </c>
      <c r="F24" s="58">
        <v>57.96</v>
      </c>
      <c r="G24" s="58">
        <v>46.11</v>
      </c>
      <c r="H24" s="58">
        <v>19.98</v>
      </c>
      <c r="I24" s="58">
        <v>0.76</v>
      </c>
      <c r="J24" s="58">
        <v>0.30</v>
      </c>
      <c r="K24" s="58">
        <v>355.46</v>
      </c>
      <c r="L24" s="58">
        <v>38.15</v>
      </c>
      <c r="M24" s="58">
        <v>14.54</v>
      </c>
      <c r="N24" s="58">
        <v>352.10</v>
      </c>
      <c r="O24" s="58">
        <v>0</v>
      </c>
      <c r="P24" s="58">
        <v>0.72</v>
      </c>
      <c r="Q24" s="58">
        <v>13.14</v>
      </c>
      <c r="R24" s="43"/>
      <c r="S24" s="43"/>
      <c r="T24" s="43"/>
      <c r="U24" s="43"/>
    </row>
    <row r="25" spans="1:21" s="11" customFormat="1" ht="15">
      <c r="A25" s="57" t="s">
        <v>462</v>
      </c>
      <c r="B25" s="58">
        <v>4.57</v>
      </c>
      <c r="C25" s="58">
        <v>48.02</v>
      </c>
      <c r="D25" s="58">
        <v>30.81</v>
      </c>
      <c r="E25" s="58">
        <v>11.66</v>
      </c>
      <c r="F25" s="58">
        <v>73.599999999999994</v>
      </c>
      <c r="G25" s="58">
        <v>45.82</v>
      </c>
      <c r="H25" s="58">
        <v>21.12</v>
      </c>
      <c r="I25" s="58">
        <v>0.69</v>
      </c>
      <c r="J25" s="58">
        <v>0.67</v>
      </c>
      <c r="K25" s="58">
        <v>353.78</v>
      </c>
      <c r="L25" s="58">
        <v>37.54</v>
      </c>
      <c r="M25" s="58">
        <v>15.14</v>
      </c>
      <c r="N25" s="58">
        <v>118.60</v>
      </c>
      <c r="O25" s="58">
        <v>0</v>
      </c>
      <c r="P25" s="58">
        <v>0.78</v>
      </c>
      <c r="Q25" s="58">
        <v>11.23</v>
      </c>
      <c r="R25" s="43"/>
      <c r="S25" s="43"/>
      <c r="T25" s="43"/>
      <c r="U25" s="43"/>
    </row>
    <row r="26" spans="1:21" s="11" customFormat="1" ht="15">
      <c r="A26" s="57" t="s">
        <v>463</v>
      </c>
      <c r="B26" s="58">
        <v>2.2599999999999998</v>
      </c>
      <c r="C26" s="58">
        <v>49.81</v>
      </c>
      <c r="D26" s="58">
        <v>29.78</v>
      </c>
      <c r="E26" s="58">
        <v>12.63</v>
      </c>
      <c r="F26" s="58">
        <v>66.599999999999994</v>
      </c>
      <c r="G26" s="58">
        <v>43.77</v>
      </c>
      <c r="H26" s="58">
        <v>20.03</v>
      </c>
      <c r="I26" s="58">
        <v>0.64</v>
      </c>
      <c r="J26" s="58">
        <v>0.41</v>
      </c>
      <c r="K26" s="58">
        <v>260.18</v>
      </c>
      <c r="L26" s="58">
        <v>36.29</v>
      </c>
      <c r="M26" s="58">
        <v>16.71</v>
      </c>
      <c r="N26" s="58">
        <v>73.70</v>
      </c>
      <c r="O26" s="58">
        <v>0</v>
      </c>
      <c r="P26" s="58">
        <v>0.80</v>
      </c>
      <c r="Q26" s="58">
        <v>12.61</v>
      </c>
      <c r="R26" s="43"/>
      <c r="S26" s="43"/>
      <c r="T26" s="43"/>
      <c r="U26" s="43"/>
    </row>
    <row r="27" spans="1:21" s="11" customFormat="1" ht="15">
      <c r="A27" s="57" t="s">
        <v>464</v>
      </c>
      <c r="B27" s="58">
        <v>6.10</v>
      </c>
      <c r="C27" s="58">
        <v>75.22</v>
      </c>
      <c r="D27" s="58">
        <v>47.05</v>
      </c>
      <c r="E27" s="58">
        <v>8.26</v>
      </c>
      <c r="F27" s="58">
        <v>41.76</v>
      </c>
      <c r="G27" s="58">
        <v>50.08</v>
      </c>
      <c r="H27" s="58">
        <v>32.880000000000003</v>
      </c>
      <c r="I27" s="58">
        <v>0.69</v>
      </c>
      <c r="J27" s="58">
        <v>0.25</v>
      </c>
      <c r="K27" s="58">
        <v>278.23</v>
      </c>
      <c r="L27" s="58">
        <v>34.32</v>
      </c>
      <c r="M27" s="58">
        <v>19.32</v>
      </c>
      <c r="N27" s="58">
        <v>10.30</v>
      </c>
      <c r="O27" s="58">
        <v>0</v>
      </c>
      <c r="P27" s="58">
        <v>0.93</v>
      </c>
      <c r="Q27" s="58">
        <v>12.55</v>
      </c>
      <c r="R27" s="43"/>
      <c r="S27" s="43"/>
      <c r="T27" s="43"/>
      <c r="U27" s="43"/>
    </row>
    <row r="28" spans="1:21" s="11" customFormat="1" ht="15">
      <c r="A28" s="57" t="s">
        <v>465</v>
      </c>
      <c r="B28" s="58">
        <v>3.92</v>
      </c>
      <c r="C28" s="58">
        <v>80.37</v>
      </c>
      <c r="D28" s="58">
        <v>47.44</v>
      </c>
      <c r="E28" s="58">
        <v>6.68</v>
      </c>
      <c r="F28" s="58">
        <v>33</v>
      </c>
      <c r="G28" s="58">
        <v>59.85</v>
      </c>
      <c r="H28" s="58">
        <v>32.049999999999997</v>
      </c>
      <c r="I28" s="58">
        <v>0.72</v>
      </c>
      <c r="J28" s="58">
        <v>0.26</v>
      </c>
      <c r="K28" s="58">
        <v>294.70</v>
      </c>
      <c r="L28" s="58">
        <v>32.85</v>
      </c>
      <c r="M28" s="58">
        <v>20.440000000000001</v>
      </c>
      <c r="N28" s="58">
        <v>4.80</v>
      </c>
      <c r="O28" s="58">
        <v>0</v>
      </c>
      <c r="P28" s="58">
        <v>0.94</v>
      </c>
      <c r="Q28" s="58">
        <v>13.03</v>
      </c>
      <c r="R28" s="43"/>
      <c r="S28" s="43"/>
      <c r="T28" s="43"/>
      <c r="U28" s="43"/>
    </row>
    <row r="29" spans="1:21" s="11" customFormat="1" ht="15">
      <c r="A29" s="57" t="s">
        <v>466</v>
      </c>
      <c r="B29" s="58">
        <v>56.45</v>
      </c>
      <c r="C29" s="58">
        <v>108.12</v>
      </c>
      <c r="D29" s="58">
        <v>105.13</v>
      </c>
      <c r="E29" s="58">
        <v>7.48</v>
      </c>
      <c r="F29" s="58">
        <v>30.90</v>
      </c>
      <c r="G29" s="58">
        <v>59.35</v>
      </c>
      <c r="H29" s="58">
        <v>28.27</v>
      </c>
      <c r="I29" s="58">
        <v>0.93</v>
      </c>
      <c r="J29" s="58">
        <v>0.20</v>
      </c>
      <c r="K29" s="58">
        <v>350.60</v>
      </c>
      <c r="L29" s="58">
        <v>32.549999999999997</v>
      </c>
      <c r="M29" s="58">
        <v>27.52</v>
      </c>
      <c r="N29" s="58">
        <v>5.40</v>
      </c>
      <c r="O29" s="58">
        <v>0</v>
      </c>
      <c r="P29" s="58">
        <v>2.5</v>
      </c>
      <c r="Q29" s="58">
        <v>15.96</v>
      </c>
      <c r="R29" s="43"/>
      <c r="S29" s="43"/>
      <c r="T29" s="43"/>
      <c r="U29" s="43"/>
    </row>
    <row r="30" spans="1:21" s="11" customFormat="1" ht="15">
      <c r="A30" s="57" t="s">
        <v>467</v>
      </c>
      <c r="B30" s="58">
        <v>111.96</v>
      </c>
      <c r="C30" s="58">
        <v>116.46</v>
      </c>
      <c r="D30" s="58">
        <v>154.71</v>
      </c>
      <c r="E30" s="58">
        <v>8.8699999999999992</v>
      </c>
      <c r="F30" s="58">
        <v>4.5999999999999996</v>
      </c>
      <c r="G30" s="58">
        <v>83.95</v>
      </c>
      <c r="H30" s="58">
        <v>29.86</v>
      </c>
      <c r="I30" s="58">
        <v>1.20</v>
      </c>
      <c r="J30" s="58">
        <v>0.22</v>
      </c>
      <c r="K30" s="58">
        <v>359.21</v>
      </c>
      <c r="L30" s="58">
        <v>29.20</v>
      </c>
      <c r="M30" s="58">
        <v>32.799999999999997</v>
      </c>
      <c r="N30" s="58">
        <v>5.0999999999999996</v>
      </c>
      <c r="O30" s="58">
        <v>0</v>
      </c>
      <c r="P30" s="58">
        <v>2.73</v>
      </c>
      <c r="Q30" s="58">
        <v>19.02</v>
      </c>
      <c r="R30" s="43"/>
      <c r="S30" s="43"/>
      <c r="T30" s="43"/>
      <c r="U30" s="43"/>
    </row>
    <row r="31" spans="1:21" s="11" customFormat="1" ht="15">
      <c r="A31" s="57" t="s">
        <v>468</v>
      </c>
      <c r="B31" s="58">
        <v>141.34</v>
      </c>
      <c r="C31" s="58">
        <v>120.27</v>
      </c>
      <c r="D31" s="58">
        <v>171.74</v>
      </c>
      <c r="E31" s="58">
        <v>9.08</v>
      </c>
      <c r="F31" s="58">
        <v>3.59</v>
      </c>
      <c r="G31" s="58">
        <v>103.92</v>
      </c>
      <c r="H31" s="58">
        <v>35.39</v>
      </c>
      <c r="I31" s="58">
        <v>1.1399999999999999</v>
      </c>
      <c r="J31" s="58">
        <v>0.11</v>
      </c>
      <c r="K31" s="58">
        <v>344.95</v>
      </c>
      <c r="L31" s="58">
        <v>27.79</v>
      </c>
      <c r="M31" s="58">
        <v>39.31</v>
      </c>
      <c r="N31" s="58">
        <v>4.9000000000000004</v>
      </c>
      <c r="O31" s="58">
        <v>0</v>
      </c>
      <c r="P31" s="58">
        <v>2.71</v>
      </c>
      <c r="Q31" s="58">
        <v>18.47</v>
      </c>
      <c r="R31" s="43"/>
      <c r="S31" s="43"/>
      <c r="T31" s="43"/>
      <c r="U31" s="43"/>
    </row>
    <row r="32" spans="1:21" s="11" customFormat="1" ht="15">
      <c r="A32" s="57" t="s">
        <v>469</v>
      </c>
      <c r="B32" s="58">
        <v>125.98</v>
      </c>
      <c r="C32" s="58">
        <v>95.03</v>
      </c>
      <c r="D32" s="58">
        <v>154.12</v>
      </c>
      <c r="E32" s="58">
        <v>7.07</v>
      </c>
      <c r="F32" s="58">
        <v>3.66</v>
      </c>
      <c r="G32" s="58">
        <v>119.83</v>
      </c>
      <c r="H32" s="58">
        <v>40.31</v>
      </c>
      <c r="I32" s="58">
        <v>1.1499999999999999</v>
      </c>
      <c r="J32" s="58">
        <v>0.12</v>
      </c>
      <c r="K32" s="58">
        <v>313.13</v>
      </c>
      <c r="L32" s="58">
        <v>26.48</v>
      </c>
      <c r="M32" s="58">
        <v>38.18</v>
      </c>
      <c r="N32" s="58">
        <v>4.9000000000000004</v>
      </c>
      <c r="O32" s="58">
        <v>0</v>
      </c>
      <c r="P32" s="58">
        <v>2.17</v>
      </c>
      <c r="Q32" s="58">
        <v>26.73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2.2599999999999998</v>
      </c>
      <c r="C34" s="28">
        <f t="shared" si="0"/>
        <v>42.049999999999997</v>
      </c>
      <c r="D34" s="28">
        <f t="shared" si="0"/>
        <v>28</v>
      </c>
      <c r="E34" s="28">
        <f t="shared" si="0"/>
        <v>3.77</v>
      </c>
      <c r="F34" s="28">
        <f t="shared" si="0"/>
        <v>3.5899999999999999</v>
      </c>
      <c r="G34" s="28">
        <f t="shared" si="0"/>
        <v>43.579999999999998</v>
      </c>
      <c r="H34" s="28">
        <f t="shared" si="0"/>
        <v>18.5</v>
      </c>
      <c r="I34" s="28">
        <f t="shared" si="0"/>
        <v>0.58999999999999997</v>
      </c>
      <c r="J34" s="28">
        <f t="shared" si="0"/>
        <v>0.080000000000000002</v>
      </c>
      <c r="K34" s="28">
        <f t="shared" si="0"/>
        <v>114.39</v>
      </c>
      <c r="L34" s="28">
        <f t="shared" si="0"/>
        <v>22.949999999999999</v>
      </c>
      <c r="M34" s="28">
        <f t="shared" si="0"/>
        <v>12.59</v>
      </c>
      <c r="N34" s="28">
        <f t="shared" si="0"/>
        <v>4.7000000000000002</v>
      </c>
      <c r="O34" s="28">
        <f t="shared" si="0"/>
        <v>0</v>
      </c>
      <c r="P34" s="28">
        <f t="shared" si="0"/>
        <v>0.71999999999999997</v>
      </c>
      <c r="Q34" s="28">
        <f t="shared" si="0"/>
        <v>11.23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141.34</v>
      </c>
      <c r="C35" s="29">
        <f t="shared" si="1"/>
        <v>120.27</v>
      </c>
      <c r="D35" s="29">
        <f t="shared" si="1"/>
        <v>171.74000000000001</v>
      </c>
      <c r="E35" s="29">
        <f t="shared" si="1"/>
        <v>12.630000000000001</v>
      </c>
      <c r="F35" s="29">
        <f t="shared" si="1"/>
        <v>73.599999999999994</v>
      </c>
      <c r="G35" s="29">
        <f t="shared" si="1"/>
        <v>124.31</v>
      </c>
      <c r="H35" s="29">
        <f t="shared" si="1"/>
        <v>59.149999999999999</v>
      </c>
      <c r="I35" s="29">
        <f t="shared" si="1"/>
        <v>1.2</v>
      </c>
      <c r="J35" s="29">
        <f t="shared" si="1"/>
        <v>1.4399999999999999</v>
      </c>
      <c r="K35" s="29">
        <f t="shared" si="1"/>
        <v>359.20999999999998</v>
      </c>
      <c r="L35" s="29">
        <f t="shared" si="1"/>
        <v>41.710000000000001</v>
      </c>
      <c r="M35" s="29">
        <f t="shared" si="1"/>
        <v>52.170000000000002</v>
      </c>
      <c r="N35" s="29">
        <f t="shared" si="1"/>
        <v>872.70000000000005</v>
      </c>
      <c r="O35" s="29">
        <f t="shared" si="1"/>
        <v>0</v>
      </c>
      <c r="P35" s="29">
        <f t="shared" si="1"/>
        <v>2.73</v>
      </c>
      <c r="Q35" s="29">
        <f t="shared" si="1"/>
        <v>30.030000000000001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33.311250000000008</v>
      </c>
      <c r="C36" s="28">
        <f t="shared" si="2"/>
        <v>65.954583333333318</v>
      </c>
      <c r="D36" s="28">
        <f t="shared" si="2"/>
        <v>63.129999999999995</v>
      </c>
      <c r="E36" s="28">
        <f t="shared" si="2"/>
        <v>6.9937499999999995</v>
      </c>
      <c r="F36" s="28">
        <f t="shared" si="2"/>
        <v>28.0625</v>
      </c>
      <c r="G36" s="28">
        <f t="shared" si="2"/>
        <v>72.890833333333305</v>
      </c>
      <c r="H36" s="28">
        <f t="shared" si="2"/>
        <v>30.761666666666667</v>
      </c>
      <c r="I36" s="28">
        <f t="shared" si="2"/>
        <v>0.77791666666666659</v>
      </c>
      <c r="J36" s="28">
        <f t="shared" si="2"/>
        <v>0.50249999999999995</v>
      </c>
      <c r="K36" s="28">
        <f t="shared" si="2"/>
        <v>296.67333333333335</v>
      </c>
      <c r="L36" s="28">
        <f t="shared" si="2"/>
        <v>31.735416666666666</v>
      </c>
      <c r="M36" s="28">
        <f t="shared" si="2"/>
        <v>31.655833333333337</v>
      </c>
      <c r="N36" s="28">
        <f t="shared" si="2"/>
        <v>264.52916666666664</v>
      </c>
      <c r="O36" s="28">
        <f t="shared" si="2"/>
        <v>0</v>
      </c>
      <c r="P36" s="28">
        <f t="shared" si="2"/>
        <v>1.3350000000000002</v>
      </c>
      <c r="Q36" s="28">
        <f t="shared" si="2"/>
        <v>18.202083333333334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41.267101784277422</v>
      </c>
      <c r="C37" s="28">
        <f t="shared" si="3" ref="C37:Q37">STDEV(C9:C32)</f>
        <v>23.706768613198044</v>
      </c>
      <c r="D37" s="28">
        <f t="shared" si="3"/>
        <v>43.957141973003459</v>
      </c>
      <c r="E37" s="28">
        <f t="shared" si="3"/>
        <v>2.6603608982045368</v>
      </c>
      <c r="F37" s="28">
        <f t="shared" si="3"/>
        <v>21.931230313037119</v>
      </c>
      <c r="G37" s="28">
        <f t="shared" si="3"/>
        <v>25.456099622114483</v>
      </c>
      <c r="H37" s="28">
        <f t="shared" si="3"/>
        <v>11.742253567377084</v>
      </c>
      <c r="I37" s="28">
        <f t="shared" si="3"/>
        <v>0.17633907965760987</v>
      </c>
      <c r="J37" s="28">
        <f t="shared" si="3"/>
        <v>0.42153188543072595</v>
      </c>
      <c r="K37" s="28">
        <f t="shared" si="3"/>
        <v>70.279916957380138</v>
      </c>
      <c r="L37" s="28">
        <f t="shared" si="3"/>
        <v>6.4611346285622373</v>
      </c>
      <c r="M37" s="28">
        <f t="shared" si="3"/>
        <v>14.22396016423073</v>
      </c>
      <c r="N37" s="28">
        <f t="shared" si="3"/>
        <v>335.65010570554711</v>
      </c>
      <c r="O37" s="28">
        <f t="shared" si="3"/>
        <v>0</v>
      </c>
      <c r="P37" s="28">
        <f t="shared" si="3"/>
        <v>0.62596013208232426</v>
      </c>
      <c r="Q37" s="28">
        <f t="shared" si="3"/>
        <v>6.0981123088939651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873f47-3a07-473e-b9d9-4788b311b527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68" sqref="F6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470</v>
      </c>
      <c r="B9" s="58">
        <v>95.93</v>
      </c>
      <c r="C9" s="58">
        <v>79.84</v>
      </c>
      <c r="D9" s="58">
        <v>121.64</v>
      </c>
      <c r="E9" s="58">
        <v>6.77</v>
      </c>
      <c r="F9" s="58">
        <v>3.86</v>
      </c>
      <c r="G9" s="58">
        <v>118.94</v>
      </c>
      <c r="H9" s="58">
        <v>41.22</v>
      </c>
      <c r="I9" s="58">
        <v>0.89</v>
      </c>
      <c r="J9" s="58">
        <v>0.10</v>
      </c>
      <c r="K9" s="58">
        <v>335.04</v>
      </c>
      <c r="L9" s="58">
        <v>26.13</v>
      </c>
      <c r="M9" s="58">
        <v>42.20</v>
      </c>
      <c r="N9" s="58">
        <v>4.9000000000000004</v>
      </c>
      <c r="O9" s="58">
        <v>0</v>
      </c>
      <c r="P9" s="58">
        <v>1.97</v>
      </c>
      <c r="Q9" s="58">
        <v>30.62</v>
      </c>
      <c r="R9" s="43"/>
      <c r="S9" s="43"/>
      <c r="T9" s="43"/>
      <c r="U9" s="43"/>
    </row>
    <row r="10" spans="1:21" s="11" customFormat="1" ht="15">
      <c r="A10" s="57" t="s">
        <v>471</v>
      </c>
      <c r="B10" s="58">
        <v>71.73</v>
      </c>
      <c r="C10" s="58">
        <v>71.739999999999995</v>
      </c>
      <c r="D10" s="58">
        <v>97.76</v>
      </c>
      <c r="E10" s="58">
        <v>7.88</v>
      </c>
      <c r="F10" s="58">
        <v>3.90</v>
      </c>
      <c r="G10" s="58">
        <v>112.97</v>
      </c>
      <c r="H10" s="58">
        <v>40.74</v>
      </c>
      <c r="I10" s="58">
        <v>0.86</v>
      </c>
      <c r="J10" s="58">
        <v>0.13</v>
      </c>
      <c r="K10" s="58">
        <v>318.89999999999998</v>
      </c>
      <c r="L10" s="58">
        <v>25.45</v>
      </c>
      <c r="M10" s="58">
        <v>43.30</v>
      </c>
      <c r="N10" s="58">
        <v>5</v>
      </c>
      <c r="O10" s="58">
        <v>0</v>
      </c>
      <c r="P10" s="58">
        <v>1.59</v>
      </c>
      <c r="Q10" s="58">
        <v>31.43</v>
      </c>
      <c r="R10" s="43"/>
      <c r="S10" s="43"/>
      <c r="T10" s="43"/>
      <c r="U10" s="43"/>
    </row>
    <row r="11" spans="1:21" s="11" customFormat="1" ht="15">
      <c r="A11" s="57" t="s">
        <v>472</v>
      </c>
      <c r="B11" s="58">
        <v>61.60</v>
      </c>
      <c r="C11" s="58">
        <v>61.30</v>
      </c>
      <c r="D11" s="58">
        <v>82.66</v>
      </c>
      <c r="E11" s="58">
        <v>5.86</v>
      </c>
      <c r="F11" s="58">
        <v>3.69</v>
      </c>
      <c r="G11" s="58">
        <v>105.41</v>
      </c>
      <c r="H11" s="58">
        <v>38.04</v>
      </c>
      <c r="I11" s="58">
        <v>0.80</v>
      </c>
      <c r="J11" s="58">
        <v>0.12</v>
      </c>
      <c r="K11" s="58">
        <v>348.40</v>
      </c>
      <c r="L11" s="58">
        <v>24.26</v>
      </c>
      <c r="M11" s="58">
        <v>49.99</v>
      </c>
      <c r="N11" s="58">
        <v>5.0999999999999996</v>
      </c>
      <c r="O11" s="58">
        <v>0</v>
      </c>
      <c r="P11" s="58">
        <v>1.48</v>
      </c>
      <c r="Q11" s="58">
        <v>31.41</v>
      </c>
      <c r="R11" s="43"/>
      <c r="S11" s="43"/>
      <c r="T11" s="43"/>
      <c r="U11" s="43"/>
    </row>
    <row r="12" spans="1:21" s="11" customFormat="1" ht="15">
      <c r="A12" s="57" t="s">
        <v>473</v>
      </c>
      <c r="B12" s="58">
        <v>54.60</v>
      </c>
      <c r="C12" s="58">
        <v>53.24</v>
      </c>
      <c r="D12" s="58">
        <v>73.48</v>
      </c>
      <c r="E12" s="58">
        <v>4.75</v>
      </c>
      <c r="F12" s="58">
        <v>7.53</v>
      </c>
      <c r="G12" s="58">
        <v>102.15</v>
      </c>
      <c r="H12" s="58">
        <v>38.58</v>
      </c>
      <c r="I12" s="58">
        <v>0.81</v>
      </c>
      <c r="J12" s="58">
        <v>0.33</v>
      </c>
      <c r="K12" s="58">
        <v>305.88</v>
      </c>
      <c r="L12" s="58">
        <v>25.15</v>
      </c>
      <c r="M12" s="58">
        <v>45.66</v>
      </c>
      <c r="N12" s="58">
        <v>4.5999999999999996</v>
      </c>
      <c r="O12" s="58">
        <v>0</v>
      </c>
      <c r="P12" s="58">
        <v>1.35</v>
      </c>
      <c r="Q12" s="58">
        <v>29.90</v>
      </c>
      <c r="R12" s="43"/>
      <c r="S12" s="43"/>
      <c r="T12" s="43"/>
      <c r="U12" s="43"/>
    </row>
    <row r="13" spans="1:21" s="11" customFormat="1" ht="15">
      <c r="A13" s="57" t="s">
        <v>474</v>
      </c>
      <c r="B13" s="58">
        <v>36.700000000000003</v>
      </c>
      <c r="C13" s="58">
        <v>54.61</v>
      </c>
      <c r="D13" s="58">
        <v>60.21</v>
      </c>
      <c r="E13" s="58">
        <v>5.88</v>
      </c>
      <c r="F13" s="58">
        <v>10.28</v>
      </c>
      <c r="G13" s="58">
        <v>99.49</v>
      </c>
      <c r="H13" s="58">
        <v>38.11</v>
      </c>
      <c r="I13" s="58">
        <v>0.75</v>
      </c>
      <c r="J13" s="58">
        <v>0.15</v>
      </c>
      <c r="K13" s="58">
        <v>352.03</v>
      </c>
      <c r="L13" s="58">
        <v>24.16</v>
      </c>
      <c r="M13" s="58">
        <v>41.80</v>
      </c>
      <c r="N13" s="58">
        <v>4.9000000000000004</v>
      </c>
      <c r="O13" s="58">
        <v>0</v>
      </c>
      <c r="P13" s="58">
        <v>1.1200000000000001</v>
      </c>
      <c r="Q13" s="58">
        <v>28.15</v>
      </c>
      <c r="R13" s="43"/>
      <c r="S13" s="43"/>
      <c r="T13" s="43"/>
      <c r="U13" s="43"/>
    </row>
    <row r="14" spans="1:21" s="11" customFormat="1" ht="15">
      <c r="A14" s="57" t="s">
        <v>475</v>
      </c>
      <c r="B14" s="58">
        <v>40.200000000000003</v>
      </c>
      <c r="C14" s="58">
        <v>48.76</v>
      </c>
      <c r="D14" s="58">
        <v>59.45</v>
      </c>
      <c r="E14" s="58">
        <v>4.97</v>
      </c>
      <c r="F14" s="58">
        <v>6.56</v>
      </c>
      <c r="G14" s="58">
        <v>83.88</v>
      </c>
      <c r="H14" s="58">
        <v>34.82</v>
      </c>
      <c r="I14" s="58">
        <v>0.75</v>
      </c>
      <c r="J14" s="58">
        <v>0.41</v>
      </c>
      <c r="K14" s="58">
        <v>271.85000000000002</v>
      </c>
      <c r="L14" s="58">
        <v>24.54</v>
      </c>
      <c r="M14" s="58">
        <v>41.5</v>
      </c>
      <c r="N14" s="58">
        <v>30.10</v>
      </c>
      <c r="O14" s="58">
        <v>0</v>
      </c>
      <c r="P14" s="58">
        <v>1.17</v>
      </c>
      <c r="Q14" s="58">
        <v>28.44</v>
      </c>
      <c r="R14" s="43"/>
      <c r="S14" s="43"/>
      <c r="T14" s="43"/>
      <c r="U14" s="43"/>
    </row>
    <row r="15" spans="1:21" s="11" customFormat="1" ht="15">
      <c r="A15" s="57" t="s">
        <v>476</v>
      </c>
      <c r="B15" s="58">
        <v>33.28</v>
      </c>
      <c r="C15" s="58">
        <v>48.49</v>
      </c>
      <c r="D15" s="58">
        <v>54.06</v>
      </c>
      <c r="E15" s="58">
        <v>3.17</v>
      </c>
      <c r="F15" s="58">
        <v>8.42</v>
      </c>
      <c r="G15" s="58">
        <v>73.510000000000005</v>
      </c>
      <c r="H15" s="58">
        <v>31.47</v>
      </c>
      <c r="I15" s="58">
        <v>0.79</v>
      </c>
      <c r="J15" s="58">
        <v>0.39</v>
      </c>
      <c r="K15" s="58">
        <v>345.93</v>
      </c>
      <c r="L15" s="58">
        <v>25.24</v>
      </c>
      <c r="M15" s="58">
        <v>44.44</v>
      </c>
      <c r="N15" s="58">
        <v>106.60</v>
      </c>
      <c r="O15" s="58">
        <v>0</v>
      </c>
      <c r="P15" s="58">
        <v>1.1200000000000001</v>
      </c>
      <c r="Q15" s="58">
        <v>26.25</v>
      </c>
      <c r="R15" s="43"/>
      <c r="S15" s="43"/>
      <c r="T15" s="43"/>
      <c r="U15" s="43"/>
    </row>
    <row r="16" spans="1:21" s="11" customFormat="1" ht="15">
      <c r="A16" s="57" t="s">
        <v>477</v>
      </c>
      <c r="B16" s="58">
        <v>26.62</v>
      </c>
      <c r="C16" s="58">
        <v>57.03</v>
      </c>
      <c r="D16" s="58">
        <v>53.47</v>
      </c>
      <c r="E16" s="58">
        <v>4.8899999999999997</v>
      </c>
      <c r="F16" s="58">
        <v>10.78</v>
      </c>
      <c r="G16" s="58">
        <v>71.20</v>
      </c>
      <c r="H16" s="58">
        <v>31.85</v>
      </c>
      <c r="I16" s="58">
        <v>0.71</v>
      </c>
      <c r="J16" s="58">
        <v>0.18</v>
      </c>
      <c r="K16" s="58">
        <v>266.58</v>
      </c>
      <c r="L16" s="58">
        <v>29.20</v>
      </c>
      <c r="M16" s="58">
        <v>42.61</v>
      </c>
      <c r="N16" s="58">
        <v>349.20</v>
      </c>
      <c r="O16" s="58">
        <v>0</v>
      </c>
      <c r="P16" s="58">
        <v>1.17</v>
      </c>
      <c r="Q16" s="58">
        <v>24.53</v>
      </c>
      <c r="R16" s="43"/>
      <c r="S16" s="43"/>
      <c r="T16" s="43"/>
      <c r="U16" s="43"/>
    </row>
    <row r="17" spans="1:21" s="11" customFormat="1" ht="15">
      <c r="A17" s="57" t="s">
        <v>478</v>
      </c>
      <c r="B17" s="58">
        <v>24.69</v>
      </c>
      <c r="C17" s="58">
        <v>62.76</v>
      </c>
      <c r="D17" s="58">
        <v>49.85</v>
      </c>
      <c r="E17" s="58">
        <v>8.01</v>
      </c>
      <c r="F17" s="58">
        <v>18.16</v>
      </c>
      <c r="G17" s="58">
        <v>83.41</v>
      </c>
      <c r="H17" s="58">
        <v>32.130000000000003</v>
      </c>
      <c r="I17" s="58">
        <v>0.75</v>
      </c>
      <c r="J17" s="58">
        <v>0.35</v>
      </c>
      <c r="K17" s="58">
        <v>14.15</v>
      </c>
      <c r="L17" s="58">
        <v>35.68</v>
      </c>
      <c r="M17" s="58">
        <v>32.21</v>
      </c>
      <c r="N17" s="58">
        <v>524.40</v>
      </c>
      <c r="O17" s="58">
        <v>0</v>
      </c>
      <c r="P17" s="58">
        <v>1.47</v>
      </c>
      <c r="Q17" s="58">
        <v>24.32</v>
      </c>
      <c r="R17" s="43"/>
      <c r="S17" s="43"/>
      <c r="T17" s="43"/>
      <c r="U17" s="43"/>
    </row>
    <row r="18" spans="1:21" s="11" customFormat="1" ht="15">
      <c r="A18" s="57" t="s">
        <v>479</v>
      </c>
      <c r="B18" s="58">
        <v>11.40</v>
      </c>
      <c r="C18" s="58">
        <v>68.53</v>
      </c>
      <c r="D18" s="58">
        <v>45.59</v>
      </c>
      <c r="E18" s="58">
        <v>7.82</v>
      </c>
      <c r="F18" s="58">
        <v>15.98</v>
      </c>
      <c r="G18" s="58">
        <v>87.20</v>
      </c>
      <c r="H18" s="58">
        <v>39.659999999999997</v>
      </c>
      <c r="I18" s="58">
        <v>0.67</v>
      </c>
      <c r="J18" s="58">
        <v>0.40</v>
      </c>
      <c r="K18" s="58">
        <v>32</v>
      </c>
      <c r="L18" s="58">
        <v>38.24</v>
      </c>
      <c r="M18" s="58">
        <v>25.17</v>
      </c>
      <c r="N18" s="58">
        <v>713.40</v>
      </c>
      <c r="O18" s="58">
        <v>0</v>
      </c>
      <c r="P18" s="58">
        <v>1.41</v>
      </c>
      <c r="Q18" s="58">
        <v>19.329999999999998</v>
      </c>
      <c r="R18" s="43"/>
      <c r="S18" s="43"/>
      <c r="T18" s="43"/>
      <c r="U18" s="43"/>
    </row>
    <row r="19" spans="1:21" s="11" customFormat="1" ht="15">
      <c r="A19" s="57" t="s">
        <v>480</v>
      </c>
      <c r="B19" s="58">
        <v>5.0199999999999996</v>
      </c>
      <c r="C19" s="58">
        <v>63.61</v>
      </c>
      <c r="D19" s="58">
        <v>38.479999999999997</v>
      </c>
      <c r="E19" s="58">
        <v>9.42</v>
      </c>
      <c r="F19" s="58">
        <v>51.06</v>
      </c>
      <c r="G19" s="58">
        <v>86.34</v>
      </c>
      <c r="H19" s="58">
        <v>38.78</v>
      </c>
      <c r="I19" s="58">
        <v>0.64</v>
      </c>
      <c r="J19" s="58">
        <v>0.46</v>
      </c>
      <c r="K19" s="58">
        <v>334.66</v>
      </c>
      <c r="L19" s="58">
        <v>40.10</v>
      </c>
      <c r="M19" s="58">
        <v>18.54</v>
      </c>
      <c r="N19" s="58">
        <v>783.80</v>
      </c>
      <c r="O19" s="58">
        <v>0</v>
      </c>
      <c r="P19" s="58">
        <v>1.29</v>
      </c>
      <c r="Q19" s="58">
        <v>13.34</v>
      </c>
      <c r="R19" s="43"/>
      <c r="S19" s="43"/>
      <c r="T19" s="43"/>
      <c r="U19" s="43"/>
    </row>
    <row r="20" spans="1:21" s="11" customFormat="1" ht="15">
      <c r="A20" s="57" t="s">
        <v>481</v>
      </c>
      <c r="B20" s="58">
        <v>4.7300000000000004</v>
      </c>
      <c r="C20" s="58">
        <v>54.52</v>
      </c>
      <c r="D20" s="58">
        <v>34.04</v>
      </c>
      <c r="E20" s="58">
        <v>4.67</v>
      </c>
      <c r="F20" s="58">
        <v>27.66</v>
      </c>
      <c r="G20" s="58">
        <v>79.55</v>
      </c>
      <c r="H20" s="58">
        <v>34.65</v>
      </c>
      <c r="I20" s="58">
        <v>0.57999999999999996</v>
      </c>
      <c r="J20" s="58">
        <v>0.66</v>
      </c>
      <c r="K20" s="58">
        <v>42.65</v>
      </c>
      <c r="L20" s="58">
        <v>41.32</v>
      </c>
      <c r="M20" s="58">
        <v>13.06</v>
      </c>
      <c r="N20" s="58">
        <v>806.20</v>
      </c>
      <c r="O20" s="58">
        <v>0</v>
      </c>
      <c r="P20" s="58">
        <v>1.03</v>
      </c>
      <c r="Q20" s="58">
        <v>14.85</v>
      </c>
      <c r="R20" s="43"/>
      <c r="S20" s="43"/>
      <c r="T20" s="43"/>
      <c r="U20" s="43"/>
    </row>
    <row r="21" spans="1:21" s="11" customFormat="1" ht="15">
      <c r="A21" s="57" t="s">
        <v>482</v>
      </c>
      <c r="B21" s="58">
        <v>5.37</v>
      </c>
      <c r="C21" s="58">
        <v>53.60</v>
      </c>
      <c r="D21" s="58">
        <v>33.22</v>
      </c>
      <c r="E21" s="58">
        <v>7.13</v>
      </c>
      <c r="F21" s="58">
        <v>47.13</v>
      </c>
      <c r="G21" s="58">
        <v>67.69</v>
      </c>
      <c r="H21" s="58">
        <v>31.92</v>
      </c>
      <c r="I21" s="58">
        <v>0.64</v>
      </c>
      <c r="J21" s="58">
        <v>0.84</v>
      </c>
      <c r="K21" s="58">
        <v>63</v>
      </c>
      <c r="L21" s="58">
        <v>42.36</v>
      </c>
      <c r="M21" s="58">
        <v>10.73</v>
      </c>
      <c r="N21" s="58">
        <v>808.70</v>
      </c>
      <c r="O21" s="58">
        <v>0</v>
      </c>
      <c r="P21" s="58">
        <v>0.88</v>
      </c>
      <c r="Q21" s="58">
        <v>15.08</v>
      </c>
      <c r="R21" s="43"/>
      <c r="S21" s="43"/>
      <c r="T21" s="43"/>
      <c r="U21" s="43"/>
    </row>
    <row r="22" spans="1:21" s="11" customFormat="1" ht="15">
      <c r="A22" s="57" t="s">
        <v>483</v>
      </c>
      <c r="B22" s="58">
        <v>5.68</v>
      </c>
      <c r="C22" s="58">
        <v>43.54</v>
      </c>
      <c r="D22" s="58">
        <v>28.73</v>
      </c>
      <c r="E22" s="58">
        <v>9.35</v>
      </c>
      <c r="F22" s="58">
        <v>59.43</v>
      </c>
      <c r="G22" s="58">
        <v>57.67</v>
      </c>
      <c r="H22" s="58">
        <v>25.54</v>
      </c>
      <c r="I22" s="58">
        <v>0.64</v>
      </c>
      <c r="J22" s="58">
        <v>1.02</v>
      </c>
      <c r="K22" s="58">
        <v>74.23</v>
      </c>
      <c r="L22" s="58">
        <v>41.22</v>
      </c>
      <c r="M22" s="58">
        <v>9.8800000000000008</v>
      </c>
      <c r="N22" s="58">
        <v>751.20</v>
      </c>
      <c r="O22" s="58">
        <v>0</v>
      </c>
      <c r="P22" s="58">
        <v>0.68</v>
      </c>
      <c r="Q22" s="58">
        <v>17.309999999999999</v>
      </c>
      <c r="R22" s="43"/>
      <c r="S22" s="43"/>
      <c r="T22" s="43"/>
      <c r="U22" s="43"/>
    </row>
    <row r="23" spans="1:21" s="11" customFormat="1" ht="15">
      <c r="A23" s="57" t="s">
        <v>484</v>
      </c>
      <c r="B23" s="58">
        <v>5.39</v>
      </c>
      <c r="C23" s="58">
        <v>45.60</v>
      </c>
      <c r="D23" s="58">
        <v>30.13</v>
      </c>
      <c r="E23" s="58">
        <v>5.74</v>
      </c>
      <c r="F23" s="58">
        <v>46.38</v>
      </c>
      <c r="G23" s="58">
        <v>51.42</v>
      </c>
      <c r="H23" s="58">
        <v>22.52</v>
      </c>
      <c r="I23" s="58">
        <v>0.72</v>
      </c>
      <c r="J23" s="58">
        <v>0.66</v>
      </c>
      <c r="K23" s="58">
        <v>77.650000000000006</v>
      </c>
      <c r="L23" s="58">
        <v>41.35</v>
      </c>
      <c r="M23" s="58">
        <v>10.06</v>
      </c>
      <c r="N23" s="58">
        <v>660.60</v>
      </c>
      <c r="O23" s="58">
        <v>0</v>
      </c>
      <c r="P23" s="58">
        <v>0.65</v>
      </c>
      <c r="Q23" s="58">
        <v>16.29</v>
      </c>
      <c r="R23" s="43"/>
      <c r="S23" s="43"/>
      <c r="T23" s="43"/>
      <c r="U23" s="43"/>
    </row>
    <row r="24" spans="1:21" s="11" customFormat="1" ht="15">
      <c r="A24" s="57" t="s">
        <v>485</v>
      </c>
      <c r="B24" s="58">
        <v>5.73</v>
      </c>
      <c r="C24" s="58">
        <v>46.48</v>
      </c>
      <c r="D24" s="58">
        <v>30.89</v>
      </c>
      <c r="E24" s="58">
        <v>5.36</v>
      </c>
      <c r="F24" s="58">
        <v>52.26</v>
      </c>
      <c r="G24" s="58">
        <v>50.94</v>
      </c>
      <c r="H24" s="58">
        <v>21.78</v>
      </c>
      <c r="I24" s="58">
        <v>0.76</v>
      </c>
      <c r="J24" s="58">
        <v>0.51</v>
      </c>
      <c r="K24" s="58">
        <v>105.51</v>
      </c>
      <c r="L24" s="58">
        <v>39.17</v>
      </c>
      <c r="M24" s="58">
        <v>10.16</v>
      </c>
      <c r="N24" s="58">
        <v>386.30</v>
      </c>
      <c r="O24" s="58">
        <v>0</v>
      </c>
      <c r="P24" s="58">
        <v>0.56999999999999995</v>
      </c>
      <c r="Q24" s="58">
        <v>14.73</v>
      </c>
      <c r="R24" s="43"/>
      <c r="S24" s="43"/>
      <c r="T24" s="43"/>
      <c r="U24" s="43"/>
    </row>
    <row r="25" spans="1:21" s="11" customFormat="1" ht="15">
      <c r="A25" s="57" t="s">
        <v>486</v>
      </c>
      <c r="B25" s="58">
        <v>2.80</v>
      </c>
      <c r="C25" s="58">
        <v>38.79</v>
      </c>
      <c r="D25" s="58">
        <v>24.16</v>
      </c>
      <c r="E25" s="58">
        <v>4.87</v>
      </c>
      <c r="F25" s="58">
        <v>63.43</v>
      </c>
      <c r="G25" s="58">
        <v>49.38</v>
      </c>
      <c r="H25" s="58">
        <v>18.23</v>
      </c>
      <c r="I25" s="58">
        <v>0.69</v>
      </c>
      <c r="J25" s="58">
        <v>0.93</v>
      </c>
      <c r="K25" s="58">
        <v>202.01</v>
      </c>
      <c r="L25" s="58">
        <v>37.82</v>
      </c>
      <c r="M25" s="58">
        <v>11.71</v>
      </c>
      <c r="N25" s="58">
        <v>114.20</v>
      </c>
      <c r="O25" s="58">
        <v>0</v>
      </c>
      <c r="P25" s="58">
        <v>0.46</v>
      </c>
      <c r="Q25" s="58">
        <v>18.86</v>
      </c>
      <c r="R25" s="43"/>
      <c r="S25" s="43"/>
      <c r="T25" s="43"/>
      <c r="U25" s="43"/>
    </row>
    <row r="26" spans="1:21" s="11" customFormat="1" ht="15">
      <c r="A26" s="57" t="s">
        <v>487</v>
      </c>
      <c r="B26" s="58">
        <v>2.15</v>
      </c>
      <c r="C26" s="58">
        <v>52.88</v>
      </c>
      <c r="D26" s="58">
        <v>31.40</v>
      </c>
      <c r="E26" s="58">
        <v>4.17</v>
      </c>
      <c r="F26" s="58">
        <v>48.42</v>
      </c>
      <c r="G26" s="58">
        <v>43.08</v>
      </c>
      <c r="H26" s="58">
        <v>18.36</v>
      </c>
      <c r="I26" s="58">
        <v>0.69</v>
      </c>
      <c r="J26" s="58">
        <v>0.45</v>
      </c>
      <c r="K26" s="58">
        <v>258.72000000000003</v>
      </c>
      <c r="L26" s="58">
        <v>36.57</v>
      </c>
      <c r="M26" s="58">
        <v>15.39</v>
      </c>
      <c r="N26" s="58">
        <v>54</v>
      </c>
      <c r="O26" s="58">
        <v>0</v>
      </c>
      <c r="P26" s="58">
        <v>0.52</v>
      </c>
      <c r="Q26" s="58">
        <v>17.72</v>
      </c>
      <c r="R26" s="43"/>
      <c r="S26" s="43"/>
      <c r="T26" s="43"/>
      <c r="U26" s="43"/>
    </row>
    <row r="27" spans="1:21" s="11" customFormat="1" ht="15">
      <c r="A27" s="57" t="s">
        <v>488</v>
      </c>
      <c r="B27" s="58">
        <v>2.16</v>
      </c>
      <c r="C27" s="58">
        <v>67.209999999999994</v>
      </c>
      <c r="D27" s="58">
        <v>39.47</v>
      </c>
      <c r="E27" s="58">
        <v>5.61</v>
      </c>
      <c r="F27" s="58">
        <v>39.07</v>
      </c>
      <c r="G27" s="58">
        <v>43.57</v>
      </c>
      <c r="H27" s="58">
        <v>18.239999999999998</v>
      </c>
      <c r="I27" s="58">
        <v>0.64</v>
      </c>
      <c r="J27" s="58">
        <v>0.14000000000000001</v>
      </c>
      <c r="K27" s="58">
        <v>325.39</v>
      </c>
      <c r="L27" s="58">
        <v>34.33</v>
      </c>
      <c r="M27" s="58">
        <v>19.70</v>
      </c>
      <c r="N27" s="58">
        <v>8.90</v>
      </c>
      <c r="O27" s="58">
        <v>0</v>
      </c>
      <c r="P27" s="58">
        <v>0.81</v>
      </c>
      <c r="Q27" s="58">
        <v>13.02</v>
      </c>
      <c r="R27" s="43"/>
      <c r="S27" s="43"/>
      <c r="T27" s="43"/>
      <c r="U27" s="43"/>
    </row>
    <row r="28" spans="1:21" s="11" customFormat="1" ht="15">
      <c r="A28" s="57" t="s">
        <v>489</v>
      </c>
      <c r="B28" s="58">
        <v>37.5</v>
      </c>
      <c r="C28" s="58">
        <v>112.20</v>
      </c>
      <c r="D28" s="58">
        <v>92.64</v>
      </c>
      <c r="E28" s="58">
        <v>6.47</v>
      </c>
      <c r="F28" s="58">
        <v>33.86</v>
      </c>
      <c r="G28" s="58">
        <v>43.49</v>
      </c>
      <c r="H28" s="58">
        <v>19.04</v>
      </c>
      <c r="I28" s="58">
        <v>0.87</v>
      </c>
      <c r="J28" s="58">
        <v>0.15</v>
      </c>
      <c r="K28" s="58">
        <v>352.18</v>
      </c>
      <c r="L28" s="58">
        <v>32.630000000000003</v>
      </c>
      <c r="M28" s="58">
        <v>21.11</v>
      </c>
      <c r="N28" s="58">
        <v>4.5</v>
      </c>
      <c r="O28" s="58">
        <v>0</v>
      </c>
      <c r="P28" s="58">
        <v>2.16</v>
      </c>
      <c r="Q28" s="58">
        <v>18.61</v>
      </c>
      <c r="R28" s="43"/>
      <c r="S28" s="43"/>
      <c r="T28" s="43"/>
      <c r="U28" s="43"/>
    </row>
    <row r="29" spans="1:21" s="11" customFormat="1" ht="15">
      <c r="A29" s="57" t="s">
        <v>490</v>
      </c>
      <c r="B29" s="58">
        <v>42.69</v>
      </c>
      <c r="C29" s="58">
        <v>117.52</v>
      </c>
      <c r="D29" s="58">
        <v>99.74</v>
      </c>
      <c r="E29" s="58">
        <v>6.64</v>
      </c>
      <c r="F29" s="58">
        <v>12.46</v>
      </c>
      <c r="G29" s="58">
        <v>137.13</v>
      </c>
      <c r="H29" s="58">
        <v>27.17</v>
      </c>
      <c r="I29" s="58">
        <v>1</v>
      </c>
      <c r="J29" s="58">
        <v>0.15</v>
      </c>
      <c r="K29" s="58">
        <v>345.55</v>
      </c>
      <c r="L29" s="58">
        <v>31.68</v>
      </c>
      <c r="M29" s="58">
        <v>27.53</v>
      </c>
      <c r="N29" s="58">
        <v>5.0999999999999996</v>
      </c>
      <c r="O29" s="58">
        <v>0</v>
      </c>
      <c r="P29" s="58">
        <v>2.19</v>
      </c>
      <c r="Q29" s="58">
        <v>20.25</v>
      </c>
      <c r="R29" s="43"/>
      <c r="S29" s="43"/>
      <c r="T29" s="43"/>
      <c r="U29" s="43"/>
    </row>
    <row r="30" spans="1:21" s="11" customFormat="1" ht="15">
      <c r="A30" s="57" t="s">
        <v>491</v>
      </c>
      <c r="B30" s="58">
        <v>58.78</v>
      </c>
      <c r="C30" s="58">
        <v>115.94</v>
      </c>
      <c r="D30" s="58">
        <v>111.77</v>
      </c>
      <c r="E30" s="58">
        <v>6.10</v>
      </c>
      <c r="F30" s="58">
        <v>12.98</v>
      </c>
      <c r="G30" s="58">
        <v>131.78</v>
      </c>
      <c r="H30" s="58">
        <v>35.340000000000003</v>
      </c>
      <c r="I30" s="58">
        <v>1.08</v>
      </c>
      <c r="J30" s="58">
        <v>0.13</v>
      </c>
      <c r="K30" s="58">
        <v>359.76</v>
      </c>
      <c r="L30" s="58">
        <v>29.67</v>
      </c>
      <c r="M30" s="58">
        <v>28.29</v>
      </c>
      <c r="N30" s="58">
        <v>4.9000000000000004</v>
      </c>
      <c r="O30" s="58">
        <v>0</v>
      </c>
      <c r="P30" s="58">
        <v>2.54</v>
      </c>
      <c r="Q30" s="58">
        <v>21.58</v>
      </c>
      <c r="R30" s="43"/>
      <c r="S30" s="43"/>
      <c r="T30" s="43"/>
      <c r="U30" s="43"/>
    </row>
    <row r="31" spans="1:21" s="11" customFormat="1" ht="15">
      <c r="A31" s="57" t="s">
        <v>492</v>
      </c>
      <c r="B31" s="58">
        <v>37.32</v>
      </c>
      <c r="C31" s="58">
        <v>104.55</v>
      </c>
      <c r="D31" s="58">
        <v>88.27</v>
      </c>
      <c r="E31" s="58">
        <v>5.25</v>
      </c>
      <c r="F31" s="58">
        <v>21.06</v>
      </c>
      <c r="G31" s="58">
        <v>109.40</v>
      </c>
      <c r="H31" s="58">
        <v>39.57</v>
      </c>
      <c r="I31" s="58">
        <v>1.03</v>
      </c>
      <c r="J31" s="58">
        <v>0.13</v>
      </c>
      <c r="K31" s="58">
        <v>20.94</v>
      </c>
      <c r="L31" s="58">
        <v>29.38</v>
      </c>
      <c r="M31" s="58">
        <v>27.98</v>
      </c>
      <c r="N31" s="58">
        <v>4.9000000000000004</v>
      </c>
      <c r="O31" s="58">
        <v>0</v>
      </c>
      <c r="P31" s="58">
        <v>2.14</v>
      </c>
      <c r="Q31" s="58">
        <v>25.38</v>
      </c>
      <c r="R31" s="43"/>
      <c r="S31" s="43"/>
      <c r="T31" s="43"/>
      <c r="U31" s="43"/>
    </row>
    <row r="32" spans="1:21" s="11" customFormat="1" ht="15">
      <c r="A32" s="57" t="s">
        <v>493</v>
      </c>
      <c r="B32" s="58">
        <v>24.44</v>
      </c>
      <c r="C32" s="58">
        <v>80.680000000000007</v>
      </c>
      <c r="D32" s="58">
        <v>64.77</v>
      </c>
      <c r="E32" s="58">
        <v>3.77</v>
      </c>
      <c r="F32" s="58">
        <v>23.62</v>
      </c>
      <c r="G32" s="58">
        <v>107.11</v>
      </c>
      <c r="H32" s="58">
        <v>39.24</v>
      </c>
      <c r="I32" s="58">
        <v>0.75</v>
      </c>
      <c r="J32" s="58">
        <v>0.08</v>
      </c>
      <c r="K32" s="58">
        <v>355.58</v>
      </c>
      <c r="L32" s="58">
        <v>28.17</v>
      </c>
      <c r="M32" s="58">
        <v>28.57</v>
      </c>
      <c r="N32" s="58">
        <v>4.80</v>
      </c>
      <c r="O32" s="58">
        <v>0</v>
      </c>
      <c r="P32" s="58">
        <v>1.47</v>
      </c>
      <c r="Q32" s="58">
        <v>26.36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2.1499999999999999</v>
      </c>
      <c r="C34" s="28">
        <f t="shared" si="0"/>
        <v>38.789999999999999</v>
      </c>
      <c r="D34" s="28">
        <f t="shared" si="0"/>
        <v>24.16</v>
      </c>
      <c r="E34" s="28">
        <f t="shared" si="0"/>
        <v>3.1699999999999999</v>
      </c>
      <c r="F34" s="28">
        <f t="shared" si="0"/>
        <v>3.6899999999999999</v>
      </c>
      <c r="G34" s="28">
        <f t="shared" si="0"/>
        <v>43.079999999999998</v>
      </c>
      <c r="H34" s="28">
        <f t="shared" si="0"/>
        <v>18.23</v>
      </c>
      <c r="I34" s="28">
        <f t="shared" si="0"/>
        <v>0.57999999999999996</v>
      </c>
      <c r="J34" s="28">
        <f t="shared" si="0"/>
        <v>0.080000000000000002</v>
      </c>
      <c r="K34" s="28">
        <f t="shared" si="0"/>
        <v>14.15</v>
      </c>
      <c r="L34" s="28">
        <f t="shared" si="0"/>
        <v>24.16</v>
      </c>
      <c r="M34" s="28">
        <f t="shared" si="0"/>
        <v>9.8800000000000008</v>
      </c>
      <c r="N34" s="28">
        <f t="shared" si="0"/>
        <v>4.5</v>
      </c>
      <c r="O34" s="28">
        <f t="shared" si="0"/>
        <v>0</v>
      </c>
      <c r="P34" s="28">
        <f t="shared" si="0"/>
        <v>0.46000000000000002</v>
      </c>
      <c r="Q34" s="28">
        <f t="shared" si="0"/>
        <v>13.02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95.930000000000007</v>
      </c>
      <c r="C35" s="29">
        <f t="shared" si="1"/>
        <v>117.52</v>
      </c>
      <c r="D35" s="29">
        <f t="shared" si="1"/>
        <v>121.64</v>
      </c>
      <c r="E35" s="29">
        <f t="shared" si="1"/>
        <v>9.4199999999999999</v>
      </c>
      <c r="F35" s="29">
        <f t="shared" si="1"/>
        <v>63.43</v>
      </c>
      <c r="G35" s="29">
        <f t="shared" si="1"/>
        <v>137.13</v>
      </c>
      <c r="H35" s="29">
        <f t="shared" si="1"/>
        <v>41.219999999999999</v>
      </c>
      <c r="I35" s="29">
        <f t="shared" si="1"/>
        <v>1.0800000000000001</v>
      </c>
      <c r="J35" s="29">
        <f t="shared" si="1"/>
        <v>1.02</v>
      </c>
      <c r="K35" s="29">
        <f t="shared" si="1"/>
        <v>359.75999999999999</v>
      </c>
      <c r="L35" s="29">
        <f t="shared" si="1"/>
        <v>42.359999999999999</v>
      </c>
      <c r="M35" s="29">
        <f t="shared" si="1"/>
        <v>49.990000000000002</v>
      </c>
      <c r="N35" s="29">
        <f t="shared" si="1"/>
        <v>808.70000000000005</v>
      </c>
      <c r="O35" s="29">
        <f t="shared" si="1"/>
        <v>0</v>
      </c>
      <c r="P35" s="29">
        <f t="shared" si="1"/>
        <v>2.54</v>
      </c>
      <c r="Q35" s="29">
        <f t="shared" si="1"/>
        <v>31.43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29.021250000000006</v>
      </c>
      <c r="C36" s="28">
        <f t="shared" si="2"/>
        <v>66.80916666666667</v>
      </c>
      <c r="D36" s="28">
        <f t="shared" si="2"/>
        <v>60.245000000000005</v>
      </c>
      <c r="E36" s="28">
        <f t="shared" si="2"/>
        <v>6.0229166666666663</v>
      </c>
      <c r="F36" s="28">
        <f t="shared" si="2"/>
        <v>26.165833333333335</v>
      </c>
      <c r="G36" s="28">
        <f t="shared" si="2"/>
        <v>83.196250000000006</v>
      </c>
      <c r="H36" s="28">
        <f t="shared" si="2"/>
        <v>31.541666666666668</v>
      </c>
      <c r="I36" s="28">
        <f t="shared" si="2"/>
        <v>0.7712500000000001</v>
      </c>
      <c r="J36" s="28">
        <f t="shared" si="2"/>
        <v>0.36958333333333337</v>
      </c>
      <c r="K36" s="28">
        <f t="shared" si="2"/>
        <v>229.52458333333334</v>
      </c>
      <c r="L36" s="28">
        <f t="shared" si="2"/>
        <v>32.659166666666671</v>
      </c>
      <c r="M36" s="28">
        <f t="shared" si="2"/>
        <v>27.56625</v>
      </c>
      <c r="N36" s="28">
        <f t="shared" si="2"/>
        <v>256.0958333333333</v>
      </c>
      <c r="O36" s="28">
        <f t="shared" si="2"/>
        <v>0</v>
      </c>
      <c r="P36" s="28">
        <f t="shared" si="2"/>
        <v>1.3016666666666665</v>
      </c>
      <c r="Q36" s="28">
        <f t="shared" si="2"/>
        <v>21.989999999999998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25.783473020100704</v>
      </c>
      <c r="C37" s="28">
        <f t="shared" si="3" ref="C37:Q37">STDEV(C9:C32)</f>
        <v>23.513032448570634</v>
      </c>
      <c r="D37" s="28">
        <f t="shared" si="3"/>
        <v>29.154967508724496</v>
      </c>
      <c r="E37" s="28">
        <f t="shared" si="3"/>
        <v>1.6253601050273447</v>
      </c>
      <c r="F37" s="28">
        <f t="shared" si="3"/>
        <v>19.741071931749111</v>
      </c>
      <c r="G37" s="28">
        <f t="shared" si="3"/>
        <v>28.688256772247975</v>
      </c>
      <c r="H37" s="28">
        <f t="shared" si="3"/>
        <v>8.0935538852072622</v>
      </c>
      <c r="I37" s="28">
        <f t="shared" si="3"/>
        <v>0.12959175027419945</v>
      </c>
      <c r="J37" s="28">
        <f t="shared" si="3"/>
        <v>0.27902749072396094</v>
      </c>
      <c r="K37" s="28">
        <f t="shared" si="3"/>
        <v>133.21118006935828</v>
      </c>
      <c r="L37" s="28">
        <f t="shared" si="3"/>
        <v>6.4880685922677248</v>
      </c>
      <c r="M37" s="28">
        <f t="shared" si="3"/>
        <v>13.560747963371611</v>
      </c>
      <c r="N37" s="28">
        <f t="shared" si="3"/>
        <v>324.94787070780473</v>
      </c>
      <c r="O37" s="28">
        <f t="shared" si="3"/>
        <v>0</v>
      </c>
      <c r="P37" s="28">
        <f t="shared" si="3"/>
        <v>0.57689322851065716</v>
      </c>
      <c r="Q37" s="28">
        <f t="shared" si="3"/>
        <v>6.1357710971418875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0a8eef-ea16-4724-92b2-c513499ca5d7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5" sqref="G7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494</v>
      </c>
      <c r="B9" s="58">
        <v>13.71</v>
      </c>
      <c r="C9" s="58">
        <v>63.86</v>
      </c>
      <c r="D9" s="58">
        <v>46.48</v>
      </c>
      <c r="E9" s="58">
        <v>5.16</v>
      </c>
      <c r="F9" s="58">
        <v>25.98</v>
      </c>
      <c r="G9" s="58">
        <v>88.65</v>
      </c>
      <c r="H9" s="58">
        <v>37.07</v>
      </c>
      <c r="I9" s="58">
        <v>0.69</v>
      </c>
      <c r="J9" s="58">
        <v>0.14000000000000001</v>
      </c>
      <c r="K9" s="58">
        <v>271.94</v>
      </c>
      <c r="L9" s="58">
        <v>28.51</v>
      </c>
      <c r="M9" s="58">
        <v>31.34</v>
      </c>
      <c r="N9" s="58">
        <v>5</v>
      </c>
      <c r="O9" s="58">
        <v>0</v>
      </c>
      <c r="P9" s="58">
        <v>1.27</v>
      </c>
      <c r="Q9" s="58">
        <v>25.68</v>
      </c>
      <c r="R9" s="43"/>
      <c r="S9" s="43"/>
      <c r="T9" s="43"/>
      <c r="U9" s="43"/>
    </row>
    <row r="10" spans="1:21" s="11" customFormat="1" ht="15">
      <c r="A10" s="57" t="s">
        <v>495</v>
      </c>
      <c r="B10" s="58">
        <v>10.98</v>
      </c>
      <c r="C10" s="58">
        <v>49.85</v>
      </c>
      <c r="D10" s="58">
        <v>36.86</v>
      </c>
      <c r="E10" s="58">
        <v>4.96</v>
      </c>
      <c r="F10" s="58">
        <v>20.170000000000002</v>
      </c>
      <c r="G10" s="58">
        <v>78.58</v>
      </c>
      <c r="H10" s="58">
        <v>32.71</v>
      </c>
      <c r="I10" s="58">
        <v>0.68</v>
      </c>
      <c r="J10" s="58">
        <v>0.16</v>
      </c>
      <c r="K10" s="58">
        <v>311.49</v>
      </c>
      <c r="L10" s="58">
        <v>26.55</v>
      </c>
      <c r="M10" s="58">
        <v>40.380000000000003</v>
      </c>
      <c r="N10" s="58">
        <v>5.0999999999999996</v>
      </c>
      <c r="O10" s="58">
        <v>0</v>
      </c>
      <c r="P10" s="58">
        <v>1.23</v>
      </c>
      <c r="Q10" s="58">
        <v>24.63</v>
      </c>
      <c r="R10" s="43"/>
      <c r="S10" s="43"/>
      <c r="T10" s="43"/>
      <c r="U10" s="43"/>
    </row>
    <row r="11" spans="1:21" s="11" customFormat="1" ht="15">
      <c r="A11" s="57" t="s">
        <v>496</v>
      </c>
      <c r="B11" s="58">
        <v>12.26</v>
      </c>
      <c r="C11" s="58">
        <v>54.11</v>
      </c>
      <c r="D11" s="58">
        <v>40.340000000000003</v>
      </c>
      <c r="E11" s="58">
        <v>9.33</v>
      </c>
      <c r="F11" s="58">
        <v>13.05</v>
      </c>
      <c r="G11" s="58">
        <v>89.86</v>
      </c>
      <c r="H11" s="58">
        <v>31.57</v>
      </c>
      <c r="I11" s="58">
        <v>0.66</v>
      </c>
      <c r="J11" s="58">
        <v>0.11</v>
      </c>
      <c r="K11" s="58">
        <v>306.81</v>
      </c>
      <c r="L11" s="58">
        <v>25.55</v>
      </c>
      <c r="M11" s="58">
        <v>38.74</v>
      </c>
      <c r="N11" s="58">
        <v>4.80</v>
      </c>
      <c r="O11" s="58">
        <v>0</v>
      </c>
      <c r="P11" s="58">
        <v>1.38</v>
      </c>
      <c r="Q11" s="58">
        <v>22.82</v>
      </c>
      <c r="R11" s="43"/>
      <c r="S11" s="43"/>
      <c r="T11" s="43"/>
      <c r="U11" s="43"/>
    </row>
    <row r="12" spans="1:21" s="11" customFormat="1" ht="15">
      <c r="A12" s="57" t="s">
        <v>497</v>
      </c>
      <c r="B12" s="58">
        <v>8.0399999999999991</v>
      </c>
      <c r="C12" s="58">
        <v>47.48</v>
      </c>
      <c r="D12" s="58">
        <v>33.299999999999997</v>
      </c>
      <c r="E12" s="58">
        <v>8.43</v>
      </c>
      <c r="F12" s="58">
        <v>12.55</v>
      </c>
      <c r="G12" s="58">
        <v>87.21</v>
      </c>
      <c r="H12" s="58">
        <v>33.119999999999997</v>
      </c>
      <c r="I12" s="58">
        <v>0.64</v>
      </c>
      <c r="J12" s="58">
        <v>0.17</v>
      </c>
      <c r="K12" s="58">
        <v>44.66</v>
      </c>
      <c r="L12" s="58">
        <v>25.73</v>
      </c>
      <c r="M12" s="58">
        <v>36.42</v>
      </c>
      <c r="N12" s="58">
        <v>4.80</v>
      </c>
      <c r="O12" s="58">
        <v>0</v>
      </c>
      <c r="P12" s="58">
        <v>1.29</v>
      </c>
      <c r="Q12" s="58">
        <v>19.54</v>
      </c>
      <c r="R12" s="43"/>
      <c r="S12" s="43"/>
      <c r="T12" s="43"/>
      <c r="U12" s="43"/>
    </row>
    <row r="13" spans="1:21" s="11" customFormat="1" ht="15">
      <c r="A13" s="57" t="s">
        <v>498</v>
      </c>
      <c r="B13" s="58">
        <v>9.57</v>
      </c>
      <c r="C13" s="58">
        <v>45.02</v>
      </c>
      <c r="D13" s="58">
        <v>33.159999999999997</v>
      </c>
      <c r="E13" s="58">
        <v>4.6900000000000004</v>
      </c>
      <c r="F13" s="58">
        <v>7.70</v>
      </c>
      <c r="G13" s="58">
        <v>73.67</v>
      </c>
      <c r="H13" s="58">
        <v>33</v>
      </c>
      <c r="I13" s="58">
        <v>0.65</v>
      </c>
      <c r="J13" s="58">
        <v>0.55000000000000004</v>
      </c>
      <c r="K13" s="58">
        <v>249.80</v>
      </c>
      <c r="L13" s="58">
        <v>25.44</v>
      </c>
      <c r="M13" s="58">
        <v>41.08</v>
      </c>
      <c r="N13" s="58">
        <v>5.20</v>
      </c>
      <c r="O13" s="58">
        <v>0</v>
      </c>
      <c r="P13" s="58">
        <v>1.33</v>
      </c>
      <c r="Q13" s="58">
        <v>18.70</v>
      </c>
      <c r="R13" s="43"/>
      <c r="S13" s="43"/>
      <c r="T13" s="43"/>
      <c r="U13" s="43"/>
    </row>
    <row r="14" spans="1:21" s="11" customFormat="1" ht="15">
      <c r="A14" s="57" t="s">
        <v>499</v>
      </c>
      <c r="B14" s="58">
        <v>9.66</v>
      </c>
      <c r="C14" s="58">
        <v>45.69</v>
      </c>
      <c r="D14" s="58">
        <v>33.61</v>
      </c>
      <c r="E14" s="58">
        <v>5.51</v>
      </c>
      <c r="F14" s="58">
        <v>6.99</v>
      </c>
      <c r="G14" s="58">
        <v>82.04</v>
      </c>
      <c r="H14" s="58">
        <v>32.15</v>
      </c>
      <c r="I14" s="58">
        <v>0.66</v>
      </c>
      <c r="J14" s="58">
        <v>0.53</v>
      </c>
      <c r="K14" s="58">
        <v>18.239999999999998</v>
      </c>
      <c r="L14" s="58">
        <v>24.92</v>
      </c>
      <c r="M14" s="58">
        <v>38.79</v>
      </c>
      <c r="N14" s="58">
        <v>20.90</v>
      </c>
      <c r="O14" s="58">
        <v>0</v>
      </c>
      <c r="P14" s="58">
        <v>1.36</v>
      </c>
      <c r="Q14" s="58">
        <v>16.36</v>
      </c>
      <c r="R14" s="43"/>
      <c r="S14" s="43"/>
      <c r="T14" s="43"/>
      <c r="U14" s="43"/>
    </row>
    <row r="15" spans="1:21" s="11" customFormat="1" ht="15">
      <c r="A15" s="57" t="s">
        <v>500</v>
      </c>
      <c r="B15" s="58">
        <v>10.30</v>
      </c>
      <c r="C15" s="58">
        <v>48.60</v>
      </c>
      <c r="D15" s="58">
        <v>35.29</v>
      </c>
      <c r="E15" s="58">
        <v>4.4000000000000004</v>
      </c>
      <c r="F15" s="58">
        <v>8.0299999999999994</v>
      </c>
      <c r="G15" s="58">
        <v>79.33</v>
      </c>
      <c r="H15" s="58">
        <v>31.67</v>
      </c>
      <c r="I15" s="58">
        <v>0.63</v>
      </c>
      <c r="J15" s="58">
        <v>0.78</v>
      </c>
      <c r="K15" s="58">
        <v>20.63</v>
      </c>
      <c r="L15" s="58">
        <v>28.92</v>
      </c>
      <c r="M15" s="58">
        <v>32.71</v>
      </c>
      <c r="N15" s="58">
        <v>127.20</v>
      </c>
      <c r="O15" s="58">
        <v>0</v>
      </c>
      <c r="P15" s="58">
        <v>1.27</v>
      </c>
      <c r="Q15" s="58">
        <v>13.95</v>
      </c>
      <c r="R15" s="43"/>
      <c r="S15" s="43"/>
      <c r="T15" s="43"/>
      <c r="U15" s="43"/>
    </row>
    <row r="16" spans="1:21" s="11" customFormat="1" ht="15">
      <c r="A16" s="57" t="s">
        <v>501</v>
      </c>
      <c r="B16" s="58">
        <v>12.55</v>
      </c>
      <c r="C16" s="58">
        <v>54.40</v>
      </c>
      <c r="D16" s="58">
        <v>40.729999999999997</v>
      </c>
      <c r="E16" s="58">
        <v>7.85</v>
      </c>
      <c r="F16" s="58">
        <v>13.78</v>
      </c>
      <c r="G16" s="58">
        <v>84.81</v>
      </c>
      <c r="H16" s="58">
        <v>34.409999999999997</v>
      </c>
      <c r="I16" s="58">
        <v>0.61</v>
      </c>
      <c r="J16" s="58">
        <v>0.78</v>
      </c>
      <c r="K16" s="58">
        <v>29.79</v>
      </c>
      <c r="L16" s="58">
        <v>33.93</v>
      </c>
      <c r="M16" s="58">
        <v>28.16</v>
      </c>
      <c r="N16" s="58">
        <v>361.60</v>
      </c>
      <c r="O16" s="58">
        <v>0</v>
      </c>
      <c r="P16" s="58">
        <v>1.25</v>
      </c>
      <c r="Q16" s="58">
        <v>16.079999999999998</v>
      </c>
      <c r="R16" s="43"/>
      <c r="S16" s="43"/>
      <c r="T16" s="43"/>
      <c r="U16" s="43"/>
    </row>
    <row r="17" spans="1:21" s="11" customFormat="1" ht="15">
      <c r="A17" s="57" t="s">
        <v>502</v>
      </c>
      <c r="B17" s="58">
        <v>11.24</v>
      </c>
      <c r="C17" s="58">
        <v>55.14</v>
      </c>
      <c r="D17" s="58">
        <v>38.94</v>
      </c>
      <c r="E17" s="58">
        <v>8.8800000000000008</v>
      </c>
      <c r="F17" s="58">
        <v>21.14</v>
      </c>
      <c r="G17" s="58">
        <v>95.55</v>
      </c>
      <c r="H17" s="58">
        <v>36.909999999999997</v>
      </c>
      <c r="I17" s="58">
        <v>0.60</v>
      </c>
      <c r="J17" s="58">
        <v>1.18</v>
      </c>
      <c r="K17" s="58">
        <v>36.61</v>
      </c>
      <c r="L17" s="58">
        <v>37.909999999999997</v>
      </c>
      <c r="M17" s="58">
        <v>20.43</v>
      </c>
      <c r="N17" s="58">
        <v>556.70000000000005</v>
      </c>
      <c r="O17" s="58">
        <v>0</v>
      </c>
      <c r="P17" s="58">
        <v>1.18</v>
      </c>
      <c r="Q17" s="58">
        <v>16.30</v>
      </c>
      <c r="R17" s="43"/>
      <c r="S17" s="43"/>
      <c r="T17" s="43"/>
      <c r="U17" s="43"/>
    </row>
    <row r="18" spans="1:21" s="11" customFormat="1" ht="15">
      <c r="A18" s="57" t="s">
        <v>503</v>
      </c>
      <c r="B18" s="58">
        <v>6.62</v>
      </c>
      <c r="C18" s="58">
        <v>57.55</v>
      </c>
      <c r="D18" s="58">
        <v>37.72</v>
      </c>
      <c r="E18" s="58">
        <v>3.14</v>
      </c>
      <c r="F18" s="58">
        <v>10.44</v>
      </c>
      <c r="G18" s="58">
        <v>92.28</v>
      </c>
      <c r="H18" s="58">
        <v>36.5</v>
      </c>
      <c r="I18" s="58">
        <v>0.63</v>
      </c>
      <c r="J18" s="58">
        <v>2.0699999999999998</v>
      </c>
      <c r="K18" s="58">
        <v>25.33</v>
      </c>
      <c r="L18" s="58">
        <v>40</v>
      </c>
      <c r="M18" s="58">
        <v>16.38</v>
      </c>
      <c r="N18" s="58">
        <v>725.60</v>
      </c>
      <c r="O18" s="58">
        <v>0</v>
      </c>
      <c r="P18" s="58">
        <v>1.1599999999999999</v>
      </c>
      <c r="Q18" s="58">
        <v>15.71</v>
      </c>
      <c r="R18" s="43"/>
      <c r="S18" s="43"/>
      <c r="T18" s="43"/>
      <c r="U18" s="43"/>
    </row>
    <row r="19" spans="1:21" s="11" customFormat="1" ht="15">
      <c r="A19" s="57" t="s">
        <v>504</v>
      </c>
      <c r="B19" s="58">
        <v>4</v>
      </c>
      <c r="C19" s="58">
        <v>53.57</v>
      </c>
      <c r="D19" s="58">
        <v>32.78</v>
      </c>
      <c r="E19" s="58">
        <v>2.12</v>
      </c>
      <c r="F19" s="58">
        <v>12.52</v>
      </c>
      <c r="G19" s="58">
        <v>73.540000000000006</v>
      </c>
      <c r="H19" s="58">
        <v>34.369999999999997</v>
      </c>
      <c r="I19" s="58">
        <v>0.59</v>
      </c>
      <c r="J19" s="58">
        <v>2.2599999999999998</v>
      </c>
      <c r="K19" s="58">
        <v>26.86</v>
      </c>
      <c r="L19" s="58">
        <v>40.40</v>
      </c>
      <c r="M19" s="58">
        <v>12.70</v>
      </c>
      <c r="N19" s="58">
        <v>807.5</v>
      </c>
      <c r="O19" s="58">
        <v>0</v>
      </c>
      <c r="P19" s="58">
        <v>1.02</v>
      </c>
      <c r="Q19" s="58">
        <v>11.22</v>
      </c>
      <c r="R19" s="43"/>
      <c r="S19" s="43"/>
      <c r="T19" s="43"/>
      <c r="U19" s="43"/>
    </row>
    <row r="20" spans="1:21" s="11" customFormat="1" ht="15">
      <c r="A20" s="57" t="s">
        <v>505</v>
      </c>
      <c r="B20" s="58">
        <v>5.56</v>
      </c>
      <c r="C20" s="58">
        <v>50.75</v>
      </c>
      <c r="D20" s="58">
        <v>32.590000000000003</v>
      </c>
      <c r="E20" s="58">
        <v>3.47</v>
      </c>
      <c r="F20" s="58">
        <v>30.20</v>
      </c>
      <c r="G20" s="58">
        <v>67.06</v>
      </c>
      <c r="H20" s="58">
        <v>32.049999999999997</v>
      </c>
      <c r="I20" s="58">
        <v>0.57999999999999996</v>
      </c>
      <c r="J20" s="58">
        <v>1.90</v>
      </c>
      <c r="K20" s="58">
        <v>348.29</v>
      </c>
      <c r="L20" s="58">
        <v>42.31</v>
      </c>
      <c r="M20" s="58">
        <v>11.40</v>
      </c>
      <c r="N20" s="58">
        <v>850.20</v>
      </c>
      <c r="O20" s="58">
        <v>0</v>
      </c>
      <c r="P20" s="58">
        <v>0.89</v>
      </c>
      <c r="Q20" s="58">
        <v>8.84</v>
      </c>
      <c r="R20" s="43"/>
      <c r="S20" s="43"/>
      <c r="T20" s="43"/>
      <c r="U20" s="43"/>
    </row>
    <row r="21" spans="1:21" s="11" customFormat="1" ht="15">
      <c r="A21" s="57" t="s">
        <v>506</v>
      </c>
      <c r="B21" s="58">
        <v>5.30</v>
      </c>
      <c r="C21" s="58">
        <v>50.74</v>
      </c>
      <c r="D21" s="58">
        <v>32.65</v>
      </c>
      <c r="E21" s="58">
        <v>6.96</v>
      </c>
      <c r="F21" s="58">
        <v>47.83</v>
      </c>
      <c r="G21" s="58">
        <v>59.40</v>
      </c>
      <c r="H21" s="58">
        <v>28.05</v>
      </c>
      <c r="I21" s="58">
        <v>0.59</v>
      </c>
      <c r="J21" s="58">
        <v>1.08</v>
      </c>
      <c r="K21" s="58">
        <v>82.82</v>
      </c>
      <c r="L21" s="58">
        <v>42.59</v>
      </c>
      <c r="M21" s="58">
        <v>10.86</v>
      </c>
      <c r="N21" s="58">
        <v>800.5</v>
      </c>
      <c r="O21" s="58">
        <v>0</v>
      </c>
      <c r="P21" s="58">
        <v>0.83</v>
      </c>
      <c r="Q21" s="58">
        <v>8.19</v>
      </c>
      <c r="R21" s="43"/>
      <c r="S21" s="43"/>
      <c r="T21" s="43"/>
      <c r="U21" s="43"/>
    </row>
    <row r="22" spans="1:21" s="11" customFormat="1" ht="15">
      <c r="A22" s="57" t="s">
        <v>507</v>
      </c>
      <c r="B22" s="58">
        <v>5.27</v>
      </c>
      <c r="C22" s="58">
        <v>47.58</v>
      </c>
      <c r="D22" s="58">
        <v>30.95</v>
      </c>
      <c r="E22" s="58">
        <v>6.21</v>
      </c>
      <c r="F22" s="58">
        <v>46.74</v>
      </c>
      <c r="G22" s="58">
        <v>48.42</v>
      </c>
      <c r="H22" s="58">
        <v>26.41</v>
      </c>
      <c r="I22" s="58">
        <v>0.71</v>
      </c>
      <c r="J22" s="58">
        <v>1.26</v>
      </c>
      <c r="K22" s="58">
        <v>165.05</v>
      </c>
      <c r="L22" s="58">
        <v>40.659999999999997</v>
      </c>
      <c r="M22" s="58">
        <v>11.02</v>
      </c>
      <c r="N22" s="58">
        <v>689.5</v>
      </c>
      <c r="O22" s="58">
        <v>0</v>
      </c>
      <c r="P22" s="58">
        <v>0.75</v>
      </c>
      <c r="Q22" s="58">
        <v>12.51</v>
      </c>
      <c r="R22" s="43"/>
      <c r="S22" s="43"/>
      <c r="T22" s="43"/>
      <c r="U22" s="43"/>
    </row>
    <row r="23" spans="1:21" s="11" customFormat="1" ht="15">
      <c r="A23" s="57" t="s">
        <v>508</v>
      </c>
      <c r="B23" s="58">
        <v>5.16</v>
      </c>
      <c r="C23" s="58">
        <v>47.20</v>
      </c>
      <c r="D23" s="58">
        <v>30.84</v>
      </c>
      <c r="E23" s="58">
        <v>7.10</v>
      </c>
      <c r="F23" s="58">
        <v>44.32</v>
      </c>
      <c r="G23" s="58">
        <v>46.09</v>
      </c>
      <c r="H23" s="58">
        <v>26.03</v>
      </c>
      <c r="I23" s="58">
        <v>0.70</v>
      </c>
      <c r="J23" s="58">
        <v>0.45</v>
      </c>
      <c r="K23" s="58">
        <v>203.76</v>
      </c>
      <c r="L23" s="58">
        <v>41.17</v>
      </c>
      <c r="M23" s="58">
        <v>10.199999999999999</v>
      </c>
      <c r="N23" s="58">
        <v>606.60</v>
      </c>
      <c r="O23" s="58">
        <v>0</v>
      </c>
      <c r="P23" s="58">
        <v>0.65</v>
      </c>
      <c r="Q23" s="58">
        <v>12.23</v>
      </c>
      <c r="R23" s="43"/>
      <c r="S23" s="43"/>
      <c r="T23" s="43"/>
      <c r="U23" s="43"/>
    </row>
    <row r="24" spans="1:21" s="11" customFormat="1" ht="15">
      <c r="A24" s="57" t="s">
        <v>509</v>
      </c>
      <c r="B24" s="58">
        <v>5.71</v>
      </c>
      <c r="C24" s="58">
        <v>42.87</v>
      </c>
      <c r="D24" s="58">
        <v>28.88</v>
      </c>
      <c r="E24" s="58">
        <v>5.0999999999999996</v>
      </c>
      <c r="F24" s="58">
        <v>58.67</v>
      </c>
      <c r="G24" s="58">
        <v>45.44</v>
      </c>
      <c r="H24" s="58">
        <v>23.86</v>
      </c>
      <c r="I24" s="58">
        <v>0.74</v>
      </c>
      <c r="J24" s="58">
        <v>0.56999999999999995</v>
      </c>
      <c r="K24" s="58">
        <v>356.42</v>
      </c>
      <c r="L24" s="58">
        <v>39.54</v>
      </c>
      <c r="M24" s="58">
        <v>11.04</v>
      </c>
      <c r="N24" s="58">
        <v>382.60</v>
      </c>
      <c r="O24" s="58">
        <v>0</v>
      </c>
      <c r="P24" s="58">
        <v>0.63</v>
      </c>
      <c r="Q24" s="58">
        <v>9.69</v>
      </c>
      <c r="R24" s="43"/>
      <c r="S24" s="43"/>
      <c r="T24" s="43"/>
      <c r="U24" s="43"/>
    </row>
    <row r="25" spans="1:21" s="11" customFormat="1" ht="15">
      <c r="A25" s="57" t="s">
        <v>510</v>
      </c>
      <c r="B25" s="58">
        <v>9.08</v>
      </c>
      <c r="C25" s="58">
        <v>52.34</v>
      </c>
      <c r="D25" s="58">
        <v>36.82</v>
      </c>
      <c r="E25" s="58">
        <v>4.93</v>
      </c>
      <c r="F25" s="58">
        <v>52.44</v>
      </c>
      <c r="G25" s="58">
        <v>41.92</v>
      </c>
      <c r="H25" s="58">
        <v>21.36</v>
      </c>
      <c r="I25" s="58">
        <v>0.68</v>
      </c>
      <c r="J25" s="58">
        <v>0.56999999999999995</v>
      </c>
      <c r="K25" s="58">
        <v>22.92</v>
      </c>
      <c r="L25" s="58">
        <v>37.22</v>
      </c>
      <c r="M25" s="58">
        <v>13.82</v>
      </c>
      <c r="N25" s="58">
        <v>114.10</v>
      </c>
      <c r="O25" s="58">
        <v>0</v>
      </c>
      <c r="P25" s="58">
        <v>0.70</v>
      </c>
      <c r="Q25" s="58">
        <v>9.26</v>
      </c>
      <c r="R25" s="43"/>
      <c r="S25" s="43"/>
      <c r="T25" s="43"/>
      <c r="U25" s="43"/>
    </row>
    <row r="26" spans="1:21" s="11" customFormat="1" ht="15">
      <c r="A26" s="57" t="s">
        <v>511</v>
      </c>
      <c r="B26" s="58">
        <v>11.57</v>
      </c>
      <c r="C26" s="58">
        <v>90.28</v>
      </c>
      <c r="D26" s="58">
        <v>59.75</v>
      </c>
      <c r="E26" s="58">
        <v>5.34</v>
      </c>
      <c r="F26" s="58">
        <v>32.869999999999997</v>
      </c>
      <c r="G26" s="58">
        <v>38.11</v>
      </c>
      <c r="H26" s="58">
        <v>21.20</v>
      </c>
      <c r="I26" s="58">
        <v>0.74</v>
      </c>
      <c r="J26" s="58">
        <v>0.41</v>
      </c>
      <c r="K26" s="58">
        <v>357.93</v>
      </c>
      <c r="L26" s="58">
        <v>36.450000000000003</v>
      </c>
      <c r="M26" s="58">
        <v>16.149999999999999</v>
      </c>
      <c r="N26" s="58">
        <v>77.400000000000006</v>
      </c>
      <c r="O26" s="58">
        <v>0</v>
      </c>
      <c r="P26" s="58">
        <v>1.35</v>
      </c>
      <c r="Q26" s="58">
        <v>10.81</v>
      </c>
      <c r="R26" s="43"/>
      <c r="S26" s="43"/>
      <c r="T26" s="43"/>
      <c r="U26" s="43"/>
    </row>
    <row r="27" spans="1:21" s="11" customFormat="1" ht="15">
      <c r="A27" s="57" t="s">
        <v>512</v>
      </c>
      <c r="B27" s="58">
        <v>17.86</v>
      </c>
      <c r="C27" s="58">
        <v>119.43</v>
      </c>
      <c r="D27" s="58">
        <v>80.88</v>
      </c>
      <c r="E27" s="58">
        <v>8.09</v>
      </c>
      <c r="F27" s="58">
        <v>35.33</v>
      </c>
      <c r="G27" s="58">
        <v>60.10</v>
      </c>
      <c r="H27" s="58">
        <v>20.420000000000002</v>
      </c>
      <c r="I27" s="58">
        <v>0.82</v>
      </c>
      <c r="J27" s="58">
        <v>0.11</v>
      </c>
      <c r="K27" s="58">
        <v>309.06</v>
      </c>
      <c r="L27" s="58">
        <v>34.5</v>
      </c>
      <c r="M27" s="58">
        <v>16.37</v>
      </c>
      <c r="N27" s="58">
        <v>10.30</v>
      </c>
      <c r="O27" s="58">
        <v>0</v>
      </c>
      <c r="P27" s="58">
        <v>1.75</v>
      </c>
      <c r="Q27" s="58">
        <v>12.68</v>
      </c>
      <c r="R27" s="43"/>
      <c r="S27" s="43"/>
      <c r="T27" s="43"/>
      <c r="U27" s="43"/>
    </row>
    <row r="28" spans="1:21" s="11" customFormat="1" ht="15">
      <c r="A28" s="57" t="s">
        <v>513</v>
      </c>
      <c r="B28" s="58">
        <v>40.81</v>
      </c>
      <c r="C28" s="58">
        <v>101.25</v>
      </c>
      <c r="D28" s="58">
        <v>89.25</v>
      </c>
      <c r="E28" s="58">
        <v>7.39</v>
      </c>
      <c r="F28" s="58">
        <v>15.31</v>
      </c>
      <c r="G28" s="58">
        <v>71.14</v>
      </c>
      <c r="H28" s="58">
        <v>21.88</v>
      </c>
      <c r="I28" s="58">
        <v>0.92</v>
      </c>
      <c r="J28" s="58">
        <v>0.14000000000000001</v>
      </c>
      <c r="K28" s="58">
        <v>345.37</v>
      </c>
      <c r="L28" s="58">
        <v>33.42</v>
      </c>
      <c r="M28" s="58">
        <v>23.53</v>
      </c>
      <c r="N28" s="58">
        <v>5.0999999999999996</v>
      </c>
      <c r="O28" s="58">
        <v>0</v>
      </c>
      <c r="P28" s="58">
        <v>2.2000000000000002</v>
      </c>
      <c r="Q28" s="58">
        <v>16.14</v>
      </c>
      <c r="R28" s="43"/>
      <c r="S28" s="43"/>
      <c r="T28" s="43"/>
      <c r="U28" s="43"/>
    </row>
    <row r="29" spans="1:21" s="11" customFormat="1" ht="15">
      <c r="A29" s="57" t="s">
        <v>514</v>
      </c>
      <c r="B29" s="58">
        <v>37.840000000000003</v>
      </c>
      <c r="C29" s="58">
        <v>89.60</v>
      </c>
      <c r="D29" s="58">
        <v>80.44</v>
      </c>
      <c r="E29" s="58">
        <v>10.210000000000001</v>
      </c>
      <c r="F29" s="58">
        <v>14.99</v>
      </c>
      <c r="G29" s="58">
        <v>82.08</v>
      </c>
      <c r="H29" s="58">
        <v>28.53</v>
      </c>
      <c r="I29" s="58">
        <v>1</v>
      </c>
      <c r="J29" s="58">
        <v>0.96</v>
      </c>
      <c r="K29" s="58">
        <v>37.340000000000003</v>
      </c>
      <c r="L29" s="58">
        <v>30.57</v>
      </c>
      <c r="M29" s="58">
        <v>27.04</v>
      </c>
      <c r="N29" s="58">
        <v>4.5999999999999996</v>
      </c>
      <c r="O29" s="58">
        <v>0</v>
      </c>
      <c r="P29" s="58">
        <v>2.35</v>
      </c>
      <c r="Q29" s="58">
        <v>21.13</v>
      </c>
      <c r="R29" s="43"/>
      <c r="S29" s="43"/>
      <c r="T29" s="43"/>
      <c r="U29" s="43"/>
    </row>
    <row r="30" spans="1:21" s="11" customFormat="1" ht="15">
      <c r="A30" s="57" t="s">
        <v>515</v>
      </c>
      <c r="B30" s="58">
        <v>61.04</v>
      </c>
      <c r="C30" s="58">
        <v>104.61</v>
      </c>
      <c r="D30" s="58">
        <v>107.33</v>
      </c>
      <c r="E30" s="58">
        <v>42.18</v>
      </c>
      <c r="F30" s="58">
        <v>15.74</v>
      </c>
      <c r="G30" s="58">
        <v>80.52</v>
      </c>
      <c r="H30" s="58">
        <v>30.45</v>
      </c>
      <c r="I30" s="58">
        <v>0.88</v>
      </c>
      <c r="J30" s="58">
        <v>0.88</v>
      </c>
      <c r="K30" s="58">
        <v>66.37</v>
      </c>
      <c r="L30" s="58">
        <v>30.52</v>
      </c>
      <c r="M30" s="58">
        <v>24.59</v>
      </c>
      <c r="N30" s="58">
        <v>5.0999999999999996</v>
      </c>
      <c r="O30" s="58">
        <v>0</v>
      </c>
      <c r="P30" s="58">
        <v>2.60</v>
      </c>
      <c r="Q30" s="58">
        <v>21.94</v>
      </c>
      <c r="R30" s="43"/>
      <c r="S30" s="43"/>
      <c r="T30" s="43"/>
      <c r="U30" s="43"/>
    </row>
    <row r="31" spans="1:21" s="11" customFormat="1" ht="15">
      <c r="A31" s="57" t="s">
        <v>516</v>
      </c>
      <c r="B31" s="58">
        <v>41.99</v>
      </c>
      <c r="C31" s="58">
        <v>95.61</v>
      </c>
      <c r="D31" s="58">
        <v>83.73</v>
      </c>
      <c r="E31" s="58">
        <v>29.72</v>
      </c>
      <c r="F31" s="58">
        <v>12.05</v>
      </c>
      <c r="G31" s="58">
        <v>110.13</v>
      </c>
      <c r="H31" s="58">
        <v>41.5</v>
      </c>
      <c r="I31" s="58">
        <v>1.04</v>
      </c>
      <c r="J31" s="58">
        <v>0.52</v>
      </c>
      <c r="K31" s="58">
        <v>94.67</v>
      </c>
      <c r="L31" s="58">
        <v>30.46</v>
      </c>
      <c r="M31" s="58">
        <v>23.31</v>
      </c>
      <c r="N31" s="58">
        <v>4.5999999999999996</v>
      </c>
      <c r="O31" s="58">
        <v>0</v>
      </c>
      <c r="P31" s="58">
        <v>2.12</v>
      </c>
      <c r="Q31" s="58">
        <v>24.54</v>
      </c>
      <c r="R31" s="43"/>
      <c r="S31" s="43"/>
      <c r="T31" s="43"/>
      <c r="U31" s="43"/>
    </row>
    <row r="32" spans="1:21" s="11" customFormat="1" ht="15">
      <c r="A32" s="57" t="s">
        <v>517</v>
      </c>
      <c r="B32" s="58">
        <v>23.10</v>
      </c>
      <c r="C32" s="58">
        <v>69.209999999999994</v>
      </c>
      <c r="D32" s="58">
        <v>57.36</v>
      </c>
      <c r="E32" s="58">
        <v>14.58</v>
      </c>
      <c r="F32" s="58">
        <v>17.36</v>
      </c>
      <c r="G32" s="58">
        <v>122.02</v>
      </c>
      <c r="H32" s="58">
        <v>41.36</v>
      </c>
      <c r="I32" s="58">
        <v>0.86</v>
      </c>
      <c r="J32" s="58">
        <v>0.73</v>
      </c>
      <c r="K32" s="58">
        <v>170.85</v>
      </c>
      <c r="L32" s="58">
        <v>29.71</v>
      </c>
      <c r="M32" s="58">
        <v>24.40</v>
      </c>
      <c r="N32" s="58">
        <v>4.80</v>
      </c>
      <c r="O32" s="58">
        <v>0</v>
      </c>
      <c r="P32" s="58">
        <v>1.45</v>
      </c>
      <c r="Q32" s="58">
        <v>24.80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</v>
      </c>
      <c r="C34" s="28">
        <f t="shared" si="0"/>
        <v>42.869999999999997</v>
      </c>
      <c r="D34" s="28">
        <f t="shared" si="0"/>
        <v>28.879999999999999</v>
      </c>
      <c r="E34" s="28">
        <f t="shared" si="0"/>
        <v>2.1200000000000001</v>
      </c>
      <c r="F34" s="28">
        <f t="shared" si="0"/>
        <v>6.9900000000000002</v>
      </c>
      <c r="G34" s="28">
        <f t="shared" si="0"/>
        <v>38.109999999999999</v>
      </c>
      <c r="H34" s="28">
        <f t="shared" si="0"/>
        <v>20.420000000000002</v>
      </c>
      <c r="I34" s="28">
        <f t="shared" si="0"/>
        <v>0.57999999999999996</v>
      </c>
      <c r="J34" s="28">
        <f t="shared" si="0"/>
        <v>0.11</v>
      </c>
      <c r="K34" s="28">
        <f t="shared" si="0"/>
        <v>18.239999999999998</v>
      </c>
      <c r="L34" s="28">
        <f t="shared" si="0"/>
        <v>24.920000000000002</v>
      </c>
      <c r="M34" s="28">
        <f t="shared" si="0"/>
        <v>10.199999999999999</v>
      </c>
      <c r="N34" s="28">
        <f t="shared" si="0"/>
        <v>4.5999999999999996</v>
      </c>
      <c r="O34" s="28">
        <f t="shared" si="0"/>
        <v>0</v>
      </c>
      <c r="P34" s="28">
        <f t="shared" si="0"/>
        <v>0.63</v>
      </c>
      <c r="Q34" s="28">
        <f t="shared" si="0"/>
        <v>8.1899999999999995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61.039999999999999</v>
      </c>
      <c r="C35" s="29">
        <f t="shared" si="1"/>
        <v>119.43000000000001</v>
      </c>
      <c r="D35" s="29">
        <f t="shared" si="1"/>
        <v>107.33</v>
      </c>
      <c r="E35" s="29">
        <f t="shared" si="1"/>
        <v>42.18</v>
      </c>
      <c r="F35" s="29">
        <f t="shared" si="1"/>
        <v>58.670000000000002</v>
      </c>
      <c r="G35" s="29">
        <f t="shared" si="1"/>
        <v>122.02</v>
      </c>
      <c r="H35" s="29">
        <f t="shared" si="1"/>
        <v>41.5</v>
      </c>
      <c r="I35" s="29">
        <f t="shared" si="1"/>
        <v>1.04</v>
      </c>
      <c r="J35" s="29">
        <f t="shared" si="1"/>
        <v>2.2599999999999998</v>
      </c>
      <c r="K35" s="29">
        <f t="shared" si="1"/>
        <v>357.93000000000001</v>
      </c>
      <c r="L35" s="29">
        <f t="shared" si="1"/>
        <v>42.590000000000003</v>
      </c>
      <c r="M35" s="29">
        <f t="shared" si="1"/>
        <v>41.079999999999998</v>
      </c>
      <c r="N35" s="29">
        <f t="shared" si="1"/>
        <v>850.20000000000005</v>
      </c>
      <c r="O35" s="29">
        <f t="shared" si="1"/>
        <v>0</v>
      </c>
      <c r="P35" s="29">
        <f t="shared" si="1"/>
        <v>2.6000000000000001</v>
      </c>
      <c r="Q35" s="29">
        <f t="shared" si="1"/>
        <v>25.68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15.800833333333335</v>
      </c>
      <c r="C36" s="28">
        <f t="shared" si="2"/>
        <v>64.03083333333332</v>
      </c>
      <c r="D36" s="28">
        <f t="shared" si="2"/>
        <v>48.361666666666657</v>
      </c>
      <c r="E36" s="28">
        <f t="shared" si="2"/>
        <v>8.9895833333333339</v>
      </c>
      <c r="F36" s="28">
        <f t="shared" si="2"/>
        <v>24.008333333333329</v>
      </c>
      <c r="G36" s="28">
        <f t="shared" si="2"/>
        <v>74.914583333333326</v>
      </c>
      <c r="H36" s="28">
        <f t="shared" si="2"/>
        <v>30.690833333333341</v>
      </c>
      <c r="I36" s="28">
        <f t="shared" si="2"/>
        <v>0.72083333333333333</v>
      </c>
      <c r="J36" s="28">
        <f t="shared" si="2"/>
        <v>0.76291666666666658</v>
      </c>
      <c r="K36" s="28">
        <f t="shared" si="2"/>
        <v>162.62541666666667</v>
      </c>
      <c r="L36" s="28">
        <f t="shared" si="2"/>
        <v>33.624166666666675</v>
      </c>
      <c r="M36" s="28">
        <f t="shared" si="2"/>
        <v>23.369166666666661</v>
      </c>
      <c r="N36" s="28">
        <f t="shared" si="2"/>
        <v>257.49166666666679</v>
      </c>
      <c r="O36" s="28">
        <f t="shared" si="2"/>
        <v>0</v>
      </c>
      <c r="P36" s="28">
        <f t="shared" si="2"/>
        <v>1.3337500000000002</v>
      </c>
      <c r="Q36" s="28">
        <f t="shared" si="2"/>
        <v>16.40625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14.696061559558016</v>
      </c>
      <c r="C37" s="28">
        <f t="shared" si="3" ref="C37:Q37">STDEV(C9:C32)</f>
        <v>22.642666903276965</v>
      </c>
      <c r="D37" s="28">
        <f t="shared" si="3"/>
        <v>22.713079293977142</v>
      </c>
      <c r="E37" s="28">
        <f t="shared" si="3"/>
        <v>8.9052600377855153</v>
      </c>
      <c r="F37" s="28">
        <f t="shared" si="3"/>
        <v>15.706518631964</v>
      </c>
      <c r="G37" s="28">
        <f t="shared" si="3"/>
        <v>21.262704024360062</v>
      </c>
      <c r="H37" s="28">
        <f t="shared" si="3"/>
        <v>6.0822113517647338</v>
      </c>
      <c r="I37" s="28">
        <f t="shared" si="3"/>
        <v>0.13121229617176386</v>
      </c>
      <c r="J37" s="28">
        <f t="shared" si="3"/>
        <v>0.61211308394465147</v>
      </c>
      <c r="K37" s="28">
        <f t="shared" si="3"/>
        <v>133.59149865490068</v>
      </c>
      <c r="L37" s="28">
        <f t="shared" si="3"/>
        <v>6.0321457114411281</v>
      </c>
      <c r="M37" s="28">
        <f t="shared" si="3"/>
        <v>10.588165631934352</v>
      </c>
      <c r="N37" s="28">
        <f t="shared" si="3"/>
        <v>324.19430153062137</v>
      </c>
      <c r="O37" s="28">
        <f t="shared" si="3"/>
        <v>0</v>
      </c>
      <c r="P37" s="28">
        <f t="shared" si="3"/>
        <v>0.53285786097232291</v>
      </c>
      <c r="Q37" s="28">
        <f t="shared" si="3"/>
        <v>5.6405440783669007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54da42-25da-47ab-b273-eed5f4e74754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6" sqref="G7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518</v>
      </c>
      <c r="B9" s="58">
        <v>17.149999999999999</v>
      </c>
      <c r="C9" s="58">
        <v>54.81</v>
      </c>
      <c r="D9" s="58">
        <v>44.65</v>
      </c>
      <c r="E9" s="58">
        <v>11.15</v>
      </c>
      <c r="F9" s="58">
        <v>16.420000000000002</v>
      </c>
      <c r="G9" s="58">
        <v>119.34</v>
      </c>
      <c r="H9" s="58">
        <v>40.299999999999997</v>
      </c>
      <c r="I9" s="58">
        <v>0.77</v>
      </c>
      <c r="J9" s="58">
        <v>1.23</v>
      </c>
      <c r="K9" s="58">
        <v>328.92</v>
      </c>
      <c r="L9" s="58">
        <v>28.32</v>
      </c>
      <c r="M9" s="58">
        <v>29.92</v>
      </c>
      <c r="N9" s="58">
        <v>5.40</v>
      </c>
      <c r="O9" s="58">
        <v>0</v>
      </c>
      <c r="P9" s="58">
        <v>1.48</v>
      </c>
      <c r="Q9" s="58">
        <v>22.45</v>
      </c>
      <c r="R9" s="43"/>
      <c r="S9" s="43"/>
      <c r="T9" s="43"/>
      <c r="U9" s="43"/>
    </row>
    <row r="10" spans="1:21" s="11" customFormat="1" ht="15">
      <c r="A10" s="57" t="s">
        <v>519</v>
      </c>
      <c r="B10" s="58">
        <v>11.74</v>
      </c>
      <c r="C10" s="58">
        <v>49.31</v>
      </c>
      <c r="D10" s="58">
        <v>37.28</v>
      </c>
      <c r="E10" s="58">
        <v>9.01</v>
      </c>
      <c r="F10" s="58">
        <v>15.15</v>
      </c>
      <c r="G10" s="58">
        <v>99.86</v>
      </c>
      <c r="H10" s="58">
        <v>37.92</v>
      </c>
      <c r="I10" s="58">
        <v>0.73</v>
      </c>
      <c r="J10" s="58">
        <v>0.34</v>
      </c>
      <c r="K10" s="58">
        <v>249.31</v>
      </c>
      <c r="L10" s="58">
        <v>26.75</v>
      </c>
      <c r="M10" s="58">
        <v>33.5</v>
      </c>
      <c r="N10" s="58">
        <v>5.0999999999999996</v>
      </c>
      <c r="O10" s="58">
        <v>0</v>
      </c>
      <c r="P10" s="58">
        <v>1.17</v>
      </c>
      <c r="Q10" s="58">
        <v>20.48</v>
      </c>
      <c r="R10" s="43"/>
      <c r="S10" s="43"/>
      <c r="T10" s="43"/>
      <c r="U10" s="43"/>
    </row>
    <row r="11" spans="1:21" s="11" customFormat="1" ht="15">
      <c r="A11" s="57" t="s">
        <v>520</v>
      </c>
      <c r="B11" s="58">
        <v>8.0299999999999994</v>
      </c>
      <c r="C11" s="58">
        <v>40.94</v>
      </c>
      <c r="D11" s="58">
        <v>29.68</v>
      </c>
      <c r="E11" s="58">
        <v>4.41</v>
      </c>
      <c r="F11" s="58">
        <v>19.670000000000002</v>
      </c>
      <c r="G11" s="58">
        <v>70.41</v>
      </c>
      <c r="H11" s="58">
        <v>37.31</v>
      </c>
      <c r="I11" s="58">
        <v>0.69</v>
      </c>
      <c r="J11" s="58">
        <v>0.52</v>
      </c>
      <c r="K11" s="58">
        <v>339.74</v>
      </c>
      <c r="L11" s="58">
        <v>26.46</v>
      </c>
      <c r="M11" s="58">
        <v>38.630000000000003</v>
      </c>
      <c r="N11" s="58">
        <v>5.0999999999999996</v>
      </c>
      <c r="O11" s="58">
        <v>0</v>
      </c>
      <c r="P11" s="58">
        <v>1.1399999999999999</v>
      </c>
      <c r="Q11" s="58">
        <v>14.61</v>
      </c>
      <c r="R11" s="43"/>
      <c r="S11" s="43"/>
      <c r="T11" s="43"/>
      <c r="U11" s="43"/>
    </row>
    <row r="12" spans="1:21" s="11" customFormat="1" ht="15">
      <c r="A12" s="57" t="s">
        <v>521</v>
      </c>
      <c r="B12" s="58">
        <v>5.0599999999999996</v>
      </c>
      <c r="C12" s="58">
        <v>38.630000000000003</v>
      </c>
      <c r="D12" s="58">
        <v>26.02</v>
      </c>
      <c r="E12" s="58">
        <v>3.70</v>
      </c>
      <c r="F12" s="58">
        <v>23.54</v>
      </c>
      <c r="G12" s="58">
        <v>67.349999999999994</v>
      </c>
      <c r="H12" s="58">
        <v>33.94</v>
      </c>
      <c r="I12" s="58">
        <v>0.63</v>
      </c>
      <c r="J12" s="58">
        <v>0.28999999999999998</v>
      </c>
      <c r="K12" s="58">
        <v>326.83</v>
      </c>
      <c r="L12" s="58">
        <v>25.5</v>
      </c>
      <c r="M12" s="58">
        <v>46.55</v>
      </c>
      <c r="N12" s="58">
        <v>5.30</v>
      </c>
      <c r="O12" s="58">
        <v>0</v>
      </c>
      <c r="P12" s="58">
        <v>0.95</v>
      </c>
      <c r="Q12" s="58">
        <v>12.81</v>
      </c>
      <c r="R12" s="43"/>
      <c r="S12" s="43"/>
      <c r="T12" s="43"/>
      <c r="U12" s="43"/>
    </row>
    <row r="13" spans="1:21" s="11" customFormat="1" ht="15">
      <c r="A13" s="57" t="s">
        <v>522</v>
      </c>
      <c r="B13" s="58">
        <v>5.09</v>
      </c>
      <c r="C13" s="58">
        <v>40.98</v>
      </c>
      <c r="D13" s="58">
        <v>27.34</v>
      </c>
      <c r="E13" s="58">
        <v>2.92</v>
      </c>
      <c r="F13" s="58">
        <v>14.60</v>
      </c>
      <c r="G13" s="58">
        <v>61.97</v>
      </c>
      <c r="H13" s="58">
        <v>29.84</v>
      </c>
      <c r="I13" s="58">
        <v>0.69</v>
      </c>
      <c r="J13" s="58">
        <v>0.13</v>
      </c>
      <c r="K13" s="58">
        <v>327.14</v>
      </c>
      <c r="L13" s="58">
        <v>25.11</v>
      </c>
      <c r="M13" s="58">
        <v>46.51</v>
      </c>
      <c r="N13" s="58">
        <v>4.9000000000000004</v>
      </c>
      <c r="O13" s="58">
        <v>0</v>
      </c>
      <c r="P13" s="58">
        <v>0.98</v>
      </c>
      <c r="Q13" s="58">
        <v>13.29</v>
      </c>
      <c r="R13" s="43"/>
      <c r="S13" s="43"/>
      <c r="T13" s="43"/>
      <c r="U13" s="43"/>
    </row>
    <row r="14" spans="1:21" s="11" customFormat="1" ht="15">
      <c r="A14" s="57" t="s">
        <v>523</v>
      </c>
      <c r="B14" s="58">
        <v>3.12</v>
      </c>
      <c r="C14" s="58">
        <v>40.520000000000003</v>
      </c>
      <c r="D14" s="58">
        <v>25.51</v>
      </c>
      <c r="E14" s="58">
        <v>2.08</v>
      </c>
      <c r="F14" s="58">
        <v>11.06</v>
      </c>
      <c r="G14" s="58">
        <v>50.03</v>
      </c>
      <c r="H14" s="58">
        <v>26.79</v>
      </c>
      <c r="I14" s="58">
        <v>0.69</v>
      </c>
      <c r="J14" s="58">
        <v>1.21</v>
      </c>
      <c r="K14" s="58">
        <v>348.47</v>
      </c>
      <c r="L14" s="58">
        <v>25.47</v>
      </c>
      <c r="M14" s="58">
        <v>42.72</v>
      </c>
      <c r="N14" s="58">
        <v>12.40</v>
      </c>
      <c r="O14" s="58">
        <v>0</v>
      </c>
      <c r="P14" s="58">
        <v>0.91</v>
      </c>
      <c r="Q14" s="58">
        <v>9.8800000000000008</v>
      </c>
      <c r="R14" s="43"/>
      <c r="S14" s="43"/>
      <c r="T14" s="43"/>
      <c r="U14" s="43"/>
    </row>
    <row r="15" spans="1:21" s="11" customFormat="1" ht="15">
      <c r="A15" s="57" t="s">
        <v>524</v>
      </c>
      <c r="B15" s="58">
        <v>5.24</v>
      </c>
      <c r="C15" s="58">
        <v>43.41</v>
      </c>
      <c r="D15" s="58">
        <v>28.80</v>
      </c>
      <c r="E15" s="58">
        <v>2.82</v>
      </c>
      <c r="F15" s="58">
        <v>6.88</v>
      </c>
      <c r="G15" s="58">
        <v>61.82</v>
      </c>
      <c r="H15" s="58">
        <v>26.04</v>
      </c>
      <c r="I15" s="58">
        <v>0.60</v>
      </c>
      <c r="J15" s="58">
        <v>0.38</v>
      </c>
      <c r="K15" s="58">
        <v>341.30</v>
      </c>
      <c r="L15" s="58">
        <v>26.45</v>
      </c>
      <c r="M15" s="58">
        <v>39.08</v>
      </c>
      <c r="N15" s="58">
        <v>63.60</v>
      </c>
      <c r="O15" s="58">
        <v>0</v>
      </c>
      <c r="P15" s="58">
        <v>0.91</v>
      </c>
      <c r="Q15" s="58">
        <v>8.5500000000000007</v>
      </c>
      <c r="R15" s="43"/>
      <c r="S15" s="43"/>
      <c r="T15" s="43"/>
      <c r="U15" s="43"/>
    </row>
    <row r="16" spans="1:21" s="11" customFormat="1" ht="15">
      <c r="A16" s="57" t="s">
        <v>525</v>
      </c>
      <c r="B16" s="58">
        <v>4.8600000000000003</v>
      </c>
      <c r="C16" s="58">
        <v>45.45</v>
      </c>
      <c r="D16" s="58">
        <v>29.20</v>
      </c>
      <c r="E16" s="58">
        <v>3.17</v>
      </c>
      <c r="F16" s="58">
        <v>6.24</v>
      </c>
      <c r="G16" s="58">
        <v>62.14</v>
      </c>
      <c r="H16" s="58">
        <v>28.30</v>
      </c>
      <c r="I16" s="58">
        <v>0.56000000000000005</v>
      </c>
      <c r="J16" s="58">
        <v>0.31</v>
      </c>
      <c r="K16" s="58">
        <v>355.09</v>
      </c>
      <c r="L16" s="58">
        <v>27.10</v>
      </c>
      <c r="M16" s="58">
        <v>38.44</v>
      </c>
      <c r="N16" s="58">
        <v>184.40</v>
      </c>
      <c r="O16" s="58">
        <v>0</v>
      </c>
      <c r="P16" s="58">
        <v>1.05</v>
      </c>
      <c r="Q16" s="58">
        <v>8.84</v>
      </c>
      <c r="R16" s="43"/>
      <c r="S16" s="43"/>
      <c r="T16" s="43"/>
      <c r="U16" s="43"/>
    </row>
    <row r="17" spans="1:21" s="11" customFormat="1" ht="15">
      <c r="A17" s="57" t="s">
        <v>526</v>
      </c>
      <c r="B17" s="58">
        <v>3.26</v>
      </c>
      <c r="C17" s="58">
        <v>45.79</v>
      </c>
      <c r="D17" s="58">
        <v>28.46</v>
      </c>
      <c r="E17" s="58">
        <v>3.18</v>
      </c>
      <c r="F17" s="58">
        <v>8.10</v>
      </c>
      <c r="G17" s="58">
        <v>71.69</v>
      </c>
      <c r="H17" s="58">
        <v>31.17</v>
      </c>
      <c r="I17" s="58">
        <v>0.56000000000000005</v>
      </c>
      <c r="J17" s="58">
        <v>0.35</v>
      </c>
      <c r="K17" s="58">
        <v>40.28</v>
      </c>
      <c r="L17" s="58">
        <v>29.42</v>
      </c>
      <c r="M17" s="58">
        <v>35.89</v>
      </c>
      <c r="N17" s="58">
        <v>364.90</v>
      </c>
      <c r="O17" s="58">
        <v>0</v>
      </c>
      <c r="P17" s="58">
        <v>1.04</v>
      </c>
      <c r="Q17" s="58">
        <v>7.46</v>
      </c>
      <c r="R17" s="43"/>
      <c r="S17" s="43"/>
      <c r="T17" s="43"/>
      <c r="U17" s="43"/>
    </row>
    <row r="18" spans="1:21" s="11" customFormat="1" ht="15">
      <c r="A18" s="57" t="s">
        <v>527</v>
      </c>
      <c r="B18" s="58">
        <v>2.90</v>
      </c>
      <c r="C18" s="58">
        <v>48.09</v>
      </c>
      <c r="D18" s="58">
        <v>29.37</v>
      </c>
      <c r="E18" s="58">
        <v>3.13</v>
      </c>
      <c r="F18" s="58">
        <v>7.70</v>
      </c>
      <c r="G18" s="58">
        <v>70.709999999999994</v>
      </c>
      <c r="H18" s="58">
        <v>31.04</v>
      </c>
      <c r="I18" s="58">
        <v>0.52</v>
      </c>
      <c r="J18" s="58">
        <v>1.21</v>
      </c>
      <c r="K18" s="58">
        <v>347.73</v>
      </c>
      <c r="L18" s="58">
        <v>34.40</v>
      </c>
      <c r="M18" s="58">
        <v>30.22</v>
      </c>
      <c r="N18" s="58">
        <v>617</v>
      </c>
      <c r="O18" s="58">
        <v>0</v>
      </c>
      <c r="P18" s="58">
        <v>0.96</v>
      </c>
      <c r="Q18" s="58">
        <v>5.45</v>
      </c>
      <c r="R18" s="43"/>
      <c r="S18" s="43"/>
      <c r="T18" s="43"/>
      <c r="U18" s="43"/>
    </row>
    <row r="19" spans="1:21" s="11" customFormat="1" ht="15">
      <c r="A19" s="57" t="s">
        <v>528</v>
      </c>
      <c r="B19" s="58">
        <v>3.56</v>
      </c>
      <c r="C19" s="58">
        <v>45.58</v>
      </c>
      <c r="D19" s="58">
        <v>28.29</v>
      </c>
      <c r="E19" s="58">
        <v>2.0699999999999998</v>
      </c>
      <c r="F19" s="58">
        <v>10.44</v>
      </c>
      <c r="G19" s="58">
        <v>64.510000000000005</v>
      </c>
      <c r="H19" s="58">
        <v>30.14</v>
      </c>
      <c r="I19" s="58">
        <v>0.5</v>
      </c>
      <c r="J19" s="58">
        <v>1.95</v>
      </c>
      <c r="K19" s="58">
        <v>339.17</v>
      </c>
      <c r="L19" s="58">
        <v>36.10</v>
      </c>
      <c r="M19" s="58">
        <v>22.65</v>
      </c>
      <c r="N19" s="58">
        <v>635</v>
      </c>
      <c r="O19" s="58">
        <v>0</v>
      </c>
      <c r="P19" s="58">
        <v>0.86</v>
      </c>
      <c r="Q19" s="58">
        <v>4.37</v>
      </c>
      <c r="R19" s="43"/>
      <c r="S19" s="43"/>
      <c r="T19" s="43"/>
      <c r="U19" s="43"/>
    </row>
    <row r="20" spans="1:21" s="11" customFormat="1" ht="15">
      <c r="A20" s="57" t="s">
        <v>529</v>
      </c>
      <c r="B20" s="58">
        <v>4.18</v>
      </c>
      <c r="C20" s="58">
        <v>45.18</v>
      </c>
      <c r="D20" s="58">
        <v>28.42</v>
      </c>
      <c r="E20" s="58">
        <v>3.24</v>
      </c>
      <c r="F20" s="58">
        <v>12.19</v>
      </c>
      <c r="G20" s="58">
        <v>61.5</v>
      </c>
      <c r="H20" s="58">
        <v>27.71</v>
      </c>
      <c r="I20" s="58">
        <v>0.49</v>
      </c>
      <c r="J20" s="58">
        <v>1.18</v>
      </c>
      <c r="K20" s="58">
        <v>342.60</v>
      </c>
      <c r="L20" s="58">
        <v>37.36</v>
      </c>
      <c r="M20" s="58">
        <v>20.13</v>
      </c>
      <c r="N20" s="58">
        <v>657.30</v>
      </c>
      <c r="O20" s="58">
        <v>0</v>
      </c>
      <c r="P20" s="58">
        <v>0.73</v>
      </c>
      <c r="Q20" s="58">
        <v>1.70</v>
      </c>
      <c r="R20" s="43"/>
      <c r="S20" s="43"/>
      <c r="T20" s="43"/>
      <c r="U20" s="43"/>
    </row>
    <row r="21" spans="1:21" s="11" customFormat="1" ht="15">
      <c r="A21" s="57" t="s">
        <v>530</v>
      </c>
      <c r="B21" s="58">
        <v>4.5</v>
      </c>
      <c r="C21" s="58">
        <v>46.27</v>
      </c>
      <c r="D21" s="58">
        <v>28.93</v>
      </c>
      <c r="E21" s="58">
        <v>2.88</v>
      </c>
      <c r="F21" s="58">
        <v>14.59</v>
      </c>
      <c r="G21" s="58">
        <v>54.40</v>
      </c>
      <c r="H21" s="58">
        <v>24.51</v>
      </c>
      <c r="I21" s="58">
        <v>0.49</v>
      </c>
      <c r="J21" s="58">
        <v>1.92</v>
      </c>
      <c r="K21" s="58">
        <v>347.87</v>
      </c>
      <c r="L21" s="58">
        <v>38.01</v>
      </c>
      <c r="M21" s="58">
        <v>18.809999999999999</v>
      </c>
      <c r="N21" s="58">
        <v>726.30</v>
      </c>
      <c r="O21" s="58">
        <v>0</v>
      </c>
      <c r="P21" s="58">
        <v>0.68</v>
      </c>
      <c r="Q21" s="58">
        <v>2.35</v>
      </c>
      <c r="R21" s="43"/>
      <c r="S21" s="43"/>
      <c r="T21" s="43"/>
      <c r="U21" s="43"/>
    </row>
    <row r="22" spans="1:21" s="11" customFormat="1" ht="15">
      <c r="A22" s="57" t="s">
        <v>531</v>
      </c>
      <c r="B22" s="58">
        <v>7.25</v>
      </c>
      <c r="C22" s="58">
        <v>48.13</v>
      </c>
      <c r="D22" s="58">
        <v>31.06</v>
      </c>
      <c r="E22" s="58">
        <v>3.15</v>
      </c>
      <c r="F22" s="58">
        <v>21.89</v>
      </c>
      <c r="G22" s="58">
        <v>42.06</v>
      </c>
      <c r="H22" s="58">
        <v>22.33</v>
      </c>
      <c r="I22" s="58">
        <v>0.5</v>
      </c>
      <c r="J22" s="58">
        <v>1.5</v>
      </c>
      <c r="K22" s="58">
        <v>350.95</v>
      </c>
      <c r="L22" s="58">
        <v>39.369999999999997</v>
      </c>
      <c r="M22" s="58">
        <v>16.190000000000001</v>
      </c>
      <c r="N22" s="58">
        <v>791.5</v>
      </c>
      <c r="O22" s="58">
        <v>0</v>
      </c>
      <c r="P22" s="58">
        <v>0.68</v>
      </c>
      <c r="Q22" s="58">
        <v>3.24</v>
      </c>
      <c r="R22" s="43"/>
      <c r="S22" s="43"/>
      <c r="T22" s="43"/>
      <c r="U22" s="43"/>
    </row>
    <row r="23" spans="1:21" s="11" customFormat="1" ht="15">
      <c r="A23" s="57" t="s">
        <v>532</v>
      </c>
      <c r="B23" s="58">
        <v>5.78</v>
      </c>
      <c r="C23" s="58">
        <v>50.41</v>
      </c>
      <c r="D23" s="58">
        <v>32.21</v>
      </c>
      <c r="E23" s="58">
        <v>7.34</v>
      </c>
      <c r="F23" s="58">
        <v>46.91</v>
      </c>
      <c r="G23" s="58">
        <v>54.02</v>
      </c>
      <c r="H23" s="58">
        <v>21.78</v>
      </c>
      <c r="I23" s="58">
        <v>0.51</v>
      </c>
      <c r="J23" s="58">
        <v>0.97</v>
      </c>
      <c r="K23" s="58">
        <v>356.5</v>
      </c>
      <c r="L23" s="58">
        <v>38.04</v>
      </c>
      <c r="M23" s="58">
        <v>17.80</v>
      </c>
      <c r="N23" s="58">
        <v>560.20000000000005</v>
      </c>
      <c r="O23" s="58">
        <v>0</v>
      </c>
      <c r="P23" s="58">
        <v>0.73</v>
      </c>
      <c r="Q23" s="58">
        <v>6.63</v>
      </c>
      <c r="R23" s="43"/>
      <c r="S23" s="43"/>
      <c r="T23" s="43"/>
      <c r="U23" s="43"/>
    </row>
    <row r="24" spans="1:21" s="11" customFormat="1" ht="15">
      <c r="A24" s="57" t="s">
        <v>533</v>
      </c>
      <c r="B24" s="58">
        <v>5.69</v>
      </c>
      <c r="C24" s="58">
        <v>49.44</v>
      </c>
      <c r="D24" s="58">
        <v>32.5</v>
      </c>
      <c r="E24" s="58">
        <v>13.07</v>
      </c>
      <c r="F24" s="58">
        <v>50.10</v>
      </c>
      <c r="G24" s="58">
        <v>53.88</v>
      </c>
      <c r="H24" s="58">
        <v>21.30</v>
      </c>
      <c r="I24" s="58">
        <v>0.57999999999999996</v>
      </c>
      <c r="J24" s="58">
        <v>1.38</v>
      </c>
      <c r="K24" s="58">
        <v>359.56</v>
      </c>
      <c r="L24" s="58">
        <v>36.58</v>
      </c>
      <c r="M24" s="58">
        <v>18.36</v>
      </c>
      <c r="N24" s="58">
        <v>419.60</v>
      </c>
      <c r="O24" s="58">
        <v>0</v>
      </c>
      <c r="P24" s="58">
        <v>0.69</v>
      </c>
      <c r="Q24" s="58">
        <v>11.51</v>
      </c>
      <c r="R24" s="43"/>
      <c r="S24" s="43"/>
      <c r="T24" s="43"/>
      <c r="U24" s="43"/>
    </row>
    <row r="25" spans="1:21" s="11" customFormat="1" ht="15">
      <c r="A25" s="57" t="s">
        <v>534</v>
      </c>
      <c r="B25" s="58">
        <v>7.66</v>
      </c>
      <c r="C25" s="58">
        <v>50.60</v>
      </c>
      <c r="D25" s="58">
        <v>34.10</v>
      </c>
      <c r="E25" s="58">
        <v>9.64</v>
      </c>
      <c r="F25" s="58">
        <v>32.82</v>
      </c>
      <c r="G25" s="58">
        <v>52.13</v>
      </c>
      <c r="H25" s="58">
        <v>21.03</v>
      </c>
      <c r="I25" s="58">
        <v>0.62</v>
      </c>
      <c r="J25" s="58">
        <v>0.88</v>
      </c>
      <c r="K25" s="58">
        <v>119.21</v>
      </c>
      <c r="L25" s="58">
        <v>35</v>
      </c>
      <c r="M25" s="58">
        <v>17.350000000000001</v>
      </c>
      <c r="N25" s="58">
        <v>132.69999999999999</v>
      </c>
      <c r="O25" s="58">
        <v>0</v>
      </c>
      <c r="P25" s="58">
        <v>0.69</v>
      </c>
      <c r="Q25" s="58">
        <v>13.06</v>
      </c>
      <c r="R25" s="43"/>
      <c r="S25" s="43"/>
      <c r="T25" s="43"/>
      <c r="U25" s="43"/>
    </row>
    <row r="26" spans="1:21" s="11" customFormat="1" ht="15">
      <c r="A26" s="57" t="s">
        <v>535</v>
      </c>
      <c r="B26" s="58">
        <v>18.20</v>
      </c>
      <c r="C26" s="58">
        <v>85.04</v>
      </c>
      <c r="D26" s="58">
        <v>62.17</v>
      </c>
      <c r="E26" s="58">
        <v>30.80</v>
      </c>
      <c r="F26" s="58">
        <v>27.88</v>
      </c>
      <c r="G26" s="58">
        <v>48.54</v>
      </c>
      <c r="H26" s="58">
        <v>19.13</v>
      </c>
      <c r="I26" s="58">
        <v>0.62</v>
      </c>
      <c r="J26" s="58">
        <v>0.60</v>
      </c>
      <c r="K26" s="58">
        <v>111.88</v>
      </c>
      <c r="L26" s="58">
        <v>33.299999999999997</v>
      </c>
      <c r="M26" s="58">
        <v>18.809999999999999</v>
      </c>
      <c r="N26" s="58">
        <v>57.80</v>
      </c>
      <c r="O26" s="58">
        <v>0</v>
      </c>
      <c r="P26" s="58">
        <v>0.89</v>
      </c>
      <c r="Q26" s="58">
        <v>15.22</v>
      </c>
      <c r="R26" s="43"/>
      <c r="S26" s="43"/>
      <c r="T26" s="43"/>
      <c r="U26" s="43"/>
    </row>
    <row r="27" spans="1:21" s="11" customFormat="1" ht="15">
      <c r="A27" s="57" t="s">
        <v>536</v>
      </c>
      <c r="B27" s="58">
        <v>10.81</v>
      </c>
      <c r="C27" s="58">
        <v>73.900000000000006</v>
      </c>
      <c r="D27" s="58">
        <v>50.10</v>
      </c>
      <c r="E27" s="58">
        <v>16.32</v>
      </c>
      <c r="F27" s="58">
        <v>33.43</v>
      </c>
      <c r="G27" s="58">
        <v>48.30</v>
      </c>
      <c r="H27" s="58">
        <v>16.579999999999998</v>
      </c>
      <c r="I27" s="58">
        <v>0.67</v>
      </c>
      <c r="J27" s="58">
        <v>0.84</v>
      </c>
      <c r="K27" s="58">
        <v>119.77</v>
      </c>
      <c r="L27" s="58">
        <v>31.90</v>
      </c>
      <c r="M27" s="58">
        <v>21.77</v>
      </c>
      <c r="N27" s="58">
        <v>8.3000000000000007</v>
      </c>
      <c r="O27" s="58">
        <v>0</v>
      </c>
      <c r="P27" s="58">
        <v>1.1499999999999999</v>
      </c>
      <c r="Q27" s="58">
        <v>16.79</v>
      </c>
      <c r="R27" s="43"/>
      <c r="S27" s="43"/>
      <c r="T27" s="43"/>
      <c r="U27" s="43"/>
    </row>
    <row r="28" spans="1:21" s="11" customFormat="1" ht="15">
      <c r="A28" s="57" t="s">
        <v>537</v>
      </c>
      <c r="B28" s="58">
        <v>11.86</v>
      </c>
      <c r="C28" s="58">
        <v>59.60</v>
      </c>
      <c r="D28" s="58">
        <v>42.66</v>
      </c>
      <c r="E28" s="58">
        <v>13.39</v>
      </c>
      <c r="F28" s="58">
        <v>19.96</v>
      </c>
      <c r="G28" s="58">
        <v>46.11</v>
      </c>
      <c r="H28" s="58">
        <v>17.47</v>
      </c>
      <c r="I28" s="58">
        <v>0.72</v>
      </c>
      <c r="J28" s="58">
        <v>1.08</v>
      </c>
      <c r="K28" s="58">
        <v>113.24</v>
      </c>
      <c r="L28" s="58">
        <v>30.84</v>
      </c>
      <c r="M28" s="58">
        <v>23.83</v>
      </c>
      <c r="N28" s="58">
        <v>4.5999999999999996</v>
      </c>
      <c r="O28" s="58">
        <v>0</v>
      </c>
      <c r="P28" s="58">
        <v>1.08</v>
      </c>
      <c r="Q28" s="58">
        <v>16.45</v>
      </c>
      <c r="R28" s="43"/>
      <c r="S28" s="43"/>
      <c r="T28" s="43"/>
      <c r="U28" s="43"/>
    </row>
    <row r="29" spans="1:21" s="11" customFormat="1" ht="15">
      <c r="A29" s="57" t="s">
        <v>538</v>
      </c>
      <c r="B29" s="58">
        <v>18.04</v>
      </c>
      <c r="C29" s="58">
        <v>58.62</v>
      </c>
      <c r="D29" s="58">
        <v>47.47</v>
      </c>
      <c r="E29" s="58">
        <v>9.85</v>
      </c>
      <c r="F29" s="58">
        <v>10.92</v>
      </c>
      <c r="G29" s="58">
        <v>48.72</v>
      </c>
      <c r="H29" s="58">
        <v>19.73</v>
      </c>
      <c r="I29" s="58">
        <v>0.71</v>
      </c>
      <c r="J29" s="58">
        <v>1.86</v>
      </c>
      <c r="K29" s="58">
        <v>359.32</v>
      </c>
      <c r="L29" s="58">
        <v>30.02</v>
      </c>
      <c r="M29" s="58">
        <v>29.14</v>
      </c>
      <c r="N29" s="58">
        <v>5.30</v>
      </c>
      <c r="O29" s="58">
        <v>0</v>
      </c>
      <c r="P29" s="58">
        <v>1.08</v>
      </c>
      <c r="Q29" s="58">
        <v>16.54</v>
      </c>
      <c r="R29" s="43"/>
      <c r="S29" s="43"/>
      <c r="T29" s="43"/>
      <c r="U29" s="43"/>
    </row>
    <row r="30" spans="1:21" s="11" customFormat="1" ht="15">
      <c r="A30" s="57" t="s">
        <v>539</v>
      </c>
      <c r="B30" s="58">
        <v>9.40</v>
      </c>
      <c r="C30" s="58">
        <v>57.62</v>
      </c>
      <c r="D30" s="58">
        <v>39.99</v>
      </c>
      <c r="E30" s="58">
        <v>2.79</v>
      </c>
      <c r="F30" s="58">
        <v>7.04</v>
      </c>
      <c r="G30" s="58">
        <v>74.09</v>
      </c>
      <c r="H30" s="58">
        <v>22.92</v>
      </c>
      <c r="I30" s="58">
        <v>0.68</v>
      </c>
      <c r="J30" s="58">
        <v>1.69</v>
      </c>
      <c r="K30" s="58">
        <v>359.56</v>
      </c>
      <c r="L30" s="58">
        <v>27.97</v>
      </c>
      <c r="M30" s="58">
        <v>38.17</v>
      </c>
      <c r="N30" s="58">
        <v>5.90</v>
      </c>
      <c r="O30" s="58">
        <v>0</v>
      </c>
      <c r="P30" s="58">
        <v>1.03</v>
      </c>
      <c r="Q30" s="58">
        <v>15.45</v>
      </c>
      <c r="R30" s="43"/>
      <c r="S30" s="43"/>
      <c r="T30" s="43"/>
      <c r="U30" s="43"/>
    </row>
    <row r="31" spans="1:21" s="11" customFormat="1" ht="15">
      <c r="A31" s="57" t="s">
        <v>540</v>
      </c>
      <c r="B31" s="58">
        <v>6.73</v>
      </c>
      <c r="C31" s="58">
        <v>50.06</v>
      </c>
      <c r="D31" s="58">
        <v>30.55</v>
      </c>
      <c r="E31" s="58">
        <v>2.17</v>
      </c>
      <c r="F31" s="58">
        <v>16.97</v>
      </c>
      <c r="G31" s="58">
        <v>73.180000000000007</v>
      </c>
      <c r="H31" s="58">
        <v>22.80</v>
      </c>
      <c r="I31" s="58">
        <v>0.63</v>
      </c>
      <c r="J31" s="58">
        <v>0.70</v>
      </c>
      <c r="K31" s="58">
        <v>344.5</v>
      </c>
      <c r="L31" s="58">
        <v>25.83</v>
      </c>
      <c r="M31" s="58">
        <v>46.51</v>
      </c>
      <c r="N31" s="58">
        <v>4.9000000000000004</v>
      </c>
      <c r="O31" s="58">
        <v>0</v>
      </c>
      <c r="P31" s="58">
        <v>0.74</v>
      </c>
      <c r="Q31" s="58">
        <v>6.39</v>
      </c>
      <c r="R31" s="43"/>
      <c r="S31" s="43"/>
      <c r="T31" s="43"/>
      <c r="U31" s="43"/>
    </row>
    <row r="32" spans="1:21" s="11" customFormat="1" ht="15">
      <c r="A32" s="57" t="s">
        <v>541</v>
      </c>
      <c r="B32" s="58">
        <v>4.17</v>
      </c>
      <c r="C32" s="58">
        <v>44.61</v>
      </c>
      <c r="D32" s="58">
        <v>28.48</v>
      </c>
      <c r="E32" s="58">
        <v>1.96</v>
      </c>
      <c r="F32" s="58">
        <v>7.26</v>
      </c>
      <c r="G32" s="58">
        <v>66.62</v>
      </c>
      <c r="H32" s="58">
        <v>21.97</v>
      </c>
      <c r="I32" s="58">
        <v>0.56000000000000005</v>
      </c>
      <c r="J32" s="58">
        <v>1.27</v>
      </c>
      <c r="K32" s="58">
        <v>345.57</v>
      </c>
      <c r="L32" s="58">
        <v>25.20</v>
      </c>
      <c r="M32" s="58">
        <v>62.24</v>
      </c>
      <c r="N32" s="58">
        <v>4.5999999999999996</v>
      </c>
      <c r="O32" s="58">
        <v>0.20</v>
      </c>
      <c r="P32" s="58">
        <v>0.68</v>
      </c>
      <c r="Q32" s="58">
        <v>4.72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2.8999999999999999</v>
      </c>
      <c r="C34" s="28">
        <f t="shared" si="0"/>
        <v>38.630000000000003</v>
      </c>
      <c r="D34" s="28">
        <f t="shared" si="0"/>
        <v>25.510000000000002</v>
      </c>
      <c r="E34" s="28">
        <f t="shared" si="0"/>
        <v>1.96</v>
      </c>
      <c r="F34" s="28">
        <f t="shared" si="0"/>
        <v>6.2400000000000002</v>
      </c>
      <c r="G34" s="28">
        <f t="shared" si="0"/>
        <v>42.060000000000002</v>
      </c>
      <c r="H34" s="28">
        <f t="shared" si="0"/>
        <v>16.579999999999998</v>
      </c>
      <c r="I34" s="28">
        <f t="shared" si="0"/>
        <v>0.48999999999999999</v>
      </c>
      <c r="J34" s="28">
        <f t="shared" si="0"/>
        <v>0.13</v>
      </c>
      <c r="K34" s="28">
        <f t="shared" si="0"/>
        <v>40.280000000000001</v>
      </c>
      <c r="L34" s="28">
        <f t="shared" si="0"/>
        <v>25.109999999999999</v>
      </c>
      <c r="M34" s="28">
        <f t="shared" si="0"/>
        <v>16.190000000000001</v>
      </c>
      <c r="N34" s="28">
        <f t="shared" si="0"/>
        <v>4.5999999999999996</v>
      </c>
      <c r="O34" s="28">
        <f t="shared" si="0"/>
        <v>0</v>
      </c>
      <c r="P34" s="28">
        <f t="shared" si="0"/>
        <v>0.68000000000000005</v>
      </c>
      <c r="Q34" s="28">
        <f t="shared" si="0"/>
        <v>1.7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18.199999999999999</v>
      </c>
      <c r="C35" s="29">
        <f t="shared" si="1"/>
        <v>85.040000000000006</v>
      </c>
      <c r="D35" s="29">
        <f t="shared" si="1"/>
        <v>62.170000000000002</v>
      </c>
      <c r="E35" s="29">
        <f t="shared" si="1"/>
        <v>30.800000000000001</v>
      </c>
      <c r="F35" s="29">
        <f t="shared" si="1"/>
        <v>50.100000000000001</v>
      </c>
      <c r="G35" s="29">
        <f t="shared" si="1"/>
        <v>119.34</v>
      </c>
      <c r="H35" s="29">
        <f t="shared" si="1"/>
        <v>40.299999999999997</v>
      </c>
      <c r="I35" s="29">
        <f t="shared" si="1"/>
        <v>0.77000000000000002</v>
      </c>
      <c r="J35" s="29">
        <f t="shared" si="1"/>
        <v>1.95</v>
      </c>
      <c r="K35" s="29">
        <f t="shared" si="1"/>
        <v>359.56</v>
      </c>
      <c r="L35" s="29">
        <f t="shared" si="1"/>
        <v>39.369999999999997</v>
      </c>
      <c r="M35" s="29">
        <f t="shared" si="1"/>
        <v>62.240000000000002</v>
      </c>
      <c r="N35" s="29">
        <f t="shared" si="1"/>
        <v>791.5</v>
      </c>
      <c r="O35" s="29">
        <f t="shared" si="1"/>
        <v>0.20000000000000001</v>
      </c>
      <c r="P35" s="29">
        <f t="shared" si="1"/>
        <v>1.48</v>
      </c>
      <c r="Q35" s="29">
        <f t="shared" si="1"/>
        <v>22.449999999999999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7.6783333333333319</v>
      </c>
      <c r="C36" s="28">
        <f t="shared" si="2"/>
        <v>50.541249999999991</v>
      </c>
      <c r="D36" s="28">
        <f t="shared" si="2"/>
        <v>34.301666666666669</v>
      </c>
      <c r="E36" s="28">
        <f t="shared" si="2"/>
        <v>6.843333333333331</v>
      </c>
      <c r="F36" s="28">
        <f t="shared" si="2"/>
        <v>18.406666666666666</v>
      </c>
      <c r="G36" s="28">
        <f t="shared" si="2"/>
        <v>63.474166666666669</v>
      </c>
      <c r="H36" s="28">
        <f t="shared" si="2"/>
        <v>26.335416666666671</v>
      </c>
      <c r="I36" s="28">
        <f t="shared" si="2"/>
        <v>0.61333333333333329</v>
      </c>
      <c r="J36" s="28">
        <f t="shared" si="2"/>
        <v>0.99125000000000008</v>
      </c>
      <c r="K36" s="28">
        <f t="shared" si="2"/>
        <v>290.60458333333338</v>
      </c>
      <c r="L36" s="28">
        <f t="shared" si="2"/>
        <v>30.854166666666671</v>
      </c>
      <c r="M36" s="28">
        <f t="shared" si="2"/>
        <v>31.384166666666662</v>
      </c>
      <c r="N36" s="28">
        <f t="shared" si="2"/>
        <v>220.08750000000001</v>
      </c>
      <c r="O36" s="28">
        <f t="shared" si="2"/>
        <v>0.0083333333333333332</v>
      </c>
      <c r="P36" s="28">
        <f t="shared" si="2"/>
        <v>0.9291666666666667</v>
      </c>
      <c r="Q36" s="28">
        <f t="shared" si="2"/>
        <v>10.759999999999996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4.6880344139806267</v>
      </c>
      <c r="C37" s="28">
        <f t="shared" si="3" ref="C37:Q37">STDEV(C9:C32)</f>
        <v>10.628697540764101</v>
      </c>
      <c r="D37" s="28">
        <f t="shared" si="3"/>
        <v>9.1223217232889109</v>
      </c>
      <c r="E37" s="28">
        <f t="shared" si="3"/>
        <v>6.6715363374150431</v>
      </c>
      <c r="F37" s="28">
        <f t="shared" si="3"/>
        <v>12.150512126142511</v>
      </c>
      <c r="G37" s="28">
        <f t="shared" si="3"/>
        <v>17.27111962752862</v>
      </c>
      <c r="H37" s="28">
        <f t="shared" si="3"/>
        <v>6.5672249312096227</v>
      </c>
      <c r="I37" s="28">
        <f t="shared" si="3"/>
        <v>0.086006403536454626</v>
      </c>
      <c r="J37" s="28">
        <f t="shared" si="3"/>
        <v>0.55602871758804706</v>
      </c>
      <c r="K37" s="28">
        <f t="shared" si="3"/>
        <v>102.71977672412262</v>
      </c>
      <c r="L37" s="28">
        <f t="shared" si="3"/>
        <v>4.8893334805531339</v>
      </c>
      <c r="M37" s="28">
        <f t="shared" si="3"/>
        <v>12.264619640556997</v>
      </c>
      <c r="N37" s="28">
        <f t="shared" si="3"/>
        <v>286.65544127204276</v>
      </c>
      <c r="O37" s="28">
        <f t="shared" si="3"/>
        <v>0.040824829046386311</v>
      </c>
      <c r="P37" s="28">
        <f t="shared" si="3"/>
        <v>0.20472498343040468</v>
      </c>
      <c r="Q37" s="28">
        <f t="shared" si="3"/>
        <v>5.8149230807279579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014d78-4331-460e-9f2c-e4dd33774e2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542</v>
      </c>
      <c r="B9" s="58">
        <v>2.35</v>
      </c>
      <c r="C9" s="58">
        <v>40.270000000000003</v>
      </c>
      <c r="D9" s="58">
        <v>24.76</v>
      </c>
      <c r="E9" s="58">
        <v>1.76</v>
      </c>
      <c r="F9" s="58">
        <v>9.39</v>
      </c>
      <c r="G9" s="58">
        <v>55.34</v>
      </c>
      <c r="H9" s="58">
        <v>20.27</v>
      </c>
      <c r="I9" s="58">
        <v>0.52</v>
      </c>
      <c r="J9" s="58">
        <v>1.1599999999999999</v>
      </c>
      <c r="K9" s="58">
        <v>335.77</v>
      </c>
      <c r="L9" s="58">
        <v>22.5</v>
      </c>
      <c r="M9" s="58">
        <v>62.97</v>
      </c>
      <c r="N9" s="58">
        <v>5.20</v>
      </c>
      <c r="O9" s="58">
        <v>0</v>
      </c>
      <c r="P9" s="58">
        <v>0.57999999999999996</v>
      </c>
      <c r="Q9" s="58">
        <v>4.03</v>
      </c>
      <c r="R9" s="43"/>
      <c r="S9" s="43"/>
      <c r="T9" s="43"/>
      <c r="U9" s="43"/>
    </row>
    <row r="10" spans="1:21" s="11" customFormat="1" ht="15">
      <c r="A10" s="57" t="s">
        <v>543</v>
      </c>
      <c r="B10" s="58">
        <v>1.97</v>
      </c>
      <c r="C10" s="58">
        <v>36.47</v>
      </c>
      <c r="D10" s="58">
        <v>22.32</v>
      </c>
      <c r="E10" s="58">
        <v>1.53</v>
      </c>
      <c r="F10" s="58">
        <v>9.77</v>
      </c>
      <c r="G10" s="58">
        <v>43.20</v>
      </c>
      <c r="H10" s="58">
        <v>15.91</v>
      </c>
      <c r="I10" s="58">
        <v>0.49</v>
      </c>
      <c r="J10" s="58">
        <v>1.99</v>
      </c>
      <c r="K10" s="58">
        <v>345.12</v>
      </c>
      <c r="L10" s="58">
        <v>23.5</v>
      </c>
      <c r="M10" s="58">
        <v>58.32</v>
      </c>
      <c r="N10" s="58">
        <v>4.4000000000000004</v>
      </c>
      <c r="O10" s="58">
        <v>0</v>
      </c>
      <c r="P10" s="58">
        <v>0.49</v>
      </c>
      <c r="Q10" s="58">
        <v>5.68</v>
      </c>
      <c r="R10" s="43"/>
      <c r="S10" s="43"/>
      <c r="T10" s="43"/>
      <c r="U10" s="43"/>
    </row>
    <row r="11" spans="1:21" s="11" customFormat="1" ht="15">
      <c r="A11" s="57" t="s">
        <v>544</v>
      </c>
      <c r="B11" s="58">
        <v>2.23</v>
      </c>
      <c r="C11" s="58">
        <v>36.57</v>
      </c>
      <c r="D11" s="58">
        <v>22.54</v>
      </c>
      <c r="E11" s="58">
        <v>2.4300000000000002</v>
      </c>
      <c r="F11" s="58">
        <v>9.3800000000000008</v>
      </c>
      <c r="G11" s="58">
        <v>28.66</v>
      </c>
      <c r="H11" s="58">
        <v>13.12</v>
      </c>
      <c r="I11" s="58">
        <v>0.53</v>
      </c>
      <c r="J11" s="58">
        <v>2.62</v>
      </c>
      <c r="K11" s="58">
        <v>359.82</v>
      </c>
      <c r="L11" s="58">
        <v>23.27</v>
      </c>
      <c r="M11" s="58">
        <v>57.04</v>
      </c>
      <c r="N11" s="58">
        <v>6.10</v>
      </c>
      <c r="O11" s="58">
        <v>0</v>
      </c>
      <c r="P11" s="58">
        <v>0.48</v>
      </c>
      <c r="Q11" s="58">
        <v>9.08</v>
      </c>
      <c r="R11" s="43"/>
      <c r="S11" s="43"/>
      <c r="T11" s="43"/>
      <c r="U11" s="43"/>
    </row>
    <row r="12" spans="1:21" s="11" customFormat="1" ht="15">
      <c r="A12" s="57" t="s">
        <v>545</v>
      </c>
      <c r="B12" s="58">
        <v>2.17</v>
      </c>
      <c r="C12" s="58">
        <v>37.479999999999997</v>
      </c>
      <c r="D12" s="58">
        <v>23.07</v>
      </c>
      <c r="E12" s="58">
        <v>1.97</v>
      </c>
      <c r="F12" s="58">
        <v>5.86</v>
      </c>
      <c r="G12" s="58">
        <v>33.43</v>
      </c>
      <c r="H12" s="58">
        <v>14.26</v>
      </c>
      <c r="I12" s="58">
        <v>0.52</v>
      </c>
      <c r="J12" s="58">
        <v>1.83</v>
      </c>
      <c r="K12" s="58">
        <v>334.92</v>
      </c>
      <c r="L12" s="58">
        <v>22.36</v>
      </c>
      <c r="M12" s="58">
        <v>61.67</v>
      </c>
      <c r="N12" s="58">
        <v>5.20</v>
      </c>
      <c r="O12" s="58">
        <v>0</v>
      </c>
      <c r="P12" s="58">
        <v>0.48</v>
      </c>
      <c r="Q12" s="58">
        <v>8.16</v>
      </c>
      <c r="R12" s="43"/>
      <c r="S12" s="43"/>
      <c r="T12" s="43"/>
      <c r="U12" s="43"/>
    </row>
    <row r="13" spans="1:21" s="11" customFormat="1" ht="15">
      <c r="A13" s="57" t="s">
        <v>546</v>
      </c>
      <c r="B13" s="58">
        <v>2.35</v>
      </c>
      <c r="C13" s="58">
        <v>35.32</v>
      </c>
      <c r="D13" s="58">
        <v>21.89</v>
      </c>
      <c r="E13" s="58">
        <v>1.59</v>
      </c>
      <c r="F13" s="58">
        <v>6.43</v>
      </c>
      <c r="G13" s="58">
        <v>32.75</v>
      </c>
      <c r="H13" s="58">
        <v>15.44</v>
      </c>
      <c r="I13" s="58">
        <v>0.52</v>
      </c>
      <c r="J13" s="58">
        <v>1.39</v>
      </c>
      <c r="K13" s="58">
        <v>326.56</v>
      </c>
      <c r="L13" s="58">
        <v>21.52</v>
      </c>
      <c r="M13" s="58">
        <v>66.55</v>
      </c>
      <c r="N13" s="58">
        <v>4.9000000000000004</v>
      </c>
      <c r="O13" s="58">
        <v>0</v>
      </c>
      <c r="P13" s="58">
        <v>0.44</v>
      </c>
      <c r="Q13" s="58">
        <v>5.28</v>
      </c>
      <c r="R13" s="43"/>
      <c r="S13" s="43"/>
      <c r="T13" s="43"/>
      <c r="U13" s="43"/>
    </row>
    <row r="14" spans="1:21" s="11" customFormat="1" ht="15">
      <c r="A14" s="57" t="s">
        <v>547</v>
      </c>
      <c r="B14" s="58">
        <v>3.12</v>
      </c>
      <c r="C14" s="58">
        <v>36.89</v>
      </c>
      <c r="D14" s="58">
        <v>23.5</v>
      </c>
      <c r="E14" s="58">
        <v>2.0499999999999998</v>
      </c>
      <c r="F14" s="58">
        <v>4.43</v>
      </c>
      <c r="G14" s="58">
        <v>28.81</v>
      </c>
      <c r="H14" s="58">
        <v>14.71</v>
      </c>
      <c r="I14" s="58">
        <v>0.51</v>
      </c>
      <c r="J14" s="58">
        <v>1.30</v>
      </c>
      <c r="K14" s="58">
        <v>197.16</v>
      </c>
      <c r="L14" s="58">
        <v>21.88</v>
      </c>
      <c r="M14" s="58">
        <v>68.84</v>
      </c>
      <c r="N14" s="58">
        <v>14</v>
      </c>
      <c r="O14" s="58">
        <v>0.20</v>
      </c>
      <c r="P14" s="58">
        <v>0.42</v>
      </c>
      <c r="Q14" s="58">
        <v>6.20</v>
      </c>
      <c r="R14" s="43"/>
      <c r="S14" s="43"/>
      <c r="T14" s="43"/>
      <c r="U14" s="43"/>
    </row>
    <row r="15" spans="1:21" s="11" customFormat="1" ht="15">
      <c r="A15" s="57" t="s">
        <v>548</v>
      </c>
      <c r="B15" s="58">
        <v>3.36</v>
      </c>
      <c r="C15" s="58">
        <v>37.04</v>
      </c>
      <c r="D15" s="58">
        <v>23.78</v>
      </c>
      <c r="E15" s="58">
        <v>1.75</v>
      </c>
      <c r="F15" s="58">
        <v>4.1100000000000003</v>
      </c>
      <c r="G15" s="58">
        <v>28.24</v>
      </c>
      <c r="H15" s="58">
        <v>12.59</v>
      </c>
      <c r="I15" s="58">
        <v>0.52</v>
      </c>
      <c r="J15" s="58">
        <v>0.53</v>
      </c>
      <c r="K15" s="58">
        <v>253.88</v>
      </c>
      <c r="L15" s="58">
        <v>21.03</v>
      </c>
      <c r="M15" s="58">
        <v>76.13</v>
      </c>
      <c r="N15" s="58">
        <v>46.30</v>
      </c>
      <c r="O15" s="58">
        <v>0</v>
      </c>
      <c r="P15" s="58">
        <v>0.42</v>
      </c>
      <c r="Q15" s="58">
        <v>6.36</v>
      </c>
      <c r="R15" s="43"/>
      <c r="S15" s="43"/>
      <c r="T15" s="43"/>
      <c r="U15" s="43"/>
    </row>
    <row r="16" spans="1:21" s="11" customFormat="1" ht="15">
      <c r="A16" s="57" t="s">
        <v>549</v>
      </c>
      <c r="B16" s="58">
        <v>2.97</v>
      </c>
      <c r="C16" s="58">
        <v>35.67</v>
      </c>
      <c r="D16" s="58">
        <v>22.71</v>
      </c>
      <c r="E16" s="58">
        <v>1.43</v>
      </c>
      <c r="F16" s="58">
        <v>4.3099999999999996</v>
      </c>
      <c r="G16" s="58">
        <v>24.83</v>
      </c>
      <c r="H16" s="58">
        <v>14.19</v>
      </c>
      <c r="I16" s="58">
        <v>0.51</v>
      </c>
      <c r="J16" s="58">
        <v>0.98</v>
      </c>
      <c r="K16" s="58">
        <v>217.45</v>
      </c>
      <c r="L16" s="58">
        <v>21.86</v>
      </c>
      <c r="M16" s="58">
        <v>75.819999999999993</v>
      </c>
      <c r="N16" s="58">
        <v>253</v>
      </c>
      <c r="O16" s="58">
        <v>0</v>
      </c>
      <c r="P16" s="58">
        <v>0.44</v>
      </c>
      <c r="Q16" s="58">
        <v>4.9800000000000004</v>
      </c>
      <c r="R16" s="43"/>
      <c r="S16" s="43"/>
      <c r="T16" s="43"/>
      <c r="U16" s="43"/>
    </row>
    <row r="17" spans="1:21" s="11" customFormat="1" ht="15">
      <c r="A17" s="57" t="s">
        <v>550</v>
      </c>
      <c r="B17" s="58">
        <v>2.88</v>
      </c>
      <c r="C17" s="58">
        <v>37.450000000000003</v>
      </c>
      <c r="D17" s="58">
        <v>23.63</v>
      </c>
      <c r="E17" s="58">
        <v>1.43</v>
      </c>
      <c r="F17" s="58">
        <v>5.90</v>
      </c>
      <c r="G17" s="58">
        <v>24.53</v>
      </c>
      <c r="H17" s="58">
        <v>14.17</v>
      </c>
      <c r="I17" s="58">
        <v>0.5</v>
      </c>
      <c r="J17" s="58">
        <v>2.61</v>
      </c>
      <c r="K17" s="58">
        <v>186.32</v>
      </c>
      <c r="L17" s="58">
        <v>22.75</v>
      </c>
      <c r="M17" s="58">
        <v>64.64</v>
      </c>
      <c r="N17" s="58">
        <v>370</v>
      </c>
      <c r="O17" s="58">
        <v>0</v>
      </c>
      <c r="P17" s="58">
        <v>0.42</v>
      </c>
      <c r="Q17" s="58">
        <v>4.74</v>
      </c>
      <c r="R17" s="43"/>
      <c r="S17" s="43"/>
      <c r="T17" s="43"/>
      <c r="U17" s="43"/>
    </row>
    <row r="18" spans="1:21" s="11" customFormat="1" ht="15">
      <c r="A18" s="57" t="s">
        <v>551</v>
      </c>
      <c r="B18" s="58">
        <v>3.08</v>
      </c>
      <c r="C18" s="58">
        <v>38.64</v>
      </c>
      <c r="D18" s="58">
        <v>24.36</v>
      </c>
      <c r="E18" s="58">
        <v>1.49</v>
      </c>
      <c r="F18" s="58">
        <v>7.61</v>
      </c>
      <c r="G18" s="58">
        <v>22.64</v>
      </c>
      <c r="H18" s="58">
        <v>13.86</v>
      </c>
      <c r="I18" s="58">
        <v>0.5</v>
      </c>
      <c r="J18" s="58">
        <v>0.98</v>
      </c>
      <c r="K18" s="58">
        <v>179.36</v>
      </c>
      <c r="L18" s="58">
        <v>23.97</v>
      </c>
      <c r="M18" s="58">
        <v>60.11</v>
      </c>
      <c r="N18" s="58">
        <v>231.20</v>
      </c>
      <c r="O18" s="58">
        <v>0</v>
      </c>
      <c r="P18" s="58">
        <v>0.43</v>
      </c>
      <c r="Q18" s="58">
        <v>6.65</v>
      </c>
      <c r="R18" s="43"/>
      <c r="S18" s="43"/>
      <c r="T18" s="43"/>
      <c r="U18" s="43"/>
    </row>
    <row r="19" spans="1:21" s="11" customFormat="1" ht="15">
      <c r="A19" s="57" t="s">
        <v>552</v>
      </c>
      <c r="B19" s="58">
        <v>2.4300000000000002</v>
      </c>
      <c r="C19" s="58">
        <v>37.869999999999997</v>
      </c>
      <c r="D19" s="58">
        <v>23.48</v>
      </c>
      <c r="E19" s="58">
        <v>1.77</v>
      </c>
      <c r="F19" s="58">
        <v>28.72</v>
      </c>
      <c r="G19" s="58">
        <v>21.05</v>
      </c>
      <c r="H19" s="58">
        <v>19.30</v>
      </c>
      <c r="I19" s="58">
        <v>0.5</v>
      </c>
      <c r="J19" s="58">
        <v>1.03</v>
      </c>
      <c r="K19" s="58">
        <v>205.02</v>
      </c>
      <c r="L19" s="58">
        <v>25.54</v>
      </c>
      <c r="M19" s="58">
        <v>49.97</v>
      </c>
      <c r="N19" s="58">
        <v>361.40</v>
      </c>
      <c r="O19" s="58">
        <v>0</v>
      </c>
      <c r="P19" s="58">
        <v>0.43</v>
      </c>
      <c r="Q19" s="58">
        <v>7.46</v>
      </c>
      <c r="R19" s="43"/>
      <c r="S19" s="43"/>
      <c r="T19" s="43"/>
      <c r="U19" s="43"/>
    </row>
    <row r="20" spans="1:21" s="11" customFormat="1" ht="15">
      <c r="A20" s="57" t="s">
        <v>553</v>
      </c>
      <c r="B20" s="58">
        <v>2.60</v>
      </c>
      <c r="C20" s="58">
        <v>40.99</v>
      </c>
      <c r="D20" s="58">
        <v>24.68</v>
      </c>
      <c r="E20" s="58">
        <v>3.86</v>
      </c>
      <c r="F20" s="58">
        <v>20.75</v>
      </c>
      <c r="G20" s="61" t="s">
        <v>12</v>
      </c>
      <c r="H20" s="61" t="s">
        <v>12</v>
      </c>
      <c r="I20" s="58">
        <v>0.45</v>
      </c>
      <c r="J20" s="58">
        <v>0.89</v>
      </c>
      <c r="K20" s="58">
        <v>197.30</v>
      </c>
      <c r="L20" s="58">
        <v>28.32</v>
      </c>
      <c r="M20" s="58">
        <v>46.28</v>
      </c>
      <c r="N20" s="58">
        <v>936.5</v>
      </c>
      <c r="O20" s="58">
        <v>0</v>
      </c>
      <c r="P20" s="58">
        <v>0.37</v>
      </c>
      <c r="Q20" s="58">
        <v>10.220000000000001</v>
      </c>
      <c r="R20" s="43"/>
      <c r="S20" s="43"/>
      <c r="T20" s="43"/>
      <c r="U20" s="43"/>
    </row>
    <row r="21" spans="1:21" s="11" customFormat="1" ht="15">
      <c r="A21" s="57" t="s">
        <v>554</v>
      </c>
      <c r="B21" s="58">
        <v>3.29</v>
      </c>
      <c r="C21" s="58">
        <v>31.44</v>
      </c>
      <c r="D21" s="58">
        <v>19.87</v>
      </c>
      <c r="E21" s="58">
        <v>2.40</v>
      </c>
      <c r="F21" s="58">
        <v>20.39</v>
      </c>
      <c r="G21" s="61" t="s">
        <v>12</v>
      </c>
      <c r="H21" s="61" t="s">
        <v>12</v>
      </c>
      <c r="I21" s="58">
        <v>0.48</v>
      </c>
      <c r="J21" s="58">
        <v>0.73</v>
      </c>
      <c r="K21" s="58">
        <v>335.56</v>
      </c>
      <c r="L21" s="58">
        <v>33.950000000000003</v>
      </c>
      <c r="M21" s="58">
        <v>34.94</v>
      </c>
      <c r="N21" s="58">
        <v>919.20</v>
      </c>
      <c r="O21" s="58">
        <v>0</v>
      </c>
      <c r="P21" s="58">
        <v>0.48</v>
      </c>
      <c r="Q21" s="58">
        <v>7.05</v>
      </c>
      <c r="R21" s="43"/>
      <c r="S21" s="43"/>
      <c r="T21" s="43"/>
      <c r="U21" s="43"/>
    </row>
    <row r="22" spans="1:21" s="11" customFormat="1" ht="15">
      <c r="A22" s="57" t="s">
        <v>555</v>
      </c>
      <c r="B22" s="61" t="s">
        <v>12</v>
      </c>
      <c r="C22" s="61" t="s">
        <v>12</v>
      </c>
      <c r="D22" s="61" t="s">
        <v>12</v>
      </c>
      <c r="E22" s="58">
        <v>6.81</v>
      </c>
      <c r="F22" s="58">
        <v>26.13</v>
      </c>
      <c r="G22" s="58">
        <v>22.76</v>
      </c>
      <c r="H22" s="58">
        <v>13.05</v>
      </c>
      <c r="I22" s="58">
        <v>0.48</v>
      </c>
      <c r="J22" s="58">
        <v>0.92</v>
      </c>
      <c r="K22" s="58">
        <v>349.76</v>
      </c>
      <c r="L22" s="58">
        <v>35.33</v>
      </c>
      <c r="M22" s="58">
        <v>27.76</v>
      </c>
      <c r="N22" s="58">
        <v>845.80</v>
      </c>
      <c r="O22" s="58">
        <v>0</v>
      </c>
      <c r="P22" s="58">
        <v>0.54</v>
      </c>
      <c r="Q22" s="58">
        <v>8.24</v>
      </c>
      <c r="R22" s="43"/>
      <c r="S22" s="43"/>
      <c r="T22" s="43"/>
      <c r="U22" s="43"/>
    </row>
    <row r="23" spans="1:21" s="11" customFormat="1" ht="15">
      <c r="A23" s="57" t="s">
        <v>556</v>
      </c>
      <c r="B23" s="58">
        <v>2.98</v>
      </c>
      <c r="C23" s="58">
        <v>40.19</v>
      </c>
      <c r="D23" s="58">
        <v>25.58</v>
      </c>
      <c r="E23" s="58">
        <v>9.58</v>
      </c>
      <c r="F23" s="58">
        <v>21.86</v>
      </c>
      <c r="G23" s="58">
        <v>22.76</v>
      </c>
      <c r="H23" s="58">
        <v>13.19</v>
      </c>
      <c r="I23" s="58">
        <v>0.49</v>
      </c>
      <c r="J23" s="58">
        <v>0.63</v>
      </c>
      <c r="K23" s="58">
        <v>333.19</v>
      </c>
      <c r="L23" s="58">
        <v>35.200000000000003</v>
      </c>
      <c r="M23" s="58">
        <v>23.63</v>
      </c>
      <c r="N23" s="58">
        <v>696</v>
      </c>
      <c r="O23" s="58">
        <v>0</v>
      </c>
      <c r="P23" s="58">
        <v>0.60</v>
      </c>
      <c r="Q23" s="58">
        <v>10.31</v>
      </c>
      <c r="R23" s="43"/>
      <c r="S23" s="43"/>
      <c r="T23" s="43"/>
      <c r="U23" s="43"/>
    </row>
    <row r="24" spans="1:21" s="11" customFormat="1" ht="15">
      <c r="A24" s="57" t="s">
        <v>557</v>
      </c>
      <c r="B24" s="58">
        <v>2.71</v>
      </c>
      <c r="C24" s="58">
        <v>50.51</v>
      </c>
      <c r="D24" s="58">
        <v>30.70</v>
      </c>
      <c r="E24" s="58">
        <v>9.26</v>
      </c>
      <c r="F24" s="58">
        <v>19.04</v>
      </c>
      <c r="G24" s="58">
        <v>27.78</v>
      </c>
      <c r="H24" s="58">
        <v>15.24</v>
      </c>
      <c r="I24" s="58">
        <v>0.54</v>
      </c>
      <c r="J24" s="58">
        <v>0.65</v>
      </c>
      <c r="K24" s="58">
        <v>227</v>
      </c>
      <c r="L24" s="58">
        <v>33.54</v>
      </c>
      <c r="M24" s="58">
        <v>24.40</v>
      </c>
      <c r="N24" s="58">
        <v>374.20</v>
      </c>
      <c r="O24" s="58">
        <v>0</v>
      </c>
      <c r="P24" s="58">
        <v>0.61</v>
      </c>
      <c r="Q24" s="58">
        <v>10.95</v>
      </c>
      <c r="R24" s="43"/>
      <c r="S24" s="43"/>
      <c r="T24" s="43"/>
      <c r="U24" s="43"/>
    </row>
    <row r="25" spans="1:21" s="11" customFormat="1" ht="15">
      <c r="A25" s="57" t="s">
        <v>558</v>
      </c>
      <c r="B25" s="58">
        <v>5.54</v>
      </c>
      <c r="C25" s="58">
        <v>54.88</v>
      </c>
      <c r="D25" s="58">
        <v>35.380000000000003</v>
      </c>
      <c r="E25" s="58">
        <v>6.78</v>
      </c>
      <c r="F25" s="58">
        <v>31.15</v>
      </c>
      <c r="G25" s="58">
        <v>27.78</v>
      </c>
      <c r="H25" s="58">
        <v>15.79</v>
      </c>
      <c r="I25" s="58">
        <v>0.54</v>
      </c>
      <c r="J25" s="58">
        <v>0.30</v>
      </c>
      <c r="K25" s="58">
        <v>340.54</v>
      </c>
      <c r="L25" s="58">
        <v>32.880000000000003</v>
      </c>
      <c r="M25" s="58">
        <v>25.85</v>
      </c>
      <c r="N25" s="58">
        <v>134.40</v>
      </c>
      <c r="O25" s="58">
        <v>0</v>
      </c>
      <c r="P25" s="58">
        <v>0.80</v>
      </c>
      <c r="Q25" s="58">
        <v>10.55</v>
      </c>
      <c r="R25" s="43"/>
      <c r="S25" s="43"/>
      <c r="T25" s="43"/>
      <c r="U25" s="43"/>
    </row>
    <row r="26" spans="1:21" s="11" customFormat="1" ht="15">
      <c r="A26" s="57" t="s">
        <v>559</v>
      </c>
      <c r="B26" s="58">
        <v>7.83</v>
      </c>
      <c r="C26" s="58">
        <v>65.89</v>
      </c>
      <c r="D26" s="58">
        <v>43.29</v>
      </c>
      <c r="E26" s="58">
        <v>13.13</v>
      </c>
      <c r="F26" s="58">
        <v>29.70</v>
      </c>
      <c r="G26" s="58">
        <v>30.41</v>
      </c>
      <c r="H26" s="58">
        <v>15.79</v>
      </c>
      <c r="I26" s="58">
        <v>0.54</v>
      </c>
      <c r="J26" s="58">
        <v>0.85</v>
      </c>
      <c r="K26" s="58">
        <v>334.88</v>
      </c>
      <c r="L26" s="58">
        <v>32.340000000000003</v>
      </c>
      <c r="M26" s="58">
        <v>41.07</v>
      </c>
      <c r="N26" s="58">
        <v>84.70</v>
      </c>
      <c r="O26" s="58">
        <v>0</v>
      </c>
      <c r="P26" s="58">
        <v>0.90</v>
      </c>
      <c r="Q26" s="58">
        <v>14.69</v>
      </c>
      <c r="R26" s="43"/>
      <c r="S26" s="43"/>
      <c r="T26" s="43"/>
      <c r="U26" s="43"/>
    </row>
    <row r="27" spans="1:21" s="11" customFormat="1" ht="15">
      <c r="A27" s="57" t="s">
        <v>560</v>
      </c>
      <c r="B27" s="58">
        <v>2.63</v>
      </c>
      <c r="C27" s="58">
        <v>44.01</v>
      </c>
      <c r="D27" s="58">
        <v>26.73</v>
      </c>
      <c r="E27" s="58">
        <v>2.60</v>
      </c>
      <c r="F27" s="58">
        <v>9.3699999999999992</v>
      </c>
      <c r="G27" s="58">
        <v>36.40</v>
      </c>
      <c r="H27" s="58">
        <v>16.940000000000001</v>
      </c>
      <c r="I27" s="58">
        <v>0.59</v>
      </c>
      <c r="J27" s="58">
        <v>0.92</v>
      </c>
      <c r="K27" s="58">
        <v>238.42</v>
      </c>
      <c r="L27" s="58">
        <v>28.42</v>
      </c>
      <c r="M27" s="58">
        <v>43.37</v>
      </c>
      <c r="N27" s="58">
        <v>12.30</v>
      </c>
      <c r="O27" s="58">
        <v>0</v>
      </c>
      <c r="P27" s="58">
        <v>0.65</v>
      </c>
      <c r="Q27" s="58">
        <v>11.15</v>
      </c>
      <c r="R27" s="43"/>
      <c r="S27" s="43"/>
      <c r="T27" s="43"/>
      <c r="U27" s="43"/>
    </row>
    <row r="28" spans="1:21" s="11" customFormat="1" ht="15">
      <c r="A28" s="57" t="s">
        <v>561</v>
      </c>
      <c r="B28" s="58">
        <v>2.44</v>
      </c>
      <c r="C28" s="58">
        <v>43.15</v>
      </c>
      <c r="D28" s="58">
        <v>26.34</v>
      </c>
      <c r="E28" s="58">
        <v>2.06</v>
      </c>
      <c r="F28" s="58">
        <v>12.35</v>
      </c>
      <c r="G28" s="58">
        <v>36.40</v>
      </c>
      <c r="H28" s="58">
        <v>16.940000000000001</v>
      </c>
      <c r="I28" s="58">
        <v>0.57999999999999996</v>
      </c>
      <c r="J28" s="58">
        <v>1.19</v>
      </c>
      <c r="K28" s="58">
        <v>216.01</v>
      </c>
      <c r="L28" s="58">
        <v>27.21</v>
      </c>
      <c r="M28" s="58">
        <v>44.06</v>
      </c>
      <c r="N28" s="58">
        <v>4.5</v>
      </c>
      <c r="O28" s="58">
        <v>0</v>
      </c>
      <c r="P28" s="58">
        <v>0.62</v>
      </c>
      <c r="Q28" s="58">
        <v>10.02</v>
      </c>
      <c r="R28" s="43"/>
      <c r="S28" s="43"/>
      <c r="T28" s="43"/>
      <c r="U28" s="43"/>
    </row>
    <row r="29" spans="1:21" s="11" customFormat="1" ht="15">
      <c r="A29" s="57" t="s">
        <v>562</v>
      </c>
      <c r="B29" s="58">
        <v>4.37</v>
      </c>
      <c r="C29" s="58">
        <v>49.72</v>
      </c>
      <c r="D29" s="58">
        <v>31.01</v>
      </c>
      <c r="E29" s="58">
        <v>2.60</v>
      </c>
      <c r="F29" s="58">
        <v>11.79</v>
      </c>
      <c r="G29" s="58">
        <v>35.340000000000003</v>
      </c>
      <c r="H29" s="58">
        <v>15.97</v>
      </c>
      <c r="I29" s="58">
        <v>0.56999999999999995</v>
      </c>
      <c r="J29" s="58">
        <v>1.07</v>
      </c>
      <c r="K29" s="58">
        <v>217.77</v>
      </c>
      <c r="L29" s="58">
        <v>26.71</v>
      </c>
      <c r="M29" s="58">
        <v>47.43</v>
      </c>
      <c r="N29" s="58">
        <v>4.70</v>
      </c>
      <c r="O29" s="58">
        <v>0</v>
      </c>
      <c r="P29" s="58">
        <v>0.65</v>
      </c>
      <c r="Q29" s="58">
        <v>13</v>
      </c>
      <c r="R29" s="43"/>
      <c r="S29" s="43"/>
      <c r="T29" s="43"/>
      <c r="U29" s="43"/>
    </row>
    <row r="30" spans="1:21" s="11" customFormat="1" ht="15">
      <c r="A30" s="57" t="s">
        <v>563</v>
      </c>
      <c r="B30" s="58">
        <v>4.16</v>
      </c>
      <c r="C30" s="58">
        <v>45.26</v>
      </c>
      <c r="D30" s="58">
        <v>28.54</v>
      </c>
      <c r="E30" s="58">
        <v>2.3199999999999998</v>
      </c>
      <c r="F30" s="58">
        <v>10.35</v>
      </c>
      <c r="G30" s="58">
        <v>37.380000000000003</v>
      </c>
      <c r="H30" s="58">
        <v>15.62</v>
      </c>
      <c r="I30" s="58">
        <v>0.57999999999999996</v>
      </c>
      <c r="J30" s="58">
        <v>1.19</v>
      </c>
      <c r="K30" s="58">
        <v>247.93</v>
      </c>
      <c r="L30" s="58">
        <v>25.66</v>
      </c>
      <c r="M30" s="58">
        <v>49.57</v>
      </c>
      <c r="N30" s="58">
        <v>4.70</v>
      </c>
      <c r="O30" s="58">
        <v>0</v>
      </c>
      <c r="P30" s="58">
        <v>0.65</v>
      </c>
      <c r="Q30" s="58">
        <v>11.68</v>
      </c>
      <c r="R30" s="43"/>
      <c r="S30" s="43"/>
      <c r="T30" s="43"/>
      <c r="U30" s="43"/>
    </row>
    <row r="31" spans="1:21" s="11" customFormat="1" ht="15">
      <c r="A31" s="57" t="s">
        <v>564</v>
      </c>
      <c r="B31" s="58">
        <v>3.15</v>
      </c>
      <c r="C31" s="58">
        <v>41.75</v>
      </c>
      <c r="D31" s="58">
        <v>26.21</v>
      </c>
      <c r="E31" s="58">
        <v>2.54</v>
      </c>
      <c r="F31" s="58">
        <v>12.55</v>
      </c>
      <c r="G31" s="58">
        <v>37.380000000000003</v>
      </c>
      <c r="H31" s="58">
        <v>14.44</v>
      </c>
      <c r="I31" s="58">
        <v>0.57999999999999996</v>
      </c>
      <c r="J31" s="58">
        <v>0.26</v>
      </c>
      <c r="K31" s="58">
        <v>254.99</v>
      </c>
      <c r="L31" s="58">
        <v>25</v>
      </c>
      <c r="M31" s="58">
        <v>51.24</v>
      </c>
      <c r="N31" s="58">
        <v>4.70</v>
      </c>
      <c r="O31" s="58">
        <v>0</v>
      </c>
      <c r="P31" s="58">
        <v>0.65</v>
      </c>
      <c r="Q31" s="58">
        <v>11.22</v>
      </c>
      <c r="R31" s="43"/>
      <c r="S31" s="43"/>
      <c r="T31" s="43"/>
      <c r="U31" s="43"/>
    </row>
    <row r="32" spans="1:21" s="11" customFormat="1" ht="15">
      <c r="A32" s="57" t="s">
        <v>565</v>
      </c>
      <c r="B32" s="58">
        <v>4.71</v>
      </c>
      <c r="C32" s="58">
        <v>42.39</v>
      </c>
      <c r="D32" s="58">
        <v>27.81</v>
      </c>
      <c r="E32" s="58">
        <v>2.57</v>
      </c>
      <c r="F32" s="58">
        <v>15.60</v>
      </c>
      <c r="G32" s="58">
        <v>34.68</v>
      </c>
      <c r="H32" s="58">
        <v>13.80</v>
      </c>
      <c r="I32" s="58">
        <v>0.55000000000000004</v>
      </c>
      <c r="J32" s="58">
        <v>1.60</v>
      </c>
      <c r="K32" s="58">
        <v>344.41</v>
      </c>
      <c r="L32" s="58">
        <v>25.24</v>
      </c>
      <c r="M32" s="58">
        <v>52.03</v>
      </c>
      <c r="N32" s="58">
        <v>4.80</v>
      </c>
      <c r="O32" s="58">
        <v>0</v>
      </c>
      <c r="P32" s="58">
        <v>0.69</v>
      </c>
      <c r="Q32" s="58">
        <v>13.34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1.97</v>
      </c>
      <c r="C34" s="28">
        <f t="shared" si="0"/>
        <v>31.440000000000001</v>
      </c>
      <c r="D34" s="28">
        <f t="shared" si="0"/>
        <v>19.870000000000001</v>
      </c>
      <c r="E34" s="28">
        <f t="shared" si="0"/>
        <v>1.4299999999999999</v>
      </c>
      <c r="F34" s="28">
        <f t="shared" si="0"/>
        <v>4.1100000000000003</v>
      </c>
      <c r="G34" s="28">
        <f t="shared" si="0"/>
        <v>21.050000000000001</v>
      </c>
      <c r="H34" s="28">
        <f t="shared" si="0"/>
        <v>12.59</v>
      </c>
      <c r="I34" s="28">
        <f t="shared" si="0"/>
        <v>0.45000000000000001</v>
      </c>
      <c r="J34" s="28">
        <f t="shared" si="0"/>
        <v>0.26000000000000001</v>
      </c>
      <c r="K34" s="28">
        <f t="shared" si="0"/>
        <v>179.36000000000001</v>
      </c>
      <c r="L34" s="28">
        <f t="shared" si="0"/>
        <v>21.030000000000001</v>
      </c>
      <c r="M34" s="28">
        <f t="shared" si="0"/>
        <v>23.629999999999999</v>
      </c>
      <c r="N34" s="28">
        <f t="shared" si="0"/>
        <v>4.4000000000000004</v>
      </c>
      <c r="O34" s="28">
        <f t="shared" si="0"/>
        <v>0</v>
      </c>
      <c r="P34" s="28">
        <f t="shared" si="0"/>
        <v>0.37</v>
      </c>
      <c r="Q34" s="28">
        <f t="shared" si="0"/>
        <v>4.0300000000000002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7.8300000000000001</v>
      </c>
      <c r="C35" s="29">
        <f t="shared" si="1"/>
        <v>65.890000000000001</v>
      </c>
      <c r="D35" s="29">
        <f t="shared" si="1"/>
        <v>43.289999999999999</v>
      </c>
      <c r="E35" s="29">
        <f t="shared" si="1"/>
        <v>13.130000000000001</v>
      </c>
      <c r="F35" s="29">
        <f t="shared" si="1"/>
        <v>31.149999999999999</v>
      </c>
      <c r="G35" s="29">
        <f t="shared" si="1"/>
        <v>55.340000000000003</v>
      </c>
      <c r="H35" s="29">
        <f t="shared" si="1"/>
        <v>20.27</v>
      </c>
      <c r="I35" s="29">
        <f t="shared" si="1"/>
        <v>0.58999999999999997</v>
      </c>
      <c r="J35" s="29">
        <f t="shared" si="1"/>
        <v>2.6200000000000001</v>
      </c>
      <c r="K35" s="29">
        <f t="shared" si="1"/>
        <v>359.81999999999999</v>
      </c>
      <c r="L35" s="29">
        <f t="shared" si="1"/>
        <v>35.329999999999998</v>
      </c>
      <c r="M35" s="29">
        <f t="shared" si="1"/>
        <v>76.129999999999995</v>
      </c>
      <c r="N35" s="29">
        <f t="shared" si="1"/>
        <v>936.5</v>
      </c>
      <c r="O35" s="29">
        <f t="shared" si="1"/>
        <v>0.20000000000000001</v>
      </c>
      <c r="P35" s="29">
        <f t="shared" si="1"/>
        <v>0.90000000000000002</v>
      </c>
      <c r="Q35" s="29">
        <f t="shared" si="1"/>
        <v>14.69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3.2747826086956517</v>
      </c>
      <c r="C36" s="28">
        <f t="shared" si="2"/>
        <v>41.732608695652168</v>
      </c>
      <c r="D36" s="28">
        <f t="shared" si="2"/>
        <v>26.181739130434782</v>
      </c>
      <c r="E36" s="28">
        <f t="shared" si="2"/>
        <v>3.5712499999999991</v>
      </c>
      <c r="F36" s="28">
        <f t="shared" si="2"/>
        <v>14.039166666666672</v>
      </c>
      <c r="G36" s="28">
        <f t="shared" si="2"/>
        <v>31.479545454545452</v>
      </c>
      <c r="H36" s="28">
        <f t="shared" si="2"/>
        <v>15.208636363636366</v>
      </c>
      <c r="I36" s="28">
        <f t="shared" si="2"/>
        <v>0.5245833333333334</v>
      </c>
      <c r="J36" s="28">
        <f t="shared" si="2"/>
        <v>1.1508333333333338</v>
      </c>
      <c r="K36" s="28">
        <f t="shared" si="2"/>
        <v>274.13083333333333</v>
      </c>
      <c r="L36" s="28">
        <f t="shared" si="2"/>
        <v>26.665833333333335</v>
      </c>
      <c r="M36" s="28">
        <f t="shared" si="2"/>
        <v>50.570416666666667</v>
      </c>
      <c r="N36" s="28">
        <f t="shared" si="2"/>
        <v>222.0083333333333</v>
      </c>
      <c r="O36" s="28">
        <f t="shared" si="2"/>
        <v>0.0083333333333333332</v>
      </c>
      <c r="P36" s="28">
        <f t="shared" si="2"/>
        <v>0.55166666666666664</v>
      </c>
      <c r="Q36" s="28">
        <f t="shared" si="2"/>
        <v>8.7933333333333348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1.3257994828686221</v>
      </c>
      <c r="C37" s="28">
        <f t="shared" si="3" ref="C37:Q37">STDEV(C9:C32)</f>
        <v>7.5887423903565097</v>
      </c>
      <c r="D37" s="28">
        <f t="shared" si="3"/>
        <v>5.101082462820048</v>
      </c>
      <c r="E37" s="28">
        <f t="shared" si="3"/>
        <v>3.145015811807907</v>
      </c>
      <c r="F37" s="28">
        <f t="shared" si="3"/>
        <v>8.5941951676529893</v>
      </c>
      <c r="G37" s="28">
        <f t="shared" si="3"/>
        <v>7.9907145382105131</v>
      </c>
      <c r="H37" s="28">
        <f t="shared" si="3"/>
        <v>1.9264605972872435</v>
      </c>
      <c r="I37" s="28">
        <f t="shared" si="3"/>
        <v>0.036828529426385523</v>
      </c>
      <c r="J37" s="28">
        <f t="shared" si="3"/>
        <v>0.6144698433656417</v>
      </c>
      <c r="K37" s="28">
        <f t="shared" si="3"/>
        <v>64.830746055077611</v>
      </c>
      <c r="L37" s="28">
        <f t="shared" si="3"/>
        <v>4.7389045850984086</v>
      </c>
      <c r="M37" s="28">
        <f t="shared" si="3"/>
        <v>15.535201956165245</v>
      </c>
      <c r="N37" s="28">
        <f t="shared" si="3"/>
        <v>315.66495848366316</v>
      </c>
      <c r="O37" s="28">
        <f t="shared" si="3"/>
        <v>0.040824829046386311</v>
      </c>
      <c r="P37" s="28">
        <f t="shared" si="3"/>
        <v>0.13366625103842267</v>
      </c>
      <c r="Q37" s="28">
        <f t="shared" si="3"/>
        <v>2.985729343082677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 t="shared" si="4" ref="E38:Q38">COUNT(E9:E32)</f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dacfc5-fa50-4809-ae93-5e5e5c75059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65" sqref="E6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566</v>
      </c>
      <c r="B9" s="58">
        <v>3.66</v>
      </c>
      <c r="C9" s="58">
        <v>38.54</v>
      </c>
      <c r="D9" s="58">
        <v>23.97</v>
      </c>
      <c r="E9" s="58">
        <v>2.4700000000000002</v>
      </c>
      <c r="F9" s="58">
        <v>8.18</v>
      </c>
      <c r="G9" s="58">
        <v>36.869999999999997</v>
      </c>
      <c r="H9" s="58">
        <v>14.63</v>
      </c>
      <c r="I9" s="58">
        <v>0.56000000000000005</v>
      </c>
      <c r="J9" s="58">
        <v>1.75</v>
      </c>
      <c r="K9" s="58">
        <v>346.85</v>
      </c>
      <c r="L9" s="58">
        <v>25.15</v>
      </c>
      <c r="M9" s="58">
        <v>42.52</v>
      </c>
      <c r="N9" s="58">
        <v>5.0999999999999996</v>
      </c>
      <c r="O9" s="58">
        <v>0</v>
      </c>
      <c r="P9" s="58">
        <v>0.64</v>
      </c>
      <c r="Q9" s="58">
        <v>10.72</v>
      </c>
      <c r="R9" s="43"/>
      <c r="S9" s="43"/>
      <c r="T9" s="43"/>
      <c r="U9" s="43"/>
    </row>
    <row r="10" spans="1:21" s="11" customFormat="1" ht="15">
      <c r="A10" s="57" t="s">
        <v>567</v>
      </c>
      <c r="B10" s="58">
        <v>2.67</v>
      </c>
      <c r="C10" s="58">
        <v>38.65</v>
      </c>
      <c r="D10" s="58">
        <v>23.92</v>
      </c>
      <c r="E10" s="58">
        <v>5.87</v>
      </c>
      <c r="F10" s="58">
        <v>11.66</v>
      </c>
      <c r="G10" s="58">
        <v>45.91</v>
      </c>
      <c r="H10" s="58">
        <v>14.63</v>
      </c>
      <c r="I10" s="58">
        <v>0.54</v>
      </c>
      <c r="J10" s="58">
        <v>0.86</v>
      </c>
      <c r="K10" s="58">
        <v>118.16</v>
      </c>
      <c r="L10" s="58">
        <v>24.11</v>
      </c>
      <c r="M10" s="58">
        <v>42.97</v>
      </c>
      <c r="N10" s="58">
        <v>4.9000000000000004</v>
      </c>
      <c r="O10" s="58">
        <v>0</v>
      </c>
      <c r="P10" s="58">
        <v>0.62</v>
      </c>
      <c r="Q10" s="58">
        <v>15.62</v>
      </c>
      <c r="R10" s="43"/>
      <c r="S10" s="43"/>
      <c r="T10" s="43"/>
      <c r="U10" s="43"/>
    </row>
    <row r="11" spans="1:21" s="11" customFormat="1" ht="15">
      <c r="A11" s="57" t="s">
        <v>568</v>
      </c>
      <c r="B11" s="58">
        <v>4.59</v>
      </c>
      <c r="C11" s="58">
        <v>37.090000000000003</v>
      </c>
      <c r="D11" s="58">
        <v>24.80</v>
      </c>
      <c r="E11" s="58">
        <v>5.04</v>
      </c>
      <c r="F11" s="58">
        <v>13.32</v>
      </c>
      <c r="G11" s="58">
        <v>45.91</v>
      </c>
      <c r="H11" s="58">
        <v>14.49</v>
      </c>
      <c r="I11" s="58">
        <v>0.55000000000000004</v>
      </c>
      <c r="J11" s="58">
        <v>0.81</v>
      </c>
      <c r="K11" s="58">
        <v>145.62</v>
      </c>
      <c r="L11" s="58">
        <v>23.68</v>
      </c>
      <c r="M11" s="58">
        <v>43.02</v>
      </c>
      <c r="N11" s="58">
        <v>4.9000000000000004</v>
      </c>
      <c r="O11" s="58">
        <v>0</v>
      </c>
      <c r="P11" s="58">
        <v>0.54</v>
      </c>
      <c r="Q11" s="58">
        <v>20.079999999999998</v>
      </c>
      <c r="R11" s="43"/>
      <c r="S11" s="43"/>
      <c r="T11" s="43"/>
      <c r="U11" s="43"/>
    </row>
    <row r="12" spans="1:21" s="11" customFormat="1" ht="15">
      <c r="A12" s="57" t="s">
        <v>569</v>
      </c>
      <c r="B12" s="58">
        <v>3.5</v>
      </c>
      <c r="C12" s="58">
        <v>35.04</v>
      </c>
      <c r="D12" s="58">
        <v>22.44</v>
      </c>
      <c r="E12" s="58">
        <v>2.63</v>
      </c>
      <c r="F12" s="58">
        <v>11.64</v>
      </c>
      <c r="G12" s="58">
        <v>43.12</v>
      </c>
      <c r="H12" s="58">
        <v>12.30</v>
      </c>
      <c r="I12" s="58">
        <v>0.55000000000000004</v>
      </c>
      <c r="J12" s="58">
        <v>1.05</v>
      </c>
      <c r="K12" s="58">
        <v>353.81</v>
      </c>
      <c r="L12" s="58">
        <v>23.49</v>
      </c>
      <c r="M12" s="58">
        <v>46.07</v>
      </c>
      <c r="N12" s="58">
        <v>5.0999999999999996</v>
      </c>
      <c r="O12" s="58">
        <v>0</v>
      </c>
      <c r="P12" s="58">
        <v>0.51</v>
      </c>
      <c r="Q12" s="58">
        <v>18.34</v>
      </c>
      <c r="R12" s="43"/>
      <c r="S12" s="43"/>
      <c r="T12" s="43"/>
      <c r="U12" s="43"/>
    </row>
    <row r="13" spans="1:21" s="11" customFormat="1" ht="15">
      <c r="A13" s="57" t="s">
        <v>570</v>
      </c>
      <c r="B13" s="58">
        <v>6.25</v>
      </c>
      <c r="C13" s="58">
        <v>41.66</v>
      </c>
      <c r="D13" s="58">
        <v>28.65</v>
      </c>
      <c r="E13" s="58">
        <v>2.39</v>
      </c>
      <c r="F13" s="58">
        <v>9.69</v>
      </c>
      <c r="G13" s="58">
        <v>45</v>
      </c>
      <c r="H13" s="58">
        <v>14.25</v>
      </c>
      <c r="I13" s="58">
        <v>0.54</v>
      </c>
      <c r="J13" s="58">
        <v>0.73</v>
      </c>
      <c r="K13" s="58">
        <v>347.43</v>
      </c>
      <c r="L13" s="58">
        <v>22.96</v>
      </c>
      <c r="M13" s="58">
        <v>46.14</v>
      </c>
      <c r="N13" s="58">
        <v>5</v>
      </c>
      <c r="O13" s="58">
        <v>0</v>
      </c>
      <c r="P13" s="58">
        <v>0.51</v>
      </c>
      <c r="Q13" s="58">
        <v>17.22</v>
      </c>
      <c r="R13" s="43"/>
      <c r="S13" s="43"/>
      <c r="T13" s="43"/>
      <c r="U13" s="43"/>
    </row>
    <row r="14" spans="1:21" s="11" customFormat="1" ht="15">
      <c r="A14" s="57" t="s">
        <v>571</v>
      </c>
      <c r="B14" s="58">
        <v>4.9400000000000004</v>
      </c>
      <c r="C14" s="58">
        <v>39.64</v>
      </c>
      <c r="D14" s="58">
        <v>26.38</v>
      </c>
      <c r="E14" s="58">
        <v>1.64</v>
      </c>
      <c r="F14" s="58">
        <v>5.12</v>
      </c>
      <c r="G14" s="58">
        <v>45</v>
      </c>
      <c r="H14" s="58">
        <v>14.25</v>
      </c>
      <c r="I14" s="58">
        <v>0.55000000000000004</v>
      </c>
      <c r="J14" s="58">
        <v>1.02</v>
      </c>
      <c r="K14" s="58">
        <v>204.72</v>
      </c>
      <c r="L14" s="58">
        <v>22.86</v>
      </c>
      <c r="M14" s="58">
        <v>51.46</v>
      </c>
      <c r="N14" s="58">
        <v>25.10</v>
      </c>
      <c r="O14" s="58">
        <v>0</v>
      </c>
      <c r="P14" s="58">
        <v>0.5</v>
      </c>
      <c r="Q14" s="58">
        <v>17.62</v>
      </c>
      <c r="R14" s="43"/>
      <c r="S14" s="43"/>
      <c r="T14" s="43"/>
      <c r="U14" s="43"/>
    </row>
    <row r="15" spans="1:21" s="11" customFormat="1" ht="15">
      <c r="A15" s="57" t="s">
        <v>572</v>
      </c>
      <c r="B15" s="58">
        <v>9.64</v>
      </c>
      <c r="C15" s="58">
        <v>42.93</v>
      </c>
      <c r="D15" s="58">
        <v>32.07</v>
      </c>
      <c r="E15" s="58">
        <v>0.78</v>
      </c>
      <c r="F15" s="58">
        <v>4.17</v>
      </c>
      <c r="G15" s="58">
        <v>43.51</v>
      </c>
      <c r="H15" s="58">
        <v>14.14</v>
      </c>
      <c r="I15" s="58">
        <v>0.54</v>
      </c>
      <c r="J15" s="58">
        <v>0.41</v>
      </c>
      <c r="K15" s="58">
        <v>250.42</v>
      </c>
      <c r="L15" s="58">
        <v>23.82</v>
      </c>
      <c r="M15" s="58">
        <v>48.91</v>
      </c>
      <c r="N15" s="58">
        <v>97.70</v>
      </c>
      <c r="O15" s="58">
        <v>0</v>
      </c>
      <c r="P15" s="58">
        <v>0.52</v>
      </c>
      <c r="Q15" s="58">
        <v>15.59</v>
      </c>
      <c r="R15" s="43"/>
      <c r="S15" s="43"/>
      <c r="T15" s="43"/>
      <c r="U15" s="43"/>
    </row>
    <row r="16" spans="1:21" s="11" customFormat="1" ht="15">
      <c r="A16" s="57" t="s">
        <v>573</v>
      </c>
      <c r="B16" s="58">
        <v>9.3000000000000007</v>
      </c>
      <c r="C16" s="58">
        <v>42.44</v>
      </c>
      <c r="D16" s="58">
        <v>31.53</v>
      </c>
      <c r="E16" s="58">
        <v>1.64</v>
      </c>
      <c r="F16" s="58">
        <v>7.38</v>
      </c>
      <c r="G16" s="58">
        <v>47.94</v>
      </c>
      <c r="H16" s="58">
        <v>17.09</v>
      </c>
      <c r="I16" s="58">
        <v>0.54</v>
      </c>
      <c r="J16" s="58">
        <v>1.06</v>
      </c>
      <c r="K16" s="58">
        <v>222.53</v>
      </c>
      <c r="L16" s="58">
        <v>26.16</v>
      </c>
      <c r="M16" s="58">
        <v>48</v>
      </c>
      <c r="N16" s="58">
        <v>417.20</v>
      </c>
      <c r="O16" s="58">
        <v>0</v>
      </c>
      <c r="P16" s="58">
        <v>0.48</v>
      </c>
      <c r="Q16" s="58">
        <v>16.36</v>
      </c>
      <c r="R16" s="43"/>
      <c r="S16" s="43"/>
      <c r="T16" s="43"/>
      <c r="U16" s="43"/>
    </row>
    <row r="17" spans="1:21" s="11" customFormat="1" ht="15">
      <c r="A17" s="57" t="s">
        <v>574</v>
      </c>
      <c r="B17" s="58">
        <v>7.31</v>
      </c>
      <c r="C17" s="58">
        <v>40.51</v>
      </c>
      <c r="D17" s="58">
        <v>28.86</v>
      </c>
      <c r="E17" s="58">
        <v>2.16</v>
      </c>
      <c r="F17" s="58">
        <v>7.08</v>
      </c>
      <c r="G17" s="58">
        <v>47.94</v>
      </c>
      <c r="H17" s="58">
        <v>17.09</v>
      </c>
      <c r="I17" s="58">
        <v>0.54</v>
      </c>
      <c r="J17" s="58">
        <v>1.02</v>
      </c>
      <c r="K17" s="58">
        <v>238.79</v>
      </c>
      <c r="L17" s="58">
        <v>29.22</v>
      </c>
      <c r="M17" s="58">
        <v>41.15</v>
      </c>
      <c r="N17" s="58">
        <v>647.5</v>
      </c>
      <c r="O17" s="58">
        <v>0</v>
      </c>
      <c r="P17" s="58">
        <v>0.48</v>
      </c>
      <c r="Q17" s="58">
        <v>16.16</v>
      </c>
      <c r="R17" s="43"/>
      <c r="S17" s="43"/>
      <c r="T17" s="43"/>
      <c r="U17" s="43"/>
    </row>
    <row r="18" spans="1:21" s="11" customFormat="1" ht="15">
      <c r="A18" s="57" t="s">
        <v>575</v>
      </c>
      <c r="B18" s="58">
        <v>3.45</v>
      </c>
      <c r="C18" s="58">
        <v>39.729999999999997</v>
      </c>
      <c r="D18" s="58">
        <v>24.95</v>
      </c>
      <c r="E18" s="58">
        <v>2.06</v>
      </c>
      <c r="F18" s="58">
        <v>8.91</v>
      </c>
      <c r="G18" s="58">
        <v>42.28</v>
      </c>
      <c r="H18" s="58">
        <v>17.649999999999999</v>
      </c>
      <c r="I18" s="58">
        <v>0.55000000000000004</v>
      </c>
      <c r="J18" s="58">
        <v>1.45</v>
      </c>
      <c r="K18" s="58">
        <v>207.18</v>
      </c>
      <c r="L18" s="58">
        <v>29.91</v>
      </c>
      <c r="M18" s="58">
        <v>36.11</v>
      </c>
      <c r="N18" s="58">
        <v>785.40</v>
      </c>
      <c r="O18" s="58">
        <v>0</v>
      </c>
      <c r="P18" s="58">
        <v>0.46</v>
      </c>
      <c r="Q18" s="58">
        <v>11.34</v>
      </c>
      <c r="R18" s="43"/>
      <c r="S18" s="43"/>
      <c r="T18" s="43"/>
      <c r="U18" s="43"/>
    </row>
    <row r="19" spans="1:21" s="11" customFormat="1" ht="15">
      <c r="A19" s="57" t="s">
        <v>576</v>
      </c>
      <c r="B19" s="58">
        <v>2.1800000000000002</v>
      </c>
      <c r="C19" s="58">
        <v>37.10</v>
      </c>
      <c r="D19" s="58">
        <v>22.87</v>
      </c>
      <c r="E19" s="58">
        <v>2.56</v>
      </c>
      <c r="F19" s="58">
        <v>32.21</v>
      </c>
      <c r="G19" s="58">
        <v>39.24</v>
      </c>
      <c r="H19" s="58">
        <v>17.649999999999999</v>
      </c>
      <c r="I19" s="58">
        <v>0.55000000000000004</v>
      </c>
      <c r="J19" s="58">
        <v>1.39</v>
      </c>
      <c r="K19" s="58">
        <v>234.99</v>
      </c>
      <c r="L19" s="58">
        <v>32.159999999999997</v>
      </c>
      <c r="M19" s="58">
        <v>31.11</v>
      </c>
      <c r="N19" s="58">
        <v>881.5</v>
      </c>
      <c r="O19" s="58">
        <v>0</v>
      </c>
      <c r="P19" s="58">
        <v>0.43</v>
      </c>
      <c r="Q19" s="58">
        <v>10.32</v>
      </c>
      <c r="R19" s="43"/>
      <c r="S19" s="43"/>
      <c r="T19" s="43"/>
      <c r="U19" s="43"/>
    </row>
    <row r="20" spans="1:21" s="11" customFormat="1" ht="15">
      <c r="A20" s="57" t="s">
        <v>577</v>
      </c>
      <c r="B20" s="58">
        <v>2.21</v>
      </c>
      <c r="C20" s="58">
        <v>35.369999999999997</v>
      </c>
      <c r="D20" s="58">
        <v>21.79</v>
      </c>
      <c r="E20" s="58">
        <v>2.52</v>
      </c>
      <c r="F20" s="58">
        <v>20.53</v>
      </c>
      <c r="G20" s="58">
        <v>32.869999999999997</v>
      </c>
      <c r="H20" s="58">
        <v>15.77</v>
      </c>
      <c r="I20" s="58">
        <v>0.47</v>
      </c>
      <c r="J20" s="58">
        <v>0.42</v>
      </c>
      <c r="K20" s="58">
        <v>353.48</v>
      </c>
      <c r="L20" s="58">
        <v>35.22</v>
      </c>
      <c r="M20" s="58">
        <v>24.49</v>
      </c>
      <c r="N20" s="58">
        <v>936</v>
      </c>
      <c r="O20" s="58">
        <v>0</v>
      </c>
      <c r="P20" s="58">
        <v>0.40</v>
      </c>
      <c r="Q20" s="58">
        <v>5.86</v>
      </c>
      <c r="R20" s="43"/>
      <c r="S20" s="43"/>
      <c r="T20" s="43"/>
      <c r="U20" s="43"/>
    </row>
    <row r="21" spans="1:21" s="11" customFormat="1" ht="15">
      <c r="A21" s="57" t="s">
        <v>578</v>
      </c>
      <c r="B21" s="58">
        <v>1.96</v>
      </c>
      <c r="C21" s="58">
        <v>35.549999999999997</v>
      </c>
      <c r="D21" s="58">
        <v>21.79</v>
      </c>
      <c r="E21" s="58">
        <v>2.2400000000000002</v>
      </c>
      <c r="F21" s="58">
        <v>21.74</v>
      </c>
      <c r="G21" s="58">
        <v>32.869999999999997</v>
      </c>
      <c r="H21" s="58">
        <v>15.77</v>
      </c>
      <c r="I21" s="58">
        <v>0.46</v>
      </c>
      <c r="J21" s="58">
        <v>0.5</v>
      </c>
      <c r="K21" s="58">
        <v>355.09</v>
      </c>
      <c r="L21" s="58">
        <v>36.36</v>
      </c>
      <c r="M21" s="58">
        <v>23.10</v>
      </c>
      <c r="N21" s="58">
        <v>933.30</v>
      </c>
      <c r="O21" s="58">
        <v>0</v>
      </c>
      <c r="P21" s="58">
        <v>0.40</v>
      </c>
      <c r="Q21" s="58">
        <v>5.62</v>
      </c>
      <c r="R21" s="43"/>
      <c r="S21" s="43"/>
      <c r="T21" s="43"/>
      <c r="U21" s="43"/>
    </row>
    <row r="22" spans="1:21" s="11" customFormat="1" ht="15">
      <c r="A22" s="57" t="s">
        <v>579</v>
      </c>
      <c r="B22" s="58">
        <v>2.66</v>
      </c>
      <c r="C22" s="58">
        <v>37.71</v>
      </c>
      <c r="D22" s="58">
        <v>23.59</v>
      </c>
      <c r="E22" s="58">
        <v>3.39</v>
      </c>
      <c r="F22" s="58">
        <v>33.159999999999997</v>
      </c>
      <c r="G22" s="58">
        <v>26.90</v>
      </c>
      <c r="H22" s="58">
        <v>15.60</v>
      </c>
      <c r="I22" s="58">
        <v>0.49</v>
      </c>
      <c r="J22" s="58">
        <v>0.93</v>
      </c>
      <c r="K22" s="58">
        <v>354.03</v>
      </c>
      <c r="L22" s="58">
        <v>36.79</v>
      </c>
      <c r="M22" s="58">
        <v>24.18</v>
      </c>
      <c r="N22" s="58">
        <v>842.90</v>
      </c>
      <c r="O22" s="58">
        <v>0</v>
      </c>
      <c r="P22" s="58">
        <v>0.5</v>
      </c>
      <c r="Q22" s="58">
        <v>6.41</v>
      </c>
      <c r="R22" s="43"/>
      <c r="S22" s="43"/>
      <c r="T22" s="43"/>
      <c r="U22" s="43"/>
    </row>
    <row r="23" spans="1:21" s="11" customFormat="1" ht="15">
      <c r="A23" s="57" t="s">
        <v>580</v>
      </c>
      <c r="B23" s="58">
        <v>2.0499999999999998</v>
      </c>
      <c r="C23" s="58">
        <v>37.49</v>
      </c>
      <c r="D23" s="58">
        <v>22.94</v>
      </c>
      <c r="E23" s="58">
        <v>2.81</v>
      </c>
      <c r="F23" s="58">
        <v>17.28</v>
      </c>
      <c r="G23" s="58">
        <v>30.33</v>
      </c>
      <c r="H23" s="58">
        <v>13.05</v>
      </c>
      <c r="I23" s="58">
        <v>0.48</v>
      </c>
      <c r="J23" s="58">
        <v>0.44</v>
      </c>
      <c r="K23" s="58">
        <v>349.25</v>
      </c>
      <c r="L23" s="58">
        <v>36.21</v>
      </c>
      <c r="M23" s="58">
        <v>25.07</v>
      </c>
      <c r="N23" s="58">
        <v>649.20000000000005</v>
      </c>
      <c r="O23" s="58">
        <v>0</v>
      </c>
      <c r="P23" s="58">
        <v>0.5</v>
      </c>
      <c r="Q23" s="58">
        <v>8.09</v>
      </c>
      <c r="R23" s="43"/>
      <c r="S23" s="43"/>
      <c r="T23" s="43"/>
      <c r="U23" s="43"/>
    </row>
    <row r="24" spans="1:21" s="11" customFormat="1" ht="15">
      <c r="A24" s="57" t="s">
        <v>581</v>
      </c>
      <c r="B24" s="58">
        <v>1.78</v>
      </c>
      <c r="C24" s="58">
        <v>33.520000000000003</v>
      </c>
      <c r="D24" s="58">
        <v>20.41</v>
      </c>
      <c r="E24" s="58">
        <v>2.57</v>
      </c>
      <c r="F24" s="58">
        <v>33.36</v>
      </c>
      <c r="G24" s="58">
        <v>30.33</v>
      </c>
      <c r="H24" s="58">
        <v>15.79</v>
      </c>
      <c r="I24" s="58">
        <v>0.45</v>
      </c>
      <c r="J24" s="58">
        <v>1.65</v>
      </c>
      <c r="K24" s="58">
        <v>343.34</v>
      </c>
      <c r="L24" s="58">
        <v>34.53</v>
      </c>
      <c r="M24" s="58">
        <v>25.49</v>
      </c>
      <c r="N24" s="58">
        <v>457.60</v>
      </c>
      <c r="O24" s="58">
        <v>0</v>
      </c>
      <c r="P24" s="58">
        <v>0.46</v>
      </c>
      <c r="Q24" s="58">
        <v>7.09</v>
      </c>
      <c r="R24" s="43"/>
      <c r="S24" s="43"/>
      <c r="T24" s="43"/>
      <c r="U24" s="43"/>
    </row>
    <row r="25" spans="1:21" s="11" customFormat="1" ht="15">
      <c r="A25" s="57" t="s">
        <v>582</v>
      </c>
      <c r="B25" s="58">
        <v>6.70</v>
      </c>
      <c r="C25" s="58">
        <v>44.42</v>
      </c>
      <c r="D25" s="58">
        <v>30.53</v>
      </c>
      <c r="E25" s="58">
        <v>16.36</v>
      </c>
      <c r="F25" s="58">
        <v>23.20</v>
      </c>
      <c r="G25" s="58">
        <v>57.37</v>
      </c>
      <c r="H25" s="58">
        <v>15.79</v>
      </c>
      <c r="I25" s="58">
        <v>0.47</v>
      </c>
      <c r="J25" s="58">
        <v>1.45</v>
      </c>
      <c r="K25" s="58">
        <v>350.15</v>
      </c>
      <c r="L25" s="58">
        <v>31.55</v>
      </c>
      <c r="M25" s="58">
        <v>33.53</v>
      </c>
      <c r="N25" s="58">
        <v>129.90</v>
      </c>
      <c r="O25" s="58">
        <v>0</v>
      </c>
      <c r="P25" s="58">
        <v>0.73</v>
      </c>
      <c r="Q25" s="58">
        <v>6.70</v>
      </c>
      <c r="R25" s="43"/>
      <c r="S25" s="43"/>
      <c r="T25" s="43"/>
      <c r="U25" s="43"/>
    </row>
    <row r="26" spans="1:21" s="11" customFormat="1" ht="15">
      <c r="A26" s="57" t="s">
        <v>583</v>
      </c>
      <c r="B26" s="58">
        <v>7.01</v>
      </c>
      <c r="C26" s="58">
        <v>55.54</v>
      </c>
      <c r="D26" s="58">
        <v>36.92</v>
      </c>
      <c r="E26" s="58">
        <v>27.59</v>
      </c>
      <c r="F26" s="58">
        <v>15.32</v>
      </c>
      <c r="G26" s="58">
        <v>88.97</v>
      </c>
      <c r="H26" s="58">
        <v>25.35</v>
      </c>
      <c r="I26" s="58">
        <v>0.51</v>
      </c>
      <c r="J26" s="58">
        <v>3.86</v>
      </c>
      <c r="K26" s="58">
        <v>335.43</v>
      </c>
      <c r="L26" s="58">
        <v>29.39</v>
      </c>
      <c r="M26" s="58">
        <v>72.599999999999994</v>
      </c>
      <c r="N26" s="58">
        <v>54.60</v>
      </c>
      <c r="O26" s="58">
        <v>1</v>
      </c>
      <c r="P26" s="58">
        <v>0.82</v>
      </c>
      <c r="Q26" s="58">
        <v>12.55</v>
      </c>
      <c r="R26" s="43"/>
      <c r="S26" s="43"/>
      <c r="T26" s="43"/>
      <c r="U26" s="43"/>
    </row>
    <row r="27" spans="1:21" s="11" customFormat="1" ht="15">
      <c r="A27" s="57" t="s">
        <v>584</v>
      </c>
      <c r="B27" s="58">
        <v>3.35</v>
      </c>
      <c r="C27" s="58">
        <v>40.26</v>
      </c>
      <c r="D27" s="58">
        <v>24.59</v>
      </c>
      <c r="E27" s="58">
        <v>2.90</v>
      </c>
      <c r="F27" s="58">
        <v>13.56</v>
      </c>
      <c r="G27" s="58">
        <v>88.97</v>
      </c>
      <c r="H27" s="58">
        <v>40.020000000000003</v>
      </c>
      <c r="I27" s="58">
        <v>0.51</v>
      </c>
      <c r="J27" s="58">
        <v>3.06</v>
      </c>
      <c r="K27" s="58">
        <v>359.52</v>
      </c>
      <c r="L27" s="58">
        <v>19.02</v>
      </c>
      <c r="M27" s="58">
        <v>89.79</v>
      </c>
      <c r="N27" s="58">
        <v>7.5</v>
      </c>
      <c r="O27" s="58">
        <v>3.60</v>
      </c>
      <c r="P27" s="58">
        <v>0.56999999999999995</v>
      </c>
      <c r="Q27" s="58">
        <v>13.51</v>
      </c>
      <c r="R27" s="43"/>
      <c r="S27" s="43"/>
      <c r="T27" s="43"/>
      <c r="U27" s="43"/>
    </row>
    <row r="28" spans="1:21" s="11" customFormat="1" ht="15">
      <c r="A28" s="57" t="s">
        <v>585</v>
      </c>
      <c r="B28" s="58">
        <v>3.20</v>
      </c>
      <c r="C28" s="58">
        <v>40.69</v>
      </c>
      <c r="D28" s="58">
        <v>25.26</v>
      </c>
      <c r="E28" s="58">
        <v>2.4500000000000002</v>
      </c>
      <c r="F28" s="58">
        <v>5.61</v>
      </c>
      <c r="G28" s="62" t="s">
        <v>15</v>
      </c>
      <c r="H28" s="62" t="s">
        <v>15</v>
      </c>
      <c r="I28" s="58">
        <v>0.48</v>
      </c>
      <c r="J28" s="58">
        <v>1.71</v>
      </c>
      <c r="K28" s="58">
        <v>137.32</v>
      </c>
      <c r="L28" s="58">
        <v>17.559999999999999</v>
      </c>
      <c r="M28" s="58">
        <v>94.38</v>
      </c>
      <c r="N28" s="58">
        <v>5.90</v>
      </c>
      <c r="O28" s="58">
        <v>2.60</v>
      </c>
      <c r="P28" s="58">
        <v>0.59</v>
      </c>
      <c r="Q28" s="58">
        <v>16.41</v>
      </c>
      <c r="R28" s="43"/>
      <c r="S28" s="43"/>
      <c r="T28" s="43"/>
      <c r="U28" s="43"/>
    </row>
    <row r="29" spans="1:21" s="11" customFormat="1" ht="15">
      <c r="A29" s="57" t="s">
        <v>586</v>
      </c>
      <c r="B29" s="58">
        <v>3.63</v>
      </c>
      <c r="C29" s="58">
        <v>35.33</v>
      </c>
      <c r="D29" s="58">
        <v>23.03</v>
      </c>
      <c r="E29" s="58">
        <v>0.80</v>
      </c>
      <c r="F29" s="58">
        <v>4.91</v>
      </c>
      <c r="G29" s="62" t="s">
        <v>15</v>
      </c>
      <c r="H29" s="62" t="s">
        <v>15</v>
      </c>
      <c r="I29" s="58">
        <v>0.5</v>
      </c>
      <c r="J29" s="58">
        <v>2.71</v>
      </c>
      <c r="K29" s="58">
        <v>137.08000000000001</v>
      </c>
      <c r="L29" s="58">
        <v>18.47</v>
      </c>
      <c r="M29" s="58">
        <v>92.36</v>
      </c>
      <c r="N29" s="58">
        <v>6.10</v>
      </c>
      <c r="O29" s="58">
        <v>0.20</v>
      </c>
      <c r="P29" s="58">
        <v>0.57999999999999996</v>
      </c>
      <c r="Q29" s="58">
        <v>20.03</v>
      </c>
      <c r="R29" s="43"/>
      <c r="S29" s="43"/>
      <c r="T29" s="43"/>
      <c r="U29" s="43"/>
    </row>
    <row r="30" spans="1:21" s="11" customFormat="1" ht="15">
      <c r="A30" s="57" t="s">
        <v>587</v>
      </c>
      <c r="B30" s="58">
        <v>4.0199999999999996</v>
      </c>
      <c r="C30" s="58">
        <v>35.86</v>
      </c>
      <c r="D30" s="58">
        <v>23.60</v>
      </c>
      <c r="E30" s="58">
        <v>0.64</v>
      </c>
      <c r="F30" s="58">
        <v>4.07</v>
      </c>
      <c r="G30" s="62" t="s">
        <v>15</v>
      </c>
      <c r="H30" s="62" t="s">
        <v>15</v>
      </c>
      <c r="I30" s="58">
        <v>0.5</v>
      </c>
      <c r="J30" s="58">
        <v>1.60</v>
      </c>
      <c r="K30" s="58">
        <v>179.49</v>
      </c>
      <c r="L30" s="58">
        <v>19.329999999999998</v>
      </c>
      <c r="M30" s="58">
        <v>87.07</v>
      </c>
      <c r="N30" s="58">
        <v>6.40</v>
      </c>
      <c r="O30" s="58">
        <v>0</v>
      </c>
      <c r="P30" s="58">
        <v>0.56999999999999995</v>
      </c>
      <c r="Q30" s="58">
        <v>21.84</v>
      </c>
      <c r="R30" s="43"/>
      <c r="S30" s="43"/>
      <c r="T30" s="43"/>
      <c r="U30" s="43"/>
    </row>
    <row r="31" spans="1:21" s="11" customFormat="1" ht="15">
      <c r="A31" s="57" t="s">
        <v>588</v>
      </c>
      <c r="B31" s="58">
        <v>3.59</v>
      </c>
      <c r="C31" s="58">
        <v>36.82</v>
      </c>
      <c r="D31" s="58">
        <v>23.84</v>
      </c>
      <c r="E31" s="58">
        <v>0.56000000000000005</v>
      </c>
      <c r="F31" s="58">
        <v>5.67</v>
      </c>
      <c r="G31" s="62" t="s">
        <v>15</v>
      </c>
      <c r="H31" s="62" t="s">
        <v>15</v>
      </c>
      <c r="I31" s="58">
        <v>0.53</v>
      </c>
      <c r="J31" s="58">
        <v>2.76</v>
      </c>
      <c r="K31" s="58">
        <v>208.47</v>
      </c>
      <c r="L31" s="58">
        <v>18.809999999999999</v>
      </c>
      <c r="M31" s="58">
        <v>89.83</v>
      </c>
      <c r="N31" s="58">
        <v>6.30</v>
      </c>
      <c r="O31" s="58">
        <v>0.20</v>
      </c>
      <c r="P31" s="58">
        <v>0.53</v>
      </c>
      <c r="Q31" s="58">
        <v>21.43</v>
      </c>
      <c r="R31" s="43"/>
      <c r="S31" s="43"/>
      <c r="T31" s="43"/>
      <c r="U31" s="43"/>
    </row>
    <row r="32" spans="1:21" s="11" customFormat="1" ht="15">
      <c r="A32" s="57" t="s">
        <v>589</v>
      </c>
      <c r="B32" s="58">
        <v>2.1800000000000002</v>
      </c>
      <c r="C32" s="58">
        <v>34.96</v>
      </c>
      <c r="D32" s="58">
        <v>21.61</v>
      </c>
      <c r="E32" s="58">
        <v>0.53</v>
      </c>
      <c r="F32" s="58">
        <v>6.63</v>
      </c>
      <c r="G32" s="62" t="s">
        <v>15</v>
      </c>
      <c r="H32" s="62" t="s">
        <v>15</v>
      </c>
      <c r="I32" s="58">
        <v>0.49</v>
      </c>
      <c r="J32" s="58">
        <v>2.2799999999999998</v>
      </c>
      <c r="K32" s="58">
        <v>245.27</v>
      </c>
      <c r="L32" s="58">
        <v>18.260000000000002</v>
      </c>
      <c r="M32" s="58">
        <v>88.76</v>
      </c>
      <c r="N32" s="58">
        <v>5.60</v>
      </c>
      <c r="O32" s="58">
        <v>0</v>
      </c>
      <c r="P32" s="58">
        <v>0.43</v>
      </c>
      <c r="Q32" s="58">
        <v>14.69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1.78</v>
      </c>
      <c r="C34" s="28">
        <f t="shared" si="0"/>
        <v>33.520000000000003</v>
      </c>
      <c r="D34" s="28">
        <f t="shared" si="0"/>
        <v>20.41</v>
      </c>
      <c r="E34" s="28">
        <f t="shared" si="0"/>
        <v>0.53000000000000003</v>
      </c>
      <c r="F34" s="28">
        <f t="shared" si="0"/>
        <v>4.0700000000000003</v>
      </c>
      <c r="G34" s="28">
        <f t="shared" si="0"/>
        <v>26.899999999999999</v>
      </c>
      <c r="H34" s="28">
        <f t="shared" si="0"/>
        <v>12.300000000000001</v>
      </c>
      <c r="I34" s="28">
        <f t="shared" si="0"/>
        <v>0.45000000000000001</v>
      </c>
      <c r="J34" s="28">
        <f t="shared" si="0"/>
        <v>0.40999999999999998</v>
      </c>
      <c r="K34" s="28">
        <f t="shared" si="0"/>
        <v>118.16</v>
      </c>
      <c r="L34" s="28">
        <f t="shared" si="0"/>
        <v>17.559999999999999</v>
      </c>
      <c r="M34" s="28">
        <f t="shared" si="0"/>
        <v>23.100000000000001</v>
      </c>
      <c r="N34" s="28">
        <f t="shared" si="0"/>
        <v>4.9000000000000004</v>
      </c>
      <c r="O34" s="28">
        <f t="shared" si="0"/>
        <v>0</v>
      </c>
      <c r="P34" s="28">
        <f t="shared" si="0"/>
        <v>0.40000000000000002</v>
      </c>
      <c r="Q34" s="28">
        <f t="shared" si="0"/>
        <v>5.6200000000000001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9.6400000000000006</v>
      </c>
      <c r="C35" s="29">
        <f t="shared" si="1"/>
        <v>55.539999999999999</v>
      </c>
      <c r="D35" s="29">
        <f t="shared" si="1"/>
        <v>36.920000000000002</v>
      </c>
      <c r="E35" s="29">
        <f t="shared" si="1"/>
        <v>27.59</v>
      </c>
      <c r="F35" s="29">
        <f t="shared" si="1"/>
        <v>33.359999999999999</v>
      </c>
      <c r="G35" s="29">
        <f t="shared" si="1"/>
        <v>88.969999999999999</v>
      </c>
      <c r="H35" s="29">
        <f t="shared" si="1"/>
        <v>40.020000000000003</v>
      </c>
      <c r="I35" s="29">
        <f t="shared" si="1"/>
        <v>0.56000000000000005</v>
      </c>
      <c r="J35" s="29">
        <f t="shared" si="1"/>
        <v>3.8599999999999999</v>
      </c>
      <c r="K35" s="29">
        <f t="shared" si="1"/>
        <v>359.51999999999998</v>
      </c>
      <c r="L35" s="29">
        <f t="shared" si="1"/>
        <v>36.789999999999999</v>
      </c>
      <c r="M35" s="29">
        <f t="shared" si="1"/>
        <v>94.379999999999995</v>
      </c>
      <c r="N35" s="29">
        <f t="shared" si="1"/>
        <v>936</v>
      </c>
      <c r="O35" s="29">
        <f t="shared" si="1"/>
        <v>3.6000000000000001</v>
      </c>
      <c r="P35" s="29">
        <f t="shared" si="1"/>
        <v>0.81999999999999995</v>
      </c>
      <c r="Q35" s="29">
        <f t="shared" si="1"/>
        <v>21.84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4.2429166666666669</v>
      </c>
      <c r="C36" s="28">
        <f t="shared" si="2"/>
        <v>39.03541666666667</v>
      </c>
      <c r="D36" s="28">
        <f t="shared" si="2"/>
        <v>25.430833333333336</v>
      </c>
      <c r="E36" s="28">
        <f t="shared" si="2"/>
        <v>3.9416666666666669</v>
      </c>
      <c r="F36" s="28">
        <f t="shared" si="2"/>
        <v>13.516666666666667</v>
      </c>
      <c r="G36" s="28">
        <f t="shared" si="2"/>
        <v>45.859473684210535</v>
      </c>
      <c r="H36" s="28">
        <f t="shared" si="2"/>
        <v>17.121578947368423</v>
      </c>
      <c r="I36" s="28">
        <f t="shared" si="2"/>
        <v>0.51458333333333328</v>
      </c>
      <c r="J36" s="28">
        <f t="shared" si="2"/>
        <v>1.4550000000000001</v>
      </c>
      <c r="K36" s="28">
        <f t="shared" si="2"/>
        <v>265.76750000000004</v>
      </c>
      <c r="L36" s="28">
        <f t="shared" si="2"/>
        <v>26.459166666666665</v>
      </c>
      <c r="M36" s="28">
        <f t="shared" si="2"/>
        <v>52.004583333333329</v>
      </c>
      <c r="N36" s="28">
        <f t="shared" si="2"/>
        <v>288.36250000000001</v>
      </c>
      <c r="O36" s="28">
        <f t="shared" si="2"/>
        <v>0.31666666666666665</v>
      </c>
      <c r="P36" s="28">
        <f t="shared" si="2"/>
        <v>0.53208333333333335</v>
      </c>
      <c r="Q36" s="28">
        <f t="shared" si="2"/>
        <v>13.733333333333333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2.2880188490533007</v>
      </c>
      <c r="C37" s="28">
        <f t="shared" si="3" ref="C37:Q37">STDEV(C9:C32)</f>
        <v>4.5285019878126196</v>
      </c>
      <c r="D37" s="28">
        <f t="shared" si="3"/>
        <v>4.0170689256749244</v>
      </c>
      <c r="E37" s="28">
        <f t="shared" si="3"/>
        <v>5.9323451383563066</v>
      </c>
      <c r="F37" s="28">
        <f t="shared" si="3"/>
        <v>9.3254787342628358</v>
      </c>
      <c r="G37" s="28">
        <f t="shared" si="3"/>
        <v>16.97935984714125</v>
      </c>
      <c r="H37" s="28">
        <f t="shared" si="3"/>
        <v>6.1764258481187841</v>
      </c>
      <c r="I37" s="28">
        <f t="shared" si="3"/>
        <v>0.03425977063638886</v>
      </c>
      <c r="J37" s="28">
        <f t="shared" si="3"/>
        <v>0.90672367680950949</v>
      </c>
      <c r="K37" s="28">
        <f t="shared" si="3"/>
        <v>85.865275273687118</v>
      </c>
      <c r="L37" s="28">
        <f t="shared" si="3"/>
        <v>6.4579158817866205</v>
      </c>
      <c r="M37" s="28">
        <f t="shared" si="3"/>
        <v>25.176645489018401</v>
      </c>
      <c r="N37" s="28">
        <f t="shared" si="3"/>
        <v>367.74380473899629</v>
      </c>
      <c r="O37" s="28">
        <f t="shared" si="3"/>
        <v>0.89426514240885868</v>
      </c>
      <c r="P37" s="28">
        <f t="shared" si="3"/>
        <v>0.099081835595266371</v>
      </c>
      <c r="Q37" s="28">
        <f t="shared" si="3"/>
        <v>5.1753963651330004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19</v>
      </c>
      <c r="H38" s="32">
        <f t="shared" si="4"/>
        <v>19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9e391f-6621-4ee0-a252-70ea125f7a9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73" sqref="H7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590</v>
      </c>
      <c r="B9" s="58">
        <v>2.27</v>
      </c>
      <c r="C9" s="58">
        <v>31.83</v>
      </c>
      <c r="D9" s="58">
        <v>19.79</v>
      </c>
      <c r="E9" s="58">
        <v>1.59</v>
      </c>
      <c r="F9" s="58">
        <v>5.08</v>
      </c>
      <c r="G9" s="62" t="s">
        <v>15</v>
      </c>
      <c r="H9" s="62" t="s">
        <v>15</v>
      </c>
      <c r="I9" s="58">
        <v>0.49</v>
      </c>
      <c r="J9" s="58">
        <v>1.28</v>
      </c>
      <c r="K9" s="58">
        <v>201.08</v>
      </c>
      <c r="L9" s="58">
        <v>18.829999999999998</v>
      </c>
      <c r="M9" s="58">
        <v>84.91</v>
      </c>
      <c r="N9" s="58">
        <v>5.0999999999999996</v>
      </c>
      <c r="O9" s="58">
        <v>0</v>
      </c>
      <c r="P9" s="58">
        <v>0.37</v>
      </c>
      <c r="Q9" s="58">
        <v>14.95</v>
      </c>
      <c r="R9" s="43"/>
      <c r="S9" s="43"/>
      <c r="T9" s="43"/>
      <c r="U9" s="43"/>
    </row>
    <row r="10" spans="1:21" s="11" customFormat="1" ht="15">
      <c r="A10" s="57" t="s">
        <v>591</v>
      </c>
      <c r="B10" s="58">
        <v>2.87</v>
      </c>
      <c r="C10" s="58">
        <v>31.28</v>
      </c>
      <c r="D10" s="58">
        <v>19.68</v>
      </c>
      <c r="E10" s="58">
        <v>1.78</v>
      </c>
      <c r="F10" s="58">
        <v>4.4800000000000004</v>
      </c>
      <c r="G10" s="62" t="s">
        <v>15</v>
      </c>
      <c r="H10" s="62" t="s">
        <v>15</v>
      </c>
      <c r="I10" s="58">
        <v>0.49</v>
      </c>
      <c r="J10" s="58">
        <v>0.89</v>
      </c>
      <c r="K10" s="58">
        <v>257.25</v>
      </c>
      <c r="L10" s="58">
        <v>18.47</v>
      </c>
      <c r="M10" s="58">
        <v>86.48</v>
      </c>
      <c r="N10" s="58">
        <v>5.40</v>
      </c>
      <c r="O10" s="58">
        <v>0</v>
      </c>
      <c r="P10" s="58">
        <v>0.35</v>
      </c>
      <c r="Q10" s="58">
        <v>14.52</v>
      </c>
      <c r="R10" s="43"/>
      <c r="S10" s="43"/>
      <c r="T10" s="43"/>
      <c r="U10" s="43"/>
    </row>
    <row r="11" spans="1:21" s="11" customFormat="1" ht="15">
      <c r="A11" s="57" t="s">
        <v>592</v>
      </c>
      <c r="B11" s="58">
        <v>2.79</v>
      </c>
      <c r="C11" s="58">
        <v>30.59</v>
      </c>
      <c r="D11" s="58">
        <v>19.77</v>
      </c>
      <c r="E11" s="58">
        <v>1.81</v>
      </c>
      <c r="F11" s="58">
        <v>4.45</v>
      </c>
      <c r="G11" s="62" t="s">
        <v>15</v>
      </c>
      <c r="H11" s="62" t="s">
        <v>15</v>
      </c>
      <c r="I11" s="58">
        <v>0.5</v>
      </c>
      <c r="J11" s="58">
        <v>0.84</v>
      </c>
      <c r="K11" s="58">
        <v>340.17</v>
      </c>
      <c r="L11" s="58">
        <v>18.489999999999998</v>
      </c>
      <c r="M11" s="58">
        <v>88.21</v>
      </c>
      <c r="N11" s="58">
        <v>5.40</v>
      </c>
      <c r="O11" s="58">
        <v>0</v>
      </c>
      <c r="P11" s="58">
        <v>0.34</v>
      </c>
      <c r="Q11" s="58">
        <v>13.85</v>
      </c>
      <c r="R11" s="43"/>
      <c r="S11" s="43"/>
      <c r="T11" s="43"/>
      <c r="U11" s="43"/>
    </row>
    <row r="12" spans="1:21" s="11" customFormat="1" ht="15">
      <c r="A12" s="57" t="s">
        <v>593</v>
      </c>
      <c r="B12" s="58">
        <v>2.31</v>
      </c>
      <c r="C12" s="58">
        <v>28.99</v>
      </c>
      <c r="D12" s="58">
        <v>18.46</v>
      </c>
      <c r="E12" s="58">
        <v>1.5</v>
      </c>
      <c r="F12" s="58">
        <v>5</v>
      </c>
      <c r="G12" s="58">
        <v>27.61</v>
      </c>
      <c r="H12" s="58">
        <v>5.27</v>
      </c>
      <c r="I12" s="58">
        <v>0.48</v>
      </c>
      <c r="J12" s="58">
        <v>1.80</v>
      </c>
      <c r="K12" s="58">
        <v>323.14999999999998</v>
      </c>
      <c r="L12" s="58">
        <v>18.38</v>
      </c>
      <c r="M12" s="58">
        <v>89.66</v>
      </c>
      <c r="N12" s="58">
        <v>5.0999999999999996</v>
      </c>
      <c r="O12" s="58">
        <v>0</v>
      </c>
      <c r="P12" s="58">
        <v>0.34</v>
      </c>
      <c r="Q12" s="58">
        <v>10.199999999999999</v>
      </c>
      <c r="R12" s="43"/>
      <c r="S12" s="43"/>
      <c r="T12" s="43"/>
      <c r="U12" s="43"/>
    </row>
    <row r="13" spans="1:21" s="11" customFormat="1" ht="15">
      <c r="A13" s="57" t="s">
        <v>594</v>
      </c>
      <c r="B13" s="58">
        <v>4.38</v>
      </c>
      <c r="C13" s="58">
        <v>34.130000000000003</v>
      </c>
      <c r="D13" s="58">
        <v>22.66</v>
      </c>
      <c r="E13" s="58">
        <v>1.22</v>
      </c>
      <c r="F13" s="58">
        <v>3.97</v>
      </c>
      <c r="G13" s="58">
        <v>39.909999999999997</v>
      </c>
      <c r="H13" s="58">
        <v>7.21</v>
      </c>
      <c r="I13" s="58">
        <v>0.48</v>
      </c>
      <c r="J13" s="58">
        <v>0.63</v>
      </c>
      <c r="K13" s="58">
        <v>327.42</v>
      </c>
      <c r="L13" s="58">
        <v>18.28</v>
      </c>
      <c r="M13" s="58">
        <v>89.95</v>
      </c>
      <c r="N13" s="58">
        <v>4.9000000000000004</v>
      </c>
      <c r="O13" s="58">
        <v>0</v>
      </c>
      <c r="P13" s="58">
        <v>0.40</v>
      </c>
      <c r="Q13" s="58">
        <v>13.29</v>
      </c>
      <c r="R13" s="43"/>
      <c r="S13" s="43"/>
      <c r="T13" s="43"/>
      <c r="U13" s="43"/>
    </row>
    <row r="14" spans="1:21" s="11" customFormat="1" ht="15">
      <c r="A14" s="57" t="s">
        <v>595</v>
      </c>
      <c r="B14" s="58">
        <v>6.27</v>
      </c>
      <c r="C14" s="58">
        <v>32.49</v>
      </c>
      <c r="D14" s="58">
        <v>22.58</v>
      </c>
      <c r="E14" s="58">
        <v>1.45</v>
      </c>
      <c r="F14" s="58">
        <v>3.31</v>
      </c>
      <c r="G14" s="58">
        <v>52.57</v>
      </c>
      <c r="H14" s="58">
        <v>15.09</v>
      </c>
      <c r="I14" s="58">
        <v>0.5</v>
      </c>
      <c r="J14" s="58">
        <v>0.84</v>
      </c>
      <c r="K14" s="58">
        <v>325.08999999999997</v>
      </c>
      <c r="L14" s="58">
        <v>18.66</v>
      </c>
      <c r="M14" s="58">
        <v>89.06</v>
      </c>
      <c r="N14" s="58">
        <v>28.60</v>
      </c>
      <c r="O14" s="58">
        <v>0</v>
      </c>
      <c r="P14" s="58">
        <v>0.46</v>
      </c>
      <c r="Q14" s="58">
        <v>12.01</v>
      </c>
      <c r="R14" s="43"/>
      <c r="S14" s="43"/>
      <c r="T14" s="43"/>
      <c r="U14" s="43"/>
    </row>
    <row r="15" spans="1:21" s="11" customFormat="1" ht="15">
      <c r="A15" s="57" t="s">
        <v>596</v>
      </c>
      <c r="B15" s="58">
        <v>6.69</v>
      </c>
      <c r="C15" s="58">
        <v>32.90</v>
      </c>
      <c r="D15" s="58">
        <v>24.14</v>
      </c>
      <c r="E15" s="58">
        <v>1.25</v>
      </c>
      <c r="F15" s="58">
        <v>3.31</v>
      </c>
      <c r="G15" s="58">
        <v>52.57</v>
      </c>
      <c r="H15" s="58">
        <v>16.170000000000002</v>
      </c>
      <c r="I15" s="58">
        <v>0.51</v>
      </c>
      <c r="J15" s="58">
        <v>1.07</v>
      </c>
      <c r="K15" s="58">
        <v>216.47</v>
      </c>
      <c r="L15" s="58">
        <v>19.27</v>
      </c>
      <c r="M15" s="58">
        <v>85.83</v>
      </c>
      <c r="N15" s="58">
        <v>107.80</v>
      </c>
      <c r="O15" s="58">
        <v>0</v>
      </c>
      <c r="P15" s="58">
        <v>0.5</v>
      </c>
      <c r="Q15" s="58">
        <v>12.33</v>
      </c>
      <c r="R15" s="43"/>
      <c r="S15" s="43"/>
      <c r="T15" s="43"/>
      <c r="U15" s="43"/>
    </row>
    <row r="16" spans="1:21" s="11" customFormat="1" ht="15">
      <c r="A16" s="57" t="s">
        <v>597</v>
      </c>
      <c r="B16" s="58">
        <v>6.78</v>
      </c>
      <c r="C16" s="58">
        <v>36.92</v>
      </c>
      <c r="D16" s="58">
        <v>26.45</v>
      </c>
      <c r="E16" s="58">
        <v>1.1299999999999999</v>
      </c>
      <c r="F16" s="58">
        <v>3.82</v>
      </c>
      <c r="G16" s="58">
        <v>45.40</v>
      </c>
      <c r="H16" s="58">
        <v>17.440000000000001</v>
      </c>
      <c r="I16" s="58">
        <v>0.51</v>
      </c>
      <c r="J16" s="58">
        <v>1.49</v>
      </c>
      <c r="K16" s="58">
        <v>237.71</v>
      </c>
      <c r="L16" s="58">
        <v>19.88</v>
      </c>
      <c r="M16" s="58">
        <v>86.20</v>
      </c>
      <c r="N16" s="58">
        <v>155</v>
      </c>
      <c r="O16" s="58">
        <v>0.20</v>
      </c>
      <c r="P16" s="58">
        <v>0.52</v>
      </c>
      <c r="Q16" s="58">
        <v>12.75</v>
      </c>
      <c r="R16" s="43"/>
      <c r="S16" s="43"/>
      <c r="T16" s="43"/>
      <c r="U16" s="43"/>
    </row>
    <row r="17" spans="1:21" s="11" customFormat="1" ht="15">
      <c r="A17" s="57" t="s">
        <v>598</v>
      </c>
      <c r="B17" s="58">
        <v>5.51</v>
      </c>
      <c r="C17" s="58">
        <v>37.700000000000003</v>
      </c>
      <c r="D17" s="58">
        <v>25.5</v>
      </c>
      <c r="E17" s="58">
        <v>0.92</v>
      </c>
      <c r="F17" s="58">
        <v>4.5599999999999996</v>
      </c>
      <c r="G17" s="58">
        <v>33.229999999999997</v>
      </c>
      <c r="H17" s="58">
        <v>17.440000000000001</v>
      </c>
      <c r="I17" s="58">
        <v>0.5</v>
      </c>
      <c r="J17" s="58">
        <v>0.38</v>
      </c>
      <c r="K17" s="58">
        <v>307.76</v>
      </c>
      <c r="L17" s="58">
        <v>21.43</v>
      </c>
      <c r="M17" s="58">
        <v>79.48</v>
      </c>
      <c r="N17" s="58">
        <v>323.10000000000002</v>
      </c>
      <c r="O17" s="58">
        <v>0</v>
      </c>
      <c r="P17" s="58">
        <v>0.53</v>
      </c>
      <c r="Q17" s="58">
        <v>14.29</v>
      </c>
      <c r="R17" s="43"/>
      <c r="S17" s="43"/>
      <c r="T17" s="43"/>
      <c r="U17" s="43"/>
    </row>
    <row r="18" spans="1:21" s="11" customFormat="1" ht="15">
      <c r="A18" s="57" t="s">
        <v>599</v>
      </c>
      <c r="B18" s="58">
        <v>4.04</v>
      </c>
      <c r="C18" s="58">
        <v>35.47</v>
      </c>
      <c r="D18" s="58">
        <v>23.34</v>
      </c>
      <c r="E18" s="58">
        <v>0.79</v>
      </c>
      <c r="F18" s="58">
        <v>5.42</v>
      </c>
      <c r="G18" s="58">
        <v>8.64</v>
      </c>
      <c r="H18" s="58">
        <v>16.850000000000001</v>
      </c>
      <c r="I18" s="58">
        <v>0.5</v>
      </c>
      <c r="J18" s="58">
        <v>0.54</v>
      </c>
      <c r="K18" s="58">
        <v>321.31</v>
      </c>
      <c r="L18" s="58">
        <v>24.72</v>
      </c>
      <c r="M18" s="58">
        <v>72.849999999999994</v>
      </c>
      <c r="N18" s="58">
        <v>707.80</v>
      </c>
      <c r="O18" s="58">
        <v>0</v>
      </c>
      <c r="P18" s="58">
        <v>0.54</v>
      </c>
      <c r="Q18" s="58">
        <v>13</v>
      </c>
      <c r="R18" s="43"/>
      <c r="S18" s="43"/>
      <c r="T18" s="43"/>
      <c r="U18" s="43"/>
    </row>
    <row r="19" spans="1:21" s="11" customFormat="1" ht="15">
      <c r="A19" s="57" t="s">
        <v>600</v>
      </c>
      <c r="B19" s="58">
        <v>3.66</v>
      </c>
      <c r="C19" s="58">
        <v>30.76</v>
      </c>
      <c r="D19" s="58">
        <v>20.48</v>
      </c>
      <c r="E19" s="58">
        <v>0.80</v>
      </c>
      <c r="F19" s="58">
        <v>6.40</v>
      </c>
      <c r="G19" s="58">
        <v>26.68</v>
      </c>
      <c r="H19" s="58">
        <v>13.17</v>
      </c>
      <c r="I19" s="58">
        <v>0.52</v>
      </c>
      <c r="J19" s="58">
        <v>1.34</v>
      </c>
      <c r="K19" s="58">
        <v>180.93</v>
      </c>
      <c r="L19" s="58">
        <v>25.13</v>
      </c>
      <c r="M19" s="58">
        <v>68.16</v>
      </c>
      <c r="N19" s="58">
        <v>956.70</v>
      </c>
      <c r="O19" s="58">
        <v>0</v>
      </c>
      <c r="P19" s="58">
        <v>0.53</v>
      </c>
      <c r="Q19" s="58">
        <v>11.52</v>
      </c>
      <c r="R19" s="43"/>
      <c r="S19" s="43"/>
      <c r="T19" s="43"/>
      <c r="U19" s="43"/>
    </row>
    <row r="20" spans="1:21" s="11" customFormat="1" ht="15">
      <c r="A20" s="57" t="s">
        <v>601</v>
      </c>
      <c r="B20" s="58">
        <v>3.47</v>
      </c>
      <c r="C20" s="58">
        <v>33.799999999999997</v>
      </c>
      <c r="D20" s="58">
        <v>22.08</v>
      </c>
      <c r="E20" s="58">
        <v>1.53</v>
      </c>
      <c r="F20" s="58">
        <v>7.45</v>
      </c>
      <c r="G20" s="58">
        <v>26.68</v>
      </c>
      <c r="H20" s="58">
        <v>13.66</v>
      </c>
      <c r="I20" s="58">
        <v>0.52</v>
      </c>
      <c r="J20" s="58">
        <v>1.56</v>
      </c>
      <c r="K20" s="58">
        <v>198.27</v>
      </c>
      <c r="L20" s="58">
        <v>27.17</v>
      </c>
      <c r="M20" s="58">
        <v>49.91</v>
      </c>
      <c r="N20" s="58">
        <v>1012.30</v>
      </c>
      <c r="O20" s="58">
        <v>0</v>
      </c>
      <c r="P20" s="58">
        <v>0.5</v>
      </c>
      <c r="Q20" s="58">
        <v>13.51</v>
      </c>
      <c r="R20" s="43"/>
      <c r="S20" s="43"/>
      <c r="T20" s="43"/>
      <c r="U20" s="43"/>
    </row>
    <row r="21" spans="1:21" s="11" customFormat="1" ht="15">
      <c r="A21" s="57" t="s">
        <v>602</v>
      </c>
      <c r="B21" s="58">
        <v>2.0699999999999998</v>
      </c>
      <c r="C21" s="58">
        <v>31.45</v>
      </c>
      <c r="D21" s="58">
        <v>19.600000000000001</v>
      </c>
      <c r="E21" s="58">
        <v>2.2400000000000002</v>
      </c>
      <c r="F21" s="58">
        <v>7.63</v>
      </c>
      <c r="G21" s="58">
        <v>13.15</v>
      </c>
      <c r="H21" s="58">
        <v>14.12</v>
      </c>
      <c r="I21" s="58">
        <v>0.51</v>
      </c>
      <c r="J21" s="58">
        <v>1.27</v>
      </c>
      <c r="K21" s="58">
        <v>228.78</v>
      </c>
      <c r="L21" s="58">
        <v>29.53</v>
      </c>
      <c r="M21" s="58">
        <v>45.86</v>
      </c>
      <c r="N21" s="58">
        <v>996.20</v>
      </c>
      <c r="O21" s="58">
        <v>0</v>
      </c>
      <c r="P21" s="58">
        <v>0.44</v>
      </c>
      <c r="Q21" s="58">
        <v>11.52</v>
      </c>
      <c r="R21" s="43"/>
      <c r="S21" s="43"/>
      <c r="T21" s="43"/>
      <c r="U21" s="43"/>
    </row>
    <row r="22" spans="1:21" s="11" customFormat="1" ht="15">
      <c r="A22" s="57" t="s">
        <v>603</v>
      </c>
      <c r="B22" s="58">
        <v>2.29</v>
      </c>
      <c r="C22" s="58">
        <v>32.72</v>
      </c>
      <c r="D22" s="58">
        <v>20.54</v>
      </c>
      <c r="E22" s="58">
        <v>2.09</v>
      </c>
      <c r="F22" s="58">
        <v>11.46</v>
      </c>
      <c r="G22" s="58">
        <v>12.07</v>
      </c>
      <c r="H22" s="58">
        <v>14.12</v>
      </c>
      <c r="I22" s="58">
        <v>0.52</v>
      </c>
      <c r="J22" s="58">
        <v>0.92</v>
      </c>
      <c r="K22" s="58">
        <v>217.58</v>
      </c>
      <c r="L22" s="58">
        <v>30.79</v>
      </c>
      <c r="M22" s="58">
        <v>37.96</v>
      </c>
      <c r="N22" s="58">
        <v>921.70</v>
      </c>
      <c r="O22" s="58">
        <v>0</v>
      </c>
      <c r="P22" s="58">
        <v>0.40</v>
      </c>
      <c r="Q22" s="58">
        <v>7.51</v>
      </c>
      <c r="R22" s="43"/>
      <c r="S22" s="43"/>
      <c r="T22" s="43"/>
      <c r="U22" s="43"/>
    </row>
    <row r="23" spans="1:21" s="11" customFormat="1" ht="15">
      <c r="A23" s="57" t="s">
        <v>604</v>
      </c>
      <c r="B23" s="58">
        <v>2.83</v>
      </c>
      <c r="C23" s="58">
        <v>33.700000000000003</v>
      </c>
      <c r="D23" s="58">
        <v>21.52</v>
      </c>
      <c r="E23" s="58">
        <v>2.23</v>
      </c>
      <c r="F23" s="58">
        <v>9.6199999999999992</v>
      </c>
      <c r="G23" s="58">
        <v>12.07</v>
      </c>
      <c r="H23" s="58">
        <v>11.12</v>
      </c>
      <c r="I23" s="58">
        <v>0.54</v>
      </c>
      <c r="J23" s="58">
        <v>0.62</v>
      </c>
      <c r="K23" s="58">
        <v>232.30</v>
      </c>
      <c r="L23" s="58">
        <v>31.40</v>
      </c>
      <c r="M23" s="58">
        <v>29.56</v>
      </c>
      <c r="N23" s="58">
        <v>778.5</v>
      </c>
      <c r="O23" s="58">
        <v>0</v>
      </c>
      <c r="P23" s="58">
        <v>0.39</v>
      </c>
      <c r="Q23" s="58">
        <v>10.80</v>
      </c>
      <c r="R23" s="43"/>
      <c r="S23" s="43"/>
      <c r="T23" s="43"/>
      <c r="U23" s="43"/>
    </row>
    <row r="24" spans="1:21" s="11" customFormat="1" ht="15">
      <c r="A24" s="57" t="s">
        <v>605</v>
      </c>
      <c r="B24" s="58">
        <v>4.70</v>
      </c>
      <c r="C24" s="58">
        <v>38.770000000000003</v>
      </c>
      <c r="D24" s="58">
        <v>25.81</v>
      </c>
      <c r="E24" s="58">
        <v>2.0499999999999998</v>
      </c>
      <c r="F24" s="58">
        <v>17.70</v>
      </c>
      <c r="G24" s="58">
        <v>18.64</v>
      </c>
      <c r="H24" s="58">
        <v>10.54</v>
      </c>
      <c r="I24" s="58">
        <v>0.53</v>
      </c>
      <c r="J24" s="58">
        <v>0.70</v>
      </c>
      <c r="K24" s="58">
        <v>286.44</v>
      </c>
      <c r="L24" s="58">
        <v>31.09</v>
      </c>
      <c r="M24" s="58">
        <v>27.06</v>
      </c>
      <c r="N24" s="58">
        <v>578.60</v>
      </c>
      <c r="O24" s="58">
        <v>0</v>
      </c>
      <c r="P24" s="58">
        <v>0.40</v>
      </c>
      <c r="Q24" s="58">
        <v>12.82</v>
      </c>
      <c r="R24" s="43"/>
      <c r="S24" s="43"/>
      <c r="T24" s="43"/>
      <c r="U24" s="43"/>
    </row>
    <row r="25" spans="1:21" s="11" customFormat="1" ht="15">
      <c r="A25" s="57" t="s">
        <v>606</v>
      </c>
      <c r="B25" s="58">
        <v>2.73</v>
      </c>
      <c r="C25" s="58">
        <v>43.58</v>
      </c>
      <c r="D25" s="58">
        <v>26.88</v>
      </c>
      <c r="E25" s="58">
        <v>1.43</v>
      </c>
      <c r="F25" s="58">
        <v>26.13</v>
      </c>
      <c r="G25" s="58">
        <v>18.64</v>
      </c>
      <c r="H25" s="58">
        <v>10</v>
      </c>
      <c r="I25" s="58">
        <v>0.53</v>
      </c>
      <c r="J25" s="58">
        <v>0.94</v>
      </c>
      <c r="K25" s="58">
        <v>214.78</v>
      </c>
      <c r="L25" s="58">
        <v>29.99</v>
      </c>
      <c r="M25" s="58">
        <v>27.46</v>
      </c>
      <c r="N25" s="58">
        <v>102.60</v>
      </c>
      <c r="O25" s="58">
        <v>0</v>
      </c>
      <c r="P25" s="58">
        <v>0.35</v>
      </c>
      <c r="Q25" s="58">
        <v>15.70</v>
      </c>
      <c r="R25" s="43"/>
      <c r="S25" s="43"/>
      <c r="T25" s="43"/>
      <c r="U25" s="43"/>
    </row>
    <row r="26" spans="1:21" s="11" customFormat="1" ht="15">
      <c r="A26" s="57" t="s">
        <v>607</v>
      </c>
      <c r="B26" s="58">
        <v>2.5099999999999998</v>
      </c>
      <c r="C26" s="58">
        <v>38.770000000000003</v>
      </c>
      <c r="D26" s="58">
        <v>23.87</v>
      </c>
      <c r="E26" s="58">
        <v>1.49</v>
      </c>
      <c r="F26" s="58">
        <v>12</v>
      </c>
      <c r="G26" s="58">
        <v>11.22</v>
      </c>
      <c r="H26" s="58">
        <v>9.3699999999999992</v>
      </c>
      <c r="I26" s="58">
        <v>0.54</v>
      </c>
      <c r="J26" s="58">
        <v>0.74</v>
      </c>
      <c r="K26" s="58">
        <v>266.30</v>
      </c>
      <c r="L26" s="58">
        <v>29.81</v>
      </c>
      <c r="M26" s="58">
        <v>29.5</v>
      </c>
      <c r="N26" s="58">
        <v>54.90</v>
      </c>
      <c r="O26" s="58">
        <v>0</v>
      </c>
      <c r="P26" s="58">
        <v>0.36</v>
      </c>
      <c r="Q26" s="58">
        <v>14.95</v>
      </c>
      <c r="R26" s="43"/>
      <c r="S26" s="43"/>
      <c r="T26" s="43"/>
      <c r="U26" s="43"/>
    </row>
    <row r="27" spans="1:21" s="11" customFormat="1" ht="15">
      <c r="A27" s="57" t="s">
        <v>608</v>
      </c>
      <c r="B27" s="58">
        <v>6.32</v>
      </c>
      <c r="C27" s="58">
        <v>71.709999999999994</v>
      </c>
      <c r="D27" s="58">
        <v>45.29</v>
      </c>
      <c r="E27" s="58">
        <v>1.61</v>
      </c>
      <c r="F27" s="58">
        <v>13.21</v>
      </c>
      <c r="G27" s="58">
        <v>23.59</v>
      </c>
      <c r="H27" s="58">
        <v>8.6999999999999993</v>
      </c>
      <c r="I27" s="58">
        <v>0.54</v>
      </c>
      <c r="J27" s="58">
        <v>0.74</v>
      </c>
      <c r="K27" s="58">
        <v>209.18</v>
      </c>
      <c r="L27" s="58">
        <v>28.57</v>
      </c>
      <c r="M27" s="58">
        <v>33.5</v>
      </c>
      <c r="N27" s="58">
        <v>12.70</v>
      </c>
      <c r="O27" s="58">
        <v>0</v>
      </c>
      <c r="P27" s="58">
        <v>0.60</v>
      </c>
      <c r="Q27" s="58">
        <v>14.58</v>
      </c>
      <c r="R27" s="43"/>
      <c r="S27" s="43"/>
      <c r="T27" s="43"/>
      <c r="U27" s="43"/>
    </row>
    <row r="28" spans="1:21" s="11" customFormat="1" ht="15">
      <c r="A28" s="57" t="s">
        <v>609</v>
      </c>
      <c r="B28" s="58">
        <v>56.60</v>
      </c>
      <c r="C28" s="58">
        <v>80.739999999999995</v>
      </c>
      <c r="D28" s="58">
        <v>90.59</v>
      </c>
      <c r="E28" s="58">
        <v>2.40</v>
      </c>
      <c r="F28" s="58">
        <v>13.89</v>
      </c>
      <c r="G28" s="58">
        <v>40.72</v>
      </c>
      <c r="H28" s="58">
        <v>14.72</v>
      </c>
      <c r="I28" s="58">
        <v>0.72</v>
      </c>
      <c r="J28" s="58">
        <v>0.20</v>
      </c>
      <c r="K28" s="58">
        <v>355.65</v>
      </c>
      <c r="L28" s="58">
        <v>26.43</v>
      </c>
      <c r="M28" s="58">
        <v>46.63</v>
      </c>
      <c r="N28" s="58">
        <v>5.0999999999999996</v>
      </c>
      <c r="O28" s="58">
        <v>0</v>
      </c>
      <c r="P28" s="58">
        <v>2.0499999999999998</v>
      </c>
      <c r="Q28" s="58">
        <v>16.95</v>
      </c>
      <c r="R28" s="43"/>
      <c r="S28" s="43"/>
      <c r="T28" s="43"/>
      <c r="U28" s="43"/>
    </row>
    <row r="29" spans="1:21" s="11" customFormat="1" ht="15">
      <c r="A29" s="57" t="s">
        <v>610</v>
      </c>
      <c r="B29" s="58">
        <v>52.83</v>
      </c>
      <c r="C29" s="58">
        <v>68.81</v>
      </c>
      <c r="D29" s="58">
        <v>80.98</v>
      </c>
      <c r="E29" s="58">
        <v>1.97</v>
      </c>
      <c r="F29" s="58">
        <v>3.39</v>
      </c>
      <c r="G29" s="58">
        <v>115.52</v>
      </c>
      <c r="H29" s="58">
        <v>21.55</v>
      </c>
      <c r="I29" s="58">
        <v>0.82</v>
      </c>
      <c r="J29" s="58">
        <v>1.48</v>
      </c>
      <c r="K29" s="58">
        <v>350.53</v>
      </c>
      <c r="L29" s="58">
        <v>26.57</v>
      </c>
      <c r="M29" s="58">
        <v>49.97</v>
      </c>
      <c r="N29" s="58">
        <v>4.9000000000000004</v>
      </c>
      <c r="O29" s="58">
        <v>0</v>
      </c>
      <c r="P29" s="58">
        <v>1.83</v>
      </c>
      <c r="Q29" s="58">
        <v>27.33</v>
      </c>
      <c r="R29" s="43"/>
      <c r="S29" s="43"/>
      <c r="T29" s="43"/>
      <c r="U29" s="43"/>
    </row>
    <row r="30" spans="1:21" s="11" customFormat="1" ht="15">
      <c r="A30" s="57" t="s">
        <v>611</v>
      </c>
      <c r="B30" s="58">
        <v>34.01</v>
      </c>
      <c r="C30" s="58">
        <v>61.24</v>
      </c>
      <c r="D30" s="58">
        <v>59.76</v>
      </c>
      <c r="E30" s="58">
        <v>1.86</v>
      </c>
      <c r="F30" s="58">
        <v>6.83</v>
      </c>
      <c r="G30" s="58">
        <v>115.52</v>
      </c>
      <c r="H30" s="58">
        <v>21.55</v>
      </c>
      <c r="I30" s="58">
        <v>0.78</v>
      </c>
      <c r="J30" s="58">
        <v>1.39</v>
      </c>
      <c r="K30" s="58">
        <v>120.68</v>
      </c>
      <c r="L30" s="58">
        <v>26.42</v>
      </c>
      <c r="M30" s="58">
        <v>46.18</v>
      </c>
      <c r="N30" s="58">
        <v>5.40</v>
      </c>
      <c r="O30" s="58">
        <v>0</v>
      </c>
      <c r="P30" s="58">
        <v>1.27</v>
      </c>
      <c r="Q30" s="58">
        <v>28.67</v>
      </c>
      <c r="R30" s="43"/>
      <c r="S30" s="43"/>
      <c r="T30" s="43"/>
      <c r="U30" s="43"/>
    </row>
    <row r="31" spans="1:21" s="11" customFormat="1" ht="15">
      <c r="A31" s="57" t="s">
        <v>612</v>
      </c>
      <c r="B31" s="58">
        <v>23.56</v>
      </c>
      <c r="C31" s="58">
        <v>54.33</v>
      </c>
      <c r="D31" s="58">
        <v>47.37</v>
      </c>
      <c r="E31" s="58">
        <v>2.0299999999999998</v>
      </c>
      <c r="F31" s="58">
        <v>9.1199999999999992</v>
      </c>
      <c r="G31" s="58">
        <v>48.15</v>
      </c>
      <c r="H31" s="58">
        <v>20.86</v>
      </c>
      <c r="I31" s="58">
        <v>0.74</v>
      </c>
      <c r="J31" s="58">
        <v>1.28</v>
      </c>
      <c r="K31" s="58">
        <v>122.71</v>
      </c>
      <c r="L31" s="58">
        <v>25.16</v>
      </c>
      <c r="M31" s="58">
        <v>47.95</v>
      </c>
      <c r="N31" s="58">
        <v>4.9000000000000004</v>
      </c>
      <c r="O31" s="58">
        <v>0</v>
      </c>
      <c r="P31" s="58">
        <v>1.1000000000000001</v>
      </c>
      <c r="Q31" s="58">
        <v>29.11</v>
      </c>
      <c r="R31" s="43"/>
      <c r="S31" s="43"/>
      <c r="T31" s="43"/>
      <c r="U31" s="43"/>
    </row>
    <row r="32" spans="1:21" s="11" customFormat="1" ht="15">
      <c r="A32" s="57" t="s">
        <v>613</v>
      </c>
      <c r="B32" s="58">
        <v>21.61</v>
      </c>
      <c r="C32" s="58">
        <v>48.60</v>
      </c>
      <c r="D32" s="58">
        <v>41.89</v>
      </c>
      <c r="E32" s="58">
        <v>1.55</v>
      </c>
      <c r="F32" s="58">
        <v>5.18</v>
      </c>
      <c r="G32" s="58">
        <v>48.15</v>
      </c>
      <c r="H32" s="58">
        <v>17.25</v>
      </c>
      <c r="I32" s="58">
        <v>0.72</v>
      </c>
      <c r="J32" s="58">
        <v>2.72</v>
      </c>
      <c r="K32" s="58">
        <v>306.37</v>
      </c>
      <c r="L32" s="58">
        <v>24.80</v>
      </c>
      <c r="M32" s="58">
        <v>76.53</v>
      </c>
      <c r="N32" s="58">
        <v>11.10</v>
      </c>
      <c r="O32" s="58">
        <v>4.5999999999999996</v>
      </c>
      <c r="P32" s="58">
        <v>1.04</v>
      </c>
      <c r="Q32" s="58">
        <v>29.83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2.0699999999999998</v>
      </c>
      <c r="C34" s="28">
        <f t="shared" si="0"/>
        <v>28.989999999999998</v>
      </c>
      <c r="D34" s="28">
        <f t="shared" si="0"/>
        <v>18.460000000000001</v>
      </c>
      <c r="E34" s="28">
        <f t="shared" si="0"/>
        <v>0.79000000000000004</v>
      </c>
      <c r="F34" s="28">
        <f t="shared" si="0"/>
        <v>3.3100000000000001</v>
      </c>
      <c r="G34" s="28">
        <f t="shared" si="0"/>
        <v>8.6400000000000006</v>
      </c>
      <c r="H34" s="28">
        <f t="shared" si="0"/>
        <v>5.2699999999999996</v>
      </c>
      <c r="I34" s="28">
        <f t="shared" si="0"/>
        <v>0.47999999999999998</v>
      </c>
      <c r="J34" s="28">
        <f t="shared" si="0"/>
        <v>0.20000000000000001</v>
      </c>
      <c r="K34" s="28">
        <f t="shared" si="0"/>
        <v>120.68000000000001</v>
      </c>
      <c r="L34" s="28">
        <f t="shared" si="0"/>
        <v>18.280000000000001</v>
      </c>
      <c r="M34" s="28">
        <f t="shared" si="0"/>
        <v>27.059999999999999</v>
      </c>
      <c r="N34" s="28">
        <f t="shared" si="0"/>
        <v>4.9000000000000004</v>
      </c>
      <c r="O34" s="28">
        <f t="shared" si="0"/>
        <v>0</v>
      </c>
      <c r="P34" s="28">
        <f t="shared" si="0"/>
        <v>0.34000000000000002</v>
      </c>
      <c r="Q34" s="28">
        <f t="shared" si="0"/>
        <v>7.5099999999999998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56.600000000000001</v>
      </c>
      <c r="C35" s="29">
        <f t="shared" si="1"/>
        <v>80.739999999999995</v>
      </c>
      <c r="D35" s="29">
        <f t="shared" si="1"/>
        <v>90.590000000000003</v>
      </c>
      <c r="E35" s="29">
        <f t="shared" si="1"/>
        <v>2.3999999999999999</v>
      </c>
      <c r="F35" s="29">
        <f t="shared" si="1"/>
        <v>26.129999999999999</v>
      </c>
      <c r="G35" s="29">
        <f t="shared" si="1"/>
        <v>115.52</v>
      </c>
      <c r="H35" s="29">
        <f t="shared" si="1"/>
        <v>21.550000000000001</v>
      </c>
      <c r="I35" s="29">
        <f t="shared" si="1"/>
        <v>0.81999999999999995</v>
      </c>
      <c r="J35" s="29">
        <f t="shared" si="1"/>
        <v>2.7200000000000002</v>
      </c>
      <c r="K35" s="29">
        <f t="shared" si="1"/>
        <v>355.64999999999998</v>
      </c>
      <c r="L35" s="29">
        <f t="shared" si="1"/>
        <v>31.399999999999999</v>
      </c>
      <c r="M35" s="29">
        <f t="shared" si="1"/>
        <v>89.950000000000003</v>
      </c>
      <c r="N35" s="29">
        <f t="shared" si="1"/>
        <v>1012.3</v>
      </c>
      <c r="O35" s="29">
        <f t="shared" si="1"/>
        <v>4.5999999999999996</v>
      </c>
      <c r="P35" s="29">
        <f t="shared" si="1"/>
        <v>2.0499999999999998</v>
      </c>
      <c r="Q35" s="29">
        <f t="shared" si="1"/>
        <v>29.829999999999998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10.9625</v>
      </c>
      <c r="C36" s="28">
        <f t="shared" si="2"/>
        <v>41.720000000000006</v>
      </c>
      <c r="D36" s="28">
        <f t="shared" si="2"/>
        <v>32.042916666666663</v>
      </c>
      <c r="E36" s="28">
        <f t="shared" si="2"/>
        <v>1.6133333333333333</v>
      </c>
      <c r="F36" s="28">
        <f t="shared" si="2"/>
        <v>8.0587500000000016</v>
      </c>
      <c r="G36" s="28">
        <f t="shared" si="2"/>
        <v>37.653809523809521</v>
      </c>
      <c r="H36" s="28">
        <f t="shared" si="2"/>
        <v>14.104761904761904</v>
      </c>
      <c r="I36" s="28">
        <f t="shared" si="2"/>
        <v>0.56208333333333327</v>
      </c>
      <c r="J36" s="28">
        <f t="shared" si="2"/>
        <v>1.0691666666666666</v>
      </c>
      <c r="K36" s="28">
        <f t="shared" si="2"/>
        <v>256.16291666666666</v>
      </c>
      <c r="L36" s="28">
        <f t="shared" si="2"/>
        <v>24.552916666666661</v>
      </c>
      <c r="M36" s="28">
        <f t="shared" si="2"/>
        <v>61.202500000000008</v>
      </c>
      <c r="N36" s="28">
        <f t="shared" si="2"/>
        <v>283.07499999999999</v>
      </c>
      <c r="O36" s="28">
        <f t="shared" si="2"/>
        <v>0.19999999999999998</v>
      </c>
      <c r="P36" s="28">
        <f t="shared" si="2"/>
        <v>0.65041666666666664</v>
      </c>
      <c r="Q36" s="28">
        <f t="shared" si="2"/>
        <v>15.66625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15.645883261851283</v>
      </c>
      <c r="C37" s="28">
        <f t="shared" si="3" ref="C37:Q37">STDEV(C9:C32)</f>
        <v>14.728415600021455</v>
      </c>
      <c r="D37" s="28">
        <f t="shared" si="3"/>
        <v>19.659395249039864</v>
      </c>
      <c r="E37" s="28">
        <f t="shared" si="3"/>
        <v>0.45099567786096956</v>
      </c>
      <c r="F37" s="28">
        <f t="shared" si="3"/>
        <v>5.4719770789152493</v>
      </c>
      <c r="G37" s="28">
        <f t="shared" si="3"/>
        <v>29.6633550826926</v>
      </c>
      <c r="H37" s="28">
        <f t="shared" si="3"/>
        <v>4.5746307162957169</v>
      </c>
      <c r="I37" s="28">
        <f t="shared" si="3"/>
        <v>0.10463099410564825</v>
      </c>
      <c r="J37" s="28">
        <f t="shared" si="3"/>
        <v>0.53510597623003753</v>
      </c>
      <c r="K37" s="28">
        <f t="shared" si="3"/>
        <v>68.359182550329479</v>
      </c>
      <c r="L37" s="28">
        <f t="shared" si="3"/>
        <v>4.770987938131638</v>
      </c>
      <c r="M37" s="28">
        <f t="shared" si="3"/>
        <v>23.818242232446071</v>
      </c>
      <c r="N37" s="28">
        <f t="shared" si="3"/>
        <v>387.61017199601787</v>
      </c>
      <c r="O37" s="28">
        <f t="shared" si="3"/>
        <v>0.93808315196468584</v>
      </c>
      <c r="P37" s="28">
        <f t="shared" si="3"/>
        <v>0.46935181174509799</v>
      </c>
      <c r="Q37" s="28">
        <f t="shared" si="3"/>
        <v>6.2894852298516177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21</v>
      </c>
      <c r="H38" s="32">
        <f t="shared" si="4"/>
        <v>21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e47e69-3135-4a71-95bf-17a324d4759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5" sqref="G6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614</v>
      </c>
      <c r="B9" s="58">
        <v>8.68</v>
      </c>
      <c r="C9" s="58">
        <v>48.74</v>
      </c>
      <c r="D9" s="58">
        <v>34.5</v>
      </c>
      <c r="E9" s="58">
        <v>2.36</v>
      </c>
      <c r="F9" s="58">
        <v>4.59</v>
      </c>
      <c r="G9" s="58">
        <v>44.62</v>
      </c>
      <c r="H9" s="58">
        <v>17.25</v>
      </c>
      <c r="I9" s="58">
        <v>0.67</v>
      </c>
      <c r="J9" s="58">
        <v>2.87</v>
      </c>
      <c r="K9" s="58">
        <v>130.16</v>
      </c>
      <c r="L9" s="58">
        <v>19.190000000000001</v>
      </c>
      <c r="M9" s="58">
        <v>90.22</v>
      </c>
      <c r="N9" s="58">
        <v>7.40</v>
      </c>
      <c r="O9" s="58">
        <v>0</v>
      </c>
      <c r="P9" s="58">
        <v>0.83</v>
      </c>
      <c r="Q9" s="58">
        <v>23.14</v>
      </c>
      <c r="R9" s="43"/>
      <c r="S9" s="43"/>
      <c r="T9" s="43"/>
      <c r="U9" s="43"/>
    </row>
    <row r="10" spans="1:21" s="11" customFormat="1" ht="15">
      <c r="A10" s="57" t="s">
        <v>615</v>
      </c>
      <c r="B10" s="58">
        <v>4</v>
      </c>
      <c r="C10" s="58">
        <v>41.23</v>
      </c>
      <c r="D10" s="58">
        <v>26.61</v>
      </c>
      <c r="E10" s="58">
        <v>1.90</v>
      </c>
      <c r="F10" s="58">
        <v>4.28</v>
      </c>
      <c r="G10" s="58">
        <v>20.95</v>
      </c>
      <c r="H10" s="58">
        <v>11.28</v>
      </c>
      <c r="I10" s="58">
        <v>0.61</v>
      </c>
      <c r="J10" s="58">
        <v>2.56</v>
      </c>
      <c r="K10" s="58">
        <v>120.66</v>
      </c>
      <c r="L10" s="58">
        <v>19.690000000000001</v>
      </c>
      <c r="M10" s="58">
        <v>82.70</v>
      </c>
      <c r="N10" s="58">
        <v>5.40</v>
      </c>
      <c r="O10" s="58">
        <v>0</v>
      </c>
      <c r="P10" s="58">
        <v>0.56000000000000005</v>
      </c>
      <c r="Q10" s="58">
        <v>25.04</v>
      </c>
      <c r="R10" s="43"/>
      <c r="S10" s="43"/>
      <c r="T10" s="43"/>
      <c r="U10" s="43"/>
    </row>
    <row r="11" spans="1:21" s="11" customFormat="1" ht="15">
      <c r="A11" s="57" t="s">
        <v>616</v>
      </c>
      <c r="B11" s="58">
        <v>3.08</v>
      </c>
      <c r="C11" s="58">
        <v>32.67</v>
      </c>
      <c r="D11" s="58">
        <v>20.71</v>
      </c>
      <c r="E11" s="58">
        <v>1.81</v>
      </c>
      <c r="F11" s="58">
        <v>4.21</v>
      </c>
      <c r="G11" s="58">
        <v>11.91</v>
      </c>
      <c r="H11" s="58">
        <v>9.34</v>
      </c>
      <c r="I11" s="58">
        <v>0.56000000000000005</v>
      </c>
      <c r="J11" s="58">
        <v>2.23</v>
      </c>
      <c r="K11" s="58">
        <v>152.30000000000001</v>
      </c>
      <c r="L11" s="58">
        <v>19.91</v>
      </c>
      <c r="M11" s="58">
        <v>84.54</v>
      </c>
      <c r="N11" s="58">
        <v>5.40</v>
      </c>
      <c r="O11" s="58">
        <v>0</v>
      </c>
      <c r="P11" s="58">
        <v>0.47</v>
      </c>
      <c r="Q11" s="58">
        <v>23.24</v>
      </c>
      <c r="R11" s="43"/>
      <c r="S11" s="43"/>
      <c r="T11" s="43"/>
      <c r="U11" s="43"/>
    </row>
    <row r="12" spans="1:21" s="11" customFormat="1" ht="15">
      <c r="A12" s="57" t="s">
        <v>617</v>
      </c>
      <c r="B12" s="58">
        <v>2.70</v>
      </c>
      <c r="C12" s="58">
        <v>32.53</v>
      </c>
      <c r="D12" s="58">
        <v>20.5</v>
      </c>
      <c r="E12" s="58">
        <v>2.12</v>
      </c>
      <c r="F12" s="58">
        <v>5.41</v>
      </c>
      <c r="G12" s="56" t="s">
        <v>15</v>
      </c>
      <c r="H12" s="56" t="s">
        <v>15</v>
      </c>
      <c r="I12" s="58">
        <v>0.53</v>
      </c>
      <c r="J12" s="58">
        <v>0.57999999999999996</v>
      </c>
      <c r="K12" s="58">
        <v>195.88</v>
      </c>
      <c r="L12" s="58">
        <v>19.80</v>
      </c>
      <c r="M12" s="58">
        <v>83.39</v>
      </c>
      <c r="N12" s="58">
        <v>5.30</v>
      </c>
      <c r="O12" s="58">
        <v>0</v>
      </c>
      <c r="P12" s="58">
        <v>0.39</v>
      </c>
      <c r="Q12" s="58">
        <v>21.87</v>
      </c>
      <c r="R12" s="43"/>
      <c r="S12" s="43"/>
      <c r="T12" s="43"/>
      <c r="U12" s="43"/>
    </row>
    <row r="13" spans="1:21" s="11" customFormat="1" ht="15">
      <c r="A13" s="57" t="s">
        <v>618</v>
      </c>
      <c r="B13" s="58">
        <v>3.91</v>
      </c>
      <c r="C13" s="58">
        <v>36.43</v>
      </c>
      <c r="D13" s="58">
        <v>23.89</v>
      </c>
      <c r="E13" s="58">
        <v>1.88</v>
      </c>
      <c r="F13" s="58">
        <v>4.07</v>
      </c>
      <c r="G13" s="56" t="s">
        <v>15</v>
      </c>
      <c r="H13" s="56" t="s">
        <v>15</v>
      </c>
      <c r="I13" s="58">
        <v>0.53</v>
      </c>
      <c r="J13" s="58">
        <v>0.47</v>
      </c>
      <c r="K13" s="58">
        <v>250.21</v>
      </c>
      <c r="L13" s="58">
        <v>19.440000000000001</v>
      </c>
      <c r="M13" s="58">
        <v>82.77</v>
      </c>
      <c r="N13" s="58">
        <v>4.80</v>
      </c>
      <c r="O13" s="58">
        <v>0</v>
      </c>
      <c r="P13" s="58">
        <v>0.35</v>
      </c>
      <c r="Q13" s="58">
        <v>21.05</v>
      </c>
      <c r="R13" s="43"/>
      <c r="S13" s="43"/>
      <c r="T13" s="43"/>
      <c r="U13" s="43"/>
    </row>
    <row r="14" spans="1:21" s="11" customFormat="1" ht="15">
      <c r="A14" s="57" t="s">
        <v>619</v>
      </c>
      <c r="B14" s="58">
        <v>3.80</v>
      </c>
      <c r="C14" s="58">
        <v>36.79</v>
      </c>
      <c r="D14" s="58">
        <v>23.93</v>
      </c>
      <c r="E14" s="58">
        <v>2.04</v>
      </c>
      <c r="F14" s="58">
        <v>3.64</v>
      </c>
      <c r="G14" s="56" t="s">
        <v>15</v>
      </c>
      <c r="H14" s="56" t="s">
        <v>15</v>
      </c>
      <c r="I14" s="58">
        <v>0.52</v>
      </c>
      <c r="J14" s="58">
        <v>0.67</v>
      </c>
      <c r="K14" s="58">
        <v>239.95</v>
      </c>
      <c r="L14" s="58">
        <v>19.489999999999998</v>
      </c>
      <c r="M14" s="58">
        <v>80.61</v>
      </c>
      <c r="N14" s="58">
        <v>32</v>
      </c>
      <c r="O14" s="58">
        <v>0</v>
      </c>
      <c r="P14" s="58">
        <v>0.34</v>
      </c>
      <c r="Q14" s="58">
        <v>20.09</v>
      </c>
      <c r="R14" s="43"/>
      <c r="S14" s="43"/>
      <c r="T14" s="43"/>
      <c r="U14" s="43"/>
    </row>
    <row r="15" spans="1:21" s="11" customFormat="1" ht="15">
      <c r="A15" s="57" t="s">
        <v>620</v>
      </c>
      <c r="B15" s="58">
        <v>4.45</v>
      </c>
      <c r="C15" s="58">
        <v>36.770000000000003</v>
      </c>
      <c r="D15" s="58">
        <v>24.06</v>
      </c>
      <c r="E15" s="58">
        <v>2.0299999999999998</v>
      </c>
      <c r="F15" s="58">
        <v>3.61</v>
      </c>
      <c r="G15" s="58">
        <v>17.53</v>
      </c>
      <c r="H15" s="58">
        <v>5.90</v>
      </c>
      <c r="I15" s="58">
        <v>0.52</v>
      </c>
      <c r="J15" s="58">
        <v>1.01</v>
      </c>
      <c r="K15" s="58">
        <v>229.45</v>
      </c>
      <c r="L15" s="58">
        <v>21.31</v>
      </c>
      <c r="M15" s="58">
        <v>73.19</v>
      </c>
      <c r="N15" s="58">
        <v>207.30</v>
      </c>
      <c r="O15" s="58">
        <v>0</v>
      </c>
      <c r="P15" s="58">
        <v>0.33</v>
      </c>
      <c r="Q15" s="58">
        <v>17.63</v>
      </c>
      <c r="R15" s="43"/>
      <c r="S15" s="43"/>
      <c r="T15" s="43"/>
      <c r="U15" s="43"/>
    </row>
    <row r="16" spans="1:21" s="11" customFormat="1" ht="15">
      <c r="A16" s="57" t="s">
        <v>621</v>
      </c>
      <c r="B16" s="58">
        <v>5.60</v>
      </c>
      <c r="C16" s="58">
        <v>34.21</v>
      </c>
      <c r="D16" s="58">
        <v>24.01</v>
      </c>
      <c r="E16" s="58">
        <v>1.78</v>
      </c>
      <c r="F16" s="58">
        <v>3.59</v>
      </c>
      <c r="G16" s="58">
        <v>17.53</v>
      </c>
      <c r="H16" s="58">
        <v>6.08</v>
      </c>
      <c r="I16" s="58">
        <v>0.52</v>
      </c>
      <c r="J16" s="58">
        <v>0.59</v>
      </c>
      <c r="K16" s="58">
        <v>291.80</v>
      </c>
      <c r="L16" s="58">
        <v>23.88</v>
      </c>
      <c r="M16" s="58">
        <v>64.180000000000007</v>
      </c>
      <c r="N16" s="58">
        <v>433</v>
      </c>
      <c r="O16" s="58">
        <v>0</v>
      </c>
      <c r="P16" s="58">
        <v>0.35</v>
      </c>
      <c r="Q16" s="58">
        <v>13</v>
      </c>
      <c r="R16" s="43"/>
      <c r="S16" s="43"/>
      <c r="T16" s="43"/>
      <c r="U16" s="43"/>
    </row>
    <row r="17" spans="1:21" s="11" customFormat="1" ht="15">
      <c r="A17" s="57" t="s">
        <v>622</v>
      </c>
      <c r="B17" s="58">
        <v>4.6399999999999997</v>
      </c>
      <c r="C17" s="58">
        <v>35.44</v>
      </c>
      <c r="D17" s="58">
        <v>23.22</v>
      </c>
      <c r="E17" s="58">
        <v>2.74</v>
      </c>
      <c r="F17" s="58">
        <v>3.93</v>
      </c>
      <c r="G17" s="58">
        <v>16.190000000000001</v>
      </c>
      <c r="H17" s="58">
        <v>6.08</v>
      </c>
      <c r="I17" s="58">
        <v>0.52</v>
      </c>
      <c r="J17" s="58">
        <v>0.91</v>
      </c>
      <c r="K17" s="58">
        <v>195.71</v>
      </c>
      <c r="L17" s="58">
        <v>25.99</v>
      </c>
      <c r="M17" s="58">
        <v>58.48</v>
      </c>
      <c r="N17" s="58">
        <v>654</v>
      </c>
      <c r="O17" s="58">
        <v>0</v>
      </c>
      <c r="P17" s="58">
        <v>0.35</v>
      </c>
      <c r="Q17" s="58">
        <v>13.70</v>
      </c>
      <c r="R17" s="43"/>
      <c r="S17" s="43"/>
      <c r="T17" s="43"/>
      <c r="U17" s="43"/>
    </row>
    <row r="18" spans="1:21" s="11" customFormat="1" ht="15">
      <c r="A18" s="57" t="s">
        <v>623</v>
      </c>
      <c r="B18" s="58">
        <v>4.07</v>
      </c>
      <c r="C18" s="58">
        <v>37.89</v>
      </c>
      <c r="D18" s="58">
        <v>24.45</v>
      </c>
      <c r="E18" s="58">
        <v>2.64</v>
      </c>
      <c r="F18" s="58">
        <v>7.92</v>
      </c>
      <c r="G18" s="58">
        <v>11.67</v>
      </c>
      <c r="H18" s="58">
        <v>8.1199999999999992</v>
      </c>
      <c r="I18" s="58">
        <v>0.51</v>
      </c>
      <c r="J18" s="58">
        <v>0.28999999999999998</v>
      </c>
      <c r="K18" s="58">
        <v>274.54000000000002</v>
      </c>
      <c r="L18" s="58">
        <v>29.08</v>
      </c>
      <c r="M18" s="58">
        <v>48.96</v>
      </c>
      <c r="N18" s="58">
        <v>823.10</v>
      </c>
      <c r="O18" s="58">
        <v>0</v>
      </c>
      <c r="P18" s="58">
        <v>0.36</v>
      </c>
      <c r="Q18" s="58">
        <v>14.31</v>
      </c>
      <c r="R18" s="43"/>
      <c r="S18" s="43"/>
      <c r="T18" s="43"/>
      <c r="U18" s="43"/>
    </row>
    <row r="19" spans="1:21" s="11" customFormat="1" ht="15">
      <c r="A19" s="57" t="s">
        <v>624</v>
      </c>
      <c r="B19" s="58">
        <v>3.64</v>
      </c>
      <c r="C19" s="58">
        <v>43.24</v>
      </c>
      <c r="D19" s="58">
        <v>27.19</v>
      </c>
      <c r="E19" s="58">
        <v>2.63</v>
      </c>
      <c r="F19" s="58">
        <v>6.48</v>
      </c>
      <c r="G19" s="58">
        <v>18.760000000000002</v>
      </c>
      <c r="H19" s="58">
        <v>8.1199999999999992</v>
      </c>
      <c r="I19" s="58">
        <v>0.55000000000000004</v>
      </c>
      <c r="J19" s="58">
        <v>1.64</v>
      </c>
      <c r="K19" s="58">
        <v>194.27</v>
      </c>
      <c r="L19" s="58">
        <v>28.87</v>
      </c>
      <c r="M19" s="58">
        <v>47.87</v>
      </c>
      <c r="N19" s="58">
        <v>934.10</v>
      </c>
      <c r="O19" s="58">
        <v>0</v>
      </c>
      <c r="P19" s="58">
        <v>0.36</v>
      </c>
      <c r="Q19" s="58">
        <v>16.420000000000002</v>
      </c>
      <c r="R19" s="43"/>
      <c r="S19" s="43"/>
      <c r="T19" s="43"/>
      <c r="U19" s="43"/>
    </row>
    <row r="20" spans="1:21" s="11" customFormat="1" ht="15">
      <c r="A20" s="57" t="s">
        <v>625</v>
      </c>
      <c r="B20" s="58">
        <v>2.65</v>
      </c>
      <c r="C20" s="58">
        <v>34.229999999999997</v>
      </c>
      <c r="D20" s="58">
        <v>21.28</v>
      </c>
      <c r="E20" s="58">
        <v>2.35</v>
      </c>
      <c r="F20" s="58">
        <v>7.45</v>
      </c>
      <c r="G20" s="58">
        <v>18.760000000000002</v>
      </c>
      <c r="H20" s="58">
        <v>6.22</v>
      </c>
      <c r="I20" s="58">
        <v>0.55000000000000004</v>
      </c>
      <c r="J20" s="58">
        <v>1.37</v>
      </c>
      <c r="K20" s="58">
        <v>190.79</v>
      </c>
      <c r="L20" s="58">
        <v>29.04</v>
      </c>
      <c r="M20" s="58">
        <v>48.02</v>
      </c>
      <c r="N20" s="58">
        <v>937.20</v>
      </c>
      <c r="O20" s="58">
        <v>0</v>
      </c>
      <c r="P20" s="58">
        <v>0.35</v>
      </c>
      <c r="Q20" s="58">
        <v>13.29</v>
      </c>
      <c r="R20" s="43"/>
      <c r="S20" s="43"/>
      <c r="T20" s="43"/>
      <c r="U20" s="43"/>
    </row>
    <row r="21" spans="1:21" s="11" customFormat="1" ht="15">
      <c r="A21" s="57" t="s">
        <v>626</v>
      </c>
      <c r="B21" s="58">
        <v>2.36</v>
      </c>
      <c r="C21" s="58">
        <v>35.729999999999997</v>
      </c>
      <c r="D21" s="58">
        <v>22.26</v>
      </c>
      <c r="E21" s="58">
        <v>1.81</v>
      </c>
      <c r="F21" s="58">
        <v>14.77</v>
      </c>
      <c r="G21" s="58">
        <v>14.60</v>
      </c>
      <c r="H21" s="58">
        <v>6.22</v>
      </c>
      <c r="I21" s="58">
        <v>0.54</v>
      </c>
      <c r="J21" s="58">
        <v>1.03</v>
      </c>
      <c r="K21" s="58">
        <v>182.79</v>
      </c>
      <c r="L21" s="58">
        <v>29.90</v>
      </c>
      <c r="M21" s="58">
        <v>45.35</v>
      </c>
      <c r="N21" s="58">
        <v>917</v>
      </c>
      <c r="O21" s="58">
        <v>0</v>
      </c>
      <c r="P21" s="58">
        <v>0.34</v>
      </c>
      <c r="Q21" s="58">
        <v>12.74</v>
      </c>
      <c r="R21" s="43"/>
      <c r="S21" s="43"/>
      <c r="T21" s="43"/>
      <c r="U21" s="43"/>
    </row>
    <row r="22" spans="1:21" s="11" customFormat="1" ht="15">
      <c r="A22" s="57" t="s">
        <v>627</v>
      </c>
      <c r="B22" s="58">
        <v>2.94</v>
      </c>
      <c r="C22" s="58">
        <v>38.69</v>
      </c>
      <c r="D22" s="58">
        <v>24.22</v>
      </c>
      <c r="E22" s="58">
        <v>2.15</v>
      </c>
      <c r="F22" s="58">
        <v>20.04</v>
      </c>
      <c r="G22" s="58">
        <v>10.54</v>
      </c>
      <c r="H22" s="58">
        <v>5.25</v>
      </c>
      <c r="I22" s="58">
        <v>0.57999999999999996</v>
      </c>
      <c r="J22" s="58">
        <v>0.77</v>
      </c>
      <c r="K22" s="58">
        <v>179.14</v>
      </c>
      <c r="L22" s="58">
        <v>30.55</v>
      </c>
      <c r="M22" s="58">
        <v>44.35</v>
      </c>
      <c r="N22" s="58">
        <v>742.60</v>
      </c>
      <c r="O22" s="58">
        <v>0</v>
      </c>
      <c r="P22" s="58">
        <v>0.34</v>
      </c>
      <c r="Q22" s="58">
        <v>16.16</v>
      </c>
      <c r="R22" s="43"/>
      <c r="S22" s="43"/>
      <c r="T22" s="43"/>
      <c r="U22" s="43"/>
    </row>
    <row r="23" spans="1:21" s="11" customFormat="1" ht="15">
      <c r="A23" s="57" t="s">
        <v>628</v>
      </c>
      <c r="B23" s="58">
        <v>3.92</v>
      </c>
      <c r="C23" s="58">
        <v>35.51</v>
      </c>
      <c r="D23" s="58">
        <v>22.22</v>
      </c>
      <c r="E23" s="58">
        <v>1.72</v>
      </c>
      <c r="F23" s="58">
        <v>10.60</v>
      </c>
      <c r="G23" s="58">
        <v>18.78</v>
      </c>
      <c r="H23" s="58">
        <v>5.25</v>
      </c>
      <c r="I23" s="58">
        <v>0.57999999999999996</v>
      </c>
      <c r="J23" s="58">
        <v>0.97</v>
      </c>
      <c r="K23" s="58">
        <v>193.08</v>
      </c>
      <c r="L23" s="58">
        <v>30.77</v>
      </c>
      <c r="M23" s="58">
        <v>43</v>
      </c>
      <c r="N23" s="58">
        <v>645.10</v>
      </c>
      <c r="O23" s="58">
        <v>0</v>
      </c>
      <c r="P23" s="58">
        <v>0.34</v>
      </c>
      <c r="Q23" s="58">
        <v>14.79</v>
      </c>
      <c r="R23" s="43"/>
      <c r="S23" s="43"/>
      <c r="T23" s="43"/>
      <c r="U23" s="43"/>
    </row>
    <row r="24" spans="1:21" s="11" customFormat="1" ht="15">
      <c r="A24" s="57" t="s">
        <v>629</v>
      </c>
      <c r="B24" s="58">
        <v>2.2000000000000002</v>
      </c>
      <c r="C24" s="58">
        <v>34.97</v>
      </c>
      <c r="D24" s="58">
        <v>21.66</v>
      </c>
      <c r="E24" s="58">
        <v>1.76</v>
      </c>
      <c r="F24" s="58">
        <v>14.81</v>
      </c>
      <c r="G24" s="58">
        <v>18.78</v>
      </c>
      <c r="H24" s="58">
        <v>6.96</v>
      </c>
      <c r="I24" s="58">
        <v>0.56999999999999995</v>
      </c>
      <c r="J24" s="58">
        <v>1.1299999999999999</v>
      </c>
      <c r="K24" s="58">
        <v>201.81</v>
      </c>
      <c r="L24" s="58">
        <v>30.55</v>
      </c>
      <c r="M24" s="58">
        <v>39.869999999999997</v>
      </c>
      <c r="N24" s="58">
        <v>491.40</v>
      </c>
      <c r="O24" s="58">
        <v>0</v>
      </c>
      <c r="P24" s="58">
        <v>0.33</v>
      </c>
      <c r="Q24" s="58">
        <v>12.5</v>
      </c>
      <c r="R24" s="43"/>
      <c r="S24" s="43"/>
      <c r="T24" s="43"/>
      <c r="U24" s="43"/>
    </row>
    <row r="25" spans="1:21" s="11" customFormat="1" ht="15">
      <c r="A25" s="57" t="s">
        <v>630</v>
      </c>
      <c r="B25" s="58">
        <v>2.37</v>
      </c>
      <c r="C25" s="58">
        <v>36.28</v>
      </c>
      <c r="D25" s="58">
        <v>22.32</v>
      </c>
      <c r="E25" s="58">
        <v>2.34</v>
      </c>
      <c r="F25" s="58">
        <v>19.670000000000002</v>
      </c>
      <c r="G25" s="58">
        <v>17.690000000000001</v>
      </c>
      <c r="H25" s="58">
        <v>7.92</v>
      </c>
      <c r="I25" s="58">
        <v>0.55000000000000004</v>
      </c>
      <c r="J25" s="58">
        <v>2.42</v>
      </c>
      <c r="K25" s="58">
        <v>209.84</v>
      </c>
      <c r="L25" s="58">
        <v>30.06</v>
      </c>
      <c r="M25" s="58">
        <v>43.42</v>
      </c>
      <c r="N25" s="58">
        <v>116.40</v>
      </c>
      <c r="O25" s="58">
        <v>0</v>
      </c>
      <c r="P25" s="58">
        <v>0.32</v>
      </c>
      <c r="Q25" s="58">
        <v>13.05</v>
      </c>
      <c r="R25" s="43"/>
      <c r="S25" s="43"/>
      <c r="T25" s="43"/>
      <c r="U25" s="43"/>
    </row>
    <row r="26" spans="1:21" s="11" customFormat="1" ht="15">
      <c r="A26" s="57" t="s">
        <v>631</v>
      </c>
      <c r="B26" s="58">
        <v>1.90</v>
      </c>
      <c r="C26" s="58">
        <v>36.700000000000003</v>
      </c>
      <c r="D26" s="58">
        <v>22.31</v>
      </c>
      <c r="E26" s="58">
        <v>2.4300000000000002</v>
      </c>
      <c r="F26" s="58">
        <v>7.33</v>
      </c>
      <c r="G26" s="58">
        <v>22.74</v>
      </c>
      <c r="H26" s="58">
        <v>7.92</v>
      </c>
      <c r="I26" s="58">
        <v>0.56000000000000005</v>
      </c>
      <c r="J26" s="58">
        <v>1.59</v>
      </c>
      <c r="K26" s="58">
        <v>194.77</v>
      </c>
      <c r="L26" s="58">
        <v>25.46</v>
      </c>
      <c r="M26" s="58">
        <v>54.45</v>
      </c>
      <c r="N26" s="58">
        <v>82.30</v>
      </c>
      <c r="O26" s="58">
        <v>0.40</v>
      </c>
      <c r="P26" s="58">
        <v>0.30</v>
      </c>
      <c r="Q26" s="58">
        <v>12.13</v>
      </c>
      <c r="R26" s="43"/>
      <c r="S26" s="43"/>
      <c r="T26" s="43"/>
      <c r="U26" s="43"/>
    </row>
    <row r="27" spans="1:21" s="11" customFormat="1" ht="15">
      <c r="A27" s="57" t="s">
        <v>632</v>
      </c>
      <c r="B27" s="58">
        <v>2.62</v>
      </c>
      <c r="C27" s="58">
        <v>41.44</v>
      </c>
      <c r="D27" s="58">
        <v>25.29</v>
      </c>
      <c r="E27" s="58">
        <v>2.02</v>
      </c>
      <c r="F27" s="58">
        <v>7.76</v>
      </c>
      <c r="G27" s="58">
        <v>24.14</v>
      </c>
      <c r="H27" s="58">
        <v>6.40</v>
      </c>
      <c r="I27" s="58">
        <v>0.52</v>
      </c>
      <c r="J27" s="58">
        <v>3.01</v>
      </c>
      <c r="K27" s="58">
        <v>130.13</v>
      </c>
      <c r="L27" s="58">
        <v>24.58</v>
      </c>
      <c r="M27" s="58">
        <v>56.87</v>
      </c>
      <c r="N27" s="58">
        <v>15.10</v>
      </c>
      <c r="O27" s="58">
        <v>0</v>
      </c>
      <c r="P27" s="58">
        <v>0.28999999999999998</v>
      </c>
      <c r="Q27" s="58">
        <v>16.77</v>
      </c>
      <c r="R27" s="43"/>
      <c r="S27" s="43"/>
      <c r="T27" s="43"/>
      <c r="U27" s="43"/>
    </row>
    <row r="28" spans="1:21" s="11" customFormat="1" ht="15">
      <c r="A28" s="57" t="s">
        <v>633</v>
      </c>
      <c r="B28" s="58">
        <v>3.23</v>
      </c>
      <c r="C28" s="58">
        <v>40.26</v>
      </c>
      <c r="D28" s="58">
        <v>25.32</v>
      </c>
      <c r="E28" s="58">
        <v>2.21</v>
      </c>
      <c r="F28" s="58">
        <v>5.81</v>
      </c>
      <c r="G28" s="58">
        <v>24.14</v>
      </c>
      <c r="H28" s="58">
        <v>7.77</v>
      </c>
      <c r="I28" s="58">
        <v>0.52</v>
      </c>
      <c r="J28" s="58">
        <v>1.98</v>
      </c>
      <c r="K28" s="58">
        <v>159.09</v>
      </c>
      <c r="L28" s="58">
        <v>23.86</v>
      </c>
      <c r="M28" s="58">
        <v>58.02</v>
      </c>
      <c r="N28" s="58">
        <v>5.0999999999999996</v>
      </c>
      <c r="O28" s="58">
        <v>0</v>
      </c>
      <c r="P28" s="58">
        <v>0.32</v>
      </c>
      <c r="Q28" s="58">
        <v>18.940000000000001</v>
      </c>
      <c r="R28" s="43"/>
      <c r="S28" s="43"/>
      <c r="T28" s="43"/>
      <c r="U28" s="43"/>
    </row>
    <row r="29" spans="1:21" s="11" customFormat="1" ht="15">
      <c r="A29" s="57" t="s">
        <v>634</v>
      </c>
      <c r="B29" s="58">
        <v>3.31</v>
      </c>
      <c r="C29" s="58">
        <v>38.270000000000003</v>
      </c>
      <c r="D29" s="58">
        <v>24.42</v>
      </c>
      <c r="E29" s="58">
        <v>1.36</v>
      </c>
      <c r="F29" s="58">
        <v>5.18</v>
      </c>
      <c r="G29" s="58">
        <v>22.90</v>
      </c>
      <c r="H29" s="58">
        <v>9.09</v>
      </c>
      <c r="I29" s="58">
        <v>0.52</v>
      </c>
      <c r="J29" s="58">
        <v>1.29</v>
      </c>
      <c r="K29" s="58">
        <v>206.99</v>
      </c>
      <c r="L29" s="58">
        <v>23.62</v>
      </c>
      <c r="M29" s="58">
        <v>57.88</v>
      </c>
      <c r="N29" s="58">
        <v>4.9000000000000004</v>
      </c>
      <c r="O29" s="58">
        <v>0</v>
      </c>
      <c r="P29" s="58">
        <v>0.34</v>
      </c>
      <c r="Q29" s="58">
        <v>18.690000000000001</v>
      </c>
      <c r="R29" s="43"/>
      <c r="S29" s="43"/>
      <c r="T29" s="43"/>
      <c r="U29" s="43"/>
    </row>
    <row r="30" spans="1:21" s="11" customFormat="1" ht="15">
      <c r="A30" s="57" t="s">
        <v>635</v>
      </c>
      <c r="B30" s="58">
        <v>8.7899999999999991</v>
      </c>
      <c r="C30" s="58">
        <v>45.14</v>
      </c>
      <c r="D30" s="58">
        <v>30.28</v>
      </c>
      <c r="E30" s="58">
        <v>1.43</v>
      </c>
      <c r="F30" s="58">
        <v>6.90</v>
      </c>
      <c r="G30" s="58">
        <v>15.21</v>
      </c>
      <c r="H30" s="58">
        <v>9.9600000000000009</v>
      </c>
      <c r="I30" s="58">
        <v>0.52</v>
      </c>
      <c r="J30" s="58">
        <v>0.54</v>
      </c>
      <c r="K30" s="58">
        <v>312.27999999999997</v>
      </c>
      <c r="L30" s="58">
        <v>23.02</v>
      </c>
      <c r="M30" s="58">
        <v>59.92</v>
      </c>
      <c r="N30" s="58">
        <v>5</v>
      </c>
      <c r="O30" s="58">
        <v>0</v>
      </c>
      <c r="P30" s="58">
        <v>0.43</v>
      </c>
      <c r="Q30" s="58">
        <v>18.82</v>
      </c>
      <c r="R30" s="43"/>
      <c r="S30" s="43"/>
      <c r="T30" s="43"/>
      <c r="U30" s="43"/>
    </row>
    <row r="31" spans="1:21" s="11" customFormat="1" ht="15">
      <c r="A31" s="57" t="s">
        <v>636</v>
      </c>
      <c r="B31" s="58">
        <v>10.40</v>
      </c>
      <c r="C31" s="58">
        <v>45.72</v>
      </c>
      <c r="D31" s="58">
        <v>33.49</v>
      </c>
      <c r="E31" s="58">
        <v>1.44</v>
      </c>
      <c r="F31" s="58">
        <v>4.75</v>
      </c>
      <c r="G31" s="58">
        <v>26.84</v>
      </c>
      <c r="H31" s="58">
        <v>10.5</v>
      </c>
      <c r="I31" s="58">
        <v>0.54</v>
      </c>
      <c r="J31" s="58">
        <v>0.85</v>
      </c>
      <c r="K31" s="58">
        <v>125.05</v>
      </c>
      <c r="L31" s="58">
        <v>22.94</v>
      </c>
      <c r="M31" s="58">
        <v>63.55</v>
      </c>
      <c r="N31" s="58">
        <v>5.0999999999999996</v>
      </c>
      <c r="O31" s="58">
        <v>0</v>
      </c>
      <c r="P31" s="58">
        <v>0.46</v>
      </c>
      <c r="Q31" s="58">
        <v>20.43</v>
      </c>
      <c r="R31" s="43"/>
      <c r="S31" s="43"/>
      <c r="T31" s="43"/>
      <c r="U31" s="43"/>
    </row>
    <row r="32" spans="1:21" s="11" customFormat="1" ht="15">
      <c r="A32" s="57" t="s">
        <v>637</v>
      </c>
      <c r="B32" s="58">
        <v>9.65</v>
      </c>
      <c r="C32" s="58">
        <v>42.20</v>
      </c>
      <c r="D32" s="58">
        <v>31.17</v>
      </c>
      <c r="E32" s="58">
        <v>1.59</v>
      </c>
      <c r="F32" s="58">
        <v>3.78</v>
      </c>
      <c r="G32" s="58">
        <v>28.78</v>
      </c>
      <c r="H32" s="58">
        <v>10.5</v>
      </c>
      <c r="I32" s="58">
        <v>0.56000000000000005</v>
      </c>
      <c r="J32" s="58">
        <v>1.27</v>
      </c>
      <c r="K32" s="58">
        <v>136.37</v>
      </c>
      <c r="L32" s="58">
        <v>22.55</v>
      </c>
      <c r="M32" s="58">
        <v>70.22</v>
      </c>
      <c r="N32" s="58">
        <v>5</v>
      </c>
      <c r="O32" s="58">
        <v>0</v>
      </c>
      <c r="P32" s="58">
        <v>0.45</v>
      </c>
      <c r="Q32" s="58">
        <v>22.05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1.8999999999999999</v>
      </c>
      <c r="C34" s="28">
        <f t="shared" si="0"/>
        <v>32.530000000000001</v>
      </c>
      <c r="D34" s="28">
        <f t="shared" si="0"/>
        <v>20.5</v>
      </c>
      <c r="E34" s="28">
        <f t="shared" si="0"/>
        <v>1.3600000000000001</v>
      </c>
      <c r="F34" s="28">
        <f t="shared" si="0"/>
        <v>3.5899999999999999</v>
      </c>
      <c r="G34" s="28">
        <f t="shared" si="0"/>
        <v>10.539999999999999</v>
      </c>
      <c r="H34" s="28">
        <f t="shared" si="0"/>
        <v>5.25</v>
      </c>
      <c r="I34" s="28">
        <f t="shared" si="0"/>
        <v>0.51000000000000001</v>
      </c>
      <c r="J34" s="28">
        <f t="shared" si="0"/>
        <v>0.28999999999999998</v>
      </c>
      <c r="K34" s="28">
        <f t="shared" si="0"/>
        <v>120.66</v>
      </c>
      <c r="L34" s="28">
        <f t="shared" si="0"/>
        <v>19.190000000000001</v>
      </c>
      <c r="M34" s="28">
        <f t="shared" si="0"/>
        <v>39.869999999999997</v>
      </c>
      <c r="N34" s="28">
        <f t="shared" si="0"/>
        <v>4.7999999999999998</v>
      </c>
      <c r="O34" s="28">
        <f t="shared" si="0"/>
        <v>0</v>
      </c>
      <c r="P34" s="28">
        <f t="shared" si="0"/>
        <v>0.28999999999999998</v>
      </c>
      <c r="Q34" s="28">
        <f t="shared" si="0"/>
        <v>12.130000000000001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10.4</v>
      </c>
      <c r="C35" s="29">
        <f t="shared" si="1"/>
        <v>48.740000000000002</v>
      </c>
      <c r="D35" s="29">
        <f t="shared" si="1"/>
        <v>34.5</v>
      </c>
      <c r="E35" s="29">
        <f t="shared" si="1"/>
        <v>2.7400000000000002</v>
      </c>
      <c r="F35" s="29">
        <f t="shared" si="1"/>
        <v>20.039999999999999</v>
      </c>
      <c r="G35" s="29">
        <f t="shared" si="1"/>
        <v>44.619999999999997</v>
      </c>
      <c r="H35" s="29">
        <f t="shared" si="1"/>
        <v>17.25</v>
      </c>
      <c r="I35" s="29">
        <f t="shared" si="1"/>
        <v>0.67000000000000004</v>
      </c>
      <c r="J35" s="29">
        <f t="shared" si="1"/>
        <v>3.0099999999999998</v>
      </c>
      <c r="K35" s="29">
        <f t="shared" si="1"/>
        <v>312.27999999999997</v>
      </c>
      <c r="L35" s="29">
        <f t="shared" si="1"/>
        <v>30.77</v>
      </c>
      <c r="M35" s="29">
        <f t="shared" si="1"/>
        <v>90.219999999999999</v>
      </c>
      <c r="N35" s="29">
        <f t="shared" si="1"/>
        <v>937.20000000000005</v>
      </c>
      <c r="O35" s="29">
        <f t="shared" si="1"/>
        <v>0.40000000000000002</v>
      </c>
      <c r="P35" s="29">
        <f t="shared" si="1"/>
        <v>0.82999999999999996</v>
      </c>
      <c r="Q35" s="29">
        <f t="shared" si="1"/>
        <v>25.039999999999999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4.3712500000000007</v>
      </c>
      <c r="C36" s="28">
        <f t="shared" si="2"/>
        <v>38.378333333333337</v>
      </c>
      <c r="D36" s="28">
        <f t="shared" si="2"/>
        <v>24.971250000000001</v>
      </c>
      <c r="E36" s="28">
        <f t="shared" si="2"/>
        <v>2.0224999999999995</v>
      </c>
      <c r="F36" s="28">
        <f t="shared" si="2"/>
        <v>7.5241666666666669</v>
      </c>
      <c r="G36" s="28">
        <f t="shared" si="2"/>
        <v>20.145714285714277</v>
      </c>
      <c r="H36" s="28">
        <f t="shared" si="2"/>
        <v>8.1966666666666672</v>
      </c>
      <c r="I36" s="28">
        <f t="shared" si="2"/>
        <v>0.54791666666666672</v>
      </c>
      <c r="J36" s="28">
        <f t="shared" si="2"/>
        <v>1.335</v>
      </c>
      <c r="K36" s="28">
        <f t="shared" si="2"/>
        <v>195.71083333333334</v>
      </c>
      <c r="L36" s="28">
        <f t="shared" si="2"/>
        <v>24.731249999999999</v>
      </c>
      <c r="M36" s="28">
        <f t="shared" si="2"/>
        <v>61.74291666666668</v>
      </c>
      <c r="N36" s="28">
        <f t="shared" si="2"/>
        <v>295.16666666666669</v>
      </c>
      <c r="O36" s="28">
        <f t="shared" si="2"/>
        <v>0.016666666666666666</v>
      </c>
      <c r="P36" s="28">
        <f t="shared" si="2"/>
        <v>0.38750000000000001</v>
      </c>
      <c r="Q36" s="28">
        <f t="shared" si="2"/>
        <v>17.493750000000002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2.4604229267060695</v>
      </c>
      <c r="C37" s="28">
        <f t="shared" si="3" ref="C37:Q37">STDEV(C9:C32)</f>
        <v>4.2712778524410213</v>
      </c>
      <c r="D37" s="28">
        <f t="shared" si="3"/>
        <v>3.8323069593176511</v>
      </c>
      <c r="E37" s="28">
        <f t="shared" si="3"/>
        <v>0.38873540794646483</v>
      </c>
      <c r="F37" s="28">
        <f t="shared" si="3"/>
        <v>4.9185495534908377</v>
      </c>
      <c r="G37" s="28">
        <f t="shared" si="3"/>
        <v>7.4000355211502864</v>
      </c>
      <c r="H37" s="28">
        <f t="shared" si="3"/>
        <v>2.7551285511448116</v>
      </c>
      <c r="I37" s="28">
        <f t="shared" si="3"/>
        <v>0.03623344199549057</v>
      </c>
      <c r="J37" s="28">
        <f t="shared" si="3"/>
        <v>0.79045391472517079</v>
      </c>
      <c r="K37" s="28">
        <f t="shared" si="3"/>
        <v>51.882437416902789</v>
      </c>
      <c r="L37" s="28">
        <f t="shared" si="3"/>
        <v>4.1729254804294857</v>
      </c>
      <c r="M37" s="28">
        <f t="shared" si="3"/>
        <v>15.672197060029685</v>
      </c>
      <c r="N37" s="28">
        <f t="shared" si="3"/>
        <v>365.19405879574504</v>
      </c>
      <c r="O37" s="28">
        <f t="shared" si="3"/>
        <v>0.081649658092772623</v>
      </c>
      <c r="P37" s="28">
        <f t="shared" si="3"/>
        <v>0.11318511194153313</v>
      </c>
      <c r="Q37" s="28">
        <f t="shared" si="3"/>
        <v>3.9797201261657418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21</v>
      </c>
      <c r="H38" s="32">
        <f t="shared" si="4"/>
        <v>21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873105-dfcb-4286-92e5-c41a4a21ab3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69" sqref="F69:F7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638</v>
      </c>
      <c r="B9" s="58">
        <v>8.5399999999999991</v>
      </c>
      <c r="C9" s="58">
        <v>47.79</v>
      </c>
      <c r="D9" s="58">
        <v>33.659999999999997</v>
      </c>
      <c r="E9" s="58">
        <v>2.0299999999999998</v>
      </c>
      <c r="F9" s="58">
        <v>6.34</v>
      </c>
      <c r="G9" s="58">
        <v>28.78</v>
      </c>
      <c r="H9" s="58">
        <v>8.23</v>
      </c>
      <c r="I9" s="58">
        <v>0.54</v>
      </c>
      <c r="J9" s="58">
        <v>0.65</v>
      </c>
      <c r="K9" s="58">
        <v>348.49</v>
      </c>
      <c r="L9" s="58">
        <v>21.46</v>
      </c>
      <c r="M9" s="58">
        <v>73.36</v>
      </c>
      <c r="N9" s="58">
        <v>5.0999999999999996</v>
      </c>
      <c r="O9" s="58">
        <v>0</v>
      </c>
      <c r="P9" s="58">
        <v>0.43</v>
      </c>
      <c r="Q9" s="58">
        <v>22.89</v>
      </c>
      <c r="R9" s="43"/>
      <c r="S9" s="43"/>
      <c r="T9" s="43"/>
      <c r="U9" s="43"/>
    </row>
    <row r="10" spans="1:21" s="11" customFormat="1" ht="15">
      <c r="A10" s="57" t="s">
        <v>639</v>
      </c>
      <c r="B10" s="58">
        <v>7</v>
      </c>
      <c r="C10" s="58">
        <v>45.68</v>
      </c>
      <c r="D10" s="58">
        <v>31.06</v>
      </c>
      <c r="E10" s="58">
        <v>2.10</v>
      </c>
      <c r="F10" s="58">
        <v>6.12</v>
      </c>
      <c r="G10" s="58">
        <v>26.85</v>
      </c>
      <c r="H10" s="58">
        <v>6.93</v>
      </c>
      <c r="I10" s="58">
        <v>0.53</v>
      </c>
      <c r="J10" s="58">
        <v>0.94</v>
      </c>
      <c r="K10" s="58">
        <v>335.73</v>
      </c>
      <c r="L10" s="58">
        <v>20.170000000000002</v>
      </c>
      <c r="M10" s="58">
        <v>73.08</v>
      </c>
      <c r="N10" s="58">
        <v>4.9000000000000004</v>
      </c>
      <c r="O10" s="58">
        <v>0</v>
      </c>
      <c r="P10" s="58">
        <v>0.39</v>
      </c>
      <c r="Q10" s="58">
        <v>25.06</v>
      </c>
      <c r="R10" s="43"/>
      <c r="S10" s="43"/>
      <c r="T10" s="43"/>
      <c r="U10" s="43"/>
    </row>
    <row r="11" spans="1:21" s="11" customFormat="1" ht="15">
      <c r="A11" s="57" t="s">
        <v>640</v>
      </c>
      <c r="B11" s="58">
        <v>4.29</v>
      </c>
      <c r="C11" s="58">
        <v>43.55</v>
      </c>
      <c r="D11" s="58">
        <v>28.12</v>
      </c>
      <c r="E11" s="58">
        <v>2.5099999999999998</v>
      </c>
      <c r="F11" s="58">
        <v>6.53</v>
      </c>
      <c r="G11" s="58">
        <v>26.85</v>
      </c>
      <c r="H11" s="58">
        <v>7.21</v>
      </c>
      <c r="I11" s="58">
        <v>0.52</v>
      </c>
      <c r="J11" s="58">
        <v>1.30</v>
      </c>
      <c r="K11" s="58">
        <v>123.87</v>
      </c>
      <c r="L11" s="58">
        <v>20.059999999999999</v>
      </c>
      <c r="M11" s="58">
        <v>70.510000000000005</v>
      </c>
      <c r="N11" s="58">
        <v>4.70</v>
      </c>
      <c r="O11" s="58">
        <v>0</v>
      </c>
      <c r="P11" s="58">
        <v>0.37</v>
      </c>
      <c r="Q11" s="58">
        <v>24.73</v>
      </c>
      <c r="R11" s="43"/>
      <c r="S11" s="43"/>
      <c r="T11" s="43"/>
      <c r="U11" s="43"/>
    </row>
    <row r="12" spans="1:21" s="11" customFormat="1" ht="15">
      <c r="A12" s="57" t="s">
        <v>641</v>
      </c>
      <c r="B12" s="58">
        <v>3.86</v>
      </c>
      <c r="C12" s="58">
        <v>38.07</v>
      </c>
      <c r="D12" s="58">
        <v>24.75</v>
      </c>
      <c r="E12" s="58">
        <v>2.41</v>
      </c>
      <c r="F12" s="58">
        <v>6.08</v>
      </c>
      <c r="G12" s="58">
        <v>26.19</v>
      </c>
      <c r="H12" s="58">
        <v>9.69</v>
      </c>
      <c r="I12" s="58">
        <v>0.52</v>
      </c>
      <c r="J12" s="58">
        <v>1.43</v>
      </c>
      <c r="K12" s="58">
        <v>126.25</v>
      </c>
      <c r="L12" s="58">
        <v>19.93</v>
      </c>
      <c r="M12" s="58">
        <v>71.44</v>
      </c>
      <c r="N12" s="58">
        <v>4.80</v>
      </c>
      <c r="O12" s="58">
        <v>0</v>
      </c>
      <c r="P12" s="58">
        <v>0.35</v>
      </c>
      <c r="Q12" s="58">
        <v>25.09</v>
      </c>
      <c r="R12" s="43"/>
      <c r="S12" s="43"/>
      <c r="T12" s="43"/>
      <c r="U12" s="43"/>
    </row>
    <row r="13" spans="1:21" s="11" customFormat="1" ht="15">
      <c r="A13" s="57" t="s">
        <v>642</v>
      </c>
      <c r="B13" s="58">
        <v>4.05</v>
      </c>
      <c r="C13" s="58">
        <v>37.61</v>
      </c>
      <c r="D13" s="58">
        <v>24.65</v>
      </c>
      <c r="E13" s="58">
        <v>1.46</v>
      </c>
      <c r="F13" s="58">
        <v>6.48</v>
      </c>
      <c r="G13" s="58">
        <v>26.19</v>
      </c>
      <c r="H13" s="58">
        <v>10.49</v>
      </c>
      <c r="I13" s="58">
        <v>0.52</v>
      </c>
      <c r="J13" s="58">
        <v>0.55000000000000004</v>
      </c>
      <c r="K13" s="58">
        <v>355.90</v>
      </c>
      <c r="L13" s="58">
        <v>19.600000000000001</v>
      </c>
      <c r="M13" s="58">
        <v>73.28</v>
      </c>
      <c r="N13" s="58">
        <v>4.80</v>
      </c>
      <c r="O13" s="58">
        <v>0</v>
      </c>
      <c r="P13" s="58">
        <v>0.36</v>
      </c>
      <c r="Q13" s="58">
        <v>24.63</v>
      </c>
      <c r="R13" s="43"/>
      <c r="S13" s="43"/>
      <c r="T13" s="43"/>
      <c r="U13" s="43"/>
    </row>
    <row r="14" spans="1:21" s="11" customFormat="1" ht="15">
      <c r="A14" s="57" t="s">
        <v>643</v>
      </c>
      <c r="B14" s="58">
        <v>4.8499999999999996</v>
      </c>
      <c r="C14" s="58">
        <v>39.950000000000003</v>
      </c>
      <c r="D14" s="58">
        <v>26.47</v>
      </c>
      <c r="E14" s="58">
        <v>1.53</v>
      </c>
      <c r="F14" s="58">
        <v>4.59</v>
      </c>
      <c r="G14" s="58">
        <v>24.21</v>
      </c>
      <c r="H14" s="58">
        <v>10.49</v>
      </c>
      <c r="I14" s="58">
        <v>0.52</v>
      </c>
      <c r="J14" s="58">
        <v>1.19</v>
      </c>
      <c r="K14" s="58">
        <v>132.03</v>
      </c>
      <c r="L14" s="58">
        <v>19.579999999999998</v>
      </c>
      <c r="M14" s="58">
        <v>72.86</v>
      </c>
      <c r="N14" s="58">
        <v>27.10</v>
      </c>
      <c r="O14" s="58">
        <v>0</v>
      </c>
      <c r="P14" s="58">
        <v>0.36</v>
      </c>
      <c r="Q14" s="58">
        <v>23.87</v>
      </c>
      <c r="R14" s="43"/>
      <c r="S14" s="43"/>
      <c r="T14" s="43"/>
      <c r="U14" s="43"/>
    </row>
    <row r="15" spans="1:21" s="11" customFormat="1" ht="15">
      <c r="A15" s="57" t="s">
        <v>644</v>
      </c>
      <c r="B15" s="58">
        <v>5.61</v>
      </c>
      <c r="C15" s="58">
        <v>37.64</v>
      </c>
      <c r="D15" s="58">
        <v>25.88</v>
      </c>
      <c r="E15" s="58">
        <v>1.78</v>
      </c>
      <c r="F15" s="58">
        <v>3.85</v>
      </c>
      <c r="G15" s="58">
        <v>24.21</v>
      </c>
      <c r="H15" s="58">
        <v>10.42</v>
      </c>
      <c r="I15" s="58">
        <v>0.52</v>
      </c>
      <c r="J15" s="58">
        <v>1.59</v>
      </c>
      <c r="K15" s="58">
        <v>138.29</v>
      </c>
      <c r="L15" s="58">
        <v>20.07</v>
      </c>
      <c r="M15" s="58">
        <v>71.430000000000007</v>
      </c>
      <c r="N15" s="58">
        <v>107.10</v>
      </c>
      <c r="O15" s="58">
        <v>0</v>
      </c>
      <c r="P15" s="58">
        <v>0.37</v>
      </c>
      <c r="Q15" s="58">
        <v>26.91</v>
      </c>
      <c r="R15" s="43"/>
      <c r="S15" s="43"/>
      <c r="T15" s="43"/>
      <c r="U15" s="43"/>
    </row>
    <row r="16" spans="1:21" s="11" customFormat="1" ht="15">
      <c r="A16" s="57" t="s">
        <v>645</v>
      </c>
      <c r="B16" s="58">
        <v>5.82</v>
      </c>
      <c r="C16" s="58">
        <v>35.67</v>
      </c>
      <c r="D16" s="58">
        <v>24.94</v>
      </c>
      <c r="E16" s="58">
        <v>1.93</v>
      </c>
      <c r="F16" s="58">
        <v>3.63</v>
      </c>
      <c r="G16" s="58">
        <v>24.23</v>
      </c>
      <c r="H16" s="58">
        <v>10.210000000000001</v>
      </c>
      <c r="I16" s="58">
        <v>0.53</v>
      </c>
      <c r="J16" s="58">
        <v>1.56</v>
      </c>
      <c r="K16" s="58">
        <v>132.36000000000001</v>
      </c>
      <c r="L16" s="58">
        <v>22.23</v>
      </c>
      <c r="M16" s="58">
        <v>68.510000000000005</v>
      </c>
      <c r="N16" s="58">
        <v>409.5</v>
      </c>
      <c r="O16" s="58">
        <v>0</v>
      </c>
      <c r="P16" s="58">
        <v>0.38</v>
      </c>
      <c r="Q16" s="58">
        <v>26.58</v>
      </c>
      <c r="R16" s="43"/>
      <c r="S16" s="43"/>
      <c r="T16" s="43"/>
      <c r="U16" s="43"/>
    </row>
    <row r="17" spans="1:21" s="11" customFormat="1" ht="15">
      <c r="A17" s="57" t="s">
        <v>646</v>
      </c>
      <c r="B17" s="58">
        <v>5.55</v>
      </c>
      <c r="C17" s="58">
        <v>40.729999999999997</v>
      </c>
      <c r="D17" s="58">
        <v>26.77</v>
      </c>
      <c r="E17" s="58">
        <v>2.04</v>
      </c>
      <c r="F17" s="58">
        <v>4.95</v>
      </c>
      <c r="G17" s="58">
        <v>26.48</v>
      </c>
      <c r="H17" s="58">
        <v>9.7799999999999994</v>
      </c>
      <c r="I17" s="58">
        <v>0.52</v>
      </c>
      <c r="J17" s="58">
        <v>1.82</v>
      </c>
      <c r="K17" s="58">
        <v>126.90</v>
      </c>
      <c r="L17" s="58">
        <v>24.23</v>
      </c>
      <c r="M17" s="58">
        <v>60.86</v>
      </c>
      <c r="N17" s="58">
        <v>594.40</v>
      </c>
      <c r="O17" s="58">
        <v>0</v>
      </c>
      <c r="P17" s="58">
        <v>0.38</v>
      </c>
      <c r="Q17" s="58">
        <v>27.25</v>
      </c>
      <c r="R17" s="43"/>
      <c r="S17" s="43"/>
      <c r="T17" s="43"/>
      <c r="U17" s="43"/>
    </row>
    <row r="18" spans="1:21" s="11" customFormat="1" ht="15">
      <c r="A18" s="57" t="s">
        <v>647</v>
      </c>
      <c r="B18" s="58">
        <v>4.29</v>
      </c>
      <c r="C18" s="58">
        <v>42.96</v>
      </c>
      <c r="D18" s="58">
        <v>27.43</v>
      </c>
      <c r="E18" s="58">
        <v>2.82</v>
      </c>
      <c r="F18" s="58">
        <v>7.11</v>
      </c>
      <c r="G18" s="58">
        <v>26.48</v>
      </c>
      <c r="H18" s="58">
        <v>9.67</v>
      </c>
      <c r="I18" s="58">
        <v>0.52</v>
      </c>
      <c r="J18" s="58">
        <v>1.40</v>
      </c>
      <c r="K18" s="58">
        <v>160.28</v>
      </c>
      <c r="L18" s="58">
        <v>26.05</v>
      </c>
      <c r="M18" s="58">
        <v>52.08</v>
      </c>
      <c r="N18" s="58">
        <v>738.60</v>
      </c>
      <c r="O18" s="58">
        <v>0</v>
      </c>
      <c r="P18" s="58">
        <v>0.38</v>
      </c>
      <c r="Q18" s="58">
        <v>26.35</v>
      </c>
      <c r="R18" s="43"/>
      <c r="S18" s="43"/>
      <c r="T18" s="43"/>
      <c r="U18" s="43"/>
    </row>
    <row r="19" spans="1:21" s="11" customFormat="1" ht="15">
      <c r="A19" s="57" t="s">
        <v>648</v>
      </c>
      <c r="B19" s="58">
        <v>3.48</v>
      </c>
      <c r="C19" s="58">
        <v>38.119999999999997</v>
      </c>
      <c r="D19" s="58">
        <v>24.48</v>
      </c>
      <c r="E19" s="58">
        <v>5.07</v>
      </c>
      <c r="F19" s="58">
        <v>37.64</v>
      </c>
      <c r="G19" s="58">
        <v>25.76</v>
      </c>
      <c r="H19" s="58">
        <v>11.92</v>
      </c>
      <c r="I19" s="58">
        <v>0.52</v>
      </c>
      <c r="J19" s="58">
        <v>0.89</v>
      </c>
      <c r="K19" s="58">
        <v>195.36</v>
      </c>
      <c r="L19" s="58">
        <v>27.98</v>
      </c>
      <c r="M19" s="58">
        <v>50.24</v>
      </c>
      <c r="N19" s="58">
        <v>888</v>
      </c>
      <c r="O19" s="58">
        <v>0</v>
      </c>
      <c r="P19" s="58">
        <v>0.37</v>
      </c>
      <c r="Q19" s="58">
        <v>26.74</v>
      </c>
      <c r="R19" s="43"/>
      <c r="S19" s="43"/>
      <c r="T19" s="43"/>
      <c r="U19" s="43"/>
    </row>
    <row r="20" spans="1:21" s="11" customFormat="1" ht="15">
      <c r="A20" s="57" t="s">
        <v>649</v>
      </c>
      <c r="B20" s="58">
        <v>1.66</v>
      </c>
      <c r="C20" s="58">
        <v>31.30</v>
      </c>
      <c r="D20" s="58">
        <v>19.07</v>
      </c>
      <c r="E20" s="58">
        <v>3.66</v>
      </c>
      <c r="F20" s="58">
        <v>18.75</v>
      </c>
      <c r="G20" s="58">
        <v>25.76</v>
      </c>
      <c r="H20" s="58">
        <v>11.92</v>
      </c>
      <c r="I20" s="58">
        <v>0.49</v>
      </c>
      <c r="J20" s="58">
        <v>0.59</v>
      </c>
      <c r="K20" s="58">
        <v>196.24</v>
      </c>
      <c r="L20" s="58">
        <v>29.65</v>
      </c>
      <c r="M20" s="58">
        <v>45.24</v>
      </c>
      <c r="N20" s="58">
        <v>822.5</v>
      </c>
      <c r="O20" s="58">
        <v>0</v>
      </c>
      <c r="P20" s="58">
        <v>0.35</v>
      </c>
      <c r="Q20" s="58">
        <v>4.09</v>
      </c>
      <c r="R20" s="43"/>
      <c r="S20" s="43"/>
      <c r="T20" s="43"/>
      <c r="U20" s="43"/>
    </row>
    <row r="21" spans="1:21" s="11" customFormat="1" ht="15">
      <c r="A21" s="57" t="s">
        <v>650</v>
      </c>
      <c r="B21" s="58">
        <v>2.71</v>
      </c>
      <c r="C21" s="58">
        <v>24.73</v>
      </c>
      <c r="D21" s="58">
        <v>16.079999999999998</v>
      </c>
      <c r="E21" s="58">
        <v>3.49</v>
      </c>
      <c r="F21" s="58">
        <v>12.91</v>
      </c>
      <c r="G21" s="58">
        <v>22.71</v>
      </c>
      <c r="H21" s="58">
        <v>11.64</v>
      </c>
      <c r="I21" s="58">
        <v>0.48</v>
      </c>
      <c r="J21" s="58">
        <v>0.36</v>
      </c>
      <c r="K21" s="58">
        <v>297.67</v>
      </c>
      <c r="L21" s="58">
        <v>31.75</v>
      </c>
      <c r="M21" s="58">
        <v>43.25</v>
      </c>
      <c r="N21" s="58">
        <v>891</v>
      </c>
      <c r="O21" s="58">
        <v>0</v>
      </c>
      <c r="P21" s="58">
        <v>0.35</v>
      </c>
      <c r="Q21" s="58">
        <v>3.87</v>
      </c>
      <c r="R21" s="43"/>
      <c r="S21" s="43"/>
      <c r="T21" s="43"/>
      <c r="U21" s="43"/>
    </row>
    <row r="22" spans="1:21" s="11" customFormat="1" ht="15">
      <c r="A22" s="57" t="s">
        <v>651</v>
      </c>
      <c r="B22" s="58">
        <v>3.22</v>
      </c>
      <c r="C22" s="58">
        <v>31.79</v>
      </c>
      <c r="D22" s="58">
        <v>20.23</v>
      </c>
      <c r="E22" s="58">
        <v>3.72</v>
      </c>
      <c r="F22" s="58">
        <v>22.87</v>
      </c>
      <c r="G22" s="58">
        <v>25.58</v>
      </c>
      <c r="H22" s="58">
        <v>11.64</v>
      </c>
      <c r="I22" s="58">
        <v>0.52</v>
      </c>
      <c r="J22" s="58">
        <v>0.98</v>
      </c>
      <c r="K22" s="58">
        <v>304.31</v>
      </c>
      <c r="L22" s="58">
        <v>34.65</v>
      </c>
      <c r="M22" s="58">
        <v>39.119999999999997</v>
      </c>
      <c r="N22" s="58">
        <v>862.90</v>
      </c>
      <c r="O22" s="58">
        <v>0</v>
      </c>
      <c r="P22" s="58">
        <v>0.5</v>
      </c>
      <c r="Q22" s="58">
        <v>8.19</v>
      </c>
      <c r="R22" s="43"/>
      <c r="S22" s="43"/>
      <c r="T22" s="43"/>
      <c r="U22" s="43"/>
    </row>
    <row r="23" spans="1:21" s="11" customFormat="1" ht="15">
      <c r="A23" s="57" t="s">
        <v>652</v>
      </c>
      <c r="B23" s="58">
        <v>4.25</v>
      </c>
      <c r="C23" s="58">
        <v>30.95</v>
      </c>
      <c r="D23" s="58">
        <v>21.13</v>
      </c>
      <c r="E23" s="58">
        <v>4.6100000000000003</v>
      </c>
      <c r="F23" s="58">
        <v>19.149999999999999</v>
      </c>
      <c r="G23" s="58">
        <v>26.62</v>
      </c>
      <c r="H23" s="58">
        <v>12.79</v>
      </c>
      <c r="I23" s="58">
        <v>0.52</v>
      </c>
      <c r="J23" s="58">
        <v>0.61</v>
      </c>
      <c r="K23" s="58">
        <v>305.94</v>
      </c>
      <c r="L23" s="58">
        <v>33.409999999999997</v>
      </c>
      <c r="M23" s="58">
        <v>39.869999999999997</v>
      </c>
      <c r="N23" s="58">
        <v>704.90</v>
      </c>
      <c r="O23" s="58">
        <v>0</v>
      </c>
      <c r="P23" s="58">
        <v>0.57999999999999996</v>
      </c>
      <c r="Q23" s="58">
        <v>7.31</v>
      </c>
      <c r="R23" s="43"/>
      <c r="S23" s="43"/>
      <c r="T23" s="43"/>
      <c r="U23" s="43"/>
    </row>
    <row r="24" spans="1:21" s="11" customFormat="1" ht="15">
      <c r="A24" s="57" t="s">
        <v>653</v>
      </c>
      <c r="B24" s="58">
        <v>5.80</v>
      </c>
      <c r="C24" s="58">
        <v>27.35</v>
      </c>
      <c r="D24" s="58">
        <v>19.41</v>
      </c>
      <c r="E24" s="58">
        <v>8.9600000000000009</v>
      </c>
      <c r="F24" s="58">
        <v>39.15</v>
      </c>
      <c r="G24" s="58">
        <v>29.22</v>
      </c>
      <c r="H24" s="58">
        <v>12.79</v>
      </c>
      <c r="I24" s="58">
        <v>0.53</v>
      </c>
      <c r="J24" s="58">
        <v>1.1000000000000001</v>
      </c>
      <c r="K24" s="58">
        <v>303.08999999999997</v>
      </c>
      <c r="L24" s="58">
        <v>32.11</v>
      </c>
      <c r="M24" s="58">
        <v>38.47</v>
      </c>
      <c r="N24" s="58">
        <v>429.80</v>
      </c>
      <c r="O24" s="58">
        <v>0</v>
      </c>
      <c r="P24" s="58">
        <v>0.56999999999999995</v>
      </c>
      <c r="Q24" s="58">
        <v>6.76</v>
      </c>
      <c r="R24" s="43"/>
      <c r="S24" s="43"/>
      <c r="T24" s="43"/>
      <c r="U24" s="43"/>
    </row>
    <row r="25" spans="1:21" s="11" customFormat="1" ht="15">
      <c r="A25" s="57" t="s">
        <v>654</v>
      </c>
      <c r="B25" s="58">
        <v>1.53</v>
      </c>
      <c r="C25" s="58">
        <v>25.5</v>
      </c>
      <c r="D25" s="58">
        <v>15.94</v>
      </c>
      <c r="E25" s="58">
        <v>2.41</v>
      </c>
      <c r="F25" s="58">
        <v>14.96</v>
      </c>
      <c r="G25" s="58">
        <v>34.28</v>
      </c>
      <c r="H25" s="58">
        <v>15.54</v>
      </c>
      <c r="I25" s="58">
        <v>0.53</v>
      </c>
      <c r="J25" s="58">
        <v>1.70</v>
      </c>
      <c r="K25" s="58">
        <v>212.67</v>
      </c>
      <c r="L25" s="58">
        <v>30.71</v>
      </c>
      <c r="M25" s="58">
        <v>39.270000000000003</v>
      </c>
      <c r="N25" s="58">
        <v>151.30000000000001</v>
      </c>
      <c r="O25" s="58">
        <v>0</v>
      </c>
      <c r="P25" s="58">
        <v>0.55000000000000004</v>
      </c>
      <c r="Q25" s="58">
        <v>4.33</v>
      </c>
      <c r="R25" s="43"/>
      <c r="S25" s="43"/>
      <c r="T25" s="43"/>
      <c r="U25" s="43"/>
    </row>
    <row r="26" spans="1:21" s="11" customFormat="1" ht="15">
      <c r="A26" s="57" t="s">
        <v>655</v>
      </c>
      <c r="B26" s="58">
        <v>2.90</v>
      </c>
      <c r="C26" s="58">
        <v>34</v>
      </c>
      <c r="D26" s="58">
        <v>21.73</v>
      </c>
      <c r="E26" s="58">
        <v>2.86</v>
      </c>
      <c r="F26" s="58">
        <v>24.16</v>
      </c>
      <c r="G26" s="58">
        <v>34.28</v>
      </c>
      <c r="H26" s="58">
        <v>15.54</v>
      </c>
      <c r="I26" s="58">
        <v>0.51</v>
      </c>
      <c r="J26" s="58">
        <v>0.99</v>
      </c>
      <c r="K26" s="58">
        <v>216.84</v>
      </c>
      <c r="L26" s="58">
        <v>30.52</v>
      </c>
      <c r="M26" s="58">
        <v>40.840000000000003</v>
      </c>
      <c r="N26" s="58">
        <v>102.10</v>
      </c>
      <c r="O26" s="58">
        <v>0</v>
      </c>
      <c r="P26" s="58">
        <v>0.51</v>
      </c>
      <c r="Q26" s="58">
        <v>3.94</v>
      </c>
      <c r="R26" s="43"/>
      <c r="S26" s="43"/>
      <c r="T26" s="43"/>
      <c r="U26" s="43"/>
    </row>
    <row r="27" spans="1:21" s="11" customFormat="1" ht="15">
      <c r="A27" s="57" t="s">
        <v>656</v>
      </c>
      <c r="B27" s="58">
        <v>4</v>
      </c>
      <c r="C27" s="58">
        <v>38.29</v>
      </c>
      <c r="D27" s="58">
        <v>24.63</v>
      </c>
      <c r="E27" s="58">
        <v>2.78</v>
      </c>
      <c r="F27" s="58">
        <v>17.23</v>
      </c>
      <c r="G27" s="58">
        <v>35.06</v>
      </c>
      <c r="H27" s="58">
        <v>12.93</v>
      </c>
      <c r="I27" s="58">
        <v>0.54</v>
      </c>
      <c r="J27" s="58">
        <v>1.35</v>
      </c>
      <c r="K27" s="58">
        <v>212.35</v>
      </c>
      <c r="L27" s="58">
        <v>29.61</v>
      </c>
      <c r="M27" s="58">
        <v>48.79</v>
      </c>
      <c r="N27" s="58">
        <v>11.80</v>
      </c>
      <c r="O27" s="58">
        <v>0</v>
      </c>
      <c r="P27" s="58">
        <v>0.54</v>
      </c>
      <c r="Q27" s="58">
        <v>7.31</v>
      </c>
      <c r="R27" s="43"/>
      <c r="S27" s="43"/>
      <c r="T27" s="43"/>
      <c r="U27" s="43"/>
    </row>
    <row r="28" spans="1:21" s="11" customFormat="1" ht="15">
      <c r="A28" s="57" t="s">
        <v>657</v>
      </c>
      <c r="B28" s="58">
        <v>2.10</v>
      </c>
      <c r="C28" s="58">
        <v>27.57</v>
      </c>
      <c r="D28" s="58">
        <v>17.55</v>
      </c>
      <c r="E28" s="58">
        <v>1.06</v>
      </c>
      <c r="F28" s="58">
        <v>6.45</v>
      </c>
      <c r="G28" s="58">
        <v>35.06</v>
      </c>
      <c r="H28" s="58">
        <v>12.93</v>
      </c>
      <c r="I28" s="58">
        <v>0.54</v>
      </c>
      <c r="J28" s="58">
        <v>1.93</v>
      </c>
      <c r="K28" s="58">
        <v>237.89</v>
      </c>
      <c r="L28" s="58">
        <v>26.83</v>
      </c>
      <c r="M28" s="58">
        <v>51.62</v>
      </c>
      <c r="N28" s="58">
        <v>7.20</v>
      </c>
      <c r="O28" s="58">
        <v>0</v>
      </c>
      <c r="P28" s="58">
        <v>0.49</v>
      </c>
      <c r="Q28" s="58">
        <v>4.1399999999999997</v>
      </c>
      <c r="R28" s="43"/>
      <c r="S28" s="43"/>
      <c r="T28" s="43"/>
      <c r="U28" s="43"/>
    </row>
    <row r="29" spans="1:21" s="11" customFormat="1" ht="15">
      <c r="A29" s="57" t="s">
        <v>658</v>
      </c>
      <c r="B29" s="58">
        <v>2.56</v>
      </c>
      <c r="C29" s="58">
        <v>29.45</v>
      </c>
      <c r="D29" s="58">
        <v>18.600000000000001</v>
      </c>
      <c r="E29" s="58">
        <v>0.82</v>
      </c>
      <c r="F29" s="58">
        <v>5.47</v>
      </c>
      <c r="G29" s="58">
        <v>32.90</v>
      </c>
      <c r="H29" s="58">
        <v>12.17</v>
      </c>
      <c r="I29" s="58">
        <v>0.53</v>
      </c>
      <c r="J29" s="58">
        <v>2.02</v>
      </c>
      <c r="K29" s="58">
        <v>227.54</v>
      </c>
      <c r="L29" s="58">
        <v>24.78</v>
      </c>
      <c r="M29" s="58">
        <v>56.67</v>
      </c>
      <c r="N29" s="58">
        <v>5.30</v>
      </c>
      <c r="O29" s="58">
        <v>0</v>
      </c>
      <c r="P29" s="58">
        <v>0.47</v>
      </c>
      <c r="Q29" s="58">
        <v>4.87</v>
      </c>
      <c r="R29" s="43"/>
      <c r="S29" s="43"/>
      <c r="T29" s="43"/>
      <c r="U29" s="43"/>
    </row>
    <row r="30" spans="1:21" s="11" customFormat="1" ht="15">
      <c r="A30" s="57" t="s">
        <v>659</v>
      </c>
      <c r="B30" s="58">
        <v>3.73</v>
      </c>
      <c r="C30" s="58">
        <v>32.79</v>
      </c>
      <c r="D30" s="58">
        <v>21.65</v>
      </c>
      <c r="E30" s="58">
        <v>0.74</v>
      </c>
      <c r="F30" s="58">
        <v>8.9499999999999993</v>
      </c>
      <c r="G30" s="58">
        <v>25.41</v>
      </c>
      <c r="H30" s="58">
        <v>11.95</v>
      </c>
      <c r="I30" s="58">
        <v>0.52</v>
      </c>
      <c r="J30" s="58">
        <v>2.97</v>
      </c>
      <c r="K30" s="58">
        <v>326.64</v>
      </c>
      <c r="L30" s="58">
        <v>23.63</v>
      </c>
      <c r="M30" s="58">
        <v>59.34</v>
      </c>
      <c r="N30" s="58">
        <v>6.90</v>
      </c>
      <c r="O30" s="58">
        <v>0</v>
      </c>
      <c r="P30" s="58">
        <v>0.46</v>
      </c>
      <c r="Q30" s="58">
        <v>7.81</v>
      </c>
      <c r="R30" s="43"/>
      <c r="S30" s="43"/>
      <c r="T30" s="43"/>
      <c r="U30" s="43"/>
    </row>
    <row r="31" spans="1:21" s="11" customFormat="1" ht="15">
      <c r="A31" s="57" t="s">
        <v>660</v>
      </c>
      <c r="B31" s="58">
        <v>2.38</v>
      </c>
      <c r="C31" s="58">
        <v>35.64</v>
      </c>
      <c r="D31" s="58">
        <v>22</v>
      </c>
      <c r="E31" s="58">
        <v>1.0900000000000001</v>
      </c>
      <c r="F31" s="58">
        <v>10.07</v>
      </c>
      <c r="G31" s="58">
        <v>39.450000000000003</v>
      </c>
      <c r="H31" s="58">
        <v>10.220000000000001</v>
      </c>
      <c r="I31" s="58">
        <v>0.51</v>
      </c>
      <c r="J31" s="58">
        <v>3.12</v>
      </c>
      <c r="K31" s="58">
        <v>318.27999999999997</v>
      </c>
      <c r="L31" s="58">
        <v>22.03</v>
      </c>
      <c r="M31" s="58">
        <v>73.349999999999994</v>
      </c>
      <c r="N31" s="58">
        <v>6.5</v>
      </c>
      <c r="O31" s="58">
        <v>0</v>
      </c>
      <c r="P31" s="58">
        <v>0.45</v>
      </c>
      <c r="Q31" s="58">
        <v>7.90</v>
      </c>
      <c r="R31" s="43"/>
      <c r="S31" s="43"/>
      <c r="T31" s="43"/>
      <c r="U31" s="43"/>
    </row>
    <row r="32" spans="1:21" s="11" customFormat="1" ht="15">
      <c r="A32" s="57" t="s">
        <v>661</v>
      </c>
      <c r="B32" s="58">
        <v>2.72</v>
      </c>
      <c r="C32" s="58">
        <v>39.479999999999997</v>
      </c>
      <c r="D32" s="58">
        <v>24.33</v>
      </c>
      <c r="E32" s="58">
        <v>1.04</v>
      </c>
      <c r="F32" s="58">
        <v>8.15</v>
      </c>
      <c r="G32" s="58">
        <v>39.450000000000003</v>
      </c>
      <c r="H32" s="58">
        <v>9.16</v>
      </c>
      <c r="I32" s="58">
        <v>0.49</v>
      </c>
      <c r="J32" s="58">
        <v>1.80</v>
      </c>
      <c r="K32" s="58">
        <v>334.29</v>
      </c>
      <c r="L32" s="58">
        <v>20.41</v>
      </c>
      <c r="M32" s="58">
        <v>74.87</v>
      </c>
      <c r="N32" s="58">
        <v>5.30</v>
      </c>
      <c r="O32" s="58">
        <v>0</v>
      </c>
      <c r="P32" s="58">
        <v>0.44</v>
      </c>
      <c r="Q32" s="58">
        <v>10.58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1.53</v>
      </c>
      <c r="C34" s="28">
        <f t="shared" si="0"/>
        <v>24.73</v>
      </c>
      <c r="D34" s="28">
        <f t="shared" si="0"/>
        <v>15.94</v>
      </c>
      <c r="E34" s="28">
        <f t="shared" si="0"/>
        <v>0.73999999999999999</v>
      </c>
      <c r="F34" s="28">
        <f t="shared" si="0"/>
        <v>3.6299999999999999</v>
      </c>
      <c r="G34" s="28">
        <f t="shared" si="0"/>
        <v>22.710000000000001</v>
      </c>
      <c r="H34" s="28">
        <f t="shared" si="0"/>
        <v>6.9299999999999997</v>
      </c>
      <c r="I34" s="28">
        <f t="shared" si="0"/>
        <v>0.47999999999999998</v>
      </c>
      <c r="J34" s="28">
        <f t="shared" si="0"/>
        <v>0.35999999999999999</v>
      </c>
      <c r="K34" s="28">
        <f t="shared" si="0"/>
        <v>123.87</v>
      </c>
      <c r="L34" s="28">
        <f t="shared" si="0"/>
        <v>19.579999999999998</v>
      </c>
      <c r="M34" s="28">
        <f t="shared" si="0"/>
        <v>38.469999999999999</v>
      </c>
      <c r="N34" s="28">
        <f t="shared" si="0"/>
        <v>4.7000000000000002</v>
      </c>
      <c r="O34" s="28">
        <f t="shared" si="0"/>
        <v>0</v>
      </c>
      <c r="P34" s="28">
        <f t="shared" si="0"/>
        <v>0.34999999999999998</v>
      </c>
      <c r="Q34" s="28">
        <f t="shared" si="0"/>
        <v>3.8700000000000001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8.5399999999999991</v>
      </c>
      <c r="C35" s="29">
        <f t="shared" si="1"/>
        <v>47.789999999999999</v>
      </c>
      <c r="D35" s="29">
        <f t="shared" si="1"/>
        <v>33.659999999999997</v>
      </c>
      <c r="E35" s="29">
        <f t="shared" si="1"/>
        <v>8.9600000000000009</v>
      </c>
      <c r="F35" s="29">
        <f t="shared" si="1"/>
        <v>39.149999999999999</v>
      </c>
      <c r="G35" s="29">
        <f t="shared" si="1"/>
        <v>39.450000000000003</v>
      </c>
      <c r="H35" s="29">
        <f t="shared" si="1"/>
        <v>15.539999999999999</v>
      </c>
      <c r="I35" s="29">
        <f t="shared" si="1"/>
        <v>0.54000000000000004</v>
      </c>
      <c r="J35" s="29">
        <f t="shared" si="1"/>
        <v>3.1200000000000001</v>
      </c>
      <c r="K35" s="29">
        <f t="shared" si="1"/>
        <v>355.89999999999998</v>
      </c>
      <c r="L35" s="29">
        <f t="shared" si="1"/>
        <v>34.649999999999999</v>
      </c>
      <c r="M35" s="29">
        <f t="shared" si="1"/>
        <v>74.870000000000005</v>
      </c>
      <c r="N35" s="29">
        <f t="shared" si="1"/>
        <v>891</v>
      </c>
      <c r="O35" s="29">
        <f t="shared" si="1"/>
        <v>0</v>
      </c>
      <c r="P35" s="29">
        <f t="shared" si="1"/>
        <v>0.57999999999999996</v>
      </c>
      <c r="Q35" s="29">
        <f t="shared" si="1"/>
        <v>27.25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4.0374999999999996</v>
      </c>
      <c r="C36" s="28">
        <f t="shared" si="2"/>
        <v>35.692083333333336</v>
      </c>
      <c r="D36" s="28">
        <f t="shared" si="2"/>
        <v>23.356666666666673</v>
      </c>
      <c r="E36" s="28">
        <f t="shared" si="2"/>
        <v>2.621666666666667</v>
      </c>
      <c r="F36" s="28">
        <f t="shared" si="2"/>
        <v>12.566249999999998</v>
      </c>
      <c r="G36" s="28">
        <f t="shared" si="2"/>
        <v>28.833749999999998</v>
      </c>
      <c r="H36" s="28">
        <f t="shared" si="2"/>
        <v>11.094166666666666</v>
      </c>
      <c r="I36" s="28">
        <f t="shared" si="2"/>
        <v>0.51958333333333317</v>
      </c>
      <c r="J36" s="28">
        <f t="shared" si="2"/>
        <v>1.3683333333333332</v>
      </c>
      <c r="K36" s="28">
        <f t="shared" si="2"/>
        <v>236.21708333333336</v>
      </c>
      <c r="L36" s="28">
        <f t="shared" si="2"/>
        <v>25.477083333333326</v>
      </c>
      <c r="M36" s="28">
        <f t="shared" si="2"/>
        <v>57.847916666666663</v>
      </c>
      <c r="N36" s="28">
        <f t="shared" si="2"/>
        <v>283.1875</v>
      </c>
      <c r="O36" s="28">
        <f t="shared" si="2"/>
        <v>0</v>
      </c>
      <c r="P36" s="28">
        <f t="shared" si="2"/>
        <v>0.43333333333333335</v>
      </c>
      <c r="Q36" s="28">
        <f t="shared" si="2"/>
        <v>15.049999999999995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1.7124715167418643</v>
      </c>
      <c r="C37" s="28">
        <f t="shared" si="3" ref="C37:Q37">STDEV(C9:C32)</f>
        <v>6.2941587683699831</v>
      </c>
      <c r="D37" s="28">
        <f t="shared" si="3"/>
        <v>4.4858673405597971</v>
      </c>
      <c r="E37" s="28">
        <f t="shared" si="3"/>
        <v>1.771093169342808</v>
      </c>
      <c r="F37" s="28">
        <f t="shared" si="3"/>
        <v>10.032187247966462</v>
      </c>
      <c r="G37" s="28">
        <f t="shared" si="3"/>
        <v>4.9318827981596289</v>
      </c>
      <c r="H37" s="28">
        <f t="shared" si="3"/>
        <v>2.173974354207898</v>
      </c>
      <c r="I37" s="28">
        <f t="shared" si="3"/>
        <v>0.015174110293140955</v>
      </c>
      <c r="J37" s="28">
        <f t="shared" si="3"/>
        <v>0.69667325425080473</v>
      </c>
      <c r="K37" s="28">
        <f t="shared" si="3"/>
        <v>82.781722172867319</v>
      </c>
      <c r="L37" s="28">
        <f t="shared" si="3"/>
        <v>5.0332541804411211</v>
      </c>
      <c r="M37" s="28">
        <f t="shared" si="3"/>
        <v>13.815593577758321</v>
      </c>
      <c r="N37" s="28">
        <f t="shared" si="3"/>
        <v>353.42815924880694</v>
      </c>
      <c r="O37" s="28">
        <f t="shared" si="3"/>
        <v>0</v>
      </c>
      <c r="P37" s="28">
        <f t="shared" si="3"/>
        <v>0.076650912054851444</v>
      </c>
      <c r="Q37" s="28">
        <f t="shared" si="3"/>
        <v>9.951556574771093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6b14a8-c2bf-4a9e-a875-fe8290370ac8}">
  <sheetPr codeName=""/>
  <dimension ref="A1:U119"/>
  <sheetViews>
    <sheetView workbookViewId="0" topLeftCell="A1">
      <pane xSplit="1" ySplit="8" topLeftCell="B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3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3"/>
      <c r="B8" s="64" t="s">
        <v>22</v>
      </c>
      <c r="C8" s="64" t="s">
        <v>22</v>
      </c>
      <c r="D8" s="29" t="s">
        <v>61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662</v>
      </c>
      <c r="B9" s="58">
        <v>2.88</v>
      </c>
      <c r="C9" s="58">
        <v>35.81</v>
      </c>
      <c r="D9" s="58">
        <v>22.70</v>
      </c>
      <c r="E9" s="58">
        <v>1.27</v>
      </c>
      <c r="F9" s="58">
        <v>5.28</v>
      </c>
      <c r="G9" s="58">
        <v>38.21</v>
      </c>
      <c r="H9" s="58">
        <v>9.06</v>
      </c>
      <c r="I9" s="58">
        <v>0.51</v>
      </c>
      <c r="J9" s="58">
        <v>2.84</v>
      </c>
      <c r="K9" s="58">
        <v>144.02000000000001</v>
      </c>
      <c r="L9" s="58">
        <v>20.329999999999998</v>
      </c>
      <c r="M9" s="58">
        <v>68.489999999999995</v>
      </c>
      <c r="N9" s="58">
        <v>5.30</v>
      </c>
      <c r="O9" s="58">
        <v>0</v>
      </c>
      <c r="P9" s="58">
        <v>0.42</v>
      </c>
      <c r="Q9" s="58">
        <v>20.65</v>
      </c>
      <c r="R9" s="43"/>
      <c r="S9" s="43"/>
      <c r="T9" s="43"/>
      <c r="U9" s="43"/>
    </row>
    <row r="10" spans="1:21" s="11" customFormat="1" ht="15">
      <c r="A10" s="57" t="s">
        <v>663</v>
      </c>
      <c r="B10" s="58">
        <v>2.5</v>
      </c>
      <c r="C10" s="58">
        <v>33.25</v>
      </c>
      <c r="D10" s="58">
        <v>21</v>
      </c>
      <c r="E10" s="58">
        <v>0.76</v>
      </c>
      <c r="F10" s="58">
        <v>5.14</v>
      </c>
      <c r="G10" s="58">
        <v>29.93</v>
      </c>
      <c r="H10" s="58">
        <v>9.06</v>
      </c>
      <c r="I10" s="58">
        <v>0.51</v>
      </c>
      <c r="J10" s="58">
        <v>2.12</v>
      </c>
      <c r="K10" s="58">
        <v>142.91</v>
      </c>
      <c r="L10" s="58">
        <v>20.55</v>
      </c>
      <c r="M10" s="58">
        <v>66.11</v>
      </c>
      <c r="N10" s="58">
        <v>4.80</v>
      </c>
      <c r="O10" s="58">
        <v>0</v>
      </c>
      <c r="P10" s="58">
        <v>0.36</v>
      </c>
      <c r="Q10" s="58">
        <v>22.08</v>
      </c>
      <c r="R10" s="43"/>
      <c r="S10" s="43"/>
      <c r="T10" s="43"/>
      <c r="U10" s="43"/>
    </row>
    <row r="11" spans="1:21" s="11" customFormat="1" ht="15">
      <c r="A11" s="57" t="s">
        <v>664</v>
      </c>
      <c r="B11" s="58">
        <v>2.46</v>
      </c>
      <c r="C11" s="58">
        <v>33.380000000000003</v>
      </c>
      <c r="D11" s="58">
        <v>21.04</v>
      </c>
      <c r="E11" s="58">
        <v>1.28</v>
      </c>
      <c r="F11" s="58">
        <v>5.29</v>
      </c>
      <c r="G11" s="58">
        <v>20.60</v>
      </c>
      <c r="H11" s="58">
        <v>7.14</v>
      </c>
      <c r="I11" s="58">
        <v>0.5</v>
      </c>
      <c r="J11" s="58">
        <v>1.30</v>
      </c>
      <c r="K11" s="58">
        <v>223.38</v>
      </c>
      <c r="L11" s="58">
        <v>20.63</v>
      </c>
      <c r="M11" s="58">
        <v>61.10</v>
      </c>
      <c r="N11" s="58">
        <v>5</v>
      </c>
      <c r="O11" s="58">
        <v>0</v>
      </c>
      <c r="P11" s="58">
        <v>0.33</v>
      </c>
      <c r="Q11" s="58">
        <v>22.27</v>
      </c>
      <c r="R11" s="43"/>
      <c r="S11" s="43"/>
      <c r="T11" s="43"/>
      <c r="U11" s="43"/>
    </row>
    <row r="12" spans="1:21" s="11" customFormat="1" ht="15">
      <c r="A12" s="57" t="s">
        <v>665</v>
      </c>
      <c r="B12" s="58">
        <v>2.75</v>
      </c>
      <c r="C12" s="58">
        <v>38.5</v>
      </c>
      <c r="D12" s="58">
        <v>24.10</v>
      </c>
      <c r="E12" s="58">
        <v>1.17</v>
      </c>
      <c r="F12" s="58">
        <v>5</v>
      </c>
      <c r="G12" s="58">
        <v>16.20</v>
      </c>
      <c r="H12" s="58">
        <v>5.15</v>
      </c>
      <c r="I12" s="58">
        <v>0.5</v>
      </c>
      <c r="J12" s="58">
        <v>1.54</v>
      </c>
      <c r="K12" s="58">
        <v>236.30</v>
      </c>
      <c r="L12" s="58">
        <v>20.29</v>
      </c>
      <c r="M12" s="58">
        <v>68.11</v>
      </c>
      <c r="N12" s="58">
        <v>5</v>
      </c>
      <c r="O12" s="58">
        <v>0</v>
      </c>
      <c r="P12" s="58">
        <v>0.31</v>
      </c>
      <c r="Q12" s="58">
        <v>24.09</v>
      </c>
      <c r="R12" s="43"/>
      <c r="S12" s="43"/>
      <c r="T12" s="43"/>
      <c r="U12" s="43"/>
    </row>
    <row r="13" spans="1:21" s="11" customFormat="1" ht="15">
      <c r="A13" s="57" t="s">
        <v>666</v>
      </c>
      <c r="B13" s="58">
        <v>2.86</v>
      </c>
      <c r="C13" s="58">
        <v>34.72</v>
      </c>
      <c r="D13" s="58">
        <v>21.96</v>
      </c>
      <c r="E13" s="58">
        <v>2.16</v>
      </c>
      <c r="F13" s="58">
        <v>4.33</v>
      </c>
      <c r="G13" s="58">
        <v>14.49</v>
      </c>
      <c r="H13" s="58">
        <v>3.62</v>
      </c>
      <c r="I13" s="58">
        <v>0.51</v>
      </c>
      <c r="J13" s="58">
        <v>0.28000000000000003</v>
      </c>
      <c r="K13" s="58">
        <v>284.24</v>
      </c>
      <c r="L13" s="58">
        <v>19.37</v>
      </c>
      <c r="M13" s="58">
        <v>75.44</v>
      </c>
      <c r="N13" s="58">
        <v>4.80</v>
      </c>
      <c r="O13" s="58">
        <v>0</v>
      </c>
      <c r="P13" s="58">
        <v>0.30</v>
      </c>
      <c r="Q13" s="58">
        <v>22.88</v>
      </c>
      <c r="R13" s="43"/>
      <c r="S13" s="43"/>
      <c r="T13" s="43"/>
      <c r="U13" s="43"/>
    </row>
    <row r="14" spans="1:21" s="11" customFormat="1" ht="15">
      <c r="A14" s="57" t="s">
        <v>667</v>
      </c>
      <c r="B14" s="58">
        <v>4.84</v>
      </c>
      <c r="C14" s="58">
        <v>33.33</v>
      </c>
      <c r="D14" s="58">
        <v>22.75</v>
      </c>
      <c r="E14" s="58">
        <v>2.2999999999999998</v>
      </c>
      <c r="F14" s="58">
        <v>4</v>
      </c>
      <c r="G14" s="58">
        <v>14.49</v>
      </c>
      <c r="H14" s="58">
        <v>4.16</v>
      </c>
      <c r="I14" s="58">
        <v>0.5</v>
      </c>
      <c r="J14" s="58">
        <v>0.83</v>
      </c>
      <c r="K14" s="58">
        <v>289.57</v>
      </c>
      <c r="L14" s="58">
        <v>19.11</v>
      </c>
      <c r="M14" s="58">
        <v>76.48</v>
      </c>
      <c r="N14" s="58">
        <v>22.90</v>
      </c>
      <c r="O14" s="58">
        <v>0</v>
      </c>
      <c r="P14" s="58">
        <v>0.32</v>
      </c>
      <c r="Q14" s="58">
        <v>19.05</v>
      </c>
      <c r="R14" s="43"/>
      <c r="S14" s="43"/>
      <c r="T14" s="43"/>
      <c r="U14" s="43"/>
    </row>
    <row r="15" spans="1:21" s="11" customFormat="1" ht="15">
      <c r="A15" s="57" t="s">
        <v>668</v>
      </c>
      <c r="B15" s="58">
        <v>7.19</v>
      </c>
      <c r="C15" s="58">
        <v>39.24</v>
      </c>
      <c r="D15" s="58">
        <v>27.87</v>
      </c>
      <c r="E15" s="58">
        <v>2.52</v>
      </c>
      <c r="F15" s="58">
        <v>3.54</v>
      </c>
      <c r="G15" s="58">
        <v>18.71</v>
      </c>
      <c r="H15" s="58">
        <v>6.98</v>
      </c>
      <c r="I15" s="58">
        <v>0.51</v>
      </c>
      <c r="J15" s="58">
        <v>0.39</v>
      </c>
      <c r="K15" s="58">
        <v>288.14</v>
      </c>
      <c r="L15" s="58">
        <v>24.30</v>
      </c>
      <c r="M15" s="58">
        <v>72.94</v>
      </c>
      <c r="N15" s="58">
        <v>216.5</v>
      </c>
      <c r="O15" s="58">
        <v>0</v>
      </c>
      <c r="P15" s="58">
        <v>0.37</v>
      </c>
      <c r="Q15" s="58">
        <v>22</v>
      </c>
      <c r="R15" s="43"/>
      <c r="S15" s="43"/>
      <c r="T15" s="43"/>
      <c r="U15" s="43"/>
    </row>
    <row r="16" spans="1:21" s="11" customFormat="1" ht="15">
      <c r="A16" s="57" t="s">
        <v>669</v>
      </c>
      <c r="B16" s="58">
        <v>7.33</v>
      </c>
      <c r="C16" s="58">
        <v>40.97</v>
      </c>
      <c r="D16" s="58">
        <v>28.97</v>
      </c>
      <c r="E16" s="58">
        <v>2.2599999999999998</v>
      </c>
      <c r="F16" s="58">
        <v>3.70</v>
      </c>
      <c r="G16" s="58">
        <v>24.38</v>
      </c>
      <c r="H16" s="58">
        <v>9.1999999999999993</v>
      </c>
      <c r="I16" s="58">
        <v>0.52</v>
      </c>
      <c r="J16" s="58">
        <v>0.23</v>
      </c>
      <c r="K16" s="58">
        <v>299.89999999999998</v>
      </c>
      <c r="L16" s="58">
        <v>26.85</v>
      </c>
      <c r="M16" s="58">
        <v>53.27</v>
      </c>
      <c r="N16" s="58">
        <v>449</v>
      </c>
      <c r="O16" s="58">
        <v>0</v>
      </c>
      <c r="P16" s="58">
        <v>0.42</v>
      </c>
      <c r="Q16" s="58">
        <v>21.48</v>
      </c>
      <c r="R16" s="43"/>
      <c r="S16" s="43"/>
      <c r="T16" s="43"/>
      <c r="U16" s="43"/>
    </row>
    <row r="17" spans="1:21" s="11" customFormat="1" ht="15">
      <c r="A17" s="57" t="s">
        <v>670</v>
      </c>
      <c r="B17" s="58">
        <v>6.5</v>
      </c>
      <c r="C17" s="58">
        <v>40.93</v>
      </c>
      <c r="D17" s="58">
        <v>28.45</v>
      </c>
      <c r="E17" s="58">
        <v>1.05</v>
      </c>
      <c r="F17" s="58">
        <v>5.77</v>
      </c>
      <c r="G17" s="58">
        <v>24.38</v>
      </c>
      <c r="H17" s="58">
        <v>11.04</v>
      </c>
      <c r="I17" s="58">
        <v>0.52</v>
      </c>
      <c r="J17" s="58">
        <v>0.46</v>
      </c>
      <c r="K17" s="58">
        <v>317.26</v>
      </c>
      <c r="L17" s="58">
        <v>27.60</v>
      </c>
      <c r="M17" s="58">
        <v>55.71</v>
      </c>
      <c r="N17" s="58">
        <v>666</v>
      </c>
      <c r="O17" s="58">
        <v>0</v>
      </c>
      <c r="P17" s="58">
        <v>0.44</v>
      </c>
      <c r="Q17" s="58">
        <v>20.27</v>
      </c>
      <c r="R17" s="43"/>
      <c r="S17" s="43"/>
      <c r="T17" s="43"/>
      <c r="U17" s="43"/>
    </row>
    <row r="18" spans="1:21" s="11" customFormat="1" ht="15">
      <c r="A18" s="57" t="s">
        <v>671</v>
      </c>
      <c r="B18" s="58">
        <v>5.63</v>
      </c>
      <c r="C18" s="58">
        <v>37.270000000000003</v>
      </c>
      <c r="D18" s="58">
        <v>25.73</v>
      </c>
      <c r="E18" s="58">
        <v>1.29</v>
      </c>
      <c r="F18" s="58">
        <v>5.60</v>
      </c>
      <c r="G18" s="58">
        <v>20.61</v>
      </c>
      <c r="H18" s="58">
        <v>11.04</v>
      </c>
      <c r="I18" s="58">
        <v>0.54</v>
      </c>
      <c r="J18" s="58">
        <v>0.61</v>
      </c>
      <c r="K18" s="58">
        <v>191.90</v>
      </c>
      <c r="L18" s="58">
        <v>28.73</v>
      </c>
      <c r="M18" s="58">
        <v>50.90</v>
      </c>
      <c r="N18" s="58">
        <v>833.80</v>
      </c>
      <c r="O18" s="58">
        <v>0</v>
      </c>
      <c r="P18" s="58">
        <v>0.46</v>
      </c>
      <c r="Q18" s="58">
        <v>16.29</v>
      </c>
      <c r="R18" s="43"/>
      <c r="S18" s="43"/>
      <c r="T18" s="43"/>
      <c r="U18" s="43"/>
    </row>
    <row r="19" spans="1:21" s="11" customFormat="1" ht="15">
      <c r="A19" s="57" t="s">
        <v>672</v>
      </c>
      <c r="B19" s="58">
        <v>4.8600000000000003</v>
      </c>
      <c r="C19" s="58">
        <v>56.90</v>
      </c>
      <c r="D19" s="58">
        <v>35.020000000000003</v>
      </c>
      <c r="E19" s="58">
        <v>1.1100000000000001</v>
      </c>
      <c r="F19" s="58">
        <v>32.42</v>
      </c>
      <c r="G19" s="58">
        <v>20.61</v>
      </c>
      <c r="H19" s="58">
        <v>10.46</v>
      </c>
      <c r="I19" s="58">
        <v>0.54</v>
      </c>
      <c r="J19" s="58">
        <v>0.65</v>
      </c>
      <c r="K19" s="58">
        <v>313.17</v>
      </c>
      <c r="L19" s="58">
        <v>33.44</v>
      </c>
      <c r="M19" s="58">
        <v>42.23</v>
      </c>
      <c r="N19" s="58">
        <v>908.20</v>
      </c>
      <c r="O19" s="58">
        <v>0</v>
      </c>
      <c r="P19" s="58">
        <v>0.74</v>
      </c>
      <c r="Q19" s="58">
        <v>16.46</v>
      </c>
      <c r="R19" s="43"/>
      <c r="S19" s="43"/>
      <c r="T19" s="43"/>
      <c r="U19" s="43"/>
    </row>
    <row r="20" spans="1:21" s="11" customFormat="1" ht="15">
      <c r="A20" s="57" t="s">
        <v>673</v>
      </c>
      <c r="B20" s="58">
        <v>2.96</v>
      </c>
      <c r="C20" s="58">
        <v>38.28</v>
      </c>
      <c r="D20" s="58">
        <v>24.15</v>
      </c>
      <c r="E20" s="58">
        <v>15.40</v>
      </c>
      <c r="F20" s="58">
        <v>28.18</v>
      </c>
      <c r="G20" s="65" t="s">
        <v>14</v>
      </c>
      <c r="H20" s="65" t="s">
        <v>14</v>
      </c>
      <c r="I20" s="58">
        <v>0.48</v>
      </c>
      <c r="J20" s="58">
        <v>0.43</v>
      </c>
      <c r="K20" s="58">
        <v>301.48</v>
      </c>
      <c r="L20" s="58">
        <v>33.25</v>
      </c>
      <c r="M20" s="58">
        <v>34.880000000000003</v>
      </c>
      <c r="N20" s="58">
        <v>966.80</v>
      </c>
      <c r="O20" s="58">
        <v>0</v>
      </c>
      <c r="P20" s="58">
        <v>0.62</v>
      </c>
      <c r="Q20" s="58">
        <v>8.39</v>
      </c>
      <c r="R20" s="43"/>
      <c r="S20" s="43"/>
      <c r="T20" s="43"/>
      <c r="U20" s="43"/>
    </row>
    <row r="21" spans="1:21" s="11" customFormat="1" ht="15">
      <c r="A21" s="57" t="s">
        <v>674</v>
      </c>
      <c r="B21" s="58">
        <v>3.27</v>
      </c>
      <c r="C21" s="58">
        <v>33.69</v>
      </c>
      <c r="D21" s="58">
        <v>36.96</v>
      </c>
      <c r="E21" s="58">
        <v>2.76</v>
      </c>
      <c r="F21" s="58">
        <v>14.33</v>
      </c>
      <c r="G21" s="65" t="s">
        <v>14</v>
      </c>
      <c r="H21" s="65" t="s">
        <v>14</v>
      </c>
      <c r="I21" s="58">
        <v>0.52</v>
      </c>
      <c r="J21" s="58">
        <v>0.34</v>
      </c>
      <c r="K21" s="58">
        <v>291.38</v>
      </c>
      <c r="L21" s="58">
        <v>33.85</v>
      </c>
      <c r="M21" s="58">
        <v>30.04</v>
      </c>
      <c r="N21" s="58">
        <v>952.5</v>
      </c>
      <c r="O21" s="58">
        <v>0</v>
      </c>
      <c r="P21" s="58">
        <v>0.71</v>
      </c>
      <c r="Q21" s="58">
        <v>6.98</v>
      </c>
      <c r="R21" s="43"/>
      <c r="S21" s="43"/>
      <c r="T21" s="43"/>
      <c r="U21" s="43"/>
    </row>
    <row r="22" spans="1:21" s="11" customFormat="1" ht="15">
      <c r="A22" s="57" t="s">
        <v>675</v>
      </c>
      <c r="B22" s="58">
        <v>4.7300000000000004</v>
      </c>
      <c r="C22" s="58">
        <v>34.450000000000003</v>
      </c>
      <c r="D22" s="58">
        <v>39.18</v>
      </c>
      <c r="E22" s="58">
        <v>2.2599999999999998</v>
      </c>
      <c r="F22" s="58">
        <v>12.89</v>
      </c>
      <c r="G22" s="65" t="s">
        <v>14</v>
      </c>
      <c r="H22" s="65" t="s">
        <v>14</v>
      </c>
      <c r="I22" s="58">
        <v>0.49</v>
      </c>
      <c r="J22" s="58">
        <v>0.46</v>
      </c>
      <c r="K22" s="58">
        <v>294.89999999999998</v>
      </c>
      <c r="L22" s="58">
        <v>35.520000000000003</v>
      </c>
      <c r="M22" s="58">
        <v>28.94</v>
      </c>
      <c r="N22" s="58">
        <v>851.10</v>
      </c>
      <c r="O22" s="58">
        <v>0</v>
      </c>
      <c r="P22" s="58">
        <v>0.78</v>
      </c>
      <c r="Q22" s="58">
        <v>2.79</v>
      </c>
      <c r="R22" s="43"/>
      <c r="S22" s="43"/>
      <c r="T22" s="43"/>
      <c r="U22" s="43"/>
    </row>
    <row r="23" spans="1:21" s="11" customFormat="1" ht="15">
      <c r="A23" s="57" t="s">
        <v>676</v>
      </c>
      <c r="B23" s="58">
        <v>3.82</v>
      </c>
      <c r="C23" s="58">
        <v>34.96</v>
      </c>
      <c r="D23" s="58">
        <v>38</v>
      </c>
      <c r="E23" s="58">
        <v>2.35</v>
      </c>
      <c r="F23" s="58">
        <v>25.15</v>
      </c>
      <c r="G23" s="65" t="s">
        <v>14</v>
      </c>
      <c r="H23" s="65" t="s">
        <v>14</v>
      </c>
      <c r="I23" s="58">
        <v>0.47</v>
      </c>
      <c r="J23" s="58">
        <v>0.56999999999999995</v>
      </c>
      <c r="K23" s="58">
        <v>285.22000000000003</v>
      </c>
      <c r="L23" s="58">
        <v>34.409999999999997</v>
      </c>
      <c r="M23" s="58">
        <v>29.66</v>
      </c>
      <c r="N23" s="58">
        <v>678.5</v>
      </c>
      <c r="O23" s="58">
        <v>0</v>
      </c>
      <c r="P23" s="58">
        <v>0.66</v>
      </c>
      <c r="Q23" s="58">
        <v>6.17</v>
      </c>
      <c r="R23" s="43"/>
      <c r="S23" s="43"/>
      <c r="T23" s="43"/>
      <c r="U23" s="43"/>
    </row>
    <row r="24" spans="1:21" s="11" customFormat="1" ht="15">
      <c r="A24" s="57" t="s">
        <v>677</v>
      </c>
      <c r="B24" s="58">
        <v>4.7699999999999996</v>
      </c>
      <c r="C24" s="58">
        <v>34.29</v>
      </c>
      <c r="D24" s="58">
        <v>37.049999999999997</v>
      </c>
      <c r="E24" s="58">
        <v>2.96</v>
      </c>
      <c r="F24" s="58">
        <v>24.68</v>
      </c>
      <c r="G24" s="65" t="s">
        <v>14</v>
      </c>
      <c r="H24" s="65" t="s">
        <v>14</v>
      </c>
      <c r="I24" s="58">
        <v>0.47</v>
      </c>
      <c r="J24" s="58">
        <v>0.57999999999999996</v>
      </c>
      <c r="K24" s="58">
        <v>307.92</v>
      </c>
      <c r="L24" s="58">
        <v>33.700000000000003</v>
      </c>
      <c r="M24" s="58">
        <v>31.42</v>
      </c>
      <c r="N24" s="58">
        <v>388.70</v>
      </c>
      <c r="O24" s="58">
        <v>0</v>
      </c>
      <c r="P24" s="58">
        <v>0.59</v>
      </c>
      <c r="Q24" s="58">
        <v>6.49</v>
      </c>
      <c r="R24" s="43"/>
      <c r="S24" s="43"/>
      <c r="T24" s="43"/>
      <c r="U24" s="43"/>
    </row>
    <row r="25" spans="1:21" s="11" customFormat="1" ht="15">
      <c r="A25" s="57" t="s">
        <v>678</v>
      </c>
      <c r="B25" s="58">
        <v>3.05</v>
      </c>
      <c r="C25" s="58">
        <v>36.35</v>
      </c>
      <c r="D25" s="58">
        <v>39.40</v>
      </c>
      <c r="E25" s="58">
        <v>1.66</v>
      </c>
      <c r="F25" s="58">
        <v>14.23</v>
      </c>
      <c r="G25" s="65" t="s">
        <v>14</v>
      </c>
      <c r="H25" s="65" t="s">
        <v>14</v>
      </c>
      <c r="I25" s="58">
        <v>0.48</v>
      </c>
      <c r="J25" s="58">
        <v>0.38</v>
      </c>
      <c r="K25" s="58">
        <v>305.83999999999997</v>
      </c>
      <c r="L25" s="58">
        <v>32.42</v>
      </c>
      <c r="M25" s="58">
        <v>30.37</v>
      </c>
      <c r="N25" s="58">
        <v>107.30</v>
      </c>
      <c r="O25" s="58">
        <v>0</v>
      </c>
      <c r="P25" s="58">
        <v>0.61</v>
      </c>
      <c r="Q25" s="58">
        <v>6.25</v>
      </c>
      <c r="R25" s="43"/>
      <c r="S25" s="43"/>
      <c r="T25" s="43"/>
      <c r="U25" s="43"/>
    </row>
    <row r="26" spans="1:21" s="11" customFormat="1" ht="15">
      <c r="A26" s="57" t="s">
        <v>679</v>
      </c>
      <c r="B26" s="58">
        <v>6.66</v>
      </c>
      <c r="C26" s="58">
        <v>37.159999999999997</v>
      </c>
      <c r="D26" s="58">
        <v>43.82</v>
      </c>
      <c r="E26" s="58">
        <v>2.5299999999999998</v>
      </c>
      <c r="F26" s="58">
        <v>31.02</v>
      </c>
      <c r="G26" s="65" t="s">
        <v>14</v>
      </c>
      <c r="H26" s="65" t="s">
        <v>14</v>
      </c>
      <c r="I26" s="58">
        <v>0.5</v>
      </c>
      <c r="J26" s="58">
        <v>0.32</v>
      </c>
      <c r="K26" s="58">
        <v>319.19</v>
      </c>
      <c r="L26" s="58">
        <v>31.32</v>
      </c>
      <c r="M26" s="58">
        <v>31.03</v>
      </c>
      <c r="N26" s="58">
        <v>64.5</v>
      </c>
      <c r="O26" s="58">
        <v>0</v>
      </c>
      <c r="P26" s="58">
        <v>0.67</v>
      </c>
      <c r="Q26" s="58">
        <v>9.36</v>
      </c>
      <c r="R26" s="43"/>
      <c r="S26" s="43"/>
      <c r="T26" s="43"/>
      <c r="U26" s="43"/>
    </row>
    <row r="27" spans="1:21" s="11" customFormat="1" ht="15">
      <c r="A27" s="57" t="s">
        <v>680</v>
      </c>
      <c r="B27" s="58">
        <v>8.39</v>
      </c>
      <c r="C27" s="58">
        <v>54.45</v>
      </c>
      <c r="D27" s="58">
        <v>62.84</v>
      </c>
      <c r="E27" s="58">
        <v>2.35</v>
      </c>
      <c r="F27" s="58">
        <v>19.96</v>
      </c>
      <c r="G27" s="65" t="s">
        <v>14</v>
      </c>
      <c r="H27" s="65" t="s">
        <v>14</v>
      </c>
      <c r="I27" s="58">
        <v>0.55000000000000004</v>
      </c>
      <c r="J27" s="58">
        <v>0.93</v>
      </c>
      <c r="K27" s="58">
        <v>198.80</v>
      </c>
      <c r="L27" s="58">
        <v>30.23</v>
      </c>
      <c r="M27" s="58">
        <v>35.25</v>
      </c>
      <c r="N27" s="58">
        <v>12.30</v>
      </c>
      <c r="O27" s="58">
        <v>0</v>
      </c>
      <c r="P27" s="58">
        <v>0.67</v>
      </c>
      <c r="Q27" s="58">
        <v>12.13</v>
      </c>
      <c r="R27" s="43"/>
      <c r="S27" s="43"/>
      <c r="T27" s="43"/>
      <c r="U27" s="43"/>
    </row>
    <row r="28" spans="1:21" s="11" customFormat="1" ht="15">
      <c r="A28" s="57" t="s">
        <v>681</v>
      </c>
      <c r="B28" s="58">
        <v>43.38</v>
      </c>
      <c r="C28" s="58">
        <v>72.599999999999994</v>
      </c>
      <c r="D28" s="58">
        <v>115.97</v>
      </c>
      <c r="E28" s="58">
        <v>2.0299999999999998</v>
      </c>
      <c r="F28" s="58">
        <v>8.93</v>
      </c>
      <c r="G28" s="58">
        <v>30.39</v>
      </c>
      <c r="H28" s="58">
        <v>12.84</v>
      </c>
      <c r="I28" s="58">
        <v>0.56000000000000005</v>
      </c>
      <c r="J28" s="58">
        <v>0.46</v>
      </c>
      <c r="K28" s="58">
        <v>301.52</v>
      </c>
      <c r="L28" s="58">
        <v>28.93</v>
      </c>
      <c r="M28" s="58">
        <v>44.01</v>
      </c>
      <c r="N28" s="58">
        <v>5.20</v>
      </c>
      <c r="O28" s="58">
        <v>0</v>
      </c>
      <c r="P28" s="58">
        <v>1.77</v>
      </c>
      <c r="Q28" s="58">
        <v>16.350000000000001</v>
      </c>
      <c r="R28" s="43"/>
      <c r="S28" s="43"/>
      <c r="T28" s="43"/>
      <c r="U28" s="43"/>
    </row>
    <row r="29" spans="1:21" s="11" customFormat="1" ht="15">
      <c r="A29" s="57" t="s">
        <v>682</v>
      </c>
      <c r="B29" s="58">
        <v>61.83</v>
      </c>
      <c r="C29" s="58">
        <v>90.59</v>
      </c>
      <c r="D29" s="58">
        <v>152.41999999999999</v>
      </c>
      <c r="E29" s="58">
        <v>2.89</v>
      </c>
      <c r="F29" s="58">
        <v>15.28</v>
      </c>
      <c r="G29" s="58">
        <v>45.38</v>
      </c>
      <c r="H29" s="58">
        <v>15</v>
      </c>
      <c r="I29" s="58">
        <v>0.93</v>
      </c>
      <c r="J29" s="58">
        <v>0.34</v>
      </c>
      <c r="K29" s="58">
        <v>295.83</v>
      </c>
      <c r="L29" s="58">
        <v>27.68</v>
      </c>
      <c r="M29" s="58">
        <v>43.61</v>
      </c>
      <c r="N29" s="58">
        <v>5</v>
      </c>
      <c r="O29" s="58">
        <v>0</v>
      </c>
      <c r="P29" s="58">
        <v>2.2000000000000002</v>
      </c>
      <c r="Q29" s="58">
        <v>21.27</v>
      </c>
      <c r="R29" s="43"/>
      <c r="S29" s="43"/>
      <c r="T29" s="43"/>
      <c r="U29" s="43"/>
    </row>
    <row r="30" spans="1:21" s="11" customFormat="1" ht="15">
      <c r="A30" s="57" t="s">
        <v>683</v>
      </c>
      <c r="B30" s="58">
        <v>19.899999999999999</v>
      </c>
      <c r="C30" s="58">
        <v>50.94</v>
      </c>
      <c r="D30" s="58">
        <v>70.33</v>
      </c>
      <c r="E30" s="58">
        <v>2.16</v>
      </c>
      <c r="F30" s="58">
        <v>12.55</v>
      </c>
      <c r="G30" s="58">
        <v>55.58</v>
      </c>
      <c r="H30" s="58">
        <v>18.53</v>
      </c>
      <c r="I30" s="58">
        <v>0.70</v>
      </c>
      <c r="J30" s="58">
        <v>0.33</v>
      </c>
      <c r="K30" s="58">
        <v>267.36</v>
      </c>
      <c r="L30" s="58">
        <v>27.43</v>
      </c>
      <c r="M30" s="58">
        <v>46.85</v>
      </c>
      <c r="N30" s="58">
        <v>4.70</v>
      </c>
      <c r="O30" s="58">
        <v>0</v>
      </c>
      <c r="P30" s="58">
        <v>0.99</v>
      </c>
      <c r="Q30" s="58">
        <v>24.98</v>
      </c>
      <c r="R30" s="43"/>
      <c r="S30" s="43"/>
      <c r="T30" s="43"/>
      <c r="U30" s="43"/>
    </row>
    <row r="31" spans="1:21" s="11" customFormat="1" ht="15">
      <c r="A31" s="57" t="s">
        <v>684</v>
      </c>
      <c r="B31" s="58">
        <v>15.67</v>
      </c>
      <c r="C31" s="58">
        <v>47.45</v>
      </c>
      <c r="D31" s="58">
        <v>63.12</v>
      </c>
      <c r="E31" s="58">
        <v>1.67</v>
      </c>
      <c r="F31" s="58">
        <v>9.16</v>
      </c>
      <c r="G31" s="58">
        <v>41.57</v>
      </c>
      <c r="H31" s="58">
        <v>14.55</v>
      </c>
      <c r="I31" s="58">
        <v>0.70</v>
      </c>
      <c r="J31" s="58">
        <v>0.31</v>
      </c>
      <c r="K31" s="58">
        <v>241.12</v>
      </c>
      <c r="L31" s="58">
        <v>26.42</v>
      </c>
      <c r="M31" s="58">
        <v>49.93</v>
      </c>
      <c r="N31" s="58">
        <v>4.5</v>
      </c>
      <c r="O31" s="58">
        <v>0</v>
      </c>
      <c r="P31" s="58">
        <v>0.95</v>
      </c>
      <c r="Q31" s="58">
        <v>22.39</v>
      </c>
      <c r="R31" s="43"/>
      <c r="S31" s="43"/>
      <c r="T31" s="43"/>
      <c r="U31" s="43"/>
    </row>
    <row r="32" spans="1:21" s="11" customFormat="1" ht="15">
      <c r="A32" s="57" t="s">
        <v>685</v>
      </c>
      <c r="B32" s="58">
        <v>10.16</v>
      </c>
      <c r="C32" s="58">
        <v>41.03</v>
      </c>
      <c r="D32" s="58">
        <v>51.18</v>
      </c>
      <c r="E32" s="58">
        <v>2.10</v>
      </c>
      <c r="F32" s="58">
        <v>11.90</v>
      </c>
      <c r="G32" s="58">
        <v>37.40</v>
      </c>
      <c r="H32" s="58">
        <v>16.13</v>
      </c>
      <c r="I32" s="58">
        <v>0.65</v>
      </c>
      <c r="J32" s="58">
        <v>0.45</v>
      </c>
      <c r="K32" s="58">
        <v>285.14</v>
      </c>
      <c r="L32" s="58">
        <v>25.65</v>
      </c>
      <c r="M32" s="58">
        <v>55.24</v>
      </c>
      <c r="N32" s="58">
        <v>5</v>
      </c>
      <c r="O32" s="58">
        <v>0</v>
      </c>
      <c r="P32" s="58">
        <v>0.80</v>
      </c>
      <c r="Q32" s="58">
        <v>18.760000000000002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2.46</v>
      </c>
      <c r="C34" s="28">
        <f t="shared" si="0"/>
        <v>33.25</v>
      </c>
      <c r="D34" s="28">
        <f t="shared" si="0"/>
        <v>21</v>
      </c>
      <c r="E34" s="28">
        <f t="shared" si="0"/>
        <v>0.76000000000000001</v>
      </c>
      <c r="F34" s="28">
        <f t="shared" si="0"/>
        <v>3.54</v>
      </c>
      <c r="G34" s="28">
        <f t="shared" si="0"/>
        <v>14.49</v>
      </c>
      <c r="H34" s="28">
        <f t="shared" si="0"/>
        <v>3.6200000000000001</v>
      </c>
      <c r="I34" s="28">
        <f t="shared" si="0"/>
        <v>0.46999999999999997</v>
      </c>
      <c r="J34" s="28">
        <f t="shared" si="0"/>
        <v>0.23000000000000001</v>
      </c>
      <c r="K34" s="28">
        <f t="shared" si="0"/>
        <v>142.91</v>
      </c>
      <c r="L34" s="28">
        <f t="shared" si="0"/>
        <v>19.109999999999999</v>
      </c>
      <c r="M34" s="28">
        <f t="shared" si="0"/>
        <v>28.940000000000001</v>
      </c>
      <c r="N34" s="28">
        <f t="shared" si="0"/>
        <v>4.5</v>
      </c>
      <c r="O34" s="28">
        <f t="shared" si="0"/>
        <v>0</v>
      </c>
      <c r="P34" s="28">
        <f t="shared" si="0"/>
        <v>0.29999999999999999</v>
      </c>
      <c r="Q34" s="28">
        <f t="shared" si="0"/>
        <v>2.79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61.829999999999998</v>
      </c>
      <c r="C35" s="29">
        <f t="shared" si="1"/>
        <v>90.590000000000003</v>
      </c>
      <c r="D35" s="29">
        <f t="shared" si="1"/>
        <v>152.41999999999999</v>
      </c>
      <c r="E35" s="29">
        <f t="shared" si="1"/>
        <v>15.4</v>
      </c>
      <c r="F35" s="29">
        <f t="shared" si="1"/>
        <v>32.420000000000002</v>
      </c>
      <c r="G35" s="29">
        <f t="shared" si="1"/>
        <v>55.579999999999998</v>
      </c>
      <c r="H35" s="29">
        <f t="shared" si="1"/>
        <v>18.530000000000001</v>
      </c>
      <c r="I35" s="29">
        <f t="shared" si="1"/>
        <v>0.93000000000000005</v>
      </c>
      <c r="J35" s="29">
        <f t="shared" si="1"/>
        <v>2.8399999999999999</v>
      </c>
      <c r="K35" s="29">
        <f t="shared" si="1"/>
        <v>319.19</v>
      </c>
      <c r="L35" s="29">
        <f t="shared" si="1"/>
        <v>35.520000000000003</v>
      </c>
      <c r="M35" s="29">
        <f t="shared" si="1"/>
        <v>76.480000000000004</v>
      </c>
      <c r="N35" s="29">
        <f t="shared" si="1"/>
        <v>966.79999999999995</v>
      </c>
      <c r="O35" s="29">
        <f t="shared" si="1"/>
        <v>0</v>
      </c>
      <c r="P35" s="29">
        <f t="shared" si="1"/>
        <v>2.2000000000000002</v>
      </c>
      <c r="Q35" s="29">
        <f t="shared" si="1"/>
        <v>24.98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9.9329166666666655</v>
      </c>
      <c r="C36" s="28">
        <f t="shared" si="2"/>
        <v>42.939166666666672</v>
      </c>
      <c r="D36" s="28">
        <f t="shared" si="2"/>
        <v>43.917083333333331</v>
      </c>
      <c r="E36" s="28">
        <f t="shared" si="2"/>
        <v>2.5120833333333334</v>
      </c>
      <c r="F36" s="28">
        <f t="shared" si="2"/>
        <v>12.847083333333332</v>
      </c>
      <c r="G36" s="28">
        <f t="shared" si="2"/>
        <v>28.308124999999997</v>
      </c>
      <c r="H36" s="28">
        <f t="shared" si="2"/>
        <v>10.2475</v>
      </c>
      <c r="I36" s="28">
        <f t="shared" si="2"/>
        <v>0.54833333333333334</v>
      </c>
      <c r="J36" s="28">
        <f t="shared" si="2"/>
        <v>0.71458333333333346</v>
      </c>
      <c r="K36" s="28">
        <f t="shared" si="2"/>
        <v>267.77041666666668</v>
      </c>
      <c r="L36" s="28">
        <f t="shared" si="2"/>
        <v>27.583749999999984</v>
      </c>
      <c r="M36" s="28">
        <f t="shared" si="2"/>
        <v>49.250416666666666</v>
      </c>
      <c r="N36" s="28">
        <f t="shared" si="2"/>
        <v>298.64166666666671</v>
      </c>
      <c r="O36" s="28">
        <f t="shared" si="2"/>
        <v>0</v>
      </c>
      <c r="P36" s="28">
        <f t="shared" si="2"/>
        <v>0.68708333333333327</v>
      </c>
      <c r="Q36" s="28">
        <f t="shared" si="2"/>
        <v>16.242916666666666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14.061399361114585</v>
      </c>
      <c r="C37" s="28">
        <f t="shared" si="3" ref="C37:Q37">STDEV(C9:C32)</f>
        <v>13.878049893287569</v>
      </c>
      <c r="D37" s="28">
        <f t="shared" si="3"/>
        <v>31.593590637723619</v>
      </c>
      <c r="E37" s="28">
        <f t="shared" si="3"/>
        <v>2.8156580498390049</v>
      </c>
      <c r="F37" s="28">
        <f t="shared" si="3"/>
        <v>9.3003863777459426</v>
      </c>
      <c r="G37" s="28">
        <f t="shared" si="3"/>
        <v>12.187876609565761</v>
      </c>
      <c r="H37" s="28">
        <f t="shared" si="3"/>
        <v>4.3477220088992166</v>
      </c>
      <c r="I37" s="28">
        <f t="shared" si="3"/>
        <v>0.10319532626199165</v>
      </c>
      <c r="J37" s="28">
        <f t="shared" si="3"/>
        <v>0.63809484893069301</v>
      </c>
      <c r="K37" s="28">
        <f t="shared" si="3"/>
        <v>52.112111875903288</v>
      </c>
      <c r="L37" s="28">
        <f t="shared" si="3"/>
        <v>5.3547961537137096</v>
      </c>
      <c r="M37" s="28">
        <f t="shared" si="3"/>
        <v>16.049577938150076</v>
      </c>
      <c r="N37" s="28">
        <f t="shared" si="3"/>
        <v>376.82697438371952</v>
      </c>
      <c r="O37" s="28">
        <f t="shared" si="3"/>
        <v>0</v>
      </c>
      <c r="P37" s="28">
        <f t="shared" si="3"/>
        <v>0.45135042942809711</v>
      </c>
      <c r="Q37" s="28">
        <f t="shared" si="3"/>
        <v>6.9629132328649535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COUNT(G9:G32)+8</f>
        <v>24</v>
      </c>
      <c r="H38" s="32">
        <f>COUNT(H9:H32)+8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6a6222-c641-4e0b-ac79-6bcdd14c0c18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7" sqref="G7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7" t="s">
        <v>686</v>
      </c>
      <c r="B9" s="58">
        <v>9.0299999999999994</v>
      </c>
      <c r="C9" s="58">
        <v>43.92</v>
      </c>
      <c r="D9" s="58">
        <v>52.72</v>
      </c>
      <c r="E9" s="58">
        <v>1.58</v>
      </c>
      <c r="F9" s="58">
        <v>5.93</v>
      </c>
      <c r="G9" s="58">
        <v>28.03</v>
      </c>
      <c r="H9" s="58">
        <v>11.62</v>
      </c>
      <c r="I9" s="58">
        <v>0.62</v>
      </c>
      <c r="J9" s="58">
        <v>0.26</v>
      </c>
      <c r="K9" s="58">
        <v>322.64</v>
      </c>
      <c r="L9" s="58">
        <v>24.91</v>
      </c>
      <c r="M9" s="58">
        <v>55.83</v>
      </c>
      <c r="N9" s="58">
        <v>4.80</v>
      </c>
      <c r="O9" s="58">
        <v>0</v>
      </c>
      <c r="P9" s="58">
        <v>0.78</v>
      </c>
      <c r="Q9" s="58">
        <v>22.23</v>
      </c>
      <c r="R9" s="43"/>
      <c r="S9" s="43"/>
      <c r="T9" s="43"/>
      <c r="U9" s="43"/>
    </row>
    <row r="10" spans="1:21" s="11" customFormat="1" ht="15">
      <c r="A10" s="57" t="s">
        <v>687</v>
      </c>
      <c r="B10" s="58">
        <v>7.24</v>
      </c>
      <c r="C10" s="58">
        <v>38.15</v>
      </c>
      <c r="D10" s="58">
        <v>45.39</v>
      </c>
      <c r="E10" s="58">
        <v>1.78</v>
      </c>
      <c r="F10" s="58">
        <v>10.92</v>
      </c>
      <c r="G10" s="58">
        <v>24.70</v>
      </c>
      <c r="H10" s="58">
        <v>11.67</v>
      </c>
      <c r="I10" s="58">
        <v>0.61</v>
      </c>
      <c r="J10" s="58">
        <v>0.75</v>
      </c>
      <c r="K10" s="58">
        <v>350.78</v>
      </c>
      <c r="L10" s="58">
        <v>24.97</v>
      </c>
      <c r="M10" s="58">
        <v>54.63</v>
      </c>
      <c r="N10" s="58">
        <v>5.0999999999999996</v>
      </c>
      <c r="O10" s="58">
        <v>0</v>
      </c>
      <c r="P10" s="58">
        <v>0.67</v>
      </c>
      <c r="Q10" s="58">
        <v>20.68</v>
      </c>
      <c r="R10" s="43"/>
      <c r="S10" s="43"/>
      <c r="T10" s="43"/>
      <c r="U10" s="43"/>
    </row>
    <row r="11" spans="1:21" s="11" customFormat="1" ht="15">
      <c r="A11" s="57" t="s">
        <v>688</v>
      </c>
      <c r="B11" s="58">
        <v>5.68</v>
      </c>
      <c r="C11" s="58">
        <v>35.5</v>
      </c>
      <c r="D11" s="58">
        <v>41.18</v>
      </c>
      <c r="E11" s="58">
        <v>1.76</v>
      </c>
      <c r="F11" s="58">
        <v>15.73</v>
      </c>
      <c r="G11" s="58">
        <v>22.20</v>
      </c>
      <c r="H11" s="58">
        <v>13.54</v>
      </c>
      <c r="I11" s="58">
        <v>0.59</v>
      </c>
      <c r="J11" s="58">
        <v>0.17</v>
      </c>
      <c r="K11" s="58">
        <v>314.30</v>
      </c>
      <c r="L11" s="58">
        <v>24.47</v>
      </c>
      <c r="M11" s="58">
        <v>56.49</v>
      </c>
      <c r="N11" s="58">
        <v>5.20</v>
      </c>
      <c r="O11" s="58">
        <v>0</v>
      </c>
      <c r="P11" s="58">
        <v>0.61</v>
      </c>
      <c r="Q11" s="58">
        <v>16.84</v>
      </c>
      <c r="R11" s="43"/>
      <c r="S11" s="43"/>
      <c r="T11" s="43"/>
      <c r="U11" s="43"/>
    </row>
    <row r="12" spans="1:21" s="11" customFormat="1" ht="15">
      <c r="A12" s="57" t="s">
        <v>689</v>
      </c>
      <c r="B12" s="58">
        <v>5.32</v>
      </c>
      <c r="C12" s="58">
        <v>39.90</v>
      </c>
      <c r="D12" s="58">
        <v>45.22</v>
      </c>
      <c r="E12" s="58">
        <v>1.52</v>
      </c>
      <c r="F12" s="58">
        <v>4.28</v>
      </c>
      <c r="G12" s="58">
        <v>22</v>
      </c>
      <c r="H12" s="58">
        <v>11.40</v>
      </c>
      <c r="I12" s="58">
        <v>0.56000000000000005</v>
      </c>
      <c r="J12" s="58">
        <v>1.76</v>
      </c>
      <c r="K12" s="58">
        <v>345.94</v>
      </c>
      <c r="L12" s="58">
        <v>24.21</v>
      </c>
      <c r="M12" s="58">
        <v>60.74</v>
      </c>
      <c r="N12" s="58">
        <v>5</v>
      </c>
      <c r="O12" s="58">
        <v>0</v>
      </c>
      <c r="P12" s="58">
        <v>0.59</v>
      </c>
      <c r="Q12" s="58">
        <v>19.77</v>
      </c>
      <c r="R12" s="43"/>
      <c r="S12" s="43"/>
      <c r="T12" s="43"/>
      <c r="U12" s="43"/>
    </row>
    <row r="13" spans="1:21" s="11" customFormat="1" ht="15">
      <c r="A13" s="57" t="s">
        <v>690</v>
      </c>
      <c r="B13" s="58">
        <v>3.27</v>
      </c>
      <c r="C13" s="58">
        <v>36.21</v>
      </c>
      <c r="D13" s="58">
        <v>38.869999999999997</v>
      </c>
      <c r="E13" s="58">
        <v>1.71</v>
      </c>
      <c r="F13" s="58">
        <v>5.76</v>
      </c>
      <c r="G13" s="58">
        <v>24.87</v>
      </c>
      <c r="H13" s="58">
        <v>12.14</v>
      </c>
      <c r="I13" s="58">
        <v>0.55000000000000004</v>
      </c>
      <c r="J13" s="58">
        <v>2.39</v>
      </c>
      <c r="K13" s="58">
        <v>279.02</v>
      </c>
      <c r="L13" s="58">
        <v>23.05</v>
      </c>
      <c r="M13" s="58">
        <v>61.65</v>
      </c>
      <c r="N13" s="58">
        <v>5.5</v>
      </c>
      <c r="O13" s="58">
        <v>0</v>
      </c>
      <c r="P13" s="58">
        <v>0.53</v>
      </c>
      <c r="Q13" s="58">
        <v>16</v>
      </c>
      <c r="R13" s="43"/>
      <c r="S13" s="43"/>
      <c r="T13" s="43"/>
      <c r="U13" s="43"/>
    </row>
    <row r="14" spans="1:21" s="11" customFormat="1" ht="15">
      <c r="A14" s="57" t="s">
        <v>691</v>
      </c>
      <c r="B14" s="58">
        <v>4.24</v>
      </c>
      <c r="C14" s="58">
        <v>42.82</v>
      </c>
      <c r="D14" s="58">
        <v>47.07</v>
      </c>
      <c r="E14" s="58">
        <v>1.59</v>
      </c>
      <c r="F14" s="58">
        <v>6.49</v>
      </c>
      <c r="G14" s="58">
        <v>28.93</v>
      </c>
      <c r="H14" s="58">
        <v>10.72</v>
      </c>
      <c r="I14" s="58">
        <v>0.52</v>
      </c>
      <c r="J14" s="58">
        <v>1.54</v>
      </c>
      <c r="K14" s="58">
        <v>308.94</v>
      </c>
      <c r="L14" s="58">
        <v>22</v>
      </c>
      <c r="M14" s="58">
        <v>59.82</v>
      </c>
      <c r="N14" s="58">
        <v>17</v>
      </c>
      <c r="O14" s="58">
        <v>0</v>
      </c>
      <c r="P14" s="58">
        <v>0.45</v>
      </c>
      <c r="Q14" s="58">
        <v>16.96</v>
      </c>
      <c r="R14" s="43"/>
      <c r="S14" s="43"/>
      <c r="T14" s="43"/>
      <c r="U14" s="43"/>
    </row>
    <row r="15" spans="1:21" s="11" customFormat="1" ht="15">
      <c r="A15" s="57" t="s">
        <v>692</v>
      </c>
      <c r="B15" s="58">
        <v>5.33</v>
      </c>
      <c r="C15" s="58">
        <v>46.51</v>
      </c>
      <c r="D15" s="58">
        <v>51.19</v>
      </c>
      <c r="E15" s="58">
        <v>1.73</v>
      </c>
      <c r="F15" s="58">
        <v>4.18</v>
      </c>
      <c r="G15" s="58">
        <v>29.21</v>
      </c>
      <c r="H15" s="58">
        <v>11.60</v>
      </c>
      <c r="I15" s="58">
        <v>0.51</v>
      </c>
      <c r="J15" s="58">
        <v>1.39</v>
      </c>
      <c r="K15" s="58">
        <v>284.10000000000002</v>
      </c>
      <c r="L15" s="58">
        <v>23.26</v>
      </c>
      <c r="M15" s="58">
        <v>57.56</v>
      </c>
      <c r="N15" s="58">
        <v>141.10</v>
      </c>
      <c r="O15" s="58">
        <v>0</v>
      </c>
      <c r="P15" s="58">
        <v>0.48</v>
      </c>
      <c r="Q15" s="58">
        <v>19.739999999999998</v>
      </c>
      <c r="R15" s="43"/>
      <c r="S15" s="43"/>
      <c r="T15" s="43"/>
      <c r="U15" s="43"/>
    </row>
    <row r="16" spans="1:21" s="11" customFormat="1" ht="15">
      <c r="A16" s="57" t="s">
        <v>693</v>
      </c>
      <c r="B16" s="58">
        <v>5.99</v>
      </c>
      <c r="C16" s="58">
        <v>44.44</v>
      </c>
      <c r="D16" s="58">
        <v>50.42</v>
      </c>
      <c r="E16" s="58">
        <v>1.77</v>
      </c>
      <c r="F16" s="58">
        <v>3.74</v>
      </c>
      <c r="G16" s="58">
        <v>33.340000000000003</v>
      </c>
      <c r="H16" s="58">
        <v>12.95</v>
      </c>
      <c r="I16" s="58">
        <v>0.5</v>
      </c>
      <c r="J16" s="58">
        <v>0.14000000000000001</v>
      </c>
      <c r="K16" s="58">
        <v>358.86</v>
      </c>
      <c r="L16" s="58">
        <v>23.31</v>
      </c>
      <c r="M16" s="58">
        <v>57.12</v>
      </c>
      <c r="N16" s="58">
        <v>145.5</v>
      </c>
      <c r="O16" s="58">
        <v>0</v>
      </c>
      <c r="P16" s="58">
        <v>0.5</v>
      </c>
      <c r="Q16" s="58">
        <v>19.04</v>
      </c>
      <c r="R16" s="43"/>
      <c r="S16" s="43"/>
      <c r="T16" s="43"/>
      <c r="U16" s="43"/>
    </row>
    <row r="17" spans="1:21" s="11" customFormat="1" ht="15">
      <c r="A17" s="57" t="s">
        <v>694</v>
      </c>
      <c r="B17" s="58">
        <v>5.33</v>
      </c>
      <c r="C17" s="58">
        <v>47.26</v>
      </c>
      <c r="D17" s="58">
        <v>52.29</v>
      </c>
      <c r="E17" s="58">
        <v>1.82</v>
      </c>
      <c r="F17" s="58">
        <v>4.05</v>
      </c>
      <c r="G17" s="58">
        <v>35.86</v>
      </c>
      <c r="H17" s="58">
        <v>12.30</v>
      </c>
      <c r="I17" s="58">
        <v>0.51</v>
      </c>
      <c r="J17" s="58">
        <v>0.34</v>
      </c>
      <c r="K17" s="58">
        <v>318.92</v>
      </c>
      <c r="L17" s="58">
        <v>22.95</v>
      </c>
      <c r="M17" s="58">
        <v>58.38</v>
      </c>
      <c r="N17" s="58">
        <v>136.80000000000001</v>
      </c>
      <c r="O17" s="58">
        <v>0</v>
      </c>
      <c r="P17" s="58">
        <v>0.72</v>
      </c>
      <c r="Q17" s="58">
        <v>18.149999999999999</v>
      </c>
      <c r="R17" s="43"/>
      <c r="S17" s="43"/>
      <c r="T17" s="43"/>
      <c r="U17" s="43"/>
    </row>
    <row r="18" spans="1:21" s="11" customFormat="1" ht="15">
      <c r="A18" s="57" t="s">
        <v>695</v>
      </c>
      <c r="B18" s="58">
        <v>6.38</v>
      </c>
      <c r="C18" s="58">
        <v>49.5</v>
      </c>
      <c r="D18" s="58">
        <v>55.38</v>
      </c>
      <c r="E18" s="58">
        <v>1.92</v>
      </c>
      <c r="F18" s="58">
        <v>4.12</v>
      </c>
      <c r="G18" s="58">
        <v>37.19</v>
      </c>
      <c r="H18" s="58">
        <v>11.86</v>
      </c>
      <c r="I18" s="58">
        <v>0.51</v>
      </c>
      <c r="J18" s="58">
        <v>1.05</v>
      </c>
      <c r="K18" s="58">
        <v>303.74</v>
      </c>
      <c r="L18" s="58">
        <v>23.18</v>
      </c>
      <c r="M18" s="58">
        <v>59.38</v>
      </c>
      <c r="N18" s="58">
        <v>214.90</v>
      </c>
      <c r="O18" s="58">
        <v>0</v>
      </c>
      <c r="P18" s="58">
        <v>0.83</v>
      </c>
      <c r="Q18" s="58">
        <v>19.829999999999998</v>
      </c>
      <c r="R18" s="43"/>
      <c r="S18" s="43"/>
      <c r="T18" s="43"/>
      <c r="U18" s="43"/>
    </row>
    <row r="19" spans="1:21" s="11" customFormat="1" ht="15">
      <c r="A19" s="57" t="s">
        <v>696</v>
      </c>
      <c r="B19" s="58">
        <v>5.48</v>
      </c>
      <c r="C19" s="58">
        <v>47.43</v>
      </c>
      <c r="D19" s="58">
        <v>52.91</v>
      </c>
      <c r="E19" s="58">
        <v>1.77</v>
      </c>
      <c r="F19" s="58">
        <v>9.07</v>
      </c>
      <c r="G19" s="58">
        <v>35.869999999999997</v>
      </c>
      <c r="H19" s="58">
        <v>11.25</v>
      </c>
      <c r="I19" s="58">
        <v>0.52</v>
      </c>
      <c r="J19" s="58">
        <v>0.77</v>
      </c>
      <c r="K19" s="58">
        <v>234.03</v>
      </c>
      <c r="L19" s="58">
        <v>23.87</v>
      </c>
      <c r="M19" s="58">
        <v>54.52</v>
      </c>
      <c r="N19" s="58">
        <v>389.10</v>
      </c>
      <c r="O19" s="58">
        <v>0</v>
      </c>
      <c r="P19" s="58">
        <v>0.80</v>
      </c>
      <c r="Q19" s="58">
        <v>18.829999999999998</v>
      </c>
      <c r="R19" s="43"/>
      <c r="S19" s="43"/>
      <c r="T19" s="43"/>
      <c r="U19" s="43"/>
    </row>
    <row r="20" spans="1:21" s="11" customFormat="1" ht="15">
      <c r="A20" s="57" t="s">
        <v>697</v>
      </c>
      <c r="B20" s="58">
        <v>4.92</v>
      </c>
      <c r="C20" s="58">
        <v>40.96</v>
      </c>
      <c r="D20" s="58">
        <v>45.88</v>
      </c>
      <c r="E20" s="58">
        <v>2.25</v>
      </c>
      <c r="F20" s="58">
        <v>6.66</v>
      </c>
      <c r="G20" s="58">
        <v>32.35</v>
      </c>
      <c r="H20" s="58">
        <v>12.70</v>
      </c>
      <c r="I20" s="58">
        <v>0.52</v>
      </c>
      <c r="J20" s="58">
        <v>0.79</v>
      </c>
      <c r="K20" s="58">
        <v>286.85000000000002</v>
      </c>
      <c r="L20" s="58">
        <v>26.31</v>
      </c>
      <c r="M20" s="58">
        <v>50</v>
      </c>
      <c r="N20" s="58">
        <v>494.20</v>
      </c>
      <c r="O20" s="58">
        <v>0</v>
      </c>
      <c r="P20" s="58">
        <v>0.74</v>
      </c>
      <c r="Q20" s="58">
        <v>17.03</v>
      </c>
      <c r="R20" s="43"/>
      <c r="S20" s="43"/>
      <c r="T20" s="43"/>
      <c r="U20" s="43"/>
    </row>
    <row r="21" spans="1:21" s="11" customFormat="1" ht="15">
      <c r="A21" s="57" t="s">
        <v>698</v>
      </c>
      <c r="B21" s="58">
        <v>4.53</v>
      </c>
      <c r="C21" s="58">
        <v>38.93</v>
      </c>
      <c r="D21" s="58">
        <v>43.03</v>
      </c>
      <c r="E21" s="58">
        <v>1.96</v>
      </c>
      <c r="F21" s="58">
        <v>5.31</v>
      </c>
      <c r="G21" s="58">
        <v>32</v>
      </c>
      <c r="H21" s="58">
        <v>12.54</v>
      </c>
      <c r="I21" s="58">
        <v>0.54</v>
      </c>
      <c r="J21" s="58">
        <v>0.46</v>
      </c>
      <c r="K21" s="58">
        <v>300.38</v>
      </c>
      <c r="L21" s="58">
        <v>28.83</v>
      </c>
      <c r="M21" s="58">
        <v>47.96</v>
      </c>
      <c r="N21" s="58">
        <v>881</v>
      </c>
      <c r="O21" s="58">
        <v>0</v>
      </c>
      <c r="P21" s="58">
        <v>0.69</v>
      </c>
      <c r="Q21" s="58">
        <v>14.91</v>
      </c>
      <c r="R21" s="43"/>
      <c r="S21" s="43"/>
      <c r="T21" s="43"/>
      <c r="U21" s="43"/>
    </row>
    <row r="22" spans="1:21" s="11" customFormat="1" ht="15">
      <c r="A22" s="57" t="s">
        <v>699</v>
      </c>
      <c r="B22" s="58">
        <v>3.67</v>
      </c>
      <c r="C22" s="58">
        <v>40.119999999999997</v>
      </c>
      <c r="D22" s="58">
        <v>43.78</v>
      </c>
      <c r="E22" s="58">
        <v>1.98</v>
      </c>
      <c r="F22" s="58">
        <v>8.89</v>
      </c>
      <c r="G22" s="58">
        <v>27.91</v>
      </c>
      <c r="H22" s="58">
        <v>9.6999999999999993</v>
      </c>
      <c r="I22" s="58">
        <v>0.54</v>
      </c>
      <c r="J22" s="58">
        <v>0.93</v>
      </c>
      <c r="K22" s="58">
        <v>234.5</v>
      </c>
      <c r="L22" s="58">
        <v>29.23</v>
      </c>
      <c r="M22" s="58">
        <v>39.049999999999997</v>
      </c>
      <c r="N22" s="58">
        <v>852.90</v>
      </c>
      <c r="O22" s="58">
        <v>0</v>
      </c>
      <c r="P22" s="58">
        <v>0.63</v>
      </c>
      <c r="Q22" s="58">
        <v>16.84</v>
      </c>
      <c r="R22" s="43"/>
      <c r="S22" s="43"/>
      <c r="T22" s="43"/>
      <c r="U22" s="43"/>
    </row>
    <row r="23" spans="1:21" s="11" customFormat="1" ht="15">
      <c r="A23" s="57" t="s">
        <v>700</v>
      </c>
      <c r="B23" s="58">
        <v>5.83</v>
      </c>
      <c r="C23" s="58">
        <v>42.07</v>
      </c>
      <c r="D23" s="58">
        <v>45.70</v>
      </c>
      <c r="E23" s="58">
        <v>2.09</v>
      </c>
      <c r="F23" s="58">
        <v>11.29</v>
      </c>
      <c r="G23" s="58">
        <v>24.35</v>
      </c>
      <c r="H23" s="58">
        <v>8.91</v>
      </c>
      <c r="I23" s="58">
        <v>0.54</v>
      </c>
      <c r="J23" s="58">
        <v>1.06</v>
      </c>
      <c r="K23" s="58">
        <v>260.08</v>
      </c>
      <c r="L23" s="58">
        <v>30.24</v>
      </c>
      <c r="M23" s="58">
        <v>36.61</v>
      </c>
      <c r="N23" s="58">
        <v>702.70</v>
      </c>
      <c r="O23" s="58">
        <v>0</v>
      </c>
      <c r="P23" s="58">
        <v>0.56000000000000005</v>
      </c>
      <c r="Q23" s="58">
        <v>17</v>
      </c>
      <c r="R23" s="43"/>
      <c r="S23" s="43"/>
      <c r="T23" s="43"/>
      <c r="U23" s="43"/>
    </row>
    <row r="24" spans="1:21" s="11" customFormat="1" ht="15">
      <c r="A24" s="57" t="s">
        <v>701</v>
      </c>
      <c r="B24" s="58">
        <v>4.3899999999999997</v>
      </c>
      <c r="C24" s="58">
        <v>42.90</v>
      </c>
      <c r="D24" s="58">
        <v>47.29</v>
      </c>
      <c r="E24" s="58">
        <v>1.5</v>
      </c>
      <c r="F24" s="58">
        <v>11.74</v>
      </c>
      <c r="G24" s="58">
        <v>21.06</v>
      </c>
      <c r="H24" s="58">
        <v>8.2899999999999991</v>
      </c>
      <c r="I24" s="58">
        <v>0.56000000000000005</v>
      </c>
      <c r="J24" s="58">
        <v>0.61</v>
      </c>
      <c r="K24" s="58">
        <v>288.45999999999998</v>
      </c>
      <c r="L24" s="58">
        <v>30.22</v>
      </c>
      <c r="M24" s="58">
        <v>35.96</v>
      </c>
      <c r="N24" s="58">
        <v>345.30</v>
      </c>
      <c r="O24" s="58">
        <v>0</v>
      </c>
      <c r="P24" s="58">
        <v>0.53</v>
      </c>
      <c r="Q24" s="58">
        <v>16.88</v>
      </c>
      <c r="R24" s="43"/>
      <c r="S24" s="43"/>
      <c r="T24" s="43"/>
      <c r="U24" s="43"/>
    </row>
    <row r="25" spans="1:21" s="11" customFormat="1" ht="15">
      <c r="A25" s="57" t="s">
        <v>702</v>
      </c>
      <c r="B25" s="58">
        <v>4.53</v>
      </c>
      <c r="C25" s="58">
        <v>47.43</v>
      </c>
      <c r="D25" s="58">
        <v>51.68</v>
      </c>
      <c r="E25" s="58">
        <v>3.24</v>
      </c>
      <c r="F25" s="58">
        <v>29.13</v>
      </c>
      <c r="G25" s="58">
        <v>23.98</v>
      </c>
      <c r="H25" s="58">
        <v>9.6199999999999992</v>
      </c>
      <c r="I25" s="58">
        <v>0.55000000000000004</v>
      </c>
      <c r="J25" s="58">
        <v>0.77</v>
      </c>
      <c r="K25" s="58">
        <v>152.53</v>
      </c>
      <c r="L25" s="58">
        <v>29.30</v>
      </c>
      <c r="M25" s="58">
        <v>35.96</v>
      </c>
      <c r="N25" s="58">
        <v>105.30</v>
      </c>
      <c r="O25" s="58">
        <v>0</v>
      </c>
      <c r="P25" s="58">
        <v>0.52</v>
      </c>
      <c r="Q25" s="58">
        <v>19.89</v>
      </c>
      <c r="R25" s="43"/>
      <c r="S25" s="43"/>
      <c r="T25" s="43"/>
      <c r="U25" s="43"/>
    </row>
    <row r="26" spans="1:21" s="11" customFormat="1" ht="15">
      <c r="A26" s="57" t="s">
        <v>703</v>
      </c>
      <c r="B26" s="58">
        <v>10.58</v>
      </c>
      <c r="C26" s="58">
        <v>45.14</v>
      </c>
      <c r="D26" s="58">
        <v>55.73</v>
      </c>
      <c r="E26" s="58">
        <v>8.5</v>
      </c>
      <c r="F26" s="58">
        <v>41.06</v>
      </c>
      <c r="G26" s="58">
        <v>23.27</v>
      </c>
      <c r="H26" s="58">
        <v>8.08</v>
      </c>
      <c r="I26" s="58">
        <v>0.52</v>
      </c>
      <c r="J26" s="58">
        <v>0.61</v>
      </c>
      <c r="K26" s="58">
        <v>311.10000000000002</v>
      </c>
      <c r="L26" s="58">
        <v>29.07</v>
      </c>
      <c r="M26" s="58">
        <v>39.58</v>
      </c>
      <c r="N26" s="58">
        <v>57.20</v>
      </c>
      <c r="O26" s="58">
        <v>0</v>
      </c>
      <c r="P26" s="58">
        <v>0.84</v>
      </c>
      <c r="Q26" s="58">
        <v>23.13</v>
      </c>
      <c r="R26" s="43"/>
      <c r="S26" s="43"/>
      <c r="T26" s="43"/>
      <c r="U26" s="43"/>
    </row>
    <row r="27" spans="1:21" s="11" customFormat="1" ht="15">
      <c r="A27" s="57" t="s">
        <v>704</v>
      </c>
      <c r="B27" s="58">
        <v>23.96</v>
      </c>
      <c r="C27" s="58">
        <v>65.489999999999995</v>
      </c>
      <c r="D27" s="58">
        <v>88.69</v>
      </c>
      <c r="E27" s="58">
        <v>5.32</v>
      </c>
      <c r="F27" s="58">
        <v>16.600000000000001</v>
      </c>
      <c r="G27" s="58">
        <v>23.51</v>
      </c>
      <c r="H27" s="58">
        <v>9.7899999999999991</v>
      </c>
      <c r="I27" s="58">
        <v>0.64</v>
      </c>
      <c r="J27" s="58">
        <v>0.44</v>
      </c>
      <c r="K27" s="58">
        <v>243.15</v>
      </c>
      <c r="L27" s="58">
        <v>28.08</v>
      </c>
      <c r="M27" s="58">
        <v>46.52</v>
      </c>
      <c r="N27" s="58">
        <v>10.80</v>
      </c>
      <c r="O27" s="58">
        <v>0</v>
      </c>
      <c r="P27" s="58">
        <v>1.30</v>
      </c>
      <c r="Q27" s="58">
        <v>23.70</v>
      </c>
      <c r="R27" s="43"/>
      <c r="S27" s="43"/>
      <c r="T27" s="43"/>
      <c r="U27" s="43"/>
    </row>
    <row r="28" spans="1:21" s="11" customFormat="1" ht="15">
      <c r="A28" s="57" t="s">
        <v>705</v>
      </c>
      <c r="B28" s="58">
        <v>24.05</v>
      </c>
      <c r="C28" s="58">
        <v>77.97</v>
      </c>
      <c r="D28" s="58">
        <v>92.91</v>
      </c>
      <c r="E28" s="58">
        <v>5.86</v>
      </c>
      <c r="F28" s="58">
        <v>15.29</v>
      </c>
      <c r="G28" s="58">
        <v>39.36</v>
      </c>
      <c r="H28" s="58">
        <v>12.39</v>
      </c>
      <c r="I28" s="58">
        <v>0.68</v>
      </c>
      <c r="J28" s="58">
        <v>0.52</v>
      </c>
      <c r="K28" s="58">
        <v>174.71</v>
      </c>
      <c r="L28" s="58">
        <v>27.45</v>
      </c>
      <c r="M28" s="58">
        <v>46.01</v>
      </c>
      <c r="N28" s="58">
        <v>4.9000000000000004</v>
      </c>
      <c r="O28" s="58">
        <v>0</v>
      </c>
      <c r="P28" s="58">
        <v>1.54</v>
      </c>
      <c r="Q28" s="58">
        <v>26.04</v>
      </c>
      <c r="R28" s="43"/>
      <c r="S28" s="43"/>
      <c r="T28" s="43"/>
      <c r="U28" s="43"/>
    </row>
    <row r="29" spans="1:21" s="11" customFormat="1" ht="15">
      <c r="A29" s="57" t="s">
        <v>706</v>
      </c>
      <c r="B29" s="58">
        <v>48.62</v>
      </c>
      <c r="C29" s="58">
        <v>77.77</v>
      </c>
      <c r="D29" s="58">
        <v>112.70</v>
      </c>
      <c r="E29" s="58">
        <v>4.76</v>
      </c>
      <c r="F29" s="58">
        <v>14</v>
      </c>
      <c r="G29" s="58">
        <v>47.85</v>
      </c>
      <c r="H29" s="58">
        <v>18.5</v>
      </c>
      <c r="I29" s="58">
        <v>0.70</v>
      </c>
      <c r="J29" s="58">
        <v>0.45</v>
      </c>
      <c r="K29" s="58">
        <v>326.11</v>
      </c>
      <c r="L29" s="58">
        <v>27.45</v>
      </c>
      <c r="M29" s="58">
        <v>47.96</v>
      </c>
      <c r="N29" s="58">
        <v>5.40</v>
      </c>
      <c r="O29" s="58">
        <v>0</v>
      </c>
      <c r="P29" s="58">
        <v>1.81</v>
      </c>
      <c r="Q29" s="58">
        <v>27.14</v>
      </c>
      <c r="R29" s="43"/>
      <c r="S29" s="43"/>
      <c r="T29" s="43"/>
      <c r="U29" s="43"/>
    </row>
    <row r="30" spans="1:21" s="11" customFormat="1" ht="15">
      <c r="A30" s="57" t="s">
        <v>707</v>
      </c>
      <c r="B30" s="58">
        <v>61.83</v>
      </c>
      <c r="C30" s="58">
        <v>67.23</v>
      </c>
      <c r="D30" s="58">
        <v>128.56</v>
      </c>
      <c r="E30" s="58">
        <v>2.90</v>
      </c>
      <c r="F30" s="58">
        <v>3.58</v>
      </c>
      <c r="G30" s="58">
        <v>66.790000000000006</v>
      </c>
      <c r="H30" s="58">
        <v>23.01</v>
      </c>
      <c r="I30" s="58">
        <v>0.87</v>
      </c>
      <c r="J30" s="58">
        <v>0.21</v>
      </c>
      <c r="K30" s="58">
        <v>304.60000000000002</v>
      </c>
      <c r="L30" s="58">
        <v>25.65</v>
      </c>
      <c r="M30" s="58">
        <v>53.54</v>
      </c>
      <c r="N30" s="58">
        <v>5.40</v>
      </c>
      <c r="O30" s="58">
        <v>0</v>
      </c>
      <c r="P30" s="58">
        <v>2.2000000000000002</v>
      </c>
      <c r="Q30" s="58">
        <v>29.76</v>
      </c>
      <c r="R30" s="43"/>
      <c r="S30" s="43"/>
      <c r="T30" s="43"/>
      <c r="U30" s="43"/>
    </row>
    <row r="31" spans="1:21" s="11" customFormat="1" ht="15">
      <c r="A31" s="57" t="s">
        <v>708</v>
      </c>
      <c r="B31" s="58">
        <v>53.71</v>
      </c>
      <c r="C31" s="58">
        <v>80.849999999999994</v>
      </c>
      <c r="D31" s="58">
        <v>131.91999999999999</v>
      </c>
      <c r="E31" s="58">
        <v>2.57</v>
      </c>
      <c r="F31" s="58">
        <v>4.05</v>
      </c>
      <c r="G31" s="58">
        <v>90.54</v>
      </c>
      <c r="H31" s="58">
        <v>31.32</v>
      </c>
      <c r="I31" s="58">
        <v>0.91</v>
      </c>
      <c r="J31" s="58">
        <v>0.20</v>
      </c>
      <c r="K31" s="58">
        <v>265.08999999999997</v>
      </c>
      <c r="L31" s="58">
        <v>25.65</v>
      </c>
      <c r="M31" s="58">
        <v>55.17</v>
      </c>
      <c r="N31" s="58">
        <v>5.20</v>
      </c>
      <c r="O31" s="58">
        <v>0</v>
      </c>
      <c r="P31" s="58">
        <v>2.33</v>
      </c>
      <c r="Q31" s="58">
        <v>30.13</v>
      </c>
      <c r="R31" s="43"/>
      <c r="S31" s="43"/>
      <c r="T31" s="43"/>
      <c r="U31" s="43"/>
    </row>
    <row r="32" spans="1:21" s="11" customFormat="1" ht="15">
      <c r="A32" s="57" t="s">
        <v>709</v>
      </c>
      <c r="B32" s="58">
        <v>49.38</v>
      </c>
      <c r="C32" s="58">
        <v>69.67</v>
      </c>
      <c r="D32" s="58">
        <v>112.38</v>
      </c>
      <c r="E32" s="58">
        <v>2.38</v>
      </c>
      <c r="F32" s="58">
        <v>3.79</v>
      </c>
      <c r="G32" s="58">
        <v>93.68</v>
      </c>
      <c r="H32" s="58">
        <v>29.91</v>
      </c>
      <c r="I32" s="58">
        <v>1.01</v>
      </c>
      <c r="J32" s="58">
        <v>0.51</v>
      </c>
      <c r="K32" s="58">
        <v>277.83</v>
      </c>
      <c r="L32" s="58">
        <v>25.70</v>
      </c>
      <c r="M32" s="58">
        <v>57.76</v>
      </c>
      <c r="N32" s="58">
        <v>5.30</v>
      </c>
      <c r="O32" s="58">
        <v>0</v>
      </c>
      <c r="P32" s="58">
        <v>2.23</v>
      </c>
      <c r="Q32" s="58">
        <v>31.15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3.27</v>
      </c>
      <c r="C34" s="28">
        <f t="shared" si="0"/>
        <v>35.5</v>
      </c>
      <c r="D34" s="28">
        <f t="shared" si="0"/>
        <v>38.869999999999997</v>
      </c>
      <c r="E34" s="28">
        <f t="shared" si="0"/>
        <v>1.5</v>
      </c>
      <c r="F34" s="28">
        <f t="shared" si="0"/>
        <v>3.5800000000000001</v>
      </c>
      <c r="G34" s="28">
        <f t="shared" si="0"/>
        <v>21.059999999999999</v>
      </c>
      <c r="H34" s="28">
        <f t="shared" si="0"/>
        <v>8.0800000000000001</v>
      </c>
      <c r="I34" s="28">
        <f t="shared" si="0"/>
        <v>0.5</v>
      </c>
      <c r="J34" s="28">
        <f t="shared" si="0"/>
        <v>0.14000000000000001</v>
      </c>
      <c r="K34" s="28">
        <f t="shared" si="0"/>
        <v>152.53</v>
      </c>
      <c r="L34" s="28">
        <f t="shared" si="0"/>
        <v>22</v>
      </c>
      <c r="M34" s="28">
        <f t="shared" si="0"/>
        <v>35.960000000000001</v>
      </c>
      <c r="N34" s="28">
        <f t="shared" si="0"/>
        <v>4.7999999999999998</v>
      </c>
      <c r="O34" s="28">
        <f t="shared" si="0"/>
        <v>0</v>
      </c>
      <c r="P34" s="28">
        <f t="shared" si="0"/>
        <v>0.45000000000000001</v>
      </c>
      <c r="Q34" s="28">
        <f t="shared" si="0"/>
        <v>14.91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61.829999999999998</v>
      </c>
      <c r="C35" s="29">
        <f t="shared" si="1"/>
        <v>80.849999999999994</v>
      </c>
      <c r="D35" s="29">
        <f t="shared" si="1"/>
        <v>131.91999999999999</v>
      </c>
      <c r="E35" s="29">
        <f t="shared" si="1"/>
        <v>8.5</v>
      </c>
      <c r="F35" s="29">
        <f t="shared" si="1"/>
        <v>41.060000000000002</v>
      </c>
      <c r="G35" s="29">
        <f t="shared" si="1"/>
        <v>93.680000000000007</v>
      </c>
      <c r="H35" s="29">
        <f t="shared" si="1"/>
        <v>31.32</v>
      </c>
      <c r="I35" s="29">
        <f t="shared" si="1"/>
        <v>1.01</v>
      </c>
      <c r="J35" s="29">
        <f t="shared" si="1"/>
        <v>2.3900000000000001</v>
      </c>
      <c r="K35" s="29">
        <f t="shared" si="1"/>
        <v>358.86000000000001</v>
      </c>
      <c r="L35" s="29">
        <f t="shared" si="1"/>
        <v>30.239999999999998</v>
      </c>
      <c r="M35" s="29">
        <f t="shared" si="1"/>
        <v>61.649999999999999</v>
      </c>
      <c r="N35" s="29">
        <f t="shared" si="1"/>
        <v>881</v>
      </c>
      <c r="O35" s="29">
        <f t="shared" si="1"/>
        <v>0</v>
      </c>
      <c r="P35" s="29">
        <f t="shared" si="1"/>
        <v>2.3300000000000001</v>
      </c>
      <c r="Q35" s="29">
        <f t="shared" si="1"/>
        <v>31.149999999999999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15.137083333333335</v>
      </c>
      <c r="C36" s="28">
        <f t="shared" si="2"/>
        <v>50.340416666666663</v>
      </c>
      <c r="D36" s="28">
        <f t="shared" si="2"/>
        <v>63.870416666666664</v>
      </c>
      <c r="E36" s="28">
        <f t="shared" si="2"/>
        <v>2.6774999999999998</v>
      </c>
      <c r="F36" s="28">
        <f t="shared" si="2"/>
        <v>10.235833333333334</v>
      </c>
      <c r="G36" s="28">
        <f t="shared" si="2"/>
        <v>36.202083333333341</v>
      </c>
      <c r="H36" s="28">
        <f t="shared" si="2"/>
        <v>13.575416666666667</v>
      </c>
      <c r="I36" s="28">
        <f t="shared" si="2"/>
        <v>0.60750000000000004</v>
      </c>
      <c r="J36" s="28">
        <f t="shared" si="2"/>
        <v>0.755</v>
      </c>
      <c r="K36" s="28">
        <f t="shared" si="2"/>
        <v>285.27750000000003</v>
      </c>
      <c r="L36" s="28">
        <f t="shared" si="2"/>
        <v>25.973333333333333</v>
      </c>
      <c r="M36" s="28">
        <f t="shared" si="2"/>
        <v>51.175000000000004</v>
      </c>
      <c r="N36" s="28">
        <f t="shared" si="2"/>
        <v>189.39999999999998</v>
      </c>
      <c r="O36" s="28">
        <f t="shared" si="2"/>
        <v>0</v>
      </c>
      <c r="P36" s="28">
        <f t="shared" si="2"/>
        <v>0.95333333333333325</v>
      </c>
      <c r="Q36" s="28">
        <f t="shared" si="2"/>
        <v>20.902916666666663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18.408263616758045</v>
      </c>
      <c r="C37" s="28">
        <f t="shared" si="3" ref="C37:Q37">STDEV(C9:C32)</f>
        <v>14.234646795198627</v>
      </c>
      <c r="D37" s="28">
        <f t="shared" si="3"/>
        <v>29.4128860371816</v>
      </c>
      <c r="E37" s="28">
        <f t="shared" si="3"/>
        <v>1.7307380933653969</v>
      </c>
      <c r="F37" s="28">
        <f t="shared" si="3"/>
        <v>8.9158149261355479</v>
      </c>
      <c r="G37" s="28">
        <f t="shared" si="3"/>
        <v>19.915828526722077</v>
      </c>
      <c r="H37" s="28">
        <f t="shared" si="3"/>
        <v>6.1139981789238425</v>
      </c>
      <c r="I37" s="28">
        <f t="shared" si="3"/>
        <v>0.13724779241116813</v>
      </c>
      <c r="J37" s="28">
        <f t="shared" si="3"/>
        <v>0.55538470802952744</v>
      </c>
      <c r="K37" s="28">
        <f t="shared" si="3"/>
        <v>50.462561865208258</v>
      </c>
      <c r="L37" s="28">
        <f t="shared" si="3"/>
        <v>2.5751330344134717</v>
      </c>
      <c r="M37" s="28">
        <f t="shared" si="3"/>
        <v>8.4345217126840364</v>
      </c>
      <c r="N37" s="28">
        <f t="shared" si="3"/>
        <v>277.59249770591549</v>
      </c>
      <c r="O37" s="28">
        <f t="shared" si="3"/>
        <v>0</v>
      </c>
      <c r="P37" s="28">
        <f t="shared" si="3"/>
        <v>0.60242023947368872</v>
      </c>
      <c r="Q37" s="28">
        <f t="shared" si="3"/>
        <v>4.7711310109017706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9b115f-fd59-40fb-81e2-1042e8e36a5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73" sqref="N7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710</v>
      </c>
      <c r="B9" s="58">
        <v>35.24</v>
      </c>
      <c r="C9" s="58">
        <v>58.84</v>
      </c>
      <c r="D9" s="58">
        <v>89.78</v>
      </c>
      <c r="E9" s="58">
        <v>2.66</v>
      </c>
      <c r="F9" s="58">
        <v>5.0199999999999996</v>
      </c>
      <c r="G9" s="58">
        <v>92.49</v>
      </c>
      <c r="H9" s="58">
        <v>27.63</v>
      </c>
      <c r="I9" s="58">
        <v>0.93</v>
      </c>
      <c r="J9" s="58">
        <v>0.67</v>
      </c>
      <c r="K9" s="58">
        <v>342.71</v>
      </c>
      <c r="L9" s="58">
        <v>22.28</v>
      </c>
      <c r="M9" s="58">
        <v>86.52</v>
      </c>
      <c r="N9" s="58">
        <v>11.90</v>
      </c>
      <c r="O9" s="58">
        <v>1.60</v>
      </c>
      <c r="P9" s="58">
        <v>1.66</v>
      </c>
      <c r="Q9" s="58">
        <v>28.43</v>
      </c>
      <c r="R9" s="43"/>
      <c r="S9" s="43"/>
      <c r="T9" s="43"/>
      <c r="U9" s="43"/>
    </row>
    <row r="10" spans="1:21" s="11" customFormat="1" ht="15">
      <c r="A10" s="57" t="s">
        <v>711</v>
      </c>
      <c r="B10" s="58">
        <v>4.25</v>
      </c>
      <c r="C10" s="58">
        <v>53.86</v>
      </c>
      <c r="D10" s="58">
        <v>57.18</v>
      </c>
      <c r="E10" s="58">
        <v>1.43</v>
      </c>
      <c r="F10" s="58">
        <v>4.68</v>
      </c>
      <c r="G10" s="58">
        <v>72.319999999999993</v>
      </c>
      <c r="H10" s="58">
        <v>23.07</v>
      </c>
      <c r="I10" s="58">
        <v>0.57999999999999996</v>
      </c>
      <c r="J10" s="58">
        <v>1</v>
      </c>
      <c r="K10" s="58">
        <v>248.04</v>
      </c>
      <c r="L10" s="58">
        <v>18.079999999999998</v>
      </c>
      <c r="M10" s="58">
        <v>91.01</v>
      </c>
      <c r="N10" s="58">
        <v>5.20</v>
      </c>
      <c r="O10" s="58">
        <v>1</v>
      </c>
      <c r="P10" s="58">
        <v>1.1499999999999999</v>
      </c>
      <c r="Q10" s="58">
        <v>20.22</v>
      </c>
      <c r="R10" s="43"/>
      <c r="S10" s="43"/>
      <c r="T10" s="43"/>
      <c r="U10" s="43"/>
    </row>
    <row r="11" spans="1:21" s="11" customFormat="1" ht="15">
      <c r="A11" s="57" t="s">
        <v>712</v>
      </c>
      <c r="B11" s="58">
        <v>5.04</v>
      </c>
      <c r="C11" s="58">
        <v>46.51</v>
      </c>
      <c r="D11" s="58">
        <v>51.34</v>
      </c>
      <c r="E11" s="58">
        <v>1.83</v>
      </c>
      <c r="F11" s="58">
        <v>4.1100000000000003</v>
      </c>
      <c r="G11" s="58">
        <v>44.83</v>
      </c>
      <c r="H11" s="58">
        <v>19.52</v>
      </c>
      <c r="I11" s="58">
        <v>0.59</v>
      </c>
      <c r="J11" s="58">
        <v>1.99</v>
      </c>
      <c r="K11" s="58">
        <v>127.51</v>
      </c>
      <c r="L11" s="58">
        <v>19.78</v>
      </c>
      <c r="M11" s="58">
        <v>86.51</v>
      </c>
      <c r="N11" s="58">
        <v>7</v>
      </c>
      <c r="O11" s="58">
        <v>0</v>
      </c>
      <c r="P11" s="58">
        <v>1.1200000000000001</v>
      </c>
      <c r="Q11" s="58">
        <v>27.32</v>
      </c>
      <c r="R11" s="43"/>
      <c r="S11" s="43"/>
      <c r="T11" s="43"/>
      <c r="U11" s="43"/>
    </row>
    <row r="12" spans="1:21" s="11" customFormat="1" ht="15">
      <c r="A12" s="57" t="s">
        <v>713</v>
      </c>
      <c r="B12" s="58">
        <v>4.0999999999999996</v>
      </c>
      <c r="C12" s="58">
        <v>42.63</v>
      </c>
      <c r="D12" s="58">
        <v>46.73</v>
      </c>
      <c r="E12" s="58">
        <v>1.40</v>
      </c>
      <c r="F12" s="58">
        <v>4.66</v>
      </c>
      <c r="G12" s="58">
        <v>27.30</v>
      </c>
      <c r="H12" s="58">
        <v>13.04</v>
      </c>
      <c r="I12" s="58">
        <v>0.57999999999999996</v>
      </c>
      <c r="J12" s="58">
        <v>2.34</v>
      </c>
      <c r="K12" s="58">
        <v>131.18</v>
      </c>
      <c r="L12" s="58">
        <v>21.36</v>
      </c>
      <c r="M12" s="58">
        <v>69.64</v>
      </c>
      <c r="N12" s="58">
        <v>5.0999999999999996</v>
      </c>
      <c r="O12" s="58">
        <v>0</v>
      </c>
      <c r="P12" s="58">
        <v>0.91</v>
      </c>
      <c r="Q12" s="58">
        <v>28.46</v>
      </c>
      <c r="R12" s="43"/>
      <c r="S12" s="43"/>
      <c r="T12" s="43"/>
      <c r="U12" s="43"/>
    </row>
    <row r="13" spans="1:21" s="11" customFormat="1" ht="15">
      <c r="A13" s="57" t="s">
        <v>714</v>
      </c>
      <c r="B13" s="58">
        <v>3.32</v>
      </c>
      <c r="C13" s="58">
        <v>38.71</v>
      </c>
      <c r="D13" s="58">
        <v>41.61</v>
      </c>
      <c r="E13" s="58">
        <v>1.20</v>
      </c>
      <c r="F13" s="58">
        <v>6.62</v>
      </c>
      <c r="G13" s="58">
        <v>15.22</v>
      </c>
      <c r="H13" s="58">
        <v>9.61</v>
      </c>
      <c r="I13" s="58">
        <v>0.55000000000000004</v>
      </c>
      <c r="J13" s="58">
        <v>1.33</v>
      </c>
      <c r="K13" s="58">
        <v>238.76</v>
      </c>
      <c r="L13" s="58">
        <v>21.31</v>
      </c>
      <c r="M13" s="58">
        <v>64.81</v>
      </c>
      <c r="N13" s="58">
        <v>5.30</v>
      </c>
      <c r="O13" s="58">
        <v>0</v>
      </c>
      <c r="P13" s="58">
        <v>0.63</v>
      </c>
      <c r="Q13" s="58">
        <v>27.81</v>
      </c>
      <c r="R13" s="43"/>
      <c r="S13" s="43"/>
      <c r="T13" s="43"/>
      <c r="U13" s="43"/>
    </row>
    <row r="14" spans="1:21" s="11" customFormat="1" ht="15">
      <c r="A14" s="57" t="s">
        <v>715</v>
      </c>
      <c r="B14" s="58">
        <v>6.11</v>
      </c>
      <c r="C14" s="58">
        <v>42.78</v>
      </c>
      <c r="D14" s="58">
        <v>48.22</v>
      </c>
      <c r="E14" s="58">
        <v>1.20</v>
      </c>
      <c r="F14" s="58">
        <v>6.88</v>
      </c>
      <c r="G14" s="58">
        <v>9.99</v>
      </c>
      <c r="H14" s="58">
        <v>8.48</v>
      </c>
      <c r="I14" s="58">
        <v>0.53</v>
      </c>
      <c r="J14" s="58">
        <v>0.19</v>
      </c>
      <c r="K14" s="58">
        <v>303.54000000000002</v>
      </c>
      <c r="L14" s="58">
        <v>20.18</v>
      </c>
      <c r="M14" s="58">
        <v>75.28</v>
      </c>
      <c r="N14" s="58">
        <v>20.399999999999999</v>
      </c>
      <c r="O14" s="58">
        <v>0</v>
      </c>
      <c r="P14" s="58">
        <v>0.52</v>
      </c>
      <c r="Q14" s="58">
        <v>27.58</v>
      </c>
      <c r="R14" s="43"/>
      <c r="S14" s="43"/>
      <c r="T14" s="43"/>
      <c r="U14" s="43"/>
    </row>
    <row r="15" spans="1:21" s="11" customFormat="1" ht="15">
      <c r="A15" s="57" t="s">
        <v>716</v>
      </c>
      <c r="B15" s="58">
        <v>11.66</v>
      </c>
      <c r="C15" s="58">
        <v>45.18</v>
      </c>
      <c r="D15" s="58">
        <v>56.84</v>
      </c>
      <c r="E15" s="58">
        <v>1.36</v>
      </c>
      <c r="F15" s="58">
        <v>2.87</v>
      </c>
      <c r="G15" s="58">
        <v>12.42</v>
      </c>
      <c r="H15" s="58">
        <v>6.28</v>
      </c>
      <c r="I15" s="58">
        <v>0.53</v>
      </c>
      <c r="J15" s="58">
        <v>0.18</v>
      </c>
      <c r="K15" s="58">
        <v>274.01</v>
      </c>
      <c r="L15" s="58">
        <v>22.48</v>
      </c>
      <c r="M15" s="58">
        <v>75.510000000000005</v>
      </c>
      <c r="N15" s="58">
        <v>204.30</v>
      </c>
      <c r="O15" s="58">
        <v>0</v>
      </c>
      <c r="P15" s="58">
        <v>0.56000000000000005</v>
      </c>
      <c r="Q15" s="58">
        <v>27.60</v>
      </c>
      <c r="R15" s="43"/>
      <c r="S15" s="43"/>
      <c r="T15" s="43"/>
      <c r="U15" s="43"/>
    </row>
    <row r="16" spans="1:21" s="11" customFormat="1" ht="15">
      <c r="A16" s="57" t="s">
        <v>717</v>
      </c>
      <c r="B16" s="58">
        <v>17.36</v>
      </c>
      <c r="C16" s="58">
        <v>43.57</v>
      </c>
      <c r="D16" s="58">
        <v>60.93</v>
      </c>
      <c r="E16" s="58">
        <v>1.20</v>
      </c>
      <c r="F16" s="58">
        <v>3.17</v>
      </c>
      <c r="G16" s="58">
        <v>42.40</v>
      </c>
      <c r="H16" s="58">
        <v>12.61</v>
      </c>
      <c r="I16" s="58">
        <v>0.53</v>
      </c>
      <c r="J16" s="58">
        <v>0.25</v>
      </c>
      <c r="K16" s="58">
        <v>278.55</v>
      </c>
      <c r="L16" s="58">
        <v>23.19</v>
      </c>
      <c r="M16" s="58">
        <v>73.69</v>
      </c>
      <c r="N16" s="58">
        <v>231.80</v>
      </c>
      <c r="O16" s="58">
        <v>0</v>
      </c>
      <c r="P16" s="58">
        <v>0.61</v>
      </c>
      <c r="Q16" s="58">
        <v>25.13</v>
      </c>
      <c r="R16" s="43"/>
      <c r="S16" s="43"/>
      <c r="T16" s="43"/>
      <c r="U16" s="43"/>
    </row>
    <row r="17" spans="1:21" s="11" customFormat="1" ht="15">
      <c r="A17" s="57" t="s">
        <v>718</v>
      </c>
      <c r="B17" s="58">
        <v>17.54</v>
      </c>
      <c r="C17" s="58">
        <v>45.49</v>
      </c>
      <c r="D17" s="58">
        <v>39.81</v>
      </c>
      <c r="E17" s="58">
        <v>1.75</v>
      </c>
      <c r="F17" s="58">
        <v>3.86</v>
      </c>
      <c r="G17" s="58">
        <v>50.60</v>
      </c>
      <c r="H17" s="58">
        <v>17.30</v>
      </c>
      <c r="I17" s="58">
        <v>0.56000000000000005</v>
      </c>
      <c r="J17" s="58">
        <v>0.80</v>
      </c>
      <c r="K17" s="58">
        <v>228.04</v>
      </c>
      <c r="L17" s="58">
        <v>24.21</v>
      </c>
      <c r="M17" s="58">
        <v>68.62</v>
      </c>
      <c r="N17" s="58">
        <v>658.80</v>
      </c>
      <c r="O17" s="58">
        <v>0</v>
      </c>
      <c r="P17" s="58">
        <v>0.63</v>
      </c>
      <c r="Q17" s="58">
        <v>27.05</v>
      </c>
      <c r="R17" s="43"/>
      <c r="S17" s="43"/>
      <c r="T17" s="43"/>
      <c r="U17" s="43"/>
    </row>
    <row r="18" spans="1:21" s="11" customFormat="1" ht="15">
      <c r="A18" s="57" t="s">
        <v>719</v>
      </c>
      <c r="B18" s="58">
        <v>12.90</v>
      </c>
      <c r="C18" s="58">
        <v>45.60</v>
      </c>
      <c r="D18" s="58">
        <v>36.15</v>
      </c>
      <c r="E18" s="58">
        <v>1.67</v>
      </c>
      <c r="F18" s="58">
        <v>3.89</v>
      </c>
      <c r="G18" s="58">
        <v>46.75</v>
      </c>
      <c r="H18" s="58">
        <v>16.98</v>
      </c>
      <c r="I18" s="58">
        <v>0.55000000000000004</v>
      </c>
      <c r="J18" s="58">
        <v>0.87</v>
      </c>
      <c r="K18" s="58">
        <v>237.04</v>
      </c>
      <c r="L18" s="58">
        <v>26.43</v>
      </c>
      <c r="M18" s="58">
        <v>57.01</v>
      </c>
      <c r="N18" s="58">
        <v>809.10</v>
      </c>
      <c r="O18" s="58">
        <v>0</v>
      </c>
      <c r="P18" s="58">
        <v>0.57999999999999996</v>
      </c>
      <c r="Q18" s="58">
        <v>25.04</v>
      </c>
      <c r="R18" s="43"/>
      <c r="S18" s="43"/>
      <c r="T18" s="43"/>
      <c r="U18" s="43"/>
    </row>
    <row r="19" spans="1:21" s="11" customFormat="1" ht="15">
      <c r="A19" s="57" t="s">
        <v>720</v>
      </c>
      <c r="B19" s="58">
        <v>6.11</v>
      </c>
      <c r="C19" s="58">
        <v>41.79</v>
      </c>
      <c r="D19" s="58">
        <v>27.40</v>
      </c>
      <c r="E19" s="58">
        <v>1.79</v>
      </c>
      <c r="F19" s="58">
        <v>6.45</v>
      </c>
      <c r="G19" s="58">
        <v>38.04</v>
      </c>
      <c r="H19" s="58">
        <v>13.19</v>
      </c>
      <c r="I19" s="58">
        <v>0.54</v>
      </c>
      <c r="J19" s="58">
        <v>0.79</v>
      </c>
      <c r="K19" s="58">
        <v>249.60</v>
      </c>
      <c r="L19" s="58">
        <v>27.82</v>
      </c>
      <c r="M19" s="58">
        <v>52.58</v>
      </c>
      <c r="N19" s="58">
        <v>792.90</v>
      </c>
      <c r="O19" s="58">
        <v>0</v>
      </c>
      <c r="P19" s="58">
        <v>0.52</v>
      </c>
      <c r="Q19" s="58">
        <v>19.13</v>
      </c>
      <c r="R19" s="43"/>
      <c r="S19" s="43"/>
      <c r="T19" s="43"/>
      <c r="U19" s="43"/>
    </row>
    <row r="20" spans="1:21" s="11" customFormat="1" ht="15">
      <c r="A20" s="57" t="s">
        <v>721</v>
      </c>
      <c r="B20" s="58">
        <v>3.82</v>
      </c>
      <c r="C20" s="58">
        <v>30.72</v>
      </c>
      <c r="D20" s="58">
        <v>20.66</v>
      </c>
      <c r="E20" s="58">
        <v>1.74</v>
      </c>
      <c r="F20" s="58">
        <v>29.98</v>
      </c>
      <c r="G20" s="58">
        <v>27.54</v>
      </c>
      <c r="H20" s="58">
        <v>11.26</v>
      </c>
      <c r="I20" s="58">
        <v>0.53</v>
      </c>
      <c r="J20" s="58">
        <v>0.97</v>
      </c>
      <c r="K20" s="58">
        <v>244.02</v>
      </c>
      <c r="L20" s="58">
        <v>28.99</v>
      </c>
      <c r="M20" s="58">
        <v>51.62</v>
      </c>
      <c r="N20" s="58">
        <v>871.40</v>
      </c>
      <c r="O20" s="58">
        <v>0</v>
      </c>
      <c r="P20" s="58">
        <v>0.45</v>
      </c>
      <c r="Q20" s="58">
        <v>21.97</v>
      </c>
      <c r="R20" s="43"/>
      <c r="S20" s="43"/>
      <c r="T20" s="43"/>
      <c r="U20" s="43"/>
    </row>
    <row r="21" spans="1:21" s="11" customFormat="1" ht="15">
      <c r="A21" s="57" t="s">
        <v>722</v>
      </c>
      <c r="B21" s="58">
        <v>2.06</v>
      </c>
      <c r="C21" s="58">
        <v>22.08</v>
      </c>
      <c r="D21" s="58">
        <v>14.48</v>
      </c>
      <c r="E21" s="65" t="s">
        <v>14</v>
      </c>
      <c r="F21" s="58">
        <v>15.13</v>
      </c>
      <c r="G21" s="58">
        <v>17</v>
      </c>
      <c r="H21" s="58">
        <v>8.10</v>
      </c>
      <c r="I21" s="58">
        <v>0.46</v>
      </c>
      <c r="J21" s="58">
        <v>0.80</v>
      </c>
      <c r="K21" s="58">
        <v>284.16000000000003</v>
      </c>
      <c r="L21" s="58">
        <v>29.61</v>
      </c>
      <c r="M21" s="58">
        <v>46.34</v>
      </c>
      <c r="N21" s="58">
        <v>668</v>
      </c>
      <c r="O21" s="58">
        <v>0</v>
      </c>
      <c r="P21" s="58">
        <v>0.27</v>
      </c>
      <c r="Q21" s="58">
        <v>22.11</v>
      </c>
      <c r="R21" s="43"/>
      <c r="S21" s="43"/>
      <c r="T21" s="43"/>
      <c r="U21" s="43"/>
    </row>
    <row r="22" spans="1:21" s="11" customFormat="1" ht="15">
      <c r="A22" s="57" t="s">
        <v>723</v>
      </c>
      <c r="B22" s="58">
        <v>3.49</v>
      </c>
      <c r="C22" s="58">
        <v>30.88</v>
      </c>
      <c r="D22" s="58">
        <v>20.100000000000001</v>
      </c>
      <c r="E22" s="65" t="s">
        <v>14</v>
      </c>
      <c r="F22" s="58">
        <v>32.08</v>
      </c>
      <c r="G22" s="58">
        <v>20.29</v>
      </c>
      <c r="H22" s="58">
        <v>8.4700000000000006</v>
      </c>
      <c r="I22" s="58">
        <v>0.48</v>
      </c>
      <c r="J22" s="58">
        <v>0.72</v>
      </c>
      <c r="K22" s="58">
        <v>288.51</v>
      </c>
      <c r="L22" s="58">
        <v>32.35</v>
      </c>
      <c r="M22" s="58">
        <v>43.03</v>
      </c>
      <c r="N22" s="58">
        <v>656.70</v>
      </c>
      <c r="O22" s="58">
        <v>0</v>
      </c>
      <c r="P22" s="58">
        <v>0.53</v>
      </c>
      <c r="Q22" s="58">
        <v>24.57</v>
      </c>
      <c r="R22" s="43"/>
      <c r="S22" s="43"/>
      <c r="T22" s="43"/>
      <c r="U22" s="43"/>
    </row>
    <row r="23" spans="1:21" s="11" customFormat="1" ht="15">
      <c r="A23" s="57" t="s">
        <v>724</v>
      </c>
      <c r="B23" s="58">
        <v>4.03</v>
      </c>
      <c r="C23" s="58">
        <v>49.10</v>
      </c>
      <c r="D23" s="58">
        <v>29.36</v>
      </c>
      <c r="E23" s="65" t="s">
        <v>14</v>
      </c>
      <c r="F23" s="58">
        <v>37.799999999999997</v>
      </c>
      <c r="G23" s="58">
        <v>18.559999999999999</v>
      </c>
      <c r="H23" s="58">
        <v>12.41</v>
      </c>
      <c r="I23" s="58">
        <v>0.47</v>
      </c>
      <c r="J23" s="58">
        <v>0.70</v>
      </c>
      <c r="K23" s="58">
        <v>304.37</v>
      </c>
      <c r="L23" s="58">
        <v>32.909999999999997</v>
      </c>
      <c r="M23" s="58">
        <v>43.04</v>
      </c>
      <c r="N23" s="58">
        <v>581</v>
      </c>
      <c r="O23" s="58">
        <v>0</v>
      </c>
      <c r="P23" s="58">
        <v>1.48</v>
      </c>
      <c r="Q23" s="58">
        <v>26.81</v>
      </c>
      <c r="R23" s="43"/>
      <c r="S23" s="43"/>
      <c r="T23" s="43"/>
      <c r="U23" s="43"/>
    </row>
    <row r="24" spans="1:21" s="11" customFormat="1" ht="15">
      <c r="A24" s="57" t="s">
        <v>725</v>
      </c>
      <c r="B24" s="58">
        <v>3.32</v>
      </c>
      <c r="C24" s="58">
        <v>36.39</v>
      </c>
      <c r="D24" s="58">
        <v>22.44</v>
      </c>
      <c r="E24" s="65" t="s">
        <v>14</v>
      </c>
      <c r="F24" s="58">
        <v>16.57</v>
      </c>
      <c r="G24" s="58">
        <v>28.23</v>
      </c>
      <c r="H24" s="58">
        <v>11.46</v>
      </c>
      <c r="I24" s="58">
        <v>0.48</v>
      </c>
      <c r="J24" s="58">
        <v>0.39</v>
      </c>
      <c r="K24" s="58">
        <v>295.79000000000002</v>
      </c>
      <c r="L24" s="58">
        <v>31.39</v>
      </c>
      <c r="M24" s="58">
        <v>42.77</v>
      </c>
      <c r="N24" s="58">
        <v>251.90</v>
      </c>
      <c r="O24" s="58">
        <v>0</v>
      </c>
      <c r="P24" s="58">
        <v>1.40</v>
      </c>
      <c r="Q24" s="58">
        <v>21.81</v>
      </c>
      <c r="R24" s="43"/>
      <c r="S24" s="43"/>
      <c r="T24" s="43"/>
      <c r="U24" s="43"/>
    </row>
    <row r="25" spans="1:21" s="11" customFormat="1" ht="15">
      <c r="A25" s="57" t="s">
        <v>726</v>
      </c>
      <c r="B25" s="58">
        <v>3.39</v>
      </c>
      <c r="C25" s="58">
        <v>34.44</v>
      </c>
      <c r="D25" s="58">
        <v>22.13</v>
      </c>
      <c r="E25" s="65" t="s">
        <v>14</v>
      </c>
      <c r="F25" s="58">
        <v>34.44</v>
      </c>
      <c r="G25" s="58">
        <v>31.21</v>
      </c>
      <c r="H25" s="58">
        <v>14.46</v>
      </c>
      <c r="I25" s="58">
        <v>0.49</v>
      </c>
      <c r="J25" s="58">
        <v>0.55000000000000004</v>
      </c>
      <c r="K25" s="58">
        <v>246.83</v>
      </c>
      <c r="L25" s="58">
        <v>30.68</v>
      </c>
      <c r="M25" s="58">
        <v>42.61</v>
      </c>
      <c r="N25" s="58">
        <v>189.90</v>
      </c>
      <c r="O25" s="58">
        <v>0</v>
      </c>
      <c r="P25" s="58">
        <v>1.1599999999999999</v>
      </c>
      <c r="Q25" s="58">
        <v>24.5</v>
      </c>
      <c r="R25" s="43"/>
      <c r="S25" s="43"/>
      <c r="T25" s="43"/>
      <c r="U25" s="43"/>
    </row>
    <row r="26" spans="1:21" s="11" customFormat="1" ht="15">
      <c r="A26" s="57" t="s">
        <v>727</v>
      </c>
      <c r="B26" s="58">
        <v>2.44</v>
      </c>
      <c r="C26" s="58">
        <v>36.47</v>
      </c>
      <c r="D26" s="58">
        <v>21.93</v>
      </c>
      <c r="E26" s="65" t="s">
        <v>14</v>
      </c>
      <c r="F26" s="58">
        <v>12.84</v>
      </c>
      <c r="G26" s="58">
        <v>27.06</v>
      </c>
      <c r="H26" s="58">
        <v>12.81</v>
      </c>
      <c r="I26" s="58">
        <v>0.48</v>
      </c>
      <c r="J26" s="58">
        <v>1.05</v>
      </c>
      <c r="K26" s="58">
        <v>229.95</v>
      </c>
      <c r="L26" s="58">
        <v>29.47</v>
      </c>
      <c r="M26" s="58">
        <v>49.48</v>
      </c>
      <c r="N26" s="58">
        <v>73.20</v>
      </c>
      <c r="O26" s="58">
        <v>0</v>
      </c>
      <c r="P26" s="58">
        <v>0.82</v>
      </c>
      <c r="Q26" s="58">
        <v>25.62</v>
      </c>
      <c r="R26" s="43"/>
      <c r="S26" s="43"/>
      <c r="T26" s="43"/>
      <c r="U26" s="43"/>
    </row>
    <row r="27" spans="1:21" s="11" customFormat="1" ht="15">
      <c r="A27" s="57" t="s">
        <v>728</v>
      </c>
      <c r="B27" s="58">
        <v>2.68</v>
      </c>
      <c r="C27" s="58">
        <v>29.80</v>
      </c>
      <c r="D27" s="58">
        <v>19.20</v>
      </c>
      <c r="E27" s="65" t="s">
        <v>14</v>
      </c>
      <c r="F27" s="58">
        <v>18.309999999999999</v>
      </c>
      <c r="G27" s="58">
        <v>25.79</v>
      </c>
      <c r="H27" s="58">
        <v>13.11</v>
      </c>
      <c r="I27" s="58">
        <v>0.47</v>
      </c>
      <c r="J27" s="58">
        <v>0.56000000000000005</v>
      </c>
      <c r="K27" s="58">
        <v>256.30</v>
      </c>
      <c r="L27" s="58">
        <v>27.94</v>
      </c>
      <c r="M27" s="58">
        <v>55.32</v>
      </c>
      <c r="N27" s="58">
        <v>11.60</v>
      </c>
      <c r="O27" s="58">
        <v>0</v>
      </c>
      <c r="P27" s="58">
        <v>0.69</v>
      </c>
      <c r="Q27" s="58">
        <v>22.39</v>
      </c>
      <c r="R27" s="43"/>
      <c r="S27" s="43"/>
      <c r="T27" s="43"/>
      <c r="U27" s="43"/>
    </row>
    <row r="28" spans="1:21" s="11" customFormat="1" ht="15">
      <c r="A28" s="57" t="s">
        <v>729</v>
      </c>
      <c r="B28" s="58">
        <v>5.13</v>
      </c>
      <c r="C28" s="58">
        <v>34.85</v>
      </c>
      <c r="D28" s="58">
        <v>23.99</v>
      </c>
      <c r="E28" s="65" t="s">
        <v>14</v>
      </c>
      <c r="F28" s="58">
        <v>19.80</v>
      </c>
      <c r="G28" s="58">
        <v>25.75</v>
      </c>
      <c r="H28" s="58">
        <v>12.27</v>
      </c>
      <c r="I28" s="58">
        <v>0.5</v>
      </c>
      <c r="J28" s="58">
        <v>0.30</v>
      </c>
      <c r="K28" s="58">
        <v>256.94</v>
      </c>
      <c r="L28" s="58">
        <v>26.58</v>
      </c>
      <c r="M28" s="58">
        <v>57.18</v>
      </c>
      <c r="N28" s="58">
        <v>4.80</v>
      </c>
      <c r="O28" s="58">
        <v>0</v>
      </c>
      <c r="P28" s="58">
        <v>0.63</v>
      </c>
      <c r="Q28" s="58">
        <v>25.39</v>
      </c>
      <c r="R28" s="43"/>
      <c r="S28" s="43"/>
      <c r="T28" s="43"/>
      <c r="U28" s="43"/>
    </row>
    <row r="29" spans="1:21" s="11" customFormat="1" ht="15">
      <c r="A29" s="57" t="s">
        <v>730</v>
      </c>
      <c r="B29" s="58">
        <v>5.60</v>
      </c>
      <c r="C29" s="58">
        <v>30.55</v>
      </c>
      <c r="D29" s="58">
        <v>22</v>
      </c>
      <c r="E29" s="65" t="s">
        <v>14</v>
      </c>
      <c r="F29" s="58">
        <v>7.46</v>
      </c>
      <c r="G29" s="58">
        <v>29.35</v>
      </c>
      <c r="H29" s="58">
        <v>12.56</v>
      </c>
      <c r="I29" s="58">
        <v>0.51</v>
      </c>
      <c r="J29" s="58">
        <v>0.27</v>
      </c>
      <c r="K29" s="58">
        <v>286.92</v>
      </c>
      <c r="L29" s="58">
        <v>25.82</v>
      </c>
      <c r="M29" s="58">
        <v>58.79</v>
      </c>
      <c r="N29" s="58">
        <v>5</v>
      </c>
      <c r="O29" s="58">
        <v>0</v>
      </c>
      <c r="P29" s="58">
        <v>0.66</v>
      </c>
      <c r="Q29" s="58">
        <v>25.87</v>
      </c>
      <c r="R29" s="43"/>
      <c r="S29" s="43"/>
      <c r="T29" s="43"/>
      <c r="U29" s="43"/>
    </row>
    <row r="30" spans="1:21" s="11" customFormat="1" ht="15">
      <c r="A30" s="57" t="s">
        <v>731</v>
      </c>
      <c r="B30" s="58">
        <v>5.60</v>
      </c>
      <c r="C30" s="58">
        <v>42.98</v>
      </c>
      <c r="D30" s="58">
        <v>28.85</v>
      </c>
      <c r="E30" s="65" t="s">
        <v>14</v>
      </c>
      <c r="F30" s="58">
        <v>13.45</v>
      </c>
      <c r="G30" s="58">
        <v>28.99</v>
      </c>
      <c r="H30" s="58">
        <v>14.82</v>
      </c>
      <c r="I30" s="58">
        <v>0.55000000000000004</v>
      </c>
      <c r="J30" s="58">
        <v>0.16</v>
      </c>
      <c r="K30" s="58">
        <v>272.77999999999997</v>
      </c>
      <c r="L30" s="58">
        <v>25.61</v>
      </c>
      <c r="M30" s="58">
        <v>58.58</v>
      </c>
      <c r="N30" s="58">
        <v>4.70</v>
      </c>
      <c r="O30" s="58">
        <v>0</v>
      </c>
      <c r="P30" s="58">
        <v>0.70</v>
      </c>
      <c r="Q30" s="58">
        <v>25.80</v>
      </c>
      <c r="R30" s="43"/>
      <c r="S30" s="43"/>
      <c r="T30" s="43"/>
      <c r="U30" s="43"/>
    </row>
    <row r="31" spans="1:21" s="11" customFormat="1" ht="15">
      <c r="A31" s="57" t="s">
        <v>732</v>
      </c>
      <c r="B31" s="58">
        <v>11.83</v>
      </c>
      <c r="C31" s="58">
        <v>47.23</v>
      </c>
      <c r="D31" s="58">
        <v>36.200000000000003</v>
      </c>
      <c r="E31" s="65" t="s">
        <v>14</v>
      </c>
      <c r="F31" s="58">
        <v>12.12</v>
      </c>
      <c r="G31" s="58">
        <v>31.92</v>
      </c>
      <c r="H31" s="58">
        <v>12.96</v>
      </c>
      <c r="I31" s="58">
        <v>0.56000000000000005</v>
      </c>
      <c r="J31" s="58">
        <v>0.11</v>
      </c>
      <c r="K31" s="58">
        <v>305.26</v>
      </c>
      <c r="L31" s="58">
        <v>25.60</v>
      </c>
      <c r="M31" s="58">
        <v>61.77</v>
      </c>
      <c r="N31" s="58">
        <v>5</v>
      </c>
      <c r="O31" s="58">
        <v>0</v>
      </c>
      <c r="P31" s="58">
        <v>0.79</v>
      </c>
      <c r="Q31" s="58">
        <v>27.15</v>
      </c>
      <c r="R31" s="43"/>
      <c r="S31" s="43"/>
      <c r="T31" s="43"/>
      <c r="U31" s="43"/>
    </row>
    <row r="32" spans="1:21" s="11" customFormat="1" ht="15">
      <c r="A32" s="57" t="s">
        <v>733</v>
      </c>
      <c r="B32" s="58">
        <v>11.01</v>
      </c>
      <c r="C32" s="58">
        <v>28.61</v>
      </c>
      <c r="D32" s="58">
        <v>24.81</v>
      </c>
      <c r="E32" s="65" t="s">
        <v>14</v>
      </c>
      <c r="F32" s="58">
        <v>6.38</v>
      </c>
      <c r="G32" s="58">
        <v>36.81</v>
      </c>
      <c r="H32" s="58">
        <v>15.90</v>
      </c>
      <c r="I32" s="58">
        <v>0.57999999999999996</v>
      </c>
      <c r="J32" s="58">
        <v>0.09</v>
      </c>
      <c r="K32" s="58">
        <v>317.49</v>
      </c>
      <c r="L32" s="58">
        <v>24.70</v>
      </c>
      <c r="M32" s="58">
        <v>64.47</v>
      </c>
      <c r="N32" s="58">
        <v>5</v>
      </c>
      <c r="O32" s="58">
        <v>0</v>
      </c>
      <c r="P32" s="58">
        <v>0.67</v>
      </c>
      <c r="Q32" s="58">
        <v>26.37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2.0600000000000001</v>
      </c>
      <c r="C34" s="28">
        <f t="shared" si="0"/>
        <v>22.079999999999998</v>
      </c>
      <c r="D34" s="28">
        <f t="shared" si="0"/>
        <v>14.48</v>
      </c>
      <c r="E34" s="28">
        <f t="shared" si="0"/>
        <v>1.2</v>
      </c>
      <c r="F34" s="28">
        <f t="shared" si="0"/>
        <v>2.8700000000000001</v>
      </c>
      <c r="G34" s="28">
        <f t="shared" si="0"/>
        <v>9.9900000000000002</v>
      </c>
      <c r="H34" s="28">
        <f t="shared" si="0"/>
        <v>6.2800000000000002</v>
      </c>
      <c r="I34" s="28">
        <f t="shared" si="0"/>
        <v>0.46000000000000002</v>
      </c>
      <c r="J34" s="28">
        <f t="shared" si="0"/>
        <v>0.089999999999999997</v>
      </c>
      <c r="K34" s="28">
        <f t="shared" si="0"/>
        <v>127.51000000000001</v>
      </c>
      <c r="L34" s="28">
        <f t="shared" si="0"/>
        <v>18.079999999999998</v>
      </c>
      <c r="M34" s="28">
        <f t="shared" si="0"/>
        <v>42.609999999999999</v>
      </c>
      <c r="N34" s="28">
        <f t="shared" si="0"/>
        <v>4.7000000000000002</v>
      </c>
      <c r="O34" s="28">
        <f t="shared" si="0"/>
        <v>0</v>
      </c>
      <c r="P34" s="28">
        <f t="shared" si="0"/>
        <v>0.27000000000000002</v>
      </c>
      <c r="Q34" s="28">
        <f t="shared" si="0"/>
        <v>19.129999999999999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35.240000000000002</v>
      </c>
      <c r="C35" s="29">
        <f t="shared" si="1"/>
        <v>58.840000000000003</v>
      </c>
      <c r="D35" s="29">
        <f t="shared" si="1"/>
        <v>89.780000000000001</v>
      </c>
      <c r="E35" s="29">
        <f t="shared" si="1"/>
        <v>2.6600000000000001</v>
      </c>
      <c r="F35" s="29">
        <f t="shared" si="1"/>
        <v>37.799999999999997</v>
      </c>
      <c r="G35" s="29">
        <f t="shared" si="1"/>
        <v>92.489999999999995</v>
      </c>
      <c r="H35" s="29">
        <f t="shared" si="1"/>
        <v>27.629999999999999</v>
      </c>
      <c r="I35" s="29">
        <f t="shared" si="1"/>
        <v>0.93000000000000005</v>
      </c>
      <c r="J35" s="29">
        <f t="shared" si="1"/>
        <v>2.3399999999999999</v>
      </c>
      <c r="K35" s="29">
        <f t="shared" si="1"/>
        <v>342.70999999999998</v>
      </c>
      <c r="L35" s="29">
        <f t="shared" si="1"/>
        <v>32.909999999999997</v>
      </c>
      <c r="M35" s="29">
        <f t="shared" si="1"/>
        <v>91.010000000000005</v>
      </c>
      <c r="N35" s="29">
        <f t="shared" si="1"/>
        <v>871.39999999999998</v>
      </c>
      <c r="O35" s="29">
        <f t="shared" si="1"/>
        <v>1.6000000000000001</v>
      </c>
      <c r="P35" s="29">
        <f t="shared" si="1"/>
        <v>1.6599999999999999</v>
      </c>
      <c r="Q35" s="29">
        <f t="shared" si="1"/>
        <v>28.460000000000001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7.8345833333333319</v>
      </c>
      <c r="C36" s="28">
        <f t="shared" si="2"/>
        <v>39.960833333333341</v>
      </c>
      <c r="D36" s="28">
        <f t="shared" si="2"/>
        <v>35.922500000000007</v>
      </c>
      <c r="E36" s="28">
        <f t="shared" si="2"/>
        <v>1.6024999999999998</v>
      </c>
      <c r="F36" s="28">
        <f t="shared" si="2"/>
        <v>12.85708333333333</v>
      </c>
      <c r="G36" s="28">
        <f t="shared" si="2"/>
        <v>33.369166666666665</v>
      </c>
      <c r="H36" s="28">
        <f t="shared" si="2"/>
        <v>13.679166666666662</v>
      </c>
      <c r="I36" s="28">
        <f t="shared" si="2"/>
        <v>0.54291666666666683</v>
      </c>
      <c r="J36" s="28">
        <f t="shared" si="2"/>
        <v>0.71166666666666678</v>
      </c>
      <c r="K36" s="28">
        <f t="shared" si="2"/>
        <v>260.3458333333333</v>
      </c>
      <c r="L36" s="28">
        <f t="shared" si="2"/>
        <v>25.782083333333336</v>
      </c>
      <c r="M36" s="28">
        <f t="shared" si="2"/>
        <v>61.507499999999993</v>
      </c>
      <c r="N36" s="28">
        <f t="shared" si="2"/>
        <v>253.33333333333334</v>
      </c>
      <c r="O36" s="28">
        <f t="shared" si="2"/>
        <v>0.10833333333333334</v>
      </c>
      <c r="P36" s="28">
        <f t="shared" si="2"/>
        <v>0.79749999999999999</v>
      </c>
      <c r="Q36" s="28">
        <f t="shared" si="2"/>
        <v>25.17208333333333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7.3991239076967261</v>
      </c>
      <c r="C37" s="28">
        <f t="shared" si="3" ref="C37:Q37">STDEV(C9:C32)</f>
        <v>8.7236948278395587</v>
      </c>
      <c r="D37" s="28">
        <f t="shared" si="3"/>
        <v>17.918528726966674</v>
      </c>
      <c r="E37" s="28">
        <f t="shared" si="3"/>
        <v>0.41187211166044979</v>
      </c>
      <c r="F37" s="28">
        <f t="shared" si="3"/>
        <v>10.758527246537641</v>
      </c>
      <c r="G37" s="28">
        <f t="shared" si="3"/>
        <v>18.653291099443546</v>
      </c>
      <c r="H37" s="28">
        <f t="shared" si="3"/>
        <v>4.7703403548855343</v>
      </c>
      <c r="I37" s="28">
        <f t="shared" si="3"/>
        <v>0.091531850796019526</v>
      </c>
      <c r="J37" s="28">
        <f t="shared" si="3"/>
        <v>0.56410503698657299</v>
      </c>
      <c r="K37" s="28">
        <f t="shared" si="3"/>
        <v>50.180507814217748</v>
      </c>
      <c r="L37" s="28">
        <f t="shared" si="3"/>
        <v>4.1581360572995001</v>
      </c>
      <c r="M37" s="28">
        <f t="shared" si="3"/>
        <v>14.488132249774551</v>
      </c>
      <c r="N37" s="28">
        <f t="shared" si="3"/>
        <v>319.83338280051879</v>
      </c>
      <c r="O37" s="28">
        <f t="shared" si="3"/>
        <v>0.37753970901622785</v>
      </c>
      <c r="P37" s="28">
        <f t="shared" si="3"/>
        <v>0.35197887782476733</v>
      </c>
      <c r="Q37" s="28">
        <f t="shared" si="3"/>
        <v>2.6202555122116524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COUNT(E9:E32)+12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b0d442-b595-4e1c-9e6e-862eaa9ea191}">
  <sheetPr codeName=""/>
  <dimension ref="A1:U119"/>
  <sheetViews>
    <sheetView workbookViewId="0" topLeftCell="A1">
      <selection pane="topLeft" activeCell="J74" sqref="J7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734</v>
      </c>
      <c r="B9" s="58">
        <v>7.74</v>
      </c>
      <c r="C9" s="58">
        <v>29.99</v>
      </c>
      <c r="D9" s="58">
        <v>22.54</v>
      </c>
      <c r="E9" s="66" t="s">
        <v>14</v>
      </c>
      <c r="F9" s="58">
        <v>6.33</v>
      </c>
      <c r="G9" s="58">
        <v>25.69</v>
      </c>
      <c r="H9" s="58">
        <v>16.170000000000002</v>
      </c>
      <c r="I9" s="58">
        <v>0.57999999999999996</v>
      </c>
      <c r="J9" s="58">
        <v>2.80</v>
      </c>
      <c r="K9" s="58">
        <v>295.87</v>
      </c>
      <c r="L9" s="58">
        <v>24.57</v>
      </c>
      <c r="M9" s="58">
        <v>64.63</v>
      </c>
      <c r="N9" s="58">
        <v>6.60</v>
      </c>
      <c r="O9" s="58">
        <v>0</v>
      </c>
      <c r="P9" s="58">
        <v>0.65</v>
      </c>
      <c r="Q9" s="58">
        <v>26.51</v>
      </c>
      <c r="R9" s="43"/>
      <c r="S9" s="43"/>
      <c r="T9" s="43"/>
      <c r="U9" s="43"/>
    </row>
    <row r="10" spans="1:21" s="11" customFormat="1" ht="15">
      <c r="A10" s="57" t="s">
        <v>735</v>
      </c>
      <c r="B10" s="58">
        <v>2.84</v>
      </c>
      <c r="C10" s="58">
        <v>30.75</v>
      </c>
      <c r="D10" s="58">
        <v>19.899999999999999</v>
      </c>
      <c r="E10" s="66" t="s">
        <v>14</v>
      </c>
      <c r="F10" s="58">
        <v>5.61</v>
      </c>
      <c r="G10" s="58">
        <v>15.49</v>
      </c>
      <c r="H10" s="58">
        <v>13.92</v>
      </c>
      <c r="I10" s="58">
        <v>0.56000000000000005</v>
      </c>
      <c r="J10" s="58">
        <v>2.48</v>
      </c>
      <c r="K10" s="58">
        <v>282.37</v>
      </c>
      <c r="L10" s="58">
        <v>22.79</v>
      </c>
      <c r="M10" s="58">
        <v>62.22</v>
      </c>
      <c r="N10" s="58">
        <v>6.10</v>
      </c>
      <c r="O10" s="58">
        <v>0</v>
      </c>
      <c r="P10" s="58">
        <v>0.51</v>
      </c>
      <c r="Q10" s="58">
        <v>26.76</v>
      </c>
      <c r="R10" s="43"/>
      <c r="S10" s="43"/>
      <c r="T10" s="43"/>
      <c r="U10" s="43"/>
    </row>
    <row r="11" spans="1:21" s="11" customFormat="1" ht="15">
      <c r="A11" s="57" t="s">
        <v>736</v>
      </c>
      <c r="B11" s="58">
        <v>1.92</v>
      </c>
      <c r="C11" s="58">
        <v>23.72</v>
      </c>
      <c r="D11" s="58">
        <v>15.28</v>
      </c>
      <c r="E11" s="66" t="s">
        <v>14</v>
      </c>
      <c r="F11" s="58">
        <v>6.88</v>
      </c>
      <c r="G11" s="62" t="s">
        <v>15</v>
      </c>
      <c r="H11" s="62" t="s">
        <v>15</v>
      </c>
      <c r="I11" s="58">
        <v>0.52</v>
      </c>
      <c r="J11" s="58">
        <v>2.23</v>
      </c>
      <c r="K11" s="58">
        <v>288.23</v>
      </c>
      <c r="L11" s="58">
        <v>20.62</v>
      </c>
      <c r="M11" s="58">
        <v>76.39</v>
      </c>
      <c r="N11" s="58">
        <v>6.20</v>
      </c>
      <c r="O11" s="58">
        <v>0</v>
      </c>
      <c r="P11" s="58">
        <v>0.38</v>
      </c>
      <c r="Q11" s="58">
        <v>23.57</v>
      </c>
      <c r="R11" s="43"/>
      <c r="S11" s="43"/>
      <c r="T11" s="43"/>
      <c r="U11" s="43"/>
    </row>
    <row r="12" spans="1:21" s="11" customFormat="1" ht="15">
      <c r="A12" s="57" t="s">
        <v>737</v>
      </c>
      <c r="B12" s="58">
        <v>1.85</v>
      </c>
      <c r="C12" s="58">
        <v>23.26</v>
      </c>
      <c r="D12" s="58">
        <v>14.97</v>
      </c>
      <c r="E12" s="66" t="s">
        <v>14</v>
      </c>
      <c r="F12" s="58">
        <v>6.22</v>
      </c>
      <c r="G12" s="58">
        <v>14.18</v>
      </c>
      <c r="H12" s="58">
        <v>10.02</v>
      </c>
      <c r="I12" s="58">
        <v>0.49</v>
      </c>
      <c r="J12" s="58">
        <v>1.91</v>
      </c>
      <c r="K12" s="58">
        <v>289.52</v>
      </c>
      <c r="L12" s="58">
        <v>19.46</v>
      </c>
      <c r="M12" s="58">
        <v>77.91</v>
      </c>
      <c r="N12" s="58">
        <v>5.20</v>
      </c>
      <c r="O12" s="58">
        <v>0</v>
      </c>
      <c r="P12" s="58">
        <v>0.30</v>
      </c>
      <c r="Q12" s="58">
        <v>24.04</v>
      </c>
      <c r="R12" s="43"/>
      <c r="S12" s="43"/>
      <c r="T12" s="43"/>
      <c r="U12" s="43"/>
    </row>
    <row r="13" spans="1:21" s="11" customFormat="1" ht="15">
      <c r="A13" s="57" t="s">
        <v>738</v>
      </c>
      <c r="B13" s="58">
        <v>2.80</v>
      </c>
      <c r="C13" s="58">
        <v>26.32</v>
      </c>
      <c r="D13" s="58">
        <v>17.420000000000002</v>
      </c>
      <c r="E13" s="66" t="s">
        <v>14</v>
      </c>
      <c r="F13" s="58">
        <v>4.76</v>
      </c>
      <c r="G13" s="58">
        <v>12.92</v>
      </c>
      <c r="H13" s="58">
        <v>7.60</v>
      </c>
      <c r="I13" s="58">
        <v>0.48</v>
      </c>
      <c r="J13" s="58">
        <v>1.43</v>
      </c>
      <c r="K13" s="58">
        <v>346.36</v>
      </c>
      <c r="L13" s="58">
        <v>19.559999999999999</v>
      </c>
      <c r="M13" s="58">
        <v>90.11</v>
      </c>
      <c r="N13" s="58">
        <v>5.70</v>
      </c>
      <c r="O13" s="58">
        <v>0.80</v>
      </c>
      <c r="P13" s="58">
        <v>0.28000000000000003</v>
      </c>
      <c r="Q13" s="58">
        <v>25.28</v>
      </c>
      <c r="R13" s="43"/>
      <c r="S13" s="43"/>
      <c r="T13" s="43"/>
      <c r="U13" s="43"/>
    </row>
    <row r="14" spans="1:21" s="11" customFormat="1" ht="15">
      <c r="A14" s="57" t="s">
        <v>739</v>
      </c>
      <c r="B14" s="58">
        <v>3.17</v>
      </c>
      <c r="C14" s="58">
        <v>24.38</v>
      </c>
      <c r="D14" s="58">
        <v>16.59</v>
      </c>
      <c r="E14" s="66" t="s">
        <v>14</v>
      </c>
      <c r="F14" s="58">
        <v>4.5599999999999996</v>
      </c>
      <c r="G14" s="58">
        <v>12.25</v>
      </c>
      <c r="H14" s="58">
        <v>5.81</v>
      </c>
      <c r="I14" s="58">
        <v>0.48</v>
      </c>
      <c r="J14" s="58">
        <v>1.99</v>
      </c>
      <c r="K14" s="58">
        <v>293.17</v>
      </c>
      <c r="L14" s="58">
        <v>18.510000000000002</v>
      </c>
      <c r="M14" s="58">
        <v>90.24</v>
      </c>
      <c r="N14" s="58">
        <v>7.40</v>
      </c>
      <c r="O14" s="58">
        <v>0.20</v>
      </c>
      <c r="P14" s="58">
        <v>0.27</v>
      </c>
      <c r="Q14" s="58">
        <v>25</v>
      </c>
      <c r="R14" s="43"/>
      <c r="S14" s="43"/>
      <c r="T14" s="43"/>
      <c r="U14" s="43"/>
    </row>
    <row r="15" spans="1:21" s="11" customFormat="1" ht="15">
      <c r="A15" s="57" t="s">
        <v>740</v>
      </c>
      <c r="B15" s="58">
        <v>4.3600000000000003</v>
      </c>
      <c r="C15" s="58">
        <v>24.78</v>
      </c>
      <c r="D15" s="58">
        <v>17.82</v>
      </c>
      <c r="E15" s="66" t="s">
        <v>14</v>
      </c>
      <c r="F15" s="58">
        <v>4.17</v>
      </c>
      <c r="G15" s="58">
        <v>12.24</v>
      </c>
      <c r="H15" s="58">
        <v>4.18</v>
      </c>
      <c r="I15" s="58">
        <v>0.48</v>
      </c>
      <c r="J15" s="58">
        <v>1.64</v>
      </c>
      <c r="K15" s="58">
        <v>127.71</v>
      </c>
      <c r="L15" s="58">
        <v>19.03</v>
      </c>
      <c r="M15" s="58">
        <v>87.38</v>
      </c>
      <c r="N15" s="58">
        <v>86</v>
      </c>
      <c r="O15" s="58">
        <v>0</v>
      </c>
      <c r="P15" s="58">
        <v>0.28999999999999998</v>
      </c>
      <c r="Q15" s="58">
        <v>27.76</v>
      </c>
      <c r="R15" s="43"/>
      <c r="S15" s="43"/>
      <c r="T15" s="43"/>
      <c r="U15" s="43"/>
    </row>
    <row r="16" spans="1:21" s="11" customFormat="1" ht="15">
      <c r="A16" s="57" t="s">
        <v>741</v>
      </c>
      <c r="B16" s="58">
        <v>6.10</v>
      </c>
      <c r="C16" s="58">
        <v>27.35</v>
      </c>
      <c r="D16" s="58">
        <v>20.63</v>
      </c>
      <c r="E16" s="66" t="s">
        <v>14</v>
      </c>
      <c r="F16" s="58">
        <v>4.18</v>
      </c>
      <c r="G16" s="58">
        <v>13.64</v>
      </c>
      <c r="H16" s="58">
        <v>4.7699999999999996</v>
      </c>
      <c r="I16" s="58">
        <v>0.51</v>
      </c>
      <c r="J16" s="58">
        <v>1.71</v>
      </c>
      <c r="K16" s="58">
        <v>204.91</v>
      </c>
      <c r="L16" s="58">
        <v>20.329999999999998</v>
      </c>
      <c r="M16" s="58">
        <v>84.49</v>
      </c>
      <c r="N16" s="58">
        <v>174.20</v>
      </c>
      <c r="O16" s="58">
        <v>0</v>
      </c>
      <c r="P16" s="58">
        <v>0.33</v>
      </c>
      <c r="Q16" s="58">
        <v>30.64</v>
      </c>
      <c r="R16" s="43"/>
      <c r="S16" s="43"/>
      <c r="T16" s="43"/>
      <c r="U16" s="43"/>
    </row>
    <row r="17" spans="1:21" s="11" customFormat="1" ht="15">
      <c r="A17" s="57" t="s">
        <v>742</v>
      </c>
      <c r="B17" s="58">
        <v>6.04</v>
      </c>
      <c r="C17" s="58">
        <v>28.05</v>
      </c>
      <c r="D17" s="58">
        <v>20.97</v>
      </c>
      <c r="E17" s="66" t="s">
        <v>14</v>
      </c>
      <c r="F17" s="58">
        <v>3.72</v>
      </c>
      <c r="G17" s="58">
        <v>20.87</v>
      </c>
      <c r="H17" s="58">
        <v>9</v>
      </c>
      <c r="I17" s="58">
        <v>0.51</v>
      </c>
      <c r="J17" s="58">
        <v>1.68</v>
      </c>
      <c r="K17" s="58">
        <v>231.94</v>
      </c>
      <c r="L17" s="58">
        <v>21.14</v>
      </c>
      <c r="M17" s="58">
        <v>84.5</v>
      </c>
      <c r="N17" s="58">
        <v>294.60000000000002</v>
      </c>
      <c r="O17" s="58">
        <v>0</v>
      </c>
      <c r="P17" s="58">
        <v>0.36</v>
      </c>
      <c r="Q17" s="58">
        <v>29.30</v>
      </c>
      <c r="R17" s="43"/>
      <c r="S17" s="43"/>
      <c r="T17" s="43"/>
      <c r="U17" s="43"/>
    </row>
    <row r="18" spans="1:21" s="11" customFormat="1" ht="15">
      <c r="A18" s="57" t="s">
        <v>743</v>
      </c>
      <c r="B18" s="58">
        <v>4.6100000000000003</v>
      </c>
      <c r="C18" s="58">
        <v>27.07</v>
      </c>
      <c r="D18" s="58">
        <v>19.28</v>
      </c>
      <c r="E18" s="66" t="s">
        <v>14</v>
      </c>
      <c r="F18" s="58">
        <v>4.12</v>
      </c>
      <c r="G18" s="58">
        <v>13.30</v>
      </c>
      <c r="H18" s="58">
        <v>7.93</v>
      </c>
      <c r="I18" s="58">
        <v>0.5</v>
      </c>
      <c r="J18" s="58">
        <v>1.34</v>
      </c>
      <c r="K18" s="58">
        <v>224</v>
      </c>
      <c r="L18" s="58">
        <v>23.23</v>
      </c>
      <c r="M18" s="58">
        <v>80.069999999999993</v>
      </c>
      <c r="N18" s="58">
        <v>329.30</v>
      </c>
      <c r="O18" s="58">
        <v>0</v>
      </c>
      <c r="P18" s="58">
        <v>0.35</v>
      </c>
      <c r="Q18" s="58">
        <v>28.03</v>
      </c>
      <c r="R18" s="43"/>
      <c r="S18" s="43"/>
      <c r="T18" s="43"/>
      <c r="U18" s="43"/>
    </row>
    <row r="19" spans="1:21" s="11" customFormat="1" ht="15">
      <c r="A19" s="57" t="s">
        <v>744</v>
      </c>
      <c r="B19" s="58">
        <v>3.21</v>
      </c>
      <c r="C19" s="58">
        <v>23.49</v>
      </c>
      <c r="D19" s="58">
        <v>15.98</v>
      </c>
      <c r="E19" s="66" t="s">
        <v>14</v>
      </c>
      <c r="F19" s="58">
        <v>5.46</v>
      </c>
      <c r="G19" s="62" t="s">
        <v>15</v>
      </c>
      <c r="H19" s="62" t="s">
        <v>15</v>
      </c>
      <c r="I19" s="58">
        <v>0.5</v>
      </c>
      <c r="J19" s="58">
        <v>0.64</v>
      </c>
      <c r="K19" s="58">
        <v>281.63</v>
      </c>
      <c r="L19" s="58">
        <v>26.47</v>
      </c>
      <c r="M19" s="58">
        <v>70.760000000000005</v>
      </c>
      <c r="N19" s="58">
        <v>0.40</v>
      </c>
      <c r="O19" s="58">
        <v>0</v>
      </c>
      <c r="P19" s="58">
        <v>0.36</v>
      </c>
      <c r="Q19" s="58">
        <v>27.63</v>
      </c>
      <c r="R19" s="43"/>
      <c r="S19" s="43"/>
      <c r="T19" s="43"/>
      <c r="U19" s="43"/>
    </row>
    <row r="20" spans="1:21" s="11" customFormat="1" ht="15">
      <c r="A20" s="57" t="s">
        <v>745</v>
      </c>
      <c r="B20" s="58">
        <v>2.39</v>
      </c>
      <c r="C20" s="58">
        <v>23.08</v>
      </c>
      <c r="D20" s="58">
        <v>15.30</v>
      </c>
      <c r="E20" s="58">
        <v>1.60</v>
      </c>
      <c r="F20" s="58">
        <v>5.24</v>
      </c>
      <c r="G20" s="58">
        <v>19.239999999999998</v>
      </c>
      <c r="H20" s="58">
        <v>7.38</v>
      </c>
      <c r="I20" s="58">
        <v>0.51</v>
      </c>
      <c r="J20" s="58">
        <v>1.55</v>
      </c>
      <c r="K20" s="58">
        <v>211.15</v>
      </c>
      <c r="L20" s="58">
        <v>26.38</v>
      </c>
      <c r="M20" s="58">
        <v>63.94</v>
      </c>
      <c r="N20" s="58">
        <v>1</v>
      </c>
      <c r="O20" s="58">
        <v>0</v>
      </c>
      <c r="P20" s="58">
        <v>0.35</v>
      </c>
      <c r="Q20" s="58">
        <v>25.81</v>
      </c>
      <c r="R20" s="43"/>
      <c r="S20" s="43"/>
      <c r="T20" s="43"/>
      <c r="U20" s="43"/>
    </row>
    <row r="21" spans="1:21" s="11" customFormat="1" ht="15">
      <c r="A21" s="57" t="s">
        <v>746</v>
      </c>
      <c r="B21" s="58">
        <v>2.13</v>
      </c>
      <c r="C21" s="58">
        <v>21.83</v>
      </c>
      <c r="D21" s="58">
        <v>14.28</v>
      </c>
      <c r="E21" s="58">
        <v>1.56</v>
      </c>
      <c r="F21" s="58">
        <v>9.2899999999999991</v>
      </c>
      <c r="G21" s="58">
        <v>14.36</v>
      </c>
      <c r="H21" s="58">
        <v>7.07</v>
      </c>
      <c r="I21" s="58">
        <v>0.51</v>
      </c>
      <c r="J21" s="58">
        <v>1.1299999999999999</v>
      </c>
      <c r="K21" s="58">
        <v>255.07</v>
      </c>
      <c r="L21" s="58">
        <v>28.64</v>
      </c>
      <c r="M21" s="58">
        <v>57.34</v>
      </c>
      <c r="N21" s="58">
        <v>0</v>
      </c>
      <c r="O21" s="58">
        <v>0</v>
      </c>
      <c r="P21" s="58">
        <v>0.36</v>
      </c>
      <c r="Q21" s="58">
        <v>24.83</v>
      </c>
      <c r="R21" s="43"/>
      <c r="S21" s="43"/>
      <c r="T21" s="43"/>
      <c r="U21" s="43"/>
    </row>
    <row r="22" spans="1:21" s="11" customFormat="1" ht="15">
      <c r="A22" s="57" t="s">
        <v>747</v>
      </c>
      <c r="B22" s="58">
        <v>2.0499999999999998</v>
      </c>
      <c r="C22" s="58">
        <v>22.01</v>
      </c>
      <c r="D22" s="58">
        <v>14.29</v>
      </c>
      <c r="E22" s="58">
        <v>1.25</v>
      </c>
      <c r="F22" s="58">
        <v>8.84</v>
      </c>
      <c r="G22" s="58">
        <v>24.90</v>
      </c>
      <c r="H22" s="58">
        <v>7.90</v>
      </c>
      <c r="I22" s="58">
        <v>0.51</v>
      </c>
      <c r="J22" s="58">
        <v>1.43</v>
      </c>
      <c r="K22" s="58">
        <v>202.39</v>
      </c>
      <c r="L22" s="58">
        <v>29.66</v>
      </c>
      <c r="M22" s="58">
        <v>49.07</v>
      </c>
      <c r="N22" s="58">
        <v>0.80</v>
      </c>
      <c r="O22" s="58">
        <v>0</v>
      </c>
      <c r="P22" s="58">
        <v>0.37</v>
      </c>
      <c r="Q22" s="58">
        <v>25.51</v>
      </c>
      <c r="R22" s="43"/>
      <c r="S22" s="43"/>
      <c r="T22" s="43"/>
      <c r="U22" s="43"/>
    </row>
    <row r="23" spans="1:21" s="11" customFormat="1" ht="15">
      <c r="A23" s="57" t="s">
        <v>748</v>
      </c>
      <c r="B23" s="58">
        <v>1.68</v>
      </c>
      <c r="C23" s="58">
        <v>20.82</v>
      </c>
      <c r="D23" s="58">
        <v>13.46</v>
      </c>
      <c r="E23" s="58">
        <v>1.47</v>
      </c>
      <c r="F23" s="58">
        <v>9.24</v>
      </c>
      <c r="G23" s="58">
        <v>10.59</v>
      </c>
      <c r="H23" s="58">
        <v>5.56</v>
      </c>
      <c r="I23" s="58">
        <v>0.52</v>
      </c>
      <c r="J23" s="58">
        <v>1.02</v>
      </c>
      <c r="K23" s="58">
        <v>204.72</v>
      </c>
      <c r="L23" s="58">
        <v>30.16</v>
      </c>
      <c r="M23" s="58">
        <v>45.61</v>
      </c>
      <c r="N23" s="58">
        <v>0</v>
      </c>
      <c r="O23" s="58">
        <v>0</v>
      </c>
      <c r="P23" s="58">
        <v>0.38</v>
      </c>
      <c r="Q23" s="58">
        <v>23.78</v>
      </c>
      <c r="R23" s="43"/>
      <c r="S23" s="43"/>
      <c r="T23" s="43"/>
      <c r="U23" s="43"/>
    </row>
    <row r="24" spans="1:21" s="11" customFormat="1" ht="15">
      <c r="A24" s="57" t="s">
        <v>749</v>
      </c>
      <c r="B24" s="58">
        <v>1.91</v>
      </c>
      <c r="C24" s="58">
        <v>21.42</v>
      </c>
      <c r="D24" s="58">
        <v>14</v>
      </c>
      <c r="E24" s="58">
        <v>1.58</v>
      </c>
      <c r="F24" s="58">
        <v>19.02</v>
      </c>
      <c r="G24" s="58">
        <v>8.41</v>
      </c>
      <c r="H24" s="58">
        <v>5.22</v>
      </c>
      <c r="I24" s="58">
        <v>0.51</v>
      </c>
      <c r="J24" s="58">
        <v>1</v>
      </c>
      <c r="K24" s="58">
        <v>217.57</v>
      </c>
      <c r="L24" s="58">
        <v>29.63</v>
      </c>
      <c r="M24" s="58">
        <v>42.06</v>
      </c>
      <c r="N24" s="58">
        <v>9.1999999999999993</v>
      </c>
      <c r="O24" s="58">
        <v>0</v>
      </c>
      <c r="P24" s="58">
        <v>0.37</v>
      </c>
      <c r="Q24" s="58">
        <v>24.73</v>
      </c>
      <c r="R24" s="43"/>
      <c r="S24" s="43"/>
      <c r="T24" s="43"/>
      <c r="U24" s="43"/>
    </row>
    <row r="25" spans="1:21" s="11" customFormat="1" ht="15">
      <c r="A25" s="57" t="s">
        <v>750</v>
      </c>
      <c r="B25" s="58">
        <v>2.58</v>
      </c>
      <c r="C25" s="58">
        <v>22.89</v>
      </c>
      <c r="D25" s="58">
        <v>15.35</v>
      </c>
      <c r="E25" s="58">
        <v>1.69</v>
      </c>
      <c r="F25" s="58">
        <v>15.88</v>
      </c>
      <c r="G25" s="58">
        <v>24.30</v>
      </c>
      <c r="H25" s="58">
        <v>8.17</v>
      </c>
      <c r="I25" s="58">
        <v>0.51</v>
      </c>
      <c r="J25" s="58">
        <v>1.1000000000000001</v>
      </c>
      <c r="K25" s="58">
        <v>213.07</v>
      </c>
      <c r="L25" s="58">
        <v>29.34</v>
      </c>
      <c r="M25" s="58">
        <v>46.33</v>
      </c>
      <c r="N25" s="58">
        <v>2.80</v>
      </c>
      <c r="O25" s="58">
        <v>0</v>
      </c>
      <c r="P25" s="58">
        <v>0.37</v>
      </c>
      <c r="Q25" s="58">
        <v>26.08</v>
      </c>
      <c r="R25" s="43"/>
      <c r="S25" s="43"/>
      <c r="T25" s="43"/>
      <c r="U25" s="43"/>
    </row>
    <row r="26" spans="1:21" s="11" customFormat="1" ht="15">
      <c r="A26" s="57" t="s">
        <v>751</v>
      </c>
      <c r="B26" s="58">
        <v>2.76</v>
      </c>
      <c r="C26" s="58">
        <v>28.07</v>
      </c>
      <c r="D26" s="58">
        <v>18.350000000000001</v>
      </c>
      <c r="E26" s="58">
        <v>1.42</v>
      </c>
      <c r="F26" s="58">
        <v>9.5299999999999994</v>
      </c>
      <c r="G26" s="58">
        <v>23.21</v>
      </c>
      <c r="H26" s="58">
        <v>9.85</v>
      </c>
      <c r="I26" s="58">
        <v>0.53</v>
      </c>
      <c r="J26" s="58">
        <v>0.44</v>
      </c>
      <c r="K26" s="58">
        <v>266.5</v>
      </c>
      <c r="L26" s="58">
        <v>28.29</v>
      </c>
      <c r="M26" s="58">
        <v>66.459999999999994</v>
      </c>
      <c r="N26" s="58">
        <v>0</v>
      </c>
      <c r="O26" s="58">
        <v>0</v>
      </c>
      <c r="P26" s="58">
        <v>0.42</v>
      </c>
      <c r="Q26" s="58">
        <v>24.89</v>
      </c>
      <c r="R26" s="43"/>
      <c r="S26" s="43"/>
      <c r="T26" s="43"/>
      <c r="U26" s="43"/>
    </row>
    <row r="27" spans="1:21" s="11" customFormat="1" ht="15">
      <c r="A27" s="57" t="s">
        <v>752</v>
      </c>
      <c r="B27" s="58">
        <v>2.33</v>
      </c>
      <c r="C27" s="58">
        <v>27.19</v>
      </c>
      <c r="D27" s="58">
        <v>16.96</v>
      </c>
      <c r="E27" s="58">
        <v>0.88</v>
      </c>
      <c r="F27" s="58">
        <v>8.24</v>
      </c>
      <c r="G27" s="58">
        <v>36.18</v>
      </c>
      <c r="H27" s="58">
        <v>10.29</v>
      </c>
      <c r="I27" s="58">
        <v>0.53</v>
      </c>
      <c r="J27" s="58">
        <v>1.0900000000000001</v>
      </c>
      <c r="K27" s="58">
        <v>293.41000000000003</v>
      </c>
      <c r="L27" s="58">
        <v>21.31</v>
      </c>
      <c r="M27" s="58">
        <v>81.540000000000006</v>
      </c>
      <c r="N27" s="58">
        <v>0</v>
      </c>
      <c r="O27" s="58">
        <v>0.20</v>
      </c>
      <c r="P27" s="58">
        <v>0.39</v>
      </c>
      <c r="Q27" s="58">
        <v>25.05</v>
      </c>
      <c r="R27" s="43"/>
      <c r="S27" s="43"/>
      <c r="T27" s="43"/>
      <c r="U27" s="43"/>
    </row>
    <row r="28" spans="1:21" s="11" customFormat="1" ht="15">
      <c r="A28" s="57" t="s">
        <v>753</v>
      </c>
      <c r="B28" s="58">
        <v>4.03</v>
      </c>
      <c r="C28" s="58">
        <v>28.59</v>
      </c>
      <c r="D28" s="58">
        <v>19.66</v>
      </c>
      <c r="E28" s="58">
        <v>0.95</v>
      </c>
      <c r="F28" s="58">
        <v>5.40</v>
      </c>
      <c r="G28" s="58">
        <v>15.05</v>
      </c>
      <c r="H28" s="58">
        <v>7.21</v>
      </c>
      <c r="I28" s="58">
        <v>0.5</v>
      </c>
      <c r="J28" s="58">
        <v>1.83</v>
      </c>
      <c r="K28" s="58">
        <v>294.27</v>
      </c>
      <c r="L28" s="58">
        <v>22.03</v>
      </c>
      <c r="M28" s="58">
        <v>71.75</v>
      </c>
      <c r="N28" s="58">
        <v>0</v>
      </c>
      <c r="O28" s="58">
        <v>0</v>
      </c>
      <c r="P28" s="58">
        <v>0.5</v>
      </c>
      <c r="Q28" s="58">
        <v>25.06</v>
      </c>
      <c r="R28" s="43"/>
      <c r="S28" s="43"/>
      <c r="T28" s="43"/>
      <c r="U28" s="43"/>
    </row>
    <row r="29" spans="1:21" s="11" customFormat="1" ht="15">
      <c r="A29" s="57" t="s">
        <v>754</v>
      </c>
      <c r="B29" s="58">
        <v>6.31</v>
      </c>
      <c r="C29" s="58">
        <v>29.87</v>
      </c>
      <c r="D29" s="58">
        <v>22.16</v>
      </c>
      <c r="E29" s="58">
        <v>0.62</v>
      </c>
      <c r="F29" s="58">
        <v>3.90</v>
      </c>
      <c r="G29" s="58">
        <v>42.54</v>
      </c>
      <c r="H29" s="58">
        <v>9</v>
      </c>
      <c r="I29" s="58">
        <v>0.52</v>
      </c>
      <c r="J29" s="58">
        <v>1.31</v>
      </c>
      <c r="K29" s="58">
        <v>313.38</v>
      </c>
      <c r="L29" s="58">
        <v>21.84</v>
      </c>
      <c r="M29" s="58">
        <v>70.5</v>
      </c>
      <c r="N29" s="58">
        <v>4.9000000000000004</v>
      </c>
      <c r="O29" s="58">
        <v>0</v>
      </c>
      <c r="P29" s="58">
        <v>0.66</v>
      </c>
      <c r="Q29" s="58">
        <v>25.03</v>
      </c>
      <c r="R29" s="43"/>
      <c r="S29" s="43"/>
      <c r="T29" s="43"/>
      <c r="U29" s="43"/>
    </row>
    <row r="30" spans="1:21" s="11" customFormat="1" ht="15">
      <c r="A30" s="57" t="s">
        <v>755</v>
      </c>
      <c r="B30" s="58">
        <v>12.33</v>
      </c>
      <c r="C30" s="58">
        <v>33.619999999999997</v>
      </c>
      <c r="D30" s="58">
        <v>27.90</v>
      </c>
      <c r="E30" s="58">
        <v>1.07</v>
      </c>
      <c r="F30" s="58">
        <v>5.95</v>
      </c>
      <c r="G30" s="58">
        <v>44.69</v>
      </c>
      <c r="H30" s="58">
        <v>10.76</v>
      </c>
      <c r="I30" s="58">
        <v>0.54</v>
      </c>
      <c r="J30" s="58">
        <v>0.74</v>
      </c>
      <c r="K30" s="58">
        <v>305.99</v>
      </c>
      <c r="L30" s="58">
        <v>21.81</v>
      </c>
      <c r="M30" s="58">
        <v>72.66</v>
      </c>
      <c r="N30" s="58">
        <v>4.9000000000000004</v>
      </c>
      <c r="O30" s="58">
        <v>0</v>
      </c>
      <c r="P30" s="58">
        <v>0.80</v>
      </c>
      <c r="Q30" s="58">
        <v>26.63</v>
      </c>
      <c r="R30" s="43"/>
      <c r="S30" s="43"/>
      <c r="T30" s="43"/>
      <c r="U30" s="43"/>
    </row>
    <row r="31" spans="1:21" s="11" customFormat="1" ht="15">
      <c r="A31" s="57" t="s">
        <v>756</v>
      </c>
      <c r="B31" s="58">
        <v>12.87</v>
      </c>
      <c r="C31" s="58">
        <v>31.22</v>
      </c>
      <c r="D31" s="58">
        <v>28.06</v>
      </c>
      <c r="E31" s="58">
        <v>1.02</v>
      </c>
      <c r="F31" s="58">
        <v>4.3499999999999996</v>
      </c>
      <c r="G31" s="58">
        <v>37.81</v>
      </c>
      <c r="H31" s="58">
        <v>11.33</v>
      </c>
      <c r="I31" s="58">
        <v>0.56000000000000005</v>
      </c>
      <c r="J31" s="58">
        <v>0.79</v>
      </c>
      <c r="K31" s="58">
        <v>297.77999999999997</v>
      </c>
      <c r="L31" s="58">
        <v>22.02</v>
      </c>
      <c r="M31" s="58">
        <v>71.98</v>
      </c>
      <c r="N31" s="58">
        <v>5</v>
      </c>
      <c r="O31" s="58">
        <v>0</v>
      </c>
      <c r="P31" s="58">
        <v>0.81</v>
      </c>
      <c r="Q31" s="58">
        <v>26.87</v>
      </c>
      <c r="R31" s="43"/>
      <c r="S31" s="43"/>
      <c r="T31" s="43"/>
      <c r="U31" s="43"/>
    </row>
    <row r="32" spans="1:21" s="11" customFormat="1" ht="15">
      <c r="A32" s="57" t="s">
        <v>757</v>
      </c>
      <c r="B32" s="58">
        <v>11.77</v>
      </c>
      <c r="C32" s="58">
        <v>25.95</v>
      </c>
      <c r="D32" s="58">
        <v>24.41</v>
      </c>
      <c r="E32" s="58">
        <v>0.92</v>
      </c>
      <c r="F32" s="58">
        <v>3.29</v>
      </c>
      <c r="G32" s="58">
        <v>51.40</v>
      </c>
      <c r="H32" s="58">
        <v>12.64</v>
      </c>
      <c r="I32" s="58">
        <v>0.56999999999999995</v>
      </c>
      <c r="J32" s="58">
        <v>0.74</v>
      </c>
      <c r="K32" s="58">
        <v>255.07</v>
      </c>
      <c r="L32" s="58">
        <v>21.03</v>
      </c>
      <c r="M32" s="58">
        <v>82.48</v>
      </c>
      <c r="N32" s="58">
        <v>5.5</v>
      </c>
      <c r="O32" s="58">
        <v>0</v>
      </c>
      <c r="P32" s="58">
        <v>0.77</v>
      </c>
      <c r="Q32" s="58">
        <v>25.78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1.6799999999999999</v>
      </c>
      <c r="C34" s="28">
        <f t="shared" si="0"/>
        <v>20.82</v>
      </c>
      <c r="D34" s="28">
        <f t="shared" si="0"/>
        <v>13.460000000000001</v>
      </c>
      <c r="E34" s="28">
        <f t="shared" si="0"/>
        <v>0.62</v>
      </c>
      <c r="F34" s="28">
        <f t="shared" si="0"/>
        <v>3.29</v>
      </c>
      <c r="G34" s="28">
        <f t="shared" si="0"/>
        <v>8.4100000000000001</v>
      </c>
      <c r="H34" s="28">
        <f t="shared" si="0"/>
        <v>4.1799999999999997</v>
      </c>
      <c r="I34" s="28">
        <f t="shared" si="0"/>
        <v>0.47999999999999998</v>
      </c>
      <c r="J34" s="28">
        <f t="shared" si="0"/>
        <v>0.44</v>
      </c>
      <c r="K34" s="28">
        <f t="shared" si="0"/>
        <v>127.70999999999999</v>
      </c>
      <c r="L34" s="28">
        <f t="shared" si="0"/>
        <v>18.510000000000002</v>
      </c>
      <c r="M34" s="28">
        <f t="shared" si="0"/>
        <v>42.060000000000002</v>
      </c>
      <c r="N34" s="28">
        <f t="shared" si="0"/>
        <v>0</v>
      </c>
      <c r="O34" s="28">
        <f t="shared" si="0"/>
        <v>0</v>
      </c>
      <c r="P34" s="28">
        <f t="shared" si="0"/>
        <v>0.27000000000000002</v>
      </c>
      <c r="Q34" s="28">
        <f t="shared" si="0"/>
        <v>23.57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12.869999999999999</v>
      </c>
      <c r="C35" s="29">
        <f t="shared" si="1"/>
        <v>33.619999999999997</v>
      </c>
      <c r="D35" s="29">
        <f t="shared" si="1"/>
        <v>28.059999999999999</v>
      </c>
      <c r="E35" s="29">
        <f t="shared" si="1"/>
        <v>1.6899999999999999</v>
      </c>
      <c r="F35" s="29">
        <f t="shared" si="1"/>
        <v>19.02</v>
      </c>
      <c r="G35" s="29">
        <f t="shared" si="1"/>
        <v>51.399999999999999</v>
      </c>
      <c r="H35" s="29">
        <f t="shared" si="1"/>
        <v>16.170000000000002</v>
      </c>
      <c r="I35" s="29">
        <f t="shared" si="1"/>
        <v>0.57999999999999996</v>
      </c>
      <c r="J35" s="29">
        <f t="shared" si="1"/>
        <v>2.7999999999999998</v>
      </c>
      <c r="K35" s="29">
        <f t="shared" si="1"/>
        <v>346.36000000000001</v>
      </c>
      <c r="L35" s="29">
        <f t="shared" si="1"/>
        <v>30.16</v>
      </c>
      <c r="M35" s="29">
        <f t="shared" si="1"/>
        <v>90.239999999999995</v>
      </c>
      <c r="N35" s="29">
        <f t="shared" si="1"/>
        <v>329.30000000000001</v>
      </c>
      <c r="O35" s="29">
        <f t="shared" si="1"/>
        <v>0.80000000000000004</v>
      </c>
      <c r="P35" s="29">
        <f t="shared" si="1"/>
        <v>0.81000000000000005</v>
      </c>
      <c r="Q35" s="29">
        <f t="shared" si="1"/>
        <v>30.640000000000001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4.5741666666666658</v>
      </c>
      <c r="C36" s="28">
        <f t="shared" si="2"/>
        <v>26.071666666666669</v>
      </c>
      <c r="D36" s="28">
        <f t="shared" si="2"/>
        <v>18.565000000000001</v>
      </c>
      <c r="E36" s="28">
        <f t="shared" si="2"/>
        <v>1.2330769230769232</v>
      </c>
      <c r="F36" s="28">
        <f t="shared" si="2"/>
        <v>6.8408333333333324</v>
      </c>
      <c r="G36" s="28">
        <f t="shared" si="2"/>
        <v>22.420909090909092</v>
      </c>
      <c r="H36" s="28">
        <f t="shared" si="2"/>
        <v>8.7172727272727286</v>
      </c>
      <c r="I36" s="28">
        <f t="shared" si="2"/>
        <v>0.51791666666666658</v>
      </c>
      <c r="J36" s="28">
        <f t="shared" si="2"/>
        <v>1.4175000000000002</v>
      </c>
      <c r="K36" s="28">
        <f t="shared" si="2"/>
        <v>258.17000000000002</v>
      </c>
      <c r="L36" s="28">
        <f t="shared" si="2"/>
        <v>23.660416666666663</v>
      </c>
      <c r="M36" s="28">
        <f t="shared" si="2"/>
        <v>70.43416666666667</v>
      </c>
      <c r="N36" s="28">
        <f t="shared" si="2"/>
        <v>39.824999999999996</v>
      </c>
      <c r="O36" s="28">
        <f t="shared" si="2"/>
        <v>0.049999999999999996</v>
      </c>
      <c r="P36" s="28">
        <f t="shared" si="2"/>
        <v>0.44291666666666668</v>
      </c>
      <c r="Q36" s="28">
        <f t="shared" si="2"/>
        <v>26.023749999999993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3.4132541105502838</v>
      </c>
      <c r="C37" s="28">
        <f t="shared" si="3" ref="C37:Q37">STDEV(C9:C32)</f>
        <v>3.4938961268084667</v>
      </c>
      <c r="D37" s="28">
        <f t="shared" si="3"/>
        <v>4.1548640955118783</v>
      </c>
      <c r="E37" s="28">
        <f t="shared" si="3"/>
        <v>0.34310796686039846</v>
      </c>
      <c r="F37" s="28">
        <f t="shared" si="3"/>
        <v>3.8040595211667925</v>
      </c>
      <c r="G37" s="28">
        <f t="shared" si="3"/>
        <v>12.400691574067604</v>
      </c>
      <c r="H37" s="28">
        <f t="shared" si="3"/>
        <v>3.0161504664660872</v>
      </c>
      <c r="I37" s="28">
        <f t="shared" si="3"/>
        <v>0.027501646854509367</v>
      </c>
      <c r="J37" s="28">
        <f t="shared" si="3"/>
        <v>0.59618533739244106</v>
      </c>
      <c r="K37" s="28">
        <f t="shared" si="3"/>
        <v>49.588450268182363</v>
      </c>
      <c r="L37" s="28">
        <f t="shared" si="3"/>
        <v>3.862113049891883</v>
      </c>
      <c r="M37" s="28">
        <f t="shared" si="3"/>
        <v>14.315055897980912</v>
      </c>
      <c r="N37" s="28">
        <f t="shared" si="3"/>
        <v>92.156673069856154</v>
      </c>
      <c r="O37" s="28">
        <f t="shared" si="3"/>
        <v>0.16939791077198399</v>
      </c>
      <c r="P37" s="28">
        <f t="shared" si="3"/>
        <v>0.16747431124663936</v>
      </c>
      <c r="Q37" s="28">
        <f t="shared" si="3"/>
        <v>1.7161402914680373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COUNT(E9:E32)+11</f>
        <v>24</v>
      </c>
      <c r="F38" s="32">
        <f t="shared" si="4"/>
        <v>24</v>
      </c>
      <c r="G38" s="32">
        <f t="shared" si="4"/>
        <v>22</v>
      </c>
      <c r="H38" s="32">
        <f t="shared" si="4"/>
        <v>22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5c9173-50b2-4c37-a26f-880facf8eec0}">
  <sheetPr codeName=""/>
  <dimension ref="A1:U119"/>
  <sheetViews>
    <sheetView workbookViewId="0" topLeftCell="A1">
      <selection pane="topLeft" activeCell="G77" sqref="G7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7" t="s">
        <v>758</v>
      </c>
      <c r="B9" s="58">
        <v>7.98</v>
      </c>
      <c r="C9" s="58">
        <v>24.87</v>
      </c>
      <c r="D9" s="58">
        <v>20.74</v>
      </c>
      <c r="E9" s="58">
        <v>2.06</v>
      </c>
      <c r="F9" s="58">
        <v>4.68</v>
      </c>
      <c r="G9" s="58">
        <v>27.54</v>
      </c>
      <c r="H9" s="58">
        <v>12.40</v>
      </c>
      <c r="I9" s="58">
        <v>0.55000000000000004</v>
      </c>
      <c r="J9" s="58">
        <v>0.35</v>
      </c>
      <c r="K9" s="58">
        <v>326.72000000000003</v>
      </c>
      <c r="L9" s="58">
        <v>20.309999999999999</v>
      </c>
      <c r="M9" s="58">
        <v>79.819999999999993</v>
      </c>
      <c r="N9" s="58">
        <v>5.0999999999999996</v>
      </c>
      <c r="O9" s="58">
        <v>0</v>
      </c>
      <c r="P9" s="58">
        <v>0.66</v>
      </c>
      <c r="Q9" s="58">
        <v>26.16</v>
      </c>
      <c r="R9" s="43"/>
      <c r="S9" s="43"/>
      <c r="T9" s="43"/>
      <c r="U9" s="43"/>
    </row>
    <row r="10" spans="1:21" s="11" customFormat="1" ht="15">
      <c r="A10" s="57" t="s">
        <v>759</v>
      </c>
      <c r="B10" s="58">
        <v>8.52</v>
      </c>
      <c r="C10" s="58">
        <v>23.79</v>
      </c>
      <c r="D10" s="58">
        <v>20.30</v>
      </c>
      <c r="E10" s="58">
        <v>1.81</v>
      </c>
      <c r="F10" s="58">
        <v>3.73</v>
      </c>
      <c r="G10" s="58">
        <v>15.60</v>
      </c>
      <c r="H10" s="58">
        <v>11.33</v>
      </c>
      <c r="I10" s="58">
        <v>0.54</v>
      </c>
      <c r="J10" s="58">
        <v>0.32</v>
      </c>
      <c r="K10" s="58">
        <v>301.45</v>
      </c>
      <c r="L10" s="58">
        <v>20.51</v>
      </c>
      <c r="M10" s="58">
        <v>77.17</v>
      </c>
      <c r="N10" s="58">
        <v>0</v>
      </c>
      <c r="O10" s="58">
        <v>0</v>
      </c>
      <c r="P10" s="58">
        <v>0.61</v>
      </c>
      <c r="Q10" s="58">
        <v>26.48</v>
      </c>
      <c r="R10" s="43"/>
      <c r="S10" s="43"/>
      <c r="T10" s="43"/>
      <c r="U10" s="43"/>
    </row>
    <row r="11" spans="1:21" s="11" customFormat="1" ht="15">
      <c r="A11" s="57" t="s">
        <v>760</v>
      </c>
      <c r="B11" s="58">
        <v>7.11</v>
      </c>
      <c r="C11" s="58">
        <v>21.98</v>
      </c>
      <c r="D11" s="58">
        <v>18.02</v>
      </c>
      <c r="E11" s="58">
        <v>1.90</v>
      </c>
      <c r="F11" s="58">
        <v>3.61</v>
      </c>
      <c r="G11" s="58">
        <v>10.63</v>
      </c>
      <c r="H11" s="58">
        <v>8.1199999999999992</v>
      </c>
      <c r="I11" s="58">
        <v>0.54</v>
      </c>
      <c r="J11" s="58">
        <v>0.54</v>
      </c>
      <c r="K11" s="58">
        <v>338.34</v>
      </c>
      <c r="L11" s="58">
        <v>20.350000000000001</v>
      </c>
      <c r="M11" s="58">
        <v>80.56</v>
      </c>
      <c r="N11" s="58">
        <v>0</v>
      </c>
      <c r="O11" s="58">
        <v>0</v>
      </c>
      <c r="P11" s="58">
        <v>0.56000000000000005</v>
      </c>
      <c r="Q11" s="58">
        <v>25.47</v>
      </c>
      <c r="R11" s="43"/>
      <c r="S11" s="43"/>
      <c r="T11" s="43"/>
      <c r="U11" s="43"/>
    </row>
    <row r="12" spans="1:21" s="11" customFormat="1" ht="15">
      <c r="A12" s="57" t="s">
        <v>761</v>
      </c>
      <c r="B12" s="58">
        <v>6.94</v>
      </c>
      <c r="C12" s="58">
        <v>24.89</v>
      </c>
      <c r="D12" s="58">
        <v>19.95</v>
      </c>
      <c r="E12" s="58">
        <v>2.11</v>
      </c>
      <c r="F12" s="58">
        <v>4.1900000000000004</v>
      </c>
      <c r="G12" s="58">
        <v>16.29</v>
      </c>
      <c r="H12" s="58">
        <v>8.06</v>
      </c>
      <c r="I12" s="58">
        <v>0.52</v>
      </c>
      <c r="J12" s="58">
        <v>0.69</v>
      </c>
      <c r="K12" s="58">
        <v>327.04000000000002</v>
      </c>
      <c r="L12" s="58">
        <v>20.420000000000002</v>
      </c>
      <c r="M12" s="58">
        <v>81.19</v>
      </c>
      <c r="N12" s="58">
        <v>4.5</v>
      </c>
      <c r="O12" s="58">
        <v>0</v>
      </c>
      <c r="P12" s="58">
        <v>0.54</v>
      </c>
      <c r="Q12" s="58">
        <v>27.48</v>
      </c>
      <c r="R12" s="43"/>
      <c r="S12" s="43"/>
      <c r="T12" s="43"/>
      <c r="U12" s="43"/>
    </row>
    <row r="13" spans="1:21" s="11" customFormat="1" ht="15">
      <c r="A13" s="57" t="s">
        <v>762</v>
      </c>
      <c r="B13" s="58">
        <v>10.34</v>
      </c>
      <c r="C13" s="58">
        <v>23.12</v>
      </c>
      <c r="D13" s="58">
        <v>20.89</v>
      </c>
      <c r="E13" s="58">
        <v>0.91</v>
      </c>
      <c r="F13" s="58">
        <v>3.04</v>
      </c>
      <c r="G13" s="58">
        <v>18.440000000000001</v>
      </c>
      <c r="H13" s="58">
        <v>7.98</v>
      </c>
      <c r="I13" s="58">
        <v>0.53</v>
      </c>
      <c r="J13" s="58">
        <v>0.28999999999999998</v>
      </c>
      <c r="K13" s="58">
        <v>345.95</v>
      </c>
      <c r="L13" s="58">
        <v>20.420000000000002</v>
      </c>
      <c r="M13" s="58">
        <v>81.73</v>
      </c>
      <c r="N13" s="58">
        <v>5.0999999999999996</v>
      </c>
      <c r="O13" s="58">
        <v>0</v>
      </c>
      <c r="P13" s="58">
        <v>0.56999999999999995</v>
      </c>
      <c r="Q13" s="58">
        <v>27.46</v>
      </c>
      <c r="R13" s="43"/>
      <c r="S13" s="43"/>
      <c r="T13" s="43"/>
      <c r="U13" s="43"/>
    </row>
    <row r="14" spans="1:21" s="11" customFormat="1" ht="15">
      <c r="A14" s="57" t="s">
        <v>763</v>
      </c>
      <c r="B14" s="58">
        <v>14.68</v>
      </c>
      <c r="C14" s="58">
        <v>25.80</v>
      </c>
      <c r="D14" s="58">
        <v>26.65</v>
      </c>
      <c r="E14" s="58">
        <v>1.08</v>
      </c>
      <c r="F14" s="58">
        <v>3.34</v>
      </c>
      <c r="G14" s="58">
        <v>33.340000000000003</v>
      </c>
      <c r="H14" s="58">
        <v>10.63</v>
      </c>
      <c r="I14" s="58">
        <v>0.53</v>
      </c>
      <c r="J14" s="58">
        <v>0.31</v>
      </c>
      <c r="K14" s="58">
        <v>305.23</v>
      </c>
      <c r="L14" s="58">
        <v>20.399999999999999</v>
      </c>
      <c r="M14" s="58">
        <v>81.010000000000005</v>
      </c>
      <c r="N14" s="58">
        <v>6.30</v>
      </c>
      <c r="O14" s="58">
        <v>0</v>
      </c>
      <c r="P14" s="58">
        <v>0.63</v>
      </c>
      <c r="Q14" s="58">
        <v>26.96</v>
      </c>
      <c r="R14" s="43"/>
      <c r="S14" s="43"/>
      <c r="T14" s="43"/>
      <c r="U14" s="43"/>
    </row>
    <row r="15" spans="1:21" s="11" customFormat="1" ht="15">
      <c r="A15" s="57" t="s">
        <v>764</v>
      </c>
      <c r="B15" s="58">
        <v>17.350000000000001</v>
      </c>
      <c r="C15" s="58">
        <v>28.29</v>
      </c>
      <c r="D15" s="58">
        <v>28.57</v>
      </c>
      <c r="E15" s="58">
        <v>0.97</v>
      </c>
      <c r="F15" s="58">
        <v>3.86</v>
      </c>
      <c r="G15" s="58">
        <v>47.76</v>
      </c>
      <c r="H15" s="58">
        <v>16.22</v>
      </c>
      <c r="I15" s="58">
        <v>0.53</v>
      </c>
      <c r="J15" s="58">
        <v>1.1100000000000001</v>
      </c>
      <c r="K15" s="58">
        <v>318.19</v>
      </c>
      <c r="L15" s="58">
        <v>20.93</v>
      </c>
      <c r="M15" s="58">
        <v>83.33</v>
      </c>
      <c r="N15" s="58">
        <v>0</v>
      </c>
      <c r="O15" s="58">
        <v>0</v>
      </c>
      <c r="P15" s="58">
        <v>0.67</v>
      </c>
      <c r="Q15" s="58">
        <v>27.79</v>
      </c>
      <c r="R15" s="43"/>
      <c r="S15" s="43"/>
      <c r="T15" s="43"/>
      <c r="U15" s="43"/>
    </row>
    <row r="16" spans="1:21" s="11" customFormat="1" ht="15">
      <c r="A16" s="57" t="s">
        <v>765</v>
      </c>
      <c r="B16" s="58">
        <v>15.47</v>
      </c>
      <c r="C16" s="58">
        <v>29.53</v>
      </c>
      <c r="D16" s="58">
        <v>29</v>
      </c>
      <c r="E16" s="58">
        <v>1.26</v>
      </c>
      <c r="F16" s="58">
        <v>5.20</v>
      </c>
      <c r="G16" s="58">
        <v>52.48</v>
      </c>
      <c r="H16" s="58">
        <v>18.95</v>
      </c>
      <c r="I16" s="58">
        <v>0.54</v>
      </c>
      <c r="J16" s="58">
        <v>2.76</v>
      </c>
      <c r="K16" s="58">
        <v>278.39</v>
      </c>
      <c r="L16" s="58">
        <v>20.399999999999999</v>
      </c>
      <c r="M16" s="58">
        <v>83.5</v>
      </c>
      <c r="N16" s="58">
        <v>0</v>
      </c>
      <c r="O16" s="58">
        <v>0</v>
      </c>
      <c r="P16" s="58">
        <v>0.57999999999999996</v>
      </c>
      <c r="Q16" s="58">
        <v>27.34</v>
      </c>
      <c r="R16" s="43"/>
      <c r="S16" s="43"/>
      <c r="T16" s="43"/>
      <c r="U16" s="43"/>
    </row>
    <row r="17" spans="1:21" s="11" customFormat="1" ht="15">
      <c r="A17" s="57" t="s">
        <v>766</v>
      </c>
      <c r="B17" s="58">
        <v>2.86</v>
      </c>
      <c r="C17" s="58">
        <v>28.92</v>
      </c>
      <c r="D17" s="58">
        <v>18.899999999999999</v>
      </c>
      <c r="E17" s="58">
        <v>2.16</v>
      </c>
      <c r="F17" s="58">
        <v>5.92</v>
      </c>
      <c r="G17" s="58">
        <v>31.46</v>
      </c>
      <c r="H17" s="58">
        <v>12.32</v>
      </c>
      <c r="I17" s="58">
        <v>0.5</v>
      </c>
      <c r="J17" s="58">
        <v>2.73</v>
      </c>
      <c r="K17" s="58">
        <v>294.39999999999998</v>
      </c>
      <c r="L17" s="58">
        <v>18.73</v>
      </c>
      <c r="M17" s="58">
        <v>92.82</v>
      </c>
      <c r="N17" s="58">
        <v>29.5</v>
      </c>
      <c r="O17" s="58">
        <v>1</v>
      </c>
      <c r="P17" s="58">
        <v>0.40</v>
      </c>
      <c r="Q17" s="58">
        <v>23.98</v>
      </c>
      <c r="R17" s="43"/>
      <c r="S17" s="43"/>
      <c r="T17" s="43"/>
      <c r="U17" s="43"/>
    </row>
    <row r="18" spans="1:21" s="11" customFormat="1" ht="15">
      <c r="A18" s="57" t="s">
        <v>767</v>
      </c>
      <c r="B18" s="58">
        <v>4.9800000000000004</v>
      </c>
      <c r="C18" s="58">
        <v>33.71</v>
      </c>
      <c r="D18" s="58">
        <v>23.25</v>
      </c>
      <c r="E18" s="58">
        <v>2.0299999999999998</v>
      </c>
      <c r="F18" s="58">
        <v>5.03</v>
      </c>
      <c r="G18" s="58">
        <v>19.88</v>
      </c>
      <c r="H18" s="58">
        <v>9.93</v>
      </c>
      <c r="I18" s="58">
        <v>0.48</v>
      </c>
      <c r="J18" s="58">
        <v>1.75</v>
      </c>
      <c r="K18" s="58">
        <v>313.92</v>
      </c>
      <c r="L18" s="58">
        <v>19.059999999999999</v>
      </c>
      <c r="M18" s="58">
        <v>87.56</v>
      </c>
      <c r="N18" s="58">
        <v>257.60000000000002</v>
      </c>
      <c r="O18" s="58">
        <v>0.20</v>
      </c>
      <c r="P18" s="58">
        <v>0.53</v>
      </c>
      <c r="Q18" s="58">
        <v>26.03</v>
      </c>
      <c r="R18" s="43"/>
      <c r="S18" s="43"/>
      <c r="T18" s="43"/>
      <c r="U18" s="43"/>
    </row>
    <row r="19" spans="1:21" s="11" customFormat="1" ht="15">
      <c r="A19" s="57" t="s">
        <v>768</v>
      </c>
      <c r="B19" s="58">
        <v>10.050000000000001</v>
      </c>
      <c r="C19" s="58">
        <v>37.10</v>
      </c>
      <c r="D19" s="58">
        <v>29.17</v>
      </c>
      <c r="E19" s="58">
        <v>1.89</v>
      </c>
      <c r="F19" s="58">
        <v>3.62</v>
      </c>
      <c r="G19" s="58">
        <v>15.17</v>
      </c>
      <c r="H19" s="58">
        <v>7.73</v>
      </c>
      <c r="I19" s="58">
        <v>0.49</v>
      </c>
      <c r="J19" s="58">
        <v>0.93</v>
      </c>
      <c r="K19" s="58">
        <v>309.36</v>
      </c>
      <c r="L19" s="58">
        <v>22.28</v>
      </c>
      <c r="M19" s="58">
        <v>78.319999999999993</v>
      </c>
      <c r="N19" s="58">
        <v>239.20</v>
      </c>
      <c r="O19" s="58">
        <v>0</v>
      </c>
      <c r="P19" s="58">
        <v>0.69</v>
      </c>
      <c r="Q19" s="58">
        <v>25.68</v>
      </c>
      <c r="R19" s="43"/>
      <c r="S19" s="43"/>
      <c r="T19" s="43"/>
      <c r="U19" s="43"/>
    </row>
    <row r="20" spans="1:21" s="11" customFormat="1" ht="15">
      <c r="A20" s="57" t="s">
        <v>769</v>
      </c>
      <c r="B20" s="58">
        <v>10.82</v>
      </c>
      <c r="C20" s="58">
        <v>38.21</v>
      </c>
      <c r="D20" s="58">
        <v>29.5</v>
      </c>
      <c r="E20" s="58">
        <v>2.13</v>
      </c>
      <c r="F20" s="58">
        <v>4.20</v>
      </c>
      <c r="G20" s="58">
        <v>27.34</v>
      </c>
      <c r="H20" s="58">
        <v>9.98</v>
      </c>
      <c r="I20" s="58">
        <v>0.5</v>
      </c>
      <c r="J20" s="58">
        <v>1.22</v>
      </c>
      <c r="K20" s="58">
        <v>313.35000000000002</v>
      </c>
      <c r="L20" s="58">
        <v>23.29</v>
      </c>
      <c r="M20" s="58">
        <v>63.94</v>
      </c>
      <c r="N20" s="58">
        <v>0</v>
      </c>
      <c r="O20" s="58">
        <v>0</v>
      </c>
      <c r="P20" s="58">
        <v>0.71</v>
      </c>
      <c r="Q20" s="58">
        <v>26.56</v>
      </c>
      <c r="R20" s="43"/>
      <c r="S20" s="43"/>
      <c r="T20" s="43"/>
      <c r="U20" s="43"/>
    </row>
    <row r="21" spans="1:21" s="11" customFormat="1" ht="15">
      <c r="A21" s="57" t="s">
        <v>770</v>
      </c>
      <c r="B21" s="58">
        <v>10.42</v>
      </c>
      <c r="C21" s="58">
        <v>40.06</v>
      </c>
      <c r="D21" s="58">
        <v>31.11</v>
      </c>
      <c r="E21" s="58">
        <v>2.27</v>
      </c>
      <c r="F21" s="58">
        <v>3.61</v>
      </c>
      <c r="G21" s="58">
        <v>33.78</v>
      </c>
      <c r="H21" s="58">
        <v>11.53</v>
      </c>
      <c r="I21" s="58">
        <v>0.51</v>
      </c>
      <c r="J21" s="58">
        <v>1.5</v>
      </c>
      <c r="K21" s="58">
        <v>293.83999999999997</v>
      </c>
      <c r="L21" s="58">
        <v>23.33</v>
      </c>
      <c r="M21" s="58">
        <v>85.31</v>
      </c>
      <c r="N21" s="58">
        <v>0</v>
      </c>
      <c r="O21" s="58">
        <v>1.60</v>
      </c>
      <c r="P21" s="58">
        <v>0.72</v>
      </c>
      <c r="Q21" s="58">
        <v>27.25</v>
      </c>
      <c r="R21" s="43"/>
      <c r="S21" s="43"/>
      <c r="T21" s="43"/>
      <c r="U21" s="43"/>
    </row>
    <row r="22" spans="1:21" s="11" customFormat="1" ht="15">
      <c r="A22" s="57" t="s">
        <v>771</v>
      </c>
      <c r="B22" s="58">
        <v>10.039999999999999</v>
      </c>
      <c r="C22" s="58">
        <v>35.65</v>
      </c>
      <c r="D22" s="58">
        <v>27.01</v>
      </c>
      <c r="E22" s="58">
        <v>2.13</v>
      </c>
      <c r="F22" s="58">
        <v>3.41</v>
      </c>
      <c r="G22" s="58">
        <v>37.26</v>
      </c>
      <c r="H22" s="58">
        <v>11.15</v>
      </c>
      <c r="I22" s="58">
        <v>0.52</v>
      </c>
      <c r="J22" s="58">
        <v>0.75</v>
      </c>
      <c r="K22" s="58">
        <v>300.04000000000002</v>
      </c>
      <c r="L22" s="58">
        <v>19.73</v>
      </c>
      <c r="M22" s="58">
        <v>90.26</v>
      </c>
      <c r="N22" s="58">
        <v>0</v>
      </c>
      <c r="O22" s="58">
        <v>0</v>
      </c>
      <c r="P22" s="58">
        <v>0.68</v>
      </c>
      <c r="Q22" s="58">
        <v>26.67</v>
      </c>
      <c r="R22" s="43"/>
      <c r="S22" s="43"/>
      <c r="T22" s="43"/>
      <c r="U22" s="43"/>
    </row>
    <row r="23" spans="1:21" s="11" customFormat="1" ht="15">
      <c r="A23" s="57" t="s">
        <v>772</v>
      </c>
      <c r="B23" s="58">
        <v>12.62</v>
      </c>
      <c r="C23" s="58">
        <v>33.18</v>
      </c>
      <c r="D23" s="58">
        <v>28.70</v>
      </c>
      <c r="E23" s="58">
        <v>2.0699999999999998</v>
      </c>
      <c r="F23" s="58">
        <v>3.44</v>
      </c>
      <c r="G23" s="58">
        <v>23.83</v>
      </c>
      <c r="H23" s="58">
        <v>8.77</v>
      </c>
      <c r="I23" s="58">
        <v>0.53</v>
      </c>
      <c r="J23" s="58">
        <v>0.56999999999999995</v>
      </c>
      <c r="K23" s="58">
        <v>312.31</v>
      </c>
      <c r="L23" s="58">
        <v>21.67</v>
      </c>
      <c r="M23" s="58">
        <v>79.64</v>
      </c>
      <c r="N23" s="58">
        <v>0</v>
      </c>
      <c r="O23" s="58">
        <v>0</v>
      </c>
      <c r="P23" s="58">
        <v>0.72</v>
      </c>
      <c r="Q23" s="58">
        <v>26.71</v>
      </c>
      <c r="R23" s="43"/>
      <c r="S23" s="43"/>
      <c r="T23" s="43"/>
      <c r="U23" s="43"/>
    </row>
    <row r="24" spans="1:21" s="11" customFormat="1" ht="15">
      <c r="A24" s="57" t="s">
        <v>773</v>
      </c>
      <c r="B24" s="58">
        <v>14.99</v>
      </c>
      <c r="C24" s="58">
        <v>32.35</v>
      </c>
      <c r="D24" s="58">
        <v>30.11</v>
      </c>
      <c r="E24" s="58">
        <v>1.82</v>
      </c>
      <c r="F24" s="58">
        <v>2.99</v>
      </c>
      <c r="G24" s="58">
        <v>28.53</v>
      </c>
      <c r="H24" s="58">
        <v>10.44</v>
      </c>
      <c r="I24" s="58">
        <v>0.54</v>
      </c>
      <c r="J24" s="58">
        <v>0.51</v>
      </c>
      <c r="K24" s="58">
        <v>310.91000000000003</v>
      </c>
      <c r="L24" s="58">
        <v>21.65</v>
      </c>
      <c r="M24" s="58">
        <v>74.98</v>
      </c>
      <c r="N24" s="58">
        <v>117</v>
      </c>
      <c r="O24" s="58">
        <v>0</v>
      </c>
      <c r="P24" s="58">
        <v>0.74</v>
      </c>
      <c r="Q24" s="58">
        <v>27.62</v>
      </c>
      <c r="R24" s="43"/>
      <c r="S24" s="43"/>
      <c r="T24" s="43"/>
      <c r="U24" s="43"/>
    </row>
    <row r="25" spans="1:21" s="11" customFormat="1" ht="15">
      <c r="A25" s="57" t="s">
        <v>774</v>
      </c>
      <c r="B25" s="58">
        <v>15.41</v>
      </c>
      <c r="C25" s="58">
        <v>31.34</v>
      </c>
      <c r="D25" s="58">
        <v>30.25</v>
      </c>
      <c r="E25" s="58">
        <v>1.39</v>
      </c>
      <c r="F25" s="58">
        <v>3.26</v>
      </c>
      <c r="G25" s="58">
        <v>46.84</v>
      </c>
      <c r="H25" s="58">
        <v>11.33</v>
      </c>
      <c r="I25" s="58">
        <v>0.56000000000000005</v>
      </c>
      <c r="J25" s="58">
        <v>0.42</v>
      </c>
      <c r="K25" s="58">
        <v>312.88</v>
      </c>
      <c r="L25" s="58">
        <v>20.49</v>
      </c>
      <c r="M25" s="58">
        <v>78.510000000000005</v>
      </c>
      <c r="N25" s="58">
        <v>90.60</v>
      </c>
      <c r="O25" s="58">
        <v>0</v>
      </c>
      <c r="P25" s="58">
        <v>0.78</v>
      </c>
      <c r="Q25" s="58">
        <v>27.21</v>
      </c>
      <c r="R25" s="43"/>
      <c r="S25" s="43"/>
      <c r="T25" s="43"/>
      <c r="U25" s="43"/>
    </row>
    <row r="26" spans="1:21" s="11" customFormat="1" ht="15">
      <c r="A26" s="57" t="s">
        <v>775</v>
      </c>
      <c r="B26" s="58">
        <v>17.16</v>
      </c>
      <c r="C26" s="58">
        <v>38.86</v>
      </c>
      <c r="D26" s="58">
        <v>35.450000000000003</v>
      </c>
      <c r="E26" s="58">
        <v>1.44</v>
      </c>
      <c r="F26" s="58">
        <v>3.26</v>
      </c>
      <c r="G26" s="58">
        <v>52.45</v>
      </c>
      <c r="H26" s="58">
        <v>18.010000000000002</v>
      </c>
      <c r="I26" s="58">
        <v>0.56999999999999995</v>
      </c>
      <c r="J26" s="58">
        <v>0.39</v>
      </c>
      <c r="K26" s="58">
        <v>301.58999999999997</v>
      </c>
      <c r="L26" s="58">
        <v>19.91</v>
      </c>
      <c r="M26" s="58">
        <v>79.63</v>
      </c>
      <c r="N26" s="58">
        <v>71.20</v>
      </c>
      <c r="O26" s="58">
        <v>0</v>
      </c>
      <c r="P26" s="58">
        <v>0.83</v>
      </c>
      <c r="Q26" s="58">
        <v>28.89</v>
      </c>
      <c r="R26" s="43"/>
      <c r="S26" s="43"/>
      <c r="T26" s="43"/>
      <c r="U26" s="43"/>
    </row>
    <row r="27" spans="1:21" s="11" customFormat="1" ht="15">
      <c r="A27" s="57" t="s">
        <v>776</v>
      </c>
      <c r="B27" s="58">
        <v>17.579999999999998</v>
      </c>
      <c r="C27" s="58">
        <v>33.61</v>
      </c>
      <c r="D27" s="58">
        <v>32.36</v>
      </c>
      <c r="E27" s="58">
        <v>1.67</v>
      </c>
      <c r="F27" s="58">
        <v>3.55</v>
      </c>
      <c r="G27" s="58">
        <v>52.54</v>
      </c>
      <c r="H27" s="58">
        <v>15.57</v>
      </c>
      <c r="I27" s="58">
        <v>0.59</v>
      </c>
      <c r="J27" s="58">
        <v>0.92</v>
      </c>
      <c r="K27" s="58">
        <v>147.68</v>
      </c>
      <c r="L27" s="58">
        <v>19.670000000000002</v>
      </c>
      <c r="M27" s="58">
        <v>78.81</v>
      </c>
      <c r="N27" s="58">
        <v>13.90</v>
      </c>
      <c r="O27" s="58">
        <v>0</v>
      </c>
      <c r="P27" s="58">
        <v>0.83</v>
      </c>
      <c r="Q27" s="58">
        <v>31.89</v>
      </c>
      <c r="R27" s="43"/>
      <c r="S27" s="43"/>
      <c r="T27" s="43"/>
      <c r="U27" s="43"/>
    </row>
    <row r="28" spans="1:21" s="11" customFormat="1" ht="15">
      <c r="A28" s="57" t="s">
        <v>777</v>
      </c>
      <c r="B28" s="58">
        <v>16.079999999999998</v>
      </c>
      <c r="C28" s="58">
        <v>32.29</v>
      </c>
      <c r="D28" s="58">
        <v>31.36</v>
      </c>
      <c r="E28" s="58">
        <v>1.92</v>
      </c>
      <c r="F28" s="58">
        <v>3.04</v>
      </c>
      <c r="G28" s="58">
        <v>47.13</v>
      </c>
      <c r="H28" s="58">
        <v>15.19</v>
      </c>
      <c r="I28" s="58">
        <v>0.59</v>
      </c>
      <c r="J28" s="58">
        <v>0.62</v>
      </c>
      <c r="K28" s="58">
        <v>217.20</v>
      </c>
      <c r="L28" s="58">
        <v>19.82</v>
      </c>
      <c r="M28" s="58">
        <v>78.66</v>
      </c>
      <c r="N28" s="58">
        <v>5</v>
      </c>
      <c r="O28" s="58">
        <v>0</v>
      </c>
      <c r="P28" s="58">
        <v>0.82</v>
      </c>
      <c r="Q28" s="58">
        <v>31.44</v>
      </c>
      <c r="R28" s="43"/>
      <c r="S28" s="43"/>
      <c r="T28" s="43"/>
      <c r="U28" s="43"/>
    </row>
    <row r="29" spans="1:21" s="11" customFormat="1" ht="15">
      <c r="A29" s="57" t="s">
        <v>778</v>
      </c>
      <c r="B29" s="58">
        <v>14.60</v>
      </c>
      <c r="C29" s="58">
        <v>33.159999999999997</v>
      </c>
      <c r="D29" s="58">
        <v>30.63</v>
      </c>
      <c r="E29" s="58">
        <v>1.80</v>
      </c>
      <c r="F29" s="58">
        <v>3.17</v>
      </c>
      <c r="G29" s="58">
        <v>44.04</v>
      </c>
      <c r="H29" s="58">
        <v>16.52</v>
      </c>
      <c r="I29" s="58">
        <v>0.57999999999999996</v>
      </c>
      <c r="J29" s="58">
        <v>0.67</v>
      </c>
      <c r="K29" s="58">
        <v>231.69</v>
      </c>
      <c r="L29" s="58">
        <v>19.920000000000002</v>
      </c>
      <c r="M29" s="58">
        <v>78.70</v>
      </c>
      <c r="N29" s="58">
        <v>5.0999999999999996</v>
      </c>
      <c r="O29" s="58">
        <v>0</v>
      </c>
      <c r="P29" s="58">
        <v>0.80</v>
      </c>
      <c r="Q29" s="58">
        <v>30.05</v>
      </c>
      <c r="R29" s="43"/>
      <c r="S29" s="43"/>
      <c r="T29" s="43"/>
      <c r="U29" s="43"/>
    </row>
    <row r="30" spans="1:21" s="11" customFormat="1" ht="15">
      <c r="A30" s="57" t="s">
        <v>779</v>
      </c>
      <c r="B30" s="58">
        <v>15.72</v>
      </c>
      <c r="C30" s="58">
        <v>33.130000000000003</v>
      </c>
      <c r="D30" s="58">
        <v>30.68</v>
      </c>
      <c r="E30" s="58">
        <v>1.87</v>
      </c>
      <c r="F30" s="58">
        <v>3.06</v>
      </c>
      <c r="G30" s="58">
        <v>39.60</v>
      </c>
      <c r="H30" s="58">
        <v>12.02</v>
      </c>
      <c r="I30" s="58">
        <v>0.57999999999999996</v>
      </c>
      <c r="J30" s="58">
        <v>1.84</v>
      </c>
      <c r="K30" s="58">
        <v>301</v>
      </c>
      <c r="L30" s="58">
        <v>19.829999999999998</v>
      </c>
      <c r="M30" s="58">
        <v>87.63</v>
      </c>
      <c r="N30" s="58">
        <v>6</v>
      </c>
      <c r="O30" s="58">
        <v>0.40</v>
      </c>
      <c r="P30" s="58">
        <v>0.79</v>
      </c>
      <c r="Q30" s="58">
        <v>30.25</v>
      </c>
      <c r="R30" s="43"/>
      <c r="S30" s="43"/>
      <c r="T30" s="43"/>
      <c r="U30" s="43"/>
    </row>
    <row r="31" spans="1:21" s="11" customFormat="1" ht="15">
      <c r="A31" s="57" t="s">
        <v>780</v>
      </c>
      <c r="B31" s="58">
        <v>13.25</v>
      </c>
      <c r="C31" s="58">
        <v>31.07</v>
      </c>
      <c r="D31" s="58">
        <v>28.23</v>
      </c>
      <c r="E31" s="58">
        <v>1.57</v>
      </c>
      <c r="F31" s="58">
        <v>3.25</v>
      </c>
      <c r="G31" s="58">
        <v>30.59</v>
      </c>
      <c r="H31" s="58">
        <v>10.09</v>
      </c>
      <c r="I31" s="58">
        <v>0.56999999999999995</v>
      </c>
      <c r="J31" s="58">
        <v>1.67</v>
      </c>
      <c r="K31" s="58">
        <v>329.59</v>
      </c>
      <c r="L31" s="58">
        <v>18.350000000000001</v>
      </c>
      <c r="M31" s="58">
        <v>88.78</v>
      </c>
      <c r="N31" s="58">
        <v>6</v>
      </c>
      <c r="O31" s="58">
        <v>0</v>
      </c>
      <c r="P31" s="58">
        <v>0.76</v>
      </c>
      <c r="Q31" s="58">
        <v>28.35</v>
      </c>
      <c r="R31" s="43"/>
      <c r="S31" s="43"/>
      <c r="T31" s="43"/>
      <c r="U31" s="43"/>
    </row>
    <row r="32" spans="1:21" s="11" customFormat="1" ht="15">
      <c r="A32" s="57" t="s">
        <v>781</v>
      </c>
      <c r="B32" s="58">
        <v>11.24</v>
      </c>
      <c r="C32" s="58">
        <v>29.48</v>
      </c>
      <c r="D32" s="58">
        <v>24.93</v>
      </c>
      <c r="E32" s="58">
        <v>1.67</v>
      </c>
      <c r="F32" s="58">
        <v>3.26</v>
      </c>
      <c r="G32" s="58">
        <v>27.29</v>
      </c>
      <c r="H32" s="58">
        <v>11.40</v>
      </c>
      <c r="I32" s="58">
        <v>0.56000000000000005</v>
      </c>
      <c r="J32" s="58">
        <v>1.71</v>
      </c>
      <c r="K32" s="58">
        <v>133.75</v>
      </c>
      <c r="L32" s="58">
        <v>18.22</v>
      </c>
      <c r="M32" s="58">
        <v>89.03</v>
      </c>
      <c r="N32" s="58">
        <v>5.20</v>
      </c>
      <c r="O32" s="58">
        <v>0.20</v>
      </c>
      <c r="P32" s="58">
        <v>0.75</v>
      </c>
      <c r="Q32" s="58">
        <v>28.69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2.8599999999999999</v>
      </c>
      <c r="C34" s="28">
        <f t="shared" si="0"/>
        <v>21.98</v>
      </c>
      <c r="D34" s="28">
        <f t="shared" si="0"/>
        <v>18.02</v>
      </c>
      <c r="E34" s="28">
        <f t="shared" si="0"/>
        <v>0.91000000000000003</v>
      </c>
      <c r="F34" s="28">
        <f t="shared" si="0"/>
        <v>2.9900000000000002</v>
      </c>
      <c r="G34" s="28">
        <f t="shared" si="0"/>
        <v>10.630000000000001</v>
      </c>
      <c r="H34" s="28">
        <f t="shared" si="0"/>
        <v>7.7300000000000004</v>
      </c>
      <c r="I34" s="28">
        <f t="shared" si="0"/>
        <v>0.47999999999999998</v>
      </c>
      <c r="J34" s="28">
        <f t="shared" si="0"/>
        <v>0.28999999999999998</v>
      </c>
      <c r="K34" s="28">
        <f t="shared" si="0"/>
        <v>133.75</v>
      </c>
      <c r="L34" s="28">
        <f t="shared" si="0"/>
        <v>18.219999999999999</v>
      </c>
      <c r="M34" s="28">
        <f t="shared" si="0"/>
        <v>63.939999999999998</v>
      </c>
      <c r="N34" s="28">
        <f t="shared" si="0"/>
        <v>0</v>
      </c>
      <c r="O34" s="28">
        <f t="shared" si="0"/>
        <v>0</v>
      </c>
      <c r="P34" s="28">
        <f t="shared" si="0"/>
        <v>0.40000000000000002</v>
      </c>
      <c r="Q34" s="28">
        <f t="shared" si="0"/>
        <v>23.98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17.579999999999998</v>
      </c>
      <c r="C35" s="29">
        <f t="shared" si="1"/>
        <v>40.060000000000002</v>
      </c>
      <c r="D35" s="29">
        <f t="shared" si="1"/>
        <v>35.450000000000003</v>
      </c>
      <c r="E35" s="29">
        <f t="shared" si="1"/>
        <v>2.27</v>
      </c>
      <c r="F35" s="29">
        <f t="shared" si="1"/>
        <v>5.9199999999999999</v>
      </c>
      <c r="G35" s="29">
        <f t="shared" si="1"/>
        <v>52.539999999999999</v>
      </c>
      <c r="H35" s="29">
        <f t="shared" si="1"/>
        <v>18.949999999999999</v>
      </c>
      <c r="I35" s="29">
        <f t="shared" si="1"/>
        <v>0.58999999999999997</v>
      </c>
      <c r="J35" s="29">
        <f t="shared" si="1"/>
        <v>2.7599999999999998</v>
      </c>
      <c r="K35" s="29">
        <f t="shared" si="1"/>
        <v>345.94999999999999</v>
      </c>
      <c r="L35" s="29">
        <f t="shared" si="1"/>
        <v>23.329999999999998</v>
      </c>
      <c r="M35" s="29">
        <f t="shared" si="1"/>
        <v>92.819999999999993</v>
      </c>
      <c r="N35" s="29">
        <f t="shared" si="1"/>
        <v>257.60000000000002</v>
      </c>
      <c r="O35" s="29">
        <f t="shared" si="1"/>
        <v>1.6000000000000001</v>
      </c>
      <c r="P35" s="29">
        <f t="shared" si="1"/>
        <v>0.82999999999999996</v>
      </c>
      <c r="Q35" s="29">
        <f t="shared" si="1"/>
        <v>31.890000000000001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11.925416666666665</v>
      </c>
      <c r="C36" s="28">
        <f t="shared" si="2"/>
        <v>31.016249999999999</v>
      </c>
      <c r="D36" s="28">
        <f t="shared" si="2"/>
        <v>26.906666666666663</v>
      </c>
      <c r="E36" s="28">
        <f t="shared" si="2"/>
        <v>1.7470833333333333</v>
      </c>
      <c r="F36" s="28">
        <f t="shared" si="2"/>
        <v>3.7383333333333337</v>
      </c>
      <c r="G36" s="28">
        <f t="shared" si="2"/>
        <v>32.492083333333333</v>
      </c>
      <c r="H36" s="28">
        <f t="shared" si="2"/>
        <v>11.902916666666668</v>
      </c>
      <c r="I36" s="28">
        <f t="shared" si="2"/>
        <v>0.53958333333333341</v>
      </c>
      <c r="J36" s="28">
        <f t="shared" si="2"/>
        <v>1.0237500000000004</v>
      </c>
      <c r="K36" s="28">
        <f t="shared" si="2"/>
        <v>290.20083333333338</v>
      </c>
      <c r="L36" s="28">
        <f t="shared" si="2"/>
        <v>20.403750000000002</v>
      </c>
      <c r="M36" s="28">
        <f t="shared" si="2"/>
        <v>81.703750000000014</v>
      </c>
      <c r="N36" s="28">
        <f t="shared" si="2"/>
        <v>36.137500000000003</v>
      </c>
      <c r="O36" s="28">
        <f t="shared" si="2"/>
        <v>0.14166666666666666</v>
      </c>
      <c r="P36" s="28">
        <f t="shared" si="2"/>
        <v>0.68208333333333349</v>
      </c>
      <c r="Q36" s="28">
        <f t="shared" si="2"/>
        <v>27.600416666666671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4.1215594127409592</v>
      </c>
      <c r="C37" s="28">
        <f t="shared" si="3" ref="C37:Q37">STDEV(C9:C32)</f>
        <v>5.1072044701578232</v>
      </c>
      <c r="D37" s="28">
        <f t="shared" si="3"/>
        <v>4.8474015151703256</v>
      </c>
      <c r="E37" s="28">
        <f t="shared" si="3"/>
        <v>0.39031179472499744</v>
      </c>
      <c r="F37" s="28">
        <f t="shared" si="3"/>
        <v>0.76795984194525035</v>
      </c>
      <c r="G37" s="28">
        <f t="shared" si="3"/>
        <v>13.051578275098159</v>
      </c>
      <c r="H37" s="28">
        <f t="shared" si="3"/>
        <v>3.2272501138122878</v>
      </c>
      <c r="I37" s="28">
        <f t="shared" si="3"/>
        <v>0.031134933081203402</v>
      </c>
      <c r="J37" s="28">
        <f t="shared" si="3"/>
        <v>0.72956099068579217</v>
      </c>
      <c r="K37" s="28">
        <f t="shared" si="3"/>
        <v>54.276360128886289</v>
      </c>
      <c r="L37" s="28">
        <f t="shared" si="3"/>
        <v>1.3123487490489845</v>
      </c>
      <c r="M37" s="28">
        <f t="shared" si="3"/>
        <v>6.0166694618404524</v>
      </c>
      <c r="N37" s="28">
        <f t="shared" si="3"/>
        <v>72.389230597663769</v>
      </c>
      <c r="O37" s="28">
        <f t="shared" si="3"/>
        <v>0.37983596764766842</v>
      </c>
      <c r="P37" s="28">
        <f t="shared" si="3"/>
        <v>0.11131542206004326</v>
      </c>
      <c r="Q37" s="28">
        <f t="shared" si="3"/>
        <v>1.8681645937324054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d2a0be-1514-472a-b49c-67bc3249e476}">
  <sheetPr codeName=""/>
  <dimension ref="A1:X54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P18" sqref="P18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01-04-2023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01-04-2023 01:00</v>
      </c>
      <c r="B9" s="24">
        <f>'01'!B36</f>
        <v>13.168333333333335</v>
      </c>
      <c r="C9" s="24">
        <f>'01'!C36</f>
        <v>42.357083333333328</v>
      </c>
      <c r="D9" s="24">
        <f>'01'!D36</f>
        <v>35.297499999999999</v>
      </c>
      <c r="E9" s="24">
        <f>'01'!E36</f>
        <v>2.7462500000000003</v>
      </c>
      <c r="F9" s="24">
        <f>'01'!F36</f>
        <v>9.0208333333333339</v>
      </c>
      <c r="G9" s="24">
        <f>'01'!G36</f>
        <v>35.642499999999998</v>
      </c>
      <c r="H9" s="24">
        <f>'01'!H36</f>
        <v>12.465833333333331</v>
      </c>
      <c r="I9" s="24">
        <f>'01'!I36</f>
        <v>0.54083333333333339</v>
      </c>
      <c r="J9" s="24">
        <f>'01'!J36</f>
        <v>0.94208333333333327</v>
      </c>
      <c r="K9" s="24">
        <f>'01'!K36</f>
        <v>222.47833333333332</v>
      </c>
      <c r="L9" s="24">
        <f>'01'!L36</f>
        <v>24.59041666666667</v>
      </c>
      <c r="M9" s="24">
        <f>'01'!M36</f>
        <v>59.270416666666669</v>
      </c>
      <c r="N9" s="24">
        <f>'01'!N36</f>
        <v>290.30000000000007</v>
      </c>
      <c r="O9" s="24">
        <f>'01'!O36</f>
        <v>0.033333333333333333</v>
      </c>
      <c r="P9" s="30">
        <f>'01'!$P$36</f>
        <v>0.68083333333333351</v>
      </c>
      <c r="Q9" s="24">
        <f>'01'!Q36</f>
        <v>41.106666666666662</v>
      </c>
      <c r="R9" s="45"/>
      <c r="S9" s="45"/>
      <c r="T9" s="45"/>
      <c r="U9" s="46"/>
    </row>
    <row r="10" spans="1:21" s="34" customFormat="1" ht="15">
      <c r="A10" s="36" t="str">
        <f>'02'!$B$2</f>
        <v>02-04-2023 01:00</v>
      </c>
      <c r="B10" s="33">
        <f>'02'!B36</f>
        <v>48.280000000000008</v>
      </c>
      <c r="C10" s="33">
        <f>'02'!C36</f>
        <v>59.351249999999993</v>
      </c>
      <c r="D10" s="33">
        <f>'02'!D36</f>
        <v>72.566250000000011</v>
      </c>
      <c r="E10" s="33">
        <f>'02'!E36</f>
        <v>2.4804166666666667</v>
      </c>
      <c r="F10" s="33">
        <f>'02'!F36</f>
        <v>8.0070833333333322</v>
      </c>
      <c r="G10" s="33">
        <f>'02'!G36</f>
        <v>72.027083333333323</v>
      </c>
      <c r="H10" s="33">
        <f>'02'!H36</f>
        <v>23.798749999999998</v>
      </c>
      <c r="I10" s="33">
        <f>'02'!I36</f>
        <v>0.67416666666666669</v>
      </c>
      <c r="J10" s="33">
        <f>'02'!J36</f>
        <v>0.45375000000000004</v>
      </c>
      <c r="K10" s="33">
        <f>'02'!K36</f>
        <v>248.04999999999998</v>
      </c>
      <c r="L10" s="33">
        <f>'02'!L36</f>
        <v>26.976666666666674</v>
      </c>
      <c r="M10" s="33">
        <f>'02'!M36</f>
        <v>46.796249999999993</v>
      </c>
      <c r="N10" s="33">
        <f>'02'!N36</f>
        <v>292.14999999999992</v>
      </c>
      <c r="O10" s="33">
        <f>'02'!O36</f>
        <v>0</v>
      </c>
      <c r="P10" s="30">
        <f>'02'!$P$36</f>
        <v>1.2191666666666667</v>
      </c>
      <c r="Q10" s="33">
        <f>'02'!Q36</f>
        <v>43.209166666666668</v>
      </c>
      <c r="R10" s="47"/>
      <c r="S10" s="47"/>
      <c r="T10" s="47"/>
      <c r="U10" s="47"/>
    </row>
    <row r="11" spans="1:21" s="34" customFormat="1" ht="15">
      <c r="A11" s="36" t="str">
        <f>'03'!$B$2</f>
        <v>03-04-2023 01:00</v>
      </c>
      <c r="B11" s="33">
        <f>'03'!B36</f>
        <v>28.667916666666674</v>
      </c>
      <c r="C11" s="33">
        <f>'03'!C36</f>
        <v>57.059583333333336</v>
      </c>
      <c r="D11" s="33">
        <f>'03'!D36</f>
        <v>55.116666666666667</v>
      </c>
      <c r="E11" s="33">
        <f>'03'!E36</f>
        <v>5.1066666666666665</v>
      </c>
      <c r="F11" s="33">
        <f>'03'!F36</f>
        <v>13.13875</v>
      </c>
      <c r="G11" s="33">
        <f>'03'!G36</f>
        <v>108.29043478260873</v>
      </c>
      <c r="H11" s="33">
        <f>'03'!H36</f>
        <v>35.880869565217388</v>
      </c>
      <c r="I11" s="33">
        <f>'03'!I36</f>
        <v>0.63124999999999998</v>
      </c>
      <c r="J11" s="33">
        <f>'03'!J36</f>
        <v>0.61749999999999994</v>
      </c>
      <c r="K11" s="33">
        <f>'03'!K36</f>
        <v>245.72833333333327</v>
      </c>
      <c r="L11" s="33">
        <f>'03'!L36</f>
        <v>27.705000000000002</v>
      </c>
      <c r="M11" s="33">
        <f>'03'!M36</f>
        <v>42.95291666666666</v>
      </c>
      <c r="N11" s="33">
        <f>'03'!N36</f>
        <v>270.92499999999995</v>
      </c>
      <c r="O11" s="33">
        <f>'03'!O36</f>
        <v>0</v>
      </c>
      <c r="P11" s="30">
        <f>'03'!$P$36</f>
        <v>1.1641666666666668</v>
      </c>
      <c r="Q11" s="33">
        <f>'03'!Q36</f>
        <v>40.348333333333336</v>
      </c>
      <c r="R11" s="47"/>
      <c r="S11" s="47"/>
      <c r="T11" s="47"/>
      <c r="U11" s="47"/>
    </row>
    <row r="12" spans="1:21" s="34" customFormat="1" ht="15">
      <c r="A12" s="36" t="str">
        <f>'04'!$B$2</f>
        <v>04-04-2023 01:00</v>
      </c>
      <c r="B12" s="33">
        <f>'04'!B36</f>
        <v>8.9083333333333332</v>
      </c>
      <c r="C12" s="33">
        <f>'04'!C36</f>
        <v>51.032916666666672</v>
      </c>
      <c r="D12" s="33">
        <f>'04'!D36</f>
        <v>35.549999999999997</v>
      </c>
      <c r="E12" s="33">
        <f>'04'!E36</f>
        <v>2.8720833333333338</v>
      </c>
      <c r="F12" s="33">
        <f>'04'!F36</f>
        <v>10.344583333333334</v>
      </c>
      <c r="G12" s="33">
        <f>'04'!G36</f>
        <v>57.016666666666659</v>
      </c>
      <c r="H12" s="33">
        <f>'04'!H36</f>
        <v>23.355833333333333</v>
      </c>
      <c r="I12" s="33">
        <f>'04'!I36</f>
        <v>0.55500000000000005</v>
      </c>
      <c r="J12" s="33">
        <f>'04'!J36</f>
        <v>0.52833333333333343</v>
      </c>
      <c r="K12" s="33">
        <f>'04'!K36</f>
        <v>251.19833333333335</v>
      </c>
      <c r="L12" s="33">
        <f>'04'!L36</f>
        <v>27.835833333333344</v>
      </c>
      <c r="M12" s="33">
        <f>'04'!M36</f>
        <v>50.499583333333327</v>
      </c>
      <c r="N12" s="33">
        <f>'04'!N36</f>
        <v>261.64166666666665</v>
      </c>
      <c r="O12" s="33">
        <f>'04'!O36</f>
        <v>0</v>
      </c>
      <c r="P12" s="30">
        <f>'04'!$P$36</f>
        <v>0.67416666666666669</v>
      </c>
      <c r="Q12" s="33">
        <f>'04'!Q36</f>
        <v>36.202500000000001</v>
      </c>
      <c r="R12" s="47"/>
      <c r="S12" s="47"/>
      <c r="T12" s="47"/>
      <c r="U12" s="47"/>
    </row>
    <row r="13" spans="1:21" s="34" customFormat="1" ht="15">
      <c r="A13" s="36" t="str">
        <f>'05'!$B$2</f>
        <v>05-04-2023 01:00</v>
      </c>
      <c r="B13" s="33">
        <f>'05'!B36</f>
        <v>23.754999999999999</v>
      </c>
      <c r="C13" s="33">
        <f>'05'!C36</f>
        <v>63.390416666666653</v>
      </c>
      <c r="D13" s="33">
        <f>'05'!D36</f>
        <v>53.397083333333335</v>
      </c>
      <c r="E13" s="33">
        <f>'05'!E36</f>
        <v>5.6395833333333343</v>
      </c>
      <c r="F13" s="33">
        <f>'05'!F36</f>
        <v>16.335416666666664</v>
      </c>
      <c r="G13" s="33">
        <f>'05'!G36</f>
        <v>82.898333333333355</v>
      </c>
      <c r="H13" s="33">
        <f>'05'!H36</f>
        <v>28.397499999999997</v>
      </c>
      <c r="I13" s="33">
        <f>'05'!I36</f>
        <v>0.62416666666666665</v>
      </c>
      <c r="J13" s="33">
        <f>'05'!J36</f>
        <v>0.52249999999999974</v>
      </c>
      <c r="K13" s="33">
        <f>'05'!K36</f>
        <v>233.29958333333332</v>
      </c>
      <c r="L13" s="33">
        <f>'05'!L36</f>
        <v>28.627916666666664</v>
      </c>
      <c r="M13" s="33">
        <f>'05'!M36</f>
        <v>48.223749999999988</v>
      </c>
      <c r="N13" s="33">
        <f>'05'!N36</f>
        <v>248.22916666666671</v>
      </c>
      <c r="O13" s="33">
        <f>'05'!O36</f>
        <v>0</v>
      </c>
      <c r="P13" s="30">
        <f>'05'!$P$36</f>
        <v>1.1258333333333332</v>
      </c>
      <c r="Q13" s="33">
        <f>'05'!Q36</f>
        <v>37.255416666666669</v>
      </c>
      <c r="R13" s="47"/>
      <c r="S13" s="47"/>
      <c r="T13" s="47"/>
      <c r="U13" s="47"/>
    </row>
    <row r="14" spans="1:21" s="34" customFormat="1" ht="15">
      <c r="A14" s="36" t="str">
        <f>'06'!$B$2</f>
        <v>06-04-2023 01:00</v>
      </c>
      <c r="B14" s="33">
        <f>'06'!B36</f>
        <v>35.428333333333335</v>
      </c>
      <c r="C14" s="33">
        <f>'06'!C36</f>
        <v>69.985833333333332</v>
      </c>
      <c r="D14" s="33">
        <f>'06'!D36</f>
        <v>67.068750000000009</v>
      </c>
      <c r="E14" s="33">
        <f>'06'!E36</f>
        <v>8.9983333333333331</v>
      </c>
      <c r="F14" s="33">
        <f>'06'!F36</f>
        <v>13.092499999999999</v>
      </c>
      <c r="G14" s="33">
        <f>'06'!G36</f>
        <v>130.58333333333334</v>
      </c>
      <c r="H14" s="33">
        <f>'06'!H36</f>
        <v>36.799583333333324</v>
      </c>
      <c r="I14" s="33">
        <f>'06'!I36</f>
        <v>0.7400000000000001</v>
      </c>
      <c r="J14" s="33">
        <f>'06'!J36</f>
        <v>0.61416666666666653</v>
      </c>
      <c r="K14" s="33">
        <f>'06'!K36</f>
        <v>212.72249999999997</v>
      </c>
      <c r="L14" s="33">
        <f>'06'!L36</f>
        <v>28.03583333333334</v>
      </c>
      <c r="M14" s="33">
        <f>'06'!M36</f>
        <v>48.657083333333325</v>
      </c>
      <c r="N14" s="33">
        <f>'06'!N36</f>
        <v>225.92500000000004</v>
      </c>
      <c r="O14" s="33">
        <f>'06'!O36</f>
        <v>0</v>
      </c>
      <c r="P14" s="30">
        <f>'06'!$P$36</f>
        <v>1.3425000000000002</v>
      </c>
      <c r="Q14" s="33">
        <f>'06'!Q36</f>
        <v>37.540833333333332</v>
      </c>
      <c r="R14" s="47"/>
      <c r="S14" s="47"/>
      <c r="T14" s="47"/>
      <c r="U14" s="47"/>
    </row>
    <row r="15" spans="1:21" s="34" customFormat="1" ht="15">
      <c r="A15" s="36" t="str">
        <f>'07'!$B$2</f>
        <v>07-04-2023 01:00</v>
      </c>
      <c r="B15" s="33">
        <f>'07'!B36</f>
        <v>6.3808333333333342</v>
      </c>
      <c r="C15" s="33">
        <f>'07'!C36</f>
        <v>53.098333333333329</v>
      </c>
      <c r="D15" s="33">
        <f>'07'!D36</f>
        <v>34.81958333333332</v>
      </c>
      <c r="E15" s="33">
        <f>'07'!E36</f>
        <v>3.1958333333333329</v>
      </c>
      <c r="F15" s="33">
        <f>'07'!F36</f>
        <v>16.351249999999997</v>
      </c>
      <c r="G15" s="33">
        <f>'07'!G36</f>
        <v>62.596666666666671</v>
      </c>
      <c r="H15" s="33">
        <f>'07'!H36</f>
        <v>21.7225</v>
      </c>
      <c r="I15" s="33">
        <f>'07'!I36</f>
        <v>0.55624999999999991</v>
      </c>
      <c r="J15" s="33">
        <f>'07'!J36</f>
        <v>0.9787499999999999</v>
      </c>
      <c r="K15" s="33">
        <f>'07'!K36</f>
        <v>214.44875000000002</v>
      </c>
      <c r="L15" s="33">
        <f>'07'!L36</f>
        <v>27.661249999999999</v>
      </c>
      <c r="M15" s="33">
        <f>'07'!M36</f>
        <v>49.484583333333326</v>
      </c>
      <c r="N15" s="33">
        <f>'07'!N37</f>
        <v>310.37993334840809</v>
      </c>
      <c r="O15" s="33">
        <f>'07'!O37</f>
        <v>0</v>
      </c>
      <c r="P15" s="30">
        <f>'07'!$P$36</f>
        <v>0.72958333333333325</v>
      </c>
      <c r="Q15" s="33">
        <f>'07'!Q36</f>
        <v>32.145833333333336</v>
      </c>
      <c r="R15" s="47"/>
      <c r="S15" s="47"/>
      <c r="T15" s="47"/>
      <c r="U15" s="47"/>
    </row>
    <row r="16" spans="1:21" s="34" customFormat="1" ht="15">
      <c r="A16" s="36" t="str">
        <f>'08'!$B$2</f>
        <v>08-04-2023 01:00</v>
      </c>
      <c r="B16" s="33">
        <f>'08'!B36</f>
        <v>13.720833333333331</v>
      </c>
      <c r="C16" s="33">
        <f>'08'!C36</f>
        <v>55.600833333333334</v>
      </c>
      <c r="D16" s="33">
        <f>'08'!D36</f>
        <v>41.837916666666665</v>
      </c>
      <c r="E16" s="33">
        <f>'08'!E36</f>
        <v>3.1508333333333329</v>
      </c>
      <c r="F16" s="33">
        <f>'08'!F36</f>
        <v>7.9162500000000007</v>
      </c>
      <c r="G16" s="33">
        <f>'08'!G36</f>
        <v>68.043333333333337</v>
      </c>
      <c r="H16" s="33">
        <f>'08'!H36</f>
        <v>21.372666666666667</v>
      </c>
      <c r="I16" s="33">
        <f>'08'!I36</f>
        <v>0.54041666666666666</v>
      </c>
      <c r="J16" s="33">
        <f>'08'!J36</f>
        <v>1.0574999999999997</v>
      </c>
      <c r="K16" s="33">
        <f>'08'!K36</f>
        <v>224.78333333333333</v>
      </c>
      <c r="L16" s="33">
        <f>'08'!L36</f>
        <v>24.924166666666668</v>
      </c>
      <c r="M16" s="33">
        <f>'08'!M36</f>
        <v>50.125833333333325</v>
      </c>
      <c r="N16" s="33">
        <f>'08'!N36</f>
        <v>189.17499999999998</v>
      </c>
      <c r="O16" s="33">
        <f>'08'!O36</f>
        <v>0.016666666666666666</v>
      </c>
      <c r="P16" s="30">
        <f>'08'!$P$36</f>
        <v>0.88583333333333325</v>
      </c>
      <c r="Q16" s="33">
        <f>'08'!Q36</f>
        <v>28.607916666666664</v>
      </c>
      <c r="R16" s="47"/>
      <c r="S16" s="47"/>
      <c r="T16" s="47"/>
      <c r="U16" s="47"/>
    </row>
    <row r="17" spans="1:24" s="34" customFormat="1" ht="15">
      <c r="A17" s="36" t="str">
        <f>'09'!$B$2</f>
        <v>09-04-2023 01:00</v>
      </c>
      <c r="B17" s="33">
        <f>'09'!B36</f>
        <v>21.403749999999999</v>
      </c>
      <c r="C17" s="33">
        <f>'09'!C36</f>
        <v>59.239166666666655</v>
      </c>
      <c r="D17" s="33">
        <f>'09'!D36</f>
        <v>49.737916666666671</v>
      </c>
      <c r="E17" s="33">
        <f>'09'!E36</f>
        <v>6.423333333333332</v>
      </c>
      <c r="F17" s="33">
        <f>'09'!F36</f>
        <v>13.585833333333333</v>
      </c>
      <c r="G17" s="33">
        <f>'09'!G36</f>
        <v>129.26250000000002</v>
      </c>
      <c r="H17" s="33">
        <f>'09'!H36</f>
        <v>39.515000000000001</v>
      </c>
      <c r="I17" s="33">
        <f>'09'!I36</f>
        <v>0.64333333333333331</v>
      </c>
      <c r="J17" s="33">
        <f>'09'!J36</f>
        <v>0.87583333333333346</v>
      </c>
      <c r="K17" s="33">
        <f>'09'!K36</f>
        <v>185.33999999999995</v>
      </c>
      <c r="L17" s="33">
        <f>'09'!L36</f>
        <v>28.009166666666669</v>
      </c>
      <c r="M17" s="33">
        <f>'09'!M36</f>
        <v>43.343750000000007</v>
      </c>
      <c r="N17" s="33">
        <f>'09'!N37</f>
        <v>355.86952153660985</v>
      </c>
      <c r="O17" s="33">
        <f>'09'!O37</f>
        <v>0</v>
      </c>
      <c r="P17" s="30">
        <f>'09'!$P$36</f>
        <v>1.1754166666666666</v>
      </c>
      <c r="Q17" s="33">
        <f>'09'!Q36</f>
        <v>29.641666666666669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10-04-2023 01:00</v>
      </c>
      <c r="B18" s="33">
        <f>'10'!B36</f>
        <v>19.588260869565218</v>
      </c>
      <c r="C18" s="33">
        <f>'10'!C36</f>
        <v>56.135217391304352</v>
      </c>
      <c r="D18" s="33">
        <f>'10'!D36</f>
        <v>46.984782608695646</v>
      </c>
      <c r="E18" s="33">
        <f>'10'!E36</f>
        <v>6.1141666666666667</v>
      </c>
      <c r="F18" s="33">
        <f>'10'!F36</f>
        <v>19.690000000000001</v>
      </c>
      <c r="G18" s="33">
        <f>'10'!G36</f>
        <v>85.419090909090897</v>
      </c>
      <c r="H18" s="33">
        <f>'10'!H36</f>
        <v>21.415909090909093</v>
      </c>
      <c r="I18" s="33">
        <f>'10'!I36</f>
        <v>0.58916666666666673</v>
      </c>
      <c r="J18" s="33">
        <f>'10'!J36</f>
        <v>0.48041666666666666</v>
      </c>
      <c r="K18" s="33">
        <f>'10'!K36</f>
        <v>274.97541666666666</v>
      </c>
      <c r="L18" s="33">
        <f>'10'!L36</f>
        <v>28.15625</v>
      </c>
      <c r="M18" s="33">
        <f>'10'!M36</f>
        <v>44.468749999999993</v>
      </c>
      <c r="N18" s="33">
        <f>'10'!N36</f>
        <v>220.95416666666668</v>
      </c>
      <c r="O18" s="33">
        <f>'10'!O36</f>
        <v>0</v>
      </c>
      <c r="P18" s="30">
        <f>'10'!$P$36</f>
        <v>1.11375</v>
      </c>
      <c r="Q18" s="33">
        <f>'10'!Q36</f>
        <v>26.61375</v>
      </c>
      <c r="R18" s="47"/>
      <c r="S18" s="47"/>
      <c r="T18" s="47"/>
      <c r="U18" s="47"/>
    </row>
    <row r="19" spans="1:21" s="34" customFormat="1" ht="15">
      <c r="A19" s="36" t="str">
        <f>'11'!$B$2</f>
        <v>11-04-2023 01:00</v>
      </c>
      <c r="B19" s="33">
        <f>'11'!B36</f>
        <v>47.127083333333331</v>
      </c>
      <c r="C19" s="33">
        <f>'11'!C36</f>
        <v>72.655416666666653</v>
      </c>
      <c r="D19" s="33">
        <f>'11'!D36</f>
        <v>77.277083333333337</v>
      </c>
      <c r="E19" s="33">
        <f>'11'!E36</f>
        <v>7.9487499999999995</v>
      </c>
      <c r="F19" s="33">
        <f>'11'!F36</f>
        <v>18.583749999999998</v>
      </c>
      <c r="G19" s="33">
        <f>'11'!G36</f>
        <v>105.81791666666668</v>
      </c>
      <c r="H19" s="33">
        <f>'11'!H36</f>
        <v>32.922499999999992</v>
      </c>
      <c r="I19" s="33">
        <f>'11'!I36</f>
        <v>0.81916666666666671</v>
      </c>
      <c r="J19" s="33">
        <f>'11'!J36</f>
        <v>0.47708333333333336</v>
      </c>
      <c r="K19" s="33">
        <f>'11'!K36</f>
        <v>249.92749999999998</v>
      </c>
      <c r="L19" s="33">
        <f>'11'!L36</f>
        <v>29.814583333333342</v>
      </c>
      <c r="M19" s="33">
        <f>'11'!M36</f>
        <v>42.10625000000001</v>
      </c>
      <c r="N19" s="33">
        <f>'11'!N36</f>
        <v>255.02083333333337</v>
      </c>
      <c r="O19" s="33">
        <f>'11'!O36</f>
        <v>0</v>
      </c>
      <c r="P19" s="33">
        <f>'11'!P36</f>
        <v>1.5212499999999995</v>
      </c>
      <c r="Q19" s="33">
        <f>'11'!Q36</f>
        <v>31.404166666666672</v>
      </c>
      <c r="R19" s="47"/>
      <c r="S19" s="47"/>
      <c r="T19" s="47"/>
      <c r="U19" s="47"/>
    </row>
    <row r="20" spans="1:21" s="34" customFormat="1" ht="15">
      <c r="A20" s="36" t="str">
        <f>'12'!$B$2</f>
        <v>12-04-2023 01:00</v>
      </c>
      <c r="B20" s="33">
        <f>'12'!B36</f>
        <v>52.083333333333336</v>
      </c>
      <c r="C20" s="33">
        <f>'12'!C36</f>
        <v>83.810000000000002</v>
      </c>
      <c r="D20" s="33">
        <f>'12'!D36</f>
        <v>87.998571428571424</v>
      </c>
      <c r="E20" s="33">
        <f>'12'!E36</f>
        <v>6.6242857142857146</v>
      </c>
      <c r="F20" s="33">
        <f>'12'!F36</f>
        <v>16.582727272727276</v>
      </c>
      <c r="G20" s="33">
        <f>'12'!G36</f>
        <v>127.7157142857143</v>
      </c>
      <c r="H20" s="33">
        <f>'12'!H36</f>
        <v>41.235454545454552</v>
      </c>
      <c r="I20" s="33">
        <f>'12'!I36</f>
        <v>0.873529411764706</v>
      </c>
      <c r="J20" s="33">
        <f>'12'!J36</f>
        <v>0.36681818181818182</v>
      </c>
      <c r="K20" s="33">
        <f>'12'!K36</f>
        <v>256.00181818181812</v>
      </c>
      <c r="L20" s="33">
        <f>'12'!L36</f>
        <v>30.459090909090914</v>
      </c>
      <c r="M20" s="33">
        <f>'12'!M36</f>
        <v>37.564999999999998</v>
      </c>
      <c r="N20" s="33">
        <f>'12'!N36</f>
        <v>264.62272727272733</v>
      </c>
      <c r="O20" s="33">
        <f>'12'!O36</f>
        <v>0</v>
      </c>
      <c r="P20" s="33">
        <f>'12'!P36</f>
        <v>1.6640909090909093</v>
      </c>
      <c r="Q20" s="33">
        <f>'12'!Q36</f>
        <v>32.931904761904761</v>
      </c>
      <c r="R20" s="47"/>
      <c r="S20" s="47"/>
      <c r="T20" s="47"/>
      <c r="U20" s="47"/>
    </row>
    <row r="21" spans="1:21" s="34" customFormat="1" ht="15">
      <c r="A21" s="36" t="str">
        <f>'13'!$B$2</f>
        <v>13-04-2023 01:00</v>
      </c>
      <c r="B21" s="33">
        <f>'13'!B36</f>
        <v>39.649999999999999</v>
      </c>
      <c r="C21" s="33">
        <f>'13'!C36</f>
        <v>78.282499999999985</v>
      </c>
      <c r="D21" s="33">
        <f>'13'!D36</f>
        <v>74.937083333333348</v>
      </c>
      <c r="E21" s="33">
        <f>'13'!E36</f>
        <v>8.4145833333333346</v>
      </c>
      <c r="F21" s="33">
        <f>'13'!F36</f>
        <v>20.960416666666671</v>
      </c>
      <c r="G21" s="33">
        <f>'13'!G36</f>
        <v>135.44708333333332</v>
      </c>
      <c r="H21" s="33">
        <f>'13'!H36</f>
        <v>45.416666666666664</v>
      </c>
      <c r="I21" s="33">
        <f>'13'!I36</f>
        <v>0.80958333333333321</v>
      </c>
      <c r="J21" s="33">
        <f>'13'!J36</f>
        <v>0.50666666666666671</v>
      </c>
      <c r="K21" s="33">
        <f>'13'!K36</f>
        <v>282.0333333333333</v>
      </c>
      <c r="L21" s="33">
        <f>'13'!L36</f>
        <v>31.149166666666659</v>
      </c>
      <c r="M21" s="33">
        <f>'13'!M36</f>
        <v>36.971666666666671</v>
      </c>
      <c r="N21" s="33">
        <f>'13'!N36</f>
        <v>237.02500000000006</v>
      </c>
      <c r="O21" s="33">
        <f>'13'!O36</f>
        <v>0</v>
      </c>
      <c r="P21" s="33">
        <f>'13'!P36</f>
        <v>1.4891666666666665</v>
      </c>
      <c r="Q21" s="33">
        <f>'13'!Q36</f>
        <v>18.452499999999997</v>
      </c>
      <c r="R21" s="47"/>
      <c r="S21" s="47"/>
      <c r="T21" s="47"/>
      <c r="U21" s="47"/>
    </row>
    <row r="22" spans="1:21" s="34" customFormat="1" ht="15">
      <c r="A22" s="36" t="str">
        <f>'14'!$B$2</f>
        <v>14-04-2023 01:00</v>
      </c>
      <c r="B22" s="30">
        <f>'14'!B36</f>
        <v>17.956250000000001</v>
      </c>
      <c r="C22" s="30">
        <f>'14'!C36</f>
        <v>63.050833333333337</v>
      </c>
      <c r="D22" s="30">
        <f>'14'!D36</f>
        <v>49.34375</v>
      </c>
      <c r="E22" s="30">
        <f>'14'!E36</f>
        <v>6.5945833333333326</v>
      </c>
      <c r="F22" s="30">
        <f>'14'!F36</f>
        <v>31.453749999999999</v>
      </c>
      <c r="G22" s="30">
        <f>'14'!G36</f>
        <v>92.791304347826085</v>
      </c>
      <c r="H22" s="30">
        <f>'14'!H36</f>
        <v>33.100434782608694</v>
      </c>
      <c r="I22" s="30">
        <f>'14'!I36</f>
        <v>0.69166666666666654</v>
      </c>
      <c r="J22" s="30">
        <f>'14'!J36</f>
        <v>0.43666666666666676</v>
      </c>
      <c r="K22" s="30">
        <f>'14'!K36</f>
        <v>244.97833333333332</v>
      </c>
      <c r="L22" s="30">
        <f>'14'!L36</f>
        <v>31.62458333333333</v>
      </c>
      <c r="M22" s="30">
        <f>'14'!M36</f>
        <v>35.759999999999991</v>
      </c>
      <c r="N22" s="30">
        <f>'14'!N36</f>
        <v>236.48333333333332</v>
      </c>
      <c r="O22" s="30">
        <f>'14'!O36</f>
        <v>0</v>
      </c>
      <c r="P22" s="30">
        <f>'14'!P36</f>
        <v>1.2395833333333335</v>
      </c>
      <c r="Q22" s="30">
        <f>'14'!Q36</f>
        <v>12.909999999999998</v>
      </c>
      <c r="R22" s="48"/>
      <c r="S22" s="48"/>
      <c r="T22" s="48"/>
      <c r="U22" s="48"/>
    </row>
    <row r="23" spans="1:21" s="34" customFormat="1" ht="15">
      <c r="A23" s="36" t="str">
        <f>'15'!$B$2</f>
        <v>15-04-2023 01:00</v>
      </c>
      <c r="B23" s="33">
        <f>'15'!B36</f>
        <v>10.399583333333336</v>
      </c>
      <c r="C23" s="33">
        <f>'15'!C36</f>
        <v>51.775416666666679</v>
      </c>
      <c r="D23" s="33">
        <f>'15'!D36</f>
        <v>37.007916666666667</v>
      </c>
      <c r="E23" s="33">
        <f>'15'!E36</f>
        <v>5.0133333333333336</v>
      </c>
      <c r="F23" s="33">
        <f>'15'!F36</f>
        <v>12.702083333333334</v>
      </c>
      <c r="G23" s="33">
        <f>'15'!G36</f>
        <v>72.469090909090909</v>
      </c>
      <c r="H23" s="33">
        <f>'15'!H36</f>
        <v>22.291250000000002</v>
      </c>
      <c r="I23" s="33">
        <f>'15'!I36</f>
        <v>0.6087499999999999</v>
      </c>
      <c r="J23" s="33">
        <f>'15'!J36</f>
        <v>1.1262500000000002</v>
      </c>
      <c r="K23" s="33">
        <f>'15'!K36</f>
        <v>163.95291666666665</v>
      </c>
      <c r="L23" s="33">
        <f>'15'!L36</f>
        <v>31.491249999999997</v>
      </c>
      <c r="M23" s="33">
        <f>'15'!M36</f>
        <v>28.490000000000006</v>
      </c>
      <c r="N23" s="33">
        <f>'15'!N36</f>
        <v>224.25833333333335</v>
      </c>
      <c r="O23" s="33">
        <f>'15'!O36</f>
        <v>0</v>
      </c>
      <c r="P23" s="30">
        <f>'15'!P36</f>
        <v>0.88750000000000018</v>
      </c>
      <c r="Q23" s="30">
        <f>'15'!Q36</f>
        <v>10.247272727272726</v>
      </c>
      <c r="R23" s="48"/>
      <c r="S23" s="48"/>
      <c r="T23" s="48"/>
      <c r="U23" s="47"/>
    </row>
    <row r="24" spans="1:21" s="34" customFormat="1" ht="15">
      <c r="A24" s="36" t="str">
        <f>'16'!$B$2</f>
        <v>16-04-2023 01:00</v>
      </c>
      <c r="B24" s="33">
        <f>'16'!B36</f>
        <v>26.221666666666668</v>
      </c>
      <c r="C24" s="33">
        <f>'16'!C36</f>
        <v>59.908333333333331</v>
      </c>
      <c r="D24" s="33">
        <f>'16'!D36</f>
        <v>54.407500000000006</v>
      </c>
      <c r="E24" s="33">
        <f>'16'!E36</f>
        <v>5.7687499999999998</v>
      </c>
      <c r="F24" s="33">
        <f>'16'!F36</f>
        <v>25.238749999999996</v>
      </c>
      <c r="G24" s="33">
        <f>'16'!G36</f>
        <v>64.69916666666667</v>
      </c>
      <c r="H24" s="33">
        <f>'16'!H36</f>
        <v>23.775416666666672</v>
      </c>
      <c r="I24" s="33">
        <f>'16'!I36</f>
        <v>0.71416666666666673</v>
      </c>
      <c r="J24" s="33">
        <f>'16'!J36</f>
        <v>0.52000000000000013</v>
      </c>
      <c r="K24" s="33">
        <f>'16'!K36</f>
        <v>291.82041666666663</v>
      </c>
      <c r="L24" s="33">
        <f>'16'!L36</f>
        <v>31.262083333333333</v>
      </c>
      <c r="M24" s="33">
        <f>'16'!M36</f>
        <v>30.564583333333335</v>
      </c>
      <c r="N24" s="33">
        <f>'16'!N36</f>
        <v>262.32916666666677</v>
      </c>
      <c r="O24" s="33">
        <f>'16'!O36</f>
        <v>0</v>
      </c>
      <c r="P24" s="30">
        <f>'16'!P36</f>
        <v>1.0562500000000001</v>
      </c>
      <c r="Q24" s="30">
        <f>'16'!Q36</f>
        <v>9.5470833333333349</v>
      </c>
      <c r="R24" s="48"/>
      <c r="S24" s="48"/>
      <c r="T24" s="48"/>
      <c r="U24" s="47"/>
    </row>
    <row r="25" spans="1:21" s="34" customFormat="1" ht="15">
      <c r="A25" s="36" t="str">
        <f>'17'!$B$2</f>
        <v>17-04-2023 01:00</v>
      </c>
      <c r="B25" s="33">
        <f>'17'!B36</f>
        <v>33.311250000000008</v>
      </c>
      <c r="C25" s="33">
        <f>'17'!C36</f>
        <v>65.954583333333318</v>
      </c>
      <c r="D25" s="33">
        <f>'17'!D36</f>
        <v>63.129999999999995</v>
      </c>
      <c r="E25" s="33">
        <f>'17'!E36</f>
        <v>6.9937499999999995</v>
      </c>
      <c r="F25" s="33">
        <f>'17'!F36</f>
        <v>28.0625</v>
      </c>
      <c r="G25" s="33">
        <f>'17'!G36</f>
        <v>72.890833333333305</v>
      </c>
      <c r="H25" s="33">
        <f>'17'!H36</f>
        <v>30.761666666666667</v>
      </c>
      <c r="I25" s="33">
        <f>'17'!I36</f>
        <v>0.77791666666666659</v>
      </c>
      <c r="J25" s="33">
        <f>'17'!J36</f>
        <v>0.50249999999999995</v>
      </c>
      <c r="K25" s="33">
        <f>'17'!K36</f>
        <v>296.67333333333335</v>
      </c>
      <c r="L25" s="33">
        <f>'17'!L36</f>
        <v>31.735416666666666</v>
      </c>
      <c r="M25" s="33">
        <f>'17'!M36</f>
        <v>31.655833333333337</v>
      </c>
      <c r="N25" s="33">
        <f>'17'!N36</f>
        <v>264.52916666666664</v>
      </c>
      <c r="O25" s="33">
        <f>'17'!O36</f>
        <v>0</v>
      </c>
      <c r="P25" s="30">
        <f>'17'!P36</f>
        <v>1.3350000000000002</v>
      </c>
      <c r="Q25" s="30">
        <f>'17'!Q36</f>
        <v>18.202083333333334</v>
      </c>
      <c r="R25" s="48"/>
      <c r="S25" s="48"/>
      <c r="T25" s="48"/>
      <c r="U25" s="47"/>
    </row>
    <row r="26" spans="1:21" s="34" customFormat="1" ht="15">
      <c r="A26" s="36" t="str">
        <f>'18'!$B$2</f>
        <v>18-04-2023 01:00</v>
      </c>
      <c r="B26" s="33">
        <f>'18'!B36</f>
        <v>29.021250000000006</v>
      </c>
      <c r="C26" s="33">
        <f>'18'!C36</f>
        <v>66.80916666666667</v>
      </c>
      <c r="D26" s="33">
        <f>'18'!D36</f>
        <v>60.245000000000005</v>
      </c>
      <c r="E26" s="33">
        <f>'18'!E36</f>
        <v>6.0229166666666663</v>
      </c>
      <c r="F26" s="33">
        <f>'18'!F36</f>
        <v>26.165833333333335</v>
      </c>
      <c r="G26" s="33">
        <f>'18'!G36</f>
        <v>83.196250000000006</v>
      </c>
      <c r="H26" s="33">
        <f>'18'!H36</f>
        <v>31.541666666666668</v>
      </c>
      <c r="I26" s="33">
        <f>'18'!I36</f>
        <v>0.7712500000000001</v>
      </c>
      <c r="J26" s="33">
        <f>'18'!J36</f>
        <v>0.36958333333333337</v>
      </c>
      <c r="K26" s="33">
        <f>'18'!K36</f>
        <v>229.52458333333334</v>
      </c>
      <c r="L26" s="33">
        <f>'18'!L36</f>
        <v>32.659166666666671</v>
      </c>
      <c r="M26" s="33">
        <f>'18'!M36</f>
        <v>27.56625</v>
      </c>
      <c r="N26" s="33">
        <f>'18'!N36</f>
        <v>256.0958333333333</v>
      </c>
      <c r="O26" s="33">
        <f>'18'!O36</f>
        <v>0</v>
      </c>
      <c r="P26" s="30">
        <f>'18'!P36</f>
        <v>1.3016666666666665</v>
      </c>
      <c r="Q26" s="30">
        <f>'18'!Q36</f>
        <v>21.989999999999998</v>
      </c>
      <c r="R26" s="48"/>
      <c r="S26" s="48"/>
      <c r="T26" s="48"/>
      <c r="U26" s="47"/>
    </row>
    <row r="27" spans="1:21" s="34" customFormat="1" ht="15">
      <c r="A27" s="36" t="str">
        <f>'19'!$B$2</f>
        <v>19-04-2023 01:00</v>
      </c>
      <c r="B27" s="33">
        <f>'19'!B36</f>
        <v>15.800833333333335</v>
      </c>
      <c r="C27" s="33">
        <f>'19'!C36</f>
        <v>64.03083333333332</v>
      </c>
      <c r="D27" s="33">
        <f>'19'!D36</f>
        <v>48.361666666666657</v>
      </c>
      <c r="E27" s="33">
        <f>'19'!E36</f>
        <v>8.9895833333333339</v>
      </c>
      <c r="F27" s="33">
        <f>'19'!F36</f>
        <v>24.008333333333329</v>
      </c>
      <c r="G27" s="33">
        <f>'19'!G36</f>
        <v>74.914583333333326</v>
      </c>
      <c r="H27" s="33">
        <f>'19'!H36</f>
        <v>30.690833333333341</v>
      </c>
      <c r="I27" s="33">
        <f>'19'!I36</f>
        <v>0.72083333333333333</v>
      </c>
      <c r="J27" s="33">
        <f>'19'!J36</f>
        <v>0.76291666666666658</v>
      </c>
      <c r="K27" s="33">
        <f>'19'!K36</f>
        <v>162.62541666666667</v>
      </c>
      <c r="L27" s="33">
        <f>'19'!L36</f>
        <v>33.624166666666675</v>
      </c>
      <c r="M27" s="33">
        <f>'19'!M36</f>
        <v>23.369166666666661</v>
      </c>
      <c r="N27" s="33">
        <f>'19'!N36</f>
        <v>257.49166666666679</v>
      </c>
      <c r="O27" s="33">
        <f>'19'!O36</f>
        <v>0</v>
      </c>
      <c r="P27" s="30">
        <f>'19'!P36</f>
        <v>1.3337500000000002</v>
      </c>
      <c r="Q27" s="30">
        <f>'19'!Q36</f>
        <v>16.40625</v>
      </c>
      <c r="R27" s="48"/>
      <c r="S27" s="48"/>
      <c r="T27" s="48"/>
      <c r="U27" s="47"/>
    </row>
    <row r="28" spans="1:21" s="34" customFormat="1" ht="15">
      <c r="A28" s="36" t="str">
        <f>'20'!$B$2</f>
        <v>20-04-2023 01:00</v>
      </c>
      <c r="B28" s="33">
        <f>'20'!B36</f>
        <v>7.6783333333333319</v>
      </c>
      <c r="C28" s="33">
        <f>'20'!C36</f>
        <v>50.541249999999991</v>
      </c>
      <c r="D28" s="33">
        <f>'20'!D36</f>
        <v>34.301666666666669</v>
      </c>
      <c r="E28" s="33">
        <f>'20'!E36</f>
        <v>6.843333333333331</v>
      </c>
      <c r="F28" s="33">
        <f>'20'!F36</f>
        <v>18.406666666666666</v>
      </c>
      <c r="G28" s="33">
        <f>'20'!G36</f>
        <v>63.474166666666669</v>
      </c>
      <c r="H28" s="33">
        <f>'20'!H36</f>
        <v>26.335416666666671</v>
      </c>
      <c r="I28" s="33">
        <f>'20'!I36</f>
        <v>0.61333333333333329</v>
      </c>
      <c r="J28" s="33">
        <f>'20'!J36</f>
        <v>0.99125000000000008</v>
      </c>
      <c r="K28" s="33">
        <f>'20'!K36</f>
        <v>290.60458333333338</v>
      </c>
      <c r="L28" s="33">
        <f>'20'!L36</f>
        <v>30.854166666666671</v>
      </c>
      <c r="M28" s="33">
        <f>'20'!M36</f>
        <v>31.384166666666662</v>
      </c>
      <c r="N28" s="33">
        <f>'20'!N36</f>
        <v>220.08750000000001</v>
      </c>
      <c r="O28" s="33">
        <f>'20'!O36</f>
        <v>0.0083333333333333332</v>
      </c>
      <c r="P28" s="30">
        <f>'20'!P36</f>
        <v>0.9291666666666667</v>
      </c>
      <c r="Q28" s="30">
        <f>'20'!Q36</f>
        <v>10.759999999999996</v>
      </c>
      <c r="R28" s="48"/>
      <c r="S28" s="48"/>
      <c r="T28" s="48"/>
      <c r="U28" s="47"/>
    </row>
    <row r="29" spans="1:21" s="34" customFormat="1" ht="15">
      <c r="A29" s="36" t="str">
        <f>'21'!$B$2</f>
        <v>21-04-2023 01:00</v>
      </c>
      <c r="B29" s="33">
        <f>'21'!B36</f>
        <v>3.2747826086956517</v>
      </c>
      <c r="C29" s="33">
        <f>'21'!C36</f>
        <v>41.732608695652168</v>
      </c>
      <c r="D29" s="33">
        <f>'21'!D36</f>
        <v>26.181739130434782</v>
      </c>
      <c r="E29" s="33">
        <f>'21'!E36</f>
        <v>3.5712499999999991</v>
      </c>
      <c r="F29" s="33">
        <f>'21'!F36</f>
        <v>14.039166666666672</v>
      </c>
      <c r="G29" s="33">
        <f>'21'!G36</f>
        <v>31.479545454545452</v>
      </c>
      <c r="H29" s="33">
        <f>'21'!H36</f>
        <v>15.208636363636366</v>
      </c>
      <c r="I29" s="33">
        <f>'21'!I36</f>
        <v>0.5245833333333334</v>
      </c>
      <c r="J29" s="33">
        <f>'21'!J36</f>
        <v>1.1508333333333338</v>
      </c>
      <c r="K29" s="33">
        <f>'21'!K36</f>
        <v>274.13083333333333</v>
      </c>
      <c r="L29" s="33">
        <f>'21'!L36</f>
        <v>26.665833333333335</v>
      </c>
      <c r="M29" s="33">
        <f>'21'!M36</f>
        <v>50.570416666666667</v>
      </c>
      <c r="N29" s="33">
        <f>'21'!N36</f>
        <v>222.0083333333333</v>
      </c>
      <c r="O29" s="33">
        <f>'21'!O36</f>
        <v>0.0083333333333333332</v>
      </c>
      <c r="P29" s="30">
        <f>'21'!P36</f>
        <v>0.55166666666666664</v>
      </c>
      <c r="Q29" s="30">
        <f>'21'!Q36</f>
        <v>8.7933333333333348</v>
      </c>
      <c r="R29" s="48"/>
      <c r="S29" s="48"/>
      <c r="T29" s="48"/>
      <c r="U29" s="47"/>
    </row>
    <row r="30" spans="1:21" s="34" customFormat="1" ht="15">
      <c r="A30" s="36" t="str">
        <f>'22'!$B$2</f>
        <v>22-04-2023 01:00</v>
      </c>
      <c r="B30" s="33">
        <f>'22'!B36</f>
        <v>4.2429166666666669</v>
      </c>
      <c r="C30" s="33">
        <f>'22'!C36</f>
        <v>39.03541666666667</v>
      </c>
      <c r="D30" s="33">
        <f>'22'!D36</f>
        <v>25.430833333333336</v>
      </c>
      <c r="E30" s="33">
        <f>'22'!E36</f>
        <v>3.9416666666666669</v>
      </c>
      <c r="F30" s="33">
        <f>'22'!F36</f>
        <v>13.516666666666667</v>
      </c>
      <c r="G30" s="33">
        <f>'22'!G36</f>
        <v>45.859473684210535</v>
      </c>
      <c r="H30" s="33">
        <f>'22'!H36</f>
        <v>17.121578947368423</v>
      </c>
      <c r="I30" s="33">
        <f>'22'!I36</f>
        <v>0.51458333333333328</v>
      </c>
      <c r="J30" s="33">
        <f>'22'!J36</f>
        <v>1.4550000000000001</v>
      </c>
      <c r="K30" s="33">
        <f>'22'!K36</f>
        <v>265.76750000000004</v>
      </c>
      <c r="L30" s="33">
        <f>'22'!L36</f>
        <v>26.459166666666665</v>
      </c>
      <c r="M30" s="33">
        <f>'22'!M36</f>
        <v>52.004583333333329</v>
      </c>
      <c r="N30" s="33">
        <f>'22'!N36</f>
        <v>288.36250000000001</v>
      </c>
      <c r="O30" s="33">
        <f>'22'!O36</f>
        <v>0.31666666666666665</v>
      </c>
      <c r="P30" s="30">
        <f>'22'!P36</f>
        <v>0.53208333333333335</v>
      </c>
      <c r="Q30" s="30">
        <f>'22'!Q36</f>
        <v>13.733333333333333</v>
      </c>
      <c r="R30" s="48"/>
      <c r="S30" s="47"/>
      <c r="T30" s="47"/>
      <c r="U30" s="47"/>
    </row>
    <row r="31" spans="1:21" s="34" customFormat="1" ht="15">
      <c r="A31" s="36" t="str">
        <f>'23'!$B$2</f>
        <v>23-04-2023 01:00</v>
      </c>
      <c r="B31" s="33">
        <f>'23'!B36</f>
        <v>10.9625</v>
      </c>
      <c r="C31" s="33">
        <f>'23'!C36</f>
        <v>41.720000000000006</v>
      </c>
      <c r="D31" s="33">
        <f>'23'!D36</f>
        <v>32.042916666666663</v>
      </c>
      <c r="E31" s="33">
        <f>'23'!E36</f>
        <v>1.6133333333333333</v>
      </c>
      <c r="F31" s="33">
        <f>'23'!F36</f>
        <v>8.0587500000000016</v>
      </c>
      <c r="G31" s="33">
        <f>'23'!G36</f>
        <v>37.653809523809521</v>
      </c>
      <c r="H31" s="33">
        <f>'23'!H36</f>
        <v>14.104761904761904</v>
      </c>
      <c r="I31" s="33">
        <f>'23'!I36</f>
        <v>0.56208333333333327</v>
      </c>
      <c r="J31" s="33">
        <f>'23'!J36</f>
        <v>1.0691666666666666</v>
      </c>
      <c r="K31" s="33">
        <f>'23'!K36</f>
        <v>256.16291666666666</v>
      </c>
      <c r="L31" s="33">
        <f>'23'!L36</f>
        <v>24.552916666666661</v>
      </c>
      <c r="M31" s="33">
        <f>'23'!M36</f>
        <v>61.202500000000008</v>
      </c>
      <c r="N31" s="33">
        <f>'23'!N36</f>
        <v>283.07499999999999</v>
      </c>
      <c r="O31" s="33">
        <f>'23'!O36</f>
        <v>0.19999999999999998</v>
      </c>
      <c r="P31" s="33">
        <f>'23'!P36</f>
        <v>0.65041666666666664</v>
      </c>
      <c r="Q31" s="33">
        <f>'23'!Q36</f>
        <v>15.66625</v>
      </c>
      <c r="R31" s="47"/>
      <c r="S31" s="47"/>
      <c r="T31" s="47"/>
      <c r="U31" s="47"/>
    </row>
    <row r="32" spans="1:21" s="34" customFormat="1" ht="15">
      <c r="A32" s="36" t="str">
        <f>'24'!$B$2</f>
        <v>24-04-2023 01:00</v>
      </c>
      <c r="B32" s="33">
        <f>'24'!B36</f>
        <v>4.3712500000000007</v>
      </c>
      <c r="C32" s="33">
        <f>'24'!C36</f>
        <v>38.378333333333337</v>
      </c>
      <c r="D32" s="33">
        <f>'24'!D36</f>
        <v>24.971250000000001</v>
      </c>
      <c r="E32" s="33">
        <f>'24'!E36</f>
        <v>2.0224999999999995</v>
      </c>
      <c r="F32" s="33">
        <f>'24'!F36</f>
        <v>7.5241666666666669</v>
      </c>
      <c r="G32" s="33">
        <f>'24'!G36</f>
        <v>20.145714285714277</v>
      </c>
      <c r="H32" s="33">
        <f>'24'!H36</f>
        <v>8.1966666666666672</v>
      </c>
      <c r="I32" s="33">
        <f>'24'!I36</f>
        <v>0.54791666666666672</v>
      </c>
      <c r="J32" s="33">
        <f>'24'!J36</f>
        <v>1.335</v>
      </c>
      <c r="K32" s="33">
        <f>'24'!K36</f>
        <v>195.71083333333334</v>
      </c>
      <c r="L32" s="33">
        <f>'24'!L36</f>
        <v>24.731249999999999</v>
      </c>
      <c r="M32" s="33">
        <f>'24'!M36</f>
        <v>61.74291666666668</v>
      </c>
      <c r="N32" s="33">
        <f>'24'!N36</f>
        <v>295.16666666666669</v>
      </c>
      <c r="O32" s="33">
        <f>'24'!O36</f>
        <v>0.016666666666666666</v>
      </c>
      <c r="P32" s="33">
        <f>'24'!P36</f>
        <v>0.38750000000000001</v>
      </c>
      <c r="Q32" s="33">
        <f>'24'!Q36</f>
        <v>17.493750000000002</v>
      </c>
      <c r="R32" s="47"/>
      <c r="S32" s="47"/>
      <c r="T32" s="47"/>
      <c r="U32" s="47"/>
    </row>
    <row r="33" spans="1:21" s="34" customFormat="1" ht="15">
      <c r="A33" s="36" t="str">
        <f>'25'!$B$2</f>
        <v>25-04-2023 01:00</v>
      </c>
      <c r="B33" s="33">
        <f>'25'!B36</f>
        <v>4.0374999999999996</v>
      </c>
      <c r="C33" s="33">
        <f>'25'!C36</f>
        <v>35.692083333333336</v>
      </c>
      <c r="D33" s="33">
        <f>'25'!D36</f>
        <v>23.356666666666673</v>
      </c>
      <c r="E33" s="33">
        <f>'25'!E36</f>
        <v>2.621666666666667</v>
      </c>
      <c r="F33" s="33">
        <f>'25'!F36</f>
        <v>12.566249999999998</v>
      </c>
      <c r="G33" s="33">
        <f>'25'!G36</f>
        <v>28.833749999999998</v>
      </c>
      <c r="H33" s="33">
        <f>'25'!H36</f>
        <v>11.094166666666666</v>
      </c>
      <c r="I33" s="33">
        <f>'25'!I36</f>
        <v>0.51958333333333317</v>
      </c>
      <c r="J33" s="33">
        <f>'25'!J36</f>
        <v>1.3683333333333332</v>
      </c>
      <c r="K33" s="33">
        <f>'25'!K36</f>
        <v>236.21708333333336</v>
      </c>
      <c r="L33" s="33">
        <f>'25'!L36</f>
        <v>25.477083333333326</v>
      </c>
      <c r="M33" s="33">
        <f>'25'!M36</f>
        <v>57.847916666666663</v>
      </c>
      <c r="N33" s="33">
        <f>'25'!N36</f>
        <v>283.1875</v>
      </c>
      <c r="O33" s="33">
        <f>'25'!O36</f>
        <v>0</v>
      </c>
      <c r="P33" s="33">
        <f>'25'!P36</f>
        <v>0.43333333333333335</v>
      </c>
      <c r="Q33" s="33">
        <f>'25'!Q36</f>
        <v>15.049999999999995</v>
      </c>
      <c r="R33" s="47"/>
      <c r="S33" s="47"/>
      <c r="T33" s="47"/>
      <c r="U33" s="47"/>
    </row>
    <row r="34" spans="1:21" s="34" customFormat="1" ht="15">
      <c r="A34" s="36" t="str">
        <f>'26'!$B$2</f>
        <v>26-04-2023 01:00</v>
      </c>
      <c r="B34" s="33">
        <f>'26'!B36</f>
        <v>9.9329166666666655</v>
      </c>
      <c r="C34" s="33">
        <f>'26'!C36</f>
        <v>42.939166666666672</v>
      </c>
      <c r="D34" s="33">
        <f>'26'!D36</f>
        <v>43.917083333333331</v>
      </c>
      <c r="E34" s="33">
        <f>'26'!E36</f>
        <v>2.5120833333333334</v>
      </c>
      <c r="F34" s="33">
        <f>'26'!F36</f>
        <v>12.847083333333332</v>
      </c>
      <c r="G34" s="33">
        <f>'26'!G36</f>
        <v>28.308124999999997</v>
      </c>
      <c r="H34" s="33">
        <f>'26'!H36</f>
        <v>10.2475</v>
      </c>
      <c r="I34" s="33">
        <f>'26'!I36</f>
        <v>0.54833333333333334</v>
      </c>
      <c r="J34" s="33">
        <f>'26'!J36</f>
        <v>0.71458333333333346</v>
      </c>
      <c r="K34" s="33">
        <f>'26'!K36</f>
        <v>267.77041666666668</v>
      </c>
      <c r="L34" s="33">
        <f>'26'!L36</f>
        <v>27.583749999999984</v>
      </c>
      <c r="M34" s="33">
        <f>'26'!M36</f>
        <v>49.250416666666666</v>
      </c>
      <c r="N34" s="33">
        <f>'26'!N36</f>
        <v>298.64166666666671</v>
      </c>
      <c r="O34" s="33">
        <f>'26'!O36</f>
        <v>0</v>
      </c>
      <c r="P34" s="33">
        <f>'26'!P36</f>
        <v>0.68708333333333327</v>
      </c>
      <c r="Q34" s="33">
        <f>'26'!Q36</f>
        <v>16.242916666666666</v>
      </c>
      <c r="R34" s="47"/>
      <c r="S34" s="47"/>
      <c r="T34" s="47"/>
      <c r="U34" s="47"/>
    </row>
    <row r="35" spans="1:21" s="34" customFormat="1" ht="15">
      <c r="A35" s="36" t="str">
        <f>'27'!$B$2</f>
        <v>27-04-2023 01:00</v>
      </c>
      <c r="B35" s="33">
        <f>'27'!B36</f>
        <v>15.137083333333335</v>
      </c>
      <c r="C35" s="33">
        <f>'27'!C36</f>
        <v>50.340416666666663</v>
      </c>
      <c r="D35" s="33">
        <f>'27'!D36</f>
        <v>63.870416666666664</v>
      </c>
      <c r="E35" s="33">
        <f>'27'!E36</f>
        <v>2.6774999999999998</v>
      </c>
      <c r="F35" s="33">
        <f>'27'!F36</f>
        <v>10.235833333333334</v>
      </c>
      <c r="G35" s="33">
        <f>'27'!G36</f>
        <v>36.202083333333341</v>
      </c>
      <c r="H35" s="33">
        <f>'27'!H36</f>
        <v>13.575416666666667</v>
      </c>
      <c r="I35" s="33">
        <f>'27'!I36</f>
        <v>0.60750000000000004</v>
      </c>
      <c r="J35" s="33">
        <f>'27'!J36</f>
        <v>0.755</v>
      </c>
      <c r="K35" s="33">
        <f>'27'!K36</f>
        <v>285.27750000000003</v>
      </c>
      <c r="L35" s="33">
        <f>'27'!L36</f>
        <v>25.973333333333333</v>
      </c>
      <c r="M35" s="33">
        <f>'27'!M36</f>
        <v>51.175000000000004</v>
      </c>
      <c r="N35" s="33">
        <f>'27'!N36</f>
        <v>189.39999999999998</v>
      </c>
      <c r="O35" s="33">
        <f>'27'!O36</f>
        <v>0</v>
      </c>
      <c r="P35" s="30">
        <f>'27'!P36</f>
        <v>0.95333333333333325</v>
      </c>
      <c r="Q35" s="33">
        <f>'27'!Q36</f>
        <v>20.902916666666663</v>
      </c>
      <c r="R35" s="47"/>
      <c r="S35" s="47"/>
      <c r="T35" s="47"/>
      <c r="U35" s="47"/>
    </row>
    <row r="36" spans="1:21" s="34" customFormat="1" ht="15">
      <c r="A36" s="36" t="str">
        <f>'28'!$B$2</f>
        <v>28-04-2023 01:00</v>
      </c>
      <c r="B36" s="33">
        <f>'28'!B36</f>
        <v>7.8345833333333319</v>
      </c>
      <c r="C36" s="33">
        <f>'28'!C36</f>
        <v>39.960833333333341</v>
      </c>
      <c r="D36" s="33">
        <f>'28'!D36</f>
        <v>35.922500000000007</v>
      </c>
      <c r="E36" s="33">
        <f>'28'!E36</f>
        <v>1.6024999999999998</v>
      </c>
      <c r="F36" s="33">
        <f>'28'!F36</f>
        <v>12.85708333333333</v>
      </c>
      <c r="G36" s="33">
        <f>'28'!G36</f>
        <v>33.369166666666665</v>
      </c>
      <c r="H36" s="33">
        <f>'28'!H36</f>
        <v>13.679166666666662</v>
      </c>
      <c r="I36" s="33">
        <f>'28'!I36</f>
        <v>0.54291666666666683</v>
      </c>
      <c r="J36" s="33">
        <f>'28'!J36</f>
        <v>0.71166666666666678</v>
      </c>
      <c r="K36" s="33">
        <f>'28'!K36</f>
        <v>260.3458333333333</v>
      </c>
      <c r="L36" s="33">
        <f>'28'!L36</f>
        <v>25.782083333333336</v>
      </c>
      <c r="M36" s="33">
        <f>'28'!M36</f>
        <v>61.507499999999993</v>
      </c>
      <c r="N36" s="33">
        <f>'28'!N36</f>
        <v>253.33333333333334</v>
      </c>
      <c r="O36" s="33">
        <f>'28'!O36</f>
        <v>0.10833333333333334</v>
      </c>
      <c r="P36" s="30">
        <f>'28'!P36</f>
        <v>0.79749999999999999</v>
      </c>
      <c r="Q36" s="33">
        <f>'28'!Q36</f>
        <v>25.17208333333333</v>
      </c>
      <c r="R36" s="47"/>
      <c r="S36" s="47"/>
      <c r="T36" s="47"/>
      <c r="U36" s="47"/>
    </row>
    <row r="37" spans="1:21" s="34" customFormat="1" ht="15">
      <c r="A37" s="36" t="str">
        <f>'29'!$B$2</f>
        <v>29-04-2023 01:00</v>
      </c>
      <c r="B37" s="33">
        <f>'29'!B36</f>
        <v>4.5741666666666658</v>
      </c>
      <c r="C37" s="33">
        <f>'29'!C36</f>
        <v>26.071666666666669</v>
      </c>
      <c r="D37" s="33">
        <f>'29'!D36</f>
        <v>18.565000000000001</v>
      </c>
      <c r="E37" s="33">
        <f>'29'!E36</f>
        <v>1.2330769230769232</v>
      </c>
      <c r="F37" s="33">
        <f>'29'!F36</f>
        <v>6.8408333333333324</v>
      </c>
      <c r="G37" s="33">
        <f>'29'!G36</f>
        <v>22.420909090909092</v>
      </c>
      <c r="H37" s="33">
        <f>'29'!H36</f>
        <v>8.7172727272727286</v>
      </c>
      <c r="I37" s="33">
        <f>'29'!I36</f>
        <v>0.51791666666666658</v>
      </c>
      <c r="J37" s="33">
        <f>'29'!J36</f>
        <v>1.4175000000000002</v>
      </c>
      <c r="K37" s="33">
        <f>'29'!K36</f>
        <v>258.17000000000002</v>
      </c>
      <c r="L37" s="33">
        <f>'29'!L36</f>
        <v>23.660416666666663</v>
      </c>
      <c r="M37" s="33">
        <f>'29'!M36</f>
        <v>70.43416666666667</v>
      </c>
      <c r="N37" s="33">
        <f>'29'!N36</f>
        <v>39.824999999999996</v>
      </c>
      <c r="O37" s="33">
        <f>'29'!O36</f>
        <v>0.049999999999999996</v>
      </c>
      <c r="P37" s="33">
        <f>'29'!P36</f>
        <v>0.44291666666666668</v>
      </c>
      <c r="Q37" s="33">
        <f>'29'!Q36</f>
        <v>26.023749999999993</v>
      </c>
      <c r="R37" s="47"/>
      <c r="S37" s="47"/>
      <c r="T37" s="47"/>
      <c r="U37" s="47"/>
    </row>
    <row r="38" spans="1:21" s="34" customFormat="1" ht="15">
      <c r="A38" s="36" t="str">
        <f>'30'!$B$2</f>
        <v>30-04-2023 01:00</v>
      </c>
      <c r="B38" s="33">
        <f>'30'!B36</f>
        <v>11.925416666666665</v>
      </c>
      <c r="C38" s="33">
        <f>'30'!C36</f>
        <v>31.016249999999999</v>
      </c>
      <c r="D38" s="33">
        <f>'30'!D36</f>
        <v>26.906666666666663</v>
      </c>
      <c r="E38" s="33">
        <f>'30'!E36</f>
        <v>1.7470833333333333</v>
      </c>
      <c r="F38" s="33">
        <f>'30'!F36</f>
        <v>3.7383333333333337</v>
      </c>
      <c r="G38" s="33">
        <f>'30'!G36</f>
        <v>32.492083333333333</v>
      </c>
      <c r="H38" s="33">
        <f>'30'!H36</f>
        <v>11.902916666666668</v>
      </c>
      <c r="I38" s="33">
        <f>'30'!I36</f>
        <v>0.53958333333333341</v>
      </c>
      <c r="J38" s="33">
        <f>'30'!J36</f>
        <v>1.0237500000000004</v>
      </c>
      <c r="K38" s="33">
        <f>'30'!K36</f>
        <v>290.20083333333338</v>
      </c>
      <c r="L38" s="33">
        <f>'30'!L36</f>
        <v>20.403750000000002</v>
      </c>
      <c r="M38" s="33">
        <f>'30'!M36</f>
        <v>81.703750000000014</v>
      </c>
      <c r="N38" s="33">
        <f>'30'!N36</f>
        <v>36.137500000000003</v>
      </c>
      <c r="O38" s="33">
        <f>'30'!O36</f>
        <v>0.14166666666666666</v>
      </c>
      <c r="P38" s="33">
        <f>'30'!P36</f>
        <v>0.68208333333333349</v>
      </c>
      <c r="Q38" s="33">
        <f>'30'!Q36</f>
        <v>27.600416666666671</v>
      </c>
      <c r="R38" s="47"/>
      <c r="S38" s="47"/>
      <c r="T38" s="47"/>
      <c r="U38" s="47"/>
    </row>
    <row r="39" spans="2:21" ht="1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3.2747826086956517</v>
      </c>
      <c r="C40" s="15">
        <f t="shared" si="0"/>
        <v>26.071666666666669</v>
      </c>
      <c r="D40" s="15">
        <f t="shared" si="0"/>
        <v>18.565000000000001</v>
      </c>
      <c r="E40" s="15">
        <f t="shared" si="0"/>
        <v>1.2330769230769232</v>
      </c>
      <c r="F40" s="15">
        <f t="shared" si="0"/>
        <v>3.7383333333333337</v>
      </c>
      <c r="G40" s="15">
        <f t="shared" si="0"/>
        <v>20.145714285714277</v>
      </c>
      <c r="H40" s="15">
        <f t="shared" si="0"/>
        <v>8.1966666666666672</v>
      </c>
      <c r="I40" s="15">
        <f t="shared" si="0"/>
        <v>0.51458333333333328</v>
      </c>
      <c r="J40" s="15">
        <f t="shared" si="0"/>
        <v>0.36681818181818182</v>
      </c>
      <c r="K40" s="15">
        <f t="shared" si="0"/>
        <v>162.62541666666667</v>
      </c>
      <c r="L40" s="15">
        <f t="shared" si="0"/>
        <v>20.403750000000002</v>
      </c>
      <c r="M40" s="15">
        <f t="shared" si="0"/>
        <v>23.369166666666661</v>
      </c>
      <c r="N40" s="15">
        <f t="shared" si="0"/>
        <v>36.137500000000003</v>
      </c>
      <c r="O40" s="15">
        <f t="shared" si="0"/>
        <v>0</v>
      </c>
      <c r="P40" s="15">
        <f t="shared" si="0"/>
        <v>0.38750000000000001</v>
      </c>
      <c r="Q40" s="15">
        <f t="shared" si="0"/>
        <v>8.7933333333333348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52.083333333333336</v>
      </c>
      <c r="C41" s="15">
        <f t="shared" si="1"/>
        <v>83.810000000000002</v>
      </c>
      <c r="D41" s="15">
        <f t="shared" si="1"/>
        <v>87.998571428571424</v>
      </c>
      <c r="E41" s="15">
        <f t="shared" si="1"/>
        <v>8.9983333333333331</v>
      </c>
      <c r="F41" s="15">
        <f t="shared" si="1"/>
        <v>31.453749999999999</v>
      </c>
      <c r="G41" s="15">
        <f t="shared" si="1"/>
        <v>135.44708333333332</v>
      </c>
      <c r="H41" s="15">
        <f t="shared" si="1"/>
        <v>45.416666666666664</v>
      </c>
      <c r="I41" s="15">
        <f t="shared" si="1"/>
        <v>0.873529411764706</v>
      </c>
      <c r="J41" s="15">
        <f t="shared" si="1"/>
        <v>1.4550000000000001</v>
      </c>
      <c r="K41" s="15">
        <f t="shared" si="1"/>
        <v>296.67333333333335</v>
      </c>
      <c r="L41" s="15">
        <f t="shared" si="1"/>
        <v>33.624166666666675</v>
      </c>
      <c r="M41" s="15">
        <f t="shared" si="1"/>
        <v>81.703750000000014</v>
      </c>
      <c r="N41" s="15">
        <f t="shared" si="1"/>
        <v>355.86952153660985</v>
      </c>
      <c r="O41" s="15">
        <f t="shared" si="1"/>
        <v>0.31666666666666665</v>
      </c>
      <c r="P41" s="15">
        <f t="shared" si="1"/>
        <v>1.6640909090909093</v>
      </c>
      <c r="Q41" s="15">
        <f t="shared" si="1"/>
        <v>43.209166666666668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19.161476449275366</v>
      </c>
      <c r="C42" s="15">
        <f t="shared" si="2"/>
        <v>53.698524758454106</v>
      </c>
      <c r="D42" s="15">
        <f t="shared" si="2"/>
        <v>46.685058661145618</v>
      </c>
      <c r="E42" s="15">
        <f t="shared" si="2"/>
        <v>4.6494676434676432</v>
      </c>
      <c r="F42" s="15">
        <f t="shared" si="2"/>
        <v>15.062382575757574</v>
      </c>
      <c r="G42" s="15">
        <f t="shared" si="2"/>
        <v>68.065357075783993</v>
      </c>
      <c r="H42" s="15">
        <f t="shared" si="2"/>
        <v>23.554794486463198</v>
      </c>
      <c r="I42" s="15">
        <f t="shared" si="2"/>
        <v>0.63065931372549022</v>
      </c>
      <c r="J42" s="15">
        <f t="shared" si="2"/>
        <v>0.80438005050505046</v>
      </c>
      <c r="K42" s="15">
        <f t="shared" si="2"/>
        <v>245.69735227272724</v>
      </c>
      <c r="L42" s="15">
        <f t="shared" si="2"/>
        <v>27.949525252525252</v>
      </c>
      <c r="M42" s="15">
        <f t="shared" si="2"/>
        <v>46.889833333333321</v>
      </c>
      <c r="N42" s="15">
        <f t="shared" si="2"/>
        <v>244.4210171830359</v>
      </c>
      <c r="O42" s="15">
        <f t="shared" si="2"/>
        <v>0.029999999999999995</v>
      </c>
      <c r="P42" s="15">
        <f t="shared" si="2"/>
        <v>0.9662196969696969</v>
      </c>
      <c r="Q42" s="15">
        <f t="shared" si="2"/>
        <v>24.073403138528136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14.265950110202509</v>
      </c>
      <c r="C43" s="15">
        <f t="shared" si="3"/>
        <v>13.985095733308649</v>
      </c>
      <c r="D43" s="15">
        <f t="shared" si="3"/>
        <v>18.140720171739311</v>
      </c>
      <c r="E43" s="15">
        <f t="shared" si="3"/>
        <v>2.3934669438205836</v>
      </c>
      <c r="F43" s="15">
        <f t="shared" si="3"/>
        <v>6.8211272943378294</v>
      </c>
      <c r="G43" s="15">
        <f t="shared" si="3"/>
        <v>34.858466017627272</v>
      </c>
      <c r="H43" s="15">
        <f t="shared" si="3"/>
        <v>10.518210111270504</v>
      </c>
      <c r="I43" s="15">
        <f t="shared" si="3"/>
        <v>0.10429893192738086</v>
      </c>
      <c r="J43" s="15">
        <f t="shared" si="3"/>
        <v>0.33492700593487573</v>
      </c>
      <c r="K43" s="15">
        <f t="shared" si="3"/>
        <v>36.234863791051353</v>
      </c>
      <c r="L43" s="15">
        <f t="shared" si="3"/>
        <v>3.0636363237753192</v>
      </c>
      <c r="M43" s="15">
        <f t="shared" si="3"/>
        <v>13.323350922213857</v>
      </c>
      <c r="N43" s="15">
        <f t="shared" si="3"/>
        <v>66.455890074615482</v>
      </c>
      <c r="O43" s="15">
        <f t="shared" si="3"/>
        <v>0.071772843026931724</v>
      </c>
      <c r="P43" s="15">
        <f t="shared" si="3"/>
        <v>0.35465335714252832</v>
      </c>
      <c r="Q43" s="15">
        <f t="shared" si="3"/>
        <v>10.40006733293761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 t="shared" si="4" ref="B44:Q4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5" ref="C45:Q4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6" ref="C46:Q4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60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2024-08-28T14:10:37Z</dcterms:modified>
  <cp:category/>
</cp:coreProperties>
</file>