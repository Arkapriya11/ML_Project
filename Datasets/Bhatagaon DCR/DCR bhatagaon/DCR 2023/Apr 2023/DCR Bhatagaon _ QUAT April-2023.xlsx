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5" firstSheet="6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I110" i="41" l="1"/>
  <c r="I111" i="41" s="1"/>
  <c r="I110" i="40"/>
  <c r="I111" i="40" s="1"/>
  <c r="H110" i="33"/>
  <c r="H111" i="33" s="1"/>
  <c r="G110" i="33"/>
  <c r="H110" i="31"/>
  <c r="H111" i="31"/>
  <c r="G110" i="31"/>
  <c r="G112" i="31"/>
  <c r="J110" i="33"/>
  <c r="J111" i="33"/>
  <c r="G112" i="33"/>
  <c r="I110" i="31"/>
  <c r="I111" i="31" s="1"/>
  <c r="J110" i="31"/>
  <c r="K110" i="31"/>
  <c r="K111" i="31"/>
  <c r="L110" i="31"/>
  <c r="M110" i="31"/>
  <c r="N110" i="31"/>
  <c r="O110" i="31"/>
  <c r="P110" i="31"/>
  <c r="Q110" i="31"/>
  <c r="I110" i="32"/>
  <c r="I111" i="32"/>
  <c r="Q110" i="30"/>
  <c r="Q112" i="30"/>
  <c r="I110" i="30"/>
  <c r="I111" i="30" s="1"/>
  <c r="J110" i="29"/>
  <c r="J111" i="29"/>
  <c r="H110" i="29"/>
  <c r="H111" i="29"/>
  <c r="G110" i="29"/>
  <c r="G111" i="29"/>
  <c r="H110" i="28"/>
  <c r="H111" i="28" s="1"/>
  <c r="G110" i="28"/>
  <c r="G112" i="28"/>
  <c r="J110" i="28"/>
  <c r="J111" i="28"/>
  <c r="I110" i="27"/>
  <c r="I111" i="27" s="1"/>
  <c r="H110" i="27"/>
  <c r="H111" i="27"/>
  <c r="G110" i="27"/>
  <c r="G111" i="27" s="1"/>
  <c r="H110" i="26"/>
  <c r="H111" i="26" s="1"/>
  <c r="G110" i="26"/>
  <c r="G112" i="26" s="1"/>
  <c r="C110" i="26"/>
  <c r="C112" i="26"/>
  <c r="D110" i="26"/>
  <c r="D111" i="26"/>
  <c r="E110" i="26"/>
  <c r="E112" i="26" s="1"/>
  <c r="F110" i="26"/>
  <c r="I110" i="26"/>
  <c r="J110" i="26"/>
  <c r="K110" i="26"/>
  <c r="L110" i="26"/>
  <c r="M110" i="26"/>
  <c r="M111" i="26" s="1"/>
  <c r="N110" i="26"/>
  <c r="N111" i="26" s="1"/>
  <c r="O110" i="26"/>
  <c r="P110" i="26"/>
  <c r="Q110" i="26"/>
  <c r="B110" i="26"/>
  <c r="B111" i="26"/>
  <c r="C110" i="25"/>
  <c r="C112" i="25"/>
  <c r="D110" i="25"/>
  <c r="D111" i="25"/>
  <c r="E110" i="25"/>
  <c r="E111" i="25" s="1"/>
  <c r="F110" i="25"/>
  <c r="G110" i="25"/>
  <c r="G111" i="25"/>
  <c r="H110" i="25"/>
  <c r="H111" i="25"/>
  <c r="I110" i="25"/>
  <c r="J110" i="25"/>
  <c r="J112" i="25" s="1"/>
  <c r="K110" i="25"/>
  <c r="L110" i="25"/>
  <c r="M110" i="25"/>
  <c r="N110" i="25"/>
  <c r="O110" i="25"/>
  <c r="P110" i="25"/>
  <c r="Q110" i="25"/>
  <c r="B110" i="25"/>
  <c r="B111" i="25" s="1"/>
  <c r="H110" i="22"/>
  <c r="H112" i="22" s="1"/>
  <c r="G110" i="22"/>
  <c r="G111" i="22" s="1"/>
  <c r="J110" i="22"/>
  <c r="J111" i="22" s="1"/>
  <c r="Q110" i="20"/>
  <c r="Q112" i="20" s="1"/>
  <c r="G110" i="20"/>
  <c r="G112" i="20" s="1"/>
  <c r="Q110" i="19"/>
  <c r="Q112" i="19"/>
  <c r="Q110" i="18"/>
  <c r="Q111" i="18" s="1"/>
  <c r="H110" i="18"/>
  <c r="H111" i="18" s="1"/>
  <c r="I110" i="18"/>
  <c r="I111" i="18" s="1"/>
  <c r="J110" i="18"/>
  <c r="Q110" i="17"/>
  <c r="Q111" i="17"/>
  <c r="K110" i="17"/>
  <c r="K111" i="17"/>
  <c r="L110" i="17"/>
  <c r="L112" i="17" s="1"/>
  <c r="M110" i="17"/>
  <c r="N110" i="17"/>
  <c r="O110" i="17"/>
  <c r="O112" i="17"/>
  <c r="P110" i="17"/>
  <c r="J110" i="17"/>
  <c r="J112" i="17" s="1"/>
  <c r="I110" i="17"/>
  <c r="H110" i="17"/>
  <c r="H111" i="17"/>
  <c r="G110" i="17"/>
  <c r="G111" i="17"/>
  <c r="F110" i="17"/>
  <c r="F112" i="17"/>
  <c r="E110" i="17"/>
  <c r="E112" i="17" s="1"/>
  <c r="C110" i="17"/>
  <c r="C111" i="17"/>
  <c r="D110" i="17"/>
  <c r="B110" i="17"/>
  <c r="B112" i="17" s="1"/>
  <c r="I111" i="17"/>
  <c r="Q110" i="16"/>
  <c r="Q111" i="16" s="1"/>
  <c r="Q110" i="15"/>
  <c r="Q111" i="15"/>
  <c r="H110" i="15"/>
  <c r="H111" i="15"/>
  <c r="G110" i="15"/>
  <c r="G111" i="15"/>
  <c r="H110" i="14"/>
  <c r="H112" i="14" s="1"/>
  <c r="G110" i="14"/>
  <c r="G112" i="14"/>
  <c r="Q110" i="14"/>
  <c r="Q112" i="14"/>
  <c r="I110" i="14"/>
  <c r="I111" i="14"/>
  <c r="I110" i="13"/>
  <c r="I111" i="13" s="1"/>
  <c r="I110" i="12"/>
  <c r="I111" i="12"/>
  <c r="F110" i="12"/>
  <c r="F112" i="12"/>
  <c r="C110" i="11"/>
  <c r="D110" i="11"/>
  <c r="E110" i="11"/>
  <c r="F110" i="11"/>
  <c r="G110" i="11"/>
  <c r="H110" i="11"/>
  <c r="I110" i="11"/>
  <c r="J110" i="11"/>
  <c r="J111" i="11" s="1"/>
  <c r="K110" i="11"/>
  <c r="L110" i="11"/>
  <c r="M110" i="11"/>
  <c r="N110" i="11"/>
  <c r="O110" i="11"/>
  <c r="P110" i="11"/>
  <c r="Q110" i="11"/>
  <c r="B110" i="11"/>
  <c r="B112" i="11" s="1"/>
  <c r="G110" i="10"/>
  <c r="G112" i="10" s="1"/>
  <c r="H110" i="10"/>
  <c r="H112" i="10" s="1"/>
  <c r="H110" i="8"/>
  <c r="H111" i="8"/>
  <c r="G110" i="8"/>
  <c r="G111" i="8" s="1"/>
  <c r="C110" i="8"/>
  <c r="C112" i="8"/>
  <c r="D110" i="8"/>
  <c r="D112" i="8"/>
  <c r="E110" i="8"/>
  <c r="F110" i="8"/>
  <c r="I110" i="8"/>
  <c r="I111" i="8" s="1"/>
  <c r="J110" i="8"/>
  <c r="K110" i="8"/>
  <c r="K111" i="8" s="1"/>
  <c r="L110" i="8"/>
  <c r="L112" i="8" s="1"/>
  <c r="M110" i="8"/>
  <c r="N110" i="8"/>
  <c r="O110" i="8"/>
  <c r="P110" i="8"/>
  <c r="Q110" i="8"/>
  <c r="B110" i="8"/>
  <c r="B112" i="8" s="1"/>
  <c r="I110" i="3"/>
  <c r="I111" i="3"/>
  <c r="C110" i="2"/>
  <c r="C112" i="2"/>
  <c r="D110" i="2"/>
  <c r="E110" i="2"/>
  <c r="E111" i="2" s="1"/>
  <c r="F110" i="2"/>
  <c r="F112" i="2" s="1"/>
  <c r="G110" i="2"/>
  <c r="G112" i="2"/>
  <c r="H110" i="2"/>
  <c r="I110" i="2"/>
  <c r="J110" i="2"/>
  <c r="K110" i="2"/>
  <c r="L110" i="2"/>
  <c r="M110" i="2"/>
  <c r="N110" i="2"/>
  <c r="O110" i="2"/>
  <c r="P110" i="2"/>
  <c r="Q110" i="2"/>
  <c r="B110" i="2"/>
  <c r="B111" i="2" s="1"/>
  <c r="J110" i="41"/>
  <c r="J112" i="41" s="1"/>
  <c r="H110" i="41"/>
  <c r="H111" i="41"/>
  <c r="J110" i="40"/>
  <c r="J111" i="40" s="1"/>
  <c r="H110" i="40"/>
  <c r="H111" i="40"/>
  <c r="I110" i="33"/>
  <c r="I112" i="33"/>
  <c r="J110" i="32"/>
  <c r="J111" i="32" s="1"/>
  <c r="H110" i="32"/>
  <c r="H111" i="32" s="1"/>
  <c r="J111" i="31"/>
  <c r="J110" i="30"/>
  <c r="J112" i="30" s="1"/>
  <c r="H110" i="30"/>
  <c r="H112" i="30"/>
  <c r="I110" i="29"/>
  <c r="I112" i="29"/>
  <c r="I110" i="28"/>
  <c r="I112" i="28"/>
  <c r="C110" i="27"/>
  <c r="C112" i="27" s="1"/>
  <c r="D110" i="27"/>
  <c r="D111" i="27"/>
  <c r="E110" i="27"/>
  <c r="F110" i="27"/>
  <c r="F112" i="27" s="1"/>
  <c r="J110" i="27"/>
  <c r="K110" i="27"/>
  <c r="L110" i="27"/>
  <c r="L111" i="27" s="1"/>
  <c r="M110" i="27"/>
  <c r="M111" i="27"/>
  <c r="N110" i="27"/>
  <c r="O110" i="27"/>
  <c r="P110" i="27"/>
  <c r="P111" i="27"/>
  <c r="Q110" i="27"/>
  <c r="Q111" i="26"/>
  <c r="J111" i="26"/>
  <c r="I112" i="26"/>
  <c r="F112" i="26"/>
  <c r="Q111" i="25"/>
  <c r="P111" i="25"/>
  <c r="O111" i="25"/>
  <c r="N111" i="25"/>
  <c r="M112" i="25"/>
  <c r="L112" i="25"/>
  <c r="K111" i="25"/>
  <c r="I111" i="25"/>
  <c r="F112" i="25"/>
  <c r="J110" i="24"/>
  <c r="J111" i="24"/>
  <c r="I110" i="24"/>
  <c r="I112" i="24"/>
  <c r="H110" i="24"/>
  <c r="H111" i="24"/>
  <c r="J110" i="23"/>
  <c r="J112" i="23" s="1"/>
  <c r="I110" i="23"/>
  <c r="I111" i="23"/>
  <c r="H110" i="23"/>
  <c r="H112" i="23"/>
  <c r="I110" i="22"/>
  <c r="I112" i="22"/>
  <c r="J110" i="21"/>
  <c r="J111" i="21"/>
  <c r="I110" i="21"/>
  <c r="I111" i="21" s="1"/>
  <c r="H110" i="21"/>
  <c r="H111" i="21" s="1"/>
  <c r="H110" i="20"/>
  <c r="H112" i="20" s="1"/>
  <c r="I110" i="20"/>
  <c r="I111" i="20" s="1"/>
  <c r="J110" i="20"/>
  <c r="J111" i="20"/>
  <c r="J110" i="19"/>
  <c r="J111" i="19" s="1"/>
  <c r="I110" i="19"/>
  <c r="I111" i="19" s="1"/>
  <c r="H110" i="19"/>
  <c r="H112" i="19" s="1"/>
  <c r="H110" i="16"/>
  <c r="H111" i="16" s="1"/>
  <c r="I110" i="16"/>
  <c r="I112" i="16" s="1"/>
  <c r="J110" i="16"/>
  <c r="J112" i="16" s="1"/>
  <c r="I110" i="15"/>
  <c r="I112" i="15" s="1"/>
  <c r="J110" i="15"/>
  <c r="J112" i="15"/>
  <c r="J110" i="14"/>
  <c r="J111" i="14" s="1"/>
  <c r="D112" i="11"/>
  <c r="C112" i="11"/>
  <c r="J110" i="13"/>
  <c r="J112" i="13" s="1"/>
  <c r="H110" i="13"/>
  <c r="H112" i="13" s="1"/>
  <c r="J110" i="12"/>
  <c r="J111" i="12" s="1"/>
  <c r="H110" i="12"/>
  <c r="H111" i="12" s="1"/>
  <c r="I111" i="11"/>
  <c r="H111" i="11"/>
  <c r="G112" i="11"/>
  <c r="J110" i="10"/>
  <c r="J112" i="10" s="1"/>
  <c r="I110" i="10"/>
  <c r="I112" i="10" s="1"/>
  <c r="J110" i="9"/>
  <c r="J112" i="9" s="1"/>
  <c r="I110" i="9"/>
  <c r="I111" i="9" s="1"/>
  <c r="H110" i="9"/>
  <c r="H111" i="9" s="1"/>
  <c r="Q111" i="8"/>
  <c r="J111" i="8"/>
  <c r="P112" i="8"/>
  <c r="O112" i="8"/>
  <c r="F111" i="8"/>
  <c r="I111" i="2"/>
  <c r="B2" i="23"/>
  <c r="K112" i="2"/>
  <c r="L112" i="2"/>
  <c r="M112" i="2"/>
  <c r="N112" i="2"/>
  <c r="P112" i="2"/>
  <c r="C110" i="3"/>
  <c r="C111" i="3"/>
  <c r="D110" i="3"/>
  <c r="D111" i="3"/>
  <c r="E110" i="3"/>
  <c r="E112" i="3" s="1"/>
  <c r="F110" i="3"/>
  <c r="F111" i="3"/>
  <c r="G110" i="3"/>
  <c r="G111" i="3"/>
  <c r="H110" i="3"/>
  <c r="H112" i="3"/>
  <c r="J110" i="3"/>
  <c r="J111" i="3" s="1"/>
  <c r="K110" i="3"/>
  <c r="K111" i="3"/>
  <c r="L110" i="3"/>
  <c r="L111" i="3"/>
  <c r="M110" i="3"/>
  <c r="M112" i="3"/>
  <c r="N110" i="3"/>
  <c r="N112" i="3" s="1"/>
  <c r="O110" i="3"/>
  <c r="P110" i="3"/>
  <c r="Q110" i="3"/>
  <c r="Q112" i="3"/>
  <c r="Q110" i="41"/>
  <c r="Q111" i="41"/>
  <c r="P110" i="41"/>
  <c r="P111" i="41" s="1"/>
  <c r="O110" i="41"/>
  <c r="O112" i="41"/>
  <c r="N110" i="41"/>
  <c r="N111" i="41"/>
  <c r="M110" i="41"/>
  <c r="M112" i="41"/>
  <c r="L110" i="41"/>
  <c r="L112" i="41" s="1"/>
  <c r="K110" i="41"/>
  <c r="K112" i="41"/>
  <c r="G110" i="41"/>
  <c r="G112" i="41"/>
  <c r="F110" i="41"/>
  <c r="F112" i="41"/>
  <c r="E110" i="41"/>
  <c r="E112" i="41" s="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/>
  <c r="M108" i="41"/>
  <c r="L108" i="41"/>
  <c r="K108" i="41"/>
  <c r="J108" i="41"/>
  <c r="J38" i="39" s="1"/>
  <c r="I108" i="41"/>
  <c r="I38" i="39"/>
  <c r="H108" i="41"/>
  <c r="G108" i="41"/>
  <c r="G38" i="39" s="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1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G110" i="40"/>
  <c r="G112" i="40" s="1"/>
  <c r="F110" i="40"/>
  <c r="F111" i="40" s="1"/>
  <c r="E110" i="40"/>
  <c r="E112" i="40" s="1"/>
  <c r="D110" i="40"/>
  <c r="D111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M37" i="39" s="1"/>
  <c r="L108" i="40"/>
  <c r="L37" i="39" s="1"/>
  <c r="K108" i="40"/>
  <c r="J108" i="40"/>
  <c r="I108" i="40"/>
  <c r="I37" i="39" s="1"/>
  <c r="H108" i="40"/>
  <c r="H37" i="39" s="1"/>
  <c r="G108" i="40"/>
  <c r="G37" i="39" s="1"/>
  <c r="F108" i="40"/>
  <c r="F37" i="39" s="1"/>
  <c r="E108" i="40"/>
  <c r="D108" i="40"/>
  <c r="D37" i="39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2" i="33" s="1"/>
  <c r="P110" i="33"/>
  <c r="P112" i="33" s="1"/>
  <c r="O110" i="33"/>
  <c r="O111" i="33" s="1"/>
  <c r="N110" i="33"/>
  <c r="N112" i="33" s="1"/>
  <c r="M110" i="33"/>
  <c r="M112" i="33" s="1"/>
  <c r="L110" i="33"/>
  <c r="L112" i="33" s="1"/>
  <c r="K110" i="33"/>
  <c r="K111" i="33" s="1"/>
  <c r="F110" i="33"/>
  <c r="F112" i="33" s="1"/>
  <c r="E110" i="33"/>
  <c r="E111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/>
  <c r="K108" i="33"/>
  <c r="K36" i="39"/>
  <c r="J108" i="33"/>
  <c r="I108" i="33"/>
  <c r="I36" i="39" s="1"/>
  <c r="H108" i="33"/>
  <c r="G108" i="33"/>
  <c r="F108" i="33"/>
  <c r="F36" i="39" s="1"/>
  <c r="E108" i="33"/>
  <c r="D108" i="33"/>
  <c r="C108" i="33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/>
  <c r="Q110" i="32"/>
  <c r="Q112" i="32"/>
  <c r="P110" i="32"/>
  <c r="P112" i="32"/>
  <c r="O110" i="32"/>
  <c r="O112" i="32"/>
  <c r="N110" i="32"/>
  <c r="N111" i="32"/>
  <c r="M110" i="32"/>
  <c r="M112" i="32"/>
  <c r="L110" i="32"/>
  <c r="L112" i="32"/>
  <c r="K110" i="32"/>
  <c r="K112" i="32" s="1"/>
  <c r="G110" i="32"/>
  <c r="G112" i="32"/>
  <c r="F110" i="32"/>
  <c r="F112" i="32"/>
  <c r="E110" i="32"/>
  <c r="E111" i="32"/>
  <c r="D110" i="32"/>
  <c r="D112" i="32"/>
  <c r="C110" i="32"/>
  <c r="C111" i="32"/>
  <c r="B110" i="32"/>
  <c r="B112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/>
  <c r="I108" i="32"/>
  <c r="I35" i="39"/>
  <c r="H108" i="32"/>
  <c r="G108" i="32"/>
  <c r="F108" i="32"/>
  <c r="F35" i="39"/>
  <c r="E108" i="32"/>
  <c r="D108" i="32"/>
  <c r="C108" i="32"/>
  <c r="C35" i="39" s="1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2" i="31"/>
  <c r="O112" i="31"/>
  <c r="N112" i="31"/>
  <c r="M111" i="31"/>
  <c r="L112" i="31"/>
  <c r="F110" i="31"/>
  <c r="F112" i="31" s="1"/>
  <c r="E110" i="31"/>
  <c r="E112" i="31" s="1"/>
  <c r="D110" i="31"/>
  <c r="D111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/>
  <c r="K108" i="31"/>
  <c r="K34" i="39"/>
  <c r="J108" i="31"/>
  <c r="I108" i="31"/>
  <c r="H108" i="31"/>
  <c r="G108" i="31"/>
  <c r="F108" i="31"/>
  <c r="E108" i="31"/>
  <c r="D108" i="31"/>
  <c r="D34" i="39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P110" i="30"/>
  <c r="P112" i="30"/>
  <c r="O110" i="30"/>
  <c r="O112" i="30"/>
  <c r="N110" i="30"/>
  <c r="N112" i="30" s="1"/>
  <c r="M110" i="30"/>
  <c r="M112" i="30"/>
  <c r="L110" i="30"/>
  <c r="L112" i="30"/>
  <c r="K110" i="30"/>
  <c r="K112" i="30"/>
  <c r="G110" i="30"/>
  <c r="G111" i="30"/>
  <c r="F110" i="30"/>
  <c r="F112" i="30"/>
  <c r="E110" i="30"/>
  <c r="E112" i="30"/>
  <c r="D110" i="30"/>
  <c r="D112" i="30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/>
  <c r="M108" i="30"/>
  <c r="L108" i="30"/>
  <c r="K108" i="30"/>
  <c r="K33" i="39"/>
  <c r="J108" i="30"/>
  <c r="I108" i="30"/>
  <c r="H108" i="30"/>
  <c r="G108" i="30"/>
  <c r="F108" i="30"/>
  <c r="E108" i="30"/>
  <c r="E33" i="39" s="1"/>
  <c r="D108" i="30"/>
  <c r="D33" i="39" s="1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H32" i="39"/>
  <c r="G108" i="29"/>
  <c r="G32" i="39"/>
  <c r="F108" i="29"/>
  <c r="E108" i="29"/>
  <c r="E32" i="39" s="1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1" i="28" s="1"/>
  <c r="O110" i="28"/>
  <c r="O112" i="28"/>
  <c r="N110" i="28"/>
  <c r="N112" i="28"/>
  <c r="M110" i="28"/>
  <c r="M111" i="28"/>
  <c r="L110" i="28"/>
  <c r="L112" i="28"/>
  <c r="K110" i="28"/>
  <c r="K112" i="28"/>
  <c r="F110" i="28"/>
  <c r="F112" i="28"/>
  <c r="E110" i="28"/>
  <c r="E112" i="28"/>
  <c r="D110" i="28"/>
  <c r="D112" i="28" s="1"/>
  <c r="C110" i="28"/>
  <c r="C112" i="28"/>
  <c r="B110" i="28"/>
  <c r="B111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/>
  <c r="J108" i="28"/>
  <c r="I108" i="28"/>
  <c r="H108" i="28"/>
  <c r="H31" i="39"/>
  <c r="G108" i="28"/>
  <c r="G31" i="39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K112" i="27"/>
  <c r="J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/>
  <c r="P108" i="27"/>
  <c r="O108" i="27"/>
  <c r="O30" i="39" s="1"/>
  <c r="N108" i="27"/>
  <c r="N30" i="39" s="1"/>
  <c r="M108" i="27"/>
  <c r="L108" i="27"/>
  <c r="L30" i="39"/>
  <c r="K108" i="27"/>
  <c r="K30" i="39"/>
  <c r="J108" i="27"/>
  <c r="J30" i="39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/>
  <c r="K108" i="26"/>
  <c r="J108" i="26"/>
  <c r="J29" i="39" s="1"/>
  <c r="I108" i="26"/>
  <c r="I29" i="39" s="1"/>
  <c r="H108" i="26"/>
  <c r="G108" i="26"/>
  <c r="F108" i="26"/>
  <c r="E108" i="26"/>
  <c r="D108" i="26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/>
  <c r="P110" i="24"/>
  <c r="P112" i="24"/>
  <c r="O110" i="24"/>
  <c r="O112" i="24" s="1"/>
  <c r="N110" i="24"/>
  <c r="N111" i="24" s="1"/>
  <c r="M110" i="24"/>
  <c r="M112" i="24"/>
  <c r="L110" i="24"/>
  <c r="L112" i="24"/>
  <c r="K110" i="24"/>
  <c r="K112" i="24"/>
  <c r="G110" i="24"/>
  <c r="G112" i="24"/>
  <c r="F110" i="24"/>
  <c r="F112" i="24"/>
  <c r="E110" i="24"/>
  <c r="E112" i="24"/>
  <c r="D110" i="24"/>
  <c r="D112" i="24" s="1"/>
  <c r="C110" i="24"/>
  <c r="C111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/>
  <c r="M108" i="24"/>
  <c r="L108" i="24"/>
  <c r="K108" i="24"/>
  <c r="K27" i="39"/>
  <c r="J108" i="24"/>
  <c r="I108" i="24"/>
  <c r="H108" i="24"/>
  <c r="H27" i="39" s="1"/>
  <c r="G108" i="24"/>
  <c r="G27" i="39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/>
  <c r="P110" i="23"/>
  <c r="P112" i="23"/>
  <c r="O110" i="23"/>
  <c r="O112" i="23" s="1"/>
  <c r="N110" i="23"/>
  <c r="N112" i="23" s="1"/>
  <c r="M110" i="23"/>
  <c r="M112" i="23" s="1"/>
  <c r="L110" i="23"/>
  <c r="L112" i="23" s="1"/>
  <c r="K110" i="23"/>
  <c r="K112" i="23" s="1"/>
  <c r="G110" i="23"/>
  <c r="G111" i="23" s="1"/>
  <c r="F110" i="23"/>
  <c r="F111" i="23"/>
  <c r="E110" i="23"/>
  <c r="E112" i="23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/>
  <c r="M108" i="23"/>
  <c r="M26" i="39" s="1"/>
  <c r="L108" i="23"/>
  <c r="K108" i="23"/>
  <c r="J108" i="23"/>
  <c r="I108" i="23"/>
  <c r="H108" i="23"/>
  <c r="G108" i="23"/>
  <c r="F108" i="23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 s="1"/>
  <c r="O110" i="22"/>
  <c r="O111" i="22" s="1"/>
  <c r="N110" i="22"/>
  <c r="N112" i="22"/>
  <c r="M110" i="22"/>
  <c r="M112" i="22"/>
  <c r="L110" i="22"/>
  <c r="L111" i="22"/>
  <c r="K110" i="22"/>
  <c r="K112" i="22"/>
  <c r="F110" i="22"/>
  <c r="F111" i="22"/>
  <c r="E110" i="22"/>
  <c r="E112" i="22"/>
  <c r="D110" i="22"/>
  <c r="D112" i="22" s="1"/>
  <c r="C110" i="22"/>
  <c r="C111" i="22" s="1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/>
  <c r="O108" i="22"/>
  <c r="N108" i="22"/>
  <c r="M108" i="22"/>
  <c r="M25" i="39"/>
  <c r="L108" i="22"/>
  <c r="K108" i="22"/>
  <c r="J108" i="22"/>
  <c r="I108" i="22"/>
  <c r="H108" i="22"/>
  <c r="H25" i="39" s="1"/>
  <c r="G108" i="22"/>
  <c r="G25" i="39"/>
  <c r="F108" i="22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/>
  <c r="P110" i="21"/>
  <c r="P111" i="21" s="1"/>
  <c r="O110" i="21"/>
  <c r="O112" i="21" s="1"/>
  <c r="N110" i="21"/>
  <c r="N112" i="21"/>
  <c r="M110" i="21"/>
  <c r="M111" i="21"/>
  <c r="L110" i="21"/>
  <c r="L112" i="21"/>
  <c r="K110" i="21"/>
  <c r="K112" i="21"/>
  <c r="G110" i="21"/>
  <c r="G112" i="21"/>
  <c r="F110" i="21"/>
  <c r="F112" i="21"/>
  <c r="E110" i="21"/>
  <c r="E112" i="21" s="1"/>
  <c r="D110" i="21"/>
  <c r="D112" i="21" s="1"/>
  <c r="C110" i="21"/>
  <c r="C112" i="21"/>
  <c r="B110" i="21"/>
  <c r="B111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/>
  <c r="M108" i="21"/>
  <c r="M24" i="39"/>
  <c r="L108" i="21"/>
  <c r="L24" i="39" s="1"/>
  <c r="K108" i="21"/>
  <c r="K24" i="39" s="1"/>
  <c r="J108" i="21"/>
  <c r="J24" i="39"/>
  <c r="I108" i="21"/>
  <c r="I24" i="39"/>
  <c r="H108" i="21"/>
  <c r="G108" i="21"/>
  <c r="F108" i="21"/>
  <c r="E108" i="21"/>
  <c r="D108" i="21"/>
  <c r="D24" i="39"/>
  <c r="C108" i="21"/>
  <c r="C24" i="39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P110" i="20"/>
  <c r="P111" i="20"/>
  <c r="O110" i="20"/>
  <c r="O112" i="20"/>
  <c r="N110" i="20"/>
  <c r="N111" i="20"/>
  <c r="M110" i="20"/>
  <c r="M112" i="20"/>
  <c r="L110" i="20"/>
  <c r="L112" i="20"/>
  <c r="K110" i="20"/>
  <c r="K112" i="20"/>
  <c r="F110" i="20"/>
  <c r="F112" i="20" s="1"/>
  <c r="E110" i="20"/>
  <c r="E112" i="20" s="1"/>
  <c r="D110" i="20"/>
  <c r="D112" i="20"/>
  <c r="C110" i="20"/>
  <c r="C112" i="20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L23" i="39"/>
  <c r="K108" i="20"/>
  <c r="J108" i="20"/>
  <c r="J23" i="39" s="1"/>
  <c r="I108" i="20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1" i="19" s="1"/>
  <c r="O110" i="19"/>
  <c r="O112" i="19" s="1"/>
  <c r="N110" i="19"/>
  <c r="N112" i="19"/>
  <c r="M110" i="19"/>
  <c r="M111" i="19"/>
  <c r="L110" i="19"/>
  <c r="L112" i="19"/>
  <c r="K110" i="19"/>
  <c r="K111" i="19"/>
  <c r="G110" i="19"/>
  <c r="G111" i="19"/>
  <c r="F110" i="19"/>
  <c r="F112" i="19"/>
  <c r="E110" i="19"/>
  <c r="E111" i="19" s="1"/>
  <c r="D110" i="19"/>
  <c r="D112" i="19" s="1"/>
  <c r="C110" i="19"/>
  <c r="C111" i="19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N22" i="39"/>
  <c r="M108" i="19"/>
  <c r="L108" i="19"/>
  <c r="K108" i="19"/>
  <c r="K22" i="39" s="1"/>
  <c r="J108" i="19"/>
  <c r="I108" i="19"/>
  <c r="I22" i="39"/>
  <c r="H108" i="19"/>
  <c r="G108" i="19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P110" i="18"/>
  <c r="P112" i="18" s="1"/>
  <c r="O110" i="18"/>
  <c r="O112" i="18" s="1"/>
  <c r="N110" i="18"/>
  <c r="N112" i="18"/>
  <c r="M110" i="18"/>
  <c r="M111" i="18"/>
  <c r="L110" i="18"/>
  <c r="L112" i="18"/>
  <c r="K110" i="18"/>
  <c r="K112" i="18"/>
  <c r="J111" i="18"/>
  <c r="G110" i="18"/>
  <c r="G112" i="18" s="1"/>
  <c r="F110" i="18"/>
  <c r="F112" i="18" s="1"/>
  <c r="E110" i="18"/>
  <c r="E112" i="18"/>
  <c r="D110" i="18"/>
  <c r="D112" i="18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P21" i="39"/>
  <c r="O108" i="18"/>
  <c r="N108" i="18"/>
  <c r="M108" i="18"/>
  <c r="L108" i="18"/>
  <c r="L21" i="39" s="1"/>
  <c r="K108" i="18"/>
  <c r="J108" i="18"/>
  <c r="I108" i="18"/>
  <c r="I21" i="39"/>
  <c r="H108" i="18"/>
  <c r="H21" i="39" s="1"/>
  <c r="G108" i="18"/>
  <c r="F108" i="18"/>
  <c r="E108" i="18"/>
  <c r="E21" i="39" s="1"/>
  <c r="D108" i="18"/>
  <c r="C108" i="18"/>
  <c r="C21" i="39" s="1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2" i="17"/>
  <c r="N111" i="17"/>
  <c r="M112" i="17"/>
  <c r="D111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P20" i="39"/>
  <c r="O108" i="17"/>
  <c r="O20" i="39"/>
  <c r="N108" i="17"/>
  <c r="N20" i="39"/>
  <c r="M108" i="17"/>
  <c r="L108" i="17"/>
  <c r="K108" i="17"/>
  <c r="K20" i="39"/>
  <c r="J108" i="17"/>
  <c r="J20" i="39" s="1"/>
  <c r="I108" i="17"/>
  <c r="I20" i="39" s="1"/>
  <c r="H108" i="17"/>
  <c r="H20" i="39"/>
  <c r="G108" i="17"/>
  <c r="G20" i="39"/>
  <c r="F108" i="17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1" i="16" s="1"/>
  <c r="O110" i="16"/>
  <c r="O112" i="16" s="1"/>
  <c r="N110" i="16"/>
  <c r="N112" i="16"/>
  <c r="M110" i="16"/>
  <c r="M112" i="16"/>
  <c r="L110" i="16"/>
  <c r="L112" i="16"/>
  <c r="K110" i="16"/>
  <c r="K112" i="16"/>
  <c r="G110" i="16"/>
  <c r="G112" i="16"/>
  <c r="F110" i="16"/>
  <c r="F112" i="16"/>
  <c r="E110" i="16"/>
  <c r="E111" i="16" s="1"/>
  <c r="D110" i="16"/>
  <c r="D112" i="16" s="1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 s="1"/>
  <c r="N108" i="16"/>
  <c r="M108" i="16"/>
  <c r="M19" i="39" s="1"/>
  <c r="L108" i="16"/>
  <c r="K108" i="16"/>
  <c r="J108" i="16"/>
  <c r="J19" i="39"/>
  <c r="I108" i="16"/>
  <c r="I19" i="39" s="1"/>
  <c r="H108" i="16"/>
  <c r="G108" i="16"/>
  <c r="F108" i="16"/>
  <c r="E108" i="16"/>
  <c r="E19" i="39"/>
  <c r="D108" i="16"/>
  <c r="D19" i="39" s="1"/>
  <c r="C108" i="16"/>
  <c r="C19" i="39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/>
  <c r="O110" i="15"/>
  <c r="O112" i="15"/>
  <c r="N110" i="15"/>
  <c r="N112" i="15"/>
  <c r="M110" i="15"/>
  <c r="M112" i="15"/>
  <c r="L110" i="15"/>
  <c r="L111" i="15" s="1"/>
  <c r="K110" i="15"/>
  <c r="K112" i="15"/>
  <c r="F110" i="15"/>
  <c r="F112" i="15" s="1"/>
  <c r="E110" i="15"/>
  <c r="E112" i="15" s="1"/>
  <c r="D110" i="15"/>
  <c r="D112" i="15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1" i="14"/>
  <c r="O110" i="14"/>
  <c r="O111" i="14"/>
  <c r="N110" i="14"/>
  <c r="N112" i="14" s="1"/>
  <c r="M110" i="14"/>
  <c r="M112" i="14" s="1"/>
  <c r="L110" i="14"/>
  <c r="L112" i="14" s="1"/>
  <c r="K110" i="14"/>
  <c r="K112" i="14" s="1"/>
  <c r="F110" i="14"/>
  <c r="F111" i="14" s="1"/>
  <c r="E110" i="14"/>
  <c r="E111" i="14" s="1"/>
  <c r="D110" i="14"/>
  <c r="D112" i="14"/>
  <c r="C110" i="14"/>
  <c r="C111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J17" i="39" s="1"/>
  <c r="I108" i="14"/>
  <c r="I17" i="39"/>
  <c r="H108" i="14"/>
  <c r="G108" i="14"/>
  <c r="G17" i="39"/>
  <c r="F108" i="14"/>
  <c r="F17" i="39"/>
  <c r="E108" i="14"/>
  <c r="D108" i="14"/>
  <c r="D17" i="39" s="1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/>
  <c r="P110" i="13"/>
  <c r="P111" i="13" s="1"/>
  <c r="O110" i="13"/>
  <c r="O111" i="13" s="1"/>
  <c r="N110" i="13"/>
  <c r="N112" i="13"/>
  <c r="M110" i="13"/>
  <c r="M111" i="13"/>
  <c r="L110" i="13"/>
  <c r="L112" i="13"/>
  <c r="K110" i="13"/>
  <c r="K112" i="13"/>
  <c r="G110" i="13"/>
  <c r="G112" i="13" s="1"/>
  <c r="F110" i="13"/>
  <c r="F112" i="13"/>
  <c r="E110" i="13"/>
  <c r="E112" i="13" s="1"/>
  <c r="D110" i="13"/>
  <c r="D111" i="13" s="1"/>
  <c r="C110" i="13"/>
  <c r="C112" i="13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M16" i="39" s="1"/>
  <c r="L108" i="13"/>
  <c r="K108" i="13"/>
  <c r="J108" i="13"/>
  <c r="I108" i="13"/>
  <c r="I16" i="39" s="1"/>
  <c r="H108" i="13"/>
  <c r="H16" i="39"/>
  <c r="G108" i="13"/>
  <c r="G16" i="39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/>
  <c r="O110" i="12"/>
  <c r="O111" i="12"/>
  <c r="N110" i="12"/>
  <c r="N112" i="12" s="1"/>
  <c r="M110" i="12"/>
  <c r="M111" i="12"/>
  <c r="L110" i="12"/>
  <c r="L112" i="12" s="1"/>
  <c r="K110" i="12"/>
  <c r="K111" i="12"/>
  <c r="G110" i="12"/>
  <c r="G112" i="12" s="1"/>
  <c r="E110" i="12"/>
  <c r="E112" i="12" s="1"/>
  <c r="D110" i="12"/>
  <c r="D112" i="12"/>
  <c r="C110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/>
  <c r="N108" i="12"/>
  <c r="M108" i="12"/>
  <c r="L108" i="12"/>
  <c r="K108" i="12"/>
  <c r="J108" i="12"/>
  <c r="I108" i="12"/>
  <c r="I15" i="39"/>
  <c r="H108" i="12"/>
  <c r="G108" i="12"/>
  <c r="G15" i="39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1" i="11"/>
  <c r="P112" i="11"/>
  <c r="O112" i="11"/>
  <c r="N112" i="11"/>
  <c r="M112" i="11"/>
  <c r="L112" i="11"/>
  <c r="K112" i="11"/>
  <c r="F112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/>
  <c r="O108" i="11"/>
  <c r="O14" i="39" s="1"/>
  <c r="N108" i="11"/>
  <c r="N14" i="39" s="1"/>
  <c r="M108" i="11"/>
  <c r="M14" i="39"/>
  <c r="L108" i="11"/>
  <c r="K108" i="11"/>
  <c r="K14" i="39"/>
  <c r="J108" i="11"/>
  <c r="J14" i="39"/>
  <c r="I108" i="11"/>
  <c r="H108" i="11"/>
  <c r="G108" i="11"/>
  <c r="G14" i="39"/>
  <c r="F108" i="11"/>
  <c r="E108" i="11"/>
  <c r="D108" i="11"/>
  <c r="C108" i="11"/>
  <c r="C14" i="39" s="1"/>
  <c r="B108" i="11"/>
  <c r="B14" i="39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/>
  <c r="P110" i="10"/>
  <c r="P112" i="10"/>
  <c r="O110" i="10"/>
  <c r="O111" i="10" s="1"/>
  <c r="N110" i="10"/>
  <c r="N112" i="10"/>
  <c r="M110" i="10"/>
  <c r="M111" i="10" s="1"/>
  <c r="L110" i="10"/>
  <c r="L111" i="10" s="1"/>
  <c r="K110" i="10"/>
  <c r="K112" i="10"/>
  <c r="F110" i="10"/>
  <c r="F112" i="10"/>
  <c r="E110" i="10"/>
  <c r="E112" i="10"/>
  <c r="D110" i="10"/>
  <c r="D112" i="10"/>
  <c r="C110" i="10"/>
  <c r="C112" i="10" s="1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M108" i="10"/>
  <c r="M13" i="39"/>
  <c r="L108" i="10"/>
  <c r="L13" i="39" s="1"/>
  <c r="K108" i="10"/>
  <c r="K13" i="39"/>
  <c r="J108" i="10"/>
  <c r="I108" i="10"/>
  <c r="I13" i="39"/>
  <c r="H108" i="10"/>
  <c r="H13" i="39" s="1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/>
  <c r="P110" i="9"/>
  <c r="P112" i="9" s="1"/>
  <c r="O110" i="9"/>
  <c r="O112" i="9" s="1"/>
  <c r="N110" i="9"/>
  <c r="N112" i="9"/>
  <c r="M110" i="9"/>
  <c r="M112" i="9"/>
  <c r="L110" i="9"/>
  <c r="L112" i="9" s="1"/>
  <c r="K110" i="9"/>
  <c r="K112" i="9" s="1"/>
  <c r="G110" i="9"/>
  <c r="G112" i="9" s="1"/>
  <c r="F110" i="9"/>
  <c r="F111" i="9"/>
  <c r="E110" i="9"/>
  <c r="E112" i="9" s="1"/>
  <c r="D110" i="9"/>
  <c r="D111" i="9" s="1"/>
  <c r="C110" i="9"/>
  <c r="C112" i="9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O12" i="39"/>
  <c r="N108" i="9"/>
  <c r="N12" i="39" s="1"/>
  <c r="M108" i="9"/>
  <c r="M12" i="39" s="1"/>
  <c r="L108" i="9"/>
  <c r="K108" i="9"/>
  <c r="J108" i="9"/>
  <c r="J12" i="39" s="1"/>
  <c r="I108" i="9"/>
  <c r="H108" i="9"/>
  <c r="H12" i="39"/>
  <c r="G108" i="9"/>
  <c r="G12" i="39" s="1"/>
  <c r="F108" i="9"/>
  <c r="E108" i="9"/>
  <c r="E12" i="39"/>
  <c r="D108" i="9"/>
  <c r="C108" i="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E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/>
  <c r="O108" i="8"/>
  <c r="O11" i="39"/>
  <c r="N108" i="8"/>
  <c r="M108" i="8"/>
  <c r="M11" i="39" s="1"/>
  <c r="L108" i="8"/>
  <c r="L11" i="39"/>
  <c r="K108" i="8"/>
  <c r="K11" i="39" s="1"/>
  <c r="J108" i="8"/>
  <c r="I108" i="8"/>
  <c r="I11" i="39" s="1"/>
  <c r="H108" i="8"/>
  <c r="H11" i="39" s="1"/>
  <c r="G108" i="8"/>
  <c r="G11" i="39"/>
  <c r="F108" i="8"/>
  <c r="F11" i="39"/>
  <c r="E108" i="8"/>
  <c r="E11" i="39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P112" i="3"/>
  <c r="O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O10" i="39" s="1"/>
  <c r="N108" i="3"/>
  <c r="N10" i="39"/>
  <c r="M108" i="3"/>
  <c r="M10" i="39" s="1"/>
  <c r="L108" i="3"/>
  <c r="L10" i="39" s="1"/>
  <c r="K108" i="3"/>
  <c r="K10" i="39"/>
  <c r="J108" i="3"/>
  <c r="J10" i="39"/>
  <c r="I108" i="3"/>
  <c r="I10" i="39" s="1"/>
  <c r="H108" i="3"/>
  <c r="H10" i="39" s="1"/>
  <c r="G108" i="3"/>
  <c r="G10" i="39" s="1"/>
  <c r="F108" i="3"/>
  <c r="F10" i="39"/>
  <c r="E108" i="3"/>
  <c r="E10" i="39" s="1"/>
  <c r="D108" i="3"/>
  <c r="D10" i="39" s="1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2" i="2"/>
  <c r="D112" i="2"/>
  <c r="O112" i="2"/>
  <c r="Q112" i="2"/>
  <c r="T40" i="6"/>
  <c r="T21" i="6"/>
  <c r="K88" i="6"/>
  <c r="J88" i="6"/>
  <c r="K115" i="6"/>
  <c r="J115" i="6"/>
  <c r="I115" i="6"/>
  <c r="L12" i="39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H38" i="39"/>
  <c r="F38" i="39"/>
  <c r="E38" i="39"/>
  <c r="D38" i="39"/>
  <c r="C38" i="39"/>
  <c r="O37" i="39"/>
  <c r="N37" i="39"/>
  <c r="K37" i="39"/>
  <c r="J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F25" i="39"/>
  <c r="E25" i="39"/>
  <c r="D25" i="39"/>
  <c r="C25" i="39"/>
  <c r="Q24" i="39"/>
  <c r="G24" i="39"/>
  <c r="E24" i="39"/>
  <c r="Q23" i="39"/>
  <c r="M23" i="39"/>
  <c r="K23" i="39"/>
  <c r="I23" i="39"/>
  <c r="H23" i="39"/>
  <c r="E23" i="39"/>
  <c r="B23" i="39"/>
  <c r="Q22" i="39"/>
  <c r="M22" i="39"/>
  <c r="L22" i="39"/>
  <c r="G22" i="39"/>
  <c r="C22" i="39"/>
  <c r="Q21" i="39"/>
  <c r="M21" i="39"/>
  <c r="K21" i="39"/>
  <c r="J21" i="39"/>
  <c r="G21" i="39"/>
  <c r="F21" i="39"/>
  <c r="D21" i="39"/>
  <c r="B21" i="39"/>
  <c r="A21" i="39"/>
  <c r="M20" i="39"/>
  <c r="E20" i="39"/>
  <c r="A20" i="39"/>
  <c r="L19" i="39"/>
  <c r="K19" i="39"/>
  <c r="H19" i="39"/>
  <c r="G19" i="39"/>
  <c r="M18" i="39"/>
  <c r="L18" i="39"/>
  <c r="J18" i="39"/>
  <c r="I18" i="39"/>
  <c r="H18" i="39"/>
  <c r="G18" i="39"/>
  <c r="E18" i="39"/>
  <c r="D18" i="39"/>
  <c r="P17" i="39"/>
  <c r="M17" i="39"/>
  <c r="L17" i="39"/>
  <c r="C17" i="39"/>
  <c r="A17" i="39"/>
  <c r="Q16" i="39"/>
  <c r="P16" i="39"/>
  <c r="L16" i="39"/>
  <c r="J16" i="39"/>
  <c r="F16" i="39"/>
  <c r="E16" i="39"/>
  <c r="D16" i="39"/>
  <c r="C16" i="39"/>
  <c r="B16" i="39"/>
  <c r="N15" i="39"/>
  <c r="M15" i="39"/>
  <c r="L15" i="39"/>
  <c r="H15" i="39"/>
  <c r="F15" i="39"/>
  <c r="C15" i="39"/>
  <c r="L14" i="39"/>
  <c r="I14" i="39"/>
  <c r="H14" i="39"/>
  <c r="F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/>
  <c r="D108" i="2"/>
  <c r="D9" i="39" s="1"/>
  <c r="E108" i="2"/>
  <c r="E9" i="39" s="1"/>
  <c r="F108" i="2"/>
  <c r="F9" i="39"/>
  <c r="G108" i="2"/>
  <c r="G9" i="39"/>
  <c r="H108" i="2"/>
  <c r="H9" i="39"/>
  <c r="I108" i="2"/>
  <c r="I9" i="39" s="1"/>
  <c r="J108" i="2"/>
  <c r="J9" i="39" s="1"/>
  <c r="K108" i="2"/>
  <c r="K9" i="39"/>
  <c r="L108" i="2"/>
  <c r="L9" i="39" s="1"/>
  <c r="M108" i="2"/>
  <c r="M9" i="39" s="1"/>
  <c r="Q108" i="2"/>
  <c r="Q9" i="39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H36" i="39"/>
  <c r="G36" i="39"/>
  <c r="E36" i="39"/>
  <c r="D36" i="39"/>
  <c r="C36" i="39"/>
  <c r="P35" i="39"/>
  <c r="G35" i="39"/>
  <c r="E35" i="39"/>
  <c r="M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O32" i="39"/>
  <c r="N32" i="39"/>
  <c r="K32" i="39"/>
  <c r="I32" i="39"/>
  <c r="F32" i="39"/>
  <c r="C32" i="39"/>
  <c r="B32" i="39"/>
  <c r="Q31" i="39"/>
  <c r="P31" i="39"/>
  <c r="M31" i="39"/>
  <c r="J31" i="39"/>
  <c r="I31" i="39"/>
  <c r="F31" i="39"/>
  <c r="P30" i="39"/>
  <c r="M30" i="39"/>
  <c r="I30" i="39"/>
  <c r="F30" i="39"/>
  <c r="C30" i="39"/>
  <c r="Q29" i="39"/>
  <c r="M29" i="39"/>
  <c r="K29" i="39"/>
  <c r="H29" i="39"/>
  <c r="G29" i="39"/>
  <c r="F29" i="39"/>
  <c r="E29" i="39"/>
  <c r="D29" i="39"/>
  <c r="N28" i="39"/>
  <c r="M28" i="39"/>
  <c r="L28" i="39"/>
  <c r="K28" i="39"/>
  <c r="I28" i="39"/>
  <c r="H28" i="39"/>
  <c r="G28" i="39"/>
  <c r="F28" i="39"/>
  <c r="B28" i="39"/>
  <c r="P27" i="39"/>
  <c r="O27" i="39"/>
  <c r="M27" i="39"/>
  <c r="L27" i="39"/>
  <c r="B27" i="39"/>
  <c r="O26" i="39"/>
  <c r="G26" i="39"/>
  <c r="I25" i="39"/>
  <c r="P24" i="39"/>
  <c r="H24" i="39"/>
  <c r="N23" i="39"/>
  <c r="C23" i="39"/>
  <c r="O22" i="39"/>
  <c r="D22" i="39"/>
  <c r="O21" i="39"/>
  <c r="F20" i="39"/>
  <c r="D20" i="39"/>
  <c r="F18" i="39"/>
  <c r="E17" i="39"/>
  <c r="K16" i="39"/>
  <c r="K15" i="39"/>
  <c r="J15" i="39"/>
  <c r="Q12" i="39"/>
  <c r="B12" i="39"/>
  <c r="N11" i="39"/>
  <c r="P10" i="39"/>
  <c r="P36" i="39"/>
  <c r="E34" i="39"/>
  <c r="E26" i="39"/>
  <c r="P23" i="39"/>
  <c r="P18" i="39"/>
  <c r="Q17" i="39"/>
  <c r="P15" i="39"/>
  <c r="B2" i="2"/>
  <c r="A9" i="39"/>
  <c r="B2" i="39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N35" i="39"/>
  <c r="G34" i="39"/>
  <c r="B34" i="39"/>
  <c r="J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O28" i="39"/>
  <c r="F26" i="39"/>
  <c r="F24" i="39"/>
  <c r="J22" i="39"/>
  <c r="L20" i="39"/>
  <c r="N19" i="39"/>
  <c r="F19" i="39"/>
  <c r="O18" i="39"/>
  <c r="O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D8" i="5"/>
  <c r="D24" i="5" s="1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H111" i="2"/>
  <c r="H22" i="39"/>
  <c r="O111" i="2"/>
  <c r="O111" i="41"/>
  <c r="M111" i="41"/>
  <c r="L111" i="41"/>
  <c r="K111" i="41"/>
  <c r="G111" i="41"/>
  <c r="F111" i="41"/>
  <c r="D111" i="41"/>
  <c r="B111" i="41"/>
  <c r="P111" i="40"/>
  <c r="O111" i="40"/>
  <c r="N111" i="40"/>
  <c r="M111" i="40"/>
  <c r="K111" i="40"/>
  <c r="E111" i="40"/>
  <c r="C111" i="40"/>
  <c r="B111" i="40"/>
  <c r="L111" i="33"/>
  <c r="F111" i="33"/>
  <c r="D111" i="33"/>
  <c r="B111" i="33"/>
  <c r="Q111" i="32"/>
  <c r="O111" i="32"/>
  <c r="M111" i="32"/>
  <c r="L111" i="32"/>
  <c r="G111" i="32"/>
  <c r="F111" i="32"/>
  <c r="D111" i="32"/>
  <c r="O111" i="31"/>
  <c r="N111" i="31"/>
  <c r="L111" i="31"/>
  <c r="F111" i="31"/>
  <c r="E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K111" i="29"/>
  <c r="E111" i="29"/>
  <c r="D111" i="29"/>
  <c r="C111" i="29"/>
  <c r="B111" i="29"/>
  <c r="Q111" i="28"/>
  <c r="O111" i="28"/>
  <c r="N111" i="28"/>
  <c r="L111" i="28"/>
  <c r="K111" i="28"/>
  <c r="F111" i="28"/>
  <c r="E111" i="28"/>
  <c r="D111" i="28"/>
  <c r="C111" i="28"/>
  <c r="N111" i="27"/>
  <c r="E111" i="27"/>
  <c r="B111" i="27"/>
  <c r="L111" i="26"/>
  <c r="K111" i="26"/>
  <c r="P111" i="24"/>
  <c r="O111" i="24"/>
  <c r="M111" i="24"/>
  <c r="L111" i="24"/>
  <c r="K111" i="24"/>
  <c r="Q111" i="24"/>
  <c r="F111" i="24"/>
  <c r="E111" i="24"/>
  <c r="D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B111" i="22"/>
  <c r="Q111" i="21"/>
  <c r="N111" i="21"/>
  <c r="L111" i="21"/>
  <c r="K111" i="21"/>
  <c r="G111" i="21"/>
  <c r="E111" i="21"/>
  <c r="C111" i="21"/>
  <c r="O111" i="20"/>
  <c r="M111" i="20"/>
  <c r="L111" i="20"/>
  <c r="K111" i="20"/>
  <c r="F111" i="20"/>
  <c r="E111" i="20"/>
  <c r="D111" i="20"/>
  <c r="B111" i="20"/>
  <c r="O111" i="19"/>
  <c r="N111" i="19"/>
  <c r="L111" i="19"/>
  <c r="H111" i="19"/>
  <c r="F111" i="19"/>
  <c r="D111" i="19"/>
  <c r="B111" i="19"/>
  <c r="P111" i="18"/>
  <c r="O111" i="18"/>
  <c r="N111" i="18"/>
  <c r="L111" i="18"/>
  <c r="G111" i="18"/>
  <c r="F111" i="18"/>
  <c r="E111" i="18"/>
  <c r="D111" i="18"/>
  <c r="P111" i="17"/>
  <c r="O111" i="16"/>
  <c r="N111" i="16"/>
  <c r="L111" i="16"/>
  <c r="G111" i="16"/>
  <c r="F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N111" i="14"/>
  <c r="M111" i="14"/>
  <c r="L111" i="14"/>
  <c r="K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F111" i="10"/>
  <c r="C111" i="10"/>
  <c r="B111" i="10"/>
  <c r="P111" i="9"/>
  <c r="N111" i="9"/>
  <c r="M111" i="9"/>
  <c r="E111" i="9"/>
  <c r="C111" i="9"/>
  <c r="M111" i="8"/>
  <c r="E111" i="8"/>
  <c r="P111" i="3"/>
  <c r="O111" i="3"/>
  <c r="H111" i="3"/>
  <c r="C112" i="30"/>
  <c r="D112" i="3"/>
  <c r="M111" i="2"/>
  <c r="Q111" i="2"/>
  <c r="J112" i="2"/>
  <c r="D111" i="2"/>
  <c r="L112" i="10"/>
  <c r="M112" i="10"/>
  <c r="L111" i="9"/>
  <c r="G111" i="9"/>
  <c r="E112" i="2"/>
  <c r="N111" i="2"/>
  <c r="B111" i="3"/>
  <c r="I112" i="2"/>
  <c r="F112" i="3"/>
  <c r="M111" i="3"/>
  <c r="J111" i="10"/>
  <c r="I111" i="10"/>
  <c r="I112" i="9"/>
  <c r="H112" i="9"/>
  <c r="B111" i="9"/>
  <c r="J112" i="8"/>
  <c r="P111" i="8"/>
  <c r="L111" i="8"/>
  <c r="O111" i="8"/>
  <c r="I112" i="8"/>
  <c r="F112" i="8"/>
  <c r="N111" i="8"/>
  <c r="J111" i="13"/>
  <c r="P112" i="13"/>
  <c r="J112" i="12"/>
  <c r="H112" i="12"/>
  <c r="G111" i="12"/>
  <c r="O112" i="12"/>
  <c r="J112" i="11"/>
  <c r="Q112" i="11"/>
  <c r="P111" i="11"/>
  <c r="H112" i="11"/>
  <c r="G111" i="11"/>
  <c r="I112" i="11"/>
  <c r="D111" i="11"/>
  <c r="C111" i="11"/>
  <c r="C111" i="16"/>
  <c r="B112" i="14"/>
  <c r="J112" i="14"/>
  <c r="B112" i="18"/>
  <c r="J112" i="18"/>
  <c r="J111" i="17"/>
  <c r="I112" i="17"/>
  <c r="N112" i="17"/>
  <c r="M111" i="17"/>
  <c r="I112" i="20"/>
  <c r="J112" i="20"/>
  <c r="J112" i="19"/>
  <c r="I112" i="19"/>
  <c r="M112" i="19"/>
  <c r="C112" i="19"/>
  <c r="P112" i="25"/>
  <c r="O112" i="25"/>
  <c r="N112" i="25"/>
  <c r="L111" i="25"/>
  <c r="J111" i="25"/>
  <c r="H112" i="25"/>
  <c r="F111" i="25"/>
  <c r="Q112" i="25"/>
  <c r="K112" i="25"/>
  <c r="I112" i="25"/>
  <c r="J112" i="24"/>
  <c r="I111" i="24"/>
  <c r="H112" i="24"/>
  <c r="J111" i="23"/>
  <c r="Q111" i="23"/>
  <c r="O111" i="23"/>
  <c r="I112" i="23"/>
  <c r="G112" i="23"/>
  <c r="H111" i="22"/>
  <c r="Q112" i="22"/>
  <c r="J112" i="21"/>
  <c r="H112" i="21"/>
  <c r="P112" i="21"/>
  <c r="D112" i="27"/>
  <c r="Q111" i="27"/>
  <c r="Q112" i="26"/>
  <c r="J112" i="26"/>
  <c r="I111" i="26"/>
  <c r="F111" i="26"/>
  <c r="E111" i="26"/>
  <c r="P112" i="26"/>
  <c r="O111" i="27"/>
  <c r="K111" i="27"/>
  <c r="J111" i="27"/>
  <c r="J112" i="32"/>
  <c r="H112" i="32"/>
  <c r="I112" i="31"/>
  <c r="Q112" i="31"/>
  <c r="P111" i="31"/>
  <c r="J111" i="30"/>
  <c r="H111" i="30"/>
  <c r="I111" i="29"/>
  <c r="O111" i="29"/>
  <c r="I111" i="28"/>
  <c r="J112" i="40"/>
  <c r="H112" i="40"/>
  <c r="I112" i="40"/>
  <c r="J111" i="41"/>
  <c r="Q112" i="41"/>
  <c r="P111" i="2"/>
  <c r="F111" i="2"/>
  <c r="J112" i="3"/>
  <c r="L112" i="3"/>
  <c r="C112" i="3"/>
  <c r="K112" i="8"/>
  <c r="Q112" i="8"/>
  <c r="F112" i="9"/>
  <c r="J111" i="9"/>
  <c r="Q112" i="9"/>
  <c r="D112" i="9"/>
  <c r="O111" i="9"/>
  <c r="D111" i="10"/>
  <c r="O112" i="10"/>
  <c r="H111" i="10"/>
  <c r="F111" i="11"/>
  <c r="M112" i="12"/>
  <c r="K112" i="12"/>
  <c r="B112" i="13"/>
  <c r="M112" i="13"/>
  <c r="H111" i="13"/>
  <c r="F112" i="14"/>
  <c r="D111" i="14"/>
  <c r="O112" i="14"/>
  <c r="L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O111" i="21"/>
  <c r="I112" i="21"/>
  <c r="I111" i="22"/>
  <c r="L112" i="22"/>
  <c r="F112" i="22"/>
  <c r="F112" i="23"/>
  <c r="G111" i="24"/>
  <c r="M111" i="25"/>
  <c r="E112" i="25"/>
  <c r="O112" i="26"/>
  <c r="F111" i="27"/>
  <c r="P112" i="28"/>
  <c r="F112" i="29"/>
  <c r="Q112" i="29"/>
  <c r="K111" i="30"/>
  <c r="F111" i="30"/>
  <c r="M112" i="31"/>
  <c r="K112" i="31"/>
  <c r="J112" i="31"/>
  <c r="E112" i="32"/>
  <c r="P111" i="32"/>
  <c r="C112" i="32"/>
  <c r="N112" i="32"/>
  <c r="K112" i="33"/>
  <c r="L111" i="40"/>
  <c r="N111" i="3"/>
  <c r="E111" i="3"/>
  <c r="Q111" i="3"/>
  <c r="G112" i="3"/>
  <c r="I112" i="3"/>
  <c r="C111" i="2"/>
  <c r="L111" i="2"/>
  <c r="G111" i="2"/>
  <c r="K111" i="2"/>
  <c r="K111" i="9"/>
  <c r="H112" i="8"/>
  <c r="D111" i="8"/>
  <c r="C111" i="8"/>
  <c r="G112" i="8"/>
  <c r="B111" i="8"/>
  <c r="I112" i="12"/>
  <c r="F111" i="12"/>
  <c r="B111" i="11"/>
  <c r="E111" i="10"/>
  <c r="G111" i="10"/>
  <c r="H111" i="14"/>
  <c r="G111" i="14"/>
  <c r="E112" i="14"/>
  <c r="P112" i="14"/>
  <c r="I112" i="14"/>
  <c r="C112" i="14"/>
  <c r="Q111" i="14"/>
  <c r="I112" i="13"/>
  <c r="D112" i="13"/>
  <c r="O112" i="13"/>
  <c r="G112" i="22"/>
  <c r="C112" i="22"/>
  <c r="O112" i="22"/>
  <c r="D111" i="21"/>
  <c r="B112" i="21"/>
  <c r="M112" i="21"/>
  <c r="Q111" i="20"/>
  <c r="G111" i="20"/>
  <c r="Q111" i="19"/>
  <c r="G112" i="19"/>
  <c r="E112" i="19"/>
  <c r="P112" i="19"/>
  <c r="Q112" i="18"/>
  <c r="I112" i="18"/>
  <c r="H112" i="18"/>
  <c r="Q112" i="17"/>
  <c r="L111" i="17"/>
  <c r="O111" i="17"/>
  <c r="H112" i="17"/>
  <c r="G112" i="17"/>
  <c r="F111" i="17"/>
  <c r="E111" i="17"/>
  <c r="B111" i="17"/>
  <c r="C112" i="17"/>
  <c r="D112" i="17"/>
  <c r="K112" i="17"/>
  <c r="Q112" i="16"/>
  <c r="E112" i="16"/>
  <c r="P112" i="16"/>
  <c r="I111" i="16"/>
  <c r="Q112" i="15"/>
  <c r="H112" i="15"/>
  <c r="G112" i="15"/>
  <c r="I111" i="15"/>
  <c r="D112" i="25"/>
  <c r="C111" i="25"/>
  <c r="G112" i="25"/>
  <c r="B112" i="25"/>
  <c r="C112" i="24"/>
  <c r="N112" i="24"/>
  <c r="I112" i="30"/>
  <c r="Q111" i="30"/>
  <c r="G112" i="30"/>
  <c r="J112" i="29"/>
  <c r="G112" i="29"/>
  <c r="L112" i="29"/>
  <c r="H112" i="29"/>
  <c r="G111" i="28"/>
  <c r="H112" i="28"/>
  <c r="B112" i="28"/>
  <c r="M112" i="28"/>
  <c r="J112" i="28"/>
  <c r="H112" i="27"/>
  <c r="G112" i="27"/>
  <c r="L112" i="27"/>
  <c r="C111" i="27"/>
  <c r="M112" i="27"/>
  <c r="H112" i="26"/>
  <c r="G111" i="26"/>
  <c r="M112" i="26"/>
  <c r="C111" i="26"/>
  <c r="B112" i="26"/>
  <c r="I112" i="41"/>
  <c r="E111" i="41"/>
  <c r="P112" i="41"/>
  <c r="H112" i="41"/>
  <c r="C111" i="41"/>
  <c r="N112" i="41"/>
  <c r="G111" i="40"/>
  <c r="F112" i="40"/>
  <c r="Q112" i="40"/>
  <c r="D112" i="40"/>
  <c r="P111" i="33"/>
  <c r="M111" i="33"/>
  <c r="N111" i="33"/>
  <c r="K111" i="32"/>
  <c r="B111" i="32"/>
  <c r="H112" i="31"/>
  <c r="G111" i="31"/>
  <c r="D112" i="31"/>
  <c r="J112" i="33"/>
  <c r="H112" i="33"/>
  <c r="G111" i="33"/>
  <c r="I111" i="33"/>
  <c r="C111" i="33"/>
  <c r="E112" i="33"/>
  <c r="Q111" i="33"/>
  <c r="O112" i="33"/>
  <c r="I112" i="32"/>
  <c r="M43" i="39" l="1"/>
  <c r="M40" i="39"/>
  <c r="M44" i="39"/>
  <c r="M41" i="39"/>
  <c r="M42" i="39"/>
  <c r="B42" i="39"/>
  <c r="B40" i="39"/>
  <c r="B44" i="39"/>
  <c r="B43" i="39"/>
  <c r="B41" i="39"/>
  <c r="L41" i="39"/>
  <c r="L42" i="39"/>
  <c r="L44" i="39"/>
  <c r="L40" i="39"/>
  <c r="L43" i="39"/>
  <c r="C41" i="39"/>
  <c r="C40" i="39"/>
  <c r="C44" i="39"/>
  <c r="C42" i="39"/>
  <c r="C43" i="39"/>
  <c r="J44" i="39"/>
  <c r="J41" i="39"/>
  <c r="J40" i="39"/>
  <c r="J42" i="39"/>
  <c r="J43" i="39"/>
  <c r="I42" i="39"/>
  <c r="I41" i="39"/>
  <c r="I44" i="39"/>
  <c r="I40" i="39"/>
  <c r="I43" i="39"/>
  <c r="Q40" i="39"/>
  <c r="Q42" i="39"/>
  <c r="Q44" i="39"/>
  <c r="Q41" i="39"/>
  <c r="Q43" i="39"/>
  <c r="P40" i="39"/>
  <c r="P43" i="39"/>
  <c r="P41" i="39"/>
  <c r="P44" i="39"/>
  <c r="P42" i="39"/>
  <c r="O44" i="39"/>
  <c r="O42" i="39"/>
  <c r="O40" i="39"/>
  <c r="O41" i="39"/>
  <c r="O43" i="39"/>
  <c r="F44" i="39"/>
  <c r="F43" i="39"/>
  <c r="F40" i="39"/>
  <c r="F42" i="39"/>
  <c r="F41" i="39"/>
  <c r="N44" i="39"/>
  <c r="N41" i="39"/>
  <c r="N43" i="39"/>
  <c r="N40" i="39"/>
  <c r="N42" i="39"/>
  <c r="E44" i="39"/>
  <c r="E43" i="39"/>
  <c r="E42" i="39"/>
  <c r="E40" i="39"/>
  <c r="E41" i="39"/>
  <c r="G42" i="39"/>
  <c r="G41" i="39"/>
  <c r="G40" i="39"/>
  <c r="G44" i="39"/>
  <c r="G43" i="39"/>
  <c r="D44" i="5"/>
  <c r="D40" i="39"/>
  <c r="D42" i="39"/>
  <c r="D41" i="39"/>
  <c r="D44" i="39"/>
  <c r="D43" i="39"/>
  <c r="H44" i="39"/>
  <c r="H42" i="39"/>
  <c r="H40" i="39"/>
  <c r="H41" i="39"/>
  <c r="H43" i="39"/>
  <c r="K44" i="39"/>
  <c r="K41" i="39"/>
  <c r="K42" i="39"/>
  <c r="K40" i="39"/>
  <c r="K43" i="39"/>
  <c r="I112" i="27"/>
  <c r="J112" i="22"/>
  <c r="G46" i="39" l="1"/>
  <c r="G45" i="39"/>
  <c r="M45" i="39"/>
  <c r="M46" i="39"/>
  <c r="C46" i="39"/>
  <c r="C45" i="39"/>
  <c r="Q46" i="39"/>
  <c r="Q45" i="39"/>
  <c r="K45" i="39"/>
  <c r="K46" i="39"/>
  <c r="L46" i="39"/>
  <c r="L45" i="39"/>
  <c r="I46" i="39"/>
  <c r="I45" i="39"/>
  <c r="O45" i="39"/>
  <c r="O46" i="39"/>
  <c r="H46" i="39"/>
  <c r="H45" i="39"/>
  <c r="E46" i="39"/>
  <c r="E45" i="39"/>
  <c r="B46" i="39"/>
  <c r="B45" i="39"/>
  <c r="F46" i="39"/>
  <c r="F45" i="39"/>
  <c r="P46" i="39"/>
  <c r="P45" i="39"/>
  <c r="N45" i="39"/>
  <c r="N46" i="39"/>
  <c r="D46" i="39"/>
  <c r="D45" i="39"/>
  <c r="J46" i="39"/>
  <c r="J45" i="39"/>
</calcChain>
</file>

<file path=xl/sharedStrings.xml><?xml version="1.0" encoding="utf-8"?>
<sst xmlns="http://schemas.openxmlformats.org/spreadsheetml/2006/main" count="6288" uniqueCount="3133">
  <si>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</si>
  <si>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</si>
  <si>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</si>
  <si>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</si>
  <si>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</si>
  <si>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</si>
  <si>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</si>
  <si>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</si>
  <si>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</si>
  <si>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</si>
  <si>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</si>
  <si>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</si>
  <si>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</si>
  <si>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</si>
  <si>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</si>
  <si>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</si>
  <si>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</si>
  <si>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</si>
  <si>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</si>
  <si>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</si>
  <si>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</si>
  <si>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</si>
  <si>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</si>
  <si>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</si>
  <si>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</si>
  <si>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</si>
  <si>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</si>
  <si>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</si>
  <si>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</si>
  <si>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</si>
  <si>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</si>
  <si>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</si>
  <si>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</si>
  <si>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</si>
  <si>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</si>
  <si>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</si>
  <si>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</si>
  <si>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</si>
  <si>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</si>
  <si>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</si>
  <si>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</si>
  <si>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</si>
  <si>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</si>
  <si>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</si>
  <si>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</si>
  <si>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</si>
  <si>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</si>
  <si>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</si>
  <si>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</si>
  <si>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</si>
  <si>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</si>
  <si>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</si>
  <si>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</si>
  <si>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</si>
  <si>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</si>
  <si>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</si>
  <si>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</si>
  <si>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</si>
  <si>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</si>
  <si>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</si>
  <si>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</si>
  <si>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</si>
  <si>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</si>
  <si>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</si>
  <si>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</si>
  <si>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</si>
  <si>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</si>
  <si>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</si>
  <si>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</si>
  <si>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</si>
  <si>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</si>
  <si>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</si>
  <si>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</si>
  <si>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</si>
  <si>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</si>
  <si>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</si>
  <si>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</si>
  <si>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</si>
  <si>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</si>
  <si>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</si>
  <si>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</si>
  <si>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</si>
  <si>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</si>
  <si>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</si>
  <si>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</si>
  <si>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</si>
  <si>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</si>
  <si>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</si>
  <si>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</si>
  <si>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</si>
  <si>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</si>
  <si>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</si>
  <si>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</si>
  <si>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</si>
  <si>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</si>
  <si>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</si>
  <si>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</si>
  <si>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</si>
  <si>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</si>
  <si>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</si>
  <si>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</si>
  <si>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</si>
  <si>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</si>
  <si>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</si>
  <si>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</si>
  <si>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</si>
  <si>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</si>
  <si>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</si>
  <si>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</si>
  <si>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</si>
  <si>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</si>
  <si>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</si>
  <si>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</si>
  <si>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</si>
  <si>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</si>
  <si>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</si>
  <si>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</si>
  <si>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</si>
  <si>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</si>
  <si>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</si>
  <si>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</si>
  <si>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</si>
  <si>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</si>
  <si>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</si>
  <si>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</si>
  <si>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</si>
  <si>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</si>
  <si>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</si>
  <si>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</si>
  <si>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</si>
  <si>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</si>
  <si>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</si>
  <si>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</si>
  <si>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</si>
  <si>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</si>
  <si>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</si>
  <si>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</si>
  <si>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</si>
  <si>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</si>
  <si>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</si>
  <si>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</si>
  <si>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</si>
  <si>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</si>
  <si>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</si>
  <si>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</si>
  <si>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</si>
  <si>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</si>
  <si>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</si>
  <si>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</si>
  <si>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</si>
  <si>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</si>
  <si>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</si>
  <si>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</si>
  <si>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</si>
  <si>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</si>
  <si>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</si>
  <si>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</si>
  <si>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</si>
  <si>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</si>
  <si>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</si>
  <si>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</si>
  <si>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</si>
  <si>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</si>
  <si>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</si>
  <si>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</si>
  <si>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</si>
  <si>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</si>
  <si>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</si>
  <si>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</si>
  <si>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</si>
  <si>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</si>
  <si>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</si>
  <si>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</si>
  <si>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</si>
  <si>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</si>
  <si>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</si>
  <si>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</si>
  <si>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</si>
  <si>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</si>
  <si>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</si>
  <si>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</si>
  <si>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</si>
  <si>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</si>
  <si>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</si>
  <si>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</si>
  <si>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</si>
  <si>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</si>
  <si>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</si>
  <si>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</si>
  <si>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</si>
  <si>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</si>
  <si>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</si>
  <si>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</si>
  <si>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</si>
  <si>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</si>
  <si>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</si>
  <si>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</si>
  <si>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</si>
  <si>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</si>
  <si>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</si>
  <si>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</si>
  <si>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</si>
  <si>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</si>
  <si>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</si>
  <si>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</si>
  <si>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</si>
  <si>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</si>
  <si>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</si>
  <si>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</si>
  <si>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</si>
  <si>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</si>
  <si>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</si>
  <si>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</si>
  <si>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</si>
  <si>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</si>
  <si>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</si>
  <si>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</si>
  <si>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</si>
  <si>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</si>
  <si>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</si>
  <si>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</si>
  <si>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</si>
  <si>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</si>
  <si>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</si>
  <si>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</si>
  <si>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</si>
  <si>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</si>
  <si>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</si>
  <si>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</si>
  <si>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</si>
  <si>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</si>
  <si>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</si>
  <si>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</si>
  <si>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</si>
  <si>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</si>
  <si>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</si>
  <si>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</si>
  <si>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</si>
  <si>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</si>
  <si>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</si>
  <si>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</si>
  <si>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</si>
  <si>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</si>
  <si>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</si>
  <si>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</si>
  <si>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</si>
  <si>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</si>
  <si>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</si>
  <si>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01-04-2023 00:15</t>
  </si>
  <si>
    <t>01-04-2023 00:30</t>
  </si>
  <si>
    <t>01-04-2023 00:45</t>
  </si>
  <si>
    <t>01-04-2023 01:00</t>
  </si>
  <si>
    <t>01-04-2023 01:15</t>
  </si>
  <si>
    <t>01-04-2023 01:30</t>
  </si>
  <si>
    <t>01-04-2023 01:45</t>
  </si>
  <si>
    <t>01-04-2023 02:00</t>
  </si>
  <si>
    <t>01-04-2023 02:15</t>
  </si>
  <si>
    <t>01-04-2023 02:30</t>
  </si>
  <si>
    <t>01-04-2023 02:45</t>
  </si>
  <si>
    <t>01-04-2023 03:00</t>
  </si>
  <si>
    <t>01-04-2023 03:15</t>
  </si>
  <si>
    <t>01-04-2023 03:30</t>
  </si>
  <si>
    <t>01-04-2023 03:45</t>
  </si>
  <si>
    <t>01-04-2023 04:00</t>
  </si>
  <si>
    <t>01-04-2023 04:15</t>
  </si>
  <si>
    <t>01-04-2023 04:30</t>
  </si>
  <si>
    <t>01-04-2023 04:45</t>
  </si>
  <si>
    <t>01-04-2023 05:00</t>
  </si>
  <si>
    <t>01-04-2023 05:15</t>
  </si>
  <si>
    <t>01-04-2023 05:30</t>
  </si>
  <si>
    <t>01-04-2023 05:45</t>
  </si>
  <si>
    <t>01-04-2023 06:00</t>
  </si>
  <si>
    <t>01-04-2023 06:15</t>
  </si>
  <si>
    <t>01-04-2023 06:30</t>
  </si>
  <si>
    <t>01-04-2023 06:45</t>
  </si>
  <si>
    <t>01-04-2023 07:00</t>
  </si>
  <si>
    <t>01-04-2023 07:15</t>
  </si>
  <si>
    <t>01-04-2023 07:30</t>
  </si>
  <si>
    <t>01-04-2023 07:45</t>
  </si>
  <si>
    <t>01-04-2023 08:00</t>
  </si>
  <si>
    <t>01-04-2023 08:15</t>
  </si>
  <si>
    <t>01-04-2023 08:30</t>
  </si>
  <si>
    <t>01-04-2023 08:45</t>
  </si>
  <si>
    <t>01-04-2023 09:00</t>
  </si>
  <si>
    <t>01-04-2023 09:15</t>
  </si>
  <si>
    <t>01-04-2023 09:30</t>
  </si>
  <si>
    <t>01-04-2023 09:45</t>
  </si>
  <si>
    <t>01-04-2023 10:00</t>
  </si>
  <si>
    <t>01-04-2023 10:15</t>
  </si>
  <si>
    <t>01-04-2023 10:30</t>
  </si>
  <si>
    <t>01-04-2023 10:45</t>
  </si>
  <si>
    <t>01-04-2023 11:00</t>
  </si>
  <si>
    <t>01-04-2023 11:15</t>
  </si>
  <si>
    <t>01-04-2023 11:30</t>
  </si>
  <si>
    <t>01-04-2023 11:45</t>
  </si>
  <si>
    <t>01-04-2023 12:00</t>
  </si>
  <si>
    <t>01-04-2023 12:15</t>
  </si>
  <si>
    <t>01-04-2023 12:30</t>
  </si>
  <si>
    <t>01-04-2023 12:45</t>
  </si>
  <si>
    <t>01-04-2023 13:00</t>
  </si>
  <si>
    <t>01-04-2023 13:15</t>
  </si>
  <si>
    <t>01-04-2023 13:30</t>
  </si>
  <si>
    <t>01-04-2023 13:45</t>
  </si>
  <si>
    <t>01-04-2023 14:00</t>
  </si>
  <si>
    <t>01-04-2023 14:15</t>
  </si>
  <si>
    <t>01-04-2023 14:30</t>
  </si>
  <si>
    <t>01-04-2023 14:45</t>
  </si>
  <si>
    <t>01-04-2023 15:00</t>
  </si>
  <si>
    <t>01-04-2023 15:15</t>
  </si>
  <si>
    <t>01-04-2023 15:30</t>
  </si>
  <si>
    <t>01-04-2023 15:45</t>
  </si>
  <si>
    <t>01-04-2023 16:00</t>
  </si>
  <si>
    <t>01-04-2023 16:15</t>
  </si>
  <si>
    <t>01-04-2023 16:30</t>
  </si>
  <si>
    <t>01-04-2023 16:45</t>
  </si>
  <si>
    <t>01-04-2023 17:00</t>
  </si>
  <si>
    <t>01-04-2023 17:15</t>
  </si>
  <si>
    <t>01-04-2023 17:30</t>
  </si>
  <si>
    <t>01-04-2023 17:45</t>
  </si>
  <si>
    <t>01-04-2023 18:00</t>
  </si>
  <si>
    <t>01-04-2023 18:15</t>
  </si>
  <si>
    <t>01-04-2023 18:30</t>
  </si>
  <si>
    <t>01-04-2023 18:45</t>
  </si>
  <si>
    <t>01-04-2023 19:00</t>
  </si>
  <si>
    <t>01-04-2023 19:15</t>
  </si>
  <si>
    <t>01-04-2023 19:30</t>
  </si>
  <si>
    <t>01-04-2023 19:45</t>
  </si>
  <si>
    <t>01-04-2023 20:00</t>
  </si>
  <si>
    <t>01-04-2023 20:15</t>
  </si>
  <si>
    <t>01-04-2023 20:30</t>
  </si>
  <si>
    <t>01-04-2023 20:45</t>
  </si>
  <si>
    <t>01-04-2023 21:00</t>
  </si>
  <si>
    <t>01-04-2023 21:15</t>
  </si>
  <si>
    <t>01-04-2023 21:30</t>
  </si>
  <si>
    <t>01-04-2023 21:45</t>
  </si>
  <si>
    <t>01-04-2023 22:00</t>
  </si>
  <si>
    <t>01-04-2023 22:15</t>
  </si>
  <si>
    <t>01-04-2023 22:30</t>
  </si>
  <si>
    <t>01-04-2023 22:45</t>
  </si>
  <si>
    <t>01-04-2023 23:00</t>
  </si>
  <si>
    <t>01-04-2023 23:15</t>
  </si>
  <si>
    <t>01-04-2023 23:30</t>
  </si>
  <si>
    <t>01-04-2023 23:45</t>
  </si>
  <si>
    <t>01-04-2023 24:00</t>
  </si>
  <si>
    <t>02-04-2023 00:15</t>
  </si>
  <si>
    <t>02-04-2023 00:30</t>
  </si>
  <si>
    <t>02-04-2023 00:45</t>
  </si>
  <si>
    <t>02-04-2023 01:00</t>
  </si>
  <si>
    <t>02-04-2023 01:15</t>
  </si>
  <si>
    <t>02-04-2023 01:30</t>
  </si>
  <si>
    <t>02-04-2023 01:45</t>
  </si>
  <si>
    <t>02-04-2023 02:00</t>
  </si>
  <si>
    <t>02-04-2023 02:15</t>
  </si>
  <si>
    <t>02-04-2023 02:30</t>
  </si>
  <si>
    <t>02-04-2023 02:45</t>
  </si>
  <si>
    <t>02-04-2023 03:00</t>
  </si>
  <si>
    <t>02-04-2023 03:15</t>
  </si>
  <si>
    <t>02-04-2023 03:30</t>
  </si>
  <si>
    <t>02-04-2023 03:45</t>
  </si>
  <si>
    <t>02-04-2023 04:00</t>
  </si>
  <si>
    <t>02-04-2023 04:15</t>
  </si>
  <si>
    <t>02-04-2023 04:30</t>
  </si>
  <si>
    <t>02-04-2023 04:45</t>
  </si>
  <si>
    <t>02-04-2023 05:00</t>
  </si>
  <si>
    <t>02-04-2023 05:15</t>
  </si>
  <si>
    <t>02-04-2023 05:30</t>
  </si>
  <si>
    <t>02-04-2023 05:45</t>
  </si>
  <si>
    <t>02-04-2023 06:00</t>
  </si>
  <si>
    <t>02-04-2023 06:15</t>
  </si>
  <si>
    <t>02-04-2023 06:30</t>
  </si>
  <si>
    <t>02-04-2023 06:45</t>
  </si>
  <si>
    <t>02-04-2023 07:00</t>
  </si>
  <si>
    <t>02-04-2023 07:15</t>
  </si>
  <si>
    <t>02-04-2023 07:30</t>
  </si>
  <si>
    <t>02-04-2023 07:45</t>
  </si>
  <si>
    <t>02-04-2023 08:00</t>
  </si>
  <si>
    <t>02-04-2023 08:15</t>
  </si>
  <si>
    <t>02-04-2023 08:30</t>
  </si>
  <si>
    <t>02-04-2023 08:45</t>
  </si>
  <si>
    <t>02-04-2023 09:00</t>
  </si>
  <si>
    <t>02-04-2023 09:15</t>
  </si>
  <si>
    <t>02-04-2023 09:30</t>
  </si>
  <si>
    <t>02-04-2023 09:45</t>
  </si>
  <si>
    <t>02-04-2023 10:00</t>
  </si>
  <si>
    <t>02-04-2023 10:15</t>
  </si>
  <si>
    <t>02-04-2023 10:30</t>
  </si>
  <si>
    <t>02-04-2023 10:45</t>
  </si>
  <si>
    <t>02-04-2023 11:00</t>
  </si>
  <si>
    <t>02-04-2023 11:15</t>
  </si>
  <si>
    <t>02-04-2023 11:30</t>
  </si>
  <si>
    <t>02-04-2023 11:45</t>
  </si>
  <si>
    <t>02-04-2023 12:00</t>
  </si>
  <si>
    <t>02-04-2023 12:15</t>
  </si>
  <si>
    <t>02-04-2023 12:30</t>
  </si>
  <si>
    <t>02-04-2023 12:45</t>
  </si>
  <si>
    <t>02-04-2023 13:00</t>
  </si>
  <si>
    <t>02-04-2023 13:15</t>
  </si>
  <si>
    <t>02-04-2023 13:30</t>
  </si>
  <si>
    <t>02-04-2023 13:45</t>
  </si>
  <si>
    <t>02-04-2023 14:00</t>
  </si>
  <si>
    <t>02-04-2023 14:15</t>
  </si>
  <si>
    <t>02-04-2023 14:30</t>
  </si>
  <si>
    <t>02-04-2023 14:45</t>
  </si>
  <si>
    <t>02-04-2023 15:00</t>
  </si>
  <si>
    <t>02-04-2023 15:15</t>
  </si>
  <si>
    <t>02-04-2023 15:30</t>
  </si>
  <si>
    <t>02-04-2023 15:45</t>
  </si>
  <si>
    <t>02-04-2023 16:00</t>
  </si>
  <si>
    <t>02-04-2023 16:15</t>
  </si>
  <si>
    <t>02-04-2023 16:30</t>
  </si>
  <si>
    <t>02-04-2023 16:45</t>
  </si>
  <si>
    <t>02-04-2023 17:00</t>
  </si>
  <si>
    <t>02-04-2023 17:15</t>
  </si>
  <si>
    <t>02-04-2023 17:30</t>
  </si>
  <si>
    <t>02-04-2023 17:45</t>
  </si>
  <si>
    <t>02-04-2023 18:00</t>
  </si>
  <si>
    <t>02-04-2023 18:15</t>
  </si>
  <si>
    <t>02-04-2023 18:30</t>
  </si>
  <si>
    <t>02-04-2023 18:45</t>
  </si>
  <si>
    <t>02-04-2023 19:00</t>
  </si>
  <si>
    <t>02-04-2023 19:15</t>
  </si>
  <si>
    <t>02-04-2023 19:30</t>
  </si>
  <si>
    <t>02-04-2023 19:45</t>
  </si>
  <si>
    <t>02-04-2023 20:00</t>
  </si>
  <si>
    <t>02-04-2023 20:15</t>
  </si>
  <si>
    <t>02-04-2023 20:30</t>
  </si>
  <si>
    <t>02-04-2023 20:45</t>
  </si>
  <si>
    <t>02-04-2023 21:00</t>
  </si>
  <si>
    <t>02-04-2023 21:15</t>
  </si>
  <si>
    <t>02-04-2023 21:30</t>
  </si>
  <si>
    <t>02-04-2023 21:45</t>
  </si>
  <si>
    <t>02-04-2023 22:00</t>
  </si>
  <si>
    <t>02-04-2023 22:15</t>
  </si>
  <si>
    <t>02-04-2023 22:30</t>
  </si>
  <si>
    <t>02-04-2023 22:45</t>
  </si>
  <si>
    <t>02-04-2023 23:00</t>
  </si>
  <si>
    <t>02-04-2023 23:15</t>
  </si>
  <si>
    <t>02-04-2023 23:30</t>
  </si>
  <si>
    <t>02-04-2023 23:45</t>
  </si>
  <si>
    <t>02-04-2023 24:00</t>
  </si>
  <si>
    <t>03-04-2023 00:15</t>
  </si>
  <si>
    <t>03-04-2023 00:30</t>
  </si>
  <si>
    <t>03-04-2023 00:45</t>
  </si>
  <si>
    <t>03-04-2023 01:00</t>
  </si>
  <si>
    <t>03-04-2023 01:15</t>
  </si>
  <si>
    <t>03-04-2023 01:30</t>
  </si>
  <si>
    <t>03-04-2023 01:45</t>
  </si>
  <si>
    <t>03-04-2023 02:00</t>
  </si>
  <si>
    <t>03-04-2023 02:15</t>
  </si>
  <si>
    <t>03-04-2023 02:30</t>
  </si>
  <si>
    <t>03-04-2023 02:45</t>
  </si>
  <si>
    <t>03-04-2023 03:00</t>
  </si>
  <si>
    <t>03-04-2023 03:15</t>
  </si>
  <si>
    <t>03-04-2023 03:30</t>
  </si>
  <si>
    <t>03-04-2023 03:45</t>
  </si>
  <si>
    <t>03-04-2023 04:00</t>
  </si>
  <si>
    <t>03-04-2023 04:15</t>
  </si>
  <si>
    <t>03-04-2023 04:30</t>
  </si>
  <si>
    <t>03-04-2023 04:45</t>
  </si>
  <si>
    <t>03-04-2023 05:00</t>
  </si>
  <si>
    <t>03-04-2023 05:15</t>
  </si>
  <si>
    <t>03-04-2023 05:30</t>
  </si>
  <si>
    <t>03-04-2023 05:45</t>
  </si>
  <si>
    <t>03-04-2023 06:00</t>
  </si>
  <si>
    <t>03-04-2023 06:15</t>
  </si>
  <si>
    <t>03-04-2023 06:30</t>
  </si>
  <si>
    <t>03-04-2023 06:45</t>
  </si>
  <si>
    <t>03-04-2023 07:00</t>
  </si>
  <si>
    <t>03-04-2023 07:15</t>
  </si>
  <si>
    <t>03-04-2023 07:30</t>
  </si>
  <si>
    <t>03-04-2023 07:45</t>
  </si>
  <si>
    <t>03-04-2023 08:00</t>
  </si>
  <si>
    <t>03-04-2023 08:15</t>
  </si>
  <si>
    <t>03-04-2023 08:30</t>
  </si>
  <si>
    <t>03-04-2023 08:45</t>
  </si>
  <si>
    <t>03-04-2023 09:00</t>
  </si>
  <si>
    <t>03-04-2023 09:15</t>
  </si>
  <si>
    <t>03-04-2023 09:30</t>
  </si>
  <si>
    <t>03-04-2023 09:45</t>
  </si>
  <si>
    <t>03-04-2023 10:00</t>
  </si>
  <si>
    <t>03-04-2023 10:15</t>
  </si>
  <si>
    <t>03-04-2023 10:30</t>
  </si>
  <si>
    <t>03-04-2023 10:45</t>
  </si>
  <si>
    <t>03-04-2023 11:00</t>
  </si>
  <si>
    <t>03-04-2023 11:15</t>
  </si>
  <si>
    <t>03-04-2023 11:30</t>
  </si>
  <si>
    <t>03-04-2023 11:45</t>
  </si>
  <si>
    <t>03-04-2023 12:00</t>
  </si>
  <si>
    <t>03-04-2023 12:15</t>
  </si>
  <si>
    <t>03-04-2023 12:30</t>
  </si>
  <si>
    <t>03-04-2023 12:45</t>
  </si>
  <si>
    <t>03-04-2023 13:00</t>
  </si>
  <si>
    <t>03-04-2023 13:15</t>
  </si>
  <si>
    <t>03-04-2023 13:30</t>
  </si>
  <si>
    <t>03-04-2023 13:45</t>
  </si>
  <si>
    <t>03-04-2023 14:00</t>
  </si>
  <si>
    <t>03-04-2023 14:15</t>
  </si>
  <si>
    <t>03-04-2023 14:30</t>
  </si>
  <si>
    <t>03-04-2023 14:45</t>
  </si>
  <si>
    <t>03-04-2023 15:00</t>
  </si>
  <si>
    <t>03-04-2023 15:15</t>
  </si>
  <si>
    <t>03-04-2023 15:30</t>
  </si>
  <si>
    <t>03-04-2023 15:45</t>
  </si>
  <si>
    <t>03-04-2023 16:00</t>
  </si>
  <si>
    <t>03-04-2023 16:15</t>
  </si>
  <si>
    <t>03-04-2023 16:30</t>
  </si>
  <si>
    <t>03-04-2023 16:45</t>
  </si>
  <si>
    <t>03-04-2023 17:00</t>
  </si>
  <si>
    <t>03-04-2023 17:15</t>
  </si>
  <si>
    <t>03-04-2023 17:30</t>
  </si>
  <si>
    <t>03-04-2023 17:45</t>
  </si>
  <si>
    <t>03-04-2023 18:00</t>
  </si>
  <si>
    <t>03-04-2023 18:15</t>
  </si>
  <si>
    <t>03-04-2023 18:30</t>
  </si>
  <si>
    <t>03-04-2023 18:45</t>
  </si>
  <si>
    <t>03-04-2023 19:00</t>
  </si>
  <si>
    <t>03-04-2023 19:15</t>
  </si>
  <si>
    <t>03-04-2023 19:30</t>
  </si>
  <si>
    <t>03-04-2023 19:45</t>
  </si>
  <si>
    <t>03-04-2023 20:00</t>
  </si>
  <si>
    <t>03-04-2023 20:15</t>
  </si>
  <si>
    <t>03-04-2023 20:30</t>
  </si>
  <si>
    <t>03-04-2023 20:45</t>
  </si>
  <si>
    <t>03-04-2023 21:00</t>
  </si>
  <si>
    <t>03-04-2023 21:15</t>
  </si>
  <si>
    <t>03-04-2023 21:30</t>
  </si>
  <si>
    <t>03-04-2023 21:45</t>
  </si>
  <si>
    <t>03-04-2023 22:00</t>
  </si>
  <si>
    <t>03-04-2023 22:15</t>
  </si>
  <si>
    <t>03-04-2023 22:30</t>
  </si>
  <si>
    <t>03-04-2023 22:45</t>
  </si>
  <si>
    <t>03-04-2023 23:00</t>
  </si>
  <si>
    <t>03-04-2023 23:15</t>
  </si>
  <si>
    <t>03-04-2023 23:30</t>
  </si>
  <si>
    <t>03-04-2023 23:45</t>
  </si>
  <si>
    <t>03-04-2023 24:00</t>
  </si>
  <si>
    <t>04-04-2023 00:15</t>
  </si>
  <si>
    <t>04-04-2023 00:30</t>
  </si>
  <si>
    <t>04-04-2023 00:45</t>
  </si>
  <si>
    <t>04-04-2023 01:00</t>
  </si>
  <si>
    <t>04-04-2023 01:15</t>
  </si>
  <si>
    <t>04-04-2023 01:30</t>
  </si>
  <si>
    <t>04-04-2023 01:45</t>
  </si>
  <si>
    <t>04-04-2023 02:00</t>
  </si>
  <si>
    <t>04-04-2023 02:15</t>
  </si>
  <si>
    <t>04-04-2023 02:30</t>
  </si>
  <si>
    <t>04-04-2023 02:45</t>
  </si>
  <si>
    <t>04-04-2023 03:00</t>
  </si>
  <si>
    <t>04-04-2023 03:15</t>
  </si>
  <si>
    <t>04-04-2023 03:30</t>
  </si>
  <si>
    <t>04-04-2023 03:45</t>
  </si>
  <si>
    <t>04-04-2023 04:00</t>
  </si>
  <si>
    <t>04-04-2023 04:15</t>
  </si>
  <si>
    <t>04-04-2023 04:30</t>
  </si>
  <si>
    <t>04-04-2023 04:45</t>
  </si>
  <si>
    <t>04-04-2023 05:00</t>
  </si>
  <si>
    <t>04-04-2023 05:15</t>
  </si>
  <si>
    <t>04-04-2023 05:30</t>
  </si>
  <si>
    <t>04-04-2023 05:45</t>
  </si>
  <si>
    <t>04-04-2023 06:00</t>
  </si>
  <si>
    <t>04-04-2023 06:15</t>
  </si>
  <si>
    <t>04-04-2023 06:30</t>
  </si>
  <si>
    <t>04-04-2023 06:45</t>
  </si>
  <si>
    <t>04-04-2023 07:00</t>
  </si>
  <si>
    <t>04-04-2023 07:15</t>
  </si>
  <si>
    <t>04-04-2023 07:30</t>
  </si>
  <si>
    <t>04-04-2023 07:45</t>
  </si>
  <si>
    <t>04-04-2023 08:00</t>
  </si>
  <si>
    <t>04-04-2023 08:15</t>
  </si>
  <si>
    <t>04-04-2023 08:30</t>
  </si>
  <si>
    <t>04-04-2023 08:45</t>
  </si>
  <si>
    <t>04-04-2023 09:00</t>
  </si>
  <si>
    <t>04-04-2023 09:15</t>
  </si>
  <si>
    <t>04-04-2023 09:30</t>
  </si>
  <si>
    <t>04-04-2023 09:45</t>
  </si>
  <si>
    <t>04-04-2023 10:00</t>
  </si>
  <si>
    <t>04-04-2023 10:15</t>
  </si>
  <si>
    <t>04-04-2023 10:30</t>
  </si>
  <si>
    <t>04-04-2023 10:45</t>
  </si>
  <si>
    <t>04-04-2023 11:00</t>
  </si>
  <si>
    <t>04-04-2023 11:15</t>
  </si>
  <si>
    <t>04-04-2023 11:30</t>
  </si>
  <si>
    <t>04-04-2023 11:45</t>
  </si>
  <si>
    <t>04-04-2023 12:00</t>
  </si>
  <si>
    <t>04-04-2023 12:15</t>
  </si>
  <si>
    <t>04-04-2023 12:30</t>
  </si>
  <si>
    <t>04-04-2023 12:45</t>
  </si>
  <si>
    <t>04-04-2023 13:00</t>
  </si>
  <si>
    <t>04-04-2023 13:15</t>
  </si>
  <si>
    <t>04-04-2023 13:30</t>
  </si>
  <si>
    <t>04-04-2023 13:45</t>
  </si>
  <si>
    <t>04-04-2023 14:00</t>
  </si>
  <si>
    <t>04-04-2023 14:15</t>
  </si>
  <si>
    <t>04-04-2023 14:30</t>
  </si>
  <si>
    <t>04-04-2023 14:45</t>
  </si>
  <si>
    <t>04-04-2023 15:00</t>
  </si>
  <si>
    <t>04-04-2023 15:15</t>
  </si>
  <si>
    <t>04-04-2023 15:30</t>
  </si>
  <si>
    <t>04-04-2023 15:45</t>
  </si>
  <si>
    <t>04-04-2023 16:00</t>
  </si>
  <si>
    <t>04-04-2023 16:15</t>
  </si>
  <si>
    <t>04-04-2023 16:30</t>
  </si>
  <si>
    <t>04-04-2023 16:45</t>
  </si>
  <si>
    <t>04-04-2023 17:00</t>
  </si>
  <si>
    <t>04-04-2023 17:15</t>
  </si>
  <si>
    <t>04-04-2023 17:30</t>
  </si>
  <si>
    <t>04-04-2023 17:45</t>
  </si>
  <si>
    <t>04-04-2023 18:00</t>
  </si>
  <si>
    <t>04-04-2023 18:15</t>
  </si>
  <si>
    <t>04-04-2023 18:30</t>
  </si>
  <si>
    <t>04-04-2023 18:45</t>
  </si>
  <si>
    <t>04-04-2023 19:00</t>
  </si>
  <si>
    <t>04-04-2023 19:15</t>
  </si>
  <si>
    <t>04-04-2023 19:30</t>
  </si>
  <si>
    <t>04-04-2023 19:45</t>
  </si>
  <si>
    <t>04-04-2023 20:00</t>
  </si>
  <si>
    <t>04-04-2023 20:15</t>
  </si>
  <si>
    <t>04-04-2023 20:30</t>
  </si>
  <si>
    <t>04-04-2023 20:45</t>
  </si>
  <si>
    <t>04-04-2023 21:00</t>
  </si>
  <si>
    <t>04-04-2023 21:15</t>
  </si>
  <si>
    <t>04-04-2023 21:30</t>
  </si>
  <si>
    <t>04-04-2023 21:45</t>
  </si>
  <si>
    <t>04-04-2023 22:00</t>
  </si>
  <si>
    <t>04-04-2023 22:15</t>
  </si>
  <si>
    <t>04-04-2023 22:30</t>
  </si>
  <si>
    <t>04-04-2023 22:45</t>
  </si>
  <si>
    <t>04-04-2023 23:00</t>
  </si>
  <si>
    <t>04-04-2023 23:15</t>
  </si>
  <si>
    <t>04-04-2023 23:30</t>
  </si>
  <si>
    <t>04-04-2023 23:45</t>
  </si>
  <si>
    <t>04-04-2023 24:00</t>
  </si>
  <si>
    <t>pm2.5</t>
  </si>
  <si>
    <t>03/04/203 10:59</t>
  </si>
  <si>
    <t>05-04-2023 00:15</t>
  </si>
  <si>
    <t>05-04-2023 00:30</t>
  </si>
  <si>
    <t>05-04-2023 00:45</t>
  </si>
  <si>
    <t>05-04-2023 01:00</t>
  </si>
  <si>
    <t>05-04-2023 01:15</t>
  </si>
  <si>
    <t>05-04-2023 01:30</t>
  </si>
  <si>
    <t>05-04-2023 01:45</t>
  </si>
  <si>
    <t>05-04-2023 02:00</t>
  </si>
  <si>
    <t>05-04-2023 02:15</t>
  </si>
  <si>
    <t>05-04-2023 02:30</t>
  </si>
  <si>
    <t>05-04-2023 02:45</t>
  </si>
  <si>
    <t>05-04-2023 03:00</t>
  </si>
  <si>
    <t>05-04-2023 03:15</t>
  </si>
  <si>
    <t>05-04-2023 03:30</t>
  </si>
  <si>
    <t>05-04-2023 03:45</t>
  </si>
  <si>
    <t>05-04-2023 04:00</t>
  </si>
  <si>
    <t>05-04-2023 04:15</t>
  </si>
  <si>
    <t>05-04-2023 04:30</t>
  </si>
  <si>
    <t>05-04-2023 04:45</t>
  </si>
  <si>
    <t>05-04-2023 05:00</t>
  </si>
  <si>
    <t>05-04-2023 05:15</t>
  </si>
  <si>
    <t>05-04-2023 05:30</t>
  </si>
  <si>
    <t>05-04-2023 05:45</t>
  </si>
  <si>
    <t>05-04-2023 06:00</t>
  </si>
  <si>
    <t>05-04-2023 06:15</t>
  </si>
  <si>
    <t>05-04-2023 06:30</t>
  </si>
  <si>
    <t>05-04-2023 06:45</t>
  </si>
  <si>
    <t>05-04-2023 07:00</t>
  </si>
  <si>
    <t>05-04-2023 07:15</t>
  </si>
  <si>
    <t>05-04-2023 07:30</t>
  </si>
  <si>
    <t>05-04-2023 07:45</t>
  </si>
  <si>
    <t>05-04-2023 08:00</t>
  </si>
  <si>
    <t>05-04-2023 08:15</t>
  </si>
  <si>
    <t>05-04-2023 08:30</t>
  </si>
  <si>
    <t>05-04-2023 08:45</t>
  </si>
  <si>
    <t>05-04-2023 09:00</t>
  </si>
  <si>
    <t>05-04-2023 09:15</t>
  </si>
  <si>
    <t>05-04-2023 09:30</t>
  </si>
  <si>
    <t>05-04-2023 09:45</t>
  </si>
  <si>
    <t>05-04-2023 10:00</t>
  </si>
  <si>
    <t>05-04-2023 10:15</t>
  </si>
  <si>
    <t>05-04-2023 10:30</t>
  </si>
  <si>
    <t>05-04-2023 10:45</t>
  </si>
  <si>
    <t>05-04-2023 11:00</t>
  </si>
  <si>
    <t>05-04-2023 11:15</t>
  </si>
  <si>
    <t>05-04-2023 11:30</t>
  </si>
  <si>
    <t>05-04-2023 11:45</t>
  </si>
  <si>
    <t>05-04-2023 12:00</t>
  </si>
  <si>
    <t>05-04-2023 12:15</t>
  </si>
  <si>
    <t>05-04-2023 12:30</t>
  </si>
  <si>
    <t>05-04-2023 12:45</t>
  </si>
  <si>
    <t>05-04-2023 13:00</t>
  </si>
  <si>
    <t>05-04-2023 13:15</t>
  </si>
  <si>
    <t>05-04-2023 13:30</t>
  </si>
  <si>
    <t>05-04-2023 13:45</t>
  </si>
  <si>
    <t>05-04-2023 14:00</t>
  </si>
  <si>
    <t>05-04-2023 14:15</t>
  </si>
  <si>
    <t>05-04-2023 14:30</t>
  </si>
  <si>
    <t>05-04-2023 14:45</t>
  </si>
  <si>
    <t>05-04-2023 15:00</t>
  </si>
  <si>
    <t>05-04-2023 15:15</t>
  </si>
  <si>
    <t>05-04-2023 15:30</t>
  </si>
  <si>
    <t>05-04-2023 15:45</t>
  </si>
  <si>
    <t>05-04-2023 16:00</t>
  </si>
  <si>
    <t>05-04-2023 16:15</t>
  </si>
  <si>
    <t>05-04-2023 16:30</t>
  </si>
  <si>
    <t>05-04-2023 16:45</t>
  </si>
  <si>
    <t>05-04-2023 17:00</t>
  </si>
  <si>
    <t>05-04-2023 17:15</t>
  </si>
  <si>
    <t>05-04-2023 17:30</t>
  </si>
  <si>
    <t>05-04-2023 17:45</t>
  </si>
  <si>
    <t>05-04-2023 18:00</t>
  </si>
  <si>
    <t>05-04-2023 18:15</t>
  </si>
  <si>
    <t>05-04-2023 18:30</t>
  </si>
  <si>
    <t>05-04-2023 18:45</t>
  </si>
  <si>
    <t>05-04-2023 19:00</t>
  </si>
  <si>
    <t>05-04-2023 19:15</t>
  </si>
  <si>
    <t>05-04-2023 19:30</t>
  </si>
  <si>
    <t>05-04-2023 19:45</t>
  </si>
  <si>
    <t>05-04-2023 20:00</t>
  </si>
  <si>
    <t>05-04-2023 20:15</t>
  </si>
  <si>
    <t>05-04-2023 20:30</t>
  </si>
  <si>
    <t>05-04-2023 20:45</t>
  </si>
  <si>
    <t>05-04-2023 21:00</t>
  </si>
  <si>
    <t>05-04-2023 21:15</t>
  </si>
  <si>
    <t>05-04-2023 21:30</t>
  </si>
  <si>
    <t>05-04-2023 21:45</t>
  </si>
  <si>
    <t>05-04-2023 22:00</t>
  </si>
  <si>
    <t>05-04-2023 22:15</t>
  </si>
  <si>
    <t>05-04-2023 22:30</t>
  </si>
  <si>
    <t>05-04-2023 22:45</t>
  </si>
  <si>
    <t>05-04-2023 23:00</t>
  </si>
  <si>
    <t>05-04-2023 23:15</t>
  </si>
  <si>
    <t>05-04-2023 23:30</t>
  </si>
  <si>
    <t>05-04-2023 23:45</t>
  </si>
  <si>
    <t>05-04-2023 24:00</t>
  </si>
  <si>
    <t>06-04-2023 00:15</t>
  </si>
  <si>
    <t>06-04-2023 00:30</t>
  </si>
  <si>
    <t>06-04-2023 00:45</t>
  </si>
  <si>
    <t>06-04-2023 01:00</t>
  </si>
  <si>
    <t>06-04-2023 01:15</t>
  </si>
  <si>
    <t>06-04-2023 01:30</t>
  </si>
  <si>
    <t>06-04-2023 01:45</t>
  </si>
  <si>
    <t>06-04-2023 02:00</t>
  </si>
  <si>
    <t>06-04-2023 02:15</t>
  </si>
  <si>
    <t>06-04-2023 02:30</t>
  </si>
  <si>
    <t>06-04-2023 02:45</t>
  </si>
  <si>
    <t>06-04-2023 03:00</t>
  </si>
  <si>
    <t>06-04-2023 03:15</t>
  </si>
  <si>
    <t>06-04-2023 03:30</t>
  </si>
  <si>
    <t>06-04-2023 03:45</t>
  </si>
  <si>
    <t>06-04-2023 04:00</t>
  </si>
  <si>
    <t>06-04-2023 04:15</t>
  </si>
  <si>
    <t>06-04-2023 04:30</t>
  </si>
  <si>
    <t>06-04-2023 04:45</t>
  </si>
  <si>
    <t>06-04-2023 05:00</t>
  </si>
  <si>
    <t>06-04-2023 05:15</t>
  </si>
  <si>
    <t>06-04-2023 05:30</t>
  </si>
  <si>
    <t>06-04-2023 05:45</t>
  </si>
  <si>
    <t>06-04-2023 06:00</t>
  </si>
  <si>
    <t>06-04-2023 06:15</t>
  </si>
  <si>
    <t>06-04-2023 06:30</t>
  </si>
  <si>
    <t>06-04-2023 06:45</t>
  </si>
  <si>
    <t>06-04-2023 07:00</t>
  </si>
  <si>
    <t>06-04-2023 07:15</t>
  </si>
  <si>
    <t>06-04-2023 07:30</t>
  </si>
  <si>
    <t>06-04-2023 07:45</t>
  </si>
  <si>
    <t>06-04-2023 08:00</t>
  </si>
  <si>
    <t>06-04-2023 08:15</t>
  </si>
  <si>
    <t>06-04-2023 08:30</t>
  </si>
  <si>
    <t>06-04-2023 08:45</t>
  </si>
  <si>
    <t>06-04-2023 09:00</t>
  </si>
  <si>
    <t>06-04-2023 09:15</t>
  </si>
  <si>
    <t>06-04-2023 09:30</t>
  </si>
  <si>
    <t>06-04-2023 09:45</t>
  </si>
  <si>
    <t>06-04-2023 10:00</t>
  </si>
  <si>
    <t>06-04-2023 10:15</t>
  </si>
  <si>
    <t>06-04-2023 10:30</t>
  </si>
  <si>
    <t>06-04-2023 10:45</t>
  </si>
  <si>
    <t>06-04-2023 11:00</t>
  </si>
  <si>
    <t>06-04-2023 11:15</t>
  </si>
  <si>
    <t>06-04-2023 11:30</t>
  </si>
  <si>
    <t>06-04-2023 11:45</t>
  </si>
  <si>
    <t>06-04-2023 12:00</t>
  </si>
  <si>
    <t>06-04-2023 12:15</t>
  </si>
  <si>
    <t>06-04-2023 12:30</t>
  </si>
  <si>
    <t>06-04-2023 12:45</t>
  </si>
  <si>
    <t>06-04-2023 13:00</t>
  </si>
  <si>
    <t>06-04-2023 13:15</t>
  </si>
  <si>
    <t>06-04-2023 13:30</t>
  </si>
  <si>
    <t>06-04-2023 13:45</t>
  </si>
  <si>
    <t>06-04-2023 14:00</t>
  </si>
  <si>
    <t>06-04-2023 14:15</t>
  </si>
  <si>
    <t>06-04-2023 14:30</t>
  </si>
  <si>
    <t>06-04-2023 14:45</t>
  </si>
  <si>
    <t>06-04-2023 15:00</t>
  </si>
  <si>
    <t>06-04-2023 15:15</t>
  </si>
  <si>
    <t>06-04-2023 15:30</t>
  </si>
  <si>
    <t>06-04-2023 15:45</t>
  </si>
  <si>
    <t>06-04-2023 16:00</t>
  </si>
  <si>
    <t>06-04-2023 16:15</t>
  </si>
  <si>
    <t>06-04-2023 16:30</t>
  </si>
  <si>
    <t>06-04-2023 16:45</t>
  </si>
  <si>
    <t>06-04-2023 17:00</t>
  </si>
  <si>
    <t>06-04-2023 17:15</t>
  </si>
  <si>
    <t>06-04-2023 17:30</t>
  </si>
  <si>
    <t>06-04-2023 17:45</t>
  </si>
  <si>
    <t>06-04-2023 18:00</t>
  </si>
  <si>
    <t>06-04-2023 18:15</t>
  </si>
  <si>
    <t>06-04-2023 18:30</t>
  </si>
  <si>
    <t>06-04-2023 18:45</t>
  </si>
  <si>
    <t>06-04-2023 19:00</t>
  </si>
  <si>
    <t>06-04-2023 19:15</t>
  </si>
  <si>
    <t>06-04-2023 19:30</t>
  </si>
  <si>
    <t>06-04-2023 19:45</t>
  </si>
  <si>
    <t>06-04-2023 20:00</t>
  </si>
  <si>
    <t>06-04-2023 20:15</t>
  </si>
  <si>
    <t>06-04-2023 20:30</t>
  </si>
  <si>
    <t>06-04-2023 20:45</t>
  </si>
  <si>
    <t>06-04-2023 21:00</t>
  </si>
  <si>
    <t>06-04-2023 21:15</t>
  </si>
  <si>
    <t>06-04-2023 21:30</t>
  </si>
  <si>
    <t>06-04-2023 21:45</t>
  </si>
  <si>
    <t>06-04-2023 22:00</t>
  </si>
  <si>
    <t>06-04-2023 22:15</t>
  </si>
  <si>
    <t>06-04-2023 22:30</t>
  </si>
  <si>
    <t>06-04-2023 22:45</t>
  </si>
  <si>
    <t>06-04-2023 23:00</t>
  </si>
  <si>
    <t>06-04-2023 23:15</t>
  </si>
  <si>
    <t>06-04-2023 23:30</t>
  </si>
  <si>
    <t>06-04-2023 23:45</t>
  </si>
  <si>
    <t>06-04-2023 24:00</t>
  </si>
  <si>
    <t>07-04-2023 00:15</t>
  </si>
  <si>
    <t>07-04-2023 00:30</t>
  </si>
  <si>
    <t>07-04-2023 00:45</t>
  </si>
  <si>
    <t>07-04-2023 01:00</t>
  </si>
  <si>
    <t>07-04-2023 01:15</t>
  </si>
  <si>
    <t>07-04-2023 01:30</t>
  </si>
  <si>
    <t>07-04-2023 01:45</t>
  </si>
  <si>
    <t>07-04-2023 02:00</t>
  </si>
  <si>
    <t>07-04-2023 02:15</t>
  </si>
  <si>
    <t>07-04-2023 02:30</t>
  </si>
  <si>
    <t>07-04-2023 02:45</t>
  </si>
  <si>
    <t>07-04-2023 03:00</t>
  </si>
  <si>
    <t>07-04-2023 03:15</t>
  </si>
  <si>
    <t>07-04-2023 03:30</t>
  </si>
  <si>
    <t>07-04-2023 03:45</t>
  </si>
  <si>
    <t>07-04-2023 04:00</t>
  </si>
  <si>
    <t>07-04-2023 04:15</t>
  </si>
  <si>
    <t>07-04-2023 04:30</t>
  </si>
  <si>
    <t>07-04-2023 04:45</t>
  </si>
  <si>
    <t>07-04-2023 05:00</t>
  </si>
  <si>
    <t>07-04-2023 05:15</t>
  </si>
  <si>
    <t>07-04-2023 05:30</t>
  </si>
  <si>
    <t>07-04-2023 05:45</t>
  </si>
  <si>
    <t>07-04-2023 06:00</t>
  </si>
  <si>
    <t>07-04-2023 06:15</t>
  </si>
  <si>
    <t>07-04-2023 06:30</t>
  </si>
  <si>
    <t>07-04-2023 06:45</t>
  </si>
  <si>
    <t>07-04-2023 07:00</t>
  </si>
  <si>
    <t>07-04-2023 07:15</t>
  </si>
  <si>
    <t>07-04-2023 07:30</t>
  </si>
  <si>
    <t>07-04-2023 07:45</t>
  </si>
  <si>
    <t>07-04-2023 08:00</t>
  </si>
  <si>
    <t>07-04-2023 08:15</t>
  </si>
  <si>
    <t>07-04-2023 08:30</t>
  </si>
  <si>
    <t>07-04-2023 08:45</t>
  </si>
  <si>
    <t>07-04-2023 09:00</t>
  </si>
  <si>
    <t>07-04-2023 09:15</t>
  </si>
  <si>
    <t>07-04-2023 09:30</t>
  </si>
  <si>
    <t>07-04-2023 09:45</t>
  </si>
  <si>
    <t>07-04-2023 10:00</t>
  </si>
  <si>
    <t>07-04-2023 10:15</t>
  </si>
  <si>
    <t>07-04-2023 10:30</t>
  </si>
  <si>
    <t>07-04-2023 10:45</t>
  </si>
  <si>
    <t>07-04-2023 11:00</t>
  </si>
  <si>
    <t>07-04-2023 11:15</t>
  </si>
  <si>
    <t>07-04-2023 11:30</t>
  </si>
  <si>
    <t>07-04-2023 11:45</t>
  </si>
  <si>
    <t>07-04-2023 12:00</t>
  </si>
  <si>
    <t>07-04-2023 12:15</t>
  </si>
  <si>
    <t>07-04-2023 12:30</t>
  </si>
  <si>
    <t>07-04-2023 12:45</t>
  </si>
  <si>
    <t>07-04-2023 13:00</t>
  </si>
  <si>
    <t>07-04-2023 13:15</t>
  </si>
  <si>
    <t>07-04-2023 13:30</t>
  </si>
  <si>
    <t>07-04-2023 13:45</t>
  </si>
  <si>
    <t>07-04-2023 14:00</t>
  </si>
  <si>
    <t>07-04-2023 14:15</t>
  </si>
  <si>
    <t>07-04-2023 14:30</t>
  </si>
  <si>
    <t>07-04-2023 14:45</t>
  </si>
  <si>
    <t>07-04-2023 15:00</t>
  </si>
  <si>
    <t>07-04-2023 15:15</t>
  </si>
  <si>
    <t>07-04-2023 15:30</t>
  </si>
  <si>
    <t>07-04-2023 15:45</t>
  </si>
  <si>
    <t>07-04-2023 16:00</t>
  </si>
  <si>
    <t>07-04-2023 16:15</t>
  </si>
  <si>
    <t>07-04-2023 16:30</t>
  </si>
  <si>
    <t>07-04-2023 16:45</t>
  </si>
  <si>
    <t>07-04-2023 17:00</t>
  </si>
  <si>
    <t>07-04-2023 17:15</t>
  </si>
  <si>
    <t>07-04-2023 17:30</t>
  </si>
  <si>
    <t>07-04-2023 17:45</t>
  </si>
  <si>
    <t>07-04-2023 18:00</t>
  </si>
  <si>
    <t>07-04-2023 18:15</t>
  </si>
  <si>
    <t>07-04-2023 18:30</t>
  </si>
  <si>
    <t>07-04-2023 18:45</t>
  </si>
  <si>
    <t>07-04-2023 19:00</t>
  </si>
  <si>
    <t>07-04-2023 19:15</t>
  </si>
  <si>
    <t>07-04-2023 19:30</t>
  </si>
  <si>
    <t>07-04-2023 19:45</t>
  </si>
  <si>
    <t>07-04-2023 20:00</t>
  </si>
  <si>
    <t>07-04-2023 20:15</t>
  </si>
  <si>
    <t>07-04-2023 20:30</t>
  </si>
  <si>
    <t>07-04-2023 20:45</t>
  </si>
  <si>
    <t>07-04-2023 21:00</t>
  </si>
  <si>
    <t>07-04-2023 21:15</t>
  </si>
  <si>
    <t>07-04-2023 21:30</t>
  </si>
  <si>
    <t>07-04-2023 21:45</t>
  </si>
  <si>
    <t>07-04-2023 22:00</t>
  </si>
  <si>
    <t>07-04-2023 22:15</t>
  </si>
  <si>
    <t>07-04-2023 22:30</t>
  </si>
  <si>
    <t>07-04-2023 22:45</t>
  </si>
  <si>
    <t>07-04-2023 23:00</t>
  </si>
  <si>
    <t>07-04-2023 23:15</t>
  </si>
  <si>
    <t>07-04-2023 23:30</t>
  </si>
  <si>
    <t>07-04-2023 23:45</t>
  </si>
  <si>
    <t>07-04-2023 24:00</t>
  </si>
  <si>
    <t>08-04-2023 00:15</t>
  </si>
  <si>
    <t>08-04-2023 00:30</t>
  </si>
  <si>
    <t>08-04-2023 00:45</t>
  </si>
  <si>
    <t>08-04-2023 01:00</t>
  </si>
  <si>
    <t>08-04-2023 01:15</t>
  </si>
  <si>
    <t>08-04-2023 01:30</t>
  </si>
  <si>
    <t>08-04-2023 01:45</t>
  </si>
  <si>
    <t>08-04-2023 02:00</t>
  </si>
  <si>
    <t>08-04-2023 02:15</t>
  </si>
  <si>
    <t>08-04-2023 02:30</t>
  </si>
  <si>
    <t>08-04-2023 02:45</t>
  </si>
  <si>
    <t>08-04-2023 03:00</t>
  </si>
  <si>
    <t>08-04-2023 03:15</t>
  </si>
  <si>
    <t>08-04-2023 03:30</t>
  </si>
  <si>
    <t>08-04-2023 03:45</t>
  </si>
  <si>
    <t>08-04-2023 04:00</t>
  </si>
  <si>
    <t>08-04-2023 04:15</t>
  </si>
  <si>
    <t>08-04-2023 04:30</t>
  </si>
  <si>
    <t>08-04-2023 04:45</t>
  </si>
  <si>
    <t>08-04-2023 05:00</t>
  </si>
  <si>
    <t>08-04-2023 05:15</t>
  </si>
  <si>
    <t>08-04-2023 05:30</t>
  </si>
  <si>
    <t>08-04-2023 05:45</t>
  </si>
  <si>
    <t>08-04-2023 06:00</t>
  </si>
  <si>
    <t>08-04-2023 06:15</t>
  </si>
  <si>
    <t>08-04-2023 06:30</t>
  </si>
  <si>
    <t>08-04-2023 06:45</t>
  </si>
  <si>
    <t>08-04-2023 07:00</t>
  </si>
  <si>
    <t>08-04-2023 07:15</t>
  </si>
  <si>
    <t>08-04-2023 07:30</t>
  </si>
  <si>
    <t>08-04-2023 07:45</t>
  </si>
  <si>
    <t>08-04-2023 08:00</t>
  </si>
  <si>
    <t>08-04-2023 08:15</t>
  </si>
  <si>
    <t>08-04-2023 08:30</t>
  </si>
  <si>
    <t>08-04-2023 08:45</t>
  </si>
  <si>
    <t>08-04-2023 09:00</t>
  </si>
  <si>
    <t>08-04-2023 09:15</t>
  </si>
  <si>
    <t>08-04-2023 09:30</t>
  </si>
  <si>
    <t>08-04-2023 09:45</t>
  </si>
  <si>
    <t>08-04-2023 10:00</t>
  </si>
  <si>
    <t>08-04-2023 10:15</t>
  </si>
  <si>
    <t>08-04-2023 10:30</t>
  </si>
  <si>
    <t>08-04-2023 10:45</t>
  </si>
  <si>
    <t>08-04-2023 11:00</t>
  </si>
  <si>
    <t>08-04-2023 11:15</t>
  </si>
  <si>
    <t>08-04-2023 11:30</t>
  </si>
  <si>
    <t>08-04-2023 11:45</t>
  </si>
  <si>
    <t>08-04-2023 12:00</t>
  </si>
  <si>
    <t>08-04-2023 12:15</t>
  </si>
  <si>
    <t>08-04-2023 12:30</t>
  </si>
  <si>
    <t>08-04-2023 12:45</t>
  </si>
  <si>
    <t>08-04-2023 13:00</t>
  </si>
  <si>
    <t>08-04-2023 13:15</t>
  </si>
  <si>
    <t>08-04-2023 13:30</t>
  </si>
  <si>
    <t>08-04-2023 13:45</t>
  </si>
  <si>
    <t>08-04-2023 14:00</t>
  </si>
  <si>
    <t>08-04-2023 14:15</t>
  </si>
  <si>
    <t>08-04-2023 14:30</t>
  </si>
  <si>
    <t>08-04-2023 14:45</t>
  </si>
  <si>
    <t>08-04-2023 15:00</t>
  </si>
  <si>
    <t>08-04-2023 15:15</t>
  </si>
  <si>
    <t>08-04-2023 15:30</t>
  </si>
  <si>
    <t>08-04-2023 15:45</t>
  </si>
  <si>
    <t>08-04-2023 16:00</t>
  </si>
  <si>
    <t>08-04-2023 16:15</t>
  </si>
  <si>
    <t>08-04-2023 16:30</t>
  </si>
  <si>
    <t>08-04-2023 16:45</t>
  </si>
  <si>
    <t>08-04-2023 17:00</t>
  </si>
  <si>
    <t>08-04-2023 17:15</t>
  </si>
  <si>
    <t>08-04-2023 17:30</t>
  </si>
  <si>
    <t>08-04-2023 17:45</t>
  </si>
  <si>
    <t>08-04-2023 18:00</t>
  </si>
  <si>
    <t>08-04-2023 18:15</t>
  </si>
  <si>
    <t>08-04-2023 18:30</t>
  </si>
  <si>
    <t>08-04-2023 18:45</t>
  </si>
  <si>
    <t>08-04-2023 19:00</t>
  </si>
  <si>
    <t>08-04-2023 19:15</t>
  </si>
  <si>
    <t>08-04-2023 19:30</t>
  </si>
  <si>
    <t>08-04-2023 19:45</t>
  </si>
  <si>
    <t>08-04-2023 20:00</t>
  </si>
  <si>
    <t>08-04-2023 20:15</t>
  </si>
  <si>
    <t>08-04-2023 20:30</t>
  </si>
  <si>
    <t>08-04-2023 20:45</t>
  </si>
  <si>
    <t>08-04-2023 21:00</t>
  </si>
  <si>
    <t>08-04-2023 21:15</t>
  </si>
  <si>
    <t>08-04-2023 21:30</t>
  </si>
  <si>
    <t>08-04-2023 21:45</t>
  </si>
  <si>
    <t>08-04-2023 22:00</t>
  </si>
  <si>
    <t>08-04-2023 22:15</t>
  </si>
  <si>
    <t>08-04-2023 22:30</t>
  </si>
  <si>
    <t>08-04-2023 22:45</t>
  </si>
  <si>
    <t>08-04-2023 23:00</t>
  </si>
  <si>
    <t>08-04-2023 23:15</t>
  </si>
  <si>
    <t>08-04-2023 23:30</t>
  </si>
  <si>
    <t>08-04-2023 23:45</t>
  </si>
  <si>
    <t>08-04-2023 24:00</t>
  </si>
  <si>
    <t>09-04-2023 00:15</t>
  </si>
  <si>
    <t>09-04-2023 00:30</t>
  </si>
  <si>
    <t>09-04-2023 00:45</t>
  </si>
  <si>
    <t>09-04-2023 01:00</t>
  </si>
  <si>
    <t>09-04-2023 01:15</t>
  </si>
  <si>
    <t>09-04-2023 01:30</t>
  </si>
  <si>
    <t>09-04-2023 01:45</t>
  </si>
  <si>
    <t>09-04-2023 02:00</t>
  </si>
  <si>
    <t>09-04-2023 02:15</t>
  </si>
  <si>
    <t>09-04-2023 02:30</t>
  </si>
  <si>
    <t>09-04-2023 02:45</t>
  </si>
  <si>
    <t>09-04-2023 03:00</t>
  </si>
  <si>
    <t>09-04-2023 03:15</t>
  </si>
  <si>
    <t>09-04-2023 03:30</t>
  </si>
  <si>
    <t>09-04-2023 03:45</t>
  </si>
  <si>
    <t>09-04-2023 04:00</t>
  </si>
  <si>
    <t>09-04-2023 04:15</t>
  </si>
  <si>
    <t>09-04-2023 04:30</t>
  </si>
  <si>
    <t>09-04-2023 04:45</t>
  </si>
  <si>
    <t>09-04-2023 05:00</t>
  </si>
  <si>
    <t>09-04-2023 05:15</t>
  </si>
  <si>
    <t>09-04-2023 05:30</t>
  </si>
  <si>
    <t>09-04-2023 05:45</t>
  </si>
  <si>
    <t>09-04-2023 06:00</t>
  </si>
  <si>
    <t>09-04-2023 06:15</t>
  </si>
  <si>
    <t>09-04-2023 06:30</t>
  </si>
  <si>
    <t>09-04-2023 06:45</t>
  </si>
  <si>
    <t>09-04-2023 07:00</t>
  </si>
  <si>
    <t>09-04-2023 07:15</t>
  </si>
  <si>
    <t>09-04-2023 07:30</t>
  </si>
  <si>
    <t>09-04-2023 07:45</t>
  </si>
  <si>
    <t>09-04-2023 08:00</t>
  </si>
  <si>
    <t>09-04-2023 08:15</t>
  </si>
  <si>
    <t>09-04-2023 08:30</t>
  </si>
  <si>
    <t>09-04-2023 08:45</t>
  </si>
  <si>
    <t>09-04-2023 09:00</t>
  </si>
  <si>
    <t>09-04-2023 09:15</t>
  </si>
  <si>
    <t>09-04-2023 09:30</t>
  </si>
  <si>
    <t>09-04-2023 09:45</t>
  </si>
  <si>
    <t>09-04-2023 10:00</t>
  </si>
  <si>
    <t>09-04-2023 10:15</t>
  </si>
  <si>
    <t>09-04-2023 10:30</t>
  </si>
  <si>
    <t>09-04-2023 10:45</t>
  </si>
  <si>
    <t>09-04-2023 11:00</t>
  </si>
  <si>
    <t>09-04-2023 11:15</t>
  </si>
  <si>
    <t>09-04-2023 11:30</t>
  </si>
  <si>
    <t>09-04-2023 11:45</t>
  </si>
  <si>
    <t>09-04-2023 12:00</t>
  </si>
  <si>
    <t>09-04-2023 12:15</t>
  </si>
  <si>
    <t>09-04-2023 12:30</t>
  </si>
  <si>
    <t>09-04-2023 12:45</t>
  </si>
  <si>
    <t>09-04-2023 13:00</t>
  </si>
  <si>
    <t>09-04-2023 13:15</t>
  </si>
  <si>
    <t>09-04-2023 13:30</t>
  </si>
  <si>
    <t>09-04-2023 13:45</t>
  </si>
  <si>
    <t>09-04-2023 14:00</t>
  </si>
  <si>
    <t>09-04-2023 14:15</t>
  </si>
  <si>
    <t>09-04-2023 14:30</t>
  </si>
  <si>
    <t>09-04-2023 14:45</t>
  </si>
  <si>
    <t>09-04-2023 15:00</t>
  </si>
  <si>
    <t>09-04-2023 15:15</t>
  </si>
  <si>
    <t>09-04-2023 15:30</t>
  </si>
  <si>
    <t>09-04-2023 15:45</t>
  </si>
  <si>
    <t>09-04-2023 16:00</t>
  </si>
  <si>
    <t>09-04-2023 16:15</t>
  </si>
  <si>
    <t>09-04-2023 16:30</t>
  </si>
  <si>
    <t>09-04-2023 16:45</t>
  </si>
  <si>
    <t>09-04-2023 17:00</t>
  </si>
  <si>
    <t>09-04-2023 17:15</t>
  </si>
  <si>
    <t>09-04-2023 17:30</t>
  </si>
  <si>
    <t>09-04-2023 17:45</t>
  </si>
  <si>
    <t>09-04-2023 18:00</t>
  </si>
  <si>
    <t>09-04-2023 18:15</t>
  </si>
  <si>
    <t>09-04-2023 18:30</t>
  </si>
  <si>
    <t>09-04-2023 18:45</t>
  </si>
  <si>
    <t>09-04-2023 19:00</t>
  </si>
  <si>
    <t>09-04-2023 19:15</t>
  </si>
  <si>
    <t>09-04-2023 19:30</t>
  </si>
  <si>
    <t>09-04-2023 19:45</t>
  </si>
  <si>
    <t>09-04-2023 20:00</t>
  </si>
  <si>
    <t>09-04-2023 20:15</t>
  </si>
  <si>
    <t>09-04-2023 20:30</t>
  </si>
  <si>
    <t>09-04-2023 20:45</t>
  </si>
  <si>
    <t>09-04-2023 21:00</t>
  </si>
  <si>
    <t>09-04-2023 21:15</t>
  </si>
  <si>
    <t>09-04-2023 21:30</t>
  </si>
  <si>
    <t>09-04-2023 21:45</t>
  </si>
  <si>
    <t>09-04-2023 22:00</t>
  </si>
  <si>
    <t>09-04-2023 22:15</t>
  </si>
  <si>
    <t>09-04-2023 22:30</t>
  </si>
  <si>
    <t>09-04-2023 22:45</t>
  </si>
  <si>
    <t>09-04-2023 23:00</t>
  </si>
  <si>
    <t>09-04-2023 23:15</t>
  </si>
  <si>
    <t>09-04-2023 23:30</t>
  </si>
  <si>
    <t>09-04-2023 23:45</t>
  </si>
  <si>
    <t>09-04-2023 24:00</t>
  </si>
  <si>
    <t>10-04-2023 00:15</t>
  </si>
  <si>
    <t>10-04-2023 00:30</t>
  </si>
  <si>
    <t>10-04-2023 00:45</t>
  </si>
  <si>
    <t>10-04-2023 01:00</t>
  </si>
  <si>
    <t>10-04-2023 01:15</t>
  </si>
  <si>
    <t>10-04-2023 01:30</t>
  </si>
  <si>
    <t>10-04-2023 01:45</t>
  </si>
  <si>
    <t>10-04-2023 02:00</t>
  </si>
  <si>
    <t>10-04-2023 02:15</t>
  </si>
  <si>
    <t>10-04-2023 02:30</t>
  </si>
  <si>
    <t>10-04-2023 02:45</t>
  </si>
  <si>
    <t>10-04-2023 03:00</t>
  </si>
  <si>
    <t>10-04-2023 03:15</t>
  </si>
  <si>
    <t>10-04-2023 03:30</t>
  </si>
  <si>
    <t>10-04-2023 03:45</t>
  </si>
  <si>
    <t>10-04-2023 04:00</t>
  </si>
  <si>
    <t>10-04-2023 04:15</t>
  </si>
  <si>
    <t>10-04-2023 04:30</t>
  </si>
  <si>
    <t>10-04-2023 04:45</t>
  </si>
  <si>
    <t>10-04-2023 05:00</t>
  </si>
  <si>
    <t>10-04-2023 05:15</t>
  </si>
  <si>
    <t>10-04-2023 05:30</t>
  </si>
  <si>
    <t>10-04-2023 05:45</t>
  </si>
  <si>
    <t>10-04-2023 06:00</t>
  </si>
  <si>
    <t>10-04-2023 06:15</t>
  </si>
  <si>
    <t>10-04-2023 06:30</t>
  </si>
  <si>
    <t>10-04-2023 06:45</t>
  </si>
  <si>
    <t>10-04-2023 07:00</t>
  </si>
  <si>
    <t>10-04-2023 07:15</t>
  </si>
  <si>
    <t>10-04-2023 07:30</t>
  </si>
  <si>
    <t>10-04-2023 07:45</t>
  </si>
  <si>
    <t>10-04-2023 08:00</t>
  </si>
  <si>
    <t>10-04-2023 08:15</t>
  </si>
  <si>
    <t>10-04-2023 08:30</t>
  </si>
  <si>
    <t>10-04-2023 08:45</t>
  </si>
  <si>
    <t>10-04-2023 09:00</t>
  </si>
  <si>
    <t>10-04-2023 09:15</t>
  </si>
  <si>
    <t>10-04-2023 09:30</t>
  </si>
  <si>
    <t>10-04-2023 09:45</t>
  </si>
  <si>
    <t>10-04-2023 10:00</t>
  </si>
  <si>
    <t>10-04-2023 10:15</t>
  </si>
  <si>
    <t>10-04-2023 10:30</t>
  </si>
  <si>
    <t>10-04-2023 10:45</t>
  </si>
  <si>
    <t>10-04-2023 11:00</t>
  </si>
  <si>
    <t>10-04-2023 11:15</t>
  </si>
  <si>
    <t>10-04-2023 11:30</t>
  </si>
  <si>
    <t>10-04-2023 11:45</t>
  </si>
  <si>
    <t>10-04-2023 12:00</t>
  </si>
  <si>
    <t>10-04-2023 12:15</t>
  </si>
  <si>
    <t>10-04-2023 12:30</t>
  </si>
  <si>
    <t>10-04-2023 12:45</t>
  </si>
  <si>
    <t>10-04-2023 13:00</t>
  </si>
  <si>
    <t>10-04-2023 13:15</t>
  </si>
  <si>
    <t>10-04-2023 13:30</t>
  </si>
  <si>
    <t>10-04-2023 13:45</t>
  </si>
  <si>
    <t>10-04-2023 14:00</t>
  </si>
  <si>
    <t>10-04-2023 14:15</t>
  </si>
  <si>
    <t>10-04-2023 14:30</t>
  </si>
  <si>
    <t>10-04-2023 14:45</t>
  </si>
  <si>
    <t>10-04-2023 15:00</t>
  </si>
  <si>
    <t>10-04-2023 15:15</t>
  </si>
  <si>
    <t>10-04-2023 15:30</t>
  </si>
  <si>
    <t>10-04-2023 15:45</t>
  </si>
  <si>
    <t>10-04-2023 16:00</t>
  </si>
  <si>
    <t>10-04-2023 16:15</t>
  </si>
  <si>
    <t>10-04-2023 16:30</t>
  </si>
  <si>
    <t>10-04-2023 16:45</t>
  </si>
  <si>
    <t>10-04-2023 17:00</t>
  </si>
  <si>
    <t>10-04-2023 17:15</t>
  </si>
  <si>
    <t>10-04-2023 17:30</t>
  </si>
  <si>
    <t>10-04-2023 17:45</t>
  </si>
  <si>
    <t>10-04-2023 18:00</t>
  </si>
  <si>
    <t>10-04-2023 18:15</t>
  </si>
  <si>
    <t>10-04-2023 18:30</t>
  </si>
  <si>
    <t>10-04-2023 18:45</t>
  </si>
  <si>
    <t>10-04-2023 19:00</t>
  </si>
  <si>
    <t>10-04-2023 19:15</t>
  </si>
  <si>
    <t>10-04-2023 19:30</t>
  </si>
  <si>
    <t>10-04-2023 19:45</t>
  </si>
  <si>
    <t>10-04-2023 20:00</t>
  </si>
  <si>
    <t>10-04-2023 20:15</t>
  </si>
  <si>
    <t>10-04-2023 20:30</t>
  </si>
  <si>
    <t>10-04-2023 20:45</t>
  </si>
  <si>
    <t>10-04-2023 21:00</t>
  </si>
  <si>
    <t>10-04-2023 21:15</t>
  </si>
  <si>
    <t>10-04-2023 21:30</t>
  </si>
  <si>
    <t>10-04-2023 21:45</t>
  </si>
  <si>
    <t>10-04-2023 22:00</t>
  </si>
  <si>
    <t>10-04-2023 22:15</t>
  </si>
  <si>
    <t>10-04-2023 22:30</t>
  </si>
  <si>
    <t>10-04-2023 22:45</t>
  </si>
  <si>
    <t>10-04-2023 23:00</t>
  </si>
  <si>
    <t>10-04-2023 23:15</t>
  </si>
  <si>
    <t>10-04-2023 23:30</t>
  </si>
  <si>
    <t>10-04-2023 23:45</t>
  </si>
  <si>
    <t>10-04-2023 24:00</t>
  </si>
  <si>
    <t>11-04-2023 00:15</t>
  </si>
  <si>
    <t>11-04-2023 00:30</t>
  </si>
  <si>
    <t>11-04-2023 00:45</t>
  </si>
  <si>
    <t>11-04-2023 01:00</t>
  </si>
  <si>
    <t>11-04-2023 01:15</t>
  </si>
  <si>
    <t>11-04-2023 01:30</t>
  </si>
  <si>
    <t>11-04-2023 01:45</t>
  </si>
  <si>
    <t>11-04-2023 02:00</t>
  </si>
  <si>
    <t>11-04-2023 02:15</t>
  </si>
  <si>
    <t>11-04-2023 02:30</t>
  </si>
  <si>
    <t>11-04-2023 02:45</t>
  </si>
  <si>
    <t>11-04-2023 03:00</t>
  </si>
  <si>
    <t>11-04-2023 03:15</t>
  </si>
  <si>
    <t>11-04-2023 03:30</t>
  </si>
  <si>
    <t>11-04-2023 03:45</t>
  </si>
  <si>
    <t>11-04-2023 04:00</t>
  </si>
  <si>
    <t>11-04-2023 04:15</t>
  </si>
  <si>
    <t>11-04-2023 04:30</t>
  </si>
  <si>
    <t>11-04-2023 04:45</t>
  </si>
  <si>
    <t>11-04-2023 05:00</t>
  </si>
  <si>
    <t>11-04-2023 05:15</t>
  </si>
  <si>
    <t>11-04-2023 05:30</t>
  </si>
  <si>
    <t>11-04-2023 05:45</t>
  </si>
  <si>
    <t>11-04-2023 06:00</t>
  </si>
  <si>
    <t>11-04-2023 06:15</t>
  </si>
  <si>
    <t>11-04-2023 06:30</t>
  </si>
  <si>
    <t>11-04-2023 06:45</t>
  </si>
  <si>
    <t>11-04-2023 07:00</t>
  </si>
  <si>
    <t>11-04-2023 07:15</t>
  </si>
  <si>
    <t>11-04-2023 07:30</t>
  </si>
  <si>
    <t>11-04-2023 07:45</t>
  </si>
  <si>
    <t>11-04-2023 08:00</t>
  </si>
  <si>
    <t>11-04-2023 08:15</t>
  </si>
  <si>
    <t>11-04-2023 08:30</t>
  </si>
  <si>
    <t>11-04-2023 08:45</t>
  </si>
  <si>
    <t>11-04-2023 09:00</t>
  </si>
  <si>
    <t>11-04-2023 09:15</t>
  </si>
  <si>
    <t>11-04-2023 09:30</t>
  </si>
  <si>
    <t>11-04-2023 09:45</t>
  </si>
  <si>
    <t>11-04-2023 10:00</t>
  </si>
  <si>
    <t>11-04-2023 10:15</t>
  </si>
  <si>
    <t>11-04-2023 10:30</t>
  </si>
  <si>
    <t>11-04-2023 10:45</t>
  </si>
  <si>
    <t>11-04-2023 11:00</t>
  </si>
  <si>
    <t>11-04-2023 11:15</t>
  </si>
  <si>
    <t>11-04-2023 11:30</t>
  </si>
  <si>
    <t>11-04-2023 11:45</t>
  </si>
  <si>
    <t>11-04-2023 12:00</t>
  </si>
  <si>
    <t>11-04-2023 12:15</t>
  </si>
  <si>
    <t>11-04-2023 12:30</t>
  </si>
  <si>
    <t>11-04-2023 12:45</t>
  </si>
  <si>
    <t>11-04-2023 13:00</t>
  </si>
  <si>
    <t>11-04-2023 13:15</t>
  </si>
  <si>
    <t>11-04-2023 13:30</t>
  </si>
  <si>
    <t>11-04-2023 13:45</t>
  </si>
  <si>
    <t>11-04-2023 14:00</t>
  </si>
  <si>
    <t>11-04-2023 14:15</t>
  </si>
  <si>
    <t>11-04-2023 14:30</t>
  </si>
  <si>
    <t>11-04-2023 14:45</t>
  </si>
  <si>
    <t>11-04-2023 15:00</t>
  </si>
  <si>
    <t>11-04-2023 15:15</t>
  </si>
  <si>
    <t>11-04-2023 15:30</t>
  </si>
  <si>
    <t>11-04-2023 15:45</t>
  </si>
  <si>
    <t>11-04-2023 16:00</t>
  </si>
  <si>
    <t>11-04-2023 16:15</t>
  </si>
  <si>
    <t>11-04-2023 16:30</t>
  </si>
  <si>
    <t>11-04-2023 16:45</t>
  </si>
  <si>
    <t>11-04-2023 17:00</t>
  </si>
  <si>
    <t>11-04-2023 17:15</t>
  </si>
  <si>
    <t>11-04-2023 17:30</t>
  </si>
  <si>
    <t>11-04-2023 17:45</t>
  </si>
  <si>
    <t>11-04-2023 18:00</t>
  </si>
  <si>
    <t>11-04-2023 18:15</t>
  </si>
  <si>
    <t>11-04-2023 18:30</t>
  </si>
  <si>
    <t>11-04-2023 18:45</t>
  </si>
  <si>
    <t>11-04-2023 19:00</t>
  </si>
  <si>
    <t>11-04-2023 19:15</t>
  </si>
  <si>
    <t>11-04-2023 19:30</t>
  </si>
  <si>
    <t>11-04-2023 19:45</t>
  </si>
  <si>
    <t>11-04-2023 20:00</t>
  </si>
  <si>
    <t>11-04-2023 20:15</t>
  </si>
  <si>
    <t>11-04-2023 20:30</t>
  </si>
  <si>
    <t>11-04-2023 20:45</t>
  </si>
  <si>
    <t>11-04-2023 21:00</t>
  </si>
  <si>
    <t>11-04-2023 21:15</t>
  </si>
  <si>
    <t>11-04-2023 21:30</t>
  </si>
  <si>
    <t>11-04-2023 21:45</t>
  </si>
  <si>
    <t>11-04-2023 22:00</t>
  </si>
  <si>
    <t>11-04-2023 22:15</t>
  </si>
  <si>
    <t>11-04-2023 22:30</t>
  </si>
  <si>
    <t>11-04-2023 22:45</t>
  </si>
  <si>
    <t>11-04-2023 23:00</t>
  </si>
  <si>
    <t>11-04-2023 23:15</t>
  </si>
  <si>
    <t>11-04-2023 23:30</t>
  </si>
  <si>
    <t>11-04-2023 23:45</t>
  </si>
  <si>
    <t>11-04-2023 24:00</t>
  </si>
  <si>
    <t>12-04-2023 00:15</t>
  </si>
  <si>
    <t>12-04-2023 00:30</t>
  </si>
  <si>
    <t>12-04-2023 00:45</t>
  </si>
  <si>
    <t>12-04-2023 01:00</t>
  </si>
  <si>
    <t>12-04-2023 01:15</t>
  </si>
  <si>
    <t>12-04-2023 01:30</t>
  </si>
  <si>
    <t>12-04-2023 01:45</t>
  </si>
  <si>
    <t>12-04-2023 02:00</t>
  </si>
  <si>
    <t>12-04-2023 02:15</t>
  </si>
  <si>
    <t>12-04-2023 02:30</t>
  </si>
  <si>
    <t>12-04-2023 02:45</t>
  </si>
  <si>
    <t>12-04-2023 03:00</t>
  </si>
  <si>
    <t>12-04-2023 03:15</t>
  </si>
  <si>
    <t>12-04-2023 03:30</t>
  </si>
  <si>
    <t>12-04-2023 03:45</t>
  </si>
  <si>
    <t>12-04-2023 04:00</t>
  </si>
  <si>
    <t>12-04-2023 04:15</t>
  </si>
  <si>
    <t>12-04-2023 04:30</t>
  </si>
  <si>
    <t>12-04-2023 04:45</t>
  </si>
  <si>
    <t>12-04-2023 05:00</t>
  </si>
  <si>
    <t>12-04-2023 05:15</t>
  </si>
  <si>
    <t>12-04-2023 05:30</t>
  </si>
  <si>
    <t>12-04-2023 05:45</t>
  </si>
  <si>
    <t>12-04-2023 06:00</t>
  </si>
  <si>
    <t>12-04-2023 06:15</t>
  </si>
  <si>
    <t>12-04-2023 06:30</t>
  </si>
  <si>
    <t>12-04-2023 06:45</t>
  </si>
  <si>
    <t>12-04-2023 07:00</t>
  </si>
  <si>
    <t>12-04-2023 07:15</t>
  </si>
  <si>
    <t>12-04-2023 07:30</t>
  </si>
  <si>
    <t>12-04-2023 07:45</t>
  </si>
  <si>
    <t>12-04-2023 08:00</t>
  </si>
  <si>
    <t>12-04-2023 08:15</t>
  </si>
  <si>
    <t>12-04-2023 08:30</t>
  </si>
  <si>
    <t>12-04-2023 08:45</t>
  </si>
  <si>
    <t>12-04-2023 09:00</t>
  </si>
  <si>
    <t>12-04-2023 09:15</t>
  </si>
  <si>
    <t>12-04-2023 09:30</t>
  </si>
  <si>
    <t>12-04-2023 09:45</t>
  </si>
  <si>
    <t>12-04-2023 10:00</t>
  </si>
  <si>
    <t>12-04-2023 10:15</t>
  </si>
  <si>
    <t>12-04-2023 10:30</t>
  </si>
  <si>
    <t>12-04-2023 10:45</t>
  </si>
  <si>
    <t>12-04-2023 11:00</t>
  </si>
  <si>
    <t>12-04-2023 11:15</t>
  </si>
  <si>
    <t>12-04-2023 11:30</t>
  </si>
  <si>
    <t>12-04-2023 11:45</t>
  </si>
  <si>
    <t>12-04-2023 12:00</t>
  </si>
  <si>
    <t>12-04-2023 12:15</t>
  </si>
  <si>
    <t>12-04-2023 12:30</t>
  </si>
  <si>
    <t>12-04-2023 12:45</t>
  </si>
  <si>
    <t>12-04-2023 13:00</t>
  </si>
  <si>
    <t>12-04-2023 13:15</t>
  </si>
  <si>
    <t>12-04-2023 13:30</t>
  </si>
  <si>
    <t>12-04-2023 13:45</t>
  </si>
  <si>
    <t>12-04-2023 14:00</t>
  </si>
  <si>
    <t>12-04-2023 14:15</t>
  </si>
  <si>
    <t>12-04-2023 14:30</t>
  </si>
  <si>
    <t>12-04-2023 14:45</t>
  </si>
  <si>
    <t>12-04-2023 15:00</t>
  </si>
  <si>
    <t>12-04-2023 15:15</t>
  </si>
  <si>
    <t>12-04-2023 15:30</t>
  </si>
  <si>
    <t>12-04-2023 15:45</t>
  </si>
  <si>
    <t>12-04-2023 16:00</t>
  </si>
  <si>
    <t>12-04-2023 16:15</t>
  </si>
  <si>
    <t>12-04-2023 16:30</t>
  </si>
  <si>
    <t>12-04-2023 16:45</t>
  </si>
  <si>
    <t>12-04-2023 17:00</t>
  </si>
  <si>
    <t>12-04-2023 17:15</t>
  </si>
  <si>
    <t>12-04-2023 17:30</t>
  </si>
  <si>
    <t>12-04-2023 17:45</t>
  </si>
  <si>
    <t>12-04-2023 18:00</t>
  </si>
  <si>
    <t>12-04-2023 18:15</t>
  </si>
  <si>
    <t>12-04-2023 18:30</t>
  </si>
  <si>
    <t>12-04-2023 18:45</t>
  </si>
  <si>
    <t>12-04-2023 19:00</t>
  </si>
  <si>
    <t>12-04-2023 19:15</t>
  </si>
  <si>
    <t>12-04-2023 19:30</t>
  </si>
  <si>
    <t>12-04-2023 19:45</t>
  </si>
  <si>
    <t>12-04-2023 20:00</t>
  </si>
  <si>
    <t>12-04-2023 20:15</t>
  </si>
  <si>
    <t>12-04-2023 20:30</t>
  </si>
  <si>
    <t>12-04-2023 20:45</t>
  </si>
  <si>
    <t>12-04-2023 21:00</t>
  </si>
  <si>
    <t>12-04-2023 21:15</t>
  </si>
  <si>
    <t>12-04-2023 21:30</t>
  </si>
  <si>
    <t>12-04-2023 21:45</t>
  </si>
  <si>
    <t>12-04-2023 22:00</t>
  </si>
  <si>
    <t>12-04-2023 22:15</t>
  </si>
  <si>
    <t>12-04-2023 22:30</t>
  </si>
  <si>
    <t>12-04-2023 22:45</t>
  </si>
  <si>
    <t>12-04-2023 23:00</t>
  </si>
  <si>
    <t>12-04-2023 23:15</t>
  </si>
  <si>
    <t>12-04-2023 23:30</t>
  </si>
  <si>
    <t>12-04-2023 23:45</t>
  </si>
  <si>
    <t>12-04-2023 24:00</t>
  </si>
  <si>
    <t>13-04-2023 00:15</t>
  </si>
  <si>
    <t>13-04-2023 00:30</t>
  </si>
  <si>
    <t>13-04-2023 00:45</t>
  </si>
  <si>
    <t>13-04-2023 01:00</t>
  </si>
  <si>
    <t>13-04-2023 01:15</t>
  </si>
  <si>
    <t>13-04-2023 01:30</t>
  </si>
  <si>
    <t>13-04-2023 01:45</t>
  </si>
  <si>
    <t>13-04-2023 02:00</t>
  </si>
  <si>
    <t>13-04-2023 02:15</t>
  </si>
  <si>
    <t>13-04-2023 02:30</t>
  </si>
  <si>
    <t>13-04-2023 02:45</t>
  </si>
  <si>
    <t>13-04-2023 03:00</t>
  </si>
  <si>
    <t>13-04-2023 03:15</t>
  </si>
  <si>
    <t>13-04-2023 03:30</t>
  </si>
  <si>
    <t>13-04-2023 03:45</t>
  </si>
  <si>
    <t>13-04-2023 04:00</t>
  </si>
  <si>
    <t>13-04-2023 04:15</t>
  </si>
  <si>
    <t>13-04-2023 04:30</t>
  </si>
  <si>
    <t>13-04-2023 04:45</t>
  </si>
  <si>
    <t>13-04-2023 05:00</t>
  </si>
  <si>
    <t>13-04-2023 05:15</t>
  </si>
  <si>
    <t>13-04-2023 05:30</t>
  </si>
  <si>
    <t>13-04-2023 05:45</t>
  </si>
  <si>
    <t>13-04-2023 06:00</t>
  </si>
  <si>
    <t>13-04-2023 06:15</t>
  </si>
  <si>
    <t>13-04-2023 06:30</t>
  </si>
  <si>
    <t>13-04-2023 06:45</t>
  </si>
  <si>
    <t>13-04-2023 07:00</t>
  </si>
  <si>
    <t>13-04-2023 07:15</t>
  </si>
  <si>
    <t>13-04-2023 07:30</t>
  </si>
  <si>
    <t>13-04-2023 07:45</t>
  </si>
  <si>
    <t>13-04-2023 08:00</t>
  </si>
  <si>
    <t>13-04-2023 08:15</t>
  </si>
  <si>
    <t>13-04-2023 08:30</t>
  </si>
  <si>
    <t>13-04-2023 08:45</t>
  </si>
  <si>
    <t>13-04-2023 09:00</t>
  </si>
  <si>
    <t>13-04-2023 09:15</t>
  </si>
  <si>
    <t>13-04-2023 09:30</t>
  </si>
  <si>
    <t>13-04-2023 09:45</t>
  </si>
  <si>
    <t>13-04-2023 10:00</t>
  </si>
  <si>
    <t>13-04-2023 10:15</t>
  </si>
  <si>
    <t>13-04-2023 10:30</t>
  </si>
  <si>
    <t>13-04-2023 10:45</t>
  </si>
  <si>
    <t>13-04-2023 11:00</t>
  </si>
  <si>
    <t>13-04-2023 11:15</t>
  </si>
  <si>
    <t>13-04-2023 11:30</t>
  </si>
  <si>
    <t>13-04-2023 11:45</t>
  </si>
  <si>
    <t>13-04-2023 12:00</t>
  </si>
  <si>
    <t>13-04-2023 12:15</t>
  </si>
  <si>
    <t>13-04-2023 12:30</t>
  </si>
  <si>
    <t>13-04-2023 12:45</t>
  </si>
  <si>
    <t>13-04-2023 13:00</t>
  </si>
  <si>
    <t>13-04-2023 13:15</t>
  </si>
  <si>
    <t>13-04-2023 13:30</t>
  </si>
  <si>
    <t>13-04-2023 13:45</t>
  </si>
  <si>
    <t>13-04-2023 14:00</t>
  </si>
  <si>
    <t>13-04-2023 14:15</t>
  </si>
  <si>
    <t>13-04-2023 14:30</t>
  </si>
  <si>
    <t>13-04-2023 14:45</t>
  </si>
  <si>
    <t>13-04-2023 15:00</t>
  </si>
  <si>
    <t>13-04-2023 15:15</t>
  </si>
  <si>
    <t>13-04-2023 15:30</t>
  </si>
  <si>
    <t>13-04-2023 15:45</t>
  </si>
  <si>
    <t>13-04-2023 16:00</t>
  </si>
  <si>
    <t>13-04-2023 16:15</t>
  </si>
  <si>
    <t>13-04-2023 16:30</t>
  </si>
  <si>
    <t>13-04-2023 16:45</t>
  </si>
  <si>
    <t>13-04-2023 17:00</t>
  </si>
  <si>
    <t>13-04-2023 17:15</t>
  </si>
  <si>
    <t>13-04-2023 17:30</t>
  </si>
  <si>
    <t>13-04-2023 17:45</t>
  </si>
  <si>
    <t>13-04-2023 18:00</t>
  </si>
  <si>
    <t>13-04-2023 18:15</t>
  </si>
  <si>
    <t>13-04-2023 18:30</t>
  </si>
  <si>
    <t>13-04-2023 18:45</t>
  </si>
  <si>
    <t>13-04-2023 19:00</t>
  </si>
  <si>
    <t>13-04-2023 19:15</t>
  </si>
  <si>
    <t>13-04-2023 19:30</t>
  </si>
  <si>
    <t>13-04-2023 19:45</t>
  </si>
  <si>
    <t>13-04-2023 20:00</t>
  </si>
  <si>
    <t>13-04-2023 20:15</t>
  </si>
  <si>
    <t>13-04-2023 20:30</t>
  </si>
  <si>
    <t>13-04-2023 20:45</t>
  </si>
  <si>
    <t>13-04-2023 21:00</t>
  </si>
  <si>
    <t>13-04-2023 21:15</t>
  </si>
  <si>
    <t>13-04-2023 21:30</t>
  </si>
  <si>
    <t>13-04-2023 21:45</t>
  </si>
  <si>
    <t>13-04-2023 22:00</t>
  </si>
  <si>
    <t>13-04-2023 22:15</t>
  </si>
  <si>
    <t>13-04-2023 22:30</t>
  </si>
  <si>
    <t>13-04-2023 22:45</t>
  </si>
  <si>
    <t>13-04-2023 23:00</t>
  </si>
  <si>
    <t>13-04-2023 23:15</t>
  </si>
  <si>
    <t>13-04-2023 23:30</t>
  </si>
  <si>
    <t>13-04-2023 23:45</t>
  </si>
  <si>
    <t>13-04-2023 24:00</t>
  </si>
  <si>
    <t>14-04-2023 00:15</t>
  </si>
  <si>
    <t>14-04-2023 00:30</t>
  </si>
  <si>
    <t>14-04-2023 00:45</t>
  </si>
  <si>
    <t>14-04-2023 01:00</t>
  </si>
  <si>
    <t>14-04-2023 01:15</t>
  </si>
  <si>
    <t>14-04-2023 01:30</t>
  </si>
  <si>
    <t>14-04-2023 01:45</t>
  </si>
  <si>
    <t>14-04-2023 02:00</t>
  </si>
  <si>
    <t>14-04-2023 02:15</t>
  </si>
  <si>
    <t>14-04-2023 02:30</t>
  </si>
  <si>
    <t>14-04-2023 02:45</t>
  </si>
  <si>
    <t>14-04-2023 03:00</t>
  </si>
  <si>
    <t>14-04-2023 03:15</t>
  </si>
  <si>
    <t>14-04-2023 03:30</t>
  </si>
  <si>
    <t>14-04-2023 03:45</t>
  </si>
  <si>
    <t>14-04-2023 04:00</t>
  </si>
  <si>
    <t>14-04-2023 04:15</t>
  </si>
  <si>
    <t>14-04-2023 04:30</t>
  </si>
  <si>
    <t>14-04-2023 04:45</t>
  </si>
  <si>
    <t>14-04-2023 05:00</t>
  </si>
  <si>
    <t>14-04-2023 05:15</t>
  </si>
  <si>
    <t>14-04-2023 05:30</t>
  </si>
  <si>
    <t>14-04-2023 05:45</t>
  </si>
  <si>
    <t>14-04-2023 06:00</t>
  </si>
  <si>
    <t>14-04-2023 06:15</t>
  </si>
  <si>
    <t>14-04-2023 06:30</t>
  </si>
  <si>
    <t>14-04-2023 06:45</t>
  </si>
  <si>
    <t>14-04-2023 07:00</t>
  </si>
  <si>
    <t>14-04-2023 07:15</t>
  </si>
  <si>
    <t>14-04-2023 07:30</t>
  </si>
  <si>
    <t>14-04-2023 07:45</t>
  </si>
  <si>
    <t>14-04-2023 08:00</t>
  </si>
  <si>
    <t>14-04-2023 08:15</t>
  </si>
  <si>
    <t>14-04-2023 08:30</t>
  </si>
  <si>
    <t>14-04-2023 08:45</t>
  </si>
  <si>
    <t>14-04-2023 09:00</t>
  </si>
  <si>
    <t>14-04-2023 09:15</t>
  </si>
  <si>
    <t>14-04-2023 09:30</t>
  </si>
  <si>
    <t>14-04-2023 09:45</t>
  </si>
  <si>
    <t>14-04-2023 10:00</t>
  </si>
  <si>
    <t>14-04-2023 10:15</t>
  </si>
  <si>
    <t>14-04-2023 10:30</t>
  </si>
  <si>
    <t>14-04-2023 10:45</t>
  </si>
  <si>
    <t>14-04-2023 11:00</t>
  </si>
  <si>
    <t>14-04-2023 11:15</t>
  </si>
  <si>
    <t>14-04-2023 11:30</t>
  </si>
  <si>
    <t>14-04-2023 11:45</t>
  </si>
  <si>
    <t>14-04-2023 12:00</t>
  </si>
  <si>
    <t>14-04-2023 12:15</t>
  </si>
  <si>
    <t>14-04-2023 12:30</t>
  </si>
  <si>
    <t>14-04-2023 12:45</t>
  </si>
  <si>
    <t>14-04-2023 13:00</t>
  </si>
  <si>
    <t>14-04-2023 13:15</t>
  </si>
  <si>
    <t>14-04-2023 13:30</t>
  </si>
  <si>
    <t>14-04-2023 13:45</t>
  </si>
  <si>
    <t>14-04-2023 14:00</t>
  </si>
  <si>
    <t>14-04-2023 14:15</t>
  </si>
  <si>
    <t>14-04-2023 14:30</t>
  </si>
  <si>
    <t>14-04-2023 14:45</t>
  </si>
  <si>
    <t>14-04-2023 15:00</t>
  </si>
  <si>
    <t>14-04-2023 15:15</t>
  </si>
  <si>
    <t>14-04-2023 15:30</t>
  </si>
  <si>
    <t>14-04-2023 15:45</t>
  </si>
  <si>
    <t>14-04-2023 16:00</t>
  </si>
  <si>
    <t>14-04-2023 16:15</t>
  </si>
  <si>
    <t>14-04-2023 16:30</t>
  </si>
  <si>
    <t>14-04-2023 16:45</t>
  </si>
  <si>
    <t>14-04-2023 17:00</t>
  </si>
  <si>
    <t>14-04-2023 17:15</t>
  </si>
  <si>
    <t>14-04-2023 17:30</t>
  </si>
  <si>
    <t>14-04-2023 17:45</t>
  </si>
  <si>
    <t>14-04-2023 18:00</t>
  </si>
  <si>
    <t>14-04-2023 18:15</t>
  </si>
  <si>
    <t>14-04-2023 18:30</t>
  </si>
  <si>
    <t>14-04-2023 18:45</t>
  </si>
  <si>
    <t>14-04-2023 19:00</t>
  </si>
  <si>
    <t>14-04-2023 19:15</t>
  </si>
  <si>
    <t>14-04-2023 19:30</t>
  </si>
  <si>
    <t>14-04-2023 19:45</t>
  </si>
  <si>
    <t>14-04-2023 20:00</t>
  </si>
  <si>
    <t>14-04-2023 20:15</t>
  </si>
  <si>
    <t>14-04-2023 20:30</t>
  </si>
  <si>
    <t>14-04-2023 20:45</t>
  </si>
  <si>
    <t>14-04-2023 21:00</t>
  </si>
  <si>
    <t>14-04-2023 21:15</t>
  </si>
  <si>
    <t>14-04-2023 21:30</t>
  </si>
  <si>
    <t>14-04-2023 21:45</t>
  </si>
  <si>
    <t>14-04-2023 22:00</t>
  </si>
  <si>
    <t>14-04-2023 22:15</t>
  </si>
  <si>
    <t>14-04-2023 22:30</t>
  </si>
  <si>
    <t>14-04-2023 22:45</t>
  </si>
  <si>
    <t>14-04-2023 23:00</t>
  </si>
  <si>
    <t>14-04-2023 23:15</t>
  </si>
  <si>
    <t>14-04-2023 23:30</t>
  </si>
  <si>
    <t>14-04-2023 23:45</t>
  </si>
  <si>
    <t>14-04-2023 24:00</t>
  </si>
  <si>
    <t>15-04-2023 00:15</t>
  </si>
  <si>
    <t>15-04-2023 00:30</t>
  </si>
  <si>
    <t>15-04-2023 00:45</t>
  </si>
  <si>
    <t>15-04-2023 01:00</t>
  </si>
  <si>
    <t>15-04-2023 01:15</t>
  </si>
  <si>
    <t>15-04-2023 01:30</t>
  </si>
  <si>
    <t>15-04-2023 01:45</t>
  </si>
  <si>
    <t>15-04-2023 02:00</t>
  </si>
  <si>
    <t>15-04-2023 02:15</t>
  </si>
  <si>
    <t>15-04-2023 02:30</t>
  </si>
  <si>
    <t>15-04-2023 02:45</t>
  </si>
  <si>
    <t>15-04-2023 03:00</t>
  </si>
  <si>
    <t>15-04-2023 03:15</t>
  </si>
  <si>
    <t>15-04-2023 03:30</t>
  </si>
  <si>
    <t>15-04-2023 03:45</t>
  </si>
  <si>
    <t>15-04-2023 04:00</t>
  </si>
  <si>
    <t>15-04-2023 04:15</t>
  </si>
  <si>
    <t>15-04-2023 04:30</t>
  </si>
  <si>
    <t>15-04-2023 04:45</t>
  </si>
  <si>
    <t>15-04-2023 05:00</t>
  </si>
  <si>
    <t>15-04-2023 05:15</t>
  </si>
  <si>
    <t>15-04-2023 05:30</t>
  </si>
  <si>
    <t>15-04-2023 05:45</t>
  </si>
  <si>
    <t>15-04-2023 06:00</t>
  </si>
  <si>
    <t>15-04-2023 06:15</t>
  </si>
  <si>
    <t>15-04-2023 06:30</t>
  </si>
  <si>
    <t>15-04-2023 06:45</t>
  </si>
  <si>
    <t>15-04-2023 07:00</t>
  </si>
  <si>
    <t>15-04-2023 07:15</t>
  </si>
  <si>
    <t>15-04-2023 07:30</t>
  </si>
  <si>
    <t>15-04-2023 07:45</t>
  </si>
  <si>
    <t>15-04-2023 08:00</t>
  </si>
  <si>
    <t>15-04-2023 08:15</t>
  </si>
  <si>
    <t>15-04-2023 08:30</t>
  </si>
  <si>
    <t>15-04-2023 08:45</t>
  </si>
  <si>
    <t>15-04-2023 09:00</t>
  </si>
  <si>
    <t>15-04-2023 09:15</t>
  </si>
  <si>
    <t>15-04-2023 09:30</t>
  </si>
  <si>
    <t>15-04-2023 09:45</t>
  </si>
  <si>
    <t>15-04-2023 10:00</t>
  </si>
  <si>
    <t>15-04-2023 10:15</t>
  </si>
  <si>
    <t>15-04-2023 10:30</t>
  </si>
  <si>
    <t>15-04-2023 10:45</t>
  </si>
  <si>
    <t>15-04-2023 11:00</t>
  </si>
  <si>
    <t>15-04-2023 11:15</t>
  </si>
  <si>
    <t>15-04-2023 11:30</t>
  </si>
  <si>
    <t>15-04-2023 11:45</t>
  </si>
  <si>
    <t>15-04-2023 12:00</t>
  </si>
  <si>
    <t>15-04-2023 12:15</t>
  </si>
  <si>
    <t>15-04-2023 12:30</t>
  </si>
  <si>
    <t>15-04-2023 12:45</t>
  </si>
  <si>
    <t>15-04-2023 13:00</t>
  </si>
  <si>
    <t>15-04-2023 13:15</t>
  </si>
  <si>
    <t>15-04-2023 13:30</t>
  </si>
  <si>
    <t>15-04-2023 13:45</t>
  </si>
  <si>
    <t>15-04-2023 14:00</t>
  </si>
  <si>
    <t>15-04-2023 14:15</t>
  </si>
  <si>
    <t>15-04-2023 14:30</t>
  </si>
  <si>
    <t>15-04-2023 14:45</t>
  </si>
  <si>
    <t>15-04-2023 15:00</t>
  </si>
  <si>
    <t>15-04-2023 15:15</t>
  </si>
  <si>
    <t>15-04-2023 15:30</t>
  </si>
  <si>
    <t>15-04-2023 15:45</t>
  </si>
  <si>
    <t>15-04-2023 16:00</t>
  </si>
  <si>
    <t>15-04-2023 16:15</t>
  </si>
  <si>
    <t>15-04-2023 16:30</t>
  </si>
  <si>
    <t>15-04-2023 16:45</t>
  </si>
  <si>
    <t>15-04-2023 17:00</t>
  </si>
  <si>
    <t>15-04-2023 17:15</t>
  </si>
  <si>
    <t>15-04-2023 17:30</t>
  </si>
  <si>
    <t>15-04-2023 17:45</t>
  </si>
  <si>
    <t>15-04-2023 18:00</t>
  </si>
  <si>
    <t>15-04-2023 18:15</t>
  </si>
  <si>
    <t>15-04-2023 18:30</t>
  </si>
  <si>
    <t>15-04-2023 18:45</t>
  </si>
  <si>
    <t>15-04-2023 19:00</t>
  </si>
  <si>
    <t>15-04-2023 19:15</t>
  </si>
  <si>
    <t>15-04-2023 19:30</t>
  </si>
  <si>
    <t>15-04-2023 19:45</t>
  </si>
  <si>
    <t>15-04-2023 20:00</t>
  </si>
  <si>
    <t>15-04-2023 20:15</t>
  </si>
  <si>
    <t>15-04-2023 20:30</t>
  </si>
  <si>
    <t>15-04-2023 20:45</t>
  </si>
  <si>
    <t>15-04-2023 21:00</t>
  </si>
  <si>
    <t>15-04-2023 21:15</t>
  </si>
  <si>
    <t>15-04-2023 21:30</t>
  </si>
  <si>
    <t>15-04-2023 21:45</t>
  </si>
  <si>
    <t>15-04-2023 22:00</t>
  </si>
  <si>
    <t>15-04-2023 22:15</t>
  </si>
  <si>
    <t>15-04-2023 22:30</t>
  </si>
  <si>
    <t>15-04-2023 22:45</t>
  </si>
  <si>
    <t>15-04-2023 23:00</t>
  </si>
  <si>
    <t>15-04-2023 23:15</t>
  </si>
  <si>
    <t>15-04-2023 23:30</t>
  </si>
  <si>
    <t>15-04-2023 23:45</t>
  </si>
  <si>
    <t>15-04-2023 24:00</t>
  </si>
  <si>
    <t>16-04-2023 00:15</t>
  </si>
  <si>
    <t>16-04-2023 00:30</t>
  </si>
  <si>
    <t>16-04-2023 00:45</t>
  </si>
  <si>
    <t>16-04-2023 01:00</t>
  </si>
  <si>
    <t>16-04-2023 01:15</t>
  </si>
  <si>
    <t>16-04-2023 01:30</t>
  </si>
  <si>
    <t>16-04-2023 01:45</t>
  </si>
  <si>
    <t>16-04-2023 02:00</t>
  </si>
  <si>
    <t>16-04-2023 02:15</t>
  </si>
  <si>
    <t>16-04-2023 02:30</t>
  </si>
  <si>
    <t>16-04-2023 02:45</t>
  </si>
  <si>
    <t>16-04-2023 03:00</t>
  </si>
  <si>
    <t>16-04-2023 03:15</t>
  </si>
  <si>
    <t>16-04-2023 03:30</t>
  </si>
  <si>
    <t>16-04-2023 03:45</t>
  </si>
  <si>
    <t>16-04-2023 04:00</t>
  </si>
  <si>
    <t>16-04-2023 04:15</t>
  </si>
  <si>
    <t>16-04-2023 04:30</t>
  </si>
  <si>
    <t>16-04-2023 04:45</t>
  </si>
  <si>
    <t>16-04-2023 05:00</t>
  </si>
  <si>
    <t>16-04-2023 05:15</t>
  </si>
  <si>
    <t>16-04-2023 05:30</t>
  </si>
  <si>
    <t>16-04-2023 05:45</t>
  </si>
  <si>
    <t>16-04-2023 06:00</t>
  </si>
  <si>
    <t>16-04-2023 06:15</t>
  </si>
  <si>
    <t>16-04-2023 06:30</t>
  </si>
  <si>
    <t>16-04-2023 06:45</t>
  </si>
  <si>
    <t>16-04-2023 07:00</t>
  </si>
  <si>
    <t>16-04-2023 07:15</t>
  </si>
  <si>
    <t>16-04-2023 07:30</t>
  </si>
  <si>
    <t>16-04-2023 07:45</t>
  </si>
  <si>
    <t>16-04-2023 08:00</t>
  </si>
  <si>
    <t>16-04-2023 08:15</t>
  </si>
  <si>
    <t>16-04-2023 08:30</t>
  </si>
  <si>
    <t>16-04-2023 08:45</t>
  </si>
  <si>
    <t>16-04-2023 09:00</t>
  </si>
  <si>
    <t>16-04-2023 09:15</t>
  </si>
  <si>
    <t>16-04-2023 09:30</t>
  </si>
  <si>
    <t>16-04-2023 09:45</t>
  </si>
  <si>
    <t>16-04-2023 10:00</t>
  </si>
  <si>
    <t>16-04-2023 10:15</t>
  </si>
  <si>
    <t>16-04-2023 10:30</t>
  </si>
  <si>
    <t>16-04-2023 10:45</t>
  </si>
  <si>
    <t>16-04-2023 11:00</t>
  </si>
  <si>
    <t>16-04-2023 11:15</t>
  </si>
  <si>
    <t>16-04-2023 11:30</t>
  </si>
  <si>
    <t>16-04-2023 11:45</t>
  </si>
  <si>
    <t>16-04-2023 12:00</t>
  </si>
  <si>
    <t>16-04-2023 12:15</t>
  </si>
  <si>
    <t>16-04-2023 12:30</t>
  </si>
  <si>
    <t>16-04-2023 12:45</t>
  </si>
  <si>
    <t>16-04-2023 13:00</t>
  </si>
  <si>
    <t>16-04-2023 13:15</t>
  </si>
  <si>
    <t>16-04-2023 13:30</t>
  </si>
  <si>
    <t>16-04-2023 13:45</t>
  </si>
  <si>
    <t>16-04-2023 14:00</t>
  </si>
  <si>
    <t>16-04-2023 14:15</t>
  </si>
  <si>
    <t>16-04-2023 14:30</t>
  </si>
  <si>
    <t>16-04-2023 14:45</t>
  </si>
  <si>
    <t>16-04-2023 15:00</t>
  </si>
  <si>
    <t>16-04-2023 15:15</t>
  </si>
  <si>
    <t>16-04-2023 15:30</t>
  </si>
  <si>
    <t>16-04-2023 15:45</t>
  </si>
  <si>
    <t>16-04-2023 16:00</t>
  </si>
  <si>
    <t>16-04-2023 16:15</t>
  </si>
  <si>
    <t>16-04-2023 16:30</t>
  </si>
  <si>
    <t>16-04-2023 16:45</t>
  </si>
  <si>
    <t>16-04-2023 17:00</t>
  </si>
  <si>
    <t>16-04-2023 17:15</t>
  </si>
  <si>
    <t>16-04-2023 17:30</t>
  </si>
  <si>
    <t>16-04-2023 17:45</t>
  </si>
  <si>
    <t>16-04-2023 18:00</t>
  </si>
  <si>
    <t>16-04-2023 18:15</t>
  </si>
  <si>
    <t>16-04-2023 18:30</t>
  </si>
  <si>
    <t>16-04-2023 18:45</t>
  </si>
  <si>
    <t>16-04-2023 19:00</t>
  </si>
  <si>
    <t>16-04-2023 19:15</t>
  </si>
  <si>
    <t>16-04-2023 19:30</t>
  </si>
  <si>
    <t>16-04-2023 19:45</t>
  </si>
  <si>
    <t>16-04-2023 20:00</t>
  </si>
  <si>
    <t>16-04-2023 20:15</t>
  </si>
  <si>
    <t>16-04-2023 20:30</t>
  </si>
  <si>
    <t>16-04-2023 20:45</t>
  </si>
  <si>
    <t>16-04-2023 21:00</t>
  </si>
  <si>
    <t>16-04-2023 21:15</t>
  </si>
  <si>
    <t>16-04-2023 21:30</t>
  </si>
  <si>
    <t>16-04-2023 21:45</t>
  </si>
  <si>
    <t>16-04-2023 22:00</t>
  </si>
  <si>
    <t>16-04-2023 22:15</t>
  </si>
  <si>
    <t>16-04-2023 22:30</t>
  </si>
  <si>
    <t>16-04-2023 22:45</t>
  </si>
  <si>
    <t>16-04-2023 23:00</t>
  </si>
  <si>
    <t>16-04-2023 23:15</t>
  </si>
  <si>
    <t>16-04-2023 23:30</t>
  </si>
  <si>
    <t>16-04-2023 23:45</t>
  </si>
  <si>
    <t>16-04-2023 24:00</t>
  </si>
  <si>
    <t>17-04-2023 00:15</t>
  </si>
  <si>
    <t>17-04-2023 00:30</t>
  </si>
  <si>
    <t>17-04-2023 00:45</t>
  </si>
  <si>
    <t>17-04-2023 01:00</t>
  </si>
  <si>
    <t>17-04-2023 01:15</t>
  </si>
  <si>
    <t>17-04-2023 01:30</t>
  </si>
  <si>
    <t>17-04-2023 01:45</t>
  </si>
  <si>
    <t>17-04-2023 02:00</t>
  </si>
  <si>
    <t>17-04-2023 02:15</t>
  </si>
  <si>
    <t>17-04-2023 02:30</t>
  </si>
  <si>
    <t>17-04-2023 02:45</t>
  </si>
  <si>
    <t>17-04-2023 03:00</t>
  </si>
  <si>
    <t>17-04-2023 03:15</t>
  </si>
  <si>
    <t>17-04-2023 03:30</t>
  </si>
  <si>
    <t>17-04-2023 03:45</t>
  </si>
  <si>
    <t>17-04-2023 04:00</t>
  </si>
  <si>
    <t>17-04-2023 04:15</t>
  </si>
  <si>
    <t>17-04-2023 04:30</t>
  </si>
  <si>
    <t>17-04-2023 04:45</t>
  </si>
  <si>
    <t>17-04-2023 05:00</t>
  </si>
  <si>
    <t>17-04-2023 05:15</t>
  </si>
  <si>
    <t>17-04-2023 05:30</t>
  </si>
  <si>
    <t>17-04-2023 05:45</t>
  </si>
  <si>
    <t>17-04-2023 06:00</t>
  </si>
  <si>
    <t>17-04-2023 06:15</t>
  </si>
  <si>
    <t>17-04-2023 06:30</t>
  </si>
  <si>
    <t>17-04-2023 06:45</t>
  </si>
  <si>
    <t>17-04-2023 07:00</t>
  </si>
  <si>
    <t>17-04-2023 07:15</t>
  </si>
  <si>
    <t>17-04-2023 07:30</t>
  </si>
  <si>
    <t>17-04-2023 07:45</t>
  </si>
  <si>
    <t>17-04-2023 08:00</t>
  </si>
  <si>
    <t>17-04-2023 08:15</t>
  </si>
  <si>
    <t>17-04-2023 08:30</t>
  </si>
  <si>
    <t>17-04-2023 08:45</t>
  </si>
  <si>
    <t>17-04-2023 09:00</t>
  </si>
  <si>
    <t>17-04-2023 09:15</t>
  </si>
  <si>
    <t>17-04-2023 09:30</t>
  </si>
  <si>
    <t>17-04-2023 09:45</t>
  </si>
  <si>
    <t>17-04-2023 10:00</t>
  </si>
  <si>
    <t>17-04-2023 10:15</t>
  </si>
  <si>
    <t>17-04-2023 10:30</t>
  </si>
  <si>
    <t>17-04-2023 10:45</t>
  </si>
  <si>
    <t>17-04-2023 11:00</t>
  </si>
  <si>
    <t>17-04-2023 11:15</t>
  </si>
  <si>
    <t>17-04-2023 11:30</t>
  </si>
  <si>
    <t>17-04-2023 11:45</t>
  </si>
  <si>
    <t>17-04-2023 12:00</t>
  </si>
  <si>
    <t>17-04-2023 12:15</t>
  </si>
  <si>
    <t>17-04-2023 12:30</t>
  </si>
  <si>
    <t>17-04-2023 12:45</t>
  </si>
  <si>
    <t>17-04-2023 13:00</t>
  </si>
  <si>
    <t>17-04-2023 13:15</t>
  </si>
  <si>
    <t>17-04-2023 13:30</t>
  </si>
  <si>
    <t>17-04-2023 13:45</t>
  </si>
  <si>
    <t>17-04-2023 14:00</t>
  </si>
  <si>
    <t>17-04-2023 14:15</t>
  </si>
  <si>
    <t>17-04-2023 14:30</t>
  </si>
  <si>
    <t>17-04-2023 14:45</t>
  </si>
  <si>
    <t>17-04-2023 15:00</t>
  </si>
  <si>
    <t>17-04-2023 15:15</t>
  </si>
  <si>
    <t>17-04-2023 15:30</t>
  </si>
  <si>
    <t>17-04-2023 15:45</t>
  </si>
  <si>
    <t>17-04-2023 16:00</t>
  </si>
  <si>
    <t>17-04-2023 16:15</t>
  </si>
  <si>
    <t>17-04-2023 16:30</t>
  </si>
  <si>
    <t>17-04-2023 16:45</t>
  </si>
  <si>
    <t>17-04-2023 17:00</t>
  </si>
  <si>
    <t>17-04-2023 17:15</t>
  </si>
  <si>
    <t>17-04-2023 17:30</t>
  </si>
  <si>
    <t>17-04-2023 17:45</t>
  </si>
  <si>
    <t>17-04-2023 18:00</t>
  </si>
  <si>
    <t>17-04-2023 18:15</t>
  </si>
  <si>
    <t>17-04-2023 18:30</t>
  </si>
  <si>
    <t>17-04-2023 18:45</t>
  </si>
  <si>
    <t>17-04-2023 19:00</t>
  </si>
  <si>
    <t>17-04-2023 19:15</t>
  </si>
  <si>
    <t>17-04-2023 19:30</t>
  </si>
  <si>
    <t>17-04-2023 19:45</t>
  </si>
  <si>
    <t>17-04-2023 20:00</t>
  </si>
  <si>
    <t>17-04-2023 20:15</t>
  </si>
  <si>
    <t>17-04-2023 20:30</t>
  </si>
  <si>
    <t>17-04-2023 20:45</t>
  </si>
  <si>
    <t>17-04-2023 21:00</t>
  </si>
  <si>
    <t>17-04-2023 21:15</t>
  </si>
  <si>
    <t>17-04-2023 21:30</t>
  </si>
  <si>
    <t>17-04-2023 21:45</t>
  </si>
  <si>
    <t>17-04-2023 22:00</t>
  </si>
  <si>
    <t>17-04-2023 22:15</t>
  </si>
  <si>
    <t>17-04-2023 22:30</t>
  </si>
  <si>
    <t>17-04-2023 22:45</t>
  </si>
  <si>
    <t>17-04-2023 23:00</t>
  </si>
  <si>
    <t>17-04-2023 23:15</t>
  </si>
  <si>
    <t>17-04-2023 23:30</t>
  </si>
  <si>
    <t>17-04-2023 23:45</t>
  </si>
  <si>
    <t>17-04-2023 24:00</t>
  </si>
  <si>
    <t>18-04-2023 00:15</t>
  </si>
  <si>
    <t>18-04-2023 00:30</t>
  </si>
  <si>
    <t>18-04-2023 00:45</t>
  </si>
  <si>
    <t>18-04-2023 01:00</t>
  </si>
  <si>
    <t>18-04-2023 01:15</t>
  </si>
  <si>
    <t>18-04-2023 01:30</t>
  </si>
  <si>
    <t>18-04-2023 01:45</t>
  </si>
  <si>
    <t>18-04-2023 02:00</t>
  </si>
  <si>
    <t>18-04-2023 02:15</t>
  </si>
  <si>
    <t>18-04-2023 02:30</t>
  </si>
  <si>
    <t>18-04-2023 02:45</t>
  </si>
  <si>
    <t>18-04-2023 03:00</t>
  </si>
  <si>
    <t>18-04-2023 03:15</t>
  </si>
  <si>
    <t>18-04-2023 03:30</t>
  </si>
  <si>
    <t>18-04-2023 03:45</t>
  </si>
  <si>
    <t>18-04-2023 04:00</t>
  </si>
  <si>
    <t>18-04-2023 04:15</t>
  </si>
  <si>
    <t>18-04-2023 04:30</t>
  </si>
  <si>
    <t>18-04-2023 04:45</t>
  </si>
  <si>
    <t>18-04-2023 05:00</t>
  </si>
  <si>
    <t>18-04-2023 05:15</t>
  </si>
  <si>
    <t>18-04-2023 05:30</t>
  </si>
  <si>
    <t>18-04-2023 05:45</t>
  </si>
  <si>
    <t>18-04-2023 06:00</t>
  </si>
  <si>
    <t>18-04-2023 06:15</t>
  </si>
  <si>
    <t>18-04-2023 06:30</t>
  </si>
  <si>
    <t>18-04-2023 06:45</t>
  </si>
  <si>
    <t>18-04-2023 07:00</t>
  </si>
  <si>
    <t>18-04-2023 07:15</t>
  </si>
  <si>
    <t>18-04-2023 07:30</t>
  </si>
  <si>
    <t>18-04-2023 07:45</t>
  </si>
  <si>
    <t>18-04-2023 08:00</t>
  </si>
  <si>
    <t>18-04-2023 08:15</t>
  </si>
  <si>
    <t>18-04-2023 08:30</t>
  </si>
  <si>
    <t>18-04-2023 08:45</t>
  </si>
  <si>
    <t>18-04-2023 09:00</t>
  </si>
  <si>
    <t>18-04-2023 09:15</t>
  </si>
  <si>
    <t>18-04-2023 09:30</t>
  </si>
  <si>
    <t>18-04-2023 09:45</t>
  </si>
  <si>
    <t>18-04-2023 10:00</t>
  </si>
  <si>
    <t>18-04-2023 10:15</t>
  </si>
  <si>
    <t>18-04-2023 10:30</t>
  </si>
  <si>
    <t>18-04-2023 10:45</t>
  </si>
  <si>
    <t>18-04-2023 11:00</t>
  </si>
  <si>
    <t>18-04-2023 11:15</t>
  </si>
  <si>
    <t>18-04-2023 11:30</t>
  </si>
  <si>
    <t>18-04-2023 11:45</t>
  </si>
  <si>
    <t>18-04-2023 12:00</t>
  </si>
  <si>
    <t>18-04-2023 12:15</t>
  </si>
  <si>
    <t>18-04-2023 12:30</t>
  </si>
  <si>
    <t>18-04-2023 12:45</t>
  </si>
  <si>
    <t>18-04-2023 13:00</t>
  </si>
  <si>
    <t>18-04-2023 13:15</t>
  </si>
  <si>
    <t>18-04-2023 13:30</t>
  </si>
  <si>
    <t>18-04-2023 13:45</t>
  </si>
  <si>
    <t>18-04-2023 14:00</t>
  </si>
  <si>
    <t>18-04-2023 14:15</t>
  </si>
  <si>
    <t>18-04-2023 14:30</t>
  </si>
  <si>
    <t>18-04-2023 14:45</t>
  </si>
  <si>
    <t>18-04-2023 15:00</t>
  </si>
  <si>
    <t>18-04-2023 15:15</t>
  </si>
  <si>
    <t>18-04-2023 15:30</t>
  </si>
  <si>
    <t>18-04-2023 15:45</t>
  </si>
  <si>
    <t>18-04-2023 16:00</t>
  </si>
  <si>
    <t>18-04-2023 16:15</t>
  </si>
  <si>
    <t>18-04-2023 16:30</t>
  </si>
  <si>
    <t>18-04-2023 16:45</t>
  </si>
  <si>
    <t>18-04-2023 17:00</t>
  </si>
  <si>
    <t>18-04-2023 17:15</t>
  </si>
  <si>
    <t>18-04-2023 17:30</t>
  </si>
  <si>
    <t>18-04-2023 17:45</t>
  </si>
  <si>
    <t>18-04-2023 18:00</t>
  </si>
  <si>
    <t>18-04-2023 18:15</t>
  </si>
  <si>
    <t>18-04-2023 18:30</t>
  </si>
  <si>
    <t>18-04-2023 18:45</t>
  </si>
  <si>
    <t>18-04-2023 19:00</t>
  </si>
  <si>
    <t>18-04-2023 19:15</t>
  </si>
  <si>
    <t>18-04-2023 19:30</t>
  </si>
  <si>
    <t>18-04-2023 19:45</t>
  </si>
  <si>
    <t>18-04-2023 20:00</t>
  </si>
  <si>
    <t>18-04-2023 20:15</t>
  </si>
  <si>
    <t>18-04-2023 20:30</t>
  </si>
  <si>
    <t>18-04-2023 20:45</t>
  </si>
  <si>
    <t>18-04-2023 21:00</t>
  </si>
  <si>
    <t>18-04-2023 21:15</t>
  </si>
  <si>
    <t>18-04-2023 21:30</t>
  </si>
  <si>
    <t>18-04-2023 21:45</t>
  </si>
  <si>
    <t>18-04-2023 22:00</t>
  </si>
  <si>
    <t>18-04-2023 22:15</t>
  </si>
  <si>
    <t>18-04-2023 22:30</t>
  </si>
  <si>
    <t>18-04-2023 22:45</t>
  </si>
  <si>
    <t>18-04-2023 23:00</t>
  </si>
  <si>
    <t>18-04-2023 23:15</t>
  </si>
  <si>
    <t>18-04-2023 23:30</t>
  </si>
  <si>
    <t>18-04-2023 23:45</t>
  </si>
  <si>
    <t>18-04-2023 24:00</t>
  </si>
  <si>
    <t>19-04-2023 00:15</t>
  </si>
  <si>
    <t>19-04-2023 00:30</t>
  </si>
  <si>
    <t>19-04-2023 00:45</t>
  </si>
  <si>
    <t>19-04-2023 01:00</t>
  </si>
  <si>
    <t>19-04-2023 01:15</t>
  </si>
  <si>
    <t>19-04-2023 01:30</t>
  </si>
  <si>
    <t>19-04-2023 01:45</t>
  </si>
  <si>
    <t>19-04-2023 02:00</t>
  </si>
  <si>
    <t>19-04-2023 02:15</t>
  </si>
  <si>
    <t>19-04-2023 02:30</t>
  </si>
  <si>
    <t>19-04-2023 02:45</t>
  </si>
  <si>
    <t>19-04-2023 03:00</t>
  </si>
  <si>
    <t>19-04-2023 03:15</t>
  </si>
  <si>
    <t>19-04-2023 03:30</t>
  </si>
  <si>
    <t>19-04-2023 03:45</t>
  </si>
  <si>
    <t>19-04-2023 04:00</t>
  </si>
  <si>
    <t>19-04-2023 04:15</t>
  </si>
  <si>
    <t>19-04-2023 04:30</t>
  </si>
  <si>
    <t>19-04-2023 04:45</t>
  </si>
  <si>
    <t>19-04-2023 05:00</t>
  </si>
  <si>
    <t>19-04-2023 05:15</t>
  </si>
  <si>
    <t>19-04-2023 05:30</t>
  </si>
  <si>
    <t>19-04-2023 05:45</t>
  </si>
  <si>
    <t>19-04-2023 06:00</t>
  </si>
  <si>
    <t>19-04-2023 06:15</t>
  </si>
  <si>
    <t>19-04-2023 06:30</t>
  </si>
  <si>
    <t>19-04-2023 06:45</t>
  </si>
  <si>
    <t>19-04-2023 07:00</t>
  </si>
  <si>
    <t>19-04-2023 07:15</t>
  </si>
  <si>
    <t>19-04-2023 07:30</t>
  </si>
  <si>
    <t>19-04-2023 07:45</t>
  </si>
  <si>
    <t>19-04-2023 08:00</t>
  </si>
  <si>
    <t>19-04-2023 08:15</t>
  </si>
  <si>
    <t>19-04-2023 08:30</t>
  </si>
  <si>
    <t>19-04-2023 08:45</t>
  </si>
  <si>
    <t>19-04-2023 09:00</t>
  </si>
  <si>
    <t>19-04-2023 09:15</t>
  </si>
  <si>
    <t>19-04-2023 09:30</t>
  </si>
  <si>
    <t>19-04-2023 09:45</t>
  </si>
  <si>
    <t>19-04-2023 10:00</t>
  </si>
  <si>
    <t>19-04-2023 10:15</t>
  </si>
  <si>
    <t>19-04-2023 10:30</t>
  </si>
  <si>
    <t>19-04-2023 10:45</t>
  </si>
  <si>
    <t>19-04-2023 11:00</t>
  </si>
  <si>
    <t>19-04-2023 11:15</t>
  </si>
  <si>
    <t>19-04-2023 11:30</t>
  </si>
  <si>
    <t>19-04-2023 11:45</t>
  </si>
  <si>
    <t>19-04-2023 12:00</t>
  </si>
  <si>
    <t>19-04-2023 12:15</t>
  </si>
  <si>
    <t>19-04-2023 12:30</t>
  </si>
  <si>
    <t>19-04-2023 12:45</t>
  </si>
  <si>
    <t>19-04-2023 13:00</t>
  </si>
  <si>
    <t>19-04-2023 13:15</t>
  </si>
  <si>
    <t>19-04-2023 13:30</t>
  </si>
  <si>
    <t>19-04-2023 13:45</t>
  </si>
  <si>
    <t>19-04-2023 14:00</t>
  </si>
  <si>
    <t>19-04-2023 14:15</t>
  </si>
  <si>
    <t>19-04-2023 14:30</t>
  </si>
  <si>
    <t>19-04-2023 14:45</t>
  </si>
  <si>
    <t>19-04-2023 15:00</t>
  </si>
  <si>
    <t>19-04-2023 15:15</t>
  </si>
  <si>
    <t>19-04-2023 15:30</t>
  </si>
  <si>
    <t>19-04-2023 15:45</t>
  </si>
  <si>
    <t>19-04-2023 16:00</t>
  </si>
  <si>
    <t>19-04-2023 16:15</t>
  </si>
  <si>
    <t>19-04-2023 16:30</t>
  </si>
  <si>
    <t>19-04-2023 16:45</t>
  </si>
  <si>
    <t>19-04-2023 17:00</t>
  </si>
  <si>
    <t>19-04-2023 17:15</t>
  </si>
  <si>
    <t>19-04-2023 17:30</t>
  </si>
  <si>
    <t>19-04-2023 17:45</t>
  </si>
  <si>
    <t>19-04-2023 18:00</t>
  </si>
  <si>
    <t>19-04-2023 18:15</t>
  </si>
  <si>
    <t>19-04-2023 18:30</t>
  </si>
  <si>
    <t>19-04-2023 18:45</t>
  </si>
  <si>
    <t>19-04-2023 19:00</t>
  </si>
  <si>
    <t>19-04-2023 19:15</t>
  </si>
  <si>
    <t>19-04-2023 19:30</t>
  </si>
  <si>
    <t>19-04-2023 19:45</t>
  </si>
  <si>
    <t>19-04-2023 20:00</t>
  </si>
  <si>
    <t>19-04-2023 20:15</t>
  </si>
  <si>
    <t>19-04-2023 20:30</t>
  </si>
  <si>
    <t>19-04-2023 20:45</t>
  </si>
  <si>
    <t>19-04-2023 21:00</t>
  </si>
  <si>
    <t>19-04-2023 21:15</t>
  </si>
  <si>
    <t>19-04-2023 21:30</t>
  </si>
  <si>
    <t>19-04-2023 21:45</t>
  </si>
  <si>
    <t>19-04-2023 22:00</t>
  </si>
  <si>
    <t>19-04-2023 22:15</t>
  </si>
  <si>
    <t>19-04-2023 22:30</t>
  </si>
  <si>
    <t>19-04-2023 22:45</t>
  </si>
  <si>
    <t>19-04-2023 23:00</t>
  </si>
  <si>
    <t>19-04-2023 23:15</t>
  </si>
  <si>
    <t>19-04-2023 23:30</t>
  </si>
  <si>
    <t>19-04-2023 23:45</t>
  </si>
  <si>
    <t>19-04-2023 24:00</t>
  </si>
  <si>
    <t>20-04-2023 00:15</t>
  </si>
  <si>
    <t>20-04-2023 00:30</t>
  </si>
  <si>
    <t>20-04-2023 00:45</t>
  </si>
  <si>
    <t>20-04-2023 01:00</t>
  </si>
  <si>
    <t>20-04-2023 01:15</t>
  </si>
  <si>
    <t>20-04-2023 01:30</t>
  </si>
  <si>
    <t>20-04-2023 01:45</t>
  </si>
  <si>
    <t>20-04-2023 02:00</t>
  </si>
  <si>
    <t>20-04-2023 02:15</t>
  </si>
  <si>
    <t>20-04-2023 02:30</t>
  </si>
  <si>
    <t>20-04-2023 02:45</t>
  </si>
  <si>
    <t>20-04-2023 03:00</t>
  </si>
  <si>
    <t>20-04-2023 03:15</t>
  </si>
  <si>
    <t>20-04-2023 03:30</t>
  </si>
  <si>
    <t>20-04-2023 03:45</t>
  </si>
  <si>
    <t>20-04-2023 04:00</t>
  </si>
  <si>
    <t>20-04-2023 04:15</t>
  </si>
  <si>
    <t>20-04-2023 04:30</t>
  </si>
  <si>
    <t>20-04-2023 04:45</t>
  </si>
  <si>
    <t>20-04-2023 05:00</t>
  </si>
  <si>
    <t>20-04-2023 05:15</t>
  </si>
  <si>
    <t>20-04-2023 05:30</t>
  </si>
  <si>
    <t>20-04-2023 05:45</t>
  </si>
  <si>
    <t>20-04-2023 06:00</t>
  </si>
  <si>
    <t>20-04-2023 06:15</t>
  </si>
  <si>
    <t>20-04-2023 06:30</t>
  </si>
  <si>
    <t>20-04-2023 06:45</t>
  </si>
  <si>
    <t>20-04-2023 07:00</t>
  </si>
  <si>
    <t>20-04-2023 07:15</t>
  </si>
  <si>
    <t>20-04-2023 07:30</t>
  </si>
  <si>
    <t>20-04-2023 07:45</t>
  </si>
  <si>
    <t>20-04-2023 08:00</t>
  </si>
  <si>
    <t>20-04-2023 08:15</t>
  </si>
  <si>
    <t>20-04-2023 08:30</t>
  </si>
  <si>
    <t>20-04-2023 08:45</t>
  </si>
  <si>
    <t>20-04-2023 09:00</t>
  </si>
  <si>
    <t>20-04-2023 09:15</t>
  </si>
  <si>
    <t>20-04-2023 09:30</t>
  </si>
  <si>
    <t>20-04-2023 09:45</t>
  </si>
  <si>
    <t>20-04-2023 10:00</t>
  </si>
  <si>
    <t>20-04-2023 10:15</t>
  </si>
  <si>
    <t>20-04-2023 10:30</t>
  </si>
  <si>
    <t>20-04-2023 10:45</t>
  </si>
  <si>
    <t>20-04-2023 11:00</t>
  </si>
  <si>
    <t>20-04-2023 11:15</t>
  </si>
  <si>
    <t>20-04-2023 11:30</t>
  </si>
  <si>
    <t>20-04-2023 11:45</t>
  </si>
  <si>
    <t>20-04-2023 12:00</t>
  </si>
  <si>
    <t>20-04-2023 12:15</t>
  </si>
  <si>
    <t>20-04-2023 12:30</t>
  </si>
  <si>
    <t>20-04-2023 12:45</t>
  </si>
  <si>
    <t>20-04-2023 13:00</t>
  </si>
  <si>
    <t>20-04-2023 13:15</t>
  </si>
  <si>
    <t>20-04-2023 13:30</t>
  </si>
  <si>
    <t>20-04-2023 13:45</t>
  </si>
  <si>
    <t>20-04-2023 14:00</t>
  </si>
  <si>
    <t>20-04-2023 14:15</t>
  </si>
  <si>
    <t>20-04-2023 14:30</t>
  </si>
  <si>
    <t>20-04-2023 14:45</t>
  </si>
  <si>
    <t>20-04-2023 15:00</t>
  </si>
  <si>
    <t>20-04-2023 15:15</t>
  </si>
  <si>
    <t>20-04-2023 15:30</t>
  </si>
  <si>
    <t>20-04-2023 15:45</t>
  </si>
  <si>
    <t>20-04-2023 16:00</t>
  </si>
  <si>
    <t>20-04-2023 16:15</t>
  </si>
  <si>
    <t>20-04-2023 16:30</t>
  </si>
  <si>
    <t>20-04-2023 16:45</t>
  </si>
  <si>
    <t>20-04-2023 17:00</t>
  </si>
  <si>
    <t>20-04-2023 17:15</t>
  </si>
  <si>
    <t>20-04-2023 17:30</t>
  </si>
  <si>
    <t>20-04-2023 17:45</t>
  </si>
  <si>
    <t>20-04-2023 18:00</t>
  </si>
  <si>
    <t>20-04-2023 18:15</t>
  </si>
  <si>
    <t>20-04-2023 18:30</t>
  </si>
  <si>
    <t>20-04-2023 18:45</t>
  </si>
  <si>
    <t>20-04-2023 19:00</t>
  </si>
  <si>
    <t>20-04-2023 19:15</t>
  </si>
  <si>
    <t>20-04-2023 19:30</t>
  </si>
  <si>
    <t>20-04-2023 19:45</t>
  </si>
  <si>
    <t>20-04-2023 20:00</t>
  </si>
  <si>
    <t>20-04-2023 20:15</t>
  </si>
  <si>
    <t>20-04-2023 20:30</t>
  </si>
  <si>
    <t>20-04-2023 20:45</t>
  </si>
  <si>
    <t>20-04-2023 21:00</t>
  </si>
  <si>
    <t>20-04-2023 21:15</t>
  </si>
  <si>
    <t>20-04-2023 21:30</t>
  </si>
  <si>
    <t>20-04-2023 21:45</t>
  </si>
  <si>
    <t>20-04-2023 22:00</t>
  </si>
  <si>
    <t>20-04-2023 22:15</t>
  </si>
  <si>
    <t>20-04-2023 22:30</t>
  </si>
  <si>
    <t>20-04-2023 22:45</t>
  </si>
  <si>
    <t>20-04-2023 23:00</t>
  </si>
  <si>
    <t>20-04-2023 23:15</t>
  </si>
  <si>
    <t>20-04-2023 23:30</t>
  </si>
  <si>
    <t>20-04-2023 23:45</t>
  </si>
  <si>
    <t>20-04-2023 24:00</t>
  </si>
  <si>
    <t>21/04/203 11:40</t>
  </si>
  <si>
    <t>21/04/203 01:45</t>
  </si>
  <si>
    <t>21-04-2023 00:15</t>
  </si>
  <si>
    <t>21-04-2023 00:30</t>
  </si>
  <si>
    <t>21-04-2023 00:45</t>
  </si>
  <si>
    <t>21-04-2023 01:00</t>
  </si>
  <si>
    <t>21-04-2023 01:15</t>
  </si>
  <si>
    <t>21-04-2023 01:30</t>
  </si>
  <si>
    <t>21-04-2023 01:45</t>
  </si>
  <si>
    <t>21-04-2023 02:00</t>
  </si>
  <si>
    <t>21-04-2023 02:15</t>
  </si>
  <si>
    <t>21-04-2023 02:30</t>
  </si>
  <si>
    <t>21-04-2023 02:45</t>
  </si>
  <si>
    <t>21-04-2023 03:00</t>
  </si>
  <si>
    <t>21-04-2023 03:15</t>
  </si>
  <si>
    <t>21-04-2023 03:30</t>
  </si>
  <si>
    <t>21-04-2023 03:45</t>
  </si>
  <si>
    <t>21-04-2023 04:00</t>
  </si>
  <si>
    <t>21-04-2023 04:15</t>
  </si>
  <si>
    <t>21-04-2023 04:30</t>
  </si>
  <si>
    <t>21-04-2023 04:45</t>
  </si>
  <si>
    <t>21-04-2023 05:00</t>
  </si>
  <si>
    <t>21-04-2023 05:15</t>
  </si>
  <si>
    <t>21-04-2023 05:30</t>
  </si>
  <si>
    <t>21-04-2023 05:45</t>
  </si>
  <si>
    <t>21-04-2023 06:00</t>
  </si>
  <si>
    <t>21-04-2023 06:15</t>
  </si>
  <si>
    <t>21-04-2023 06:30</t>
  </si>
  <si>
    <t>21-04-2023 06:45</t>
  </si>
  <si>
    <t>21-04-2023 07:00</t>
  </si>
  <si>
    <t>21-04-2023 07:15</t>
  </si>
  <si>
    <t>21-04-2023 07:30</t>
  </si>
  <si>
    <t>21-04-2023 07:45</t>
  </si>
  <si>
    <t>21-04-2023 08:00</t>
  </si>
  <si>
    <t>21-04-2023 08:15</t>
  </si>
  <si>
    <t>21-04-2023 08:30</t>
  </si>
  <si>
    <t>21-04-2023 08:45</t>
  </si>
  <si>
    <t>21-04-2023 09:00</t>
  </si>
  <si>
    <t>21-04-2023 09:15</t>
  </si>
  <si>
    <t>21-04-2023 09:30</t>
  </si>
  <si>
    <t>21-04-2023 09:45</t>
  </si>
  <si>
    <t>21-04-2023 10:00</t>
  </si>
  <si>
    <t>21-04-2023 10:15</t>
  </si>
  <si>
    <t>21-04-2023 10:30</t>
  </si>
  <si>
    <t>21-04-2023 10:45</t>
  </si>
  <si>
    <t>21-04-2023 11:00</t>
  </si>
  <si>
    <t>21-04-2023 11:15</t>
  </si>
  <si>
    <t>21-04-2023 11:30</t>
  </si>
  <si>
    <t>21-04-2023 11:45</t>
  </si>
  <si>
    <t>21-04-2023 12:00</t>
  </si>
  <si>
    <t>21-04-2023 12:15</t>
  </si>
  <si>
    <t>21-04-2023 12:30</t>
  </si>
  <si>
    <t>21-04-2023 12:45</t>
  </si>
  <si>
    <t>21-04-2023 13:00</t>
  </si>
  <si>
    <t>21-04-2023 13:15</t>
  </si>
  <si>
    <t>21-04-2023 13:30</t>
  </si>
  <si>
    <t>21-04-2023 13:45</t>
  </si>
  <si>
    <t>21-04-2023 14:00</t>
  </si>
  <si>
    <t>21-04-2023 14:15</t>
  </si>
  <si>
    <t>21-04-2023 14:30</t>
  </si>
  <si>
    <t>21-04-2023 14:45</t>
  </si>
  <si>
    <t>21-04-2023 15:00</t>
  </si>
  <si>
    <t>21-04-2023 15:15</t>
  </si>
  <si>
    <t>21-04-2023 15:30</t>
  </si>
  <si>
    <t>21-04-2023 15:45</t>
  </si>
  <si>
    <t>21-04-2023 16:00</t>
  </si>
  <si>
    <t>21-04-2023 16:15</t>
  </si>
  <si>
    <t>21-04-2023 16:30</t>
  </si>
  <si>
    <t>21-04-2023 16:45</t>
  </si>
  <si>
    <t>21-04-2023 17:00</t>
  </si>
  <si>
    <t>21-04-2023 17:15</t>
  </si>
  <si>
    <t>21-04-2023 17:30</t>
  </si>
  <si>
    <t>21-04-2023 17:45</t>
  </si>
  <si>
    <t>21-04-2023 18:00</t>
  </si>
  <si>
    <t>21-04-2023 18:15</t>
  </si>
  <si>
    <t>21-04-2023 18:30</t>
  </si>
  <si>
    <t>21-04-2023 18:45</t>
  </si>
  <si>
    <t>21-04-2023 19:00</t>
  </si>
  <si>
    <t>21-04-2023 19:15</t>
  </si>
  <si>
    <t>21-04-2023 19:30</t>
  </si>
  <si>
    <t>21-04-2023 19:45</t>
  </si>
  <si>
    <t>21-04-2023 20:00</t>
  </si>
  <si>
    <t>21-04-2023 20:15</t>
  </si>
  <si>
    <t>21-04-2023 20:30</t>
  </si>
  <si>
    <t>21-04-2023 20:45</t>
  </si>
  <si>
    <t>21-04-2023 21:00</t>
  </si>
  <si>
    <t>21-04-2023 21:15</t>
  </si>
  <si>
    <t>21-04-2023 21:30</t>
  </si>
  <si>
    <t>21-04-2023 21:45</t>
  </si>
  <si>
    <t>21-04-2023 22:00</t>
  </si>
  <si>
    <t>21-04-2023 22:15</t>
  </si>
  <si>
    <t>21-04-2023 22:30</t>
  </si>
  <si>
    <t>21-04-2023 22:45</t>
  </si>
  <si>
    <t>21-04-2023 23:00</t>
  </si>
  <si>
    <t>21-04-2023 23:15</t>
  </si>
  <si>
    <t>21-04-2023 23:30</t>
  </si>
  <si>
    <t>21-04-2023 23:45</t>
  </si>
  <si>
    <t>21-04-2023 24:00</t>
  </si>
  <si>
    <t>22-04-2023 00:15</t>
  </si>
  <si>
    <t>22-04-2023 00:30</t>
  </si>
  <si>
    <t>22-04-2023 00:45</t>
  </si>
  <si>
    <t>22-04-2023 01:00</t>
  </si>
  <si>
    <t>22-04-2023 01:15</t>
  </si>
  <si>
    <t>22-04-2023 01:30</t>
  </si>
  <si>
    <t>22-04-2023 01:45</t>
  </si>
  <si>
    <t>22-04-2023 02:00</t>
  </si>
  <si>
    <t>22-04-2023 02:15</t>
  </si>
  <si>
    <t>22-04-2023 02:30</t>
  </si>
  <si>
    <t>22-04-2023 02:45</t>
  </si>
  <si>
    <t>22-04-2023 03:00</t>
  </si>
  <si>
    <t>22-04-2023 03:15</t>
  </si>
  <si>
    <t>22-04-2023 03:30</t>
  </si>
  <si>
    <t>22-04-2023 03:45</t>
  </si>
  <si>
    <t>22-04-2023 04:00</t>
  </si>
  <si>
    <t>22-04-2023 04:15</t>
  </si>
  <si>
    <t>22-04-2023 04:30</t>
  </si>
  <si>
    <t>22-04-2023 04:45</t>
  </si>
  <si>
    <t>22-04-2023 05:00</t>
  </si>
  <si>
    <t>22-04-2023 05:15</t>
  </si>
  <si>
    <t>22-04-2023 05:30</t>
  </si>
  <si>
    <t>22-04-2023 05:45</t>
  </si>
  <si>
    <t>22-04-2023 06:00</t>
  </si>
  <si>
    <t>22-04-2023 06:15</t>
  </si>
  <si>
    <t>22-04-2023 06:30</t>
  </si>
  <si>
    <t>22-04-2023 06:45</t>
  </si>
  <si>
    <t>22-04-2023 07:00</t>
  </si>
  <si>
    <t>22-04-2023 07:15</t>
  </si>
  <si>
    <t>22-04-2023 07:30</t>
  </si>
  <si>
    <t>22-04-2023 07:45</t>
  </si>
  <si>
    <t>22-04-2023 08:00</t>
  </si>
  <si>
    <t>22-04-2023 08:15</t>
  </si>
  <si>
    <t>22-04-2023 08:30</t>
  </si>
  <si>
    <t>22-04-2023 08:45</t>
  </si>
  <si>
    <t>22-04-2023 09:00</t>
  </si>
  <si>
    <t>22-04-2023 09:15</t>
  </si>
  <si>
    <t>22-04-2023 09:30</t>
  </si>
  <si>
    <t>22-04-2023 09:45</t>
  </si>
  <si>
    <t>22-04-2023 10:00</t>
  </si>
  <si>
    <t>22-04-2023 10:15</t>
  </si>
  <si>
    <t>22-04-2023 10:30</t>
  </si>
  <si>
    <t>22-04-2023 10:45</t>
  </si>
  <si>
    <t>22-04-2023 11:00</t>
  </si>
  <si>
    <t>22-04-2023 11:15</t>
  </si>
  <si>
    <t>22-04-2023 11:30</t>
  </si>
  <si>
    <t>22-04-2023 11:45</t>
  </si>
  <si>
    <t>22-04-2023 12:00</t>
  </si>
  <si>
    <t>22-04-2023 12:15</t>
  </si>
  <si>
    <t>22-04-2023 12:30</t>
  </si>
  <si>
    <t>22-04-2023 12:45</t>
  </si>
  <si>
    <t>22-04-2023 13:00</t>
  </si>
  <si>
    <t>22-04-2023 13:15</t>
  </si>
  <si>
    <t>22-04-2023 13:30</t>
  </si>
  <si>
    <t>22-04-2023 13:45</t>
  </si>
  <si>
    <t>22-04-2023 14:00</t>
  </si>
  <si>
    <t>22-04-2023 14:15</t>
  </si>
  <si>
    <t>22-04-2023 14:30</t>
  </si>
  <si>
    <t>22-04-2023 14:45</t>
  </si>
  <si>
    <t>22-04-2023 15:00</t>
  </si>
  <si>
    <t>22-04-2023 15:15</t>
  </si>
  <si>
    <t>22-04-2023 15:30</t>
  </si>
  <si>
    <t>22-04-2023 15:45</t>
  </si>
  <si>
    <t>22-04-2023 16:00</t>
  </si>
  <si>
    <t>22-04-2023 16:15</t>
  </si>
  <si>
    <t>22-04-2023 16:30</t>
  </si>
  <si>
    <t>22-04-2023 16:45</t>
  </si>
  <si>
    <t>22-04-2023 17:00</t>
  </si>
  <si>
    <t>22-04-2023 17:15</t>
  </si>
  <si>
    <t>22-04-2023 17:30</t>
  </si>
  <si>
    <t>22-04-2023 17:45</t>
  </si>
  <si>
    <t>22-04-2023 18:00</t>
  </si>
  <si>
    <t>22-04-2023 18:15</t>
  </si>
  <si>
    <t>22-04-2023 18:30</t>
  </si>
  <si>
    <t>22-04-2023 18:45</t>
  </si>
  <si>
    <t>22-04-2023 19:00</t>
  </si>
  <si>
    <t>22-04-2023 19:15</t>
  </si>
  <si>
    <t>22-04-2023 19:30</t>
  </si>
  <si>
    <t>22-04-2023 19:45</t>
  </si>
  <si>
    <t>22-04-2023 20:00</t>
  </si>
  <si>
    <t>22-04-2023 20:15</t>
  </si>
  <si>
    <t>22-04-2023 20:30</t>
  </si>
  <si>
    <t>22-04-2023 20:45</t>
  </si>
  <si>
    <t>22-04-2023 21:00</t>
  </si>
  <si>
    <t>22-04-2023 21:15</t>
  </si>
  <si>
    <t>22-04-2023 21:30</t>
  </si>
  <si>
    <t>22-04-2023 21:45</t>
  </si>
  <si>
    <t>22-04-2023 22:00</t>
  </si>
  <si>
    <t>22-04-2023 22:15</t>
  </si>
  <si>
    <t>22-04-2023 22:30</t>
  </si>
  <si>
    <t>22-04-2023 22:45</t>
  </si>
  <si>
    <t>22-04-2023 23:00</t>
  </si>
  <si>
    <t>22-04-2023 23:15</t>
  </si>
  <si>
    <t>22-04-2023 23:30</t>
  </si>
  <si>
    <t>22-04-2023 23:45</t>
  </si>
  <si>
    <t>22-04-2023 24:00</t>
  </si>
  <si>
    <t>23-04-2023 00:15</t>
  </si>
  <si>
    <t>23-04-2023 00:30</t>
  </si>
  <si>
    <t>23-04-2023 00:45</t>
  </si>
  <si>
    <t>23-04-2023 01:00</t>
  </si>
  <si>
    <t>23-04-2023 01:15</t>
  </si>
  <si>
    <t>23-04-2023 01:30</t>
  </si>
  <si>
    <t>23-04-2023 01:45</t>
  </si>
  <si>
    <t>23-04-2023 02:00</t>
  </si>
  <si>
    <t>23-04-2023 02:15</t>
  </si>
  <si>
    <t>23-04-2023 02:30</t>
  </si>
  <si>
    <t>23-04-2023 02:45</t>
  </si>
  <si>
    <t>23-04-2023 03:00</t>
  </si>
  <si>
    <t>23-04-2023 03:15</t>
  </si>
  <si>
    <t>23-04-2023 03:30</t>
  </si>
  <si>
    <t>23-04-2023 03:45</t>
  </si>
  <si>
    <t>23-04-2023 04:00</t>
  </si>
  <si>
    <t>23-04-2023 04:15</t>
  </si>
  <si>
    <t>23-04-2023 04:30</t>
  </si>
  <si>
    <t>23-04-2023 04:45</t>
  </si>
  <si>
    <t>23-04-2023 05:00</t>
  </si>
  <si>
    <t>23-04-2023 05:15</t>
  </si>
  <si>
    <t>23-04-2023 05:30</t>
  </si>
  <si>
    <t>23-04-2023 05:45</t>
  </si>
  <si>
    <t>23-04-2023 06:00</t>
  </si>
  <si>
    <t>23-04-2023 06:15</t>
  </si>
  <si>
    <t>23-04-2023 06:30</t>
  </si>
  <si>
    <t>23-04-2023 06:45</t>
  </si>
  <si>
    <t>23-04-2023 07:00</t>
  </si>
  <si>
    <t>23-04-2023 07:15</t>
  </si>
  <si>
    <t>23-04-2023 07:30</t>
  </si>
  <si>
    <t>23-04-2023 07:45</t>
  </si>
  <si>
    <t>23-04-2023 08:00</t>
  </si>
  <si>
    <t>23-04-2023 08:15</t>
  </si>
  <si>
    <t>23-04-2023 08:30</t>
  </si>
  <si>
    <t>23-04-2023 08:45</t>
  </si>
  <si>
    <t>23-04-2023 09:00</t>
  </si>
  <si>
    <t>23-04-2023 09:15</t>
  </si>
  <si>
    <t>23-04-2023 09:30</t>
  </si>
  <si>
    <t>23-04-2023 09:45</t>
  </si>
  <si>
    <t>23-04-2023 10:00</t>
  </si>
  <si>
    <t>23-04-2023 10:15</t>
  </si>
  <si>
    <t>23-04-2023 10:30</t>
  </si>
  <si>
    <t>23-04-2023 10:45</t>
  </si>
  <si>
    <t>23-04-2023 11:00</t>
  </si>
  <si>
    <t>23-04-2023 11:15</t>
  </si>
  <si>
    <t>23-04-2023 11:30</t>
  </si>
  <si>
    <t>23-04-2023 11:45</t>
  </si>
  <si>
    <t>23-04-2023 12:00</t>
  </si>
  <si>
    <t>23-04-2023 12:15</t>
  </si>
  <si>
    <t>23-04-2023 12:30</t>
  </si>
  <si>
    <t>23-04-2023 12:45</t>
  </si>
  <si>
    <t>23-04-2023 13:00</t>
  </si>
  <si>
    <t>23-04-2023 13:15</t>
  </si>
  <si>
    <t>23-04-2023 13:30</t>
  </si>
  <si>
    <t>23-04-2023 13:45</t>
  </si>
  <si>
    <t>23-04-2023 14:00</t>
  </si>
  <si>
    <t>23-04-2023 14:15</t>
  </si>
  <si>
    <t>23-04-2023 14:30</t>
  </si>
  <si>
    <t>23-04-2023 14:45</t>
  </si>
  <si>
    <t>23-04-2023 15:00</t>
  </si>
  <si>
    <t>23-04-2023 15:15</t>
  </si>
  <si>
    <t>23-04-2023 15:30</t>
  </si>
  <si>
    <t>23-04-2023 15:45</t>
  </si>
  <si>
    <t>23-04-2023 16:00</t>
  </si>
  <si>
    <t>23-04-2023 16:15</t>
  </si>
  <si>
    <t>23-04-2023 16:30</t>
  </si>
  <si>
    <t>23-04-2023 16:45</t>
  </si>
  <si>
    <t>23-04-2023 17:00</t>
  </si>
  <si>
    <t>23-04-2023 17:15</t>
  </si>
  <si>
    <t>23-04-2023 17:30</t>
  </si>
  <si>
    <t>23-04-2023 17:45</t>
  </si>
  <si>
    <t>23-04-2023 18:00</t>
  </si>
  <si>
    <t>23-04-2023 18:15</t>
  </si>
  <si>
    <t>23-04-2023 18:30</t>
  </si>
  <si>
    <t>23-04-2023 18:45</t>
  </si>
  <si>
    <t>23-04-2023 19:00</t>
  </si>
  <si>
    <t>23-04-2023 19:15</t>
  </si>
  <si>
    <t>23-04-2023 19:30</t>
  </si>
  <si>
    <t>23-04-2023 19:45</t>
  </si>
  <si>
    <t>23-04-2023 20:00</t>
  </si>
  <si>
    <t>23-04-2023 20:15</t>
  </si>
  <si>
    <t>23-04-2023 20:30</t>
  </si>
  <si>
    <t>23-04-2023 20:45</t>
  </si>
  <si>
    <t>23-04-2023 21:00</t>
  </si>
  <si>
    <t>23-04-2023 21:15</t>
  </si>
  <si>
    <t>23-04-2023 21:30</t>
  </si>
  <si>
    <t>23-04-2023 21:45</t>
  </si>
  <si>
    <t>23-04-2023 22:00</t>
  </si>
  <si>
    <t>23-04-2023 22:15</t>
  </si>
  <si>
    <t>23-04-2023 22:30</t>
  </si>
  <si>
    <t>23-04-2023 22:45</t>
  </si>
  <si>
    <t>23-04-2023 23:00</t>
  </si>
  <si>
    <t>23-04-2023 23:15</t>
  </si>
  <si>
    <t>23-04-2023 23:30</t>
  </si>
  <si>
    <t>23-04-2023 23:45</t>
  </si>
  <si>
    <t>23-04-2023 24:00</t>
  </si>
  <si>
    <t>24-04-2023 00:15</t>
  </si>
  <si>
    <t>24-04-2023 00:30</t>
  </si>
  <si>
    <t>24-04-2023 00:45</t>
  </si>
  <si>
    <t>24-04-2023 01:00</t>
  </si>
  <si>
    <t>24-04-2023 01:15</t>
  </si>
  <si>
    <t>24-04-2023 01:30</t>
  </si>
  <si>
    <t>24-04-2023 01:45</t>
  </si>
  <si>
    <t>24-04-2023 02:00</t>
  </si>
  <si>
    <t>24-04-2023 02:15</t>
  </si>
  <si>
    <t>24-04-2023 02:30</t>
  </si>
  <si>
    <t>24-04-2023 02:45</t>
  </si>
  <si>
    <t>24-04-2023 03:00</t>
  </si>
  <si>
    <t>24-04-2023 03:15</t>
  </si>
  <si>
    <t>24-04-2023 03:30</t>
  </si>
  <si>
    <t>24-04-2023 03:45</t>
  </si>
  <si>
    <t>24-04-2023 04:00</t>
  </si>
  <si>
    <t>24-04-2023 04:15</t>
  </si>
  <si>
    <t>24-04-2023 04:30</t>
  </si>
  <si>
    <t>24-04-2023 04:45</t>
  </si>
  <si>
    <t>24-04-2023 05:00</t>
  </si>
  <si>
    <t>24-04-2023 05:15</t>
  </si>
  <si>
    <t>24-04-2023 05:30</t>
  </si>
  <si>
    <t>24-04-2023 05:45</t>
  </si>
  <si>
    <t>24-04-2023 06:00</t>
  </si>
  <si>
    <t>24-04-2023 06:15</t>
  </si>
  <si>
    <t>24-04-2023 06:30</t>
  </si>
  <si>
    <t>24-04-2023 06:45</t>
  </si>
  <si>
    <t>24-04-2023 07:00</t>
  </si>
  <si>
    <t>24-04-2023 07:15</t>
  </si>
  <si>
    <t>24-04-2023 07:30</t>
  </si>
  <si>
    <t>24-04-2023 07:45</t>
  </si>
  <si>
    <t>24-04-2023 08:00</t>
  </si>
  <si>
    <t>24-04-2023 08:15</t>
  </si>
  <si>
    <t>24-04-2023 08:30</t>
  </si>
  <si>
    <t>24-04-2023 08:45</t>
  </si>
  <si>
    <t>24-04-2023 09:00</t>
  </si>
  <si>
    <t>24-04-2023 09:15</t>
  </si>
  <si>
    <t>24-04-2023 09:30</t>
  </si>
  <si>
    <t>24-04-2023 09:45</t>
  </si>
  <si>
    <t>24-04-2023 10:00</t>
  </si>
  <si>
    <t>24-04-2023 10:15</t>
  </si>
  <si>
    <t>24-04-2023 10:30</t>
  </si>
  <si>
    <t>24-04-2023 10:45</t>
  </si>
  <si>
    <t>24-04-2023 11:00</t>
  </si>
  <si>
    <t>24-04-2023 11:15</t>
  </si>
  <si>
    <t>24-04-2023 11:30</t>
  </si>
  <si>
    <t>24-04-2023 11:45</t>
  </si>
  <si>
    <t>24-04-2023 12:00</t>
  </si>
  <si>
    <t>24-04-2023 12:15</t>
  </si>
  <si>
    <t>24-04-2023 12:30</t>
  </si>
  <si>
    <t>24-04-2023 12:45</t>
  </si>
  <si>
    <t>24-04-2023 13:00</t>
  </si>
  <si>
    <t>24-04-2023 13:15</t>
  </si>
  <si>
    <t>24-04-2023 13:30</t>
  </si>
  <si>
    <t>24-04-2023 13:45</t>
  </si>
  <si>
    <t>24-04-2023 14:00</t>
  </si>
  <si>
    <t>24-04-2023 14:15</t>
  </si>
  <si>
    <t>24-04-2023 14:30</t>
  </si>
  <si>
    <t>24-04-2023 14:45</t>
  </si>
  <si>
    <t>24-04-2023 15:00</t>
  </si>
  <si>
    <t>24-04-2023 15:15</t>
  </si>
  <si>
    <t>24-04-2023 15:30</t>
  </si>
  <si>
    <t>24-04-2023 15:45</t>
  </si>
  <si>
    <t>24-04-2023 16:00</t>
  </si>
  <si>
    <t>24-04-2023 16:15</t>
  </si>
  <si>
    <t>24-04-2023 16:30</t>
  </si>
  <si>
    <t>24-04-2023 16:45</t>
  </si>
  <si>
    <t>24-04-2023 17:00</t>
  </si>
  <si>
    <t>24-04-2023 17:15</t>
  </si>
  <si>
    <t>24-04-2023 17:30</t>
  </si>
  <si>
    <t>24-04-2023 17:45</t>
  </si>
  <si>
    <t>24-04-2023 18:00</t>
  </si>
  <si>
    <t>24-04-2023 18:15</t>
  </si>
  <si>
    <t>24-04-2023 18:30</t>
  </si>
  <si>
    <t>24-04-2023 18:45</t>
  </si>
  <si>
    <t>24-04-2023 19:00</t>
  </si>
  <si>
    <t>24-04-2023 19:15</t>
  </si>
  <si>
    <t>24-04-2023 19:30</t>
  </si>
  <si>
    <t>24-04-2023 19:45</t>
  </si>
  <si>
    <t>24-04-2023 20:00</t>
  </si>
  <si>
    <t>24-04-2023 20:15</t>
  </si>
  <si>
    <t>24-04-2023 20:30</t>
  </si>
  <si>
    <t>24-04-2023 20:45</t>
  </si>
  <si>
    <t>24-04-2023 21:00</t>
  </si>
  <si>
    <t>24-04-2023 21:15</t>
  </si>
  <si>
    <t>24-04-2023 21:30</t>
  </si>
  <si>
    <t>24-04-2023 21:45</t>
  </si>
  <si>
    <t>24-04-2023 22:00</t>
  </si>
  <si>
    <t>24-04-2023 22:15</t>
  </si>
  <si>
    <t>24-04-2023 22:30</t>
  </si>
  <si>
    <t>24-04-2023 22:45</t>
  </si>
  <si>
    <t>24-04-2023 23:00</t>
  </si>
  <si>
    <t>24-04-2023 23:15</t>
  </si>
  <si>
    <t>24-04-2023 23:30</t>
  </si>
  <si>
    <t>24-04-2023 23:45</t>
  </si>
  <si>
    <t>24-04-2023 24:00</t>
  </si>
  <si>
    <t>25-04-2023 00:15</t>
  </si>
  <si>
    <t>25-04-2023 00:30</t>
  </si>
  <si>
    <t>25-04-2023 00:45</t>
  </si>
  <si>
    <t>25-04-2023 01:00</t>
  </si>
  <si>
    <t>25-04-2023 01:15</t>
  </si>
  <si>
    <t>25-04-2023 01:30</t>
  </si>
  <si>
    <t>25-04-2023 01:45</t>
  </si>
  <si>
    <t>25-04-2023 02:00</t>
  </si>
  <si>
    <t>25-04-2023 02:15</t>
  </si>
  <si>
    <t>25-04-2023 02:30</t>
  </si>
  <si>
    <t>25-04-2023 02:45</t>
  </si>
  <si>
    <t>25-04-2023 03:00</t>
  </si>
  <si>
    <t>25-04-2023 03:15</t>
  </si>
  <si>
    <t>25-04-2023 03:30</t>
  </si>
  <si>
    <t>25-04-2023 03:45</t>
  </si>
  <si>
    <t>25-04-2023 04:00</t>
  </si>
  <si>
    <t>25-04-2023 04:15</t>
  </si>
  <si>
    <t>25-04-2023 04:30</t>
  </si>
  <si>
    <t>25-04-2023 04:45</t>
  </si>
  <si>
    <t>25-04-2023 05:00</t>
  </si>
  <si>
    <t>25-04-2023 05:15</t>
  </si>
  <si>
    <t>25-04-2023 05:30</t>
  </si>
  <si>
    <t>25-04-2023 05:45</t>
  </si>
  <si>
    <t>25-04-2023 06:00</t>
  </si>
  <si>
    <t>25-04-2023 06:15</t>
  </si>
  <si>
    <t>25-04-2023 06:30</t>
  </si>
  <si>
    <t>25-04-2023 06:45</t>
  </si>
  <si>
    <t>25-04-2023 07:00</t>
  </si>
  <si>
    <t>25-04-2023 07:15</t>
  </si>
  <si>
    <t>25-04-2023 07:30</t>
  </si>
  <si>
    <t>25-04-2023 07:45</t>
  </si>
  <si>
    <t>25-04-2023 08:00</t>
  </si>
  <si>
    <t>25-04-2023 08:15</t>
  </si>
  <si>
    <t>25-04-2023 08:30</t>
  </si>
  <si>
    <t>25-04-2023 08:45</t>
  </si>
  <si>
    <t>25-04-2023 09:00</t>
  </si>
  <si>
    <t>25-04-2023 09:15</t>
  </si>
  <si>
    <t>25-04-2023 09:30</t>
  </si>
  <si>
    <t>25-04-2023 09:45</t>
  </si>
  <si>
    <t>25-04-2023 10:00</t>
  </si>
  <si>
    <t>25-04-2023 10:15</t>
  </si>
  <si>
    <t>25-04-2023 10:30</t>
  </si>
  <si>
    <t>25-04-2023 10:45</t>
  </si>
  <si>
    <t>25-04-2023 11:00</t>
  </si>
  <si>
    <t>25-04-2023 11:15</t>
  </si>
  <si>
    <t>25-04-2023 11:30</t>
  </si>
  <si>
    <t>25-04-2023 11:45</t>
  </si>
  <si>
    <t>25-04-2023 12:00</t>
  </si>
  <si>
    <t>25-04-2023 12:15</t>
  </si>
  <si>
    <t>25-04-2023 12:30</t>
  </si>
  <si>
    <t>25-04-2023 12:45</t>
  </si>
  <si>
    <t>25-04-2023 13:00</t>
  </si>
  <si>
    <t>25-04-2023 13:15</t>
  </si>
  <si>
    <t>25-04-2023 13:30</t>
  </si>
  <si>
    <t>25-04-2023 13:45</t>
  </si>
  <si>
    <t>25-04-2023 14:00</t>
  </si>
  <si>
    <t>25-04-2023 14:15</t>
  </si>
  <si>
    <t>25-04-2023 14:30</t>
  </si>
  <si>
    <t>25-04-2023 14:45</t>
  </si>
  <si>
    <t>25-04-2023 15:00</t>
  </si>
  <si>
    <t>25-04-2023 15:15</t>
  </si>
  <si>
    <t>25-04-2023 15:30</t>
  </si>
  <si>
    <t>25-04-2023 15:45</t>
  </si>
  <si>
    <t>25-04-2023 16:00</t>
  </si>
  <si>
    <t>25-04-2023 16:15</t>
  </si>
  <si>
    <t>25-04-2023 16:30</t>
  </si>
  <si>
    <t>25-04-2023 16:45</t>
  </si>
  <si>
    <t>25-04-2023 17:00</t>
  </si>
  <si>
    <t>25-04-2023 17:15</t>
  </si>
  <si>
    <t>25-04-2023 17:30</t>
  </si>
  <si>
    <t>25-04-2023 17:45</t>
  </si>
  <si>
    <t>25-04-2023 18:00</t>
  </si>
  <si>
    <t>25-04-2023 18:15</t>
  </si>
  <si>
    <t>25-04-2023 18:30</t>
  </si>
  <si>
    <t>25-04-2023 18:45</t>
  </si>
  <si>
    <t>25-04-2023 19:00</t>
  </si>
  <si>
    <t>25-04-2023 19:15</t>
  </si>
  <si>
    <t>25-04-2023 19:30</t>
  </si>
  <si>
    <t>25-04-2023 19:45</t>
  </si>
  <si>
    <t>25-04-2023 20:00</t>
  </si>
  <si>
    <t>25-04-2023 20:15</t>
  </si>
  <si>
    <t>25-04-2023 20:30</t>
  </si>
  <si>
    <t>25-04-2023 20:45</t>
  </si>
  <si>
    <t>25-04-2023 21:00</t>
  </si>
  <si>
    <t>25-04-2023 21:15</t>
  </si>
  <si>
    <t>25-04-2023 21:30</t>
  </si>
  <si>
    <t>25-04-2023 21:45</t>
  </si>
  <si>
    <t>25-04-2023 22:00</t>
  </si>
  <si>
    <t>25-04-2023 22:15</t>
  </si>
  <si>
    <t>25-04-2023 22:30</t>
  </si>
  <si>
    <t>25-04-2023 22:45</t>
  </si>
  <si>
    <t>25-04-2023 23:00</t>
  </si>
  <si>
    <t>25-04-2023 23:15</t>
  </si>
  <si>
    <t>25-04-2023 23:30</t>
  </si>
  <si>
    <t>25-04-2023 23:45</t>
  </si>
  <si>
    <t>25-04-2023 24:00</t>
  </si>
  <si>
    <t>26/04/*2023 01:27</t>
  </si>
  <si>
    <t>26-04-2023 00:15</t>
  </si>
  <si>
    <t>26-04-2023 00:30</t>
  </si>
  <si>
    <t>26-04-2023 00:45</t>
  </si>
  <si>
    <t>26-04-2023 01:00</t>
  </si>
  <si>
    <t>26-04-2023 01:15</t>
  </si>
  <si>
    <t>26-04-2023 01:30</t>
  </si>
  <si>
    <t>26-04-2023 01:45</t>
  </si>
  <si>
    <t>26-04-2023 02:00</t>
  </si>
  <si>
    <t>26-04-2023 02:15</t>
  </si>
  <si>
    <t>26-04-2023 02:30</t>
  </si>
  <si>
    <t>26-04-2023 02:45</t>
  </si>
  <si>
    <t>26-04-2023 03:00</t>
  </si>
  <si>
    <t>26-04-2023 03:15</t>
  </si>
  <si>
    <t>26-04-2023 03:30</t>
  </si>
  <si>
    <t>26-04-2023 03:45</t>
  </si>
  <si>
    <t>26-04-2023 04:00</t>
  </si>
  <si>
    <t>26-04-2023 04:15</t>
  </si>
  <si>
    <t>26-04-2023 04:30</t>
  </si>
  <si>
    <t>26-04-2023 04:45</t>
  </si>
  <si>
    <t>26-04-2023 05:00</t>
  </si>
  <si>
    <t>26-04-2023 05:15</t>
  </si>
  <si>
    <t>26-04-2023 05:30</t>
  </si>
  <si>
    <t>26-04-2023 05:45</t>
  </si>
  <si>
    <t>26-04-2023 06:00</t>
  </si>
  <si>
    <t>26-04-2023 06:15</t>
  </si>
  <si>
    <t>26-04-2023 06:30</t>
  </si>
  <si>
    <t>26-04-2023 06:45</t>
  </si>
  <si>
    <t>26-04-2023 07:00</t>
  </si>
  <si>
    <t>26-04-2023 07:15</t>
  </si>
  <si>
    <t>26-04-2023 07:30</t>
  </si>
  <si>
    <t>26-04-2023 07:45</t>
  </si>
  <si>
    <t>26-04-2023 08:00</t>
  </si>
  <si>
    <t>26-04-2023 08:15</t>
  </si>
  <si>
    <t>26-04-2023 08:30</t>
  </si>
  <si>
    <t>26-04-2023 08:45</t>
  </si>
  <si>
    <t>26-04-2023 09:00</t>
  </si>
  <si>
    <t>26-04-2023 09:15</t>
  </si>
  <si>
    <t>26-04-2023 09:30</t>
  </si>
  <si>
    <t>26-04-2023 09:45</t>
  </si>
  <si>
    <t>26-04-2023 10:00</t>
  </si>
  <si>
    <t>26-04-2023 10:15</t>
  </si>
  <si>
    <t>26-04-2023 10:30</t>
  </si>
  <si>
    <t>26-04-2023 10:45</t>
  </si>
  <si>
    <t>26-04-2023 11:00</t>
  </si>
  <si>
    <t>26-04-2023 11:15</t>
  </si>
  <si>
    <t>26-04-2023 11:30</t>
  </si>
  <si>
    <t>26-04-2023 11:45</t>
  </si>
  <si>
    <t>26-04-2023 12:00</t>
  </si>
  <si>
    <t>26-04-2023 12:15</t>
  </si>
  <si>
    <t>26-04-2023 12:30</t>
  </si>
  <si>
    <t>26-04-2023 12:45</t>
  </si>
  <si>
    <t>26-04-2023 13:00</t>
  </si>
  <si>
    <t>26-04-2023 13:15</t>
  </si>
  <si>
    <t>26-04-2023 13:30</t>
  </si>
  <si>
    <t>26-04-2023 13:45</t>
  </si>
  <si>
    <t>26-04-2023 14:00</t>
  </si>
  <si>
    <t>26-04-2023 14:15</t>
  </si>
  <si>
    <t>26-04-2023 14:30</t>
  </si>
  <si>
    <t>26-04-2023 14:45</t>
  </si>
  <si>
    <t>26-04-2023 15:00</t>
  </si>
  <si>
    <t>26-04-2023 15:15</t>
  </si>
  <si>
    <t>26-04-2023 15:30</t>
  </si>
  <si>
    <t>26-04-2023 15:45</t>
  </si>
  <si>
    <t>26-04-2023 16:00</t>
  </si>
  <si>
    <t>26-04-2023 16:15</t>
  </si>
  <si>
    <t>26-04-2023 16:30</t>
  </si>
  <si>
    <t>26-04-2023 16:45</t>
  </si>
  <si>
    <t>26-04-2023 17:00</t>
  </si>
  <si>
    <t>26-04-2023 17:15</t>
  </si>
  <si>
    <t>26-04-2023 17:30</t>
  </si>
  <si>
    <t>26-04-2023 17:45</t>
  </si>
  <si>
    <t>26-04-2023 18:00</t>
  </si>
  <si>
    <t>26-04-2023 18:15</t>
  </si>
  <si>
    <t>26-04-2023 18:30</t>
  </si>
  <si>
    <t>26-04-2023 18:45</t>
  </si>
  <si>
    <t>26-04-2023 19:00</t>
  </si>
  <si>
    <t>26-04-2023 19:15</t>
  </si>
  <si>
    <t>26-04-2023 19:30</t>
  </si>
  <si>
    <t>26-04-2023 19:45</t>
  </si>
  <si>
    <t>26-04-2023 20:00</t>
  </si>
  <si>
    <t>26-04-2023 20:15</t>
  </si>
  <si>
    <t>26-04-2023 20:30</t>
  </si>
  <si>
    <t>26-04-2023 20:45</t>
  </si>
  <si>
    <t>26-04-2023 21:00</t>
  </si>
  <si>
    <t>26-04-2023 21:15</t>
  </si>
  <si>
    <t>26-04-2023 21:30</t>
  </si>
  <si>
    <t>26-04-2023 21:45</t>
  </si>
  <si>
    <t>26-04-2023 22:00</t>
  </si>
  <si>
    <t>26-04-2023 22:15</t>
  </si>
  <si>
    <t>26-04-2023 22:30</t>
  </si>
  <si>
    <t>26-04-2023 22:45</t>
  </si>
  <si>
    <t>26-04-2023 23:00</t>
  </si>
  <si>
    <t>26-04-2023 23:15</t>
  </si>
  <si>
    <t>26-04-2023 23:30</t>
  </si>
  <si>
    <t>26-04-2023 23:45</t>
  </si>
  <si>
    <t>26-04-2023 24:00</t>
  </si>
  <si>
    <t>27-04-2023 00:15</t>
  </si>
  <si>
    <t>27-04-2023 00:30</t>
  </si>
  <si>
    <t>27-04-2023 00:45</t>
  </si>
  <si>
    <t>27-04-2023 01:00</t>
  </si>
  <si>
    <t>27-04-2023 01:15</t>
  </si>
  <si>
    <t>27-04-2023 01:30</t>
  </si>
  <si>
    <t>27-04-2023 01:45</t>
  </si>
  <si>
    <t>27-04-2023 02:00</t>
  </si>
  <si>
    <t>27-04-2023 02:15</t>
  </si>
  <si>
    <t>27-04-2023 02:30</t>
  </si>
  <si>
    <t>27-04-2023 02:45</t>
  </si>
  <si>
    <t>27-04-2023 03:00</t>
  </si>
  <si>
    <t>27-04-2023 03:15</t>
  </si>
  <si>
    <t>27-04-2023 03:30</t>
  </si>
  <si>
    <t>27-04-2023 03:45</t>
  </si>
  <si>
    <t>27-04-2023 04:00</t>
  </si>
  <si>
    <t>27-04-2023 04:15</t>
  </si>
  <si>
    <t>27-04-2023 04:30</t>
  </si>
  <si>
    <t>27-04-2023 04:45</t>
  </si>
  <si>
    <t>27-04-2023 05:00</t>
  </si>
  <si>
    <t>27-04-2023 05:15</t>
  </si>
  <si>
    <t>27-04-2023 05:30</t>
  </si>
  <si>
    <t>27-04-2023 05:45</t>
  </si>
  <si>
    <t>27-04-2023 06:00</t>
  </si>
  <si>
    <t>27-04-2023 06:15</t>
  </si>
  <si>
    <t>27-04-2023 06:30</t>
  </si>
  <si>
    <t>27-04-2023 06:45</t>
  </si>
  <si>
    <t>27-04-2023 07:00</t>
  </si>
  <si>
    <t>27-04-2023 07:15</t>
  </si>
  <si>
    <t>27-04-2023 07:30</t>
  </si>
  <si>
    <t>27-04-2023 07:45</t>
  </si>
  <si>
    <t>27-04-2023 08:00</t>
  </si>
  <si>
    <t>27-04-2023 08:15</t>
  </si>
  <si>
    <t>27-04-2023 08:30</t>
  </si>
  <si>
    <t>27-04-2023 08:45</t>
  </si>
  <si>
    <t>27-04-2023 09:00</t>
  </si>
  <si>
    <t>27-04-2023 09:15</t>
  </si>
  <si>
    <t>27-04-2023 09:30</t>
  </si>
  <si>
    <t>27-04-2023 09:45</t>
  </si>
  <si>
    <t>27-04-2023 10:00</t>
  </si>
  <si>
    <t>27-04-2023 10:15</t>
  </si>
  <si>
    <t>27-04-2023 10:30</t>
  </si>
  <si>
    <t>27-04-2023 10:45</t>
  </si>
  <si>
    <t>27-04-2023 11:00</t>
  </si>
  <si>
    <t>27-04-2023 11:15</t>
  </si>
  <si>
    <t>27-04-2023 11:30</t>
  </si>
  <si>
    <t>27-04-2023 11:45</t>
  </si>
  <si>
    <t>27-04-2023 12:00</t>
  </si>
  <si>
    <t>27-04-2023 12:15</t>
  </si>
  <si>
    <t>27-04-2023 12:30</t>
  </si>
  <si>
    <t>27-04-2023 12:45</t>
  </si>
  <si>
    <t>27-04-2023 13:00</t>
  </si>
  <si>
    <t>27-04-2023 13:15</t>
  </si>
  <si>
    <t>27-04-2023 13:30</t>
  </si>
  <si>
    <t>27-04-2023 13:45</t>
  </si>
  <si>
    <t>27-04-2023 14:00</t>
  </si>
  <si>
    <t>27-04-2023 14:15</t>
  </si>
  <si>
    <t>27-04-2023 14:30</t>
  </si>
  <si>
    <t>27-04-2023 14:45</t>
  </si>
  <si>
    <t>27-04-2023 15:00</t>
  </si>
  <si>
    <t>27-04-2023 15:15</t>
  </si>
  <si>
    <t>27-04-2023 15:30</t>
  </si>
  <si>
    <t>27-04-2023 15:45</t>
  </si>
  <si>
    <t>27-04-2023 16:00</t>
  </si>
  <si>
    <t>27-04-2023 16:15</t>
  </si>
  <si>
    <t>27-04-2023 16:30</t>
  </si>
  <si>
    <t>27-04-2023 16:45</t>
  </si>
  <si>
    <t>27-04-2023 17:00</t>
  </si>
  <si>
    <t>27-04-2023 17:15</t>
  </si>
  <si>
    <t>27-04-2023 17:30</t>
  </si>
  <si>
    <t>27-04-2023 17:45</t>
  </si>
  <si>
    <t>27-04-2023 18:00</t>
  </si>
  <si>
    <t>27-04-2023 18:15</t>
  </si>
  <si>
    <t>27-04-2023 18:30</t>
  </si>
  <si>
    <t>27-04-2023 18:45</t>
  </si>
  <si>
    <t>27-04-2023 19:00</t>
  </si>
  <si>
    <t>27-04-2023 19:15</t>
  </si>
  <si>
    <t>27-04-2023 19:30</t>
  </si>
  <si>
    <t>27-04-2023 19:45</t>
  </si>
  <si>
    <t>27-04-2023 20:00</t>
  </si>
  <si>
    <t>27-04-2023 20:15</t>
  </si>
  <si>
    <t>27-04-2023 20:30</t>
  </si>
  <si>
    <t>27-04-2023 20:45</t>
  </si>
  <si>
    <t>27-04-2023 21:00</t>
  </si>
  <si>
    <t>27-04-2023 21:15</t>
  </si>
  <si>
    <t>27-04-2023 21:30</t>
  </si>
  <si>
    <t>27-04-2023 21:45</t>
  </si>
  <si>
    <t>27-04-2023 22:00</t>
  </si>
  <si>
    <t>27-04-2023 22:15</t>
  </si>
  <si>
    <t>27-04-2023 22:30</t>
  </si>
  <si>
    <t>27-04-2023 22:45</t>
  </si>
  <si>
    <t>27-04-2023 23:00</t>
  </si>
  <si>
    <t>27-04-2023 23:15</t>
  </si>
  <si>
    <t>27-04-2023 23:30</t>
  </si>
  <si>
    <t>27-04-2023 23:45</t>
  </si>
  <si>
    <t>27-04-2023 24:00</t>
  </si>
  <si>
    <t>28-04-2023 00:15</t>
  </si>
  <si>
    <t>28-04-2023 00:30</t>
  </si>
  <si>
    <t>28-04-2023 00:45</t>
  </si>
  <si>
    <t>28-04-2023 01:00</t>
  </si>
  <si>
    <t>28-04-2023 01:15</t>
  </si>
  <si>
    <t>28-04-2023 01:30</t>
  </si>
  <si>
    <t>28-04-2023 01:45</t>
  </si>
  <si>
    <t>28-04-2023 02:00</t>
  </si>
  <si>
    <t>28-04-2023 02:15</t>
  </si>
  <si>
    <t>28-04-2023 02:30</t>
  </si>
  <si>
    <t>28-04-2023 02:45</t>
  </si>
  <si>
    <t>28-04-2023 03:00</t>
  </si>
  <si>
    <t>28-04-2023 03:15</t>
  </si>
  <si>
    <t>28-04-2023 03:30</t>
  </si>
  <si>
    <t>28-04-2023 03:45</t>
  </si>
  <si>
    <t>28-04-2023 04:00</t>
  </si>
  <si>
    <t>28-04-2023 04:15</t>
  </si>
  <si>
    <t>28-04-2023 04:30</t>
  </si>
  <si>
    <t>28-04-2023 04:45</t>
  </si>
  <si>
    <t>28-04-2023 05:00</t>
  </si>
  <si>
    <t>28-04-2023 05:15</t>
  </si>
  <si>
    <t>28-04-2023 05:30</t>
  </si>
  <si>
    <t>28-04-2023 05:45</t>
  </si>
  <si>
    <t>28-04-2023 06:00</t>
  </si>
  <si>
    <t>28-04-2023 06:15</t>
  </si>
  <si>
    <t>28-04-2023 06:30</t>
  </si>
  <si>
    <t>28-04-2023 06:45</t>
  </si>
  <si>
    <t>28-04-2023 07:00</t>
  </si>
  <si>
    <t>28-04-2023 07:15</t>
  </si>
  <si>
    <t>28-04-2023 07:30</t>
  </si>
  <si>
    <t>28-04-2023 07:45</t>
  </si>
  <si>
    <t>28-04-2023 08:00</t>
  </si>
  <si>
    <t>28-04-2023 08:15</t>
  </si>
  <si>
    <t>28-04-2023 08:30</t>
  </si>
  <si>
    <t>28-04-2023 08:45</t>
  </si>
  <si>
    <t>28-04-2023 09:00</t>
  </si>
  <si>
    <t>28-04-2023 09:15</t>
  </si>
  <si>
    <t>28-04-2023 09:30</t>
  </si>
  <si>
    <t>28-04-2023 09:45</t>
  </si>
  <si>
    <t>28-04-2023 10:00</t>
  </si>
  <si>
    <t>28-04-2023 10:15</t>
  </si>
  <si>
    <t>28-04-2023 10:30</t>
  </si>
  <si>
    <t>28-04-2023 10:45</t>
  </si>
  <si>
    <t>28-04-2023 11:00</t>
  </si>
  <si>
    <t>28-04-2023 11:15</t>
  </si>
  <si>
    <t>28-04-2023 11:30</t>
  </si>
  <si>
    <t>28-04-2023 11:45</t>
  </si>
  <si>
    <t>28-04-2023 12:00</t>
  </si>
  <si>
    <t>28-04-2023 12:15</t>
  </si>
  <si>
    <t>28-04-2023 12:30</t>
  </si>
  <si>
    <t>28-04-2023 12:45</t>
  </si>
  <si>
    <t>28-04-2023 13:00</t>
  </si>
  <si>
    <t>28-04-2023 13:15</t>
  </si>
  <si>
    <t>28-04-2023 13:30</t>
  </si>
  <si>
    <t>28-04-2023 13:45</t>
  </si>
  <si>
    <t>28-04-2023 14:00</t>
  </si>
  <si>
    <t>28-04-2023 14:15</t>
  </si>
  <si>
    <t>28-04-2023 14:30</t>
  </si>
  <si>
    <t>28-04-2023 14:45</t>
  </si>
  <si>
    <t>28-04-2023 15:00</t>
  </si>
  <si>
    <t>28-04-2023 15:15</t>
  </si>
  <si>
    <t>28-04-2023 15:30</t>
  </si>
  <si>
    <t>28-04-2023 15:45</t>
  </si>
  <si>
    <t>28-04-2023 16:00</t>
  </si>
  <si>
    <t>28-04-2023 16:15</t>
  </si>
  <si>
    <t>28-04-2023 16:30</t>
  </si>
  <si>
    <t>28-04-2023 16:45</t>
  </si>
  <si>
    <t>28-04-2023 17:00</t>
  </si>
  <si>
    <t>28-04-2023 17:15</t>
  </si>
  <si>
    <t>28-04-2023 17:30</t>
  </si>
  <si>
    <t>28-04-2023 17:45</t>
  </si>
  <si>
    <t>28-04-2023 18:00</t>
  </si>
  <si>
    <t>28-04-2023 18:15</t>
  </si>
  <si>
    <t>28-04-2023 18:30</t>
  </si>
  <si>
    <t>28-04-2023 18:45</t>
  </si>
  <si>
    <t>28-04-2023 19:00</t>
  </si>
  <si>
    <t>28-04-2023 19:15</t>
  </si>
  <si>
    <t>28-04-2023 19:30</t>
  </si>
  <si>
    <t>28-04-2023 19:45</t>
  </si>
  <si>
    <t>28-04-2023 20:00</t>
  </si>
  <si>
    <t>28-04-2023 20:15</t>
  </si>
  <si>
    <t>28-04-2023 20:30</t>
  </si>
  <si>
    <t>28-04-2023 20:45</t>
  </si>
  <si>
    <t>28-04-2023 21:00</t>
  </si>
  <si>
    <t>28-04-2023 21:15</t>
  </si>
  <si>
    <t>28-04-2023 21:30</t>
  </si>
  <si>
    <t>28-04-2023 21:45</t>
  </si>
  <si>
    <t>28-04-2023 22:00</t>
  </si>
  <si>
    <t>28-04-2023 22:15</t>
  </si>
  <si>
    <t>28-04-2023 22:30</t>
  </si>
  <si>
    <t>28-04-2023 22:45</t>
  </si>
  <si>
    <t>28-04-2023 23:00</t>
  </si>
  <si>
    <t>28-04-2023 23:15</t>
  </si>
  <si>
    <t>28-04-2023 23:30</t>
  </si>
  <si>
    <t>28-04-2023 23:45</t>
  </si>
  <si>
    <t>28-04-2023 24:00</t>
  </si>
  <si>
    <t>29-04-2023 00:15</t>
  </si>
  <si>
    <t>29-04-2023 00:30</t>
  </si>
  <si>
    <t>29-04-2023 00:45</t>
  </si>
  <si>
    <t>29-04-2023 01:00</t>
  </si>
  <si>
    <t>29-04-2023 01:15</t>
  </si>
  <si>
    <t>29-04-2023 01:30</t>
  </si>
  <si>
    <t>29-04-2023 01:45</t>
  </si>
  <si>
    <t>29-04-2023 02:00</t>
  </si>
  <si>
    <t>29-04-2023 02:15</t>
  </si>
  <si>
    <t>29-04-2023 02:30</t>
  </si>
  <si>
    <t>29-04-2023 02:45</t>
  </si>
  <si>
    <t>29-04-2023 03:00</t>
  </si>
  <si>
    <t>29-04-2023 03:15</t>
  </si>
  <si>
    <t>29-04-2023 03:30</t>
  </si>
  <si>
    <t>29-04-2023 03:45</t>
  </si>
  <si>
    <t>29-04-2023 04:00</t>
  </si>
  <si>
    <t>29-04-2023 04:15</t>
  </si>
  <si>
    <t>29-04-2023 04:30</t>
  </si>
  <si>
    <t>29-04-2023 04:45</t>
  </si>
  <si>
    <t>29-04-2023 05:00</t>
  </si>
  <si>
    <t>29-04-2023 05:15</t>
  </si>
  <si>
    <t>29-04-2023 05:30</t>
  </si>
  <si>
    <t>29-04-2023 05:45</t>
  </si>
  <si>
    <t>29-04-2023 06:00</t>
  </si>
  <si>
    <t>29-04-2023 06:15</t>
  </si>
  <si>
    <t>29-04-2023 06:30</t>
  </si>
  <si>
    <t>29-04-2023 06:45</t>
  </si>
  <si>
    <t>29-04-2023 07:00</t>
  </si>
  <si>
    <t>29-04-2023 07:15</t>
  </si>
  <si>
    <t>29-04-2023 07:30</t>
  </si>
  <si>
    <t>29-04-2023 07:45</t>
  </si>
  <si>
    <t>29-04-2023 08:00</t>
  </si>
  <si>
    <t>29-04-2023 08:15</t>
  </si>
  <si>
    <t>29-04-2023 08:30</t>
  </si>
  <si>
    <t>29-04-2023 08:45</t>
  </si>
  <si>
    <t>29-04-2023 09:00</t>
  </si>
  <si>
    <t>29-04-2023 09:15</t>
  </si>
  <si>
    <t>29-04-2023 09:30</t>
  </si>
  <si>
    <t>29-04-2023 09:45</t>
  </si>
  <si>
    <t>29-04-2023 10:00</t>
  </si>
  <si>
    <t>29-04-2023 10:15</t>
  </si>
  <si>
    <t>29-04-2023 10:30</t>
  </si>
  <si>
    <t>29-04-2023 10:45</t>
  </si>
  <si>
    <t>29-04-2023 11:00</t>
  </si>
  <si>
    <t>29-04-2023 11:15</t>
  </si>
  <si>
    <t>29-04-2023 11:30</t>
  </si>
  <si>
    <t>29-04-2023 11:45</t>
  </si>
  <si>
    <t>29-04-2023 12:00</t>
  </si>
  <si>
    <t>29-04-2023 12:15</t>
  </si>
  <si>
    <t>29-04-2023 12:30</t>
  </si>
  <si>
    <t>29-04-2023 12:45</t>
  </si>
  <si>
    <t>29-04-2023 13:00</t>
  </si>
  <si>
    <t>29-04-2023 13:15</t>
  </si>
  <si>
    <t>29-04-2023 13:30</t>
  </si>
  <si>
    <t>29-04-2023 13:45</t>
  </si>
  <si>
    <t>29-04-2023 14:00</t>
  </si>
  <si>
    <t>29-04-2023 14:15</t>
  </si>
  <si>
    <t>29-04-2023 14:30</t>
  </si>
  <si>
    <t>29-04-2023 14:45</t>
  </si>
  <si>
    <t>29-04-2023 15:00</t>
  </si>
  <si>
    <t>29-04-2023 15:15</t>
  </si>
  <si>
    <t>29-04-2023 15:30</t>
  </si>
  <si>
    <t>29-04-2023 15:45</t>
  </si>
  <si>
    <t>29-04-2023 16:00</t>
  </si>
  <si>
    <t>29-04-2023 16:15</t>
  </si>
  <si>
    <t>29-04-2023 16:30</t>
  </si>
  <si>
    <t>29-04-2023 16:45</t>
  </si>
  <si>
    <t>29-04-2023 17:00</t>
  </si>
  <si>
    <t>29-04-2023 17:15</t>
  </si>
  <si>
    <t>29-04-2023 17:30</t>
  </si>
  <si>
    <t>29-04-2023 17:45</t>
  </si>
  <si>
    <t>29-04-2023 18:00</t>
  </si>
  <si>
    <t>29-04-2023 18:15</t>
  </si>
  <si>
    <t>29-04-2023 18:30</t>
  </si>
  <si>
    <t>29-04-2023 18:45</t>
  </si>
  <si>
    <t>29-04-2023 19:00</t>
  </si>
  <si>
    <t>29-04-2023 19:15</t>
  </si>
  <si>
    <t>29-04-2023 19:30</t>
  </si>
  <si>
    <t>29-04-2023 19:45</t>
  </si>
  <si>
    <t>29-04-2023 20:00</t>
  </si>
  <si>
    <t>29-04-2023 20:15</t>
  </si>
  <si>
    <t>29-04-2023 20:30</t>
  </si>
  <si>
    <t>29-04-2023 20:45</t>
  </si>
  <si>
    <t>29-04-2023 21:00</t>
  </si>
  <si>
    <t>29-04-2023 21:15</t>
  </si>
  <si>
    <t>29-04-2023 21:30</t>
  </si>
  <si>
    <t>29-04-2023 21:45</t>
  </si>
  <si>
    <t>29-04-2023 22:00</t>
  </si>
  <si>
    <t>29-04-2023 22:15</t>
  </si>
  <si>
    <t>29-04-2023 22:30</t>
  </si>
  <si>
    <t>29-04-2023 22:45</t>
  </si>
  <si>
    <t>29-04-2023 23:00</t>
  </si>
  <si>
    <t>29-04-2023 23:15</t>
  </si>
  <si>
    <t>29-04-2023 23:30</t>
  </si>
  <si>
    <t>29-04-2023 23:45</t>
  </si>
  <si>
    <t>29-04-2023 24:00</t>
  </si>
  <si>
    <t>30-04-2023 00:15</t>
  </si>
  <si>
    <t>30-04-2023 00:30</t>
  </si>
  <si>
    <t>30-04-2023 00:45</t>
  </si>
  <si>
    <t>30-04-2023 01:00</t>
  </si>
  <si>
    <t>30-04-2023 01:15</t>
  </si>
  <si>
    <t>30-04-2023 01:30</t>
  </si>
  <si>
    <t>30-04-2023 01:45</t>
  </si>
  <si>
    <t>30-04-2023 02:00</t>
  </si>
  <si>
    <t>30-04-2023 02:15</t>
  </si>
  <si>
    <t>30-04-2023 02:30</t>
  </si>
  <si>
    <t>30-04-2023 02:45</t>
  </si>
  <si>
    <t>30-04-2023 03:00</t>
  </si>
  <si>
    <t>30-04-2023 03:15</t>
  </si>
  <si>
    <t>30-04-2023 03:30</t>
  </si>
  <si>
    <t>30-04-2023 03:45</t>
  </si>
  <si>
    <t>30-04-2023 04:00</t>
  </si>
  <si>
    <t>30-04-2023 04:15</t>
  </si>
  <si>
    <t>30-04-2023 04:30</t>
  </si>
  <si>
    <t>30-04-2023 04:45</t>
  </si>
  <si>
    <t>30-04-2023 05:00</t>
  </si>
  <si>
    <t>30-04-2023 05:15</t>
  </si>
  <si>
    <t>30-04-2023 05:30</t>
  </si>
  <si>
    <t>30-04-2023 05:45</t>
  </si>
  <si>
    <t>30-04-2023 06:00</t>
  </si>
  <si>
    <t>30-04-2023 06:15</t>
  </si>
  <si>
    <t>30-04-2023 06:30</t>
  </si>
  <si>
    <t>30-04-2023 06:45</t>
  </si>
  <si>
    <t>30-04-2023 07:00</t>
  </si>
  <si>
    <t>30-04-2023 07:15</t>
  </si>
  <si>
    <t>30-04-2023 07:30</t>
  </si>
  <si>
    <t>30-04-2023 07:45</t>
  </si>
  <si>
    <t>30-04-2023 08:00</t>
  </si>
  <si>
    <t>30-04-2023 08:15</t>
  </si>
  <si>
    <t>30-04-2023 08:30</t>
  </si>
  <si>
    <t>30-04-2023 08:45</t>
  </si>
  <si>
    <t>30-04-2023 09:00</t>
  </si>
  <si>
    <t>30-04-2023 09:15</t>
  </si>
  <si>
    <t>30-04-2023 09:30</t>
  </si>
  <si>
    <t>30-04-2023 09:45</t>
  </si>
  <si>
    <t>30-04-2023 10:00</t>
  </si>
  <si>
    <t>30-04-2023 10:15</t>
  </si>
  <si>
    <t>30-04-2023 10:30</t>
  </si>
  <si>
    <t>30-04-2023 10:45</t>
  </si>
  <si>
    <t>30-04-2023 11:00</t>
  </si>
  <si>
    <t>30-04-2023 11:15</t>
  </si>
  <si>
    <t>30-04-2023 11:30</t>
  </si>
  <si>
    <t>30-04-2023 11:45</t>
  </si>
  <si>
    <t>30-04-2023 12:00</t>
  </si>
  <si>
    <t>30-04-2023 12:15</t>
  </si>
  <si>
    <t>30-04-2023 12:30</t>
  </si>
  <si>
    <t>30-04-2023 12:45</t>
  </si>
  <si>
    <t>30-04-2023 13:00</t>
  </si>
  <si>
    <t>30-04-2023 13:15</t>
  </si>
  <si>
    <t>30-04-2023 13:30</t>
  </si>
  <si>
    <t>30-04-2023 13:45</t>
  </si>
  <si>
    <t>30-04-2023 14:00</t>
  </si>
  <si>
    <t>30-04-2023 14:15</t>
  </si>
  <si>
    <t>30-04-2023 14:30</t>
  </si>
  <si>
    <t>30-04-2023 14:45</t>
  </si>
  <si>
    <t>30-04-2023 15:00</t>
  </si>
  <si>
    <t>30-04-2023 15:15</t>
  </si>
  <si>
    <t>30-04-2023 15:30</t>
  </si>
  <si>
    <t>30-04-2023 15:45</t>
  </si>
  <si>
    <t>30-04-2023 16:00</t>
  </si>
  <si>
    <t>30-04-2023 16:15</t>
  </si>
  <si>
    <t>30-04-2023 16:30</t>
  </si>
  <si>
    <t>30-04-2023 16:45</t>
  </si>
  <si>
    <t>30-04-2023 17:00</t>
  </si>
  <si>
    <t>30-04-2023 17:15</t>
  </si>
  <si>
    <t>30-04-2023 17:30</t>
  </si>
  <si>
    <t>30-04-2023 17:45</t>
  </si>
  <si>
    <t>30-04-2023 18:00</t>
  </si>
  <si>
    <t>30-04-2023 18:15</t>
  </si>
  <si>
    <t>30-04-2023 18:30</t>
  </si>
  <si>
    <t>30-04-2023 18:45</t>
  </si>
  <si>
    <t>30-04-2023 19:00</t>
  </si>
  <si>
    <t>30-04-2023 19:15</t>
  </si>
  <si>
    <t>30-04-2023 19:30</t>
  </si>
  <si>
    <t>30-04-2023 19:45</t>
  </si>
  <si>
    <t>30-04-2023 20:00</t>
  </si>
  <si>
    <t>30-04-2023 20:15</t>
  </si>
  <si>
    <t>30-04-2023 20:30</t>
  </si>
  <si>
    <t>30-04-2023 20:45</t>
  </si>
  <si>
    <t>30-04-2023 21:00</t>
  </si>
  <si>
    <t>30-04-2023 21:15</t>
  </si>
  <si>
    <t>30-04-2023 21:30</t>
  </si>
  <si>
    <t>30-04-2023 21:45</t>
  </si>
  <si>
    <t>30-04-2023 22:00</t>
  </si>
  <si>
    <t>30-04-2023 22:15</t>
  </si>
  <si>
    <t>30-04-2023 22:30</t>
  </si>
  <si>
    <t>30-04-2023 22:45</t>
  </si>
  <si>
    <t>30-04-2023 23:00</t>
  </si>
  <si>
    <t>30-04-2023 23:15</t>
  </si>
  <si>
    <t>30-04-2023 23:30</t>
  </si>
  <si>
    <t>30-04-2023 23:45</t>
  </si>
  <si>
    <t>30-04-2023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</si>
</sst>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248</v>
      </c>
      <c r="B9" s="60">
        <v>7.16</v>
      </c>
      <c r="C9" s="60">
        <v>37.71</v>
      </c>
      <c r="D9" s="60">
        <v>28.29</v>
      </c>
      <c r="E9" s="60">
        <v>2.0499999999999998</v>
      </c>
      <c r="F9" s="60">
        <v>3.88</v>
      </c>
      <c r="G9" s="60">
        <v>45.74</v>
      </c>
      <c r="H9" s="60">
        <v>15.1</v>
      </c>
      <c r="I9" s="60">
        <v>0.57999999999999996</v>
      </c>
      <c r="J9" s="60">
        <v>0.08</v>
      </c>
      <c r="K9" s="60">
        <v>57.39</v>
      </c>
      <c r="L9" s="60">
        <v>21.11</v>
      </c>
      <c r="M9" s="60">
        <v>70.569999999999993</v>
      </c>
      <c r="N9" s="60">
        <v>5.2</v>
      </c>
      <c r="O9" s="60">
        <v>0</v>
      </c>
      <c r="P9" s="60">
        <v>0.84</v>
      </c>
      <c r="Q9" s="60">
        <v>39.11</v>
      </c>
      <c r="R9" s="198"/>
      <c r="S9" s="198"/>
      <c r="T9" s="198"/>
      <c r="U9" s="198"/>
    </row>
    <row r="10" spans="1:21" s="12" customFormat="1" x14ac:dyDescent="0.25">
      <c r="A10" s="201" t="s">
        <v>249</v>
      </c>
      <c r="B10" s="60">
        <v>7.31</v>
      </c>
      <c r="C10" s="60">
        <v>30.15</v>
      </c>
      <c r="D10" s="60">
        <v>24.24</v>
      </c>
      <c r="E10" s="60">
        <v>1.91</v>
      </c>
      <c r="F10" s="60">
        <v>4.45</v>
      </c>
      <c r="G10" s="60">
        <v>45.74</v>
      </c>
      <c r="H10" s="60">
        <v>15.1</v>
      </c>
      <c r="I10" s="60">
        <v>0.57999999999999996</v>
      </c>
      <c r="J10" s="60">
        <v>0.28999999999999998</v>
      </c>
      <c r="K10" s="60">
        <v>203.77</v>
      </c>
      <c r="L10" s="60">
        <v>20.9</v>
      </c>
      <c r="M10" s="60">
        <v>71</v>
      </c>
      <c r="N10" s="60">
        <v>5</v>
      </c>
      <c r="O10" s="60">
        <v>0</v>
      </c>
      <c r="P10" s="60">
        <v>0.82</v>
      </c>
      <c r="Q10" s="60">
        <v>41.02</v>
      </c>
      <c r="R10" s="198"/>
      <c r="S10" s="198"/>
      <c r="T10" s="198"/>
      <c r="U10" s="198"/>
    </row>
    <row r="11" spans="1:21" s="12" customFormat="1" x14ac:dyDescent="0.25">
      <c r="A11" s="201" t="s">
        <v>250</v>
      </c>
      <c r="B11" s="60">
        <v>6.84</v>
      </c>
      <c r="C11" s="60">
        <v>32.590000000000003</v>
      </c>
      <c r="D11" s="60">
        <v>25.21</v>
      </c>
      <c r="E11" s="60">
        <v>1.99</v>
      </c>
      <c r="F11" s="60">
        <v>4.93</v>
      </c>
      <c r="G11" s="60">
        <v>32.82</v>
      </c>
      <c r="H11" s="60">
        <v>12.45</v>
      </c>
      <c r="I11" s="60">
        <v>0.57999999999999996</v>
      </c>
      <c r="J11" s="60">
        <v>0.24</v>
      </c>
      <c r="K11" s="60">
        <v>95.38</v>
      </c>
      <c r="L11" s="60">
        <v>21.02</v>
      </c>
      <c r="M11" s="60">
        <v>69.7</v>
      </c>
      <c r="N11" s="60">
        <v>4.5999999999999996</v>
      </c>
      <c r="O11" s="60">
        <v>0</v>
      </c>
      <c r="P11" s="60">
        <v>0.8</v>
      </c>
      <c r="Q11" s="60">
        <v>35.700000000000003</v>
      </c>
      <c r="R11" s="198"/>
      <c r="S11" s="198"/>
      <c r="T11" s="198"/>
      <c r="U11" s="198"/>
    </row>
    <row r="12" spans="1:21" s="12" customFormat="1" x14ac:dyDescent="0.25">
      <c r="A12" s="201" t="s">
        <v>251</v>
      </c>
      <c r="B12" s="60">
        <v>6.54</v>
      </c>
      <c r="C12" s="60">
        <v>30.71</v>
      </c>
      <c r="D12" s="60">
        <v>23.94</v>
      </c>
      <c r="E12" s="60">
        <v>1.75</v>
      </c>
      <c r="F12" s="60">
        <v>3.65</v>
      </c>
      <c r="G12" s="60">
        <v>32.53</v>
      </c>
      <c r="H12" s="60">
        <v>12.39</v>
      </c>
      <c r="I12" s="60">
        <v>0.56999999999999995</v>
      </c>
      <c r="J12" s="60">
        <v>0.4</v>
      </c>
      <c r="K12" s="60">
        <v>125.67</v>
      </c>
      <c r="L12" s="60">
        <v>20.99</v>
      </c>
      <c r="M12" s="60">
        <v>69.349999999999994</v>
      </c>
      <c r="N12" s="60">
        <v>4.2</v>
      </c>
      <c r="O12" s="60">
        <v>0</v>
      </c>
      <c r="P12" s="60">
        <v>0.77</v>
      </c>
      <c r="Q12" s="60">
        <v>40.340000000000003</v>
      </c>
      <c r="R12" s="198"/>
      <c r="S12" s="198"/>
      <c r="T12" s="198"/>
      <c r="U12" s="198"/>
    </row>
    <row r="13" spans="1:21" s="12" customFormat="1" x14ac:dyDescent="0.25">
      <c r="A13" s="201" t="s">
        <v>252</v>
      </c>
      <c r="B13" s="60">
        <v>6.2</v>
      </c>
      <c r="C13" s="60">
        <v>34.4</v>
      </c>
      <c r="D13" s="60">
        <v>25.7</v>
      </c>
      <c r="E13" s="60">
        <v>1.45</v>
      </c>
      <c r="F13" s="60">
        <v>3.92</v>
      </c>
      <c r="G13" s="60">
        <v>32.53</v>
      </c>
      <c r="H13" s="60">
        <v>12.39</v>
      </c>
      <c r="I13" s="60">
        <v>0.56000000000000005</v>
      </c>
      <c r="J13" s="60">
        <v>0.36</v>
      </c>
      <c r="K13" s="60">
        <v>108.41</v>
      </c>
      <c r="L13" s="60">
        <v>21.21</v>
      </c>
      <c r="M13" s="60">
        <v>67.569999999999993</v>
      </c>
      <c r="N13" s="60">
        <v>4.3</v>
      </c>
      <c r="O13" s="60">
        <v>0</v>
      </c>
      <c r="P13" s="60">
        <v>0.68</v>
      </c>
      <c r="Q13" s="60">
        <v>35.770000000000003</v>
      </c>
      <c r="R13" s="198"/>
      <c r="S13" s="198"/>
      <c r="T13" s="198"/>
      <c r="U13" s="198"/>
    </row>
    <row r="14" spans="1:21" s="12" customFormat="1" x14ac:dyDescent="0.25">
      <c r="A14" s="201" t="s">
        <v>253</v>
      </c>
      <c r="B14" s="60">
        <v>5.81</v>
      </c>
      <c r="C14" s="60">
        <v>32.5</v>
      </c>
      <c r="D14" s="60">
        <v>24.33</v>
      </c>
      <c r="E14" s="60">
        <v>1.68</v>
      </c>
      <c r="F14" s="60">
        <v>3.73</v>
      </c>
      <c r="G14" s="60">
        <v>32.53</v>
      </c>
      <c r="H14" s="60">
        <v>12.39</v>
      </c>
      <c r="I14" s="60">
        <v>0.55000000000000004</v>
      </c>
      <c r="J14" s="60">
        <v>0.41</v>
      </c>
      <c r="K14" s="60">
        <v>48.32</v>
      </c>
      <c r="L14" s="60">
        <v>21.13</v>
      </c>
      <c r="M14" s="60">
        <v>68.91</v>
      </c>
      <c r="N14" s="60">
        <v>4.7</v>
      </c>
      <c r="O14" s="60">
        <v>0</v>
      </c>
      <c r="P14" s="60">
        <v>0.69</v>
      </c>
      <c r="Q14" s="60">
        <v>37.35</v>
      </c>
      <c r="R14" s="198"/>
      <c r="S14" s="198"/>
      <c r="T14" s="198"/>
      <c r="U14" s="198"/>
    </row>
    <row r="15" spans="1:21" s="12" customFormat="1" x14ac:dyDescent="0.25">
      <c r="A15" s="201" t="s">
        <v>254</v>
      </c>
      <c r="B15" s="60">
        <v>5.49</v>
      </c>
      <c r="C15" s="60">
        <v>34.21</v>
      </c>
      <c r="D15" s="60">
        <v>25.02</v>
      </c>
      <c r="E15" s="60">
        <v>1.56</v>
      </c>
      <c r="F15" s="60">
        <v>3.65</v>
      </c>
      <c r="G15" s="60">
        <v>31.95</v>
      </c>
      <c r="H15" s="60">
        <v>10.4</v>
      </c>
      <c r="I15" s="60">
        <v>0.56000000000000005</v>
      </c>
      <c r="J15" s="60">
        <v>0.16</v>
      </c>
      <c r="K15" s="60">
        <v>39.200000000000003</v>
      </c>
      <c r="L15" s="60">
        <v>20.71</v>
      </c>
      <c r="M15" s="60">
        <v>71.430000000000007</v>
      </c>
      <c r="N15" s="60">
        <v>4.9000000000000004</v>
      </c>
      <c r="O15" s="60">
        <v>0</v>
      </c>
      <c r="P15" s="60">
        <v>0.65</v>
      </c>
      <c r="Q15" s="60">
        <v>39.47</v>
      </c>
      <c r="R15" s="198"/>
      <c r="S15" s="198"/>
      <c r="T15" s="198"/>
      <c r="U15" s="198"/>
    </row>
    <row r="16" spans="1:21" s="12" customFormat="1" x14ac:dyDescent="0.25">
      <c r="A16" s="201" t="s">
        <v>255</v>
      </c>
      <c r="B16" s="60">
        <v>5.33</v>
      </c>
      <c r="C16" s="60">
        <v>28.87</v>
      </c>
      <c r="D16" s="60">
        <v>21.94</v>
      </c>
      <c r="E16" s="60">
        <v>1.75</v>
      </c>
      <c r="F16" s="60">
        <v>4.5199999999999996</v>
      </c>
      <c r="G16" s="60">
        <v>31.94</v>
      </c>
      <c r="H16" s="60">
        <v>10.199999999999999</v>
      </c>
      <c r="I16" s="60">
        <v>0.56000000000000005</v>
      </c>
      <c r="J16" s="60">
        <v>0.37</v>
      </c>
      <c r="K16" s="60">
        <v>78.08</v>
      </c>
      <c r="L16" s="60">
        <v>20.83</v>
      </c>
      <c r="M16" s="60">
        <v>70.02</v>
      </c>
      <c r="N16" s="60">
        <v>4.5</v>
      </c>
      <c r="O16" s="60">
        <v>0</v>
      </c>
      <c r="P16" s="60">
        <v>0.65</v>
      </c>
      <c r="Q16" s="60">
        <v>35</v>
      </c>
      <c r="R16" s="198"/>
      <c r="S16" s="198"/>
      <c r="T16" s="198"/>
      <c r="U16" s="198"/>
    </row>
    <row r="17" spans="1:21" s="12" customFormat="1" x14ac:dyDescent="0.25">
      <c r="A17" s="201" t="s">
        <v>256</v>
      </c>
      <c r="B17" s="60">
        <v>5.29</v>
      </c>
      <c r="C17" s="60">
        <v>32.99</v>
      </c>
      <c r="D17" s="60">
        <v>24.19</v>
      </c>
      <c r="E17" s="60">
        <v>1.61</v>
      </c>
      <c r="F17" s="60">
        <v>5.76</v>
      </c>
      <c r="G17" s="60">
        <v>31.94</v>
      </c>
      <c r="H17" s="60">
        <v>10.199999999999999</v>
      </c>
      <c r="I17" s="60">
        <v>0.55000000000000004</v>
      </c>
      <c r="J17" s="60">
        <v>0.44</v>
      </c>
      <c r="K17" s="60">
        <v>84.58</v>
      </c>
      <c r="L17" s="60">
        <v>20.77</v>
      </c>
      <c r="M17" s="60">
        <v>70.97</v>
      </c>
      <c r="N17" s="60">
        <v>4.5999999999999996</v>
      </c>
      <c r="O17" s="60">
        <v>0</v>
      </c>
      <c r="P17" s="60">
        <v>0.61</v>
      </c>
      <c r="Q17" s="60">
        <v>39.799999999999997</v>
      </c>
      <c r="R17" s="198"/>
      <c r="S17" s="198"/>
      <c r="T17" s="198"/>
      <c r="U17" s="198"/>
    </row>
    <row r="18" spans="1:21" s="12" customFormat="1" x14ac:dyDescent="0.25">
      <c r="A18" s="201" t="s">
        <v>257</v>
      </c>
      <c r="B18" s="60">
        <v>5.88</v>
      </c>
      <c r="C18" s="60">
        <v>30.96</v>
      </c>
      <c r="D18" s="60">
        <v>23.54</v>
      </c>
      <c r="E18" s="60">
        <v>1.7</v>
      </c>
      <c r="F18" s="60">
        <v>4.8</v>
      </c>
      <c r="G18" s="60">
        <v>31.94</v>
      </c>
      <c r="H18" s="60">
        <v>10.199999999999999</v>
      </c>
      <c r="I18" s="60">
        <v>0.52</v>
      </c>
      <c r="J18" s="60">
        <v>0.8</v>
      </c>
      <c r="K18" s="60">
        <v>17.47</v>
      </c>
      <c r="L18" s="60">
        <v>20.48</v>
      </c>
      <c r="M18" s="60">
        <v>73.7</v>
      </c>
      <c r="N18" s="60">
        <v>4.7</v>
      </c>
      <c r="O18" s="60">
        <v>0</v>
      </c>
      <c r="P18" s="60">
        <v>0.62</v>
      </c>
      <c r="Q18" s="60">
        <v>35.11</v>
      </c>
      <c r="R18" s="198"/>
      <c r="S18" s="198"/>
      <c r="T18" s="198"/>
      <c r="U18" s="198"/>
    </row>
    <row r="19" spans="1:21" s="12" customFormat="1" x14ac:dyDescent="0.25">
      <c r="A19" s="201" t="s">
        <v>258</v>
      </c>
      <c r="B19" s="60">
        <v>6.47</v>
      </c>
      <c r="C19" s="60">
        <v>33.03</v>
      </c>
      <c r="D19" s="60">
        <v>25.16</v>
      </c>
      <c r="E19" s="60">
        <v>1.26</v>
      </c>
      <c r="F19" s="60">
        <v>3.83</v>
      </c>
      <c r="G19" s="60">
        <v>26.35</v>
      </c>
      <c r="H19" s="60">
        <v>11.83</v>
      </c>
      <c r="I19" s="60">
        <v>0.53</v>
      </c>
      <c r="J19" s="60">
        <v>0.87</v>
      </c>
      <c r="K19" s="60">
        <v>27.53</v>
      </c>
      <c r="L19" s="60">
        <v>20.27</v>
      </c>
      <c r="M19" s="60">
        <v>75.87</v>
      </c>
      <c r="N19" s="60">
        <v>4.9000000000000004</v>
      </c>
      <c r="O19" s="60">
        <v>0</v>
      </c>
      <c r="P19" s="60">
        <v>0.61</v>
      </c>
      <c r="Q19" s="60">
        <v>38.01</v>
      </c>
      <c r="R19" s="198"/>
      <c r="S19" s="198"/>
      <c r="T19" s="198"/>
      <c r="U19" s="198"/>
    </row>
    <row r="20" spans="1:21" s="12" customFormat="1" x14ac:dyDescent="0.25">
      <c r="A20" s="201" t="s">
        <v>259</v>
      </c>
      <c r="B20" s="60">
        <v>6.66</v>
      </c>
      <c r="C20" s="60">
        <v>33.94</v>
      </c>
      <c r="D20" s="60">
        <v>25.81</v>
      </c>
      <c r="E20" s="60">
        <v>2.11</v>
      </c>
      <c r="F20" s="60">
        <v>2.97</v>
      </c>
      <c r="G20" s="60">
        <v>26.22</v>
      </c>
      <c r="H20" s="60">
        <v>11.87</v>
      </c>
      <c r="I20" s="60">
        <v>0.56000000000000005</v>
      </c>
      <c r="J20" s="60">
        <v>0.6</v>
      </c>
      <c r="K20" s="60">
        <v>33.409999999999997</v>
      </c>
      <c r="L20" s="60">
        <v>20.05</v>
      </c>
      <c r="M20" s="60">
        <v>79.31</v>
      </c>
      <c r="N20" s="60">
        <v>4.7</v>
      </c>
      <c r="O20" s="60">
        <v>0</v>
      </c>
      <c r="P20" s="60">
        <v>0.62</v>
      </c>
      <c r="Q20" s="60">
        <v>38.94</v>
      </c>
      <c r="R20" s="198"/>
      <c r="S20" s="198"/>
      <c r="T20" s="198"/>
      <c r="U20" s="198"/>
    </row>
    <row r="21" spans="1:21" s="12" customFormat="1" x14ac:dyDescent="0.25">
      <c r="A21" s="201" t="s">
        <v>260</v>
      </c>
      <c r="B21" s="60">
        <v>7.01</v>
      </c>
      <c r="C21" s="60">
        <v>26.38</v>
      </c>
      <c r="D21" s="60">
        <v>21.92</v>
      </c>
      <c r="E21" s="60">
        <v>1.9</v>
      </c>
      <c r="F21" s="60">
        <v>4.05</v>
      </c>
      <c r="G21" s="60">
        <v>26.22</v>
      </c>
      <c r="H21" s="60">
        <v>11.87</v>
      </c>
      <c r="I21" s="60">
        <v>0.56000000000000005</v>
      </c>
      <c r="J21" s="60">
        <v>1.39</v>
      </c>
      <c r="K21" s="60">
        <v>16.350000000000001</v>
      </c>
      <c r="L21" s="60">
        <v>19.95</v>
      </c>
      <c r="M21" s="60">
        <v>80.88</v>
      </c>
      <c r="N21" s="60">
        <v>4.7</v>
      </c>
      <c r="O21" s="60">
        <v>0</v>
      </c>
      <c r="P21" s="60">
        <v>0.63</v>
      </c>
      <c r="Q21" s="60">
        <v>36.409999999999997</v>
      </c>
      <c r="R21" s="198"/>
      <c r="S21" s="198"/>
      <c r="T21" s="198"/>
      <c r="U21" s="198"/>
    </row>
    <row r="22" spans="1:21" s="12" customFormat="1" x14ac:dyDescent="0.25">
      <c r="A22" s="201" t="s">
        <v>261</v>
      </c>
      <c r="B22" s="60">
        <v>7.15</v>
      </c>
      <c r="C22" s="60">
        <v>32.409999999999997</v>
      </c>
      <c r="D22" s="60">
        <v>25.36</v>
      </c>
      <c r="E22" s="60">
        <v>1.97</v>
      </c>
      <c r="F22" s="60">
        <v>3.02</v>
      </c>
      <c r="G22" s="60">
        <v>26.22</v>
      </c>
      <c r="H22" s="60">
        <v>11.87</v>
      </c>
      <c r="I22" s="60">
        <v>0.56000000000000005</v>
      </c>
      <c r="J22" s="60">
        <v>1.44</v>
      </c>
      <c r="K22" s="60">
        <v>20.87</v>
      </c>
      <c r="L22" s="60">
        <v>19.84</v>
      </c>
      <c r="M22" s="60">
        <v>80.900000000000006</v>
      </c>
      <c r="N22" s="60">
        <v>4.7</v>
      </c>
      <c r="O22" s="60">
        <v>0</v>
      </c>
      <c r="P22" s="60">
        <v>0.6</v>
      </c>
      <c r="Q22" s="60">
        <v>39.81</v>
      </c>
      <c r="R22" s="198"/>
      <c r="S22" s="198"/>
      <c r="T22" s="198"/>
      <c r="U22" s="198"/>
    </row>
    <row r="23" spans="1:21" s="12" customFormat="1" x14ac:dyDescent="0.25">
      <c r="A23" s="201" t="s">
        <v>262</v>
      </c>
      <c r="B23" s="60">
        <v>7.09</v>
      </c>
      <c r="C23" s="60">
        <v>28.71</v>
      </c>
      <c r="D23" s="60">
        <v>23.27</v>
      </c>
      <c r="E23" s="60">
        <v>1.83</v>
      </c>
      <c r="F23" s="60">
        <v>4.76</v>
      </c>
      <c r="G23" s="60">
        <v>33</v>
      </c>
      <c r="H23" s="60">
        <v>15.8</v>
      </c>
      <c r="I23" s="60">
        <v>0.56000000000000005</v>
      </c>
      <c r="J23" s="60">
        <v>1.67</v>
      </c>
      <c r="K23" s="60">
        <v>18.52</v>
      </c>
      <c r="L23" s="60">
        <v>19.95</v>
      </c>
      <c r="M23" s="60">
        <v>79.73</v>
      </c>
      <c r="N23" s="60">
        <v>4.5999999999999996</v>
      </c>
      <c r="O23" s="60">
        <v>0</v>
      </c>
      <c r="P23" s="60">
        <v>0.62</v>
      </c>
      <c r="Q23" s="60">
        <v>34.54</v>
      </c>
      <c r="R23" s="198"/>
      <c r="S23" s="198"/>
      <c r="T23" s="198"/>
      <c r="U23" s="198"/>
    </row>
    <row r="24" spans="1:21" s="12" customFormat="1" x14ac:dyDescent="0.25">
      <c r="A24" s="201" t="s">
        <v>263</v>
      </c>
      <c r="B24" s="60">
        <v>7.39</v>
      </c>
      <c r="C24" s="60">
        <v>40.01</v>
      </c>
      <c r="D24" s="60">
        <v>29.75</v>
      </c>
      <c r="E24" s="60">
        <v>1.4</v>
      </c>
      <c r="F24" s="60">
        <v>1.26</v>
      </c>
      <c r="G24" s="60">
        <v>33.15</v>
      </c>
      <c r="H24" s="60">
        <v>15.89</v>
      </c>
      <c r="I24" s="60">
        <v>0.56000000000000005</v>
      </c>
      <c r="J24" s="60">
        <v>1.98</v>
      </c>
      <c r="K24" s="60">
        <v>25.73</v>
      </c>
      <c r="L24" s="60">
        <v>19.95</v>
      </c>
      <c r="M24" s="60">
        <v>79.19</v>
      </c>
      <c r="N24" s="60">
        <v>5</v>
      </c>
      <c r="O24" s="60">
        <v>0</v>
      </c>
      <c r="P24" s="60">
        <v>0.65</v>
      </c>
      <c r="Q24" s="60">
        <v>42.94</v>
      </c>
      <c r="R24" s="198"/>
      <c r="S24" s="198"/>
      <c r="T24" s="198"/>
      <c r="U24" s="198"/>
    </row>
    <row r="25" spans="1:21" s="12" customFormat="1" x14ac:dyDescent="0.25">
      <c r="A25" s="201" t="s">
        <v>264</v>
      </c>
      <c r="B25" s="60">
        <v>7.21</v>
      </c>
      <c r="C25" s="60">
        <v>33.65</v>
      </c>
      <c r="D25" s="60">
        <v>26.1</v>
      </c>
      <c r="E25" s="60">
        <v>1.65</v>
      </c>
      <c r="F25" s="60">
        <v>3.15</v>
      </c>
      <c r="G25" s="60">
        <v>33.15</v>
      </c>
      <c r="H25" s="60">
        <v>15.89</v>
      </c>
      <c r="I25" s="60">
        <v>0.56999999999999995</v>
      </c>
      <c r="J25" s="60">
        <v>2.4300000000000002</v>
      </c>
      <c r="K25" s="60">
        <v>22.02</v>
      </c>
      <c r="L25" s="60">
        <v>19.88</v>
      </c>
      <c r="M25" s="60">
        <v>78.97</v>
      </c>
      <c r="N25" s="60">
        <v>5.5</v>
      </c>
      <c r="O25" s="60">
        <v>0</v>
      </c>
      <c r="P25" s="60">
        <v>0.65</v>
      </c>
      <c r="Q25" s="60">
        <v>38.61</v>
      </c>
      <c r="R25" s="198"/>
      <c r="S25" s="198"/>
      <c r="T25" s="198"/>
      <c r="U25" s="198"/>
    </row>
    <row r="26" spans="1:21" s="12" customFormat="1" x14ac:dyDescent="0.25">
      <c r="A26" s="201" t="s">
        <v>265</v>
      </c>
      <c r="B26" s="60">
        <v>6.65</v>
      </c>
      <c r="C26" s="60">
        <v>32.51</v>
      </c>
      <c r="D26" s="60">
        <v>25.01</v>
      </c>
      <c r="E26" s="60">
        <v>2.14</v>
      </c>
      <c r="F26" s="60">
        <v>3.66</v>
      </c>
      <c r="G26" s="60">
        <v>33.15</v>
      </c>
      <c r="H26" s="60">
        <v>15.89</v>
      </c>
      <c r="I26" s="60">
        <v>0.55000000000000004</v>
      </c>
      <c r="J26" s="60">
        <v>2.67</v>
      </c>
      <c r="K26" s="60">
        <v>27.42</v>
      </c>
      <c r="L26" s="60">
        <v>19.64</v>
      </c>
      <c r="M26" s="60">
        <v>76.58</v>
      </c>
      <c r="N26" s="60">
        <v>6</v>
      </c>
      <c r="O26" s="60">
        <v>0</v>
      </c>
      <c r="P26" s="60">
        <v>0.61</v>
      </c>
      <c r="Q26" s="60">
        <v>38.9</v>
      </c>
      <c r="R26" s="198"/>
      <c r="S26" s="198"/>
      <c r="T26" s="198"/>
      <c r="U26" s="198"/>
    </row>
    <row r="27" spans="1:21" s="12" customFormat="1" x14ac:dyDescent="0.25">
      <c r="A27" s="201" t="s">
        <v>266</v>
      </c>
      <c r="B27" s="60">
        <v>5.65</v>
      </c>
      <c r="C27" s="60">
        <v>31.65</v>
      </c>
      <c r="D27" s="60">
        <v>23.73</v>
      </c>
      <c r="E27" s="60">
        <v>1.79</v>
      </c>
      <c r="F27" s="60">
        <v>4.3899999999999997</v>
      </c>
      <c r="G27" s="60">
        <v>38.39</v>
      </c>
      <c r="H27" s="60">
        <v>18.98</v>
      </c>
      <c r="I27" s="60">
        <v>0.53</v>
      </c>
      <c r="J27" s="60">
        <v>1.8</v>
      </c>
      <c r="K27" s="60">
        <v>76.260000000000005</v>
      </c>
      <c r="L27" s="60">
        <v>18.73</v>
      </c>
      <c r="M27" s="60">
        <v>79.319999999999993</v>
      </c>
      <c r="N27" s="60">
        <v>8.3000000000000007</v>
      </c>
      <c r="O27" s="60">
        <v>0.8</v>
      </c>
      <c r="P27" s="60">
        <v>0.57999999999999996</v>
      </c>
      <c r="Q27" s="60">
        <v>37.39</v>
      </c>
      <c r="R27" s="198"/>
      <c r="S27" s="198"/>
      <c r="T27" s="198"/>
      <c r="U27" s="198"/>
    </row>
    <row r="28" spans="1:21" s="12" customFormat="1" x14ac:dyDescent="0.25">
      <c r="A28" s="201" t="s">
        <v>267</v>
      </c>
      <c r="B28" s="60">
        <v>4.8899999999999997</v>
      </c>
      <c r="C28" s="60">
        <v>29.67</v>
      </c>
      <c r="D28" s="60">
        <v>22.03</v>
      </c>
      <c r="E28" s="60">
        <v>1.97</v>
      </c>
      <c r="F28" s="60">
        <v>4.88</v>
      </c>
      <c r="G28" s="60">
        <v>38.51</v>
      </c>
      <c r="H28" s="60">
        <v>19.05</v>
      </c>
      <c r="I28" s="60">
        <v>0.53</v>
      </c>
      <c r="J28" s="60">
        <v>2.4500000000000002</v>
      </c>
      <c r="K28" s="60">
        <v>109.47</v>
      </c>
      <c r="L28" s="60">
        <v>17.59</v>
      </c>
      <c r="M28" s="60">
        <v>86.38</v>
      </c>
      <c r="N28" s="60">
        <v>6</v>
      </c>
      <c r="O28" s="60">
        <v>0.2</v>
      </c>
      <c r="P28" s="60">
        <v>0.54</v>
      </c>
      <c r="Q28" s="60">
        <v>39.94</v>
      </c>
      <c r="R28" s="198"/>
      <c r="S28" s="198"/>
      <c r="T28" s="198"/>
      <c r="U28" s="198"/>
    </row>
    <row r="29" spans="1:21" s="12" customFormat="1" x14ac:dyDescent="0.25">
      <c r="A29" s="201" t="s">
        <v>268</v>
      </c>
      <c r="B29" s="60">
        <v>4.63</v>
      </c>
      <c r="C29" s="60">
        <v>34.03</v>
      </c>
      <c r="D29" s="60">
        <v>24.23</v>
      </c>
      <c r="E29" s="60">
        <v>1.67</v>
      </c>
      <c r="F29" s="60">
        <v>4.7300000000000004</v>
      </c>
      <c r="G29" s="60">
        <v>38.51</v>
      </c>
      <c r="H29" s="60">
        <v>19.05</v>
      </c>
      <c r="I29" s="60">
        <v>0.51</v>
      </c>
      <c r="J29" s="60">
        <v>1.01</v>
      </c>
      <c r="K29" s="60">
        <v>53.87</v>
      </c>
      <c r="L29" s="60">
        <v>17.77</v>
      </c>
      <c r="M29" s="60">
        <v>86.02</v>
      </c>
      <c r="N29" s="60">
        <v>5.5</v>
      </c>
      <c r="O29" s="60">
        <v>0</v>
      </c>
      <c r="P29" s="60">
        <v>0.51</v>
      </c>
      <c r="Q29" s="60">
        <v>42.08</v>
      </c>
      <c r="R29" s="198"/>
      <c r="S29" s="198"/>
      <c r="T29" s="198"/>
      <c r="U29" s="198"/>
    </row>
    <row r="30" spans="1:21" s="12" customFormat="1" x14ac:dyDescent="0.25">
      <c r="A30" s="201" t="s">
        <v>269</v>
      </c>
      <c r="B30" s="60">
        <v>4.58</v>
      </c>
      <c r="C30" s="60">
        <v>32.69</v>
      </c>
      <c r="D30" s="60">
        <v>23.45</v>
      </c>
      <c r="E30" s="60">
        <v>1.55</v>
      </c>
      <c r="F30" s="60">
        <v>4.01</v>
      </c>
      <c r="G30" s="60">
        <v>38.51</v>
      </c>
      <c r="H30" s="60">
        <v>19.05</v>
      </c>
      <c r="I30" s="60">
        <v>0.51</v>
      </c>
      <c r="J30" s="60">
        <v>0.6</v>
      </c>
      <c r="K30" s="60">
        <v>74.010000000000005</v>
      </c>
      <c r="L30" s="60">
        <v>17.68</v>
      </c>
      <c r="M30" s="60">
        <v>84.89</v>
      </c>
      <c r="N30" s="60">
        <v>6.3</v>
      </c>
      <c r="O30" s="60">
        <v>0</v>
      </c>
      <c r="P30" s="60">
        <v>0.51</v>
      </c>
      <c r="Q30" s="60">
        <v>37.85</v>
      </c>
      <c r="R30" s="198"/>
      <c r="S30" s="198"/>
      <c r="T30" s="198"/>
      <c r="U30" s="198"/>
    </row>
    <row r="31" spans="1:21" s="12" customFormat="1" x14ac:dyDescent="0.25">
      <c r="A31" s="201" t="s">
        <v>270</v>
      </c>
      <c r="B31" s="60">
        <v>4.9800000000000004</v>
      </c>
      <c r="C31" s="60">
        <v>34.31</v>
      </c>
      <c r="D31" s="60">
        <v>24.67</v>
      </c>
      <c r="E31" s="60">
        <v>1.68</v>
      </c>
      <c r="F31" s="60">
        <v>3.68</v>
      </c>
      <c r="G31" s="60">
        <v>33.01</v>
      </c>
      <c r="H31" s="60">
        <v>12.99</v>
      </c>
      <c r="I31" s="60">
        <v>0.51</v>
      </c>
      <c r="J31" s="60">
        <v>2.38</v>
      </c>
      <c r="K31" s="60">
        <v>118.78</v>
      </c>
      <c r="L31" s="60">
        <v>17.86</v>
      </c>
      <c r="M31" s="60">
        <v>82.21</v>
      </c>
      <c r="N31" s="60">
        <v>6.4</v>
      </c>
      <c r="O31" s="60">
        <v>0</v>
      </c>
      <c r="P31" s="60">
        <v>0.48</v>
      </c>
      <c r="Q31" s="60">
        <v>39.619999999999997</v>
      </c>
      <c r="R31" s="198"/>
      <c r="S31" s="198"/>
      <c r="T31" s="198"/>
      <c r="U31" s="198"/>
    </row>
    <row r="32" spans="1:21" s="12" customFormat="1" x14ac:dyDescent="0.25">
      <c r="A32" s="201" t="s">
        <v>271</v>
      </c>
      <c r="B32" s="60">
        <v>5.28</v>
      </c>
      <c r="C32" s="60">
        <v>32.26</v>
      </c>
      <c r="D32" s="60">
        <v>23.78</v>
      </c>
      <c r="E32" s="60">
        <v>1.69</v>
      </c>
      <c r="F32" s="60">
        <v>3.43</v>
      </c>
      <c r="G32" s="60">
        <v>32.880000000000003</v>
      </c>
      <c r="H32" s="60">
        <v>12.86</v>
      </c>
      <c r="I32" s="60">
        <v>0.5</v>
      </c>
      <c r="J32" s="60">
        <v>2.41</v>
      </c>
      <c r="K32" s="60">
        <v>114.94</v>
      </c>
      <c r="L32" s="60">
        <v>17.96</v>
      </c>
      <c r="M32" s="60">
        <v>82.38</v>
      </c>
      <c r="N32" s="60">
        <v>8.9</v>
      </c>
      <c r="O32" s="60">
        <v>0</v>
      </c>
      <c r="P32" s="60">
        <v>0.47</v>
      </c>
      <c r="Q32" s="60">
        <v>39.85</v>
      </c>
      <c r="R32" s="198"/>
      <c r="S32" s="198"/>
      <c r="T32" s="198"/>
      <c r="U32" s="198"/>
    </row>
    <row r="33" spans="1:21" s="12" customFormat="1" x14ac:dyDescent="0.25">
      <c r="A33" s="201" t="s">
        <v>272</v>
      </c>
      <c r="B33" s="60">
        <v>5.55</v>
      </c>
      <c r="C33" s="60">
        <v>32.42</v>
      </c>
      <c r="D33" s="60">
        <v>24.08</v>
      </c>
      <c r="E33" s="60">
        <v>1.94</v>
      </c>
      <c r="F33" s="60">
        <v>3.21</v>
      </c>
      <c r="G33" s="60">
        <v>32.880000000000003</v>
      </c>
      <c r="H33" s="60">
        <v>12.86</v>
      </c>
      <c r="I33" s="60">
        <v>0.52</v>
      </c>
      <c r="J33" s="60">
        <v>1.94</v>
      </c>
      <c r="K33" s="60">
        <v>121.95</v>
      </c>
      <c r="L33" s="60">
        <v>18</v>
      </c>
      <c r="M33" s="60">
        <v>83.3</v>
      </c>
      <c r="N33" s="60">
        <v>14.9</v>
      </c>
      <c r="O33" s="60">
        <v>0</v>
      </c>
      <c r="P33" s="60">
        <v>0.45</v>
      </c>
      <c r="Q33" s="60">
        <v>42.93</v>
      </c>
      <c r="R33" s="198"/>
      <c r="S33" s="198"/>
      <c r="T33" s="198"/>
      <c r="U33" s="198"/>
    </row>
    <row r="34" spans="1:21" s="12" customFormat="1" x14ac:dyDescent="0.25">
      <c r="A34" s="201" t="s">
        <v>273</v>
      </c>
      <c r="B34" s="60">
        <v>5.84</v>
      </c>
      <c r="C34" s="60">
        <v>32.82</v>
      </c>
      <c r="D34" s="60">
        <v>24.54</v>
      </c>
      <c r="E34" s="60">
        <v>1.87</v>
      </c>
      <c r="F34" s="60">
        <v>3.52</v>
      </c>
      <c r="G34" s="60">
        <v>32.880000000000003</v>
      </c>
      <c r="H34" s="60">
        <v>12.86</v>
      </c>
      <c r="I34" s="60">
        <v>0.52</v>
      </c>
      <c r="J34" s="60">
        <v>1.4</v>
      </c>
      <c r="K34" s="60">
        <v>107.6</v>
      </c>
      <c r="L34" s="60">
        <v>18.239999999999998</v>
      </c>
      <c r="M34" s="60">
        <v>81.84</v>
      </c>
      <c r="N34" s="60">
        <v>32.799999999999997</v>
      </c>
      <c r="O34" s="60">
        <v>0</v>
      </c>
      <c r="P34" s="60">
        <v>0.44</v>
      </c>
      <c r="Q34" s="60">
        <v>39.96</v>
      </c>
      <c r="R34" s="198"/>
      <c r="S34" s="198"/>
      <c r="T34" s="198"/>
      <c r="U34" s="198"/>
    </row>
    <row r="35" spans="1:21" s="12" customFormat="1" x14ac:dyDescent="0.25">
      <c r="A35" s="201" t="s">
        <v>274</v>
      </c>
      <c r="B35" s="60">
        <v>6.2</v>
      </c>
      <c r="C35" s="60">
        <v>32.53</v>
      </c>
      <c r="D35" s="60">
        <v>24.66</v>
      </c>
      <c r="E35" s="60">
        <v>1.94</v>
      </c>
      <c r="F35" s="60">
        <v>3.7</v>
      </c>
      <c r="G35" s="60">
        <v>24.15</v>
      </c>
      <c r="H35" s="60">
        <v>11.41</v>
      </c>
      <c r="I35" s="60">
        <v>0.52</v>
      </c>
      <c r="J35" s="60">
        <v>1.23</v>
      </c>
      <c r="K35" s="60">
        <v>116.33</v>
      </c>
      <c r="L35" s="60">
        <v>18.510000000000002</v>
      </c>
      <c r="M35" s="60">
        <v>80.41</v>
      </c>
      <c r="N35" s="60">
        <v>48.4</v>
      </c>
      <c r="O35" s="60">
        <v>0</v>
      </c>
      <c r="P35" s="60">
        <v>0.44</v>
      </c>
      <c r="Q35" s="60">
        <v>40.57</v>
      </c>
      <c r="R35" s="198"/>
      <c r="S35" s="198"/>
      <c r="T35" s="198"/>
      <c r="U35" s="198"/>
    </row>
    <row r="36" spans="1:21" s="12" customFormat="1" x14ac:dyDescent="0.25">
      <c r="A36" s="201" t="s">
        <v>275</v>
      </c>
      <c r="B36" s="60">
        <v>6.53</v>
      </c>
      <c r="C36" s="60">
        <v>32.200000000000003</v>
      </c>
      <c r="D36" s="60">
        <v>24.75</v>
      </c>
      <c r="E36" s="60">
        <v>1.61</v>
      </c>
      <c r="F36" s="60">
        <v>3.38</v>
      </c>
      <c r="G36" s="60">
        <v>23.95</v>
      </c>
      <c r="H36" s="60">
        <v>11.37</v>
      </c>
      <c r="I36" s="60">
        <v>0.52</v>
      </c>
      <c r="J36" s="60">
        <v>0.88</v>
      </c>
      <c r="K36" s="60">
        <v>109.71</v>
      </c>
      <c r="L36" s="60">
        <v>18.940000000000001</v>
      </c>
      <c r="M36" s="60">
        <v>78.47</v>
      </c>
      <c r="N36" s="60">
        <v>89.8</v>
      </c>
      <c r="O36" s="60">
        <v>0</v>
      </c>
      <c r="P36" s="60">
        <v>0.42</v>
      </c>
      <c r="Q36" s="60">
        <v>42.07</v>
      </c>
      <c r="R36" s="198"/>
      <c r="S36" s="198"/>
      <c r="T36" s="198"/>
      <c r="U36" s="198"/>
    </row>
    <row r="37" spans="1:21" s="12" customFormat="1" x14ac:dyDescent="0.25">
      <c r="A37" s="201" t="s">
        <v>276</v>
      </c>
      <c r="B37" s="60">
        <v>6.82</v>
      </c>
      <c r="C37" s="60">
        <v>33.29</v>
      </c>
      <c r="D37" s="60">
        <v>25.58</v>
      </c>
      <c r="E37" s="60">
        <v>1.86</v>
      </c>
      <c r="F37" s="60">
        <v>3.11</v>
      </c>
      <c r="G37" s="60">
        <v>23.95</v>
      </c>
      <c r="H37" s="60">
        <v>11.37</v>
      </c>
      <c r="I37" s="60">
        <v>0.52</v>
      </c>
      <c r="J37" s="60">
        <v>1.33</v>
      </c>
      <c r="K37" s="60">
        <v>110.49</v>
      </c>
      <c r="L37" s="60">
        <v>19.11</v>
      </c>
      <c r="M37" s="60">
        <v>76.39</v>
      </c>
      <c r="N37" s="60">
        <v>69.5</v>
      </c>
      <c r="O37" s="60">
        <v>0</v>
      </c>
      <c r="P37" s="60">
        <v>0.4</v>
      </c>
      <c r="Q37" s="60">
        <v>43.16</v>
      </c>
      <c r="R37" s="198"/>
      <c r="S37" s="198"/>
      <c r="T37" s="198"/>
      <c r="U37" s="198"/>
    </row>
    <row r="38" spans="1:21" s="12" customFormat="1" x14ac:dyDescent="0.25">
      <c r="A38" s="201" t="s">
        <v>277</v>
      </c>
      <c r="B38" s="60">
        <v>7.07</v>
      </c>
      <c r="C38" s="60">
        <v>29.55</v>
      </c>
      <c r="D38" s="60">
        <v>23.72</v>
      </c>
      <c r="E38" s="60">
        <v>1.72</v>
      </c>
      <c r="F38" s="60">
        <v>3.39</v>
      </c>
      <c r="G38" s="60">
        <v>23.95</v>
      </c>
      <c r="H38" s="60">
        <v>11.37</v>
      </c>
      <c r="I38" s="60">
        <v>0.52</v>
      </c>
      <c r="J38" s="60">
        <v>0.56999999999999995</v>
      </c>
      <c r="K38" s="60">
        <v>116.81</v>
      </c>
      <c r="L38" s="60">
        <v>19.29</v>
      </c>
      <c r="M38" s="60">
        <v>76.010000000000005</v>
      </c>
      <c r="N38" s="60">
        <v>140</v>
      </c>
      <c r="O38" s="60">
        <v>0</v>
      </c>
      <c r="P38" s="60">
        <v>0.42</v>
      </c>
      <c r="Q38" s="60">
        <v>41.52</v>
      </c>
      <c r="R38" s="198"/>
      <c r="S38" s="198"/>
      <c r="T38" s="198"/>
      <c r="U38" s="198"/>
    </row>
    <row r="39" spans="1:21" s="12" customFormat="1" x14ac:dyDescent="0.25">
      <c r="A39" s="201" t="s">
        <v>278</v>
      </c>
      <c r="B39" s="60">
        <v>7.31</v>
      </c>
      <c r="C39" s="60">
        <v>28.49</v>
      </c>
      <c r="D39" s="60">
        <v>23.32</v>
      </c>
      <c r="E39" s="60">
        <v>1.5</v>
      </c>
      <c r="F39" s="60">
        <v>3.43</v>
      </c>
      <c r="G39" s="60">
        <v>20.99</v>
      </c>
      <c r="H39" s="60">
        <v>10.85</v>
      </c>
      <c r="I39" s="60">
        <v>0.5</v>
      </c>
      <c r="J39" s="60">
        <v>0.47</v>
      </c>
      <c r="K39" s="60">
        <v>116.48</v>
      </c>
      <c r="L39" s="60">
        <v>20.18</v>
      </c>
      <c r="M39" s="60">
        <v>71.2</v>
      </c>
      <c r="N39" s="60">
        <v>323.3</v>
      </c>
      <c r="O39" s="60">
        <v>0</v>
      </c>
      <c r="P39" s="60">
        <v>0.41</v>
      </c>
      <c r="Q39" s="60">
        <v>40.18</v>
      </c>
      <c r="R39" s="198"/>
      <c r="S39" s="198"/>
      <c r="T39" s="198"/>
      <c r="U39" s="198"/>
    </row>
    <row r="40" spans="1:21" s="12" customFormat="1" x14ac:dyDescent="0.25">
      <c r="A40" s="201" t="s">
        <v>279</v>
      </c>
      <c r="B40" s="60">
        <v>7.08</v>
      </c>
      <c r="C40" s="60">
        <v>27.8</v>
      </c>
      <c r="D40" s="60">
        <v>22.76</v>
      </c>
      <c r="E40" s="60">
        <v>1.59</v>
      </c>
      <c r="F40" s="60">
        <v>3.38</v>
      </c>
      <c r="G40" s="60">
        <v>20.92</v>
      </c>
      <c r="H40" s="60">
        <v>10.84</v>
      </c>
      <c r="I40" s="60">
        <v>0.52</v>
      </c>
      <c r="J40" s="60">
        <v>0.37</v>
      </c>
      <c r="K40" s="60">
        <v>197.46</v>
      </c>
      <c r="L40" s="60">
        <v>21.06</v>
      </c>
      <c r="M40" s="60">
        <v>70.05</v>
      </c>
      <c r="N40" s="60">
        <v>315.89999999999998</v>
      </c>
      <c r="O40" s="60">
        <v>0</v>
      </c>
      <c r="P40" s="60">
        <v>0.4</v>
      </c>
      <c r="Q40" s="60">
        <v>43.71</v>
      </c>
      <c r="R40" s="198"/>
      <c r="S40" s="198"/>
      <c r="T40" s="198"/>
      <c r="U40" s="198"/>
    </row>
    <row r="41" spans="1:21" s="12" customFormat="1" x14ac:dyDescent="0.25">
      <c r="A41" s="201" t="s">
        <v>280</v>
      </c>
      <c r="B41" s="60">
        <v>6.65</v>
      </c>
      <c r="C41" s="60">
        <v>30.83</v>
      </c>
      <c r="D41" s="60">
        <v>24.09</v>
      </c>
      <c r="E41" s="60">
        <v>2.25</v>
      </c>
      <c r="F41" s="60">
        <v>3.44</v>
      </c>
      <c r="G41" s="60">
        <v>20.92</v>
      </c>
      <c r="H41" s="60">
        <v>10.84</v>
      </c>
      <c r="I41" s="60">
        <v>0.52</v>
      </c>
      <c r="J41" s="60">
        <v>0.63</v>
      </c>
      <c r="K41" s="60">
        <v>173.57</v>
      </c>
      <c r="L41" s="60">
        <v>21.71</v>
      </c>
      <c r="M41" s="60">
        <v>67.09</v>
      </c>
      <c r="N41" s="60">
        <v>464.1</v>
      </c>
      <c r="O41" s="60">
        <v>0</v>
      </c>
      <c r="P41" s="60">
        <v>0.4</v>
      </c>
      <c r="Q41" s="60">
        <v>40.28</v>
      </c>
      <c r="R41" s="198"/>
      <c r="S41" s="198"/>
      <c r="T41" s="198"/>
      <c r="U41" s="198"/>
    </row>
    <row r="42" spans="1:21" s="12" customFormat="1" x14ac:dyDescent="0.25">
      <c r="A42" s="201" t="s">
        <v>281</v>
      </c>
      <c r="B42" s="60">
        <v>6.22</v>
      </c>
      <c r="C42" s="60">
        <v>28.27</v>
      </c>
      <c r="D42" s="60">
        <v>22.33</v>
      </c>
      <c r="E42" s="60">
        <v>2.16</v>
      </c>
      <c r="F42" s="60">
        <v>3.71</v>
      </c>
      <c r="G42" s="60">
        <v>20.92</v>
      </c>
      <c r="H42" s="60">
        <v>10.84</v>
      </c>
      <c r="I42" s="60">
        <v>0.51</v>
      </c>
      <c r="J42" s="60">
        <v>0.4</v>
      </c>
      <c r="K42" s="60">
        <v>202.74</v>
      </c>
      <c r="L42" s="60">
        <v>22.23</v>
      </c>
      <c r="M42" s="60">
        <v>66.709999999999994</v>
      </c>
      <c r="N42" s="60">
        <v>470</v>
      </c>
      <c r="O42" s="60">
        <v>0</v>
      </c>
      <c r="P42" s="60">
        <v>0.4</v>
      </c>
      <c r="Q42" s="60">
        <v>39.65</v>
      </c>
      <c r="R42" s="198"/>
      <c r="S42" s="198"/>
      <c r="T42" s="198"/>
      <c r="U42" s="198"/>
    </row>
    <row r="43" spans="1:21" s="12" customFormat="1" x14ac:dyDescent="0.25">
      <c r="A43" s="201" t="s">
        <v>282</v>
      </c>
      <c r="B43" s="60">
        <v>5.83</v>
      </c>
      <c r="C43" s="60">
        <v>29.18</v>
      </c>
      <c r="D43" s="60">
        <v>22.52</v>
      </c>
      <c r="E43" s="60">
        <v>2.14</v>
      </c>
      <c r="F43" s="60">
        <v>3.38</v>
      </c>
      <c r="G43" s="60">
        <v>17.5</v>
      </c>
      <c r="H43" s="60">
        <v>7.74</v>
      </c>
      <c r="I43" s="60">
        <v>0.51</v>
      </c>
      <c r="J43" s="60">
        <v>0.56999999999999995</v>
      </c>
      <c r="K43" s="60">
        <v>136.69</v>
      </c>
      <c r="L43" s="60">
        <v>21.8</v>
      </c>
      <c r="M43" s="60">
        <v>68.97</v>
      </c>
      <c r="N43" s="60">
        <v>411.9</v>
      </c>
      <c r="O43" s="60">
        <v>0</v>
      </c>
      <c r="P43" s="60">
        <v>0.39</v>
      </c>
      <c r="Q43" s="60">
        <v>42.87</v>
      </c>
      <c r="R43" s="198"/>
      <c r="S43" s="198"/>
      <c r="T43" s="198"/>
      <c r="U43" s="198"/>
    </row>
    <row r="44" spans="1:21" s="12" customFormat="1" x14ac:dyDescent="0.25">
      <c r="A44" s="201" t="s">
        <v>283</v>
      </c>
      <c r="B44" s="60">
        <v>5.61</v>
      </c>
      <c r="C44" s="60">
        <v>29.78</v>
      </c>
      <c r="D44" s="60">
        <v>22.67</v>
      </c>
      <c r="E44" s="60">
        <v>2.35</v>
      </c>
      <c r="F44" s="60">
        <v>3.72</v>
      </c>
      <c r="G44" s="60">
        <v>17.420000000000002</v>
      </c>
      <c r="H44" s="60">
        <v>7.67</v>
      </c>
      <c r="I44" s="60">
        <v>0.52</v>
      </c>
      <c r="J44" s="60">
        <v>0.87</v>
      </c>
      <c r="K44" s="60">
        <v>115.45</v>
      </c>
      <c r="L44" s="60">
        <v>22.08</v>
      </c>
      <c r="M44" s="60">
        <v>68.55</v>
      </c>
      <c r="N44" s="60">
        <v>550.70000000000005</v>
      </c>
      <c r="O44" s="60">
        <v>0</v>
      </c>
      <c r="P44" s="60">
        <v>0.39</v>
      </c>
      <c r="Q44" s="60">
        <v>37.5</v>
      </c>
      <c r="R44" s="198"/>
      <c r="S44" s="198"/>
      <c r="T44" s="198"/>
      <c r="U44" s="198"/>
    </row>
    <row r="45" spans="1:21" s="12" customFormat="1" x14ac:dyDescent="0.25">
      <c r="A45" s="201" t="s">
        <v>284</v>
      </c>
      <c r="B45" s="60">
        <v>5.47</v>
      </c>
      <c r="C45" s="60">
        <v>33.869999999999997</v>
      </c>
      <c r="D45" s="60">
        <v>24.82</v>
      </c>
      <c r="E45" s="60">
        <v>2.37</v>
      </c>
      <c r="F45" s="60">
        <v>4.76</v>
      </c>
      <c r="G45" s="60">
        <v>17.420000000000002</v>
      </c>
      <c r="H45" s="60">
        <v>7.67</v>
      </c>
      <c r="I45" s="60">
        <v>0.52</v>
      </c>
      <c r="J45" s="60">
        <v>0.79</v>
      </c>
      <c r="K45" s="60">
        <v>152.97</v>
      </c>
      <c r="L45" s="60">
        <v>22.55</v>
      </c>
      <c r="M45" s="60">
        <v>67.78</v>
      </c>
      <c r="N45" s="60">
        <v>650.70000000000005</v>
      </c>
      <c r="O45" s="60">
        <v>0</v>
      </c>
      <c r="P45" s="60">
        <v>0.37</v>
      </c>
      <c r="Q45" s="60">
        <v>40.61</v>
      </c>
      <c r="R45" s="198"/>
      <c r="S45" s="198"/>
      <c r="T45" s="198"/>
      <c r="U45" s="198"/>
    </row>
    <row r="46" spans="1:21" s="12" customFormat="1" x14ac:dyDescent="0.25">
      <c r="A46" s="201" t="s">
        <v>285</v>
      </c>
      <c r="B46" s="60">
        <v>5.43</v>
      </c>
      <c r="C46" s="60">
        <v>34.58</v>
      </c>
      <c r="D46" s="60">
        <v>25.18</v>
      </c>
      <c r="E46" s="60">
        <v>2.4500000000000002</v>
      </c>
      <c r="F46" s="60">
        <v>5.0999999999999996</v>
      </c>
      <c r="G46" s="60">
        <v>17.420000000000002</v>
      </c>
      <c r="H46" s="60">
        <v>7.67</v>
      </c>
      <c r="I46" s="60">
        <v>0.52</v>
      </c>
      <c r="J46" s="60">
        <v>0.35</v>
      </c>
      <c r="K46" s="60">
        <v>190.43</v>
      </c>
      <c r="L46" s="60">
        <v>23.55</v>
      </c>
      <c r="M46" s="60">
        <v>64.349999999999994</v>
      </c>
      <c r="N46" s="60">
        <v>734.6</v>
      </c>
      <c r="O46" s="60">
        <v>0</v>
      </c>
      <c r="P46" s="60">
        <v>0.38</v>
      </c>
      <c r="Q46" s="60">
        <v>38.28</v>
      </c>
      <c r="R46" s="198"/>
      <c r="S46" s="198"/>
      <c r="T46" s="198"/>
      <c r="U46" s="198"/>
    </row>
    <row r="47" spans="1:21" s="12" customFormat="1" x14ac:dyDescent="0.25">
      <c r="A47" s="201" t="s">
        <v>286</v>
      </c>
      <c r="B47" s="60">
        <v>5.59</v>
      </c>
      <c r="C47" s="60">
        <v>32.58</v>
      </c>
      <c r="D47" s="60">
        <v>24.2</v>
      </c>
      <c r="E47" s="60">
        <v>2.34</v>
      </c>
      <c r="F47" s="60">
        <v>4.7699999999999996</v>
      </c>
      <c r="G47" s="60">
        <v>14.35</v>
      </c>
      <c r="H47" s="60">
        <v>7.25</v>
      </c>
      <c r="I47" s="60">
        <v>0.51</v>
      </c>
      <c r="J47" s="60">
        <v>1.3</v>
      </c>
      <c r="K47" s="60">
        <v>174</v>
      </c>
      <c r="L47" s="60">
        <v>24.4</v>
      </c>
      <c r="M47" s="60">
        <v>60.36</v>
      </c>
      <c r="N47" s="60">
        <v>775.5</v>
      </c>
      <c r="O47" s="60">
        <v>0</v>
      </c>
      <c r="P47" s="60">
        <v>0.38</v>
      </c>
      <c r="Q47" s="60">
        <v>37.68</v>
      </c>
      <c r="R47" s="198"/>
      <c r="S47" s="198"/>
      <c r="T47" s="198"/>
      <c r="U47" s="198"/>
    </row>
    <row r="48" spans="1:21" s="12" customFormat="1" x14ac:dyDescent="0.25">
      <c r="A48" s="201" t="s">
        <v>287</v>
      </c>
      <c r="B48" s="60">
        <v>5.75</v>
      </c>
      <c r="C48" s="60">
        <v>27.89</v>
      </c>
      <c r="D48" s="60">
        <v>21.74</v>
      </c>
      <c r="E48" s="60">
        <v>2.37</v>
      </c>
      <c r="F48" s="60">
        <v>4.22</v>
      </c>
      <c r="G48" s="60">
        <v>14.28</v>
      </c>
      <c r="H48" s="60">
        <v>7.24</v>
      </c>
      <c r="I48" s="60">
        <v>0.51</v>
      </c>
      <c r="J48" s="60">
        <v>0.42</v>
      </c>
      <c r="K48" s="60">
        <v>173.17</v>
      </c>
      <c r="L48" s="60">
        <v>25.12</v>
      </c>
      <c r="M48" s="60">
        <v>59.68</v>
      </c>
      <c r="N48" s="60">
        <v>819.7</v>
      </c>
      <c r="O48" s="60">
        <v>0</v>
      </c>
      <c r="P48" s="60">
        <v>0.38</v>
      </c>
      <c r="Q48" s="60">
        <v>41.51</v>
      </c>
      <c r="R48" s="198"/>
      <c r="S48" s="198"/>
      <c r="T48" s="198"/>
      <c r="U48" s="198"/>
    </row>
    <row r="49" spans="1:21" s="12" customFormat="1" x14ac:dyDescent="0.25">
      <c r="A49" s="201" t="s">
        <v>288</v>
      </c>
      <c r="B49" s="60">
        <v>5.64</v>
      </c>
      <c r="C49" s="60">
        <v>32.89</v>
      </c>
      <c r="D49" s="60">
        <v>24.42</v>
      </c>
      <c r="E49" s="60">
        <v>2.59</v>
      </c>
      <c r="F49" s="60">
        <v>9.02</v>
      </c>
      <c r="G49" s="60">
        <v>14.28</v>
      </c>
      <c r="H49" s="60">
        <v>7.24</v>
      </c>
      <c r="I49" s="60">
        <v>0.51</v>
      </c>
      <c r="J49" s="60">
        <v>0.12</v>
      </c>
      <c r="K49" s="60">
        <v>267.83999999999997</v>
      </c>
      <c r="L49" s="60">
        <v>25.87</v>
      </c>
      <c r="M49" s="60">
        <v>55.45</v>
      </c>
      <c r="N49" s="60">
        <v>307.5</v>
      </c>
      <c r="O49" s="60">
        <v>0</v>
      </c>
      <c r="P49" s="60">
        <v>0.39</v>
      </c>
      <c r="Q49" s="60">
        <v>36.4</v>
      </c>
      <c r="R49" s="198"/>
      <c r="S49" s="198"/>
      <c r="T49" s="198"/>
      <c r="U49" s="198"/>
    </row>
    <row r="50" spans="1:21" s="12" customFormat="1" x14ac:dyDescent="0.25">
      <c r="A50" s="201" t="s">
        <v>289</v>
      </c>
      <c r="B50" s="60">
        <v>4.54</v>
      </c>
      <c r="C50" s="60">
        <v>33.28</v>
      </c>
      <c r="D50" s="60">
        <v>23.74</v>
      </c>
      <c r="E50" s="60">
        <v>2.8</v>
      </c>
      <c r="F50" s="60">
        <v>18.89</v>
      </c>
      <c r="G50" s="60">
        <v>14.28</v>
      </c>
      <c r="H50" s="60">
        <v>7.24</v>
      </c>
      <c r="I50" s="60">
        <v>0.52</v>
      </c>
      <c r="J50" s="60">
        <v>0.27</v>
      </c>
      <c r="K50" s="60">
        <v>157.1</v>
      </c>
      <c r="L50" s="60">
        <v>24.38</v>
      </c>
      <c r="M50" s="60">
        <v>61.51</v>
      </c>
      <c r="N50" s="60">
        <v>224.4</v>
      </c>
      <c r="O50" s="60">
        <v>0</v>
      </c>
      <c r="P50" s="60">
        <v>0.39</v>
      </c>
      <c r="Q50" s="60">
        <v>36.78</v>
      </c>
      <c r="R50" s="198"/>
      <c r="S50" s="198"/>
      <c r="T50" s="198"/>
      <c r="U50" s="198"/>
    </row>
    <row r="51" spans="1:21" s="12" customFormat="1" x14ac:dyDescent="0.25">
      <c r="A51" s="201" t="s">
        <v>290</v>
      </c>
      <c r="B51" s="60">
        <v>4.97</v>
      </c>
      <c r="C51" s="60">
        <v>28.9</v>
      </c>
      <c r="D51" s="60">
        <v>21.68</v>
      </c>
      <c r="E51" s="60">
        <v>2.23</v>
      </c>
      <c r="F51" s="60">
        <v>9.34</v>
      </c>
      <c r="G51" s="60">
        <v>12.61</v>
      </c>
      <c r="H51" s="60">
        <v>8.51</v>
      </c>
      <c r="I51" s="60">
        <v>0.51</v>
      </c>
      <c r="J51" s="60">
        <v>0.13</v>
      </c>
      <c r="K51" s="60">
        <v>216.93</v>
      </c>
      <c r="L51" s="60">
        <v>25.21</v>
      </c>
      <c r="M51" s="60">
        <v>58.4</v>
      </c>
      <c r="N51" s="60">
        <v>589.20000000000005</v>
      </c>
      <c r="O51" s="60">
        <v>0</v>
      </c>
      <c r="P51" s="60">
        <v>0.4</v>
      </c>
      <c r="Q51" s="60">
        <v>31.51</v>
      </c>
      <c r="R51" s="198"/>
      <c r="S51" s="198"/>
      <c r="T51" s="198"/>
      <c r="U51" s="198"/>
    </row>
    <row r="52" spans="1:21" s="12" customFormat="1" x14ac:dyDescent="0.25">
      <c r="A52" s="201" t="s">
        <v>291</v>
      </c>
      <c r="B52" s="60">
        <v>3.77</v>
      </c>
      <c r="C52" s="60">
        <v>33.67</v>
      </c>
      <c r="D52" s="60">
        <v>23.35</v>
      </c>
      <c r="E52" s="60">
        <v>1.76</v>
      </c>
      <c r="F52" s="60">
        <v>6.6</v>
      </c>
      <c r="G52" s="60">
        <v>12.57</v>
      </c>
      <c r="H52" s="60">
        <v>8.5399999999999991</v>
      </c>
      <c r="I52" s="60">
        <v>0.47</v>
      </c>
      <c r="J52" s="60">
        <v>0.56999999999999995</v>
      </c>
      <c r="K52" s="60">
        <v>199.22</v>
      </c>
      <c r="L52" s="60">
        <v>25.7</v>
      </c>
      <c r="M52" s="60">
        <v>56</v>
      </c>
      <c r="N52" s="60">
        <v>955.2</v>
      </c>
      <c r="O52" s="60">
        <v>0</v>
      </c>
      <c r="P52" s="60">
        <v>0.38</v>
      </c>
      <c r="Q52" s="60">
        <v>36.22</v>
      </c>
      <c r="R52" s="198"/>
      <c r="S52" s="198"/>
      <c r="T52" s="198"/>
      <c r="U52" s="198"/>
    </row>
    <row r="53" spans="1:21" s="12" customFormat="1" x14ac:dyDescent="0.25">
      <c r="A53" s="201" t="s">
        <v>292</v>
      </c>
      <c r="B53" s="212" t="s">
        <v>32</v>
      </c>
      <c r="C53" s="212" t="s">
        <v>32</v>
      </c>
      <c r="D53" s="212" t="s">
        <v>32</v>
      </c>
      <c r="E53" s="212" t="s">
        <v>32</v>
      </c>
      <c r="F53" s="212" t="s">
        <v>32</v>
      </c>
      <c r="G53" s="212" t="s">
        <v>32</v>
      </c>
      <c r="H53" s="212" t="s">
        <v>32</v>
      </c>
      <c r="I53" s="212" t="s">
        <v>32</v>
      </c>
      <c r="J53" s="212" t="s">
        <v>32</v>
      </c>
      <c r="K53" s="212" t="s">
        <v>32</v>
      </c>
      <c r="L53" s="212" t="s">
        <v>32</v>
      </c>
      <c r="M53" s="212" t="s">
        <v>32</v>
      </c>
      <c r="N53" s="212" t="s">
        <v>32</v>
      </c>
      <c r="O53" s="212" t="s">
        <v>32</v>
      </c>
      <c r="P53" s="212" t="s">
        <v>32</v>
      </c>
      <c r="Q53" s="212" t="s">
        <v>32</v>
      </c>
      <c r="R53" s="198"/>
      <c r="S53" s="198"/>
      <c r="T53" s="198"/>
      <c r="U53" s="198"/>
    </row>
    <row r="54" spans="1:21" s="12" customFormat="1" x14ac:dyDescent="0.25">
      <c r="A54" s="201" t="s">
        <v>293</v>
      </c>
      <c r="B54" s="212" t="s">
        <v>32</v>
      </c>
      <c r="C54" s="212" t="s">
        <v>32</v>
      </c>
      <c r="D54" s="212" t="s">
        <v>32</v>
      </c>
      <c r="E54" s="212" t="s">
        <v>32</v>
      </c>
      <c r="F54" s="212" t="s">
        <v>32</v>
      </c>
      <c r="G54" s="212" t="s">
        <v>32</v>
      </c>
      <c r="H54" s="212" t="s">
        <v>32</v>
      </c>
      <c r="I54" s="212" t="s">
        <v>32</v>
      </c>
      <c r="J54" s="212" t="s">
        <v>32</v>
      </c>
      <c r="K54" s="212" t="s">
        <v>32</v>
      </c>
      <c r="L54" s="212" t="s">
        <v>32</v>
      </c>
      <c r="M54" s="212" t="s">
        <v>32</v>
      </c>
      <c r="N54" s="212" t="s">
        <v>32</v>
      </c>
      <c r="O54" s="212" t="s">
        <v>32</v>
      </c>
      <c r="P54" s="212" t="s">
        <v>32</v>
      </c>
      <c r="Q54" s="212" t="s">
        <v>32</v>
      </c>
      <c r="R54" s="198"/>
      <c r="S54" s="198"/>
      <c r="T54" s="198"/>
      <c r="U54" s="198"/>
    </row>
    <row r="55" spans="1:21" s="12" customFormat="1" x14ac:dyDescent="0.25">
      <c r="A55" s="201" t="s">
        <v>294</v>
      </c>
      <c r="B55" s="60">
        <v>4.33</v>
      </c>
      <c r="C55" s="60">
        <v>28.94</v>
      </c>
      <c r="D55" s="60">
        <v>21.18</v>
      </c>
      <c r="E55" s="60">
        <v>1.3</v>
      </c>
      <c r="F55" s="60">
        <v>6.96</v>
      </c>
      <c r="G55" s="60">
        <v>15.99</v>
      </c>
      <c r="H55" s="60">
        <v>6.26</v>
      </c>
      <c r="I55" s="60">
        <v>0.49</v>
      </c>
      <c r="J55" s="60">
        <v>0.9</v>
      </c>
      <c r="K55" s="60">
        <v>230.57</v>
      </c>
      <c r="L55" s="60">
        <v>29.15</v>
      </c>
      <c r="M55" s="60">
        <v>41.51</v>
      </c>
      <c r="N55" s="60">
        <v>977.1</v>
      </c>
      <c r="O55" s="60">
        <v>0</v>
      </c>
      <c r="P55" s="60">
        <v>0.39</v>
      </c>
      <c r="Q55" s="60">
        <v>0</v>
      </c>
      <c r="R55" s="198"/>
      <c r="S55" s="198"/>
      <c r="T55" s="198"/>
      <c r="U55" s="198"/>
    </row>
    <row r="56" spans="1:21" s="12" customFormat="1" x14ac:dyDescent="0.25">
      <c r="A56" s="201" t="s">
        <v>295</v>
      </c>
      <c r="B56" s="60">
        <v>4.72</v>
      </c>
      <c r="C56" s="60">
        <v>26.98</v>
      </c>
      <c r="D56" s="60">
        <v>20.41</v>
      </c>
      <c r="E56" s="60">
        <v>2.72</v>
      </c>
      <c r="F56" s="60">
        <v>5.94</v>
      </c>
      <c r="G56" s="60">
        <v>15.99</v>
      </c>
      <c r="H56" s="60">
        <v>6.26</v>
      </c>
      <c r="I56" s="60">
        <v>0.48</v>
      </c>
      <c r="J56" s="60">
        <v>0.16</v>
      </c>
      <c r="K56" s="60">
        <v>325.52</v>
      </c>
      <c r="L56" s="60">
        <v>28.51</v>
      </c>
      <c r="M56" s="60">
        <v>42.39</v>
      </c>
      <c r="N56" s="60">
        <v>986.5</v>
      </c>
      <c r="O56" s="60">
        <v>0</v>
      </c>
      <c r="P56" s="60">
        <v>0.39</v>
      </c>
      <c r="Q56" s="60">
        <v>38.32</v>
      </c>
      <c r="R56" s="198"/>
      <c r="S56" s="198"/>
      <c r="T56" s="198"/>
      <c r="U56" s="198"/>
    </row>
    <row r="57" spans="1:21" s="12" customFormat="1" x14ac:dyDescent="0.25">
      <c r="A57" s="201" t="s">
        <v>296</v>
      </c>
      <c r="B57" s="60">
        <v>4.26</v>
      </c>
      <c r="C57" s="60">
        <v>27.94</v>
      </c>
      <c r="D57" s="60">
        <v>20.57</v>
      </c>
      <c r="E57" s="60">
        <v>3.31</v>
      </c>
      <c r="F57" s="60">
        <v>17.239999999999998</v>
      </c>
      <c r="G57" s="60">
        <v>15.99</v>
      </c>
      <c r="H57" s="60">
        <v>6.26</v>
      </c>
      <c r="I57" s="60">
        <v>0.48</v>
      </c>
      <c r="J57" s="60">
        <v>0.12</v>
      </c>
      <c r="K57" s="60">
        <v>26.73</v>
      </c>
      <c r="L57" s="60">
        <v>29.57</v>
      </c>
      <c r="M57" s="60">
        <v>40.78</v>
      </c>
      <c r="N57" s="60">
        <v>972.6</v>
      </c>
      <c r="O57" s="60">
        <v>0</v>
      </c>
      <c r="P57" s="60">
        <v>0.37</v>
      </c>
      <c r="Q57" s="60">
        <v>36.43</v>
      </c>
      <c r="R57" s="198"/>
      <c r="S57" s="198"/>
      <c r="T57" s="198"/>
      <c r="U57" s="198"/>
    </row>
    <row r="58" spans="1:21" s="12" customFormat="1" x14ac:dyDescent="0.25">
      <c r="A58" s="201" t="s">
        <v>297</v>
      </c>
      <c r="B58" s="60">
        <v>2.98</v>
      </c>
      <c r="C58" s="60">
        <v>31.72</v>
      </c>
      <c r="D58" s="60">
        <v>21.64</v>
      </c>
      <c r="E58" s="60">
        <v>3.16</v>
      </c>
      <c r="F58" s="60">
        <v>13.81</v>
      </c>
      <c r="G58" s="60">
        <v>15.99</v>
      </c>
      <c r="H58" s="60">
        <v>6.26</v>
      </c>
      <c r="I58" s="60">
        <v>0.48</v>
      </c>
      <c r="J58" s="60">
        <v>0.45</v>
      </c>
      <c r="K58" s="60">
        <v>151.13999999999999</v>
      </c>
      <c r="L58" s="60">
        <v>28.06</v>
      </c>
      <c r="M58" s="60">
        <v>43.06</v>
      </c>
      <c r="N58" s="60">
        <v>970.3</v>
      </c>
      <c r="O58" s="60">
        <v>0</v>
      </c>
      <c r="P58" s="60">
        <v>0.34</v>
      </c>
      <c r="Q58" s="60">
        <v>37.159999999999997</v>
      </c>
      <c r="R58" s="198"/>
      <c r="S58" s="198"/>
      <c r="T58" s="198"/>
      <c r="U58" s="198"/>
    </row>
    <row r="59" spans="1:21" s="12" customFormat="1" x14ac:dyDescent="0.25">
      <c r="A59" s="201" t="s">
        <v>298</v>
      </c>
      <c r="B59" s="60">
        <v>3.04</v>
      </c>
      <c r="C59" s="60">
        <v>36</v>
      </c>
      <c r="D59" s="60">
        <v>24.04</v>
      </c>
      <c r="E59" s="60">
        <v>2.77</v>
      </c>
      <c r="F59" s="60">
        <v>8.5</v>
      </c>
      <c r="G59" s="60">
        <v>19.38</v>
      </c>
      <c r="H59" s="60">
        <v>7.1</v>
      </c>
      <c r="I59" s="60">
        <v>0.46</v>
      </c>
      <c r="J59" s="60">
        <v>0.2</v>
      </c>
      <c r="K59" s="60">
        <v>35.04</v>
      </c>
      <c r="L59" s="60">
        <v>29.87</v>
      </c>
      <c r="M59" s="60">
        <v>39.99</v>
      </c>
      <c r="N59" s="60">
        <v>948.1</v>
      </c>
      <c r="O59" s="60">
        <v>0</v>
      </c>
      <c r="P59" s="60">
        <v>0.35</v>
      </c>
      <c r="Q59" s="60">
        <v>33.79</v>
      </c>
      <c r="R59" s="198"/>
      <c r="S59" s="198"/>
      <c r="T59" s="198"/>
      <c r="U59" s="198"/>
    </row>
    <row r="60" spans="1:21" s="12" customFormat="1" x14ac:dyDescent="0.25">
      <c r="A60" s="201" t="s">
        <v>299</v>
      </c>
      <c r="B60" s="60">
        <v>3.41</v>
      </c>
      <c r="C60" s="60">
        <v>30.61</v>
      </c>
      <c r="D60" s="60">
        <v>21.37</v>
      </c>
      <c r="E60" s="60">
        <v>3.16</v>
      </c>
      <c r="F60" s="60">
        <v>12.43</v>
      </c>
      <c r="G60" s="60">
        <v>19.45</v>
      </c>
      <c r="H60" s="60">
        <v>7.12</v>
      </c>
      <c r="I60" s="60">
        <v>0.45</v>
      </c>
      <c r="J60" s="60">
        <v>0.17</v>
      </c>
      <c r="K60" s="60">
        <v>164.68</v>
      </c>
      <c r="L60" s="60">
        <v>29.81</v>
      </c>
      <c r="M60" s="60">
        <v>40.46</v>
      </c>
      <c r="N60" s="60">
        <v>933.8</v>
      </c>
      <c r="O60" s="60">
        <v>0</v>
      </c>
      <c r="P60" s="60">
        <v>0.35</v>
      </c>
      <c r="Q60" s="60">
        <v>36.47</v>
      </c>
      <c r="R60" s="198"/>
      <c r="S60" s="198"/>
      <c r="T60" s="198"/>
      <c r="U60" s="198"/>
    </row>
    <row r="61" spans="1:21" s="12" customFormat="1" x14ac:dyDescent="0.25">
      <c r="A61" s="201" t="s">
        <v>300</v>
      </c>
      <c r="B61" s="60">
        <v>3.27</v>
      </c>
      <c r="C61" s="60">
        <v>22.73</v>
      </c>
      <c r="D61" s="60">
        <v>16.91</v>
      </c>
      <c r="E61" s="60">
        <v>3.53</v>
      </c>
      <c r="F61" s="60">
        <v>11.34</v>
      </c>
      <c r="G61" s="60">
        <v>19.45</v>
      </c>
      <c r="H61" s="60">
        <v>7.12</v>
      </c>
      <c r="I61" s="60">
        <v>0.47</v>
      </c>
      <c r="J61" s="60">
        <v>0.73</v>
      </c>
      <c r="K61" s="60">
        <v>197.19</v>
      </c>
      <c r="L61" s="60">
        <v>28.81</v>
      </c>
      <c r="M61" s="60">
        <v>41.16</v>
      </c>
      <c r="N61" s="60">
        <v>914.1</v>
      </c>
      <c r="O61" s="60">
        <v>0</v>
      </c>
      <c r="P61" s="60">
        <v>0.33</v>
      </c>
      <c r="Q61" s="60">
        <v>32.04</v>
      </c>
      <c r="R61" s="198"/>
      <c r="S61" s="198"/>
      <c r="T61" s="198"/>
      <c r="U61" s="198"/>
    </row>
    <row r="62" spans="1:21" s="12" customFormat="1" x14ac:dyDescent="0.25">
      <c r="A62" s="201" t="s">
        <v>301</v>
      </c>
      <c r="B62" s="60">
        <v>4.2699999999999996</v>
      </c>
      <c r="C62" s="60">
        <v>33.99</v>
      </c>
      <c r="D62" s="60">
        <v>23.92</v>
      </c>
      <c r="E62" s="60">
        <v>3.42</v>
      </c>
      <c r="F62" s="60">
        <v>10.54</v>
      </c>
      <c r="G62" s="60">
        <v>19.45</v>
      </c>
      <c r="H62" s="60">
        <v>7.12</v>
      </c>
      <c r="I62" s="60">
        <v>0.48</v>
      </c>
      <c r="J62" s="60">
        <v>0.37</v>
      </c>
      <c r="K62" s="60">
        <v>358.93</v>
      </c>
      <c r="L62" s="60">
        <v>30.91</v>
      </c>
      <c r="M62" s="60">
        <v>33.81</v>
      </c>
      <c r="N62" s="60">
        <v>884.3</v>
      </c>
      <c r="O62" s="60">
        <v>0</v>
      </c>
      <c r="P62" s="60">
        <v>0.38</v>
      </c>
      <c r="Q62" s="60">
        <v>32.78</v>
      </c>
      <c r="R62" s="198"/>
      <c r="S62" s="198"/>
      <c r="T62" s="198"/>
      <c r="U62" s="198"/>
    </row>
    <row r="63" spans="1:21" s="12" customFormat="1" x14ac:dyDescent="0.25">
      <c r="A63" s="201" t="s">
        <v>302</v>
      </c>
      <c r="B63" s="60">
        <v>3.74</v>
      </c>
      <c r="C63" s="60">
        <v>29.28</v>
      </c>
      <c r="D63" s="60">
        <v>20.9</v>
      </c>
      <c r="E63" s="60">
        <v>3.68</v>
      </c>
      <c r="F63" s="60">
        <v>14.13</v>
      </c>
      <c r="G63" s="60">
        <v>15.69</v>
      </c>
      <c r="H63" s="60">
        <v>6.58</v>
      </c>
      <c r="I63" s="60">
        <v>0.48</v>
      </c>
      <c r="J63" s="60">
        <v>0.63</v>
      </c>
      <c r="K63" s="60">
        <v>190.56</v>
      </c>
      <c r="L63" s="60">
        <v>29.73</v>
      </c>
      <c r="M63" s="60">
        <v>35.61</v>
      </c>
      <c r="N63" s="60">
        <v>858.9</v>
      </c>
      <c r="O63" s="60">
        <v>0</v>
      </c>
      <c r="P63" s="60">
        <v>0.39</v>
      </c>
      <c r="Q63" s="60">
        <v>35.9</v>
      </c>
      <c r="R63" s="198"/>
      <c r="S63" s="198"/>
      <c r="T63" s="198"/>
      <c r="U63" s="198"/>
    </row>
    <row r="64" spans="1:21" s="12" customFormat="1" x14ac:dyDescent="0.25">
      <c r="A64" s="201" t="s">
        <v>303</v>
      </c>
      <c r="B64" s="60">
        <v>3.45</v>
      </c>
      <c r="C64" s="60">
        <v>24.5</v>
      </c>
      <c r="D64" s="60">
        <v>18.03</v>
      </c>
      <c r="E64" s="60">
        <v>3.23</v>
      </c>
      <c r="F64" s="60">
        <v>9.34</v>
      </c>
      <c r="G64" s="60">
        <v>15.61</v>
      </c>
      <c r="H64" s="60">
        <v>6.57</v>
      </c>
      <c r="I64" s="60">
        <v>0.48</v>
      </c>
      <c r="J64" s="60">
        <v>0.1</v>
      </c>
      <c r="K64" s="60">
        <v>332.25</v>
      </c>
      <c r="L64" s="60">
        <v>29.97</v>
      </c>
      <c r="M64" s="60">
        <v>32.08</v>
      </c>
      <c r="N64" s="60">
        <v>803.1</v>
      </c>
      <c r="O64" s="60">
        <v>0</v>
      </c>
      <c r="P64" s="60">
        <v>0.39</v>
      </c>
      <c r="Q64" s="60">
        <v>32.78</v>
      </c>
      <c r="R64" s="198"/>
      <c r="S64" s="198"/>
      <c r="T64" s="198"/>
      <c r="U64" s="198"/>
    </row>
    <row r="65" spans="1:21" s="12" customFormat="1" x14ac:dyDescent="0.25">
      <c r="A65" s="201" t="s">
        <v>304</v>
      </c>
      <c r="B65" s="60">
        <v>3.65</v>
      </c>
      <c r="C65" s="60">
        <v>23.21</v>
      </c>
      <c r="D65" s="60">
        <v>17.48</v>
      </c>
      <c r="E65" s="60">
        <v>3.82</v>
      </c>
      <c r="F65" s="60">
        <v>11.09</v>
      </c>
      <c r="G65" s="60">
        <v>15.61</v>
      </c>
      <c r="H65" s="60">
        <v>6.57</v>
      </c>
      <c r="I65" s="60">
        <v>0.49</v>
      </c>
      <c r="J65" s="60">
        <v>0.25</v>
      </c>
      <c r="K65" s="60">
        <v>327.23</v>
      </c>
      <c r="L65" s="60">
        <v>31.25</v>
      </c>
      <c r="M65" s="60">
        <v>31.84</v>
      </c>
      <c r="N65" s="60">
        <v>735.9</v>
      </c>
      <c r="O65" s="60">
        <v>0</v>
      </c>
      <c r="P65" s="60">
        <v>0.44</v>
      </c>
      <c r="Q65" s="60">
        <v>30.71</v>
      </c>
      <c r="R65" s="198"/>
      <c r="S65" s="198"/>
      <c r="T65" s="198"/>
      <c r="U65" s="198"/>
    </row>
    <row r="66" spans="1:21" s="12" customFormat="1" x14ac:dyDescent="0.25">
      <c r="A66" s="201" t="s">
        <v>305</v>
      </c>
      <c r="B66" s="60">
        <v>3.6</v>
      </c>
      <c r="C66" s="60">
        <v>24.31</v>
      </c>
      <c r="D66" s="60">
        <v>18.04</v>
      </c>
      <c r="E66" s="60">
        <v>3.8</v>
      </c>
      <c r="F66" s="60">
        <v>10.66</v>
      </c>
      <c r="G66" s="60">
        <v>15.61</v>
      </c>
      <c r="H66" s="60">
        <v>6.57</v>
      </c>
      <c r="I66" s="60">
        <v>0.5</v>
      </c>
      <c r="J66" s="60">
        <v>0.23</v>
      </c>
      <c r="K66" s="60">
        <v>22.62</v>
      </c>
      <c r="L66" s="60">
        <v>30.83</v>
      </c>
      <c r="M66" s="60">
        <v>34.04</v>
      </c>
      <c r="N66" s="60">
        <v>641.70000000000005</v>
      </c>
      <c r="O66" s="60">
        <v>0</v>
      </c>
      <c r="P66" s="60">
        <v>0.46</v>
      </c>
      <c r="Q66" s="60">
        <v>29.53</v>
      </c>
      <c r="R66" s="198"/>
      <c r="S66" s="198"/>
      <c r="T66" s="198"/>
      <c r="U66" s="198"/>
    </row>
    <row r="67" spans="1:21" s="12" customFormat="1" x14ac:dyDescent="0.25">
      <c r="A67" s="201" t="s">
        <v>306</v>
      </c>
      <c r="B67" s="60">
        <v>3.45</v>
      </c>
      <c r="C67" s="60">
        <v>31.06</v>
      </c>
      <c r="D67" s="60">
        <v>21.65</v>
      </c>
      <c r="E67" s="60">
        <v>3.45</v>
      </c>
      <c r="F67" s="60">
        <v>9.9</v>
      </c>
      <c r="G67" s="60">
        <v>19.88</v>
      </c>
      <c r="H67" s="60">
        <v>6.72</v>
      </c>
      <c r="I67" s="60">
        <v>0.51</v>
      </c>
      <c r="J67" s="60">
        <v>0.17</v>
      </c>
      <c r="K67" s="60">
        <v>178.4</v>
      </c>
      <c r="L67" s="60">
        <v>30.47</v>
      </c>
      <c r="M67" s="60">
        <v>33.799999999999997</v>
      </c>
      <c r="N67" s="60">
        <v>481.7</v>
      </c>
      <c r="O67" s="60">
        <v>0</v>
      </c>
      <c r="P67" s="60">
        <v>0.51</v>
      </c>
      <c r="Q67" s="60">
        <v>35.340000000000003</v>
      </c>
      <c r="R67" s="198"/>
      <c r="S67" s="198"/>
      <c r="T67" s="198"/>
      <c r="U67" s="198"/>
    </row>
    <row r="68" spans="1:21" s="12" customFormat="1" x14ac:dyDescent="0.25">
      <c r="A68" s="201" t="s">
        <v>307</v>
      </c>
      <c r="B68" s="60">
        <v>3.49</v>
      </c>
      <c r="C68" s="60">
        <v>28.33</v>
      </c>
      <c r="D68" s="60">
        <v>20.18</v>
      </c>
      <c r="E68" s="60">
        <v>3.09</v>
      </c>
      <c r="F68" s="60">
        <v>8.56</v>
      </c>
      <c r="G68" s="60">
        <v>19.97</v>
      </c>
      <c r="H68" s="60">
        <v>6.73</v>
      </c>
      <c r="I68" s="60">
        <v>0.5</v>
      </c>
      <c r="J68" s="60">
        <v>1.71</v>
      </c>
      <c r="K68" s="60">
        <v>179.54</v>
      </c>
      <c r="L68" s="60">
        <v>29.08</v>
      </c>
      <c r="M68" s="60">
        <v>34.94</v>
      </c>
      <c r="N68" s="60">
        <v>497.7</v>
      </c>
      <c r="O68" s="60">
        <v>0</v>
      </c>
      <c r="P68" s="60">
        <v>0.54</v>
      </c>
      <c r="Q68" s="60">
        <v>37.54</v>
      </c>
      <c r="R68" s="198"/>
      <c r="S68" s="198"/>
      <c r="T68" s="198"/>
      <c r="U68" s="198"/>
    </row>
    <row r="69" spans="1:21" s="12" customFormat="1" x14ac:dyDescent="0.25">
      <c r="A69" s="201" t="s">
        <v>308</v>
      </c>
      <c r="B69" s="60">
        <v>3.41</v>
      </c>
      <c r="C69" s="60">
        <v>27.25</v>
      </c>
      <c r="D69" s="60">
        <v>19.510000000000002</v>
      </c>
      <c r="E69" s="60">
        <v>4.0199999999999996</v>
      </c>
      <c r="F69" s="60">
        <v>12.19</v>
      </c>
      <c r="G69" s="60">
        <v>19.97</v>
      </c>
      <c r="H69" s="60">
        <v>6.73</v>
      </c>
      <c r="I69" s="60">
        <v>0.48</v>
      </c>
      <c r="J69" s="60">
        <v>0.7</v>
      </c>
      <c r="K69" s="60">
        <v>181.13</v>
      </c>
      <c r="L69" s="60">
        <v>28.82</v>
      </c>
      <c r="M69" s="60">
        <v>35.17</v>
      </c>
      <c r="N69" s="60">
        <v>326</v>
      </c>
      <c r="O69" s="60">
        <v>0</v>
      </c>
      <c r="P69" s="60">
        <v>0.57999999999999996</v>
      </c>
      <c r="Q69" s="60">
        <v>37.090000000000003</v>
      </c>
      <c r="R69" s="198"/>
      <c r="S69" s="198"/>
      <c r="T69" s="198"/>
      <c r="U69" s="198"/>
    </row>
    <row r="70" spans="1:21" s="12" customFormat="1" x14ac:dyDescent="0.25">
      <c r="A70" s="201" t="s">
        <v>309</v>
      </c>
      <c r="B70" s="60">
        <v>4.8099999999999996</v>
      </c>
      <c r="C70" s="60">
        <v>31.96</v>
      </c>
      <c r="D70" s="60">
        <v>23.24</v>
      </c>
      <c r="E70" s="60">
        <v>3.99</v>
      </c>
      <c r="F70" s="60">
        <v>15.09</v>
      </c>
      <c r="G70" s="60">
        <v>19.97</v>
      </c>
      <c r="H70" s="60">
        <v>6.73</v>
      </c>
      <c r="I70" s="60">
        <v>0.49</v>
      </c>
      <c r="J70" s="60">
        <v>0.51</v>
      </c>
      <c r="K70" s="60">
        <v>53.05</v>
      </c>
      <c r="L70" s="60">
        <v>30.19</v>
      </c>
      <c r="M70" s="60">
        <v>33.5</v>
      </c>
      <c r="N70" s="60">
        <v>326.60000000000002</v>
      </c>
      <c r="O70" s="60">
        <v>0</v>
      </c>
      <c r="P70" s="60">
        <v>0.63</v>
      </c>
      <c r="Q70" s="60">
        <v>36.47</v>
      </c>
      <c r="R70" s="198"/>
      <c r="S70" s="198"/>
      <c r="T70" s="198"/>
      <c r="U70" s="198"/>
    </row>
    <row r="71" spans="1:21" s="12" customFormat="1" x14ac:dyDescent="0.25">
      <c r="A71" s="201" t="s">
        <v>310</v>
      </c>
      <c r="B71" s="60">
        <v>3.84</v>
      </c>
      <c r="C71" s="60">
        <v>38.840000000000003</v>
      </c>
      <c r="D71" s="60">
        <v>26.26</v>
      </c>
      <c r="E71" s="60">
        <v>4.45</v>
      </c>
      <c r="F71" s="60">
        <v>11.96</v>
      </c>
      <c r="G71" s="60">
        <v>24.42</v>
      </c>
      <c r="H71" s="60">
        <v>10.28</v>
      </c>
      <c r="I71" s="60">
        <v>0.49</v>
      </c>
      <c r="J71" s="60">
        <v>0.68</v>
      </c>
      <c r="K71" s="60">
        <v>205.63</v>
      </c>
      <c r="L71" s="60">
        <v>29.35</v>
      </c>
      <c r="M71" s="60">
        <v>33.840000000000003</v>
      </c>
      <c r="N71" s="60">
        <v>221.2</v>
      </c>
      <c r="O71" s="60">
        <v>0</v>
      </c>
      <c r="P71" s="60">
        <v>0.68</v>
      </c>
      <c r="Q71" s="60">
        <v>34.18</v>
      </c>
      <c r="R71" s="198"/>
      <c r="S71" s="198"/>
      <c r="T71" s="198"/>
      <c r="U71" s="198"/>
    </row>
    <row r="72" spans="1:21" s="12" customFormat="1" x14ac:dyDescent="0.25">
      <c r="A72" s="201" t="s">
        <v>311</v>
      </c>
      <c r="B72" s="60">
        <v>3.14</v>
      </c>
      <c r="C72" s="60">
        <v>42.44</v>
      </c>
      <c r="D72" s="60">
        <v>27.68</v>
      </c>
      <c r="E72" s="60">
        <v>1.48</v>
      </c>
      <c r="F72" s="60">
        <v>9.69</v>
      </c>
      <c r="G72" s="60">
        <v>24.52</v>
      </c>
      <c r="H72" s="60">
        <v>10.36</v>
      </c>
      <c r="I72" s="60">
        <v>0.48</v>
      </c>
      <c r="J72" s="60">
        <v>0.52</v>
      </c>
      <c r="K72" s="60">
        <v>200.49</v>
      </c>
      <c r="L72" s="60">
        <v>28.79</v>
      </c>
      <c r="M72" s="60">
        <v>33.51</v>
      </c>
      <c r="N72" s="60">
        <v>226.3</v>
      </c>
      <c r="O72" s="60">
        <v>0</v>
      </c>
      <c r="P72" s="60">
        <v>0.71</v>
      </c>
      <c r="Q72" s="60">
        <v>38.83</v>
      </c>
      <c r="R72" s="198"/>
      <c r="S72" s="198"/>
      <c r="T72" s="198"/>
      <c r="U72" s="198"/>
    </row>
    <row r="73" spans="1:21" s="12" customFormat="1" x14ac:dyDescent="0.25">
      <c r="A73" s="201" t="s">
        <v>312</v>
      </c>
      <c r="B73" s="60">
        <v>2.93</v>
      </c>
      <c r="C73" s="60">
        <v>43.45</v>
      </c>
      <c r="D73" s="60">
        <v>28.07</v>
      </c>
      <c r="E73" s="60">
        <v>2.58</v>
      </c>
      <c r="F73" s="60">
        <v>18.52</v>
      </c>
      <c r="G73" s="60">
        <v>24.52</v>
      </c>
      <c r="H73" s="60">
        <v>10.36</v>
      </c>
      <c r="I73" s="60">
        <v>0.49</v>
      </c>
      <c r="J73" s="60">
        <v>0.84</v>
      </c>
      <c r="K73" s="60">
        <v>195.43</v>
      </c>
      <c r="L73" s="60">
        <v>28.75</v>
      </c>
      <c r="M73" s="60">
        <v>32.53</v>
      </c>
      <c r="N73" s="60">
        <v>145.69999999999999</v>
      </c>
      <c r="O73" s="60">
        <v>0</v>
      </c>
      <c r="P73" s="60">
        <v>0.74</v>
      </c>
      <c r="Q73" s="60">
        <v>36.17</v>
      </c>
      <c r="R73" s="198"/>
      <c r="S73" s="198"/>
      <c r="T73" s="198"/>
      <c r="U73" s="198"/>
    </row>
    <row r="74" spans="1:21" s="12" customFormat="1" x14ac:dyDescent="0.25">
      <c r="A74" s="201" t="s">
        <v>313</v>
      </c>
      <c r="B74" s="60">
        <v>2.74</v>
      </c>
      <c r="C74" s="60">
        <v>38.450000000000003</v>
      </c>
      <c r="D74" s="60">
        <v>25.16</v>
      </c>
      <c r="E74" s="60">
        <v>4.34</v>
      </c>
      <c r="F74" s="60">
        <v>29.32</v>
      </c>
      <c r="G74" s="60">
        <v>24.52</v>
      </c>
      <c r="H74" s="60">
        <v>10.36</v>
      </c>
      <c r="I74" s="60">
        <v>0.49</v>
      </c>
      <c r="J74" s="60">
        <v>0.96</v>
      </c>
      <c r="K74" s="60">
        <v>171.22</v>
      </c>
      <c r="L74" s="60">
        <v>28.5</v>
      </c>
      <c r="M74" s="60">
        <v>32.61</v>
      </c>
      <c r="N74" s="60">
        <v>102.8</v>
      </c>
      <c r="O74" s="60">
        <v>0</v>
      </c>
      <c r="P74" s="60">
        <v>0.74</v>
      </c>
      <c r="Q74" s="60">
        <v>39.31</v>
      </c>
      <c r="R74" s="198"/>
      <c r="S74" s="198"/>
      <c r="T74" s="198"/>
      <c r="U74" s="198"/>
    </row>
    <row r="75" spans="1:21" s="12" customFormat="1" x14ac:dyDescent="0.25">
      <c r="A75" s="201" t="s">
        <v>314</v>
      </c>
      <c r="B75" s="60">
        <v>2.83</v>
      </c>
      <c r="C75" s="60">
        <v>30.1</v>
      </c>
      <c r="D75" s="60">
        <v>20.62</v>
      </c>
      <c r="E75" s="60">
        <v>5.12</v>
      </c>
      <c r="F75" s="60">
        <v>28.93</v>
      </c>
      <c r="G75" s="60">
        <v>32.22</v>
      </c>
      <c r="H75" s="60">
        <v>10.87</v>
      </c>
      <c r="I75" s="60">
        <v>0.49</v>
      </c>
      <c r="J75" s="60">
        <v>0.54</v>
      </c>
      <c r="K75" s="60">
        <v>203.72</v>
      </c>
      <c r="L75" s="60">
        <v>28.4</v>
      </c>
      <c r="M75" s="60">
        <v>32.18</v>
      </c>
      <c r="N75" s="60">
        <v>60.9</v>
      </c>
      <c r="O75" s="60">
        <v>0</v>
      </c>
      <c r="P75" s="60">
        <v>0.71</v>
      </c>
      <c r="Q75" s="60">
        <v>36.549999999999997</v>
      </c>
      <c r="R75" s="198"/>
      <c r="S75" s="198"/>
      <c r="T75" s="198"/>
      <c r="U75" s="198"/>
    </row>
    <row r="76" spans="1:21" s="12" customFormat="1" x14ac:dyDescent="0.25">
      <c r="A76" s="201" t="s">
        <v>315</v>
      </c>
      <c r="B76" s="60">
        <v>3.12</v>
      </c>
      <c r="C76" s="60">
        <v>45.62</v>
      </c>
      <c r="D76" s="60">
        <v>29.42</v>
      </c>
      <c r="E76" s="60">
        <v>4.13</v>
      </c>
      <c r="F76" s="60">
        <v>20.93</v>
      </c>
      <c r="G76" s="60">
        <v>32.39</v>
      </c>
      <c r="H76" s="60">
        <v>10.88</v>
      </c>
      <c r="I76" s="60">
        <v>0.48</v>
      </c>
      <c r="J76" s="60">
        <v>0.6</v>
      </c>
      <c r="K76" s="60">
        <v>202.93</v>
      </c>
      <c r="L76" s="60">
        <v>28.24</v>
      </c>
      <c r="M76" s="60">
        <v>32.49</v>
      </c>
      <c r="N76" s="60">
        <v>76.5</v>
      </c>
      <c r="O76" s="60">
        <v>0</v>
      </c>
      <c r="P76" s="60">
        <v>0.72</v>
      </c>
      <c r="Q76" s="60">
        <v>32.08</v>
      </c>
      <c r="R76" s="198"/>
      <c r="S76" s="198"/>
      <c r="T76" s="198"/>
      <c r="U76" s="198"/>
    </row>
    <row r="77" spans="1:21" s="12" customFormat="1" x14ac:dyDescent="0.25">
      <c r="A77" s="201" t="s">
        <v>316</v>
      </c>
      <c r="B77" s="60">
        <v>3.92</v>
      </c>
      <c r="C77" s="60">
        <v>36.299999999999997</v>
      </c>
      <c r="D77" s="60">
        <v>24.92</v>
      </c>
      <c r="E77" s="60">
        <v>4.37</v>
      </c>
      <c r="F77" s="60">
        <v>11.41</v>
      </c>
      <c r="G77" s="60">
        <v>32.39</v>
      </c>
      <c r="H77" s="60">
        <v>10.88</v>
      </c>
      <c r="I77" s="60">
        <v>0.48</v>
      </c>
      <c r="J77" s="60">
        <v>0.37</v>
      </c>
      <c r="K77" s="60">
        <v>223.23</v>
      </c>
      <c r="L77" s="60">
        <v>28.53</v>
      </c>
      <c r="M77" s="60">
        <v>32.159999999999997</v>
      </c>
      <c r="N77" s="60">
        <v>74.8</v>
      </c>
      <c r="O77" s="60">
        <v>0</v>
      </c>
      <c r="P77" s="60">
        <v>0.72</v>
      </c>
      <c r="Q77" s="60">
        <v>36.090000000000003</v>
      </c>
      <c r="R77" s="198"/>
      <c r="S77" s="198"/>
      <c r="T77" s="198"/>
      <c r="U77" s="198"/>
    </row>
    <row r="78" spans="1:21" s="12" customFormat="1" x14ac:dyDescent="0.25">
      <c r="A78" s="201" t="s">
        <v>317</v>
      </c>
      <c r="B78" s="60">
        <v>4.0199999999999996</v>
      </c>
      <c r="C78" s="60">
        <v>53.64</v>
      </c>
      <c r="D78" s="60">
        <v>34.57</v>
      </c>
      <c r="E78" s="60">
        <v>3.39</v>
      </c>
      <c r="F78" s="60">
        <v>10.98</v>
      </c>
      <c r="G78" s="60">
        <v>32.39</v>
      </c>
      <c r="H78" s="60">
        <v>10.88</v>
      </c>
      <c r="I78" s="60">
        <v>0.49</v>
      </c>
      <c r="J78" s="60">
        <v>0.5</v>
      </c>
      <c r="K78" s="60">
        <v>218.08</v>
      </c>
      <c r="L78" s="60">
        <v>28</v>
      </c>
      <c r="M78" s="60">
        <v>32.54</v>
      </c>
      <c r="N78" s="60">
        <v>29.5</v>
      </c>
      <c r="O78" s="60">
        <v>0</v>
      </c>
      <c r="P78" s="60">
        <v>0.71</v>
      </c>
      <c r="Q78" s="60">
        <v>32.74</v>
      </c>
      <c r="R78" s="198"/>
      <c r="S78" s="198"/>
      <c r="T78" s="198"/>
      <c r="U78" s="198"/>
    </row>
    <row r="79" spans="1:21" s="12" customFormat="1" x14ac:dyDescent="0.25">
      <c r="A79" s="201" t="s">
        <v>318</v>
      </c>
      <c r="B79" s="60">
        <v>4.09</v>
      </c>
      <c r="C79" s="60">
        <v>50.19</v>
      </c>
      <c r="D79" s="60">
        <v>32.72</v>
      </c>
      <c r="E79" s="60">
        <v>3.2</v>
      </c>
      <c r="F79" s="60">
        <v>14.79</v>
      </c>
      <c r="G79" s="60">
        <v>24.35</v>
      </c>
      <c r="H79" s="60">
        <v>10.52</v>
      </c>
      <c r="I79" s="60">
        <v>0.49</v>
      </c>
      <c r="J79" s="60">
        <v>0.32</v>
      </c>
      <c r="K79" s="60">
        <v>260.83999999999997</v>
      </c>
      <c r="L79" s="60">
        <v>27.69</v>
      </c>
      <c r="M79" s="60">
        <v>33.909999999999997</v>
      </c>
      <c r="N79" s="60">
        <v>38.5</v>
      </c>
      <c r="O79" s="60">
        <v>0</v>
      </c>
      <c r="P79" s="60">
        <v>0.65</v>
      </c>
      <c r="Q79" s="60">
        <v>33.799999999999997</v>
      </c>
      <c r="R79" s="198"/>
      <c r="S79" s="198"/>
      <c r="T79" s="198"/>
      <c r="U79" s="198"/>
    </row>
    <row r="80" spans="1:21" s="12" customFormat="1" x14ac:dyDescent="0.25">
      <c r="A80" s="201" t="s">
        <v>319</v>
      </c>
      <c r="B80" s="60">
        <v>4.4800000000000004</v>
      </c>
      <c r="C80" s="60">
        <v>43.01</v>
      </c>
      <c r="D80" s="60">
        <v>29.07</v>
      </c>
      <c r="E80" s="60">
        <v>3.38</v>
      </c>
      <c r="F80" s="60">
        <v>14.65</v>
      </c>
      <c r="G80" s="60">
        <v>24.17</v>
      </c>
      <c r="H80" s="60">
        <v>10.52</v>
      </c>
      <c r="I80" s="60">
        <v>0.49</v>
      </c>
      <c r="J80" s="60">
        <v>0.54</v>
      </c>
      <c r="K80" s="60">
        <v>194.76</v>
      </c>
      <c r="L80" s="60">
        <v>27.44</v>
      </c>
      <c r="M80" s="60">
        <v>35.4</v>
      </c>
      <c r="N80" s="60">
        <v>21.4</v>
      </c>
      <c r="O80" s="60">
        <v>0</v>
      </c>
      <c r="P80" s="60">
        <v>0.62</v>
      </c>
      <c r="Q80" s="60">
        <v>37.28</v>
      </c>
      <c r="R80" s="198"/>
      <c r="S80" s="198"/>
      <c r="T80" s="198"/>
      <c r="U80" s="198"/>
    </row>
    <row r="81" spans="1:26" s="12" customFormat="1" x14ac:dyDescent="0.25">
      <c r="A81" s="201" t="s">
        <v>320</v>
      </c>
      <c r="B81" s="60">
        <v>5.75</v>
      </c>
      <c r="C81" s="60">
        <v>59.45</v>
      </c>
      <c r="D81" s="60">
        <v>39.159999999999997</v>
      </c>
      <c r="E81" s="60">
        <v>2.39</v>
      </c>
      <c r="F81" s="60">
        <v>6.33</v>
      </c>
      <c r="G81" s="60">
        <v>24.17</v>
      </c>
      <c r="H81" s="60">
        <v>10.52</v>
      </c>
      <c r="I81" s="60">
        <v>0.5</v>
      </c>
      <c r="J81" s="60">
        <v>0.37</v>
      </c>
      <c r="K81" s="60">
        <v>212.96</v>
      </c>
      <c r="L81" s="60">
        <v>27.16</v>
      </c>
      <c r="M81" s="60">
        <v>36.58</v>
      </c>
      <c r="N81" s="60">
        <v>9.6</v>
      </c>
      <c r="O81" s="60">
        <v>0</v>
      </c>
      <c r="P81" s="60">
        <v>0.68</v>
      </c>
      <c r="Q81" s="60">
        <v>33.24</v>
      </c>
      <c r="R81" s="198"/>
      <c r="S81" s="198"/>
      <c r="T81" s="198"/>
      <c r="U81" s="198"/>
    </row>
    <row r="82" spans="1:26" s="12" customFormat="1" x14ac:dyDescent="0.25">
      <c r="A82" s="201" t="s">
        <v>321</v>
      </c>
      <c r="B82" s="60">
        <v>5.65</v>
      </c>
      <c r="C82" s="60">
        <v>55.8</v>
      </c>
      <c r="D82" s="60">
        <v>37.07</v>
      </c>
      <c r="E82" s="60">
        <v>2.2999999999999998</v>
      </c>
      <c r="F82" s="60">
        <v>4.88</v>
      </c>
      <c r="G82" s="60">
        <v>24.17</v>
      </c>
      <c r="H82" s="60">
        <v>10.52</v>
      </c>
      <c r="I82" s="60">
        <v>0.5</v>
      </c>
      <c r="J82" s="60">
        <v>0.72</v>
      </c>
      <c r="K82" s="60">
        <v>182.77</v>
      </c>
      <c r="L82" s="60">
        <v>26.83</v>
      </c>
      <c r="M82" s="60">
        <v>38.630000000000003</v>
      </c>
      <c r="N82" s="60">
        <v>5.4</v>
      </c>
      <c r="O82" s="60">
        <v>0</v>
      </c>
      <c r="P82" s="60">
        <v>0.66</v>
      </c>
      <c r="Q82" s="60">
        <v>40.770000000000003</v>
      </c>
      <c r="R82" s="198"/>
      <c r="S82" s="198"/>
      <c r="T82" s="198"/>
      <c r="U82" s="198"/>
    </row>
    <row r="83" spans="1:26" s="12" customFormat="1" x14ac:dyDescent="0.25">
      <c r="A83" s="201" t="s">
        <v>322</v>
      </c>
      <c r="B83" s="60">
        <v>5.67</v>
      </c>
      <c r="C83" s="60">
        <v>55.72</v>
      </c>
      <c r="D83" s="60">
        <v>37.03</v>
      </c>
      <c r="E83" s="60">
        <v>2.57</v>
      </c>
      <c r="F83" s="60">
        <v>5.54</v>
      </c>
      <c r="G83" s="60">
        <v>40.4</v>
      </c>
      <c r="H83" s="60">
        <v>11.32</v>
      </c>
      <c r="I83" s="60">
        <v>0.5</v>
      </c>
      <c r="J83" s="60">
        <v>0.15</v>
      </c>
      <c r="K83" s="60">
        <v>273.08999999999997</v>
      </c>
      <c r="L83" s="60">
        <v>26.47</v>
      </c>
      <c r="M83" s="60">
        <v>38.869999999999997</v>
      </c>
      <c r="N83" s="60">
        <v>5</v>
      </c>
      <c r="O83" s="60">
        <v>0</v>
      </c>
      <c r="P83" s="60">
        <v>0.65</v>
      </c>
      <c r="Q83" s="60">
        <v>41.39</v>
      </c>
      <c r="R83" s="198"/>
      <c r="S83" s="198"/>
      <c r="T83" s="198"/>
      <c r="U83" s="198"/>
    </row>
    <row r="84" spans="1:26" s="12" customFormat="1" x14ac:dyDescent="0.25">
      <c r="A84" s="201" t="s">
        <v>323</v>
      </c>
      <c r="B84" s="60">
        <v>5.53</v>
      </c>
      <c r="C84" s="60">
        <v>54.77</v>
      </c>
      <c r="D84" s="60">
        <v>36.4</v>
      </c>
      <c r="E84" s="60">
        <v>2.77</v>
      </c>
      <c r="F84" s="60">
        <v>4.97</v>
      </c>
      <c r="G84" s="60">
        <v>40.76</v>
      </c>
      <c r="H84" s="60">
        <v>11.34</v>
      </c>
      <c r="I84" s="60">
        <v>0.51</v>
      </c>
      <c r="J84" s="60">
        <v>7.0000000000000007E-2</v>
      </c>
      <c r="K84" s="60">
        <v>295.39999999999998</v>
      </c>
      <c r="L84" s="60">
        <v>26.12</v>
      </c>
      <c r="M84" s="60">
        <v>39.479999999999997</v>
      </c>
      <c r="N84" s="60">
        <v>4.8</v>
      </c>
      <c r="O84" s="60">
        <v>0</v>
      </c>
      <c r="P84" s="60">
        <v>0.65</v>
      </c>
      <c r="Q84" s="60">
        <v>42.02</v>
      </c>
      <c r="R84" s="198"/>
      <c r="S84" s="198"/>
      <c r="T84" s="198"/>
      <c r="U84" s="198"/>
    </row>
    <row r="85" spans="1:26" s="12" customFormat="1" x14ac:dyDescent="0.25">
      <c r="A85" s="201" t="s">
        <v>324</v>
      </c>
      <c r="B85" s="60">
        <v>5.7</v>
      </c>
      <c r="C85" s="60">
        <v>57.25</v>
      </c>
      <c r="D85" s="60">
        <v>37.909999999999997</v>
      </c>
      <c r="E85" s="60">
        <v>2.56</v>
      </c>
      <c r="F85" s="60">
        <v>4.62</v>
      </c>
      <c r="G85" s="60">
        <v>40.76</v>
      </c>
      <c r="H85" s="60">
        <v>11.34</v>
      </c>
      <c r="I85" s="60">
        <v>0.51</v>
      </c>
      <c r="J85" s="60">
        <v>0.14000000000000001</v>
      </c>
      <c r="K85" s="60">
        <v>191.71</v>
      </c>
      <c r="L85" s="60">
        <v>25.87</v>
      </c>
      <c r="M85" s="60">
        <v>40.64</v>
      </c>
      <c r="N85" s="60">
        <v>4.5</v>
      </c>
      <c r="O85" s="60">
        <v>0</v>
      </c>
      <c r="P85" s="60">
        <v>0.62</v>
      </c>
      <c r="Q85" s="60">
        <v>41.96</v>
      </c>
      <c r="R85" s="198"/>
      <c r="S85" s="198"/>
      <c r="T85" s="198"/>
      <c r="U85" s="198"/>
    </row>
    <row r="86" spans="1:26" s="12" customFormat="1" x14ac:dyDescent="0.25">
      <c r="A86" s="201" t="s">
        <v>325</v>
      </c>
      <c r="B86" s="60">
        <v>5.99</v>
      </c>
      <c r="C86" s="60">
        <v>56.55</v>
      </c>
      <c r="D86" s="60">
        <v>37.75</v>
      </c>
      <c r="E86" s="60">
        <v>2.56</v>
      </c>
      <c r="F86" s="60">
        <v>5.96</v>
      </c>
      <c r="G86" s="60">
        <v>40.76</v>
      </c>
      <c r="H86" s="60">
        <v>11.34</v>
      </c>
      <c r="I86" s="60">
        <v>0.5</v>
      </c>
      <c r="J86" s="60">
        <v>0.18</v>
      </c>
      <c r="K86" s="60">
        <v>264.43</v>
      </c>
      <c r="L86" s="60">
        <v>25.66</v>
      </c>
      <c r="M86" s="60">
        <v>41</v>
      </c>
      <c r="N86" s="60">
        <v>4.5</v>
      </c>
      <c r="O86" s="60">
        <v>0</v>
      </c>
      <c r="P86" s="60">
        <v>0.66</v>
      </c>
      <c r="Q86" s="60">
        <v>41.45</v>
      </c>
      <c r="R86" s="198"/>
      <c r="S86" s="198"/>
      <c r="T86" s="198"/>
      <c r="U86" s="198"/>
    </row>
    <row r="87" spans="1:26" s="12" customFormat="1" x14ac:dyDescent="0.25">
      <c r="A87" s="201" t="s">
        <v>326</v>
      </c>
      <c r="B87" s="60">
        <v>6.5</v>
      </c>
      <c r="C87" s="60">
        <v>59.97</v>
      </c>
      <c r="D87" s="60">
        <v>40.049999999999997</v>
      </c>
      <c r="E87" s="60">
        <v>2.57</v>
      </c>
      <c r="F87" s="60">
        <v>4.8499999999999996</v>
      </c>
      <c r="G87" s="60">
        <v>38.74</v>
      </c>
      <c r="H87" s="60">
        <v>12.09</v>
      </c>
      <c r="I87" s="60">
        <v>0.5</v>
      </c>
      <c r="J87" s="60">
        <v>7.0000000000000007E-2</v>
      </c>
      <c r="K87" s="60">
        <v>290.16000000000003</v>
      </c>
      <c r="L87" s="60">
        <v>25.48</v>
      </c>
      <c r="M87" s="60">
        <v>42.39</v>
      </c>
      <c r="N87" s="60">
        <v>4.8</v>
      </c>
      <c r="O87" s="60">
        <v>0</v>
      </c>
      <c r="P87" s="60">
        <v>0.68</v>
      </c>
      <c r="Q87" s="60">
        <v>42.2</v>
      </c>
      <c r="R87" s="198"/>
      <c r="S87" s="198"/>
      <c r="T87" s="198"/>
      <c r="U87" s="198"/>
    </row>
    <row r="88" spans="1:26" s="12" customFormat="1" x14ac:dyDescent="0.25">
      <c r="A88" s="201" t="s">
        <v>327</v>
      </c>
      <c r="B88" s="60">
        <v>9.65</v>
      </c>
      <c r="C88" s="60">
        <v>58.77</v>
      </c>
      <c r="D88" s="60">
        <v>41.91</v>
      </c>
      <c r="E88" s="60">
        <v>1.63</v>
      </c>
      <c r="F88" s="60">
        <v>12.14</v>
      </c>
      <c r="G88" s="60">
        <v>38.700000000000003</v>
      </c>
      <c r="H88" s="60">
        <v>12.11</v>
      </c>
      <c r="I88" s="60">
        <v>0.51</v>
      </c>
      <c r="J88" s="60">
        <v>0.13</v>
      </c>
      <c r="K88" s="60">
        <v>261.32</v>
      </c>
      <c r="L88" s="60">
        <v>25.18</v>
      </c>
      <c r="M88" s="60">
        <v>43.65</v>
      </c>
      <c r="N88" s="60">
        <v>4.4000000000000004</v>
      </c>
      <c r="O88" s="60">
        <v>0</v>
      </c>
      <c r="P88" s="60">
        <v>0.73</v>
      </c>
      <c r="Q88" s="60">
        <v>42.53</v>
      </c>
      <c r="R88" s="198"/>
      <c r="S88" s="198"/>
      <c r="T88" s="198"/>
      <c r="U88" s="198"/>
    </row>
    <row r="89" spans="1:26" s="12" customFormat="1" x14ac:dyDescent="0.25">
      <c r="A89" s="201" t="s">
        <v>328</v>
      </c>
      <c r="B89" s="60">
        <v>8.1</v>
      </c>
      <c r="C89" s="60">
        <v>53.96</v>
      </c>
      <c r="D89" s="60">
        <v>38.020000000000003</v>
      </c>
      <c r="E89" s="60">
        <v>2.2799999999999998</v>
      </c>
      <c r="F89" s="60">
        <v>12.86</v>
      </c>
      <c r="G89" s="60">
        <v>38.700000000000003</v>
      </c>
      <c r="H89" s="60">
        <v>12.11</v>
      </c>
      <c r="I89" s="60">
        <v>0.51</v>
      </c>
      <c r="J89" s="60">
        <v>0.19</v>
      </c>
      <c r="K89" s="60">
        <v>241.2</v>
      </c>
      <c r="L89" s="60">
        <v>25.06</v>
      </c>
      <c r="M89" s="60">
        <v>43.67</v>
      </c>
      <c r="N89" s="60">
        <v>4.4000000000000004</v>
      </c>
      <c r="O89" s="60">
        <v>0</v>
      </c>
      <c r="P89" s="60">
        <v>0.71</v>
      </c>
      <c r="Q89" s="60">
        <v>37.299999999999997</v>
      </c>
      <c r="R89" s="198"/>
      <c r="S89" s="198"/>
      <c r="T89" s="198"/>
      <c r="U89" s="198"/>
    </row>
    <row r="90" spans="1:26" s="12" customFormat="1" x14ac:dyDescent="0.25">
      <c r="A90" s="201" t="s">
        <v>329</v>
      </c>
      <c r="B90" s="60">
        <v>11.06</v>
      </c>
      <c r="C90" s="60">
        <v>51.5</v>
      </c>
      <c r="D90" s="60">
        <v>39.03</v>
      </c>
      <c r="E90" s="60">
        <v>2.2000000000000002</v>
      </c>
      <c r="F90" s="60">
        <v>9.34</v>
      </c>
      <c r="G90" s="60">
        <v>38.700000000000003</v>
      </c>
      <c r="H90" s="60">
        <v>12.11</v>
      </c>
      <c r="I90" s="60">
        <v>0.53</v>
      </c>
      <c r="J90" s="60">
        <v>0.12</v>
      </c>
      <c r="K90" s="60">
        <v>344.93</v>
      </c>
      <c r="L90" s="60">
        <v>24.46</v>
      </c>
      <c r="M90" s="60">
        <v>48.84</v>
      </c>
      <c r="N90" s="60">
        <v>5.0999999999999996</v>
      </c>
      <c r="O90" s="60">
        <v>0</v>
      </c>
      <c r="P90" s="60">
        <v>0.83</v>
      </c>
      <c r="Q90" s="60">
        <v>37.24</v>
      </c>
      <c r="R90" s="198"/>
      <c r="S90" s="198"/>
      <c r="T90" s="198"/>
      <c r="U90" s="198"/>
    </row>
    <row r="91" spans="1:26" s="12" customFormat="1" x14ac:dyDescent="0.25">
      <c r="A91" s="201" t="s">
        <v>330</v>
      </c>
      <c r="B91" s="60">
        <v>9.61</v>
      </c>
      <c r="C91" s="60">
        <v>55.38</v>
      </c>
      <c r="D91" s="60">
        <v>40.01</v>
      </c>
      <c r="E91" s="60">
        <v>2.29</v>
      </c>
      <c r="F91" s="60">
        <v>11.31</v>
      </c>
      <c r="G91" s="60">
        <v>57.1</v>
      </c>
      <c r="H91" s="60">
        <v>13.4</v>
      </c>
      <c r="I91" s="60">
        <v>0.55000000000000004</v>
      </c>
      <c r="J91" s="60">
        <v>0.41</v>
      </c>
      <c r="K91" s="60">
        <v>202.43</v>
      </c>
      <c r="L91" s="60">
        <v>24.62</v>
      </c>
      <c r="M91" s="60">
        <v>45.51</v>
      </c>
      <c r="N91" s="60">
        <v>3.8</v>
      </c>
      <c r="O91" s="60">
        <v>0</v>
      </c>
      <c r="P91" s="60">
        <v>0.7</v>
      </c>
      <c r="Q91" s="60">
        <v>39.51</v>
      </c>
      <c r="R91" s="198"/>
      <c r="S91" s="198"/>
      <c r="T91" s="198"/>
      <c r="U91" s="198"/>
    </row>
    <row r="92" spans="1:26" s="12" customFormat="1" x14ac:dyDescent="0.25">
      <c r="A92" s="201" t="s">
        <v>331</v>
      </c>
      <c r="B92" s="60">
        <v>18.63</v>
      </c>
      <c r="C92" s="60">
        <v>55.67</v>
      </c>
      <c r="D92" s="60">
        <v>47.4</v>
      </c>
      <c r="E92" s="60">
        <v>1.83</v>
      </c>
      <c r="F92" s="60">
        <v>5.66</v>
      </c>
      <c r="G92" s="60">
        <v>57.52</v>
      </c>
      <c r="H92" s="60">
        <v>13.43</v>
      </c>
      <c r="I92" s="60">
        <v>0.54</v>
      </c>
      <c r="J92" s="60">
        <v>0.11</v>
      </c>
      <c r="K92" s="60">
        <v>39.64</v>
      </c>
      <c r="L92" s="60">
        <v>24.04</v>
      </c>
      <c r="M92" s="60">
        <v>52.51</v>
      </c>
      <c r="N92" s="60">
        <v>5.3</v>
      </c>
      <c r="O92" s="60">
        <v>0</v>
      </c>
      <c r="P92" s="60">
        <v>0.96</v>
      </c>
      <c r="Q92" s="60">
        <v>39.15</v>
      </c>
      <c r="R92" s="198"/>
      <c r="S92" s="198"/>
      <c r="T92" s="198"/>
      <c r="U92" s="198"/>
    </row>
    <row r="93" spans="1:26" s="12" customFormat="1" x14ac:dyDescent="0.25">
      <c r="A93" s="201" t="s">
        <v>332</v>
      </c>
      <c r="B93" s="60">
        <v>23.39</v>
      </c>
      <c r="C93" s="60">
        <v>56.12</v>
      </c>
      <c r="D93" s="60">
        <v>51.47</v>
      </c>
      <c r="E93" s="60">
        <v>2.41</v>
      </c>
      <c r="F93" s="60">
        <v>5.6</v>
      </c>
      <c r="G93" s="60">
        <v>57.52</v>
      </c>
      <c r="H93" s="60">
        <v>13.43</v>
      </c>
      <c r="I93" s="60">
        <v>0.53</v>
      </c>
      <c r="J93" s="60">
        <v>7.0000000000000007E-2</v>
      </c>
      <c r="K93" s="60">
        <v>120.01</v>
      </c>
      <c r="L93" s="60">
        <v>23.46</v>
      </c>
      <c r="M93" s="60">
        <v>53.67</v>
      </c>
      <c r="N93" s="60">
        <v>5</v>
      </c>
      <c r="O93" s="60">
        <v>0</v>
      </c>
      <c r="P93" s="60">
        <v>0.99</v>
      </c>
      <c r="Q93" s="60">
        <v>39.36</v>
      </c>
      <c r="R93" s="198"/>
      <c r="S93" s="198"/>
      <c r="T93" s="198"/>
      <c r="U93" s="198"/>
    </row>
    <row r="94" spans="1:26" s="12" customFormat="1" x14ac:dyDescent="0.25">
      <c r="A94" s="201" t="s">
        <v>333</v>
      </c>
      <c r="B94" s="60">
        <v>56.18</v>
      </c>
      <c r="C94" s="60">
        <v>69.16</v>
      </c>
      <c r="D94" s="60">
        <v>84.96</v>
      </c>
      <c r="E94" s="60">
        <v>2.63</v>
      </c>
      <c r="F94" s="60">
        <v>4.53</v>
      </c>
      <c r="G94" s="60">
        <v>57.52</v>
      </c>
      <c r="H94" s="60">
        <v>13.43</v>
      </c>
      <c r="I94" s="60">
        <v>0.56999999999999995</v>
      </c>
      <c r="J94" s="60">
        <v>0.05</v>
      </c>
      <c r="K94" s="60">
        <v>339.66</v>
      </c>
      <c r="L94" s="60">
        <v>23.59</v>
      </c>
      <c r="M94" s="60">
        <v>53.89</v>
      </c>
      <c r="N94" s="60">
        <v>4.5999999999999996</v>
      </c>
      <c r="O94" s="60">
        <v>0</v>
      </c>
      <c r="P94" s="60">
        <v>1.25</v>
      </c>
      <c r="Q94" s="60">
        <v>37.14</v>
      </c>
      <c r="R94" s="198"/>
      <c r="S94" s="198"/>
      <c r="T94" s="198"/>
      <c r="U94" s="198"/>
    </row>
    <row r="95" spans="1:26" s="12" customFormat="1" x14ac:dyDescent="0.25">
      <c r="A95" s="201" t="s">
        <v>334</v>
      </c>
      <c r="B95" s="60">
        <v>31.11</v>
      </c>
      <c r="C95" s="60">
        <v>56.29</v>
      </c>
      <c r="D95" s="60">
        <v>57.75</v>
      </c>
      <c r="E95" s="60">
        <v>2.52</v>
      </c>
      <c r="F95" s="60">
        <v>3.38</v>
      </c>
      <c r="G95" s="60">
        <v>60.89</v>
      </c>
      <c r="H95" s="60">
        <v>14.18</v>
      </c>
      <c r="I95" s="60">
        <v>0.61</v>
      </c>
      <c r="J95" s="60">
        <v>7.0000000000000007E-2</v>
      </c>
      <c r="K95" s="60">
        <v>340.27</v>
      </c>
      <c r="L95" s="60">
        <v>23.38</v>
      </c>
      <c r="M95" s="60">
        <v>55.92</v>
      </c>
      <c r="N95" s="60">
        <v>4.5999999999999996</v>
      </c>
      <c r="O95" s="60">
        <v>0</v>
      </c>
      <c r="P95" s="60">
        <v>1.1000000000000001</v>
      </c>
      <c r="Q95" s="60">
        <v>42.03</v>
      </c>
      <c r="R95" s="198"/>
      <c r="S95" s="198"/>
      <c r="T95" s="198"/>
      <c r="U95" s="198"/>
    </row>
    <row r="96" spans="1:26" s="12" customFormat="1" x14ac:dyDescent="0.25">
      <c r="A96" s="201" t="s">
        <v>335</v>
      </c>
      <c r="B96" s="60">
        <v>37.520000000000003</v>
      </c>
      <c r="C96" s="60">
        <v>52.54</v>
      </c>
      <c r="D96" s="60">
        <v>60.83</v>
      </c>
      <c r="E96" s="60">
        <v>2.25</v>
      </c>
      <c r="F96" s="60">
        <v>3.29</v>
      </c>
      <c r="G96" s="60">
        <v>60.97</v>
      </c>
      <c r="H96" s="60">
        <v>14.2</v>
      </c>
      <c r="I96" s="60">
        <v>0.64</v>
      </c>
      <c r="J96" s="60">
        <v>0.06</v>
      </c>
      <c r="K96" s="60">
        <v>227.98</v>
      </c>
      <c r="L96" s="60">
        <v>23.04</v>
      </c>
      <c r="M96" s="60">
        <v>58.3</v>
      </c>
      <c r="N96" s="60">
        <v>4.8</v>
      </c>
      <c r="O96" s="60">
        <v>0</v>
      </c>
      <c r="P96" s="60">
        <v>1.06</v>
      </c>
      <c r="Q96" s="60">
        <v>45.46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336</v>
      </c>
      <c r="B97" s="60">
        <v>43.28</v>
      </c>
      <c r="C97" s="60">
        <v>57.91</v>
      </c>
      <c r="D97" s="60">
        <v>68.41</v>
      </c>
      <c r="E97" s="60">
        <v>2.46</v>
      </c>
      <c r="F97" s="60">
        <v>3.04</v>
      </c>
      <c r="G97" s="60">
        <v>60.97</v>
      </c>
      <c r="H97" s="60">
        <v>14.2</v>
      </c>
      <c r="I97" s="60">
        <v>0.67</v>
      </c>
      <c r="J97" s="60">
        <v>0.14000000000000001</v>
      </c>
      <c r="K97" s="60">
        <v>336.12</v>
      </c>
      <c r="L97" s="60">
        <v>22.91</v>
      </c>
      <c r="M97" s="60">
        <v>59.09</v>
      </c>
      <c r="N97" s="60">
        <v>4.8</v>
      </c>
      <c r="O97" s="60">
        <v>0</v>
      </c>
      <c r="P97" s="60">
        <v>1.1100000000000001</v>
      </c>
      <c r="Q97" s="60">
        <v>47.97</v>
      </c>
      <c r="R97" s="198"/>
      <c r="S97" s="198"/>
      <c r="T97" s="198"/>
      <c r="U97" s="198"/>
    </row>
    <row r="98" spans="1:33" s="12" customFormat="1" x14ac:dyDescent="0.25">
      <c r="A98" s="201" t="s">
        <v>337</v>
      </c>
      <c r="B98" s="60">
        <v>52.62</v>
      </c>
      <c r="C98" s="60">
        <v>56.31</v>
      </c>
      <c r="D98" s="60">
        <v>75.010000000000005</v>
      </c>
      <c r="E98" s="60">
        <v>2.4</v>
      </c>
      <c r="F98" s="60">
        <v>3.05</v>
      </c>
      <c r="G98" s="60">
        <v>60.97</v>
      </c>
      <c r="H98" s="60">
        <v>14.2</v>
      </c>
      <c r="I98" s="60">
        <v>0.67</v>
      </c>
      <c r="J98" s="60">
        <v>0.22</v>
      </c>
      <c r="K98" s="60">
        <v>32.43</v>
      </c>
      <c r="L98" s="60">
        <v>22.34</v>
      </c>
      <c r="M98" s="60">
        <v>63.68</v>
      </c>
      <c r="N98" s="60">
        <v>5.0999999999999996</v>
      </c>
      <c r="O98" s="60">
        <v>0</v>
      </c>
      <c r="P98" s="60">
        <v>1.26</v>
      </c>
      <c r="Q98" s="60">
        <v>49.93</v>
      </c>
      <c r="R98" s="198"/>
      <c r="S98" s="198"/>
      <c r="T98" s="198"/>
      <c r="U98" s="198"/>
    </row>
    <row r="99" spans="1:33" s="12" customFormat="1" x14ac:dyDescent="0.25">
      <c r="A99" s="201" t="s">
        <v>338</v>
      </c>
      <c r="B99" s="60">
        <v>58.37</v>
      </c>
      <c r="C99" s="60">
        <v>56.66</v>
      </c>
      <c r="D99" s="60">
        <v>79.819999999999993</v>
      </c>
      <c r="E99" s="60">
        <v>2.31</v>
      </c>
      <c r="F99" s="60">
        <v>2.96</v>
      </c>
      <c r="G99" s="60">
        <v>80.27</v>
      </c>
      <c r="H99" s="60">
        <v>21.44</v>
      </c>
      <c r="I99" s="60">
        <v>0.66</v>
      </c>
      <c r="J99" s="60">
        <v>0.03</v>
      </c>
      <c r="K99" s="60">
        <v>43.51</v>
      </c>
      <c r="L99" s="60">
        <v>22.11</v>
      </c>
      <c r="M99" s="60">
        <v>61.73</v>
      </c>
      <c r="N99" s="60">
        <v>4.8</v>
      </c>
      <c r="O99" s="60">
        <v>0</v>
      </c>
      <c r="P99" s="60">
        <v>1.37</v>
      </c>
      <c r="Q99" s="60">
        <v>50.54</v>
      </c>
      <c r="R99" s="198"/>
      <c r="S99" s="198"/>
      <c r="T99" s="198"/>
      <c r="U99" s="198"/>
    </row>
    <row r="100" spans="1:33" s="12" customFormat="1" x14ac:dyDescent="0.25">
      <c r="A100" s="201" t="s">
        <v>339</v>
      </c>
      <c r="B100" s="60">
        <v>61.95</v>
      </c>
      <c r="C100" s="60">
        <v>57.04</v>
      </c>
      <c r="D100" s="60">
        <v>82.9</v>
      </c>
      <c r="E100" s="60">
        <v>2.3199999999999998</v>
      </c>
      <c r="F100" s="60">
        <v>2.89</v>
      </c>
      <c r="G100" s="60">
        <v>80.709999999999994</v>
      </c>
      <c r="H100" s="60">
        <v>21.61</v>
      </c>
      <c r="I100" s="60">
        <v>0.68</v>
      </c>
      <c r="J100" s="60">
        <v>0.16</v>
      </c>
      <c r="K100" s="60">
        <v>276.13</v>
      </c>
      <c r="L100" s="60">
        <v>22.32</v>
      </c>
      <c r="M100" s="60">
        <v>61.47</v>
      </c>
      <c r="N100" s="60">
        <v>4.5999999999999996</v>
      </c>
      <c r="O100" s="60">
        <v>0</v>
      </c>
      <c r="P100" s="60">
        <v>1.42</v>
      </c>
      <c r="Q100" s="60">
        <v>50.3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340</v>
      </c>
      <c r="B101" s="60">
        <v>62.64</v>
      </c>
      <c r="C101" s="60">
        <v>57.47</v>
      </c>
      <c r="D101" s="60">
        <v>83.69</v>
      </c>
      <c r="E101" s="60">
        <v>2.61</v>
      </c>
      <c r="F101" s="60">
        <v>2.89</v>
      </c>
      <c r="G101" s="60">
        <v>80.709999999999994</v>
      </c>
      <c r="H101" s="60">
        <v>21.61</v>
      </c>
      <c r="I101" s="60">
        <v>0.7</v>
      </c>
      <c r="J101" s="60">
        <v>0.27</v>
      </c>
      <c r="K101" s="60">
        <v>254.89</v>
      </c>
      <c r="L101" s="60">
        <v>22.61</v>
      </c>
      <c r="M101" s="60">
        <v>62.98</v>
      </c>
      <c r="N101" s="60">
        <v>3.9</v>
      </c>
      <c r="O101" s="60">
        <v>0</v>
      </c>
      <c r="P101" s="60">
        <v>1.43</v>
      </c>
      <c r="Q101" s="60">
        <v>49.11</v>
      </c>
      <c r="R101" s="198"/>
      <c r="S101" s="198"/>
      <c r="T101" s="198"/>
      <c r="U101" s="198"/>
    </row>
    <row r="102" spans="1:33" s="12" customFormat="1" x14ac:dyDescent="0.25">
      <c r="A102" s="201" t="s">
        <v>341</v>
      </c>
      <c r="B102" s="60">
        <v>55.7</v>
      </c>
      <c r="C102" s="60">
        <v>63.51</v>
      </c>
      <c r="D102" s="60">
        <v>81.459999999999994</v>
      </c>
      <c r="E102" s="60">
        <v>2.44</v>
      </c>
      <c r="F102" s="60">
        <v>3.24</v>
      </c>
      <c r="G102" s="60">
        <v>80.709999999999994</v>
      </c>
      <c r="H102" s="60">
        <v>21.61</v>
      </c>
      <c r="I102" s="60">
        <v>0.7</v>
      </c>
      <c r="J102" s="60">
        <v>0.22</v>
      </c>
      <c r="K102" s="60">
        <v>251.1</v>
      </c>
      <c r="L102" s="60">
        <v>22.83</v>
      </c>
      <c r="M102" s="60">
        <v>58.41</v>
      </c>
      <c r="N102" s="60">
        <v>4.3</v>
      </c>
      <c r="O102" s="60">
        <v>0</v>
      </c>
      <c r="P102" s="60">
        <v>1.38</v>
      </c>
      <c r="Q102" s="60">
        <v>48.89</v>
      </c>
      <c r="R102" s="198"/>
      <c r="S102" s="198"/>
      <c r="T102" s="198"/>
      <c r="U102" s="198"/>
    </row>
    <row r="103" spans="1:33" s="12" customFormat="1" x14ac:dyDescent="0.25">
      <c r="A103" s="201" t="s">
        <v>342</v>
      </c>
      <c r="B103" s="60">
        <v>62.58</v>
      </c>
      <c r="C103" s="60">
        <v>57.12</v>
      </c>
      <c r="D103" s="60">
        <v>83.45</v>
      </c>
      <c r="E103" s="60">
        <v>1.87</v>
      </c>
      <c r="F103" s="60">
        <v>3.48</v>
      </c>
      <c r="G103" s="60">
        <v>78.38</v>
      </c>
      <c r="H103" s="60">
        <v>22.49</v>
      </c>
      <c r="I103" s="60">
        <v>0.7</v>
      </c>
      <c r="J103" s="60">
        <v>0.13</v>
      </c>
      <c r="K103" s="60">
        <v>16.579999999999998</v>
      </c>
      <c r="L103" s="60">
        <v>21.82</v>
      </c>
      <c r="M103" s="60">
        <v>64.62</v>
      </c>
      <c r="N103" s="60">
        <v>5.3</v>
      </c>
      <c r="O103" s="60">
        <v>0</v>
      </c>
      <c r="P103" s="60">
        <v>1.42</v>
      </c>
      <c r="Q103" s="60">
        <v>43.8</v>
      </c>
      <c r="R103" s="198"/>
      <c r="S103" s="198"/>
      <c r="T103" s="198"/>
      <c r="U103" s="198"/>
    </row>
    <row r="104" spans="1:33" s="12" customFormat="1" x14ac:dyDescent="0.25">
      <c r="A104" s="201" t="s">
        <v>343</v>
      </c>
      <c r="B104" s="60">
        <v>59.44</v>
      </c>
      <c r="C104" s="60">
        <v>62.7</v>
      </c>
      <c r="D104" s="60">
        <v>84.01</v>
      </c>
      <c r="E104" s="60">
        <v>0.66</v>
      </c>
      <c r="F104" s="60">
        <v>3.19</v>
      </c>
      <c r="G104" s="60">
        <v>78.33</v>
      </c>
      <c r="H104" s="60">
        <v>22.51</v>
      </c>
      <c r="I104" s="60">
        <v>0.72</v>
      </c>
      <c r="J104" s="60">
        <v>0.14000000000000001</v>
      </c>
      <c r="K104" s="60">
        <v>107.37</v>
      </c>
      <c r="L104" s="60">
        <v>21.32</v>
      </c>
      <c r="M104" s="60">
        <v>67.150000000000006</v>
      </c>
      <c r="N104" s="60">
        <v>4.8</v>
      </c>
      <c r="O104" s="60">
        <v>0</v>
      </c>
      <c r="P104" s="60">
        <v>1.39</v>
      </c>
      <c r="Q104" s="60">
        <v>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2.74</v>
      </c>
      <c r="C106" s="67">
        <f>MIN(C9:C104)</f>
        <v>22.73</v>
      </c>
      <c r="D106" s="67">
        <f t="shared" ref="D106:Q106" si="0">MIN(D9:D104)</f>
        <v>16.91</v>
      </c>
      <c r="E106" s="67">
        <f t="shared" si="0"/>
        <v>0.66</v>
      </c>
      <c r="F106" s="67">
        <f t="shared" si="0"/>
        <v>1.26</v>
      </c>
      <c r="G106" s="67">
        <f t="shared" si="0"/>
        <v>12.57</v>
      </c>
      <c r="H106" s="67">
        <f t="shared" si="0"/>
        <v>6.26</v>
      </c>
      <c r="I106" s="67">
        <f t="shared" si="0"/>
        <v>0.45</v>
      </c>
      <c r="J106" s="67">
        <f t="shared" si="0"/>
        <v>0.03</v>
      </c>
      <c r="K106" s="67">
        <f t="shared" si="0"/>
        <v>16.350000000000001</v>
      </c>
      <c r="L106" s="67">
        <f t="shared" si="0"/>
        <v>17.59</v>
      </c>
      <c r="M106" s="67">
        <f t="shared" si="0"/>
        <v>31.84</v>
      </c>
      <c r="N106" s="67">
        <f t="shared" si="0"/>
        <v>3.8</v>
      </c>
      <c r="O106" s="67">
        <f t="shared" si="0"/>
        <v>0</v>
      </c>
      <c r="P106" s="67">
        <f t="shared" si="0"/>
        <v>0.33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62.64</v>
      </c>
      <c r="C107" s="66">
        <f t="shared" ref="C107:Q107" si="1">MAX(C9:C104)</f>
        <v>69.16</v>
      </c>
      <c r="D107" s="66">
        <f t="shared" si="1"/>
        <v>84.96</v>
      </c>
      <c r="E107" s="66">
        <f t="shared" si="1"/>
        <v>5.12</v>
      </c>
      <c r="F107" s="66">
        <f t="shared" si="1"/>
        <v>29.32</v>
      </c>
      <c r="G107" s="66">
        <f t="shared" si="1"/>
        <v>80.709999999999994</v>
      </c>
      <c r="H107" s="66">
        <f t="shared" si="1"/>
        <v>22.51</v>
      </c>
      <c r="I107" s="66">
        <f t="shared" si="1"/>
        <v>0.72</v>
      </c>
      <c r="J107" s="66">
        <f t="shared" si="1"/>
        <v>2.67</v>
      </c>
      <c r="K107" s="66">
        <f t="shared" si="1"/>
        <v>358.93</v>
      </c>
      <c r="L107" s="66">
        <f t="shared" si="1"/>
        <v>31.25</v>
      </c>
      <c r="M107" s="66">
        <f t="shared" si="1"/>
        <v>86.38</v>
      </c>
      <c r="N107" s="66">
        <f t="shared" si="1"/>
        <v>986.5</v>
      </c>
      <c r="O107" s="66">
        <f t="shared" si="1"/>
        <v>0.8</v>
      </c>
      <c r="P107" s="66">
        <f t="shared" si="1"/>
        <v>1.43</v>
      </c>
      <c r="Q107" s="66">
        <f t="shared" si="1"/>
        <v>50.54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11.308191489361702</v>
      </c>
      <c r="C108" s="67">
        <f t="shared" ref="C108:Q108" si="2">AVERAGE(C9:C104)</f>
        <v>38.974787234042545</v>
      </c>
      <c r="D108" s="67">
        <f t="shared" si="2"/>
        <v>32.317872340425545</v>
      </c>
      <c r="E108" s="67">
        <f t="shared" si="2"/>
        <v>2.4214893617021276</v>
      </c>
      <c r="F108" s="67">
        <f t="shared" si="2"/>
        <v>7.213617021276594</v>
      </c>
      <c r="G108" s="67">
        <f t="shared" si="2"/>
        <v>32.796702127659572</v>
      </c>
      <c r="H108" s="67">
        <f t="shared" si="2"/>
        <v>11.640851063829793</v>
      </c>
      <c r="I108" s="67">
        <f t="shared" si="2"/>
        <v>0.53212765957446817</v>
      </c>
      <c r="J108" s="67">
        <f t="shared" si="2"/>
        <v>0.63138297872340421</v>
      </c>
      <c r="K108" s="67">
        <f t="shared" si="2"/>
        <v>158.84457446808509</v>
      </c>
      <c r="L108" s="67">
        <f t="shared" si="2"/>
        <v>23.9531914893617</v>
      </c>
      <c r="M108" s="67">
        <f t="shared" si="2"/>
        <v>57.088936170212769</v>
      </c>
      <c r="N108" s="67">
        <f t="shared" si="2"/>
        <v>228.62234042553183</v>
      </c>
      <c r="O108" s="67">
        <f t="shared" si="2"/>
        <v>1.0638297872340425E-2</v>
      </c>
      <c r="P108" s="67">
        <f t="shared" si="2"/>
        <v>0.64670212765957436</v>
      </c>
      <c r="Q108" s="67">
        <f t="shared" si="2"/>
        <v>38.538510638297879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15.85251046654661</v>
      </c>
      <c r="C109" s="67">
        <f t="shared" ref="C109:Q109" si="3">STDEV(C9:C104)</f>
        <v>11.992958752187207</v>
      </c>
      <c r="D109" s="67">
        <f t="shared" si="3"/>
        <v>17.717517112414146</v>
      </c>
      <c r="E109" s="67">
        <f t="shared" si="3"/>
        <v>0.83413203545588788</v>
      </c>
      <c r="F109" s="67">
        <f t="shared" si="3"/>
        <v>5.4114990769981999</v>
      </c>
      <c r="G109" s="67">
        <f t="shared" si="3"/>
        <v>17.403917763630748</v>
      </c>
      <c r="H109" s="67">
        <f t="shared" si="3"/>
        <v>4.113846971182892</v>
      </c>
      <c r="I109" s="67">
        <f t="shared" si="3"/>
        <v>5.821488448076223E-2</v>
      </c>
      <c r="J109" s="67">
        <f t="shared" si="3"/>
        <v>0.63328737987868711</v>
      </c>
      <c r="K109" s="67">
        <f t="shared" si="3"/>
        <v>95.034313504993364</v>
      </c>
      <c r="L109" s="67">
        <f t="shared" si="3"/>
        <v>3.9671205702437846</v>
      </c>
      <c r="M109" s="67">
        <f t="shared" si="3"/>
        <v>17.758321960593396</v>
      </c>
      <c r="N109" s="67">
        <f t="shared" si="3"/>
        <v>332.16452949830312</v>
      </c>
      <c r="O109" s="67">
        <f t="shared" si="3"/>
        <v>8.483771364957135E-2</v>
      </c>
      <c r="P109" s="67">
        <f t="shared" si="3"/>
        <v>0.28205615355610569</v>
      </c>
      <c r="Q109" s="67">
        <f t="shared" si="3"/>
        <v>5.846806491157885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 t="shared" ref="C110:Q110" si="4">COUNT(C9:C104)+2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K122" sqref="K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344</v>
      </c>
      <c r="B9" s="60">
        <v>61.1</v>
      </c>
      <c r="C9" s="60">
        <v>57.08</v>
      </c>
      <c r="D9" s="60">
        <v>82.24</v>
      </c>
      <c r="E9" s="60">
        <v>1.64</v>
      </c>
      <c r="F9" s="60">
        <v>2.93</v>
      </c>
      <c r="G9" s="60">
        <v>78.33</v>
      </c>
      <c r="H9" s="60">
        <v>22.51</v>
      </c>
      <c r="I9" s="60">
        <v>0.72</v>
      </c>
      <c r="J9" s="60">
        <v>0.15</v>
      </c>
      <c r="K9" s="60">
        <v>294.16000000000003</v>
      </c>
      <c r="L9" s="60">
        <v>21.19</v>
      </c>
      <c r="M9" s="60">
        <v>68.22</v>
      </c>
      <c r="N9" s="60">
        <v>4.5999999999999996</v>
      </c>
      <c r="O9" s="60">
        <v>0</v>
      </c>
      <c r="P9" s="60">
        <v>1.34</v>
      </c>
      <c r="Q9" s="60">
        <v>43.09</v>
      </c>
      <c r="R9" s="198"/>
      <c r="S9" s="198"/>
      <c r="T9" s="198"/>
      <c r="U9" s="198"/>
    </row>
    <row r="10" spans="1:21" s="12" customFormat="1" x14ac:dyDescent="0.25">
      <c r="A10" s="201" t="s">
        <v>345</v>
      </c>
      <c r="B10" s="60">
        <v>55.93</v>
      </c>
      <c r="C10" s="60">
        <v>52.42</v>
      </c>
      <c r="D10" s="60">
        <v>75.52</v>
      </c>
      <c r="E10" s="60">
        <v>1.87</v>
      </c>
      <c r="F10" s="60">
        <v>3.39</v>
      </c>
      <c r="G10" s="60">
        <v>78.33</v>
      </c>
      <c r="H10" s="60">
        <v>22.51</v>
      </c>
      <c r="I10" s="60">
        <v>0.71</v>
      </c>
      <c r="J10" s="60">
        <v>0.12</v>
      </c>
      <c r="K10" s="60">
        <v>1.54</v>
      </c>
      <c r="L10" s="60">
        <v>21.32</v>
      </c>
      <c r="M10" s="60">
        <v>65.12</v>
      </c>
      <c r="N10" s="60">
        <v>4.5999999999999996</v>
      </c>
      <c r="O10" s="60">
        <v>0</v>
      </c>
      <c r="P10" s="60">
        <v>1.27</v>
      </c>
      <c r="Q10" s="60">
        <v>43.5</v>
      </c>
      <c r="R10" s="198"/>
      <c r="S10" s="198"/>
      <c r="T10" s="198"/>
      <c r="U10" s="198"/>
    </row>
    <row r="11" spans="1:21" s="12" customFormat="1" x14ac:dyDescent="0.25">
      <c r="A11" s="201" t="s">
        <v>346</v>
      </c>
      <c r="B11" s="60">
        <v>54.44</v>
      </c>
      <c r="C11" s="60">
        <v>51.79</v>
      </c>
      <c r="D11" s="60">
        <v>73.98</v>
      </c>
      <c r="E11" s="60">
        <v>1.79</v>
      </c>
      <c r="F11" s="60">
        <v>4.93</v>
      </c>
      <c r="G11" s="60">
        <v>74.760000000000005</v>
      </c>
      <c r="H11" s="60">
        <v>20.59</v>
      </c>
      <c r="I11" s="60">
        <v>0.71</v>
      </c>
      <c r="J11" s="60">
        <v>0.1</v>
      </c>
      <c r="K11" s="60">
        <v>318.86</v>
      </c>
      <c r="L11" s="60">
        <v>21.51</v>
      </c>
      <c r="M11" s="60">
        <v>61.72</v>
      </c>
      <c r="N11" s="60">
        <v>4.5999999999999996</v>
      </c>
      <c r="O11" s="60">
        <v>0</v>
      </c>
      <c r="P11" s="60">
        <v>1.25</v>
      </c>
      <c r="Q11" s="60">
        <v>42.31</v>
      </c>
      <c r="R11" s="198"/>
      <c r="S11" s="198"/>
      <c r="T11" s="198"/>
      <c r="U11" s="198"/>
    </row>
    <row r="12" spans="1:21" s="12" customFormat="1" x14ac:dyDescent="0.25">
      <c r="A12" s="201" t="s">
        <v>347</v>
      </c>
      <c r="B12" s="60">
        <v>49.56</v>
      </c>
      <c r="C12" s="60">
        <v>48.94</v>
      </c>
      <c r="D12" s="60">
        <v>68.489999999999995</v>
      </c>
      <c r="E12" s="60">
        <v>1.39</v>
      </c>
      <c r="F12" s="60">
        <v>6.45</v>
      </c>
      <c r="G12" s="60">
        <v>74.680000000000007</v>
      </c>
      <c r="H12" s="60">
        <v>20.54</v>
      </c>
      <c r="I12" s="60">
        <v>0.68</v>
      </c>
      <c r="J12" s="60">
        <v>0.21</v>
      </c>
      <c r="K12" s="60">
        <v>10.08</v>
      </c>
      <c r="L12" s="60">
        <v>21.23</v>
      </c>
      <c r="M12" s="60">
        <v>64.64</v>
      </c>
      <c r="N12" s="60">
        <v>4.5999999999999996</v>
      </c>
      <c r="O12" s="60">
        <v>0</v>
      </c>
      <c r="P12" s="60">
        <v>1.17</v>
      </c>
      <c r="Q12" s="60">
        <v>44.05</v>
      </c>
      <c r="R12" s="198"/>
      <c r="S12" s="198"/>
      <c r="T12" s="198"/>
      <c r="U12" s="198"/>
    </row>
    <row r="13" spans="1:21" s="12" customFormat="1" x14ac:dyDescent="0.25">
      <c r="A13" s="201" t="s">
        <v>348</v>
      </c>
      <c r="B13" s="60">
        <v>51.39</v>
      </c>
      <c r="C13" s="60">
        <v>46.73</v>
      </c>
      <c r="D13" s="60">
        <v>68.739999999999995</v>
      </c>
      <c r="E13" s="60">
        <v>1.89</v>
      </c>
      <c r="F13" s="60">
        <v>5.72</v>
      </c>
      <c r="G13" s="60">
        <v>74.680000000000007</v>
      </c>
      <c r="H13" s="60">
        <v>20.54</v>
      </c>
      <c r="I13" s="60">
        <v>0.67</v>
      </c>
      <c r="J13" s="60">
        <v>0.14000000000000001</v>
      </c>
      <c r="K13" s="60">
        <v>322.77999999999997</v>
      </c>
      <c r="L13" s="60">
        <v>20.84</v>
      </c>
      <c r="M13" s="60">
        <v>67.14</v>
      </c>
      <c r="N13" s="60">
        <v>4.5</v>
      </c>
      <c r="O13" s="60">
        <v>0</v>
      </c>
      <c r="P13" s="60">
        <v>1.18</v>
      </c>
      <c r="Q13" s="60">
        <v>44.94</v>
      </c>
      <c r="R13" s="198"/>
      <c r="S13" s="198"/>
      <c r="T13" s="198"/>
      <c r="U13" s="198"/>
    </row>
    <row r="14" spans="1:21" s="12" customFormat="1" x14ac:dyDescent="0.25">
      <c r="A14" s="201" t="s">
        <v>349</v>
      </c>
      <c r="B14" s="60">
        <v>55.09</v>
      </c>
      <c r="C14" s="60">
        <v>44.81</v>
      </c>
      <c r="D14" s="60">
        <v>70.64</v>
      </c>
      <c r="E14" s="60">
        <v>1.81</v>
      </c>
      <c r="F14" s="60">
        <v>4</v>
      </c>
      <c r="G14" s="60">
        <v>74.680000000000007</v>
      </c>
      <c r="H14" s="60">
        <v>20.54</v>
      </c>
      <c r="I14" s="60">
        <v>0.68</v>
      </c>
      <c r="J14" s="60">
        <v>0.05</v>
      </c>
      <c r="K14" s="60">
        <v>348.66</v>
      </c>
      <c r="L14" s="60">
        <v>21.08</v>
      </c>
      <c r="M14" s="60">
        <v>67.040000000000006</v>
      </c>
      <c r="N14" s="60">
        <v>4.8</v>
      </c>
      <c r="O14" s="60">
        <v>0</v>
      </c>
      <c r="P14" s="60">
        <v>1.23</v>
      </c>
      <c r="Q14" s="60">
        <v>47.56</v>
      </c>
      <c r="R14" s="198"/>
      <c r="S14" s="198"/>
      <c r="T14" s="198"/>
      <c r="U14" s="198"/>
    </row>
    <row r="15" spans="1:21" s="12" customFormat="1" x14ac:dyDescent="0.25">
      <c r="A15" s="201" t="s">
        <v>350</v>
      </c>
      <c r="B15" s="60">
        <v>50.83</v>
      </c>
      <c r="C15" s="60">
        <v>45.59</v>
      </c>
      <c r="D15" s="60">
        <v>67.66</v>
      </c>
      <c r="E15" s="60">
        <v>1.49</v>
      </c>
      <c r="F15" s="60">
        <v>3.26</v>
      </c>
      <c r="G15" s="60">
        <v>59.81</v>
      </c>
      <c r="H15" s="60">
        <v>18.84</v>
      </c>
      <c r="I15" s="60">
        <v>0.71</v>
      </c>
      <c r="J15" s="60">
        <v>0.08</v>
      </c>
      <c r="K15" s="60">
        <v>40.119999999999997</v>
      </c>
      <c r="L15" s="60">
        <v>20.55</v>
      </c>
      <c r="M15" s="60">
        <v>71.52</v>
      </c>
      <c r="N15" s="60">
        <v>5</v>
      </c>
      <c r="O15" s="60">
        <v>0</v>
      </c>
      <c r="P15" s="60">
        <v>1.17</v>
      </c>
      <c r="Q15" s="60">
        <v>47.59</v>
      </c>
      <c r="R15" s="198"/>
      <c r="S15" s="198"/>
      <c r="T15" s="198"/>
      <c r="U15" s="198"/>
    </row>
    <row r="16" spans="1:21" s="12" customFormat="1" x14ac:dyDescent="0.25">
      <c r="A16" s="201" t="s">
        <v>351</v>
      </c>
      <c r="B16" s="60">
        <v>46.25</v>
      </c>
      <c r="C16" s="60">
        <v>46.25</v>
      </c>
      <c r="D16" s="60">
        <v>64.349999999999994</v>
      </c>
      <c r="E16" s="60">
        <v>1.97</v>
      </c>
      <c r="F16" s="60">
        <v>2.94</v>
      </c>
      <c r="G16" s="60">
        <v>59.47</v>
      </c>
      <c r="H16" s="60">
        <v>18.8</v>
      </c>
      <c r="I16" s="60">
        <v>0.76</v>
      </c>
      <c r="J16" s="60">
        <v>0.09</v>
      </c>
      <c r="K16" s="60">
        <v>3.05</v>
      </c>
      <c r="L16" s="60">
        <v>20.079999999999998</v>
      </c>
      <c r="M16" s="60">
        <v>75.72</v>
      </c>
      <c r="N16" s="60">
        <v>4.9000000000000004</v>
      </c>
      <c r="O16" s="60">
        <v>0</v>
      </c>
      <c r="P16" s="60">
        <v>1.1100000000000001</v>
      </c>
      <c r="Q16" s="60">
        <v>48.59</v>
      </c>
      <c r="R16" s="198"/>
      <c r="S16" s="198"/>
      <c r="T16" s="198"/>
      <c r="U16" s="198"/>
    </row>
    <row r="17" spans="1:21" s="12" customFormat="1" x14ac:dyDescent="0.25">
      <c r="A17" s="201" t="s">
        <v>352</v>
      </c>
      <c r="B17" s="60">
        <v>41.87</v>
      </c>
      <c r="C17" s="60">
        <v>45.92</v>
      </c>
      <c r="D17" s="60">
        <v>60.66</v>
      </c>
      <c r="E17" s="60">
        <v>1.57</v>
      </c>
      <c r="F17" s="60">
        <v>3.16</v>
      </c>
      <c r="G17" s="60">
        <v>59.47</v>
      </c>
      <c r="H17" s="60">
        <v>18.8</v>
      </c>
      <c r="I17" s="60">
        <v>0.72</v>
      </c>
      <c r="J17" s="60">
        <v>0.09</v>
      </c>
      <c r="K17" s="60">
        <v>347.08</v>
      </c>
      <c r="L17" s="60">
        <v>19.899999999999999</v>
      </c>
      <c r="M17" s="60">
        <v>75.069999999999993</v>
      </c>
      <c r="N17" s="60">
        <v>4.7</v>
      </c>
      <c r="O17" s="60">
        <v>0</v>
      </c>
      <c r="P17" s="60">
        <v>1.06</v>
      </c>
      <c r="Q17" s="60">
        <v>48.1</v>
      </c>
      <c r="R17" s="198"/>
      <c r="S17" s="198"/>
      <c r="T17" s="198"/>
      <c r="U17" s="198"/>
    </row>
    <row r="18" spans="1:21" s="12" customFormat="1" x14ac:dyDescent="0.25">
      <c r="A18" s="201" t="s">
        <v>353</v>
      </c>
      <c r="B18" s="60">
        <v>38.01</v>
      </c>
      <c r="C18" s="60">
        <v>45.79</v>
      </c>
      <c r="D18" s="60">
        <v>57.49</v>
      </c>
      <c r="E18" s="60">
        <v>1.55</v>
      </c>
      <c r="F18" s="60">
        <v>3.08</v>
      </c>
      <c r="G18" s="60">
        <v>59.47</v>
      </c>
      <c r="H18" s="60">
        <v>18.8</v>
      </c>
      <c r="I18" s="60">
        <v>0.66</v>
      </c>
      <c r="J18" s="60">
        <v>0.09</v>
      </c>
      <c r="K18" s="60">
        <v>305.83999999999997</v>
      </c>
      <c r="L18" s="60">
        <v>20.010000000000002</v>
      </c>
      <c r="M18" s="60">
        <v>74.41</v>
      </c>
      <c r="N18" s="60">
        <v>4.8</v>
      </c>
      <c r="O18" s="60">
        <v>0</v>
      </c>
      <c r="P18" s="60">
        <v>1.01</v>
      </c>
      <c r="Q18" s="60">
        <v>47.67</v>
      </c>
      <c r="R18" s="198"/>
      <c r="S18" s="198"/>
      <c r="T18" s="198"/>
      <c r="U18" s="198"/>
    </row>
    <row r="19" spans="1:21" s="12" customFormat="1" x14ac:dyDescent="0.25">
      <c r="A19" s="201" t="s">
        <v>354</v>
      </c>
      <c r="B19" s="60">
        <v>35.36</v>
      </c>
      <c r="C19" s="60">
        <v>46.37</v>
      </c>
      <c r="D19" s="60">
        <v>55.69</v>
      </c>
      <c r="E19" s="60">
        <v>1.39</v>
      </c>
      <c r="F19" s="60">
        <v>3.09</v>
      </c>
      <c r="G19" s="60">
        <v>54.61</v>
      </c>
      <c r="H19" s="60">
        <v>17.149999999999999</v>
      </c>
      <c r="I19" s="60">
        <v>0.63</v>
      </c>
      <c r="J19" s="60">
        <v>0.02</v>
      </c>
      <c r="K19" s="60">
        <v>75.040000000000006</v>
      </c>
      <c r="L19" s="60">
        <v>19.829999999999998</v>
      </c>
      <c r="M19" s="60">
        <v>75.34</v>
      </c>
      <c r="N19" s="60">
        <v>5</v>
      </c>
      <c r="O19" s="60">
        <v>0</v>
      </c>
      <c r="P19" s="60">
        <v>0.96</v>
      </c>
      <c r="Q19" s="60">
        <v>47.45</v>
      </c>
      <c r="R19" s="198"/>
      <c r="S19" s="198"/>
      <c r="T19" s="198"/>
      <c r="U19" s="198"/>
    </row>
    <row r="20" spans="1:21" s="12" customFormat="1" x14ac:dyDescent="0.25">
      <c r="A20" s="201" t="s">
        <v>355</v>
      </c>
      <c r="B20" s="60">
        <v>31.79</v>
      </c>
      <c r="C20" s="60">
        <v>47.48</v>
      </c>
      <c r="D20" s="60">
        <v>53.44</v>
      </c>
      <c r="E20" s="60">
        <v>1.29</v>
      </c>
      <c r="F20" s="60">
        <v>3.05</v>
      </c>
      <c r="G20" s="60">
        <v>54.5</v>
      </c>
      <c r="H20" s="60">
        <v>17.12</v>
      </c>
      <c r="I20" s="60">
        <v>0.61</v>
      </c>
      <c r="J20" s="60">
        <v>0.25</v>
      </c>
      <c r="K20" s="60">
        <v>263.38</v>
      </c>
      <c r="L20" s="60">
        <v>20.309999999999999</v>
      </c>
      <c r="M20" s="60">
        <v>72.78</v>
      </c>
      <c r="N20" s="60">
        <v>3.7</v>
      </c>
      <c r="O20" s="60">
        <v>0</v>
      </c>
      <c r="P20" s="60">
        <v>0.9</v>
      </c>
      <c r="Q20" s="60">
        <v>45.58</v>
      </c>
      <c r="R20" s="198"/>
      <c r="S20" s="198"/>
      <c r="T20" s="198"/>
      <c r="U20" s="198"/>
    </row>
    <row r="21" spans="1:21" s="12" customFormat="1" x14ac:dyDescent="0.25">
      <c r="A21" s="201" t="s">
        <v>356</v>
      </c>
      <c r="B21" s="60">
        <v>27.33</v>
      </c>
      <c r="C21" s="60">
        <v>41.54</v>
      </c>
      <c r="D21" s="60">
        <v>46.58</v>
      </c>
      <c r="E21" s="60">
        <v>1.27</v>
      </c>
      <c r="F21" s="60">
        <v>3.74</v>
      </c>
      <c r="G21" s="60">
        <v>54.5</v>
      </c>
      <c r="H21" s="60">
        <v>17.12</v>
      </c>
      <c r="I21" s="60">
        <v>0.6</v>
      </c>
      <c r="J21" s="60">
        <v>0.14000000000000001</v>
      </c>
      <c r="K21" s="60">
        <v>334.23</v>
      </c>
      <c r="L21" s="60">
        <v>20.170000000000002</v>
      </c>
      <c r="M21" s="60">
        <v>73.010000000000005</v>
      </c>
      <c r="N21" s="60">
        <v>4.7</v>
      </c>
      <c r="O21" s="60">
        <v>0</v>
      </c>
      <c r="P21" s="60">
        <v>0.87</v>
      </c>
      <c r="Q21" s="60">
        <v>45.72</v>
      </c>
      <c r="R21" s="198"/>
      <c r="S21" s="198"/>
      <c r="T21" s="198"/>
      <c r="U21" s="198"/>
    </row>
    <row r="22" spans="1:21" s="12" customFormat="1" x14ac:dyDescent="0.25">
      <c r="A22" s="201" t="s">
        <v>357</v>
      </c>
      <c r="B22" s="60">
        <v>31.06</v>
      </c>
      <c r="C22" s="60">
        <v>48.42</v>
      </c>
      <c r="D22" s="60">
        <v>53.37</v>
      </c>
      <c r="E22" s="60">
        <v>1.81</v>
      </c>
      <c r="F22" s="60">
        <v>3.09</v>
      </c>
      <c r="G22" s="60">
        <v>54.5</v>
      </c>
      <c r="H22" s="60">
        <v>17.12</v>
      </c>
      <c r="I22" s="60">
        <v>0.57999999999999996</v>
      </c>
      <c r="J22" s="60">
        <v>0.11</v>
      </c>
      <c r="K22" s="60">
        <v>326.64999999999998</v>
      </c>
      <c r="L22" s="60">
        <v>19.47</v>
      </c>
      <c r="M22" s="60">
        <v>75.67</v>
      </c>
      <c r="N22" s="60">
        <v>4.9000000000000004</v>
      </c>
      <c r="O22" s="60">
        <v>0</v>
      </c>
      <c r="P22" s="60">
        <v>0.9</v>
      </c>
      <c r="Q22" s="60">
        <v>39.35</v>
      </c>
      <c r="R22" s="198"/>
      <c r="S22" s="198"/>
      <c r="T22" s="198"/>
      <c r="U22" s="198"/>
    </row>
    <row r="23" spans="1:21" s="12" customFormat="1" x14ac:dyDescent="0.25">
      <c r="A23" s="201" t="s">
        <v>358</v>
      </c>
      <c r="B23" s="60">
        <v>29.83</v>
      </c>
      <c r="C23" s="60">
        <v>47.44</v>
      </c>
      <c r="D23" s="60">
        <v>51.84</v>
      </c>
      <c r="E23" s="60">
        <v>1.89</v>
      </c>
      <c r="F23" s="60">
        <v>3.05</v>
      </c>
      <c r="G23" s="60">
        <v>53.01</v>
      </c>
      <c r="H23" s="60">
        <v>20.39</v>
      </c>
      <c r="I23" s="60">
        <v>0.56999999999999995</v>
      </c>
      <c r="J23" s="60">
        <v>0.38</v>
      </c>
      <c r="K23" s="60">
        <v>237.86</v>
      </c>
      <c r="L23" s="60">
        <v>19.899999999999999</v>
      </c>
      <c r="M23" s="60">
        <v>74.459999999999994</v>
      </c>
      <c r="N23" s="60">
        <v>3.5</v>
      </c>
      <c r="O23" s="60">
        <v>0</v>
      </c>
      <c r="P23" s="60">
        <v>0.86</v>
      </c>
      <c r="Q23" s="60">
        <v>39.72</v>
      </c>
      <c r="R23" s="198"/>
      <c r="S23" s="198"/>
      <c r="T23" s="198"/>
      <c r="U23" s="198"/>
    </row>
    <row r="24" spans="1:21" s="12" customFormat="1" x14ac:dyDescent="0.25">
      <c r="A24" s="201" t="s">
        <v>359</v>
      </c>
      <c r="B24" s="60">
        <v>30.78</v>
      </c>
      <c r="C24" s="60">
        <v>45.08</v>
      </c>
      <c r="D24" s="60">
        <v>51.3</v>
      </c>
      <c r="E24" s="60">
        <v>0.77</v>
      </c>
      <c r="F24" s="60">
        <v>3.02</v>
      </c>
      <c r="G24" s="60">
        <v>52.98</v>
      </c>
      <c r="H24" s="60">
        <v>20.47</v>
      </c>
      <c r="I24" s="60">
        <v>0.57999999999999996</v>
      </c>
      <c r="J24" s="60">
        <v>0.13</v>
      </c>
      <c r="K24" s="60">
        <v>293.55</v>
      </c>
      <c r="L24" s="60">
        <v>20.02</v>
      </c>
      <c r="M24" s="60">
        <v>74.92</v>
      </c>
      <c r="N24" s="60">
        <v>4.9000000000000004</v>
      </c>
      <c r="O24" s="60">
        <v>0</v>
      </c>
      <c r="P24" s="60">
        <v>0.85</v>
      </c>
      <c r="Q24" s="60">
        <v>41.49</v>
      </c>
      <c r="R24" s="198"/>
      <c r="S24" s="198"/>
      <c r="T24" s="198"/>
      <c r="U24" s="198"/>
    </row>
    <row r="25" spans="1:21" s="12" customFormat="1" x14ac:dyDescent="0.25">
      <c r="A25" s="201" t="s">
        <v>360</v>
      </c>
      <c r="B25" s="60">
        <v>30.41</v>
      </c>
      <c r="C25" s="60">
        <v>43.13</v>
      </c>
      <c r="D25" s="60">
        <v>49.93</v>
      </c>
      <c r="E25" s="60">
        <v>1.43</v>
      </c>
      <c r="F25" s="60">
        <v>3.2</v>
      </c>
      <c r="G25" s="60">
        <v>52.98</v>
      </c>
      <c r="H25" s="60">
        <v>20.47</v>
      </c>
      <c r="I25" s="60">
        <v>0.59</v>
      </c>
      <c r="J25" s="60">
        <v>0.1</v>
      </c>
      <c r="K25" s="60">
        <v>356.52</v>
      </c>
      <c r="L25" s="60">
        <v>19.11</v>
      </c>
      <c r="M25" s="60">
        <v>80.33</v>
      </c>
      <c r="N25" s="60">
        <v>5</v>
      </c>
      <c r="O25" s="60">
        <v>0</v>
      </c>
      <c r="P25" s="60">
        <v>0.85</v>
      </c>
      <c r="Q25" s="60">
        <v>41.75</v>
      </c>
      <c r="R25" s="198"/>
      <c r="S25" s="198"/>
      <c r="T25" s="198"/>
      <c r="U25" s="198"/>
    </row>
    <row r="26" spans="1:21" s="12" customFormat="1" x14ac:dyDescent="0.25">
      <c r="A26" s="201" t="s">
        <v>361</v>
      </c>
      <c r="B26" s="60">
        <v>30.83</v>
      </c>
      <c r="C26" s="60">
        <v>42.52</v>
      </c>
      <c r="D26" s="60">
        <v>49.93</v>
      </c>
      <c r="E26" s="60">
        <v>1.84</v>
      </c>
      <c r="F26" s="60">
        <v>3.03</v>
      </c>
      <c r="G26" s="60">
        <v>52.98</v>
      </c>
      <c r="H26" s="60">
        <v>20.47</v>
      </c>
      <c r="I26" s="60">
        <v>0.61</v>
      </c>
      <c r="J26" s="60">
        <v>0.1</v>
      </c>
      <c r="K26" s="60">
        <v>345.34</v>
      </c>
      <c r="L26" s="60">
        <v>18.899999999999999</v>
      </c>
      <c r="M26" s="60">
        <v>80.81</v>
      </c>
      <c r="N26" s="60">
        <v>4.5999999999999996</v>
      </c>
      <c r="O26" s="60">
        <v>0</v>
      </c>
      <c r="P26" s="60">
        <v>0.84</v>
      </c>
      <c r="Q26" s="60">
        <v>41.83</v>
      </c>
      <c r="R26" s="198"/>
      <c r="S26" s="198"/>
      <c r="T26" s="198"/>
      <c r="U26" s="198"/>
    </row>
    <row r="27" spans="1:21" s="12" customFormat="1" x14ac:dyDescent="0.25">
      <c r="A27" s="201" t="s">
        <v>362</v>
      </c>
      <c r="B27" s="60">
        <v>31.65</v>
      </c>
      <c r="C27" s="60">
        <v>41.5</v>
      </c>
      <c r="D27" s="60">
        <v>50.03</v>
      </c>
      <c r="E27" s="60">
        <v>1.42</v>
      </c>
      <c r="F27" s="60">
        <v>2.82</v>
      </c>
      <c r="G27" s="60">
        <v>48.87</v>
      </c>
      <c r="H27" s="60">
        <v>19.59</v>
      </c>
      <c r="I27" s="60">
        <v>0.61</v>
      </c>
      <c r="J27" s="60">
        <v>0.14000000000000001</v>
      </c>
      <c r="K27" s="60">
        <v>351.98</v>
      </c>
      <c r="L27" s="60">
        <v>18.89</v>
      </c>
      <c r="M27" s="60">
        <v>80.52</v>
      </c>
      <c r="N27" s="60">
        <v>4.5999999999999996</v>
      </c>
      <c r="O27" s="60">
        <v>0</v>
      </c>
      <c r="P27" s="60">
        <v>0.83</v>
      </c>
      <c r="Q27" s="60">
        <v>41.25</v>
      </c>
      <c r="R27" s="198"/>
      <c r="S27" s="198"/>
      <c r="T27" s="198"/>
      <c r="U27" s="198"/>
    </row>
    <row r="28" spans="1:21" s="12" customFormat="1" x14ac:dyDescent="0.25">
      <c r="A28" s="201" t="s">
        <v>363</v>
      </c>
      <c r="B28" s="60">
        <v>32.78</v>
      </c>
      <c r="C28" s="60">
        <v>43.61</v>
      </c>
      <c r="D28" s="60">
        <v>52.1</v>
      </c>
      <c r="E28" s="60">
        <v>1.38</v>
      </c>
      <c r="F28" s="60">
        <v>2.97</v>
      </c>
      <c r="G28" s="60">
        <v>48.77</v>
      </c>
      <c r="H28" s="60">
        <v>19.57</v>
      </c>
      <c r="I28" s="60">
        <v>0.61</v>
      </c>
      <c r="J28" s="60">
        <v>0.08</v>
      </c>
      <c r="K28" s="60">
        <v>350.26</v>
      </c>
      <c r="L28" s="60">
        <v>18.670000000000002</v>
      </c>
      <c r="M28" s="60">
        <v>81.28</v>
      </c>
      <c r="N28" s="60">
        <v>4.7</v>
      </c>
      <c r="O28" s="60">
        <v>0</v>
      </c>
      <c r="P28" s="60">
        <v>0.84</v>
      </c>
      <c r="Q28" s="60">
        <v>41.62</v>
      </c>
      <c r="R28" s="198"/>
      <c r="S28" s="198"/>
      <c r="T28" s="198"/>
      <c r="U28" s="198"/>
    </row>
    <row r="29" spans="1:21" s="12" customFormat="1" x14ac:dyDescent="0.25">
      <c r="A29" s="201" t="s">
        <v>364</v>
      </c>
      <c r="B29" s="60">
        <v>34.5</v>
      </c>
      <c r="C29" s="60">
        <v>45.54</v>
      </c>
      <c r="D29" s="60">
        <v>54.54</v>
      </c>
      <c r="E29" s="60">
        <v>1.83</v>
      </c>
      <c r="F29" s="60">
        <v>3.02</v>
      </c>
      <c r="G29" s="60">
        <v>48.77</v>
      </c>
      <c r="H29" s="60">
        <v>19.57</v>
      </c>
      <c r="I29" s="60">
        <v>0.61</v>
      </c>
      <c r="J29" s="60">
        <v>0.09</v>
      </c>
      <c r="K29" s="60">
        <v>50.48</v>
      </c>
      <c r="L29" s="60">
        <v>18.579999999999998</v>
      </c>
      <c r="M29" s="60">
        <v>81.819999999999993</v>
      </c>
      <c r="N29" s="60">
        <v>4.7</v>
      </c>
      <c r="O29" s="60">
        <v>0</v>
      </c>
      <c r="P29" s="60">
        <v>0.86</v>
      </c>
      <c r="Q29" s="60">
        <v>47.03</v>
      </c>
      <c r="R29" s="198"/>
      <c r="S29" s="198"/>
      <c r="T29" s="198"/>
      <c r="U29" s="198"/>
    </row>
    <row r="30" spans="1:21" s="12" customFormat="1" x14ac:dyDescent="0.25">
      <c r="A30" s="201" t="s">
        <v>365</v>
      </c>
      <c r="B30" s="60">
        <v>37.770000000000003</v>
      </c>
      <c r="C30" s="60">
        <v>46.44</v>
      </c>
      <c r="D30" s="60">
        <v>57.66</v>
      </c>
      <c r="E30" s="60">
        <v>1.8</v>
      </c>
      <c r="F30" s="60">
        <v>3.02</v>
      </c>
      <c r="G30" s="60">
        <v>48.77</v>
      </c>
      <c r="H30" s="60">
        <v>19.57</v>
      </c>
      <c r="I30" s="60">
        <v>0.61</v>
      </c>
      <c r="J30" s="60">
        <v>0.05</v>
      </c>
      <c r="K30" s="60">
        <v>9.4700000000000006</v>
      </c>
      <c r="L30" s="60">
        <v>18.52</v>
      </c>
      <c r="M30" s="60">
        <v>80.709999999999994</v>
      </c>
      <c r="N30" s="60">
        <v>4.5999999999999996</v>
      </c>
      <c r="O30" s="60">
        <v>0</v>
      </c>
      <c r="P30" s="60">
        <v>0.85</v>
      </c>
      <c r="Q30" s="60">
        <v>48.62</v>
      </c>
      <c r="R30" s="198"/>
      <c r="S30" s="198"/>
      <c r="T30" s="198"/>
      <c r="U30" s="198"/>
    </row>
    <row r="31" spans="1:21" s="12" customFormat="1" x14ac:dyDescent="0.25">
      <c r="A31" s="201" t="s">
        <v>366</v>
      </c>
      <c r="B31" s="60">
        <v>41.66</v>
      </c>
      <c r="C31" s="60">
        <v>47.75</v>
      </c>
      <c r="D31" s="60">
        <v>61.5</v>
      </c>
      <c r="E31" s="60">
        <v>1.54</v>
      </c>
      <c r="F31" s="60">
        <v>3.07</v>
      </c>
      <c r="G31" s="60">
        <v>60.96</v>
      </c>
      <c r="H31" s="60">
        <v>19.149999999999999</v>
      </c>
      <c r="I31" s="60">
        <v>0.6</v>
      </c>
      <c r="J31" s="60">
        <v>0.14000000000000001</v>
      </c>
      <c r="K31" s="60">
        <v>55.7</v>
      </c>
      <c r="L31" s="60">
        <v>18.63</v>
      </c>
      <c r="M31" s="60">
        <v>79.900000000000006</v>
      </c>
      <c r="N31" s="60">
        <v>5.4</v>
      </c>
      <c r="O31" s="60">
        <v>0</v>
      </c>
      <c r="P31" s="60">
        <v>0.86</v>
      </c>
      <c r="Q31" s="60">
        <v>48.06</v>
      </c>
      <c r="R31" s="198"/>
      <c r="S31" s="198"/>
      <c r="T31" s="198"/>
      <c r="U31" s="198"/>
    </row>
    <row r="32" spans="1:21" s="12" customFormat="1" x14ac:dyDescent="0.25">
      <c r="A32" s="201" t="s">
        <v>367</v>
      </c>
      <c r="B32" s="60">
        <v>45.79</v>
      </c>
      <c r="C32" s="60">
        <v>48.97</v>
      </c>
      <c r="D32" s="60">
        <v>65.489999999999995</v>
      </c>
      <c r="E32" s="60">
        <v>1.68</v>
      </c>
      <c r="F32" s="60">
        <v>2.93</v>
      </c>
      <c r="G32" s="60">
        <v>61.24</v>
      </c>
      <c r="H32" s="60">
        <v>19.149999999999999</v>
      </c>
      <c r="I32" s="60">
        <v>0.59</v>
      </c>
      <c r="J32" s="60">
        <v>0.17</v>
      </c>
      <c r="K32" s="60">
        <v>38.450000000000003</v>
      </c>
      <c r="L32" s="60">
        <v>18.829999999999998</v>
      </c>
      <c r="M32" s="60">
        <v>79.67</v>
      </c>
      <c r="N32" s="60">
        <v>10.7</v>
      </c>
      <c r="O32" s="60">
        <v>0</v>
      </c>
      <c r="P32" s="60">
        <v>0.9</v>
      </c>
      <c r="Q32" s="60">
        <v>49.14</v>
      </c>
      <c r="R32" s="198"/>
      <c r="S32" s="198"/>
      <c r="T32" s="198"/>
      <c r="U32" s="198"/>
    </row>
    <row r="33" spans="1:21" s="12" customFormat="1" x14ac:dyDescent="0.25">
      <c r="A33" s="201" t="s">
        <v>368</v>
      </c>
      <c r="B33" s="60">
        <v>48.07</v>
      </c>
      <c r="C33" s="60">
        <v>49.67</v>
      </c>
      <c r="D33" s="60">
        <v>67.7</v>
      </c>
      <c r="E33" s="60">
        <v>1.64</v>
      </c>
      <c r="F33" s="60">
        <v>3.03</v>
      </c>
      <c r="G33" s="60">
        <v>61.24</v>
      </c>
      <c r="H33" s="60">
        <v>19.149999999999999</v>
      </c>
      <c r="I33" s="60">
        <v>0.57999999999999996</v>
      </c>
      <c r="J33" s="60">
        <v>0.47</v>
      </c>
      <c r="K33" s="60">
        <v>22.76</v>
      </c>
      <c r="L33" s="60">
        <v>19.329999999999998</v>
      </c>
      <c r="M33" s="60">
        <v>74.680000000000007</v>
      </c>
      <c r="N33" s="60">
        <v>25.5</v>
      </c>
      <c r="O33" s="60">
        <v>0</v>
      </c>
      <c r="P33" s="60">
        <v>0.92</v>
      </c>
      <c r="Q33" s="60">
        <v>48.64</v>
      </c>
      <c r="R33" s="198"/>
      <c r="S33" s="198"/>
      <c r="T33" s="198"/>
      <c r="U33" s="198"/>
    </row>
    <row r="34" spans="1:21" s="12" customFormat="1" x14ac:dyDescent="0.25">
      <c r="A34" s="201" t="s">
        <v>369</v>
      </c>
      <c r="B34" s="60">
        <v>48</v>
      </c>
      <c r="C34" s="60">
        <v>51.54</v>
      </c>
      <c r="D34" s="60">
        <v>68.680000000000007</v>
      </c>
      <c r="E34" s="60">
        <v>1.37</v>
      </c>
      <c r="F34" s="60">
        <v>2.93</v>
      </c>
      <c r="G34" s="60">
        <v>61.24</v>
      </c>
      <c r="H34" s="60">
        <v>19.149999999999999</v>
      </c>
      <c r="I34" s="60">
        <v>0.57999999999999996</v>
      </c>
      <c r="J34" s="60">
        <v>0.43</v>
      </c>
      <c r="K34" s="60">
        <v>25.79</v>
      </c>
      <c r="L34" s="60">
        <v>20.22</v>
      </c>
      <c r="M34" s="60">
        <v>70.41</v>
      </c>
      <c r="N34" s="60">
        <v>60.6</v>
      </c>
      <c r="O34" s="60">
        <v>0</v>
      </c>
      <c r="P34" s="60">
        <v>0.96</v>
      </c>
      <c r="Q34" s="60">
        <v>48.01</v>
      </c>
      <c r="R34" s="198"/>
      <c r="S34" s="198"/>
      <c r="T34" s="198"/>
      <c r="U34" s="198"/>
    </row>
    <row r="35" spans="1:21" s="12" customFormat="1" x14ac:dyDescent="0.25">
      <c r="A35" s="201" t="s">
        <v>370</v>
      </c>
      <c r="B35" s="60">
        <v>48.1</v>
      </c>
      <c r="C35" s="60">
        <v>46.65</v>
      </c>
      <c r="D35" s="60">
        <v>66.05</v>
      </c>
      <c r="E35" s="60">
        <v>1.78</v>
      </c>
      <c r="F35" s="60">
        <v>3.06</v>
      </c>
      <c r="G35" s="60">
        <v>78.7</v>
      </c>
      <c r="H35" s="60">
        <v>26.28</v>
      </c>
      <c r="I35" s="60">
        <v>0.57999999999999996</v>
      </c>
      <c r="J35" s="60">
        <v>0.05</v>
      </c>
      <c r="K35" s="60">
        <v>294.12</v>
      </c>
      <c r="L35" s="60">
        <v>21.73</v>
      </c>
      <c r="M35" s="60">
        <v>62.93</v>
      </c>
      <c r="N35" s="60">
        <v>107</v>
      </c>
      <c r="O35" s="60">
        <v>0</v>
      </c>
      <c r="P35" s="60">
        <v>1.01</v>
      </c>
      <c r="Q35" s="60">
        <v>48.98</v>
      </c>
      <c r="R35" s="198"/>
      <c r="S35" s="198"/>
      <c r="T35" s="198"/>
      <c r="U35" s="198"/>
    </row>
    <row r="36" spans="1:21" s="12" customFormat="1" x14ac:dyDescent="0.25">
      <c r="A36" s="201" t="s">
        <v>371</v>
      </c>
      <c r="B36" s="60">
        <v>47.55</v>
      </c>
      <c r="C36" s="60">
        <v>49.05</v>
      </c>
      <c r="D36" s="60">
        <v>66.94</v>
      </c>
      <c r="E36" s="60">
        <v>1.72</v>
      </c>
      <c r="F36" s="60">
        <v>3.03</v>
      </c>
      <c r="G36" s="60">
        <v>79.099999999999994</v>
      </c>
      <c r="H36" s="60">
        <v>26.77</v>
      </c>
      <c r="I36" s="60">
        <v>0.57999999999999996</v>
      </c>
      <c r="J36" s="60">
        <v>0.46</v>
      </c>
      <c r="K36" s="60">
        <v>230.54</v>
      </c>
      <c r="L36" s="60">
        <v>22.33</v>
      </c>
      <c r="M36" s="60">
        <v>60.14</v>
      </c>
      <c r="N36" s="60">
        <v>157.30000000000001</v>
      </c>
      <c r="O36" s="60">
        <v>0</v>
      </c>
      <c r="P36" s="60">
        <v>1</v>
      </c>
      <c r="Q36" s="60">
        <v>42.38</v>
      </c>
      <c r="R36" s="198"/>
      <c r="S36" s="198"/>
      <c r="T36" s="198"/>
      <c r="U36" s="198"/>
    </row>
    <row r="37" spans="1:21" s="12" customFormat="1" x14ac:dyDescent="0.25">
      <c r="A37" s="201" t="s">
        <v>372</v>
      </c>
      <c r="B37" s="60">
        <v>46.2</v>
      </c>
      <c r="C37" s="60">
        <v>57.53</v>
      </c>
      <c r="D37" s="60">
        <v>70.540000000000006</v>
      </c>
      <c r="E37" s="60">
        <v>1.74</v>
      </c>
      <c r="F37" s="60">
        <v>3.05</v>
      </c>
      <c r="G37" s="60">
        <v>79.099999999999994</v>
      </c>
      <c r="H37" s="60">
        <v>26.77</v>
      </c>
      <c r="I37" s="60">
        <v>0.57999999999999996</v>
      </c>
      <c r="J37" s="60">
        <v>0.73</v>
      </c>
      <c r="K37" s="60">
        <v>223.52</v>
      </c>
      <c r="L37" s="60">
        <v>22.11</v>
      </c>
      <c r="M37" s="60">
        <v>64.27</v>
      </c>
      <c r="N37" s="60">
        <v>213.4</v>
      </c>
      <c r="O37" s="60">
        <v>0</v>
      </c>
      <c r="P37" s="60">
        <v>0.96</v>
      </c>
      <c r="Q37" s="60">
        <v>40.6</v>
      </c>
      <c r="R37" s="198"/>
      <c r="S37" s="198"/>
      <c r="T37" s="198"/>
      <c r="U37" s="198"/>
    </row>
    <row r="38" spans="1:21" s="12" customFormat="1" x14ac:dyDescent="0.25">
      <c r="A38" s="201" t="s">
        <v>373</v>
      </c>
      <c r="B38" s="60">
        <v>43.83</v>
      </c>
      <c r="C38" s="60">
        <v>54.42</v>
      </c>
      <c r="D38" s="60">
        <v>66.92</v>
      </c>
      <c r="E38" s="60">
        <v>1.89</v>
      </c>
      <c r="F38" s="60">
        <v>3.03</v>
      </c>
      <c r="G38" s="60">
        <v>79.099999999999994</v>
      </c>
      <c r="H38" s="60">
        <v>26.77</v>
      </c>
      <c r="I38" s="60">
        <v>0.59</v>
      </c>
      <c r="J38" s="60">
        <v>0.37</v>
      </c>
      <c r="K38" s="60">
        <v>217.16</v>
      </c>
      <c r="L38" s="60">
        <v>22.62</v>
      </c>
      <c r="M38" s="60">
        <v>63.4</v>
      </c>
      <c r="N38" s="60">
        <v>271.89999999999998</v>
      </c>
      <c r="O38" s="60">
        <v>0</v>
      </c>
      <c r="P38" s="60">
        <v>0.99</v>
      </c>
      <c r="Q38" s="60">
        <v>41.5</v>
      </c>
      <c r="R38" s="198"/>
      <c r="S38" s="198"/>
      <c r="T38" s="198"/>
      <c r="U38" s="198"/>
    </row>
    <row r="39" spans="1:21" s="12" customFormat="1" x14ac:dyDescent="0.25">
      <c r="A39" s="201" t="s">
        <v>374</v>
      </c>
      <c r="B39" s="60">
        <v>41.9</v>
      </c>
      <c r="C39" s="60">
        <v>52.14</v>
      </c>
      <c r="D39" s="60">
        <v>64.11</v>
      </c>
      <c r="E39" s="60">
        <v>1.66</v>
      </c>
      <c r="F39" s="60">
        <v>3.1</v>
      </c>
      <c r="G39" s="60">
        <v>82</v>
      </c>
      <c r="H39" s="60">
        <v>32.85</v>
      </c>
      <c r="I39" s="60">
        <v>0.59</v>
      </c>
      <c r="J39" s="60">
        <v>0.2</v>
      </c>
      <c r="K39" s="60">
        <v>207.86</v>
      </c>
      <c r="L39" s="60">
        <v>24.02</v>
      </c>
      <c r="M39" s="60">
        <v>58.97</v>
      </c>
      <c r="N39" s="60">
        <v>326.39999999999998</v>
      </c>
      <c r="O39" s="60">
        <v>0</v>
      </c>
      <c r="P39" s="60">
        <v>0.99</v>
      </c>
      <c r="Q39" s="60">
        <v>40.479999999999997</v>
      </c>
      <c r="R39" s="198"/>
      <c r="S39" s="198"/>
      <c r="T39" s="198"/>
      <c r="U39" s="198"/>
    </row>
    <row r="40" spans="1:21" s="12" customFormat="1" x14ac:dyDescent="0.25">
      <c r="A40" s="201" t="s">
        <v>375</v>
      </c>
      <c r="B40" s="60">
        <v>40.31</v>
      </c>
      <c r="C40" s="60">
        <v>52.21</v>
      </c>
      <c r="D40" s="60">
        <v>62.87</v>
      </c>
      <c r="E40" s="60">
        <v>1.04</v>
      </c>
      <c r="F40" s="60">
        <v>3.62</v>
      </c>
      <c r="G40" s="60">
        <v>82.07</v>
      </c>
      <c r="H40" s="60">
        <v>32.99</v>
      </c>
      <c r="I40" s="60">
        <v>0.6</v>
      </c>
      <c r="J40" s="60">
        <v>0.32</v>
      </c>
      <c r="K40" s="60">
        <v>20.3</v>
      </c>
      <c r="L40" s="60">
        <v>27.16</v>
      </c>
      <c r="M40" s="60">
        <v>50.16</v>
      </c>
      <c r="N40" s="60">
        <v>381</v>
      </c>
      <c r="O40" s="60">
        <v>0</v>
      </c>
      <c r="P40" s="60">
        <v>1</v>
      </c>
      <c r="Q40" s="60">
        <v>41.04</v>
      </c>
      <c r="R40" s="198"/>
      <c r="S40" s="198"/>
      <c r="T40" s="198"/>
      <c r="U40" s="198"/>
    </row>
    <row r="41" spans="1:21" s="12" customFormat="1" x14ac:dyDescent="0.25">
      <c r="A41" s="201" t="s">
        <v>376</v>
      </c>
      <c r="B41" s="60">
        <v>38.200000000000003</v>
      </c>
      <c r="C41" s="60">
        <v>52.02</v>
      </c>
      <c r="D41" s="60">
        <v>61.09</v>
      </c>
      <c r="E41" s="60">
        <v>2.4900000000000002</v>
      </c>
      <c r="F41" s="60">
        <v>5.76</v>
      </c>
      <c r="G41" s="60">
        <v>82.07</v>
      </c>
      <c r="H41" s="60">
        <v>32.99</v>
      </c>
      <c r="I41" s="60">
        <v>0.6</v>
      </c>
      <c r="J41" s="60">
        <v>0.4</v>
      </c>
      <c r="K41" s="60">
        <v>17.96</v>
      </c>
      <c r="L41" s="60">
        <v>29.1</v>
      </c>
      <c r="M41" s="60">
        <v>42.38</v>
      </c>
      <c r="N41" s="60">
        <v>436.1</v>
      </c>
      <c r="O41" s="60">
        <v>0</v>
      </c>
      <c r="P41" s="60">
        <v>1.01</v>
      </c>
      <c r="Q41" s="60">
        <v>40.97</v>
      </c>
      <c r="R41" s="198"/>
      <c r="S41" s="198"/>
      <c r="T41" s="198"/>
      <c r="U41" s="198"/>
    </row>
    <row r="42" spans="1:21" s="12" customFormat="1" x14ac:dyDescent="0.25">
      <c r="A42" s="201" t="s">
        <v>377</v>
      </c>
      <c r="B42" s="60">
        <v>37.54</v>
      </c>
      <c r="C42" s="60">
        <v>43.38</v>
      </c>
      <c r="D42" s="60">
        <v>55.78</v>
      </c>
      <c r="E42" s="60">
        <v>3.05</v>
      </c>
      <c r="F42" s="60">
        <v>5.85</v>
      </c>
      <c r="G42" s="60">
        <v>82.07</v>
      </c>
      <c r="H42" s="60">
        <v>32.99</v>
      </c>
      <c r="I42" s="60">
        <v>0.6</v>
      </c>
      <c r="J42" s="60">
        <v>0.32</v>
      </c>
      <c r="K42" s="60">
        <v>7.52</v>
      </c>
      <c r="L42" s="60">
        <v>30.27</v>
      </c>
      <c r="M42" s="60">
        <v>38.18</v>
      </c>
      <c r="N42" s="60">
        <v>491.2</v>
      </c>
      <c r="O42" s="60">
        <v>0</v>
      </c>
      <c r="P42" s="60">
        <v>1</v>
      </c>
      <c r="Q42" s="60">
        <v>42.63</v>
      </c>
      <c r="R42" s="198"/>
      <c r="S42" s="198"/>
      <c r="T42" s="198"/>
      <c r="U42" s="198"/>
    </row>
    <row r="43" spans="1:21" s="12" customFormat="1" x14ac:dyDescent="0.25">
      <c r="A43" s="201" t="s">
        <v>378</v>
      </c>
      <c r="B43" s="60">
        <v>36.22</v>
      </c>
      <c r="C43" s="60">
        <v>47.72</v>
      </c>
      <c r="D43" s="60">
        <v>57.12</v>
      </c>
      <c r="E43" s="60">
        <v>2.41</v>
      </c>
      <c r="F43" s="60">
        <v>3.7</v>
      </c>
      <c r="G43" s="60">
        <v>80.75</v>
      </c>
      <c r="H43" s="60">
        <v>32.869999999999997</v>
      </c>
      <c r="I43" s="60">
        <v>0.6</v>
      </c>
      <c r="J43" s="60">
        <v>0.17</v>
      </c>
      <c r="K43" s="60">
        <v>345.89</v>
      </c>
      <c r="L43" s="60">
        <v>30.15</v>
      </c>
      <c r="M43" s="60">
        <v>35.1</v>
      </c>
      <c r="N43" s="60">
        <v>553.70000000000005</v>
      </c>
      <c r="O43" s="60">
        <v>0</v>
      </c>
      <c r="P43" s="60">
        <v>0.99</v>
      </c>
      <c r="Q43" s="60">
        <v>45.5</v>
      </c>
      <c r="R43" s="198"/>
      <c r="S43" s="198"/>
      <c r="T43" s="198"/>
      <c r="U43" s="198"/>
    </row>
    <row r="44" spans="1:21" s="12" customFormat="1" x14ac:dyDescent="0.25">
      <c r="A44" s="201" t="s">
        <v>379</v>
      </c>
      <c r="B44" s="60">
        <v>31.21</v>
      </c>
      <c r="C44" s="60">
        <v>53.87</v>
      </c>
      <c r="D44" s="60">
        <v>56.5</v>
      </c>
      <c r="E44" s="60">
        <v>2.21</v>
      </c>
      <c r="F44" s="60">
        <v>3.43</v>
      </c>
      <c r="G44" s="60">
        <v>80.72</v>
      </c>
      <c r="H44" s="60">
        <v>32.869999999999997</v>
      </c>
      <c r="I44" s="60">
        <v>0.61</v>
      </c>
      <c r="J44" s="60">
        <v>0.23</v>
      </c>
      <c r="K44" s="60">
        <v>0.71</v>
      </c>
      <c r="L44" s="60">
        <v>29.93</v>
      </c>
      <c r="M44" s="60">
        <v>33.630000000000003</v>
      </c>
      <c r="N44" s="60">
        <v>614.1</v>
      </c>
      <c r="O44" s="60">
        <v>0</v>
      </c>
      <c r="P44" s="60">
        <v>0.96</v>
      </c>
      <c r="Q44" s="60">
        <v>46.77</v>
      </c>
      <c r="R44" s="198"/>
      <c r="S44" s="198"/>
      <c r="T44" s="198"/>
      <c r="U44" s="198"/>
    </row>
    <row r="45" spans="1:21" s="12" customFormat="1" x14ac:dyDescent="0.25">
      <c r="A45" s="201" t="s">
        <v>380</v>
      </c>
      <c r="B45" s="60">
        <v>26.33</v>
      </c>
      <c r="C45" s="60">
        <v>57.68</v>
      </c>
      <c r="D45" s="60">
        <v>54.69</v>
      </c>
      <c r="E45" s="60">
        <v>2.29</v>
      </c>
      <c r="F45" s="60">
        <v>3.33</v>
      </c>
      <c r="G45" s="60">
        <v>80.72</v>
      </c>
      <c r="H45" s="60">
        <v>32.869999999999997</v>
      </c>
      <c r="I45" s="60">
        <v>0.62</v>
      </c>
      <c r="J45" s="60">
        <v>0.24</v>
      </c>
      <c r="K45" s="60">
        <v>175.11</v>
      </c>
      <c r="L45" s="60">
        <v>30.03</v>
      </c>
      <c r="M45" s="60">
        <v>33.68</v>
      </c>
      <c r="N45" s="60">
        <v>670.9</v>
      </c>
      <c r="O45" s="60">
        <v>0</v>
      </c>
      <c r="P45" s="60">
        <v>0.93</v>
      </c>
      <c r="Q45" s="60">
        <v>47.8</v>
      </c>
      <c r="R45" s="198"/>
      <c r="S45" s="198"/>
      <c r="T45" s="198"/>
      <c r="U45" s="198"/>
    </row>
    <row r="46" spans="1:21" s="12" customFormat="1" x14ac:dyDescent="0.25">
      <c r="A46" s="201" t="s">
        <v>381</v>
      </c>
      <c r="B46" s="60">
        <v>20.85</v>
      </c>
      <c r="C46" s="60">
        <v>59.07</v>
      </c>
      <c r="D46" s="60">
        <v>51.06</v>
      </c>
      <c r="E46" s="60">
        <v>1.91</v>
      </c>
      <c r="F46" s="60">
        <v>4.18</v>
      </c>
      <c r="G46" s="60">
        <v>80.72</v>
      </c>
      <c r="H46" s="60">
        <v>32.869999999999997</v>
      </c>
      <c r="I46" s="60">
        <v>0.6</v>
      </c>
      <c r="J46" s="60">
        <v>0.11</v>
      </c>
      <c r="K46" s="60">
        <v>347.6</v>
      </c>
      <c r="L46" s="60">
        <v>30.01</v>
      </c>
      <c r="M46" s="60">
        <v>34.229999999999997</v>
      </c>
      <c r="N46" s="60">
        <v>709.3</v>
      </c>
      <c r="O46" s="60">
        <v>0</v>
      </c>
      <c r="P46" s="60">
        <v>0.88</v>
      </c>
      <c r="Q46" s="60">
        <v>45.84</v>
      </c>
      <c r="R46" s="198"/>
      <c r="S46" s="198"/>
      <c r="T46" s="198"/>
      <c r="U46" s="198"/>
    </row>
    <row r="47" spans="1:21" s="12" customFormat="1" x14ac:dyDescent="0.25">
      <c r="A47" s="201" t="s">
        <v>382</v>
      </c>
      <c r="B47" s="60">
        <v>15.63</v>
      </c>
      <c r="C47" s="60">
        <v>59.87</v>
      </c>
      <c r="D47" s="60">
        <v>47.32</v>
      </c>
      <c r="E47" s="60">
        <v>1.61</v>
      </c>
      <c r="F47" s="60">
        <v>3.88</v>
      </c>
      <c r="G47" s="60">
        <v>67.2</v>
      </c>
      <c r="H47" s="60">
        <v>27.86</v>
      </c>
      <c r="I47" s="60">
        <v>0.59</v>
      </c>
      <c r="J47" s="60">
        <v>0.65</v>
      </c>
      <c r="K47" s="60">
        <v>222.45</v>
      </c>
      <c r="L47" s="60">
        <v>28.82</v>
      </c>
      <c r="M47" s="60">
        <v>36.119999999999997</v>
      </c>
      <c r="N47" s="60">
        <v>761.5</v>
      </c>
      <c r="O47" s="60">
        <v>0</v>
      </c>
      <c r="P47" s="60">
        <v>0.84</v>
      </c>
      <c r="Q47" s="60">
        <v>45.98</v>
      </c>
      <c r="R47" s="198"/>
      <c r="S47" s="198"/>
      <c r="T47" s="198"/>
      <c r="U47" s="198"/>
    </row>
    <row r="48" spans="1:21" s="12" customFormat="1" x14ac:dyDescent="0.25">
      <c r="A48" s="201" t="s">
        <v>383</v>
      </c>
      <c r="B48" s="60">
        <v>11.47</v>
      </c>
      <c r="C48" s="60">
        <v>60.36</v>
      </c>
      <c r="D48" s="60">
        <v>44.24</v>
      </c>
      <c r="E48" s="60">
        <v>1.42</v>
      </c>
      <c r="F48" s="60">
        <v>4</v>
      </c>
      <c r="G48" s="60">
        <v>66.89</v>
      </c>
      <c r="H48" s="60">
        <v>27.75</v>
      </c>
      <c r="I48" s="60">
        <v>0.56999999999999995</v>
      </c>
      <c r="J48" s="60">
        <v>0.46</v>
      </c>
      <c r="K48" s="60">
        <v>191.46</v>
      </c>
      <c r="L48" s="60">
        <v>29.15</v>
      </c>
      <c r="M48" s="60">
        <v>35.369999999999997</v>
      </c>
      <c r="N48" s="60">
        <v>805.1</v>
      </c>
      <c r="O48" s="60">
        <v>0</v>
      </c>
      <c r="P48" s="60">
        <v>0.79</v>
      </c>
      <c r="Q48" s="60">
        <v>45</v>
      </c>
      <c r="R48" s="198"/>
      <c r="S48" s="198"/>
      <c r="T48" s="198"/>
      <c r="U48" s="198"/>
    </row>
    <row r="49" spans="1:21" s="12" customFormat="1" x14ac:dyDescent="0.25">
      <c r="A49" s="201" t="s">
        <v>384</v>
      </c>
      <c r="B49" s="60">
        <v>8.3800000000000008</v>
      </c>
      <c r="C49" s="60">
        <v>57.75</v>
      </c>
      <c r="D49" s="60">
        <v>40.33</v>
      </c>
      <c r="E49" s="60">
        <v>1.81</v>
      </c>
      <c r="F49" s="60">
        <v>5.71</v>
      </c>
      <c r="G49" s="60">
        <v>66.89</v>
      </c>
      <c r="H49" s="60">
        <v>27.75</v>
      </c>
      <c r="I49" s="60">
        <v>0.56000000000000005</v>
      </c>
      <c r="J49" s="60">
        <v>0.56999999999999995</v>
      </c>
      <c r="K49" s="60">
        <v>218.03</v>
      </c>
      <c r="L49" s="60">
        <v>29.08</v>
      </c>
      <c r="M49" s="60">
        <v>32.619999999999997</v>
      </c>
      <c r="N49" s="60">
        <v>849.4</v>
      </c>
      <c r="O49" s="60">
        <v>0</v>
      </c>
      <c r="P49" s="60">
        <v>0.75</v>
      </c>
      <c r="Q49" s="60">
        <v>44.47</v>
      </c>
      <c r="R49" s="198"/>
      <c r="S49" s="198"/>
      <c r="T49" s="198"/>
      <c r="U49" s="198"/>
    </row>
    <row r="50" spans="1:21" s="12" customFormat="1" x14ac:dyDescent="0.25">
      <c r="A50" s="201" t="s">
        <v>385</v>
      </c>
      <c r="B50" s="60">
        <v>6.84</v>
      </c>
      <c r="C50" s="60">
        <v>45.61</v>
      </c>
      <c r="D50" s="60">
        <v>32.4</v>
      </c>
      <c r="E50" s="60">
        <v>1.71</v>
      </c>
      <c r="F50" s="60">
        <v>6.52</v>
      </c>
      <c r="G50" s="60">
        <v>66.89</v>
      </c>
      <c r="H50" s="60">
        <v>27.75</v>
      </c>
      <c r="I50" s="60">
        <v>0.55000000000000004</v>
      </c>
      <c r="J50" s="60">
        <v>0.28999999999999998</v>
      </c>
      <c r="K50" s="60">
        <v>227.06</v>
      </c>
      <c r="L50" s="60">
        <v>29.74</v>
      </c>
      <c r="M50" s="60">
        <v>32.130000000000003</v>
      </c>
      <c r="N50" s="60">
        <v>872.4</v>
      </c>
      <c r="O50" s="60">
        <v>0</v>
      </c>
      <c r="P50" s="60">
        <v>0.72</v>
      </c>
      <c r="Q50" s="60">
        <v>43.03</v>
      </c>
      <c r="R50" s="198"/>
      <c r="S50" s="198"/>
      <c r="T50" s="198"/>
      <c r="U50" s="198"/>
    </row>
    <row r="51" spans="1:21" s="12" customFormat="1" x14ac:dyDescent="0.25">
      <c r="A51" s="201" t="s">
        <v>386</v>
      </c>
      <c r="B51" s="60">
        <v>6.03</v>
      </c>
      <c r="C51" s="60">
        <v>45.91</v>
      </c>
      <c r="D51" s="60">
        <v>31.92</v>
      </c>
      <c r="E51" s="60">
        <v>1.91</v>
      </c>
      <c r="F51" s="60">
        <v>8.3699999999999992</v>
      </c>
      <c r="G51" s="60">
        <v>57.48</v>
      </c>
      <c r="H51" s="60">
        <v>25.52</v>
      </c>
      <c r="I51" s="60">
        <v>0.54</v>
      </c>
      <c r="J51" s="60">
        <v>0.6</v>
      </c>
      <c r="K51" s="60">
        <v>230.25</v>
      </c>
      <c r="L51" s="60">
        <v>29.8</v>
      </c>
      <c r="M51" s="60">
        <v>32.24</v>
      </c>
      <c r="N51" s="60">
        <v>894.2</v>
      </c>
      <c r="O51" s="60">
        <v>0</v>
      </c>
      <c r="P51" s="60">
        <v>0.7</v>
      </c>
      <c r="Q51" s="60">
        <v>39.96</v>
      </c>
      <c r="R51" s="198"/>
      <c r="S51" s="198"/>
      <c r="T51" s="198"/>
      <c r="U51" s="198"/>
    </row>
    <row r="52" spans="1:21" s="12" customFormat="1" x14ac:dyDescent="0.25">
      <c r="A52" s="201" t="s">
        <v>387</v>
      </c>
      <c r="B52" s="60">
        <v>5.41</v>
      </c>
      <c r="C52" s="60">
        <v>43.51</v>
      </c>
      <c r="D52" s="60">
        <v>30.09</v>
      </c>
      <c r="E52" s="60">
        <v>1.81</v>
      </c>
      <c r="F52" s="60">
        <v>7.98</v>
      </c>
      <c r="G52" s="60">
        <v>57.27</v>
      </c>
      <c r="H52" s="60">
        <v>25.03</v>
      </c>
      <c r="I52" s="60">
        <v>0.56000000000000005</v>
      </c>
      <c r="J52" s="60">
        <v>0.43</v>
      </c>
      <c r="K52" s="60">
        <v>165.85</v>
      </c>
      <c r="L52" s="60">
        <v>30.78</v>
      </c>
      <c r="M52" s="60">
        <v>29.09</v>
      </c>
      <c r="N52" s="60">
        <v>922</v>
      </c>
      <c r="O52" s="60">
        <v>0</v>
      </c>
      <c r="P52" s="60">
        <v>0.68</v>
      </c>
      <c r="Q52" s="60">
        <v>39.18</v>
      </c>
      <c r="R52" s="198"/>
      <c r="S52" s="198"/>
      <c r="T52" s="198"/>
      <c r="U52" s="198"/>
    </row>
    <row r="53" spans="1:21" s="12" customFormat="1" x14ac:dyDescent="0.25">
      <c r="A53" s="201" t="s">
        <v>388</v>
      </c>
      <c r="B53" s="60">
        <v>6.6</v>
      </c>
      <c r="C53" s="60">
        <v>46.71</v>
      </c>
      <c r="D53" s="60">
        <v>32.81</v>
      </c>
      <c r="E53" s="60">
        <v>2.3199999999999998</v>
      </c>
      <c r="F53" s="60">
        <v>13.09</v>
      </c>
      <c r="G53" s="60">
        <v>57.27</v>
      </c>
      <c r="H53" s="60">
        <v>25.03</v>
      </c>
      <c r="I53" s="60">
        <v>0.56999999999999995</v>
      </c>
      <c r="J53" s="60">
        <v>0.55000000000000004</v>
      </c>
      <c r="K53" s="60">
        <v>34.979999999999997</v>
      </c>
      <c r="L53" s="60">
        <v>33.14</v>
      </c>
      <c r="M53" s="60">
        <v>25.5</v>
      </c>
      <c r="N53" s="60">
        <v>924.9</v>
      </c>
      <c r="O53" s="60">
        <v>0</v>
      </c>
      <c r="P53" s="60">
        <v>0.67</v>
      </c>
      <c r="Q53" s="60">
        <v>37.549999999999997</v>
      </c>
      <c r="R53" s="198"/>
      <c r="S53" s="198"/>
      <c r="T53" s="198"/>
      <c r="U53" s="198"/>
    </row>
    <row r="54" spans="1:21" s="12" customFormat="1" x14ac:dyDescent="0.25">
      <c r="A54" s="201" t="s">
        <v>389</v>
      </c>
      <c r="B54" s="60">
        <v>6.66</v>
      </c>
      <c r="C54" s="60">
        <v>55.63</v>
      </c>
      <c r="D54" s="60">
        <v>37.78</v>
      </c>
      <c r="E54" s="60">
        <v>1.67</v>
      </c>
      <c r="F54" s="60">
        <v>6.57</v>
      </c>
      <c r="G54" s="60">
        <v>57.27</v>
      </c>
      <c r="H54" s="60">
        <v>25.03</v>
      </c>
      <c r="I54" s="60">
        <v>0.55000000000000004</v>
      </c>
      <c r="J54" s="60">
        <v>0.55000000000000004</v>
      </c>
      <c r="K54" s="60">
        <v>18.920000000000002</v>
      </c>
      <c r="L54" s="60">
        <v>34.729999999999997</v>
      </c>
      <c r="M54" s="60">
        <v>24.34</v>
      </c>
      <c r="N54" s="60">
        <v>937.1</v>
      </c>
      <c r="O54" s="60">
        <v>0</v>
      </c>
      <c r="P54" s="60">
        <v>0.67</v>
      </c>
      <c r="Q54" s="60">
        <v>36.53</v>
      </c>
      <c r="R54" s="198"/>
      <c r="S54" s="198"/>
      <c r="T54" s="198"/>
      <c r="U54" s="198"/>
    </row>
    <row r="55" spans="1:21" s="12" customFormat="1" x14ac:dyDescent="0.25">
      <c r="A55" s="201" t="s">
        <v>390</v>
      </c>
      <c r="B55" s="60">
        <v>5.7</v>
      </c>
      <c r="C55" s="60">
        <v>46.71</v>
      </c>
      <c r="D55" s="60">
        <v>32.090000000000003</v>
      </c>
      <c r="E55" s="60">
        <v>1.89</v>
      </c>
      <c r="F55" s="60">
        <v>11.4</v>
      </c>
      <c r="G55" s="60">
        <v>50.73</v>
      </c>
      <c r="H55" s="60">
        <v>22.77</v>
      </c>
      <c r="I55" s="60">
        <v>0.56999999999999995</v>
      </c>
      <c r="J55" s="60">
        <v>0.65</v>
      </c>
      <c r="K55" s="60">
        <v>23.4</v>
      </c>
      <c r="L55" s="60">
        <v>34.64</v>
      </c>
      <c r="M55" s="60">
        <v>23.25</v>
      </c>
      <c r="N55" s="60">
        <v>943.5</v>
      </c>
      <c r="O55" s="60">
        <v>0</v>
      </c>
      <c r="P55" s="60">
        <v>0.64</v>
      </c>
      <c r="Q55" s="60">
        <v>38.07</v>
      </c>
      <c r="R55" s="198"/>
      <c r="S55" s="198"/>
      <c r="T55" s="198"/>
      <c r="U55" s="198"/>
    </row>
    <row r="56" spans="1:21" s="12" customFormat="1" x14ac:dyDescent="0.25">
      <c r="A56" s="201" t="s">
        <v>391</v>
      </c>
      <c r="B56" s="60">
        <v>5.85</v>
      </c>
      <c r="C56" s="60">
        <v>51.56</v>
      </c>
      <c r="D56" s="60">
        <v>34.89</v>
      </c>
      <c r="E56" s="60">
        <v>1.38</v>
      </c>
      <c r="F56" s="60">
        <v>9.6300000000000008</v>
      </c>
      <c r="G56" s="60">
        <v>50.58</v>
      </c>
      <c r="H56" s="60">
        <v>22.66</v>
      </c>
      <c r="I56" s="60">
        <v>0.56999999999999995</v>
      </c>
      <c r="J56" s="60">
        <v>0.65</v>
      </c>
      <c r="K56" s="60">
        <v>22.56</v>
      </c>
      <c r="L56" s="60">
        <v>34.72</v>
      </c>
      <c r="M56" s="60">
        <v>22.32</v>
      </c>
      <c r="N56" s="60">
        <v>945.2</v>
      </c>
      <c r="O56" s="60">
        <v>0</v>
      </c>
      <c r="P56" s="60">
        <v>0.65</v>
      </c>
      <c r="Q56" s="60">
        <v>36.729999999999997</v>
      </c>
      <c r="R56" s="198"/>
      <c r="S56" s="198"/>
      <c r="T56" s="198"/>
      <c r="U56" s="198"/>
    </row>
    <row r="57" spans="1:21" s="12" customFormat="1" x14ac:dyDescent="0.25">
      <c r="A57" s="201" t="s">
        <v>392</v>
      </c>
      <c r="B57" s="60">
        <v>5.81</v>
      </c>
      <c r="C57" s="60">
        <v>53.32</v>
      </c>
      <c r="D57" s="60">
        <v>35.82</v>
      </c>
      <c r="E57" s="60">
        <v>1.91</v>
      </c>
      <c r="F57" s="60">
        <v>5.46</v>
      </c>
      <c r="G57" s="60">
        <v>50.58</v>
      </c>
      <c r="H57" s="60">
        <v>22.66</v>
      </c>
      <c r="I57" s="60">
        <v>0.56999999999999995</v>
      </c>
      <c r="J57" s="60">
        <v>0.49</v>
      </c>
      <c r="K57" s="60">
        <v>8.02</v>
      </c>
      <c r="L57" s="60">
        <v>33.950000000000003</v>
      </c>
      <c r="M57" s="60">
        <v>23</v>
      </c>
      <c r="N57" s="60">
        <v>919.7</v>
      </c>
      <c r="O57" s="60">
        <v>0</v>
      </c>
      <c r="P57" s="60">
        <v>0.65</v>
      </c>
      <c r="Q57" s="60">
        <v>39.659999999999997</v>
      </c>
      <c r="R57" s="198"/>
      <c r="S57" s="198"/>
      <c r="T57" s="198"/>
      <c r="U57" s="198"/>
    </row>
    <row r="58" spans="1:21" s="12" customFormat="1" x14ac:dyDescent="0.25">
      <c r="A58" s="201" t="s">
        <v>393</v>
      </c>
      <c r="B58" s="60">
        <v>4.75</v>
      </c>
      <c r="C58" s="60">
        <v>53.82</v>
      </c>
      <c r="D58" s="60">
        <v>35.25</v>
      </c>
      <c r="E58" s="60">
        <v>1.93</v>
      </c>
      <c r="F58" s="60">
        <v>8.4</v>
      </c>
      <c r="G58" s="60">
        <v>50.58</v>
      </c>
      <c r="H58" s="60">
        <v>22.66</v>
      </c>
      <c r="I58" s="60">
        <v>0.57999999999999996</v>
      </c>
      <c r="J58" s="60">
        <v>0.53</v>
      </c>
      <c r="K58" s="60">
        <v>20.99</v>
      </c>
      <c r="L58" s="60">
        <v>33.96</v>
      </c>
      <c r="M58" s="60">
        <v>23.26</v>
      </c>
      <c r="N58" s="60">
        <v>895.2</v>
      </c>
      <c r="O58" s="60">
        <v>0</v>
      </c>
      <c r="P58" s="60">
        <v>0.63</v>
      </c>
      <c r="Q58" s="60">
        <v>42.76</v>
      </c>
      <c r="R58" s="198"/>
      <c r="S58" s="198"/>
      <c r="T58" s="198"/>
      <c r="U58" s="198"/>
    </row>
    <row r="59" spans="1:21" s="12" customFormat="1" x14ac:dyDescent="0.25">
      <c r="A59" s="201" t="s">
        <v>394</v>
      </c>
      <c r="B59" s="60">
        <v>3.65</v>
      </c>
      <c r="C59" s="60">
        <v>51.92</v>
      </c>
      <c r="D59" s="60">
        <v>33.32</v>
      </c>
      <c r="E59" s="60">
        <v>1.94</v>
      </c>
      <c r="F59" s="60">
        <v>10.53</v>
      </c>
      <c r="G59" s="60">
        <v>48.19</v>
      </c>
      <c r="H59" s="60">
        <v>18.559999999999999</v>
      </c>
      <c r="I59" s="60">
        <v>0.57999999999999996</v>
      </c>
      <c r="J59" s="60">
        <v>0.71</v>
      </c>
      <c r="K59" s="60">
        <v>9.5299999999999994</v>
      </c>
      <c r="L59" s="60">
        <v>33.869999999999997</v>
      </c>
      <c r="M59" s="60">
        <v>24.08</v>
      </c>
      <c r="N59" s="60">
        <v>781.9</v>
      </c>
      <c r="O59" s="60">
        <v>0</v>
      </c>
      <c r="P59" s="60">
        <v>0.65</v>
      </c>
      <c r="Q59" s="60">
        <v>43.19</v>
      </c>
      <c r="R59" s="198"/>
      <c r="S59" s="198"/>
      <c r="T59" s="198"/>
      <c r="U59" s="198"/>
    </row>
    <row r="60" spans="1:21" s="12" customFormat="1" x14ac:dyDescent="0.25">
      <c r="A60" s="201" t="s">
        <v>395</v>
      </c>
      <c r="B60" s="60">
        <v>3.86</v>
      </c>
      <c r="C60" s="60">
        <v>56</v>
      </c>
      <c r="D60" s="60">
        <v>35.75</v>
      </c>
      <c r="E60" s="60">
        <v>1.9</v>
      </c>
      <c r="F60" s="60">
        <v>8.75</v>
      </c>
      <c r="G60" s="60">
        <v>48.13</v>
      </c>
      <c r="H60" s="60">
        <v>18.47</v>
      </c>
      <c r="I60" s="60">
        <v>0.56000000000000005</v>
      </c>
      <c r="J60" s="60">
        <v>0.61</v>
      </c>
      <c r="K60" s="60">
        <v>11.75</v>
      </c>
      <c r="L60" s="60">
        <v>33.869999999999997</v>
      </c>
      <c r="M60" s="60">
        <v>23.09</v>
      </c>
      <c r="N60" s="60">
        <v>477.1</v>
      </c>
      <c r="O60" s="60">
        <v>0</v>
      </c>
      <c r="P60" s="60">
        <v>0.7</v>
      </c>
      <c r="Q60" s="60">
        <v>42.87</v>
      </c>
      <c r="R60" s="198"/>
      <c r="S60" s="198"/>
      <c r="T60" s="198"/>
      <c r="U60" s="198"/>
    </row>
    <row r="61" spans="1:21" s="12" customFormat="1" x14ac:dyDescent="0.25">
      <c r="A61" s="201" t="s">
        <v>396</v>
      </c>
      <c r="B61" s="60">
        <v>4</v>
      </c>
      <c r="C61" s="60">
        <v>58.28</v>
      </c>
      <c r="D61" s="60">
        <v>37.119999999999997</v>
      </c>
      <c r="E61" s="60">
        <v>1.79</v>
      </c>
      <c r="F61" s="60">
        <v>7.68</v>
      </c>
      <c r="G61" s="60">
        <v>48.13</v>
      </c>
      <c r="H61" s="60">
        <v>18.47</v>
      </c>
      <c r="I61" s="60">
        <v>0.55000000000000004</v>
      </c>
      <c r="J61" s="60">
        <v>0.59</v>
      </c>
      <c r="K61" s="60">
        <v>22.03</v>
      </c>
      <c r="L61" s="60">
        <v>34.520000000000003</v>
      </c>
      <c r="M61" s="60">
        <v>20.27</v>
      </c>
      <c r="N61" s="60">
        <v>766.7</v>
      </c>
      <c r="O61" s="60">
        <v>0</v>
      </c>
      <c r="P61" s="60">
        <v>0.66</v>
      </c>
      <c r="Q61" s="60">
        <v>42.87</v>
      </c>
      <c r="R61" s="198"/>
      <c r="S61" s="198"/>
      <c r="T61" s="198"/>
      <c r="U61" s="198"/>
    </row>
    <row r="62" spans="1:21" s="12" customFormat="1" x14ac:dyDescent="0.25">
      <c r="A62" s="201" t="s">
        <v>397</v>
      </c>
      <c r="B62" s="60">
        <v>3.96</v>
      </c>
      <c r="C62" s="60">
        <v>57.61</v>
      </c>
      <c r="D62" s="60">
        <v>36.71</v>
      </c>
      <c r="E62" s="60">
        <v>1.17</v>
      </c>
      <c r="F62" s="60">
        <v>8.08</v>
      </c>
      <c r="G62" s="60">
        <v>48.13</v>
      </c>
      <c r="H62" s="60">
        <v>18.47</v>
      </c>
      <c r="I62" s="60">
        <v>0.55000000000000004</v>
      </c>
      <c r="J62" s="60">
        <v>0.39</v>
      </c>
      <c r="K62" s="60">
        <v>10.93</v>
      </c>
      <c r="L62" s="60">
        <v>33.54</v>
      </c>
      <c r="M62" s="60">
        <v>19.88</v>
      </c>
      <c r="N62" s="60">
        <v>637.6</v>
      </c>
      <c r="O62" s="60">
        <v>0</v>
      </c>
      <c r="P62" s="60">
        <v>0.69</v>
      </c>
      <c r="Q62" s="60">
        <v>42.09</v>
      </c>
      <c r="R62" s="198"/>
      <c r="S62" s="198"/>
      <c r="T62" s="198"/>
      <c r="U62" s="198"/>
    </row>
    <row r="63" spans="1:21" s="12" customFormat="1" x14ac:dyDescent="0.25">
      <c r="A63" s="201" t="s">
        <v>398</v>
      </c>
      <c r="B63" s="60">
        <v>3.91</v>
      </c>
      <c r="C63" s="60">
        <v>56.54</v>
      </c>
      <c r="D63" s="60">
        <v>36.08</v>
      </c>
      <c r="E63" s="60">
        <v>1.72</v>
      </c>
      <c r="F63" s="60">
        <v>9.4</v>
      </c>
      <c r="G63" s="60">
        <v>44.02</v>
      </c>
      <c r="H63" s="60">
        <v>16.96</v>
      </c>
      <c r="I63" s="60">
        <v>0.52</v>
      </c>
      <c r="J63" s="60">
        <v>0.94</v>
      </c>
      <c r="K63" s="60">
        <v>358.27</v>
      </c>
      <c r="L63" s="60">
        <v>34.68</v>
      </c>
      <c r="M63" s="60">
        <v>19.579999999999998</v>
      </c>
      <c r="N63" s="60">
        <v>868.1</v>
      </c>
      <c r="O63" s="60">
        <v>0</v>
      </c>
      <c r="P63" s="60">
        <v>0.66</v>
      </c>
      <c r="Q63" s="60">
        <v>40.36</v>
      </c>
      <c r="R63" s="198"/>
      <c r="S63" s="198"/>
      <c r="T63" s="198"/>
      <c r="U63" s="198"/>
    </row>
    <row r="64" spans="1:21" s="12" customFormat="1" x14ac:dyDescent="0.25">
      <c r="A64" s="201" t="s">
        <v>399</v>
      </c>
      <c r="B64" s="60">
        <v>4.18</v>
      </c>
      <c r="C64" s="60">
        <v>52.22</v>
      </c>
      <c r="D64" s="60">
        <v>33.909999999999997</v>
      </c>
      <c r="E64" s="60">
        <v>1.52</v>
      </c>
      <c r="F64" s="60">
        <v>9.77</v>
      </c>
      <c r="G64" s="60">
        <v>43.92</v>
      </c>
      <c r="H64" s="60">
        <v>16.920000000000002</v>
      </c>
      <c r="I64" s="60">
        <v>0.54</v>
      </c>
      <c r="J64" s="60">
        <v>0.77</v>
      </c>
      <c r="K64" s="60">
        <v>5.88</v>
      </c>
      <c r="L64" s="60">
        <v>35.26</v>
      </c>
      <c r="M64" s="60">
        <v>18.96</v>
      </c>
      <c r="N64" s="60">
        <v>806.3</v>
      </c>
      <c r="O64" s="60">
        <v>0</v>
      </c>
      <c r="P64" s="60">
        <v>0.64</v>
      </c>
      <c r="Q64" s="60">
        <v>39.380000000000003</v>
      </c>
      <c r="R64" s="198"/>
      <c r="S64" s="198"/>
      <c r="T64" s="198"/>
      <c r="U64" s="198"/>
    </row>
    <row r="65" spans="1:21" s="12" customFormat="1" x14ac:dyDescent="0.25">
      <c r="A65" s="201" t="s">
        <v>400</v>
      </c>
      <c r="B65" s="60">
        <v>4.42</v>
      </c>
      <c r="C65" s="60">
        <v>53.99</v>
      </c>
      <c r="D65" s="60">
        <v>35.08</v>
      </c>
      <c r="E65" s="60">
        <v>1.9</v>
      </c>
      <c r="F65" s="60">
        <v>7.96</v>
      </c>
      <c r="G65" s="60">
        <v>43.92</v>
      </c>
      <c r="H65" s="60">
        <v>16.920000000000002</v>
      </c>
      <c r="I65" s="60">
        <v>0.54</v>
      </c>
      <c r="J65" s="60">
        <v>0.33</v>
      </c>
      <c r="K65" s="60">
        <v>247.41</v>
      </c>
      <c r="L65" s="60">
        <v>33.49</v>
      </c>
      <c r="M65" s="60">
        <v>19.690000000000001</v>
      </c>
      <c r="N65" s="60">
        <v>703.7</v>
      </c>
      <c r="O65" s="60">
        <v>0</v>
      </c>
      <c r="P65" s="60">
        <v>0.61</v>
      </c>
      <c r="Q65" s="60">
        <v>37.1</v>
      </c>
      <c r="R65" s="198"/>
      <c r="S65" s="198"/>
      <c r="T65" s="198"/>
      <c r="U65" s="198"/>
    </row>
    <row r="66" spans="1:21" s="12" customFormat="1" x14ac:dyDescent="0.25">
      <c r="A66" s="201" t="s">
        <v>401</v>
      </c>
      <c r="B66" s="60">
        <v>4.3</v>
      </c>
      <c r="C66" s="60">
        <v>51.63</v>
      </c>
      <c r="D66" s="60">
        <v>33.68</v>
      </c>
      <c r="E66" s="60">
        <v>1.54</v>
      </c>
      <c r="F66" s="60">
        <v>14.76</v>
      </c>
      <c r="G66" s="60">
        <v>43.92</v>
      </c>
      <c r="H66" s="60">
        <v>16.920000000000002</v>
      </c>
      <c r="I66" s="60">
        <v>0.52</v>
      </c>
      <c r="J66" s="60">
        <v>0.75</v>
      </c>
      <c r="K66" s="60">
        <v>224.07</v>
      </c>
      <c r="L66" s="60">
        <v>31.7</v>
      </c>
      <c r="M66" s="60">
        <v>21.03</v>
      </c>
      <c r="N66" s="60">
        <v>658.5</v>
      </c>
      <c r="O66" s="60">
        <v>0</v>
      </c>
      <c r="P66" s="60">
        <v>0.56000000000000005</v>
      </c>
      <c r="Q66" s="60">
        <v>36.32</v>
      </c>
      <c r="R66" s="198"/>
      <c r="S66" s="198"/>
      <c r="T66" s="198"/>
      <c r="U66" s="198"/>
    </row>
    <row r="67" spans="1:21" s="12" customFormat="1" x14ac:dyDescent="0.25">
      <c r="A67" s="201" t="s">
        <v>402</v>
      </c>
      <c r="B67" s="60">
        <v>3.94</v>
      </c>
      <c r="C67" s="60">
        <v>47.81</v>
      </c>
      <c r="D67" s="60">
        <v>31.29</v>
      </c>
      <c r="E67" s="60">
        <v>2.04</v>
      </c>
      <c r="F67" s="60">
        <v>15.67</v>
      </c>
      <c r="G67" s="60">
        <v>43.97</v>
      </c>
      <c r="H67" s="60">
        <v>17.329999999999998</v>
      </c>
      <c r="I67" s="60">
        <v>0.54</v>
      </c>
      <c r="J67" s="60">
        <v>0.24</v>
      </c>
      <c r="K67" s="60">
        <v>193.61</v>
      </c>
      <c r="L67" s="60">
        <v>32.04</v>
      </c>
      <c r="M67" s="60">
        <v>21.81</v>
      </c>
      <c r="N67" s="60">
        <v>466.6</v>
      </c>
      <c r="O67" s="60">
        <v>0</v>
      </c>
      <c r="P67" s="60">
        <v>0.54</v>
      </c>
      <c r="Q67" s="60">
        <v>35.36</v>
      </c>
      <c r="R67" s="198"/>
      <c r="S67" s="198"/>
      <c r="T67" s="198"/>
      <c r="U67" s="198"/>
    </row>
    <row r="68" spans="1:21" s="12" customFormat="1" x14ac:dyDescent="0.25">
      <c r="A68" s="201" t="s">
        <v>403</v>
      </c>
      <c r="B68" s="60">
        <v>3.8</v>
      </c>
      <c r="C68" s="60">
        <v>46.27</v>
      </c>
      <c r="D68" s="60">
        <v>30.32</v>
      </c>
      <c r="E68" s="60">
        <v>2.04</v>
      </c>
      <c r="F68" s="60">
        <v>14.62</v>
      </c>
      <c r="G68" s="60">
        <v>43.97</v>
      </c>
      <c r="H68" s="60">
        <v>17.38</v>
      </c>
      <c r="I68" s="60">
        <v>0.52</v>
      </c>
      <c r="J68" s="60">
        <v>0.24</v>
      </c>
      <c r="K68" s="60">
        <v>232.22</v>
      </c>
      <c r="L68" s="60">
        <v>32.31</v>
      </c>
      <c r="M68" s="60">
        <v>21.72</v>
      </c>
      <c r="N68" s="60">
        <v>516.1</v>
      </c>
      <c r="O68" s="60">
        <v>0</v>
      </c>
      <c r="P68" s="60">
        <v>0.54</v>
      </c>
      <c r="Q68" s="60">
        <v>35.28</v>
      </c>
      <c r="R68" s="198"/>
      <c r="S68" s="198"/>
      <c r="T68" s="198"/>
      <c r="U68" s="198"/>
    </row>
    <row r="69" spans="1:21" s="12" customFormat="1" x14ac:dyDescent="0.25">
      <c r="A69" s="201" t="s">
        <v>404</v>
      </c>
      <c r="B69" s="60">
        <v>4.03</v>
      </c>
      <c r="C69" s="60">
        <v>47.91</v>
      </c>
      <c r="D69" s="60">
        <v>31.41</v>
      </c>
      <c r="E69" s="60">
        <v>1.73</v>
      </c>
      <c r="F69" s="60">
        <v>8.43</v>
      </c>
      <c r="G69" s="60">
        <v>43.97</v>
      </c>
      <c r="H69" s="60">
        <v>17.38</v>
      </c>
      <c r="I69" s="60">
        <v>0.5</v>
      </c>
      <c r="J69" s="60">
        <v>0.38</v>
      </c>
      <c r="K69" s="60">
        <v>17.03</v>
      </c>
      <c r="L69" s="60">
        <v>32.94</v>
      </c>
      <c r="M69" s="60">
        <v>21.36</v>
      </c>
      <c r="N69" s="60">
        <v>325.2</v>
      </c>
      <c r="O69" s="60">
        <v>0</v>
      </c>
      <c r="P69" s="60">
        <v>0.53</v>
      </c>
      <c r="Q69" s="60">
        <v>35.21</v>
      </c>
      <c r="R69" s="198"/>
      <c r="S69" s="198"/>
      <c r="T69" s="198"/>
      <c r="U69" s="198"/>
    </row>
    <row r="70" spans="1:21" s="12" customFormat="1" x14ac:dyDescent="0.25">
      <c r="A70" s="201" t="s">
        <v>405</v>
      </c>
      <c r="B70" s="60">
        <v>4.2</v>
      </c>
      <c r="C70" s="60">
        <v>48.06</v>
      </c>
      <c r="D70" s="60">
        <v>31.63</v>
      </c>
      <c r="E70" s="60">
        <v>2.65</v>
      </c>
      <c r="F70" s="60">
        <v>19.71</v>
      </c>
      <c r="G70" s="60">
        <v>43.97</v>
      </c>
      <c r="H70" s="60">
        <v>17.38</v>
      </c>
      <c r="I70" s="60">
        <v>0.51</v>
      </c>
      <c r="J70" s="60">
        <v>0.15</v>
      </c>
      <c r="K70" s="60">
        <v>225.89</v>
      </c>
      <c r="L70" s="60">
        <v>32.479999999999997</v>
      </c>
      <c r="M70" s="60">
        <v>20.7</v>
      </c>
      <c r="N70" s="60">
        <v>397</v>
      </c>
      <c r="O70" s="60">
        <v>0</v>
      </c>
      <c r="P70" s="60">
        <v>0.52</v>
      </c>
      <c r="Q70" s="60">
        <v>36.619999999999997</v>
      </c>
      <c r="R70" s="198"/>
      <c r="S70" s="198"/>
      <c r="T70" s="198"/>
      <c r="U70" s="198"/>
    </row>
    <row r="71" spans="1:21" s="12" customFormat="1" x14ac:dyDescent="0.25">
      <c r="A71" s="201" t="s">
        <v>406</v>
      </c>
      <c r="B71" s="60">
        <v>4.04</v>
      </c>
      <c r="C71" s="60">
        <v>46.09</v>
      </c>
      <c r="D71" s="60">
        <v>30.41</v>
      </c>
      <c r="E71" s="60">
        <v>2.42</v>
      </c>
      <c r="F71" s="60">
        <v>9.02</v>
      </c>
      <c r="G71" s="60">
        <v>41.39</v>
      </c>
      <c r="H71" s="60">
        <v>14.65</v>
      </c>
      <c r="I71" s="60">
        <v>0.52</v>
      </c>
      <c r="J71" s="60">
        <v>0.15</v>
      </c>
      <c r="K71" s="60">
        <v>34.479999999999997</v>
      </c>
      <c r="L71" s="60">
        <v>32.36</v>
      </c>
      <c r="M71" s="60">
        <v>22.85</v>
      </c>
      <c r="N71" s="60">
        <v>201.9</v>
      </c>
      <c r="O71" s="60">
        <v>0</v>
      </c>
      <c r="P71" s="60">
        <v>0.53</v>
      </c>
      <c r="Q71" s="60">
        <v>37.76</v>
      </c>
      <c r="R71" s="198"/>
      <c r="S71" s="198"/>
      <c r="T71" s="198"/>
      <c r="U71" s="198"/>
    </row>
    <row r="72" spans="1:21" s="12" customFormat="1" x14ac:dyDescent="0.25">
      <c r="A72" s="201" t="s">
        <v>407</v>
      </c>
      <c r="B72" s="60">
        <v>3.88</v>
      </c>
      <c r="C72" s="60">
        <v>49.13</v>
      </c>
      <c r="D72" s="60">
        <v>31.97</v>
      </c>
      <c r="E72" s="60">
        <v>0.83</v>
      </c>
      <c r="F72" s="60">
        <v>9.0299999999999994</v>
      </c>
      <c r="G72" s="60">
        <v>41.33</v>
      </c>
      <c r="H72" s="60">
        <v>14.59</v>
      </c>
      <c r="I72" s="60">
        <v>0.52</v>
      </c>
      <c r="J72" s="60">
        <v>0.14000000000000001</v>
      </c>
      <c r="K72" s="60">
        <v>249.31</v>
      </c>
      <c r="L72" s="60">
        <v>31.73</v>
      </c>
      <c r="M72" s="60">
        <v>22.38</v>
      </c>
      <c r="N72" s="60">
        <v>212.2</v>
      </c>
      <c r="O72" s="60">
        <v>0</v>
      </c>
      <c r="P72" s="60">
        <v>0.55000000000000004</v>
      </c>
      <c r="Q72" s="60">
        <v>40.04</v>
      </c>
      <c r="R72" s="198"/>
      <c r="S72" s="198"/>
      <c r="T72" s="198"/>
      <c r="U72" s="198"/>
    </row>
    <row r="73" spans="1:21" s="12" customFormat="1" x14ac:dyDescent="0.25">
      <c r="A73" s="201" t="s">
        <v>408</v>
      </c>
      <c r="B73" s="60">
        <v>3.37</v>
      </c>
      <c r="C73" s="60">
        <v>49.43</v>
      </c>
      <c r="D73" s="60">
        <v>31.73</v>
      </c>
      <c r="E73" s="60">
        <v>1.34</v>
      </c>
      <c r="F73" s="60">
        <v>9.52</v>
      </c>
      <c r="G73" s="60">
        <v>41.33</v>
      </c>
      <c r="H73" s="60">
        <v>14.59</v>
      </c>
      <c r="I73" s="60">
        <v>0.52</v>
      </c>
      <c r="J73" s="60">
        <v>0.13</v>
      </c>
      <c r="K73" s="60">
        <v>212</v>
      </c>
      <c r="L73" s="60">
        <v>31.26</v>
      </c>
      <c r="M73" s="60">
        <v>22.73</v>
      </c>
      <c r="N73" s="60">
        <v>168.7</v>
      </c>
      <c r="O73" s="60">
        <v>0</v>
      </c>
      <c r="P73" s="60">
        <v>0.53</v>
      </c>
      <c r="Q73" s="60">
        <v>40.72</v>
      </c>
      <c r="R73" s="198"/>
      <c r="S73" s="198"/>
      <c r="T73" s="198"/>
      <c r="U73" s="198"/>
    </row>
    <row r="74" spans="1:21" s="12" customFormat="1" x14ac:dyDescent="0.25">
      <c r="A74" s="201" t="s">
        <v>409</v>
      </c>
      <c r="B74" s="60">
        <v>5.41</v>
      </c>
      <c r="C74" s="60">
        <v>50.97</v>
      </c>
      <c r="D74" s="60">
        <v>34.21</v>
      </c>
      <c r="E74" s="60">
        <v>1.36</v>
      </c>
      <c r="F74" s="60">
        <v>8.86</v>
      </c>
      <c r="G74" s="60">
        <v>41.33</v>
      </c>
      <c r="H74" s="60">
        <v>14.59</v>
      </c>
      <c r="I74" s="60">
        <v>0.53</v>
      </c>
      <c r="J74" s="60">
        <v>0.33</v>
      </c>
      <c r="K74" s="60">
        <v>0.94</v>
      </c>
      <c r="L74" s="60">
        <v>31.62</v>
      </c>
      <c r="M74" s="60">
        <v>21.84</v>
      </c>
      <c r="N74" s="60">
        <v>103.2</v>
      </c>
      <c r="O74" s="60">
        <v>0</v>
      </c>
      <c r="P74" s="60">
        <v>0.53</v>
      </c>
      <c r="Q74" s="60">
        <v>40.47</v>
      </c>
      <c r="R74" s="198"/>
      <c r="S74" s="198"/>
      <c r="T74" s="198"/>
      <c r="U74" s="198"/>
    </row>
    <row r="75" spans="1:21" s="12" customFormat="1" x14ac:dyDescent="0.25">
      <c r="A75" s="201" t="s">
        <v>410</v>
      </c>
      <c r="B75" s="60">
        <v>4.46</v>
      </c>
      <c r="C75" s="60">
        <v>50.49</v>
      </c>
      <c r="D75" s="60">
        <v>33.18</v>
      </c>
      <c r="E75" s="60">
        <v>1.1000000000000001</v>
      </c>
      <c r="F75" s="60">
        <v>7.81</v>
      </c>
      <c r="G75" s="60">
        <v>38.6</v>
      </c>
      <c r="H75" s="60">
        <v>13.53</v>
      </c>
      <c r="I75" s="60">
        <v>0.49</v>
      </c>
      <c r="J75" s="60">
        <v>0.36</v>
      </c>
      <c r="K75" s="60">
        <v>261.47000000000003</v>
      </c>
      <c r="L75" s="60">
        <v>30.99</v>
      </c>
      <c r="M75" s="60">
        <v>20.3</v>
      </c>
      <c r="N75" s="60">
        <v>91.9</v>
      </c>
      <c r="O75" s="60">
        <v>0</v>
      </c>
      <c r="P75" s="60">
        <v>0.51</v>
      </c>
      <c r="Q75" s="60">
        <v>40.06</v>
      </c>
      <c r="R75" s="198"/>
      <c r="S75" s="198"/>
      <c r="T75" s="198"/>
      <c r="U75" s="198"/>
    </row>
    <row r="76" spans="1:21" s="12" customFormat="1" x14ac:dyDescent="0.25">
      <c r="A76" s="201" t="s">
        <v>411</v>
      </c>
      <c r="B76" s="60">
        <v>3.63</v>
      </c>
      <c r="C76" s="60">
        <v>50.49</v>
      </c>
      <c r="D76" s="60">
        <v>32.51</v>
      </c>
      <c r="E76" s="60">
        <v>1.02</v>
      </c>
      <c r="F76" s="60">
        <v>7.58</v>
      </c>
      <c r="G76" s="60">
        <v>38.54</v>
      </c>
      <c r="H76" s="60">
        <v>13.11</v>
      </c>
      <c r="I76" s="60">
        <v>0.49</v>
      </c>
      <c r="J76" s="60">
        <v>0.23</v>
      </c>
      <c r="K76" s="60">
        <v>26.67</v>
      </c>
      <c r="L76" s="60">
        <v>31</v>
      </c>
      <c r="M76" s="60">
        <v>21.52</v>
      </c>
      <c r="N76" s="60">
        <v>75.099999999999994</v>
      </c>
      <c r="O76" s="60">
        <v>0</v>
      </c>
      <c r="P76" s="60">
        <v>0.52</v>
      </c>
      <c r="Q76" s="60">
        <v>39.83</v>
      </c>
      <c r="R76" s="198"/>
      <c r="S76" s="198"/>
      <c r="T76" s="198"/>
      <c r="U76" s="198"/>
    </row>
    <row r="77" spans="1:21" s="12" customFormat="1" x14ac:dyDescent="0.25">
      <c r="A77" s="201" t="s">
        <v>412</v>
      </c>
      <c r="B77" s="60">
        <v>3.86</v>
      </c>
      <c r="C77" s="60">
        <v>51.2</v>
      </c>
      <c r="D77" s="60">
        <v>33.090000000000003</v>
      </c>
      <c r="E77" s="60">
        <v>1.1299999999999999</v>
      </c>
      <c r="F77" s="60">
        <v>7.36</v>
      </c>
      <c r="G77" s="60">
        <v>38.54</v>
      </c>
      <c r="H77" s="60">
        <v>13.11</v>
      </c>
      <c r="I77" s="60">
        <v>0.49</v>
      </c>
      <c r="J77" s="60">
        <v>0.47</v>
      </c>
      <c r="K77" s="60">
        <v>4.38</v>
      </c>
      <c r="L77" s="60">
        <v>30.73</v>
      </c>
      <c r="M77" s="60">
        <v>19.12</v>
      </c>
      <c r="N77" s="60">
        <v>60.5</v>
      </c>
      <c r="O77" s="60">
        <v>0</v>
      </c>
      <c r="P77" s="60">
        <v>0.52</v>
      </c>
      <c r="Q77" s="60">
        <v>39.729999999999997</v>
      </c>
      <c r="R77" s="198"/>
      <c r="S77" s="198"/>
      <c r="T77" s="198"/>
      <c r="U77" s="198"/>
    </row>
    <row r="78" spans="1:21" s="12" customFormat="1" x14ac:dyDescent="0.25">
      <c r="A78" s="201" t="s">
        <v>413</v>
      </c>
      <c r="B78" s="60">
        <v>8.6</v>
      </c>
      <c r="C78" s="60">
        <v>49.35</v>
      </c>
      <c r="D78" s="60">
        <v>35.869999999999997</v>
      </c>
      <c r="E78" s="60">
        <v>1.58</v>
      </c>
      <c r="F78" s="60">
        <v>17.850000000000001</v>
      </c>
      <c r="G78" s="60">
        <v>38.54</v>
      </c>
      <c r="H78" s="60">
        <v>13.11</v>
      </c>
      <c r="I78" s="60">
        <v>0.49</v>
      </c>
      <c r="J78" s="60">
        <v>0.92</v>
      </c>
      <c r="K78" s="60">
        <v>15.99</v>
      </c>
      <c r="L78" s="60">
        <v>30.48</v>
      </c>
      <c r="M78" s="60">
        <v>22.49</v>
      </c>
      <c r="N78" s="60">
        <v>51.3</v>
      </c>
      <c r="O78" s="60">
        <v>0</v>
      </c>
      <c r="P78" s="60">
        <v>0.55000000000000004</v>
      </c>
      <c r="Q78" s="60">
        <v>37.590000000000003</v>
      </c>
      <c r="R78" s="198"/>
      <c r="S78" s="198"/>
      <c r="T78" s="198"/>
      <c r="U78" s="198"/>
    </row>
    <row r="79" spans="1:21" s="12" customFormat="1" x14ac:dyDescent="0.25">
      <c r="A79" s="201" t="s">
        <v>414</v>
      </c>
      <c r="B79" s="60">
        <v>8.77</v>
      </c>
      <c r="C79" s="60">
        <v>50.47</v>
      </c>
      <c r="D79" s="60">
        <v>36.619999999999997</v>
      </c>
      <c r="E79" s="60">
        <v>2.08</v>
      </c>
      <c r="F79" s="60">
        <v>17.170000000000002</v>
      </c>
      <c r="G79" s="60">
        <v>37.18</v>
      </c>
      <c r="H79" s="60">
        <v>12.22</v>
      </c>
      <c r="I79" s="60">
        <v>0.5</v>
      </c>
      <c r="J79" s="60">
        <v>0.81</v>
      </c>
      <c r="K79" s="60">
        <v>15.2</v>
      </c>
      <c r="L79" s="60">
        <v>29.95</v>
      </c>
      <c r="M79" s="60">
        <v>23.14</v>
      </c>
      <c r="N79" s="60">
        <v>33.4</v>
      </c>
      <c r="O79" s="60">
        <v>0</v>
      </c>
      <c r="P79" s="60">
        <v>0.57999999999999996</v>
      </c>
      <c r="Q79" s="60">
        <v>35.590000000000003</v>
      </c>
      <c r="R79" s="198"/>
      <c r="S79" s="198"/>
      <c r="T79" s="198"/>
      <c r="U79" s="198"/>
    </row>
    <row r="80" spans="1:21" s="12" customFormat="1" x14ac:dyDescent="0.25">
      <c r="A80" s="201" t="s">
        <v>415</v>
      </c>
      <c r="B80" s="60">
        <v>10.98</v>
      </c>
      <c r="C80" s="60">
        <v>47.37</v>
      </c>
      <c r="D80" s="60">
        <v>36.69</v>
      </c>
      <c r="E80" s="60">
        <v>2.29</v>
      </c>
      <c r="F80" s="60">
        <v>20.170000000000002</v>
      </c>
      <c r="G80" s="60">
        <v>37.15</v>
      </c>
      <c r="H80" s="60">
        <v>12.2</v>
      </c>
      <c r="I80" s="60">
        <v>0.48</v>
      </c>
      <c r="J80" s="60">
        <v>0.81</v>
      </c>
      <c r="K80" s="60">
        <v>25.31</v>
      </c>
      <c r="L80" s="60">
        <v>29.31</v>
      </c>
      <c r="M80" s="60">
        <v>24.3</v>
      </c>
      <c r="N80" s="60">
        <v>20.100000000000001</v>
      </c>
      <c r="O80" s="60">
        <v>0</v>
      </c>
      <c r="P80" s="60">
        <v>0.64</v>
      </c>
      <c r="Q80" s="60">
        <v>34.01</v>
      </c>
      <c r="R80" s="198"/>
      <c r="S80" s="198"/>
      <c r="T80" s="198"/>
      <c r="U80" s="198"/>
    </row>
    <row r="81" spans="1:26" s="12" customFormat="1" x14ac:dyDescent="0.25">
      <c r="A81" s="201" t="s">
        <v>416</v>
      </c>
      <c r="B81" s="60">
        <v>19.86</v>
      </c>
      <c r="C81" s="60">
        <v>55.4</v>
      </c>
      <c r="D81" s="60">
        <v>48.24</v>
      </c>
      <c r="E81" s="60">
        <v>2.2200000000000002</v>
      </c>
      <c r="F81" s="60">
        <v>22.66</v>
      </c>
      <c r="G81" s="60">
        <v>37.15</v>
      </c>
      <c r="H81" s="60">
        <v>12.2</v>
      </c>
      <c r="I81" s="60">
        <v>0.5</v>
      </c>
      <c r="J81" s="60">
        <v>0.67</v>
      </c>
      <c r="K81" s="60">
        <v>33.630000000000003</v>
      </c>
      <c r="L81" s="60">
        <v>28.6</v>
      </c>
      <c r="M81" s="60">
        <v>25.31</v>
      </c>
      <c r="N81" s="60">
        <v>9.5</v>
      </c>
      <c r="O81" s="60">
        <v>0</v>
      </c>
      <c r="P81" s="60">
        <v>0.82</v>
      </c>
      <c r="Q81" s="60">
        <v>32.409999999999997</v>
      </c>
      <c r="R81" s="198"/>
      <c r="S81" s="198"/>
      <c r="T81" s="198"/>
      <c r="U81" s="198"/>
    </row>
    <row r="82" spans="1:26" s="12" customFormat="1" x14ac:dyDescent="0.25">
      <c r="A82" s="201" t="s">
        <v>417</v>
      </c>
      <c r="B82" s="60">
        <v>19.989999999999998</v>
      </c>
      <c r="C82" s="60">
        <v>77.2</v>
      </c>
      <c r="D82" s="60">
        <v>60.38</v>
      </c>
      <c r="E82" s="60">
        <v>2.39</v>
      </c>
      <c r="F82" s="60">
        <v>12.73</v>
      </c>
      <c r="G82" s="60">
        <v>37.15</v>
      </c>
      <c r="H82" s="60">
        <v>12.2</v>
      </c>
      <c r="I82" s="60">
        <v>0.52</v>
      </c>
      <c r="J82" s="60">
        <v>0.09</v>
      </c>
      <c r="K82" s="60">
        <v>65.489999999999995</v>
      </c>
      <c r="L82" s="60">
        <v>27.95</v>
      </c>
      <c r="M82" s="60">
        <v>26.82</v>
      </c>
      <c r="N82" s="60">
        <v>5.9</v>
      </c>
      <c r="O82" s="60">
        <v>0</v>
      </c>
      <c r="P82" s="60">
        <v>1.1599999999999999</v>
      </c>
      <c r="Q82" s="60">
        <v>31.93</v>
      </c>
      <c r="R82" s="198"/>
      <c r="S82" s="198"/>
      <c r="T82" s="198"/>
      <c r="U82" s="198"/>
    </row>
    <row r="83" spans="1:26" s="12" customFormat="1" x14ac:dyDescent="0.25">
      <c r="A83" s="201" t="s">
        <v>418</v>
      </c>
      <c r="B83" s="60">
        <v>44.48</v>
      </c>
      <c r="C83" s="60">
        <v>82.37</v>
      </c>
      <c r="D83" s="60">
        <v>82.87</v>
      </c>
      <c r="E83" s="60">
        <v>3.07</v>
      </c>
      <c r="F83" s="60">
        <v>7.01</v>
      </c>
      <c r="G83" s="60">
        <v>38.909999999999997</v>
      </c>
      <c r="H83" s="60">
        <v>14.95</v>
      </c>
      <c r="I83" s="60">
        <v>0.54</v>
      </c>
      <c r="J83" s="60">
        <v>0.06</v>
      </c>
      <c r="K83" s="60">
        <v>44.29</v>
      </c>
      <c r="L83" s="60">
        <v>27.31</v>
      </c>
      <c r="M83" s="60">
        <v>31.65</v>
      </c>
      <c r="N83" s="60">
        <v>5.0999999999999996</v>
      </c>
      <c r="O83" s="60">
        <v>0</v>
      </c>
      <c r="P83" s="60">
        <v>1.69</v>
      </c>
      <c r="Q83" s="60">
        <v>31.36</v>
      </c>
      <c r="R83" s="198"/>
      <c r="S83" s="198"/>
      <c r="T83" s="198"/>
      <c r="U83" s="198"/>
    </row>
    <row r="84" spans="1:26" s="12" customFormat="1" x14ac:dyDescent="0.25">
      <c r="A84" s="201" t="s">
        <v>419</v>
      </c>
      <c r="B84" s="60">
        <v>20.239999999999998</v>
      </c>
      <c r="C84" s="60">
        <v>79.84</v>
      </c>
      <c r="D84" s="60">
        <v>62.03</v>
      </c>
      <c r="E84" s="60">
        <v>3.95</v>
      </c>
      <c r="F84" s="60">
        <v>5.77</v>
      </c>
      <c r="G84" s="60">
        <v>38.950000000000003</v>
      </c>
      <c r="H84" s="60">
        <v>15.01</v>
      </c>
      <c r="I84" s="60">
        <v>0.61</v>
      </c>
      <c r="J84" s="60">
        <v>0.17</v>
      </c>
      <c r="K84" s="60">
        <v>264.87</v>
      </c>
      <c r="L84" s="60">
        <v>27.06</v>
      </c>
      <c r="M84" s="60">
        <v>30.72</v>
      </c>
      <c r="N84" s="60">
        <v>4.7</v>
      </c>
      <c r="O84" s="60">
        <v>0</v>
      </c>
      <c r="P84" s="60">
        <v>1.24</v>
      </c>
      <c r="Q84" s="60">
        <v>32.28</v>
      </c>
      <c r="R84" s="198"/>
      <c r="S84" s="198"/>
      <c r="T84" s="198"/>
      <c r="U84" s="198"/>
    </row>
    <row r="85" spans="1:26" s="12" customFormat="1" x14ac:dyDescent="0.25">
      <c r="A85" s="201" t="s">
        <v>420</v>
      </c>
      <c r="B85" s="60">
        <v>13.33</v>
      </c>
      <c r="C85" s="60">
        <v>63.41</v>
      </c>
      <c r="D85" s="60">
        <v>47.42</v>
      </c>
      <c r="E85" s="60">
        <v>4.4400000000000004</v>
      </c>
      <c r="F85" s="60">
        <v>6.84</v>
      </c>
      <c r="G85" s="60">
        <v>38.950000000000003</v>
      </c>
      <c r="H85" s="60">
        <v>15.01</v>
      </c>
      <c r="I85" s="60">
        <v>0.7</v>
      </c>
      <c r="J85" s="60">
        <v>0.42</v>
      </c>
      <c r="K85" s="60">
        <v>251.41</v>
      </c>
      <c r="L85" s="60">
        <v>27.08</v>
      </c>
      <c r="M85" s="60">
        <v>30.77</v>
      </c>
      <c r="N85" s="60">
        <v>3.9</v>
      </c>
      <c r="O85" s="60">
        <v>0</v>
      </c>
      <c r="P85" s="60">
        <v>0.92</v>
      </c>
      <c r="Q85" s="60">
        <v>34.729999999999997</v>
      </c>
      <c r="R85" s="198"/>
      <c r="S85" s="198"/>
      <c r="T85" s="198"/>
      <c r="U85" s="198"/>
    </row>
    <row r="86" spans="1:26" s="12" customFormat="1" x14ac:dyDescent="0.25">
      <c r="A86" s="201" t="s">
        <v>421</v>
      </c>
      <c r="B86" s="60">
        <v>14.22</v>
      </c>
      <c r="C86" s="60">
        <v>52.71</v>
      </c>
      <c r="D86" s="60">
        <v>42.24</v>
      </c>
      <c r="E86" s="60">
        <v>1.62</v>
      </c>
      <c r="F86" s="60">
        <v>4.08</v>
      </c>
      <c r="G86" s="60">
        <v>38.950000000000003</v>
      </c>
      <c r="H86" s="60">
        <v>15.01</v>
      </c>
      <c r="I86" s="60">
        <v>0.65</v>
      </c>
      <c r="J86" s="60">
        <v>0.32</v>
      </c>
      <c r="K86" s="60">
        <v>223.18</v>
      </c>
      <c r="L86" s="60">
        <v>27.11</v>
      </c>
      <c r="M86" s="60">
        <v>29.53</v>
      </c>
      <c r="N86" s="60">
        <v>4.3</v>
      </c>
      <c r="O86" s="60">
        <v>0</v>
      </c>
      <c r="P86" s="60">
        <v>0.82</v>
      </c>
      <c r="Q86" s="60">
        <v>38.65</v>
      </c>
      <c r="R86" s="198"/>
      <c r="S86" s="198"/>
      <c r="T86" s="198"/>
      <c r="U86" s="198"/>
    </row>
    <row r="87" spans="1:26" s="12" customFormat="1" x14ac:dyDescent="0.25">
      <c r="A87" s="201" t="s">
        <v>422</v>
      </c>
      <c r="B87" s="60">
        <v>21.36</v>
      </c>
      <c r="C87" s="60">
        <v>60.74</v>
      </c>
      <c r="D87" s="60">
        <v>52.39</v>
      </c>
      <c r="E87" s="60">
        <v>1.41</v>
      </c>
      <c r="F87" s="60">
        <v>4.9000000000000004</v>
      </c>
      <c r="G87" s="60">
        <v>54.24</v>
      </c>
      <c r="H87" s="60">
        <v>16.989999999999998</v>
      </c>
      <c r="I87" s="60">
        <v>0.62</v>
      </c>
      <c r="J87" s="60">
        <v>0.13</v>
      </c>
      <c r="K87" s="60">
        <v>35.25</v>
      </c>
      <c r="L87" s="60">
        <v>26.29</v>
      </c>
      <c r="M87" s="60">
        <v>34.909999999999997</v>
      </c>
      <c r="N87" s="60">
        <v>5.4</v>
      </c>
      <c r="O87" s="60">
        <v>0</v>
      </c>
      <c r="P87" s="60">
        <v>1.1000000000000001</v>
      </c>
      <c r="Q87" s="60">
        <v>40.42</v>
      </c>
      <c r="R87" s="198"/>
      <c r="S87" s="198"/>
      <c r="T87" s="198"/>
      <c r="U87" s="198"/>
    </row>
    <row r="88" spans="1:26" s="12" customFormat="1" x14ac:dyDescent="0.25">
      <c r="A88" s="201" t="s">
        <v>423</v>
      </c>
      <c r="B88" s="60">
        <v>33.5</v>
      </c>
      <c r="C88" s="60">
        <v>63.75</v>
      </c>
      <c r="D88" s="60">
        <v>63.79</v>
      </c>
      <c r="E88" s="60">
        <v>0.9</v>
      </c>
      <c r="F88" s="60">
        <v>3.43</v>
      </c>
      <c r="G88" s="60">
        <v>54.59</v>
      </c>
      <c r="H88" s="60">
        <v>17.03</v>
      </c>
      <c r="I88" s="60">
        <v>0.64</v>
      </c>
      <c r="J88" s="60">
        <v>0.06</v>
      </c>
      <c r="K88" s="60">
        <v>262.44</v>
      </c>
      <c r="L88" s="60">
        <v>25.46</v>
      </c>
      <c r="M88" s="60">
        <v>37.14</v>
      </c>
      <c r="N88" s="60">
        <v>4.8</v>
      </c>
      <c r="O88" s="60">
        <v>0</v>
      </c>
      <c r="P88" s="60">
        <v>1.25</v>
      </c>
      <c r="Q88" s="60">
        <v>40.380000000000003</v>
      </c>
      <c r="R88" s="198"/>
      <c r="S88" s="198"/>
      <c r="T88" s="198"/>
      <c r="U88" s="198"/>
    </row>
    <row r="89" spans="1:26" s="12" customFormat="1" x14ac:dyDescent="0.25">
      <c r="A89" s="201" t="s">
        <v>424</v>
      </c>
      <c r="B89" s="60">
        <v>53.49</v>
      </c>
      <c r="C89" s="60">
        <v>65.53</v>
      </c>
      <c r="D89" s="60">
        <v>80.8</v>
      </c>
      <c r="E89" s="60">
        <v>1.44</v>
      </c>
      <c r="F89" s="60">
        <v>3.35</v>
      </c>
      <c r="G89" s="60">
        <v>54.59</v>
      </c>
      <c r="H89" s="60">
        <v>17.03</v>
      </c>
      <c r="I89" s="60">
        <v>0.65</v>
      </c>
      <c r="J89" s="60">
        <v>0.12</v>
      </c>
      <c r="K89" s="60">
        <v>345.03</v>
      </c>
      <c r="L89" s="60">
        <v>25.14</v>
      </c>
      <c r="M89" s="60">
        <v>39.67</v>
      </c>
      <c r="N89" s="60">
        <v>5</v>
      </c>
      <c r="O89" s="60">
        <v>0</v>
      </c>
      <c r="P89" s="60">
        <v>1.42</v>
      </c>
      <c r="Q89" s="60">
        <v>40.299999999999997</v>
      </c>
      <c r="R89" s="198"/>
      <c r="S89" s="198"/>
      <c r="T89" s="198"/>
      <c r="U89" s="198"/>
    </row>
    <row r="90" spans="1:26" s="12" customFormat="1" x14ac:dyDescent="0.25">
      <c r="A90" s="201" t="s">
        <v>425</v>
      </c>
      <c r="B90" s="60">
        <v>66.680000000000007</v>
      </c>
      <c r="C90" s="60">
        <v>71.78</v>
      </c>
      <c r="D90" s="60">
        <v>94.83</v>
      </c>
      <c r="E90" s="60">
        <v>1.89</v>
      </c>
      <c r="F90" s="60">
        <v>3.23</v>
      </c>
      <c r="G90" s="60">
        <v>54.59</v>
      </c>
      <c r="H90" s="60">
        <v>17.03</v>
      </c>
      <c r="I90" s="60">
        <v>0.66</v>
      </c>
      <c r="J90" s="60">
        <v>0.06</v>
      </c>
      <c r="K90" s="60">
        <v>57.93</v>
      </c>
      <c r="L90" s="60">
        <v>24.88</v>
      </c>
      <c r="M90" s="60">
        <v>39</v>
      </c>
      <c r="N90" s="60">
        <v>4.8</v>
      </c>
      <c r="O90" s="60">
        <v>0</v>
      </c>
      <c r="P90" s="60">
        <v>1.58</v>
      </c>
      <c r="Q90" s="60">
        <v>40.51</v>
      </c>
      <c r="R90" s="198"/>
      <c r="S90" s="198"/>
      <c r="T90" s="198"/>
      <c r="U90" s="198"/>
    </row>
    <row r="91" spans="1:26" s="12" customFormat="1" x14ac:dyDescent="0.25">
      <c r="A91" s="201" t="s">
        <v>426</v>
      </c>
      <c r="B91" s="60">
        <v>82.88</v>
      </c>
      <c r="C91" s="60">
        <v>68.81</v>
      </c>
      <c r="D91" s="60">
        <v>106.18</v>
      </c>
      <c r="E91" s="60">
        <v>1.74</v>
      </c>
      <c r="F91" s="60">
        <v>3.03</v>
      </c>
      <c r="G91" s="60">
        <v>80.03</v>
      </c>
      <c r="H91" s="60">
        <v>23.09</v>
      </c>
      <c r="I91" s="60">
        <v>0.69</v>
      </c>
      <c r="J91" s="60">
        <v>0.13</v>
      </c>
      <c r="K91" s="60">
        <v>14.11</v>
      </c>
      <c r="L91" s="60">
        <v>24.33</v>
      </c>
      <c r="M91" s="60">
        <v>44.66</v>
      </c>
      <c r="N91" s="60">
        <v>5</v>
      </c>
      <c r="O91" s="60">
        <v>0</v>
      </c>
      <c r="P91" s="60">
        <v>1.81</v>
      </c>
      <c r="Q91" s="60">
        <v>39.31</v>
      </c>
      <c r="R91" s="198"/>
      <c r="S91" s="198"/>
      <c r="T91" s="198"/>
      <c r="U91" s="198"/>
    </row>
    <row r="92" spans="1:26" s="12" customFormat="1" x14ac:dyDescent="0.25">
      <c r="A92" s="201" t="s">
        <v>427</v>
      </c>
      <c r="B92" s="60">
        <v>149.82</v>
      </c>
      <c r="C92" s="60">
        <v>84.88</v>
      </c>
      <c r="D92" s="60">
        <v>168.73</v>
      </c>
      <c r="E92" s="60">
        <v>2.12</v>
      </c>
      <c r="F92" s="60">
        <v>3.07</v>
      </c>
      <c r="G92" s="60">
        <v>80.61</v>
      </c>
      <c r="H92" s="60">
        <v>23.22</v>
      </c>
      <c r="I92" s="60">
        <v>0.73</v>
      </c>
      <c r="J92" s="60">
        <v>0.12</v>
      </c>
      <c r="K92" s="60">
        <v>357.53</v>
      </c>
      <c r="L92" s="60">
        <v>24.01</v>
      </c>
      <c r="M92" s="60">
        <v>46.87</v>
      </c>
      <c r="N92" s="60">
        <v>4.9000000000000004</v>
      </c>
      <c r="O92" s="60">
        <v>0</v>
      </c>
      <c r="P92" s="60">
        <v>2.85</v>
      </c>
      <c r="Q92" s="60">
        <v>36.71</v>
      </c>
      <c r="R92" s="198"/>
      <c r="S92" s="198"/>
      <c r="T92" s="198"/>
      <c r="U92" s="198"/>
    </row>
    <row r="93" spans="1:26" s="12" customFormat="1" x14ac:dyDescent="0.25">
      <c r="A93" s="201" t="s">
        <v>428</v>
      </c>
      <c r="B93" s="60">
        <v>170.88</v>
      </c>
      <c r="C93" s="60">
        <v>91.77</v>
      </c>
      <c r="D93" s="60">
        <v>189.42</v>
      </c>
      <c r="E93" s="60">
        <v>3.27</v>
      </c>
      <c r="F93" s="60">
        <v>3.4</v>
      </c>
      <c r="G93" s="60">
        <v>80.61</v>
      </c>
      <c r="H93" s="60">
        <v>23.22</v>
      </c>
      <c r="I93" s="60">
        <v>0.79</v>
      </c>
      <c r="J93" s="60">
        <v>0.06</v>
      </c>
      <c r="K93" s="60">
        <v>60.28</v>
      </c>
      <c r="L93" s="60">
        <v>23.74</v>
      </c>
      <c r="M93" s="60">
        <v>46.62</v>
      </c>
      <c r="N93" s="60">
        <v>4.9000000000000004</v>
      </c>
      <c r="O93" s="60">
        <v>0</v>
      </c>
      <c r="P93" s="60">
        <v>3.18</v>
      </c>
      <c r="Q93" s="60">
        <v>35.200000000000003</v>
      </c>
      <c r="R93" s="198"/>
      <c r="S93" s="198"/>
      <c r="T93" s="198"/>
      <c r="U93" s="198"/>
    </row>
    <row r="94" spans="1:26" s="12" customFormat="1" x14ac:dyDescent="0.25">
      <c r="A94" s="201" t="s">
        <v>429</v>
      </c>
      <c r="B94" s="60">
        <v>199.22</v>
      </c>
      <c r="C94" s="60">
        <v>93.47</v>
      </c>
      <c r="D94" s="60">
        <v>213.09</v>
      </c>
      <c r="E94" s="60">
        <v>3.59</v>
      </c>
      <c r="F94" s="60">
        <v>3.38</v>
      </c>
      <c r="G94" s="60">
        <v>80.61</v>
      </c>
      <c r="H94" s="60">
        <v>23.22</v>
      </c>
      <c r="I94" s="60">
        <v>1</v>
      </c>
      <c r="J94" s="60">
        <v>0.32</v>
      </c>
      <c r="K94" s="60">
        <v>88.18</v>
      </c>
      <c r="L94" s="60">
        <v>23.85</v>
      </c>
      <c r="M94" s="60">
        <v>47.65</v>
      </c>
      <c r="N94" s="60">
        <v>4</v>
      </c>
      <c r="O94" s="60">
        <v>0</v>
      </c>
      <c r="P94" s="60">
        <v>3.05</v>
      </c>
      <c r="Q94" s="60">
        <v>30.73</v>
      </c>
      <c r="R94" s="198"/>
      <c r="S94" s="198"/>
      <c r="T94" s="198"/>
      <c r="U94" s="198"/>
    </row>
    <row r="95" spans="1:26" s="12" customFormat="1" x14ac:dyDescent="0.25">
      <c r="A95" s="201" t="s">
        <v>430</v>
      </c>
      <c r="B95" s="60">
        <v>159.62</v>
      </c>
      <c r="C95" s="60">
        <v>90.45</v>
      </c>
      <c r="D95" s="60">
        <v>179.66</v>
      </c>
      <c r="E95" s="60">
        <v>3.78</v>
      </c>
      <c r="F95" s="60">
        <v>3.22</v>
      </c>
      <c r="G95" s="60">
        <v>164.65</v>
      </c>
      <c r="H95" s="60">
        <v>35.67</v>
      </c>
      <c r="I95" s="60">
        <v>1.27</v>
      </c>
      <c r="J95" s="60">
        <v>0.02</v>
      </c>
      <c r="K95" s="60">
        <v>331.54</v>
      </c>
      <c r="L95" s="60">
        <v>24.1</v>
      </c>
      <c r="M95" s="60">
        <v>45.94</v>
      </c>
      <c r="N95" s="60">
        <v>4.5999999999999996</v>
      </c>
      <c r="O95" s="60">
        <v>0</v>
      </c>
      <c r="P95" s="60">
        <v>2.7</v>
      </c>
      <c r="Q95" s="60">
        <v>35.479999999999997</v>
      </c>
      <c r="R95" s="198"/>
      <c r="S95" s="198"/>
      <c r="T95" s="198"/>
      <c r="U95" s="198"/>
    </row>
    <row r="96" spans="1:26" s="12" customFormat="1" x14ac:dyDescent="0.25">
      <c r="A96" s="201" t="s">
        <v>431</v>
      </c>
      <c r="B96" s="60">
        <v>105</v>
      </c>
      <c r="C96" s="60">
        <v>83.3</v>
      </c>
      <c r="D96" s="60">
        <v>131.91</v>
      </c>
      <c r="E96" s="60">
        <v>3.72</v>
      </c>
      <c r="F96" s="60">
        <v>3.37</v>
      </c>
      <c r="G96" s="60">
        <v>166.56</v>
      </c>
      <c r="H96" s="60">
        <v>35.950000000000003</v>
      </c>
      <c r="I96" s="60">
        <v>1.2</v>
      </c>
      <c r="J96" s="60">
        <v>0.13</v>
      </c>
      <c r="K96" s="60">
        <v>268.62</v>
      </c>
      <c r="L96" s="60">
        <v>24.13</v>
      </c>
      <c r="M96" s="60">
        <v>44.33</v>
      </c>
      <c r="N96" s="60">
        <v>4.5</v>
      </c>
      <c r="O96" s="60">
        <v>0</v>
      </c>
      <c r="P96" s="60">
        <v>2.4300000000000002</v>
      </c>
      <c r="Q96" s="60">
        <v>40.590000000000003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432</v>
      </c>
      <c r="B97" s="60">
        <v>122.65</v>
      </c>
      <c r="C97" s="60">
        <v>82.3</v>
      </c>
      <c r="D97" s="60">
        <v>145.52000000000001</v>
      </c>
      <c r="E97" s="60">
        <v>4.49</v>
      </c>
      <c r="F97" s="60">
        <v>3.25</v>
      </c>
      <c r="G97" s="60">
        <v>166.56</v>
      </c>
      <c r="H97" s="60">
        <v>35.950000000000003</v>
      </c>
      <c r="I97" s="60">
        <v>1</v>
      </c>
      <c r="J97" s="60">
        <v>0.05</v>
      </c>
      <c r="K97" s="60">
        <v>5.55</v>
      </c>
      <c r="L97" s="60">
        <v>23.95</v>
      </c>
      <c r="M97" s="60">
        <v>44.47</v>
      </c>
      <c r="N97" s="60">
        <v>4.8</v>
      </c>
      <c r="O97" s="60">
        <v>0</v>
      </c>
      <c r="P97" s="60">
        <v>2.57</v>
      </c>
      <c r="Q97" s="60">
        <v>40.79</v>
      </c>
      <c r="R97" s="198"/>
      <c r="S97" s="198"/>
      <c r="T97" s="198"/>
      <c r="U97" s="198"/>
    </row>
    <row r="98" spans="1:33" s="12" customFormat="1" x14ac:dyDescent="0.25">
      <c r="A98" s="201" t="s">
        <v>433</v>
      </c>
      <c r="B98" s="60">
        <v>105.94</v>
      </c>
      <c r="C98" s="60">
        <v>80.55</v>
      </c>
      <c r="D98" s="60">
        <v>131.15</v>
      </c>
      <c r="E98" s="60">
        <v>4.1900000000000004</v>
      </c>
      <c r="F98" s="60">
        <v>3.19</v>
      </c>
      <c r="G98" s="60">
        <v>166.56</v>
      </c>
      <c r="H98" s="60">
        <v>35.950000000000003</v>
      </c>
      <c r="I98" s="60">
        <v>1</v>
      </c>
      <c r="J98" s="60">
        <v>0.06</v>
      </c>
      <c r="K98" s="60">
        <v>249.34</v>
      </c>
      <c r="L98" s="60">
        <v>23.65</v>
      </c>
      <c r="M98" s="60">
        <v>45.53</v>
      </c>
      <c r="N98" s="60">
        <v>4.7</v>
      </c>
      <c r="O98" s="60">
        <v>0</v>
      </c>
      <c r="P98" s="60">
        <v>2.39</v>
      </c>
      <c r="Q98" s="60">
        <v>41.74</v>
      </c>
      <c r="R98" s="198"/>
      <c r="S98" s="198"/>
      <c r="T98" s="198"/>
      <c r="U98" s="198"/>
    </row>
    <row r="99" spans="1:33" s="12" customFormat="1" x14ac:dyDescent="0.25">
      <c r="A99" s="201" t="s">
        <v>434</v>
      </c>
      <c r="B99" s="60">
        <v>140.91999999999999</v>
      </c>
      <c r="C99" s="60">
        <v>71.86</v>
      </c>
      <c r="D99" s="60">
        <v>154.41</v>
      </c>
      <c r="E99" s="60">
        <v>4.5</v>
      </c>
      <c r="F99" s="60">
        <v>3.22</v>
      </c>
      <c r="G99" s="60">
        <v>119.69</v>
      </c>
      <c r="H99" s="60">
        <v>36.369999999999997</v>
      </c>
      <c r="I99" s="60">
        <v>1</v>
      </c>
      <c r="J99" s="60">
        <v>0.03</v>
      </c>
      <c r="K99" s="60">
        <v>71.67</v>
      </c>
      <c r="L99" s="60">
        <v>23.08</v>
      </c>
      <c r="M99" s="60">
        <v>49.29</v>
      </c>
      <c r="N99" s="60">
        <v>4.9000000000000004</v>
      </c>
      <c r="O99" s="60">
        <v>0</v>
      </c>
      <c r="P99" s="60">
        <v>2.42</v>
      </c>
      <c r="Q99" s="60">
        <v>40.67</v>
      </c>
      <c r="R99" s="198"/>
      <c r="S99" s="198"/>
      <c r="T99" s="198"/>
      <c r="U99" s="198"/>
    </row>
    <row r="100" spans="1:33" s="12" customFormat="1" x14ac:dyDescent="0.25">
      <c r="A100" s="201" t="s">
        <v>435</v>
      </c>
      <c r="B100" s="60">
        <v>130.65</v>
      </c>
      <c r="C100" s="60">
        <v>61.26</v>
      </c>
      <c r="D100" s="60">
        <v>140.32</v>
      </c>
      <c r="E100" s="60">
        <v>3.04</v>
      </c>
      <c r="F100" s="60">
        <v>3.05</v>
      </c>
      <c r="G100" s="60">
        <v>118.62</v>
      </c>
      <c r="H100" s="60">
        <v>36.380000000000003</v>
      </c>
      <c r="I100" s="60">
        <v>1</v>
      </c>
      <c r="J100" s="60">
        <v>0.13</v>
      </c>
      <c r="K100" s="60">
        <v>61.18</v>
      </c>
      <c r="L100" s="60">
        <v>22.76</v>
      </c>
      <c r="M100" s="60">
        <v>49.78</v>
      </c>
      <c r="N100" s="60">
        <v>4.5</v>
      </c>
      <c r="O100" s="60">
        <v>0</v>
      </c>
      <c r="P100" s="60">
        <v>2.38</v>
      </c>
      <c r="Q100" s="60">
        <v>44.32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436</v>
      </c>
      <c r="B101" s="60">
        <v>114.22</v>
      </c>
      <c r="C101" s="60">
        <v>66.81</v>
      </c>
      <c r="D101" s="60">
        <v>130.19999999999999</v>
      </c>
      <c r="E101" s="60">
        <v>4.0999999999999996</v>
      </c>
      <c r="F101" s="60">
        <v>3.25</v>
      </c>
      <c r="G101" s="60">
        <v>118.62</v>
      </c>
      <c r="H101" s="60">
        <v>36.380000000000003</v>
      </c>
      <c r="I101" s="60">
        <v>1.07</v>
      </c>
      <c r="J101" s="60">
        <v>0.11</v>
      </c>
      <c r="K101" s="60">
        <v>72.91</v>
      </c>
      <c r="L101" s="60">
        <v>23.59</v>
      </c>
      <c r="M101" s="60">
        <v>40.36</v>
      </c>
      <c r="N101" s="60">
        <v>4.3</v>
      </c>
      <c r="O101" s="60">
        <v>0</v>
      </c>
      <c r="P101" s="60">
        <v>2.35</v>
      </c>
      <c r="Q101" s="60">
        <v>48.74</v>
      </c>
      <c r="R101" s="198"/>
      <c r="S101" s="198"/>
      <c r="T101" s="198"/>
      <c r="U101" s="198"/>
    </row>
    <row r="102" spans="1:33" s="12" customFormat="1" x14ac:dyDescent="0.25">
      <c r="A102" s="201" t="s">
        <v>437</v>
      </c>
      <c r="B102" s="60">
        <v>112.47</v>
      </c>
      <c r="C102" s="60">
        <v>65.86</v>
      </c>
      <c r="D102" s="60">
        <v>128.28</v>
      </c>
      <c r="E102" s="60">
        <v>4.07</v>
      </c>
      <c r="F102" s="60">
        <v>3.28</v>
      </c>
      <c r="G102" s="60">
        <v>118.62</v>
      </c>
      <c r="H102" s="60">
        <v>36.380000000000003</v>
      </c>
      <c r="I102" s="60">
        <v>1.0900000000000001</v>
      </c>
      <c r="J102" s="60">
        <v>0.22</v>
      </c>
      <c r="K102" s="60">
        <v>86.07</v>
      </c>
      <c r="L102" s="60">
        <v>23.77</v>
      </c>
      <c r="M102" s="60">
        <v>38.9</v>
      </c>
      <c r="N102" s="60">
        <v>4</v>
      </c>
      <c r="O102" s="60">
        <v>0</v>
      </c>
      <c r="P102" s="60">
        <v>2.31</v>
      </c>
      <c r="Q102" s="60">
        <v>50.1</v>
      </c>
      <c r="R102" s="198"/>
      <c r="S102" s="198"/>
      <c r="T102" s="198"/>
      <c r="U102" s="198"/>
    </row>
    <row r="103" spans="1:33" s="12" customFormat="1" x14ac:dyDescent="0.25">
      <c r="A103" s="201" t="s">
        <v>438</v>
      </c>
      <c r="B103" s="60">
        <v>108.4</v>
      </c>
      <c r="C103" s="60">
        <v>69.12</v>
      </c>
      <c r="D103" s="60">
        <v>126.81</v>
      </c>
      <c r="E103" s="60">
        <v>4.46</v>
      </c>
      <c r="F103" s="60">
        <v>3.18</v>
      </c>
      <c r="G103" s="60">
        <v>125.38</v>
      </c>
      <c r="H103" s="60">
        <v>39.28</v>
      </c>
      <c r="I103" s="60">
        <v>0.99</v>
      </c>
      <c r="J103" s="60">
        <v>0.23</v>
      </c>
      <c r="K103" s="60">
        <v>84.49</v>
      </c>
      <c r="L103" s="60">
        <v>24.1</v>
      </c>
      <c r="M103" s="60">
        <v>36.979999999999997</v>
      </c>
      <c r="N103" s="60">
        <v>4.0999999999999996</v>
      </c>
      <c r="O103" s="60">
        <v>0</v>
      </c>
      <c r="P103" s="60">
        <v>2.25</v>
      </c>
      <c r="Q103" s="60">
        <v>49.67</v>
      </c>
      <c r="R103" s="198"/>
      <c r="S103" s="198"/>
      <c r="T103" s="198"/>
      <c r="U103" s="198"/>
    </row>
    <row r="104" spans="1:33" s="12" customFormat="1" x14ac:dyDescent="0.25">
      <c r="A104" s="201" t="s">
        <v>439</v>
      </c>
      <c r="B104" s="60">
        <v>100.36</v>
      </c>
      <c r="C104" s="60">
        <v>65.27</v>
      </c>
      <c r="D104" s="60">
        <v>118.24</v>
      </c>
      <c r="E104" s="60">
        <v>1.74</v>
      </c>
      <c r="F104" s="60">
        <v>3.79</v>
      </c>
      <c r="G104" s="60">
        <v>125.54</v>
      </c>
      <c r="H104" s="60">
        <v>39.28</v>
      </c>
      <c r="I104" s="60">
        <v>1.01</v>
      </c>
      <c r="J104" s="60">
        <v>0.37</v>
      </c>
      <c r="K104" s="60">
        <v>87.31</v>
      </c>
      <c r="L104" s="60">
        <v>24.2</v>
      </c>
      <c r="M104" s="60">
        <v>35.81</v>
      </c>
      <c r="N104" s="60">
        <v>4</v>
      </c>
      <c r="O104" s="60">
        <v>0</v>
      </c>
      <c r="P104" s="60">
        <v>2.2000000000000002</v>
      </c>
      <c r="Q104" s="60">
        <v>49.84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3.37</v>
      </c>
      <c r="C106" s="67">
        <f>MIN(C9:C104)</f>
        <v>41.5</v>
      </c>
      <c r="D106" s="67">
        <f t="shared" ref="D106:Q106" si="0">MIN(D9:D104)</f>
        <v>30.09</v>
      </c>
      <c r="E106" s="67">
        <f t="shared" si="0"/>
        <v>0.77</v>
      </c>
      <c r="F106" s="67">
        <f t="shared" si="0"/>
        <v>2.82</v>
      </c>
      <c r="G106" s="67">
        <f t="shared" si="0"/>
        <v>37.15</v>
      </c>
      <c r="H106" s="67">
        <f t="shared" si="0"/>
        <v>12.2</v>
      </c>
      <c r="I106" s="67">
        <f t="shared" si="0"/>
        <v>0.48</v>
      </c>
      <c r="J106" s="67">
        <f t="shared" si="0"/>
        <v>0.02</v>
      </c>
      <c r="K106" s="67">
        <f t="shared" si="0"/>
        <v>0.71</v>
      </c>
      <c r="L106" s="67">
        <f t="shared" si="0"/>
        <v>18.52</v>
      </c>
      <c r="M106" s="67">
        <f t="shared" si="0"/>
        <v>18.96</v>
      </c>
      <c r="N106" s="67">
        <f t="shared" si="0"/>
        <v>3.5</v>
      </c>
      <c r="O106" s="67">
        <f t="shared" si="0"/>
        <v>0</v>
      </c>
      <c r="P106" s="67">
        <f t="shared" si="0"/>
        <v>0.51</v>
      </c>
      <c r="Q106" s="67">
        <f t="shared" si="0"/>
        <v>30.73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199.22</v>
      </c>
      <c r="C107" s="66">
        <f t="shared" ref="C107:Q107" si="1">MAX(C9:C104)</f>
        <v>93.47</v>
      </c>
      <c r="D107" s="66">
        <f t="shared" si="1"/>
        <v>213.09</v>
      </c>
      <c r="E107" s="66">
        <f t="shared" si="1"/>
        <v>4.5</v>
      </c>
      <c r="F107" s="66">
        <f t="shared" si="1"/>
        <v>22.66</v>
      </c>
      <c r="G107" s="66">
        <f t="shared" si="1"/>
        <v>166.56</v>
      </c>
      <c r="H107" s="66">
        <f t="shared" si="1"/>
        <v>39.28</v>
      </c>
      <c r="I107" s="66">
        <f t="shared" si="1"/>
        <v>1.27</v>
      </c>
      <c r="J107" s="66">
        <f t="shared" si="1"/>
        <v>0.94</v>
      </c>
      <c r="K107" s="66">
        <f t="shared" si="1"/>
        <v>358.27</v>
      </c>
      <c r="L107" s="66">
        <f t="shared" si="1"/>
        <v>35.26</v>
      </c>
      <c r="M107" s="66">
        <f t="shared" si="1"/>
        <v>81.819999999999993</v>
      </c>
      <c r="N107" s="66">
        <f t="shared" si="1"/>
        <v>945.2</v>
      </c>
      <c r="O107" s="66">
        <f t="shared" si="1"/>
        <v>0</v>
      </c>
      <c r="P107" s="66">
        <f t="shared" si="1"/>
        <v>3.18</v>
      </c>
      <c r="Q107" s="66">
        <f t="shared" si="1"/>
        <v>50.1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39.946666666666665</v>
      </c>
      <c r="C108" s="67">
        <f t="shared" ref="C108:Q108" si="2">AVERAGE(C9:C104)</f>
        <v>55.630104166666676</v>
      </c>
      <c r="D108" s="67">
        <f t="shared" si="2"/>
        <v>64.47552083333332</v>
      </c>
      <c r="E108" s="67">
        <f t="shared" si="2"/>
        <v>2.0428125000000001</v>
      </c>
      <c r="F108" s="67">
        <f t="shared" si="2"/>
        <v>6.1924999999999999</v>
      </c>
      <c r="G108" s="67">
        <f t="shared" si="2"/>
        <v>65.929687499999957</v>
      </c>
      <c r="H108" s="67">
        <f t="shared" si="2"/>
        <v>22.288541666666678</v>
      </c>
      <c r="I108" s="67">
        <f t="shared" si="2"/>
        <v>0.64479166666666676</v>
      </c>
      <c r="J108" s="67">
        <f t="shared" si="2"/>
        <v>0.2965624999999999</v>
      </c>
      <c r="K108" s="67">
        <f t="shared" si="2"/>
        <v>150.29750000000004</v>
      </c>
      <c r="L108" s="67">
        <f t="shared" si="2"/>
        <v>26.347187499999993</v>
      </c>
      <c r="M108" s="67">
        <f t="shared" si="2"/>
        <v>44.362187499999983</v>
      </c>
      <c r="N108" s="67">
        <f t="shared" si="2"/>
        <v>253.60833333333335</v>
      </c>
      <c r="O108" s="67">
        <f t="shared" si="2"/>
        <v>0</v>
      </c>
      <c r="P108" s="67">
        <f t="shared" si="2"/>
        <v>1.0999999999999999</v>
      </c>
      <c r="Q108" s="67">
        <f t="shared" si="2"/>
        <v>41.514375000000022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42.429934261126412</v>
      </c>
      <c r="C109" s="67">
        <f t="shared" ref="C109:Q109" si="3">STDEV(C9:C104)</f>
        <v>12.183023174616554</v>
      </c>
      <c r="D109" s="67">
        <f t="shared" si="3"/>
        <v>39.038020303283325</v>
      </c>
      <c r="E109" s="67">
        <f t="shared" si="3"/>
        <v>0.88126906474338751</v>
      </c>
      <c r="F109" s="67">
        <f t="shared" si="3"/>
        <v>4.4136644281379747</v>
      </c>
      <c r="G109" s="67">
        <f t="shared" si="3"/>
        <v>29.671525760465229</v>
      </c>
      <c r="H109" s="67">
        <f t="shared" si="3"/>
        <v>7.2995534079928213</v>
      </c>
      <c r="I109" s="67">
        <f t="shared" si="3"/>
        <v>0.16499428485583156</v>
      </c>
      <c r="J109" s="67">
        <f t="shared" si="3"/>
        <v>0.23482503284920819</v>
      </c>
      <c r="K109" s="67">
        <f t="shared" si="3"/>
        <v>129.14443693624182</v>
      </c>
      <c r="L109" s="67">
        <f t="shared" si="3"/>
        <v>5.2619257437648503</v>
      </c>
      <c r="M109" s="67">
        <f t="shared" si="3"/>
        <v>21.209569200971274</v>
      </c>
      <c r="N109" s="67">
        <f t="shared" si="3"/>
        <v>338.59896000917996</v>
      </c>
      <c r="O109" s="67">
        <f t="shared" si="3"/>
        <v>0</v>
      </c>
      <c r="P109" s="67">
        <f t="shared" si="3"/>
        <v>0.63969894234874725</v>
      </c>
      <c r="Q109" s="67">
        <f t="shared" si="3"/>
        <v>4.7271252669537596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6" sqref="H1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440</v>
      </c>
      <c r="B9" s="60">
        <v>91.65</v>
      </c>
      <c r="C9" s="60">
        <v>64.31</v>
      </c>
      <c r="D9" s="60">
        <v>110.73</v>
      </c>
      <c r="E9" s="60">
        <v>2.5499999999999998</v>
      </c>
      <c r="F9" s="60">
        <v>3.72</v>
      </c>
      <c r="G9" s="60">
        <v>125.54</v>
      </c>
      <c r="H9" s="60">
        <v>39.28</v>
      </c>
      <c r="I9" s="60">
        <v>1</v>
      </c>
      <c r="J9" s="60">
        <v>0.32</v>
      </c>
      <c r="K9" s="60">
        <v>83.27</v>
      </c>
      <c r="L9" s="60">
        <v>23.89</v>
      </c>
      <c r="M9" s="60">
        <v>36.17</v>
      </c>
      <c r="N9" s="60">
        <v>4.5</v>
      </c>
      <c r="O9" s="60">
        <v>0</v>
      </c>
      <c r="P9" s="60">
        <v>2.14</v>
      </c>
      <c r="Q9" s="60">
        <v>49.1</v>
      </c>
      <c r="R9" s="198"/>
      <c r="S9" s="198"/>
      <c r="T9" s="198"/>
      <c r="U9" s="198"/>
    </row>
    <row r="10" spans="1:21" s="12" customFormat="1" x14ac:dyDescent="0.25">
      <c r="A10" s="201" t="s">
        <v>441</v>
      </c>
      <c r="B10" s="60">
        <v>73.95</v>
      </c>
      <c r="C10" s="60">
        <v>66.95</v>
      </c>
      <c r="D10" s="60">
        <v>97.99</v>
      </c>
      <c r="E10" s="60">
        <v>3.28</v>
      </c>
      <c r="F10" s="60">
        <v>3.57</v>
      </c>
      <c r="G10" s="60">
        <v>125.54</v>
      </c>
      <c r="H10" s="60">
        <v>39.28</v>
      </c>
      <c r="I10" s="60">
        <v>0.92</v>
      </c>
      <c r="J10" s="60">
        <v>0.26</v>
      </c>
      <c r="K10" s="60">
        <v>80.69</v>
      </c>
      <c r="L10" s="60">
        <v>23.6</v>
      </c>
      <c r="M10" s="60">
        <v>37.799999999999997</v>
      </c>
      <c r="N10" s="60">
        <v>4.7</v>
      </c>
      <c r="O10" s="60">
        <v>0</v>
      </c>
      <c r="P10" s="60">
        <v>2.02</v>
      </c>
      <c r="Q10" s="60">
        <v>48.08</v>
      </c>
      <c r="R10" s="198"/>
      <c r="S10" s="198"/>
      <c r="T10" s="198"/>
      <c r="U10" s="198"/>
    </row>
    <row r="11" spans="1:21" s="12" customFormat="1" x14ac:dyDescent="0.25">
      <c r="A11" s="201" t="s">
        <v>442</v>
      </c>
      <c r="B11" s="60">
        <v>58.9</v>
      </c>
      <c r="C11" s="60">
        <v>63.95</v>
      </c>
      <c r="D11" s="60">
        <v>84.27</v>
      </c>
      <c r="E11" s="60">
        <v>10.45</v>
      </c>
      <c r="F11" s="60">
        <v>5.08</v>
      </c>
      <c r="G11" s="60">
        <v>119.12</v>
      </c>
      <c r="H11" s="60">
        <v>42.05</v>
      </c>
      <c r="I11" s="60">
        <v>0.91</v>
      </c>
      <c r="J11" s="60">
        <v>0.28000000000000003</v>
      </c>
      <c r="K11" s="60">
        <v>88.29</v>
      </c>
      <c r="L11" s="60">
        <v>23.48</v>
      </c>
      <c r="M11" s="60">
        <v>38.520000000000003</v>
      </c>
      <c r="N11" s="60">
        <v>4.5</v>
      </c>
      <c r="O11" s="60">
        <v>0</v>
      </c>
      <c r="P11" s="60">
        <v>1.88</v>
      </c>
      <c r="Q11" s="60">
        <v>47.65</v>
      </c>
      <c r="R11" s="198"/>
      <c r="S11" s="198"/>
      <c r="T11" s="198"/>
      <c r="U11" s="198"/>
    </row>
    <row r="12" spans="1:21" s="12" customFormat="1" x14ac:dyDescent="0.25">
      <c r="A12" s="201" t="s">
        <v>443</v>
      </c>
      <c r="B12" s="60">
        <v>64.489999999999995</v>
      </c>
      <c r="C12" s="60">
        <v>66.319999999999993</v>
      </c>
      <c r="D12" s="60">
        <v>90.06</v>
      </c>
      <c r="E12" s="60">
        <v>12.17</v>
      </c>
      <c r="F12" s="60">
        <v>4.6100000000000003</v>
      </c>
      <c r="G12" s="60">
        <v>118.97</v>
      </c>
      <c r="H12" s="60">
        <v>42.11</v>
      </c>
      <c r="I12" s="60">
        <v>0.83</v>
      </c>
      <c r="J12" s="60">
        <v>0.14000000000000001</v>
      </c>
      <c r="K12" s="60">
        <v>71.819999999999993</v>
      </c>
      <c r="L12" s="60">
        <v>23.2</v>
      </c>
      <c r="M12" s="60">
        <v>39.99</v>
      </c>
      <c r="N12" s="60">
        <v>4.7</v>
      </c>
      <c r="O12" s="60">
        <v>0</v>
      </c>
      <c r="P12" s="60">
        <v>2.02</v>
      </c>
      <c r="Q12" s="60">
        <v>43.54</v>
      </c>
      <c r="R12" s="198"/>
      <c r="S12" s="198"/>
      <c r="T12" s="198"/>
      <c r="U12" s="198"/>
    </row>
    <row r="13" spans="1:21" s="12" customFormat="1" x14ac:dyDescent="0.25">
      <c r="A13" s="201" t="s">
        <v>444</v>
      </c>
      <c r="B13" s="60">
        <v>61.63</v>
      </c>
      <c r="C13" s="60">
        <v>64.13</v>
      </c>
      <c r="D13" s="60">
        <v>86.56</v>
      </c>
      <c r="E13" s="60">
        <v>15.74</v>
      </c>
      <c r="F13" s="60">
        <v>4.24</v>
      </c>
      <c r="G13" s="60">
        <v>118.97</v>
      </c>
      <c r="H13" s="60">
        <v>42.11</v>
      </c>
      <c r="I13" s="60">
        <v>0.75</v>
      </c>
      <c r="J13" s="60">
        <v>0.11</v>
      </c>
      <c r="K13" s="60">
        <v>62.78</v>
      </c>
      <c r="L13" s="60">
        <v>22.89</v>
      </c>
      <c r="M13" s="60">
        <v>41.78</v>
      </c>
      <c r="N13" s="60">
        <v>4.9000000000000004</v>
      </c>
      <c r="O13" s="60">
        <v>0</v>
      </c>
      <c r="P13" s="60">
        <v>1.88</v>
      </c>
      <c r="Q13" s="60">
        <v>42.12</v>
      </c>
      <c r="R13" s="198"/>
      <c r="S13" s="198"/>
      <c r="T13" s="198"/>
      <c r="U13" s="198"/>
    </row>
    <row r="14" spans="1:21" s="12" customFormat="1" x14ac:dyDescent="0.25">
      <c r="A14" s="201" t="s">
        <v>445</v>
      </c>
      <c r="B14" s="60">
        <v>57.14</v>
      </c>
      <c r="C14" s="60">
        <v>61.41</v>
      </c>
      <c r="D14" s="60">
        <v>81.45</v>
      </c>
      <c r="E14" s="60">
        <v>11.81</v>
      </c>
      <c r="F14" s="60">
        <v>4.29</v>
      </c>
      <c r="G14" s="60">
        <v>118.97</v>
      </c>
      <c r="H14" s="60">
        <v>42.11</v>
      </c>
      <c r="I14" s="60">
        <v>0.76</v>
      </c>
      <c r="J14" s="60">
        <v>0.12</v>
      </c>
      <c r="K14" s="60">
        <v>110.73</v>
      </c>
      <c r="L14" s="60">
        <v>22.34</v>
      </c>
      <c r="M14" s="60">
        <v>44.52</v>
      </c>
      <c r="N14" s="60">
        <v>4.8</v>
      </c>
      <c r="O14" s="60">
        <v>0</v>
      </c>
      <c r="P14" s="60">
        <v>1.92</v>
      </c>
      <c r="Q14" s="60">
        <v>41.66</v>
      </c>
      <c r="R14" s="198"/>
      <c r="S14" s="198"/>
      <c r="T14" s="198"/>
      <c r="U14" s="198"/>
    </row>
    <row r="15" spans="1:21" s="12" customFormat="1" x14ac:dyDescent="0.25">
      <c r="A15" s="201" t="s">
        <v>446</v>
      </c>
      <c r="B15" s="60">
        <v>60.28</v>
      </c>
      <c r="C15" s="60">
        <v>58.71</v>
      </c>
      <c r="D15" s="60">
        <v>82.48</v>
      </c>
      <c r="E15" s="60">
        <v>8.91</v>
      </c>
      <c r="F15" s="60">
        <v>4.04</v>
      </c>
      <c r="G15" s="60">
        <v>148.66</v>
      </c>
      <c r="H15" s="60">
        <v>50.95</v>
      </c>
      <c r="I15" s="60">
        <v>0.77</v>
      </c>
      <c r="J15" s="60">
        <v>0.14000000000000001</v>
      </c>
      <c r="K15" s="60">
        <v>271.24</v>
      </c>
      <c r="L15" s="60">
        <v>21.94</v>
      </c>
      <c r="M15" s="60">
        <v>46.44</v>
      </c>
      <c r="N15" s="60">
        <v>4.9000000000000004</v>
      </c>
      <c r="O15" s="60">
        <v>0</v>
      </c>
      <c r="P15" s="60">
        <v>1.93</v>
      </c>
      <c r="Q15" s="60">
        <v>41.7</v>
      </c>
      <c r="R15" s="198"/>
      <c r="S15" s="198"/>
      <c r="T15" s="198"/>
      <c r="U15" s="198"/>
    </row>
    <row r="16" spans="1:21" s="12" customFormat="1" x14ac:dyDescent="0.25">
      <c r="A16" s="201" t="s">
        <v>447</v>
      </c>
      <c r="B16" s="60">
        <v>60.1</v>
      </c>
      <c r="C16" s="60">
        <v>57.84</v>
      </c>
      <c r="D16" s="60">
        <v>81.849999999999994</v>
      </c>
      <c r="E16" s="60">
        <v>8.15</v>
      </c>
      <c r="F16" s="60">
        <v>3.7</v>
      </c>
      <c r="G16" s="60">
        <v>149.34</v>
      </c>
      <c r="H16" s="60">
        <v>51.15</v>
      </c>
      <c r="I16" s="60">
        <v>0.75</v>
      </c>
      <c r="J16" s="60">
        <v>0.09</v>
      </c>
      <c r="K16" s="60">
        <v>290.44</v>
      </c>
      <c r="L16" s="60">
        <v>21.49</v>
      </c>
      <c r="M16" s="60">
        <v>48.33</v>
      </c>
      <c r="N16" s="60">
        <v>5</v>
      </c>
      <c r="O16" s="60">
        <v>0</v>
      </c>
      <c r="P16" s="60">
        <v>1.89</v>
      </c>
      <c r="Q16" s="60">
        <v>41.71</v>
      </c>
      <c r="R16" s="198"/>
      <c r="S16" s="198"/>
      <c r="T16" s="198"/>
      <c r="U16" s="198"/>
    </row>
    <row r="17" spans="1:21" s="12" customFormat="1" x14ac:dyDescent="0.25">
      <c r="A17" s="201" t="s">
        <v>448</v>
      </c>
      <c r="B17" s="60">
        <v>61.9</v>
      </c>
      <c r="C17" s="60">
        <v>54.59</v>
      </c>
      <c r="D17" s="60">
        <v>81.5</v>
      </c>
      <c r="E17" s="60">
        <v>5.64</v>
      </c>
      <c r="F17" s="60">
        <v>3.51</v>
      </c>
      <c r="G17" s="60">
        <v>149.34</v>
      </c>
      <c r="H17" s="60">
        <v>51.15</v>
      </c>
      <c r="I17" s="60">
        <v>0.75</v>
      </c>
      <c r="J17" s="60">
        <v>0.31</v>
      </c>
      <c r="K17" s="60">
        <v>242.68</v>
      </c>
      <c r="L17" s="60">
        <v>21.64</v>
      </c>
      <c r="M17" s="60">
        <v>48.27</v>
      </c>
      <c r="N17" s="60">
        <v>3.8</v>
      </c>
      <c r="O17" s="60">
        <v>0</v>
      </c>
      <c r="P17" s="60">
        <v>1.91</v>
      </c>
      <c r="Q17" s="60">
        <v>41.86</v>
      </c>
      <c r="R17" s="198"/>
      <c r="S17" s="198"/>
      <c r="T17" s="198"/>
      <c r="U17" s="198"/>
    </row>
    <row r="18" spans="1:21" s="12" customFormat="1" x14ac:dyDescent="0.25">
      <c r="A18" s="201" t="s">
        <v>449</v>
      </c>
      <c r="B18" s="60">
        <v>67.45</v>
      </c>
      <c r="C18" s="60">
        <v>50.62</v>
      </c>
      <c r="D18" s="60">
        <v>83.76</v>
      </c>
      <c r="E18" s="60">
        <v>3.51</v>
      </c>
      <c r="F18" s="60">
        <v>3.19</v>
      </c>
      <c r="G18" s="60">
        <v>149.34</v>
      </c>
      <c r="H18" s="60">
        <v>51.15</v>
      </c>
      <c r="I18" s="60">
        <v>0.78</v>
      </c>
      <c r="J18" s="60">
        <v>0.75</v>
      </c>
      <c r="K18" s="60">
        <v>220.64</v>
      </c>
      <c r="L18" s="60">
        <v>21.71</v>
      </c>
      <c r="M18" s="60">
        <v>53.64</v>
      </c>
      <c r="N18" s="60">
        <v>3.9</v>
      </c>
      <c r="O18" s="60">
        <v>0</v>
      </c>
      <c r="P18" s="60">
        <v>1.93</v>
      </c>
      <c r="Q18" s="60">
        <v>42.55</v>
      </c>
      <c r="R18" s="198"/>
      <c r="S18" s="198"/>
      <c r="T18" s="198"/>
      <c r="U18" s="198"/>
    </row>
    <row r="19" spans="1:21" s="12" customFormat="1" x14ac:dyDescent="0.25">
      <c r="A19" s="201" t="s">
        <v>450</v>
      </c>
      <c r="B19" s="60">
        <v>65.540000000000006</v>
      </c>
      <c r="C19" s="60">
        <v>50.7</v>
      </c>
      <c r="D19" s="60">
        <v>82.28</v>
      </c>
      <c r="E19" s="60">
        <v>3.21</v>
      </c>
      <c r="F19" s="60">
        <v>2.97</v>
      </c>
      <c r="G19" s="60">
        <v>147.4</v>
      </c>
      <c r="H19" s="60">
        <v>52.35</v>
      </c>
      <c r="I19" s="60">
        <v>0.85</v>
      </c>
      <c r="J19" s="60">
        <v>0.05</v>
      </c>
      <c r="K19" s="60">
        <v>281.11</v>
      </c>
      <c r="L19" s="60">
        <v>20.73</v>
      </c>
      <c r="M19" s="60">
        <v>58.82</v>
      </c>
      <c r="N19" s="60">
        <v>5.5</v>
      </c>
      <c r="O19" s="60">
        <v>0</v>
      </c>
      <c r="P19" s="60">
        <v>1.83</v>
      </c>
      <c r="Q19" s="60">
        <v>45</v>
      </c>
      <c r="R19" s="198"/>
      <c r="S19" s="198"/>
      <c r="T19" s="198"/>
      <c r="U19" s="198"/>
    </row>
    <row r="20" spans="1:21" s="12" customFormat="1" x14ac:dyDescent="0.25">
      <c r="A20" s="201" t="s">
        <v>451</v>
      </c>
      <c r="B20" s="60">
        <v>60.2</v>
      </c>
      <c r="C20" s="60">
        <v>51</v>
      </c>
      <c r="D20" s="60">
        <v>78.16</v>
      </c>
      <c r="E20" s="60">
        <v>2.38</v>
      </c>
      <c r="F20" s="60">
        <v>2.89</v>
      </c>
      <c r="G20" s="60">
        <v>147.36000000000001</v>
      </c>
      <c r="H20" s="60">
        <v>52.35</v>
      </c>
      <c r="I20" s="60">
        <v>0.94</v>
      </c>
      <c r="J20" s="60">
        <v>0.12</v>
      </c>
      <c r="K20" s="60">
        <v>1.04</v>
      </c>
      <c r="L20" s="60">
        <v>19.95</v>
      </c>
      <c r="M20" s="60">
        <v>62.63</v>
      </c>
      <c r="N20" s="60">
        <v>5.0999999999999996</v>
      </c>
      <c r="O20" s="60">
        <v>0</v>
      </c>
      <c r="P20" s="60">
        <v>1.73</v>
      </c>
      <c r="Q20" s="60">
        <v>46.46</v>
      </c>
      <c r="R20" s="198"/>
      <c r="S20" s="198"/>
      <c r="T20" s="198"/>
      <c r="U20" s="198"/>
    </row>
    <row r="21" spans="1:21" s="12" customFormat="1" x14ac:dyDescent="0.25">
      <c r="A21" s="201" t="s">
        <v>452</v>
      </c>
      <c r="B21" s="60">
        <v>55.27</v>
      </c>
      <c r="C21" s="60">
        <v>51.07</v>
      </c>
      <c r="D21" s="60">
        <v>74.25</v>
      </c>
      <c r="E21" s="60">
        <v>2.15</v>
      </c>
      <c r="F21" s="60">
        <v>3.08</v>
      </c>
      <c r="G21" s="60">
        <v>147.36000000000001</v>
      </c>
      <c r="H21" s="60">
        <v>52.35</v>
      </c>
      <c r="I21" s="60">
        <v>0.9</v>
      </c>
      <c r="J21" s="60">
        <v>0.19</v>
      </c>
      <c r="K21" s="60">
        <v>15.8</v>
      </c>
      <c r="L21" s="60">
        <v>19.36</v>
      </c>
      <c r="M21" s="60">
        <v>66.849999999999994</v>
      </c>
      <c r="N21" s="60">
        <v>5.0999999999999996</v>
      </c>
      <c r="O21" s="60">
        <v>0</v>
      </c>
      <c r="P21" s="60">
        <v>1.63</v>
      </c>
      <c r="Q21" s="60">
        <v>46.9</v>
      </c>
      <c r="R21" s="198"/>
      <c r="S21" s="198"/>
      <c r="T21" s="198"/>
      <c r="U21" s="198"/>
    </row>
    <row r="22" spans="1:21" s="12" customFormat="1" x14ac:dyDescent="0.25">
      <c r="A22" s="201" t="s">
        <v>453</v>
      </c>
      <c r="B22" s="60">
        <v>51.06</v>
      </c>
      <c r="C22" s="60">
        <v>51.23</v>
      </c>
      <c r="D22" s="60">
        <v>70.959999999999994</v>
      </c>
      <c r="E22" s="60">
        <v>1.67</v>
      </c>
      <c r="F22" s="60">
        <v>3.05</v>
      </c>
      <c r="G22" s="60">
        <v>147.36000000000001</v>
      </c>
      <c r="H22" s="60">
        <v>52.35</v>
      </c>
      <c r="I22" s="60">
        <v>0.85</v>
      </c>
      <c r="J22" s="60">
        <v>0.11</v>
      </c>
      <c r="K22" s="60">
        <v>359.48</v>
      </c>
      <c r="L22" s="60">
        <v>19.149999999999999</v>
      </c>
      <c r="M22" s="60">
        <v>66.319999999999993</v>
      </c>
      <c r="N22" s="60">
        <v>4.9000000000000004</v>
      </c>
      <c r="O22" s="60">
        <v>0</v>
      </c>
      <c r="P22" s="60">
        <v>1.56</v>
      </c>
      <c r="Q22" s="60">
        <v>46.74</v>
      </c>
      <c r="R22" s="198"/>
      <c r="S22" s="198"/>
      <c r="T22" s="198"/>
      <c r="U22" s="198"/>
    </row>
    <row r="23" spans="1:21" s="12" customFormat="1" x14ac:dyDescent="0.25">
      <c r="A23" s="201" t="s">
        <v>454</v>
      </c>
      <c r="B23" s="60">
        <v>47.92</v>
      </c>
      <c r="C23" s="60">
        <v>51.16</v>
      </c>
      <c r="D23" s="60">
        <v>68.400000000000006</v>
      </c>
      <c r="E23" s="60">
        <v>1.69</v>
      </c>
      <c r="F23" s="60">
        <v>2.86</v>
      </c>
      <c r="G23" s="60">
        <v>79.61</v>
      </c>
      <c r="H23" s="60">
        <v>42.92</v>
      </c>
      <c r="I23" s="60">
        <v>0.82</v>
      </c>
      <c r="J23" s="60">
        <v>0.11</v>
      </c>
      <c r="K23" s="60">
        <v>30.95</v>
      </c>
      <c r="L23" s="60">
        <v>19.239999999999998</v>
      </c>
      <c r="M23" s="60">
        <v>64.37</v>
      </c>
      <c r="N23" s="60">
        <v>4.7</v>
      </c>
      <c r="O23" s="60">
        <v>0</v>
      </c>
      <c r="P23" s="60">
        <v>1.49</v>
      </c>
      <c r="Q23" s="60">
        <v>46.52</v>
      </c>
      <c r="R23" s="198"/>
      <c r="S23" s="198"/>
      <c r="T23" s="198"/>
      <c r="U23" s="198"/>
    </row>
    <row r="24" spans="1:21" s="12" customFormat="1" x14ac:dyDescent="0.25">
      <c r="A24" s="201" t="s">
        <v>455</v>
      </c>
      <c r="B24" s="60">
        <v>46.12</v>
      </c>
      <c r="C24" s="60">
        <v>51.35</v>
      </c>
      <c r="D24" s="60">
        <v>67.06</v>
      </c>
      <c r="E24" s="60">
        <v>1.26</v>
      </c>
      <c r="F24" s="60">
        <v>2.92</v>
      </c>
      <c r="G24" s="60">
        <v>78.069999999999993</v>
      </c>
      <c r="H24" s="60">
        <v>42.68</v>
      </c>
      <c r="I24" s="60">
        <v>0.76</v>
      </c>
      <c r="J24" s="60">
        <v>7.0000000000000007E-2</v>
      </c>
      <c r="K24" s="60">
        <v>330.31</v>
      </c>
      <c r="L24" s="60">
        <v>19.45</v>
      </c>
      <c r="M24" s="60">
        <v>63.52</v>
      </c>
      <c r="N24" s="60">
        <v>4.7</v>
      </c>
      <c r="O24" s="60">
        <v>0</v>
      </c>
      <c r="P24" s="60">
        <v>1.42</v>
      </c>
      <c r="Q24" s="60">
        <v>45.9</v>
      </c>
      <c r="R24" s="198"/>
      <c r="S24" s="198"/>
      <c r="T24" s="198"/>
      <c r="U24" s="198"/>
    </row>
    <row r="25" spans="1:21" s="12" customFormat="1" x14ac:dyDescent="0.25">
      <c r="A25" s="201" t="s">
        <v>456</v>
      </c>
      <c r="B25" s="60">
        <v>36.340000000000003</v>
      </c>
      <c r="C25" s="60">
        <v>48.15</v>
      </c>
      <c r="D25" s="60">
        <v>57.46</v>
      </c>
      <c r="E25" s="60">
        <v>1.98</v>
      </c>
      <c r="F25" s="60">
        <v>3.32</v>
      </c>
      <c r="G25" s="60">
        <v>78.069999999999993</v>
      </c>
      <c r="H25" s="60">
        <v>42.68</v>
      </c>
      <c r="I25" s="60">
        <v>0.69</v>
      </c>
      <c r="J25" s="60">
        <v>0.09</v>
      </c>
      <c r="K25" s="60">
        <v>287.10000000000002</v>
      </c>
      <c r="L25" s="60">
        <v>19.829999999999998</v>
      </c>
      <c r="M25" s="60">
        <v>62.66</v>
      </c>
      <c r="N25" s="60">
        <v>4.4000000000000004</v>
      </c>
      <c r="O25" s="60">
        <v>0</v>
      </c>
      <c r="P25" s="60">
        <v>1.26</v>
      </c>
      <c r="Q25" s="60">
        <v>45.68</v>
      </c>
      <c r="R25" s="198"/>
      <c r="S25" s="198"/>
      <c r="T25" s="198"/>
      <c r="U25" s="198"/>
    </row>
    <row r="26" spans="1:21" s="12" customFormat="1" x14ac:dyDescent="0.25">
      <c r="A26" s="201" t="s">
        <v>457</v>
      </c>
      <c r="B26" s="60">
        <v>46.72</v>
      </c>
      <c r="C26" s="60">
        <v>51.88</v>
      </c>
      <c r="D26" s="60">
        <v>67.84</v>
      </c>
      <c r="E26" s="60">
        <v>2.0099999999999998</v>
      </c>
      <c r="F26" s="60">
        <v>3.2</v>
      </c>
      <c r="G26" s="60">
        <v>78.069999999999993</v>
      </c>
      <c r="H26" s="60">
        <v>42.68</v>
      </c>
      <c r="I26" s="60">
        <v>0.67</v>
      </c>
      <c r="J26" s="60">
        <v>0.3</v>
      </c>
      <c r="K26" s="60">
        <v>263.11</v>
      </c>
      <c r="L26" s="60">
        <v>20.05</v>
      </c>
      <c r="M26" s="60">
        <v>63.54</v>
      </c>
      <c r="N26" s="60">
        <v>4</v>
      </c>
      <c r="O26" s="60">
        <v>0</v>
      </c>
      <c r="P26" s="60">
        <v>1.31</v>
      </c>
      <c r="Q26" s="60">
        <v>39.630000000000003</v>
      </c>
      <c r="R26" s="198"/>
      <c r="S26" s="198"/>
      <c r="T26" s="198"/>
      <c r="U26" s="198"/>
    </row>
    <row r="27" spans="1:21" s="12" customFormat="1" x14ac:dyDescent="0.25">
      <c r="A27" s="201" t="s">
        <v>458</v>
      </c>
      <c r="B27" s="60">
        <v>45.78</v>
      </c>
      <c r="C27" s="60">
        <v>47.35</v>
      </c>
      <c r="D27" s="60">
        <v>64.59</v>
      </c>
      <c r="E27" s="60">
        <v>1.75</v>
      </c>
      <c r="F27" s="60">
        <v>3.23</v>
      </c>
      <c r="G27" s="60">
        <v>101.95</v>
      </c>
      <c r="H27" s="60">
        <v>40.57</v>
      </c>
      <c r="I27" s="60">
        <v>0.65</v>
      </c>
      <c r="J27" s="60">
        <v>0.34</v>
      </c>
      <c r="K27" s="60">
        <v>251.91</v>
      </c>
      <c r="L27" s="60">
        <v>20.48</v>
      </c>
      <c r="M27" s="60">
        <v>60.19</v>
      </c>
      <c r="N27" s="60">
        <v>3.6</v>
      </c>
      <c r="O27" s="60">
        <v>0</v>
      </c>
      <c r="P27" s="60">
        <v>1.29</v>
      </c>
      <c r="Q27" s="60">
        <v>38.79</v>
      </c>
      <c r="R27" s="198"/>
      <c r="S27" s="198"/>
      <c r="T27" s="198"/>
      <c r="U27" s="198"/>
    </row>
    <row r="28" spans="1:21" s="12" customFormat="1" x14ac:dyDescent="0.25">
      <c r="A28" s="201" t="s">
        <v>459</v>
      </c>
      <c r="B28" s="60">
        <v>40.83</v>
      </c>
      <c r="C28" s="60">
        <v>46.3</v>
      </c>
      <c r="D28" s="60">
        <v>60.04</v>
      </c>
      <c r="E28" s="60">
        <v>1.5</v>
      </c>
      <c r="F28" s="60">
        <v>3.27</v>
      </c>
      <c r="G28" s="60">
        <v>102.49</v>
      </c>
      <c r="H28" s="60">
        <v>40.57</v>
      </c>
      <c r="I28" s="60">
        <v>0.65</v>
      </c>
      <c r="J28" s="60">
        <v>7.0000000000000007E-2</v>
      </c>
      <c r="K28" s="60">
        <v>132.41</v>
      </c>
      <c r="L28" s="60">
        <v>20.6</v>
      </c>
      <c r="M28" s="60">
        <v>58.3</v>
      </c>
      <c r="N28" s="60">
        <v>4.9000000000000004</v>
      </c>
      <c r="O28" s="60">
        <v>0</v>
      </c>
      <c r="P28" s="60">
        <v>1.26</v>
      </c>
      <c r="Q28" s="60">
        <v>38.79</v>
      </c>
      <c r="R28" s="198"/>
      <c r="S28" s="198"/>
      <c r="T28" s="198"/>
      <c r="U28" s="198"/>
    </row>
    <row r="29" spans="1:21" s="12" customFormat="1" x14ac:dyDescent="0.25">
      <c r="A29" s="201" t="s">
        <v>460</v>
      </c>
      <c r="B29" s="60">
        <v>40.869999999999997</v>
      </c>
      <c r="C29" s="60">
        <v>46.88</v>
      </c>
      <c r="D29" s="60">
        <v>60.39</v>
      </c>
      <c r="E29" s="60">
        <v>2.02</v>
      </c>
      <c r="F29" s="60">
        <v>3.27</v>
      </c>
      <c r="G29" s="60">
        <v>102.49</v>
      </c>
      <c r="H29" s="60">
        <v>40.57</v>
      </c>
      <c r="I29" s="60">
        <v>0.65</v>
      </c>
      <c r="J29" s="60">
        <v>7.0000000000000007E-2</v>
      </c>
      <c r="K29" s="60">
        <v>306.02999999999997</v>
      </c>
      <c r="L29" s="60">
        <v>20.02</v>
      </c>
      <c r="M29" s="60">
        <v>61.18</v>
      </c>
      <c r="N29" s="60">
        <v>5</v>
      </c>
      <c r="O29" s="60">
        <v>0</v>
      </c>
      <c r="P29" s="60">
        <v>1.23</v>
      </c>
      <c r="Q29" s="60">
        <v>38.92</v>
      </c>
      <c r="R29" s="198"/>
      <c r="S29" s="198"/>
      <c r="T29" s="198"/>
      <c r="U29" s="198"/>
    </row>
    <row r="30" spans="1:21" s="12" customFormat="1" x14ac:dyDescent="0.25">
      <c r="A30" s="201" t="s">
        <v>461</v>
      </c>
      <c r="B30" s="60">
        <v>41.24</v>
      </c>
      <c r="C30" s="60">
        <v>46.94</v>
      </c>
      <c r="D30" s="60">
        <v>60.72</v>
      </c>
      <c r="E30" s="60">
        <v>1.75</v>
      </c>
      <c r="F30" s="60">
        <v>2.95</v>
      </c>
      <c r="G30" s="60">
        <v>102.49</v>
      </c>
      <c r="H30" s="60">
        <v>40.57</v>
      </c>
      <c r="I30" s="60">
        <v>0.65</v>
      </c>
      <c r="J30" s="60">
        <v>0.17</v>
      </c>
      <c r="K30" s="60">
        <v>89.24</v>
      </c>
      <c r="L30" s="60">
        <v>19.98</v>
      </c>
      <c r="M30" s="60">
        <v>61.67</v>
      </c>
      <c r="N30" s="60">
        <v>4.5999999999999996</v>
      </c>
      <c r="O30" s="60">
        <v>0</v>
      </c>
      <c r="P30" s="60">
        <v>1.23</v>
      </c>
      <c r="Q30" s="60">
        <v>38.93</v>
      </c>
      <c r="R30" s="198"/>
      <c r="S30" s="198"/>
      <c r="T30" s="198"/>
      <c r="U30" s="198"/>
    </row>
    <row r="31" spans="1:21" s="12" customFormat="1" x14ac:dyDescent="0.25">
      <c r="A31" s="201" t="s">
        <v>462</v>
      </c>
      <c r="B31" s="60">
        <v>44.49</v>
      </c>
      <c r="C31" s="60">
        <v>47.16</v>
      </c>
      <c r="D31" s="60">
        <v>63.45</v>
      </c>
      <c r="E31" s="60">
        <v>1.97</v>
      </c>
      <c r="F31" s="60">
        <v>2.98</v>
      </c>
      <c r="G31" s="60">
        <v>76.260000000000005</v>
      </c>
      <c r="H31" s="60">
        <v>37.020000000000003</v>
      </c>
      <c r="I31" s="60">
        <v>0.65</v>
      </c>
      <c r="J31" s="60">
        <v>0.25</v>
      </c>
      <c r="K31" s="60">
        <v>7.7</v>
      </c>
      <c r="L31" s="60">
        <v>19.72</v>
      </c>
      <c r="M31" s="60">
        <v>63.97</v>
      </c>
      <c r="N31" s="60">
        <v>5.5</v>
      </c>
      <c r="O31" s="60">
        <v>0</v>
      </c>
      <c r="P31" s="60">
        <v>1.23</v>
      </c>
      <c r="Q31" s="60">
        <v>38.590000000000003</v>
      </c>
      <c r="R31" s="198"/>
      <c r="S31" s="198"/>
      <c r="T31" s="198"/>
      <c r="U31" s="198"/>
    </row>
    <row r="32" spans="1:21" s="12" customFormat="1" x14ac:dyDescent="0.25">
      <c r="A32" s="201" t="s">
        <v>463</v>
      </c>
      <c r="B32" s="60">
        <v>45.77</v>
      </c>
      <c r="C32" s="60">
        <v>45.64</v>
      </c>
      <c r="D32" s="60">
        <v>63.63</v>
      </c>
      <c r="E32" s="60">
        <v>1.92</v>
      </c>
      <c r="F32" s="60">
        <v>3.12</v>
      </c>
      <c r="G32" s="60">
        <v>75.66</v>
      </c>
      <c r="H32" s="60">
        <v>36.93</v>
      </c>
      <c r="I32" s="60">
        <v>0.65</v>
      </c>
      <c r="J32" s="60">
        <v>0.39</v>
      </c>
      <c r="K32" s="60">
        <v>3.8</v>
      </c>
      <c r="L32" s="60">
        <v>19.41</v>
      </c>
      <c r="M32" s="60">
        <v>64.209999999999994</v>
      </c>
      <c r="N32" s="60">
        <v>11.2</v>
      </c>
      <c r="O32" s="60">
        <v>0</v>
      </c>
      <c r="P32" s="60">
        <v>1.25</v>
      </c>
      <c r="Q32" s="60">
        <v>39.72</v>
      </c>
      <c r="R32" s="198"/>
      <c r="S32" s="198"/>
      <c r="T32" s="198"/>
      <c r="U32" s="198"/>
    </row>
    <row r="33" spans="1:21" s="12" customFormat="1" x14ac:dyDescent="0.25">
      <c r="A33" s="201" t="s">
        <v>464</v>
      </c>
      <c r="B33" s="60">
        <v>44.86</v>
      </c>
      <c r="C33" s="60">
        <v>43.42</v>
      </c>
      <c r="D33" s="60">
        <v>61.68</v>
      </c>
      <c r="E33" s="60">
        <v>2.2400000000000002</v>
      </c>
      <c r="F33" s="60">
        <v>2.89</v>
      </c>
      <c r="G33" s="60">
        <v>75.66</v>
      </c>
      <c r="H33" s="60">
        <v>36.93</v>
      </c>
      <c r="I33" s="60">
        <v>0.66</v>
      </c>
      <c r="J33" s="60">
        <v>0.62</v>
      </c>
      <c r="K33" s="60">
        <v>7.94</v>
      </c>
      <c r="L33" s="60">
        <v>19.55</v>
      </c>
      <c r="M33" s="60">
        <v>60.95</v>
      </c>
      <c r="N33" s="60">
        <v>28.4</v>
      </c>
      <c r="O33" s="60">
        <v>0</v>
      </c>
      <c r="P33" s="60">
        <v>1.25</v>
      </c>
      <c r="Q33" s="60">
        <v>42.53</v>
      </c>
      <c r="R33" s="198"/>
      <c r="S33" s="198"/>
      <c r="T33" s="198"/>
      <c r="U33" s="198"/>
    </row>
    <row r="34" spans="1:21" s="12" customFormat="1" x14ac:dyDescent="0.25">
      <c r="A34" s="201" t="s">
        <v>465</v>
      </c>
      <c r="B34" s="60">
        <v>45.88</v>
      </c>
      <c r="C34" s="60">
        <v>46.68</v>
      </c>
      <c r="D34" s="60">
        <v>64.3</v>
      </c>
      <c r="E34" s="60">
        <v>1.96</v>
      </c>
      <c r="F34" s="60">
        <v>3.03</v>
      </c>
      <c r="G34" s="60">
        <v>75.66</v>
      </c>
      <c r="H34" s="60">
        <v>36.93</v>
      </c>
      <c r="I34" s="60">
        <v>0.68</v>
      </c>
      <c r="J34" s="60">
        <v>0.34</v>
      </c>
      <c r="K34" s="60">
        <v>9.1199999999999992</v>
      </c>
      <c r="L34" s="60">
        <v>20.11</v>
      </c>
      <c r="M34" s="60">
        <v>58.89</v>
      </c>
      <c r="N34" s="60">
        <v>47.3</v>
      </c>
      <c r="O34" s="60">
        <v>0</v>
      </c>
      <c r="P34" s="60">
        <v>1.28</v>
      </c>
      <c r="Q34" s="60">
        <v>43.34</v>
      </c>
      <c r="R34" s="198"/>
      <c r="S34" s="198"/>
      <c r="T34" s="198"/>
      <c r="U34" s="198"/>
    </row>
    <row r="35" spans="1:21" s="12" customFormat="1" x14ac:dyDescent="0.25">
      <c r="A35" s="201" t="s">
        <v>466</v>
      </c>
      <c r="B35" s="60">
        <v>49.36</v>
      </c>
      <c r="C35" s="60">
        <v>49.41</v>
      </c>
      <c r="D35" s="60">
        <v>68.59</v>
      </c>
      <c r="E35" s="60">
        <v>1.7</v>
      </c>
      <c r="F35" s="60">
        <v>3.03</v>
      </c>
      <c r="G35" s="60">
        <v>137.04</v>
      </c>
      <c r="H35" s="60">
        <v>44.89</v>
      </c>
      <c r="I35" s="60">
        <v>0.68</v>
      </c>
      <c r="J35" s="60">
        <v>0.33</v>
      </c>
      <c r="K35" s="60">
        <v>18.16</v>
      </c>
      <c r="L35" s="60">
        <v>20.81</v>
      </c>
      <c r="M35" s="60">
        <v>57.61</v>
      </c>
      <c r="N35" s="60">
        <v>81.8</v>
      </c>
      <c r="O35" s="60">
        <v>0</v>
      </c>
      <c r="P35" s="60">
        <v>1.35</v>
      </c>
      <c r="Q35" s="60">
        <v>43.64</v>
      </c>
      <c r="R35" s="198"/>
      <c r="S35" s="198"/>
      <c r="T35" s="198"/>
      <c r="U35" s="198"/>
    </row>
    <row r="36" spans="1:21" s="12" customFormat="1" x14ac:dyDescent="0.25">
      <c r="A36" s="201" t="s">
        <v>467</v>
      </c>
      <c r="B36" s="60">
        <v>53.86</v>
      </c>
      <c r="C36" s="60">
        <v>51.71</v>
      </c>
      <c r="D36" s="60">
        <v>73.48</v>
      </c>
      <c r="E36" s="60">
        <v>1.98</v>
      </c>
      <c r="F36" s="60">
        <v>3.05</v>
      </c>
      <c r="G36" s="60">
        <v>138.44</v>
      </c>
      <c r="H36" s="60">
        <v>45.07</v>
      </c>
      <c r="I36" s="60">
        <v>0.68</v>
      </c>
      <c r="J36" s="60">
        <v>0.26</v>
      </c>
      <c r="K36" s="60">
        <v>52.37</v>
      </c>
      <c r="L36" s="60">
        <v>22.2</v>
      </c>
      <c r="M36" s="60">
        <v>53</v>
      </c>
      <c r="N36" s="60">
        <v>144</v>
      </c>
      <c r="O36" s="60">
        <v>0</v>
      </c>
      <c r="P36" s="60">
        <v>1.42</v>
      </c>
      <c r="Q36" s="60">
        <v>43.99</v>
      </c>
      <c r="R36" s="198"/>
      <c r="S36" s="198"/>
      <c r="T36" s="198"/>
      <c r="U36" s="198"/>
    </row>
    <row r="37" spans="1:21" s="12" customFormat="1" x14ac:dyDescent="0.25">
      <c r="A37" s="201" t="s">
        <v>468</v>
      </c>
      <c r="B37" s="60">
        <v>55.97</v>
      </c>
      <c r="C37" s="60">
        <v>53.51</v>
      </c>
      <c r="D37" s="60">
        <v>76.16</v>
      </c>
      <c r="E37" s="60">
        <v>2.38</v>
      </c>
      <c r="F37" s="60">
        <v>3.01</v>
      </c>
      <c r="G37" s="60">
        <v>138.44</v>
      </c>
      <c r="H37" s="60">
        <v>45.07</v>
      </c>
      <c r="I37" s="60">
        <v>0.68</v>
      </c>
      <c r="J37" s="60">
        <v>0.27</v>
      </c>
      <c r="K37" s="60">
        <v>63.88</v>
      </c>
      <c r="L37" s="60">
        <v>23.55</v>
      </c>
      <c r="M37" s="60">
        <v>49.34</v>
      </c>
      <c r="N37" s="60">
        <v>194.1</v>
      </c>
      <c r="O37" s="60">
        <v>0</v>
      </c>
      <c r="P37" s="60">
        <v>1.47</v>
      </c>
      <c r="Q37" s="60">
        <v>44.3</v>
      </c>
      <c r="R37" s="198"/>
      <c r="S37" s="198"/>
      <c r="T37" s="198"/>
      <c r="U37" s="198"/>
    </row>
    <row r="38" spans="1:21" s="12" customFormat="1" x14ac:dyDescent="0.25">
      <c r="A38" s="201" t="s">
        <v>469</v>
      </c>
      <c r="B38" s="60">
        <v>56.98</v>
      </c>
      <c r="C38" s="60">
        <v>55.95</v>
      </c>
      <c r="D38" s="60">
        <v>78.31</v>
      </c>
      <c r="E38" s="60">
        <v>2.15</v>
      </c>
      <c r="F38" s="60">
        <v>3.03</v>
      </c>
      <c r="G38" s="60">
        <v>138.44</v>
      </c>
      <c r="H38" s="60">
        <v>45.07</v>
      </c>
      <c r="I38" s="60">
        <v>0.63</v>
      </c>
      <c r="J38" s="60">
        <v>0.28999999999999998</v>
      </c>
      <c r="K38" s="60">
        <v>34.130000000000003</v>
      </c>
      <c r="L38" s="60">
        <v>24.95</v>
      </c>
      <c r="M38" s="60">
        <v>45.86</v>
      </c>
      <c r="N38" s="60">
        <v>254.9</v>
      </c>
      <c r="O38" s="60">
        <v>0</v>
      </c>
      <c r="P38" s="60">
        <v>1.57</v>
      </c>
      <c r="Q38" s="60">
        <v>44.63</v>
      </c>
      <c r="R38" s="198"/>
      <c r="S38" s="198"/>
      <c r="T38" s="198"/>
      <c r="U38" s="198"/>
    </row>
    <row r="39" spans="1:21" s="12" customFormat="1" x14ac:dyDescent="0.25">
      <c r="A39" s="201" t="s">
        <v>470</v>
      </c>
      <c r="B39" s="60">
        <v>55.31</v>
      </c>
      <c r="C39" s="60">
        <v>59.15</v>
      </c>
      <c r="D39" s="60">
        <v>78.739999999999995</v>
      </c>
      <c r="E39" s="60">
        <v>3.28</v>
      </c>
      <c r="F39" s="60">
        <v>3.49</v>
      </c>
      <c r="G39" s="60">
        <v>225.99</v>
      </c>
      <c r="H39" s="60">
        <v>61.19</v>
      </c>
      <c r="I39" s="60">
        <v>0.62</v>
      </c>
      <c r="J39" s="60">
        <v>0.42</v>
      </c>
      <c r="K39" s="60">
        <v>171.53</v>
      </c>
      <c r="L39" s="60">
        <v>25.52</v>
      </c>
      <c r="M39" s="60">
        <v>43.91</v>
      </c>
      <c r="N39" s="60">
        <v>292.8</v>
      </c>
      <c r="O39" s="60">
        <v>0</v>
      </c>
      <c r="P39" s="60">
        <v>1.62</v>
      </c>
      <c r="Q39" s="60">
        <v>44.3</v>
      </c>
      <c r="R39" s="198"/>
      <c r="S39" s="198"/>
      <c r="T39" s="198"/>
      <c r="U39" s="198"/>
    </row>
    <row r="40" spans="1:21" s="12" customFormat="1" x14ac:dyDescent="0.25">
      <c r="A40" s="201" t="s">
        <v>471</v>
      </c>
      <c r="B40" s="60">
        <v>50.66</v>
      </c>
      <c r="C40" s="60">
        <v>60.47</v>
      </c>
      <c r="D40" s="60">
        <v>75.739999999999995</v>
      </c>
      <c r="E40" s="60">
        <v>6.54</v>
      </c>
      <c r="F40" s="60">
        <v>4.7699999999999996</v>
      </c>
      <c r="G40" s="60">
        <v>227.98</v>
      </c>
      <c r="H40" s="60">
        <v>61.7</v>
      </c>
      <c r="I40" s="60">
        <v>0.62</v>
      </c>
      <c r="J40" s="60">
        <v>0.12</v>
      </c>
      <c r="K40" s="60">
        <v>120.09</v>
      </c>
      <c r="L40" s="60">
        <v>26.51</v>
      </c>
      <c r="M40" s="60">
        <v>42.14</v>
      </c>
      <c r="N40" s="60">
        <v>380.2</v>
      </c>
      <c r="O40" s="60">
        <v>0</v>
      </c>
      <c r="P40" s="60">
        <v>1.68</v>
      </c>
      <c r="Q40" s="60">
        <v>42.59</v>
      </c>
      <c r="R40" s="198"/>
      <c r="S40" s="198"/>
      <c r="T40" s="198"/>
      <c r="U40" s="198"/>
    </row>
    <row r="41" spans="1:21" s="12" customFormat="1" x14ac:dyDescent="0.25">
      <c r="A41" s="201" t="s">
        <v>472</v>
      </c>
      <c r="B41" s="60">
        <v>48.61</v>
      </c>
      <c r="C41" s="60">
        <v>63.71</v>
      </c>
      <c r="D41" s="60">
        <v>75.88</v>
      </c>
      <c r="E41" s="60">
        <v>11.53</v>
      </c>
      <c r="F41" s="60">
        <v>6.59</v>
      </c>
      <c r="G41" s="60">
        <v>227.98</v>
      </c>
      <c r="H41" s="60">
        <v>61.7</v>
      </c>
      <c r="I41" s="60">
        <v>0.61</v>
      </c>
      <c r="J41" s="60">
        <v>0.1</v>
      </c>
      <c r="K41" s="60">
        <v>113.5</v>
      </c>
      <c r="L41" s="60">
        <v>27.15</v>
      </c>
      <c r="M41" s="60">
        <v>40.409999999999997</v>
      </c>
      <c r="N41" s="60">
        <v>373.4</v>
      </c>
      <c r="O41" s="60">
        <v>0</v>
      </c>
      <c r="P41" s="60">
        <v>1.76</v>
      </c>
      <c r="Q41" s="60">
        <v>39.159999999999997</v>
      </c>
      <c r="R41" s="198"/>
      <c r="S41" s="198"/>
      <c r="T41" s="198"/>
      <c r="U41" s="198"/>
    </row>
    <row r="42" spans="1:21" s="12" customFormat="1" x14ac:dyDescent="0.25">
      <c r="A42" s="201" t="s">
        <v>473</v>
      </c>
      <c r="B42" s="60">
        <v>48.17</v>
      </c>
      <c r="C42" s="60">
        <v>66.650000000000006</v>
      </c>
      <c r="D42" s="60">
        <v>77.150000000000006</v>
      </c>
      <c r="E42" s="60">
        <v>11.78</v>
      </c>
      <c r="F42" s="60">
        <v>7.07</v>
      </c>
      <c r="G42" s="60">
        <v>227.98</v>
      </c>
      <c r="H42" s="60">
        <v>61.7</v>
      </c>
      <c r="I42" s="60">
        <v>0.6</v>
      </c>
      <c r="J42" s="60">
        <v>0.2</v>
      </c>
      <c r="K42" s="60">
        <v>69.22</v>
      </c>
      <c r="L42" s="60">
        <v>28.97</v>
      </c>
      <c r="M42" s="60">
        <v>37.43</v>
      </c>
      <c r="N42" s="60">
        <v>421.8</v>
      </c>
      <c r="O42" s="60">
        <v>0</v>
      </c>
      <c r="P42" s="60">
        <v>1.76</v>
      </c>
      <c r="Q42" s="60">
        <v>38.659999999999997</v>
      </c>
      <c r="R42" s="198"/>
      <c r="S42" s="198"/>
      <c r="T42" s="198"/>
      <c r="U42" s="198"/>
    </row>
    <row r="43" spans="1:21" s="12" customFormat="1" x14ac:dyDescent="0.25">
      <c r="A43" s="201" t="s">
        <v>474</v>
      </c>
      <c r="B43" s="60">
        <v>43.59</v>
      </c>
      <c r="C43" s="60">
        <v>59.16</v>
      </c>
      <c r="D43" s="60">
        <v>69.34</v>
      </c>
      <c r="E43" s="60">
        <v>11.34</v>
      </c>
      <c r="F43" s="60">
        <v>9.8000000000000007</v>
      </c>
      <c r="G43" s="60">
        <v>227.98</v>
      </c>
      <c r="H43" s="60">
        <v>64.62</v>
      </c>
      <c r="I43" s="60">
        <v>0.6</v>
      </c>
      <c r="J43" s="60">
        <v>0.52</v>
      </c>
      <c r="K43" s="60">
        <v>127.37</v>
      </c>
      <c r="L43" s="60">
        <v>27.5</v>
      </c>
      <c r="M43" s="60">
        <v>38.29</v>
      </c>
      <c r="N43" s="60">
        <v>469.6</v>
      </c>
      <c r="O43" s="60">
        <v>0</v>
      </c>
      <c r="P43" s="60">
        <v>1.68</v>
      </c>
      <c r="Q43" s="60">
        <v>39.28</v>
      </c>
      <c r="R43" s="198"/>
      <c r="S43" s="198"/>
      <c r="T43" s="198"/>
      <c r="U43" s="198"/>
    </row>
    <row r="44" spans="1:21" s="12" customFormat="1" x14ac:dyDescent="0.25">
      <c r="A44" s="201" t="s">
        <v>475</v>
      </c>
      <c r="B44" s="60">
        <v>46.5</v>
      </c>
      <c r="C44" s="60">
        <v>61.8</v>
      </c>
      <c r="D44" s="60">
        <v>73.13</v>
      </c>
      <c r="E44" s="60">
        <v>11.25</v>
      </c>
      <c r="F44" s="60">
        <v>6.79</v>
      </c>
      <c r="G44" s="60">
        <v>257.06</v>
      </c>
      <c r="H44" s="60">
        <v>64.62</v>
      </c>
      <c r="I44" s="60">
        <v>0.61</v>
      </c>
      <c r="J44" s="60">
        <v>0.41</v>
      </c>
      <c r="K44" s="60">
        <v>200.82</v>
      </c>
      <c r="L44" s="60">
        <v>27.86</v>
      </c>
      <c r="M44" s="60">
        <v>38.04</v>
      </c>
      <c r="N44" s="60">
        <v>474.3</v>
      </c>
      <c r="O44" s="60">
        <v>0</v>
      </c>
      <c r="P44" s="60">
        <v>1.67</v>
      </c>
      <c r="Q44" s="60">
        <v>40.86</v>
      </c>
      <c r="R44" s="198"/>
      <c r="S44" s="198"/>
      <c r="T44" s="198"/>
      <c r="U44" s="198"/>
    </row>
    <row r="45" spans="1:21" s="12" customFormat="1" x14ac:dyDescent="0.25">
      <c r="A45" s="201" t="s">
        <v>476</v>
      </c>
      <c r="B45" s="60">
        <v>42.71</v>
      </c>
      <c r="C45" s="60">
        <v>58.47</v>
      </c>
      <c r="D45" s="60">
        <v>68.260000000000005</v>
      </c>
      <c r="E45" s="60">
        <v>6.04</v>
      </c>
      <c r="F45" s="60">
        <v>5.93</v>
      </c>
      <c r="G45" s="60">
        <v>257.06</v>
      </c>
      <c r="H45" s="60">
        <v>64.62</v>
      </c>
      <c r="I45" s="60">
        <v>0.61</v>
      </c>
      <c r="J45" s="60">
        <v>0.47</v>
      </c>
      <c r="K45" s="60">
        <v>209.23</v>
      </c>
      <c r="L45" s="60">
        <v>27.76</v>
      </c>
      <c r="M45" s="60">
        <v>40.32</v>
      </c>
      <c r="N45" s="60">
        <v>572.5</v>
      </c>
      <c r="O45" s="60">
        <v>0</v>
      </c>
      <c r="P45" s="60">
        <v>1.66</v>
      </c>
      <c r="Q45" s="60">
        <v>40.25</v>
      </c>
      <c r="R45" s="198"/>
      <c r="S45" s="198"/>
      <c r="T45" s="198"/>
      <c r="U45" s="198"/>
    </row>
    <row r="46" spans="1:21" s="12" customFormat="1" x14ac:dyDescent="0.25">
      <c r="A46" s="201" t="s">
        <v>477</v>
      </c>
      <c r="B46" s="60">
        <v>39.06</v>
      </c>
      <c r="C46" s="60">
        <v>58.69</v>
      </c>
      <c r="D46" s="60">
        <v>65.45</v>
      </c>
      <c r="E46" s="60">
        <v>4.93</v>
      </c>
      <c r="F46" s="60">
        <v>5.91</v>
      </c>
      <c r="G46" s="60">
        <v>257.06</v>
      </c>
      <c r="H46" s="60">
        <v>64.62</v>
      </c>
      <c r="I46" s="60">
        <v>0.62</v>
      </c>
      <c r="J46" s="60">
        <v>0.74</v>
      </c>
      <c r="K46" s="60">
        <v>187.52</v>
      </c>
      <c r="L46" s="60">
        <v>28.07</v>
      </c>
      <c r="M46" s="60">
        <v>37.409999999999997</v>
      </c>
      <c r="N46" s="60">
        <v>684.3</v>
      </c>
      <c r="O46" s="60">
        <v>0</v>
      </c>
      <c r="P46" s="60">
        <v>1.59</v>
      </c>
      <c r="Q46" s="60">
        <v>40.03</v>
      </c>
      <c r="R46" s="198"/>
      <c r="S46" s="198"/>
      <c r="T46" s="198"/>
      <c r="U46" s="198"/>
    </row>
    <row r="47" spans="1:21" s="12" customFormat="1" x14ac:dyDescent="0.25">
      <c r="A47" s="201" t="s">
        <v>478</v>
      </c>
      <c r="B47" s="60">
        <v>35</v>
      </c>
      <c r="C47" s="60">
        <v>60.53</v>
      </c>
      <c r="D47" s="60">
        <v>63.21</v>
      </c>
      <c r="E47" s="60">
        <v>3.91</v>
      </c>
      <c r="F47" s="60">
        <v>4.45</v>
      </c>
      <c r="G47" s="60">
        <v>120.88</v>
      </c>
      <c r="H47" s="60">
        <v>58.68</v>
      </c>
      <c r="I47" s="60">
        <v>0.63</v>
      </c>
      <c r="J47" s="60">
        <v>1.03</v>
      </c>
      <c r="K47" s="60">
        <v>197.54</v>
      </c>
      <c r="L47" s="60">
        <v>28.46</v>
      </c>
      <c r="M47" s="60">
        <v>33.44</v>
      </c>
      <c r="N47" s="60">
        <v>727.5</v>
      </c>
      <c r="O47" s="60">
        <v>0</v>
      </c>
      <c r="P47" s="60">
        <v>1.52</v>
      </c>
      <c r="Q47" s="60">
        <v>40.840000000000003</v>
      </c>
      <c r="R47" s="198"/>
      <c r="S47" s="198"/>
      <c r="T47" s="198"/>
      <c r="U47" s="198"/>
    </row>
    <row r="48" spans="1:21" s="12" customFormat="1" x14ac:dyDescent="0.25">
      <c r="A48" s="201" t="s">
        <v>479</v>
      </c>
      <c r="B48" s="60">
        <v>27.5</v>
      </c>
      <c r="C48" s="60">
        <v>64.599999999999994</v>
      </c>
      <c r="D48" s="60">
        <v>59.44</v>
      </c>
      <c r="E48" s="60">
        <v>3.46</v>
      </c>
      <c r="F48" s="60">
        <v>4.17</v>
      </c>
      <c r="G48" s="60">
        <v>120.88</v>
      </c>
      <c r="H48" s="60">
        <v>58.54</v>
      </c>
      <c r="I48" s="60">
        <v>0.63</v>
      </c>
      <c r="J48" s="60">
        <v>0.42</v>
      </c>
      <c r="K48" s="60">
        <v>236.73</v>
      </c>
      <c r="L48" s="60">
        <v>29.16</v>
      </c>
      <c r="M48" s="60">
        <v>34.94</v>
      </c>
      <c r="N48" s="60">
        <v>735.5</v>
      </c>
      <c r="O48" s="60">
        <v>0</v>
      </c>
      <c r="P48" s="60">
        <v>1.44</v>
      </c>
      <c r="Q48" s="60">
        <v>42.69</v>
      </c>
      <c r="R48" s="198"/>
      <c r="S48" s="198"/>
      <c r="T48" s="198"/>
      <c r="U48" s="198"/>
    </row>
    <row r="49" spans="1:21" s="12" customFormat="1" x14ac:dyDescent="0.25">
      <c r="A49" s="201" t="s">
        <v>480</v>
      </c>
      <c r="B49" s="60">
        <v>19.32</v>
      </c>
      <c r="C49" s="60">
        <v>68.97</v>
      </c>
      <c r="D49" s="60">
        <v>55.3</v>
      </c>
      <c r="E49" s="60">
        <v>3</v>
      </c>
      <c r="F49" s="60">
        <v>4.4000000000000004</v>
      </c>
      <c r="G49" s="60">
        <v>120.88</v>
      </c>
      <c r="H49" s="60">
        <v>58.54</v>
      </c>
      <c r="I49" s="60">
        <v>0.62</v>
      </c>
      <c r="J49" s="60">
        <v>0.33</v>
      </c>
      <c r="K49" s="60">
        <v>237.15</v>
      </c>
      <c r="L49" s="60">
        <v>29.22</v>
      </c>
      <c r="M49" s="60">
        <v>33.340000000000003</v>
      </c>
      <c r="N49" s="60">
        <v>797.3</v>
      </c>
      <c r="O49" s="60">
        <v>0</v>
      </c>
      <c r="P49" s="60">
        <v>1.35</v>
      </c>
      <c r="Q49" s="60">
        <v>43.69</v>
      </c>
      <c r="R49" s="198"/>
      <c r="S49" s="198"/>
      <c r="T49" s="198"/>
      <c r="U49" s="198"/>
    </row>
    <row r="50" spans="1:21" s="12" customFormat="1" x14ac:dyDescent="0.25">
      <c r="A50" s="201" t="s">
        <v>481</v>
      </c>
      <c r="B50" s="60">
        <v>11.57</v>
      </c>
      <c r="C50" s="60">
        <v>69.45</v>
      </c>
      <c r="D50" s="60">
        <v>49.35</v>
      </c>
      <c r="E50" s="60">
        <v>2.56</v>
      </c>
      <c r="F50" s="60">
        <v>15.14</v>
      </c>
      <c r="G50" s="60">
        <v>120.88</v>
      </c>
      <c r="H50" s="60">
        <v>58.54</v>
      </c>
      <c r="I50" s="60">
        <v>0.62</v>
      </c>
      <c r="J50" s="60">
        <v>0.22</v>
      </c>
      <c r="K50" s="60">
        <v>345.98</v>
      </c>
      <c r="L50" s="60">
        <v>31.79</v>
      </c>
      <c r="M50" s="60">
        <v>28.27</v>
      </c>
      <c r="N50" s="60">
        <v>834.8</v>
      </c>
      <c r="O50" s="60">
        <v>0</v>
      </c>
      <c r="P50" s="60">
        <v>1.17</v>
      </c>
      <c r="Q50" s="60">
        <v>43.45</v>
      </c>
      <c r="R50" s="198"/>
      <c r="S50" s="198"/>
      <c r="T50" s="198"/>
      <c r="U50" s="198"/>
    </row>
    <row r="51" spans="1:21" s="12" customFormat="1" x14ac:dyDescent="0.25">
      <c r="A51" s="201" t="s">
        <v>482</v>
      </c>
      <c r="B51" s="60">
        <v>4.21</v>
      </c>
      <c r="C51" s="60">
        <v>61.72</v>
      </c>
      <c r="D51" s="60">
        <v>39.18</v>
      </c>
      <c r="E51" s="60">
        <v>4.4800000000000004</v>
      </c>
      <c r="F51" s="60">
        <v>56.57</v>
      </c>
      <c r="G51" s="60">
        <v>120.88</v>
      </c>
      <c r="H51" s="60">
        <v>58.54</v>
      </c>
      <c r="I51" s="60">
        <v>0.6</v>
      </c>
      <c r="J51" s="60">
        <v>0.06</v>
      </c>
      <c r="K51" s="60">
        <v>290.52999999999997</v>
      </c>
      <c r="L51" s="60">
        <v>31.16</v>
      </c>
      <c r="M51" s="60">
        <v>29.07</v>
      </c>
      <c r="N51" s="60">
        <v>857.1</v>
      </c>
      <c r="O51" s="60">
        <v>0</v>
      </c>
      <c r="P51" s="60">
        <v>0.73</v>
      </c>
      <c r="Q51" s="60">
        <v>36.6</v>
      </c>
      <c r="R51" s="198"/>
      <c r="S51" s="198"/>
      <c r="T51" s="198"/>
      <c r="U51" s="198"/>
    </row>
    <row r="52" spans="1:21" s="12" customFormat="1" x14ac:dyDescent="0.25">
      <c r="A52" s="201" t="s">
        <v>483</v>
      </c>
      <c r="B52" s="60">
        <v>3.11</v>
      </c>
      <c r="C52" s="60">
        <v>61.34</v>
      </c>
      <c r="D52" s="60">
        <v>38.090000000000003</v>
      </c>
      <c r="E52" s="60">
        <v>87.16</v>
      </c>
      <c r="F52" s="60">
        <v>52.25</v>
      </c>
      <c r="G52" s="60">
        <v>120.88</v>
      </c>
      <c r="H52" s="60">
        <v>58.54</v>
      </c>
      <c r="I52" s="60">
        <v>0.54</v>
      </c>
      <c r="J52" s="60">
        <v>0.27</v>
      </c>
      <c r="K52" s="60">
        <v>2.38</v>
      </c>
      <c r="L52" s="60">
        <v>32.79</v>
      </c>
      <c r="M52" s="60">
        <v>27.34</v>
      </c>
      <c r="N52" s="60">
        <v>875.3</v>
      </c>
      <c r="O52" s="60">
        <v>0</v>
      </c>
      <c r="P52" s="60">
        <v>0.87</v>
      </c>
      <c r="Q52" s="60">
        <v>33.42</v>
      </c>
      <c r="R52" s="198"/>
      <c r="S52" s="198"/>
      <c r="T52" s="198"/>
      <c r="U52" s="198"/>
    </row>
    <row r="53" spans="1:21" s="12" customFormat="1" x14ac:dyDescent="0.25">
      <c r="A53" s="201" t="s">
        <v>484</v>
      </c>
      <c r="B53" s="60">
        <v>2.98</v>
      </c>
      <c r="C53" s="60">
        <v>59.6</v>
      </c>
      <c r="D53" s="60">
        <v>37.020000000000003</v>
      </c>
      <c r="E53" s="60">
        <v>6.38</v>
      </c>
      <c r="F53" s="60">
        <v>21.12</v>
      </c>
      <c r="G53" s="60">
        <v>120.88</v>
      </c>
      <c r="H53" s="60">
        <v>58.54</v>
      </c>
      <c r="I53" s="60">
        <v>0.49</v>
      </c>
      <c r="J53" s="60">
        <v>0.51</v>
      </c>
      <c r="K53" s="60">
        <v>12.48</v>
      </c>
      <c r="L53" s="60">
        <v>33.36</v>
      </c>
      <c r="M53" s="60">
        <v>27.25</v>
      </c>
      <c r="N53" s="60">
        <v>863.8</v>
      </c>
      <c r="O53" s="60">
        <v>0</v>
      </c>
      <c r="P53" s="60">
        <v>0.86</v>
      </c>
      <c r="Q53" s="60">
        <v>34.270000000000003</v>
      </c>
      <c r="R53" s="198"/>
      <c r="S53" s="198"/>
      <c r="T53" s="198"/>
      <c r="U53" s="198"/>
    </row>
    <row r="54" spans="1:21" s="12" customFormat="1" x14ac:dyDescent="0.25">
      <c r="A54" s="201" t="s">
        <v>485</v>
      </c>
      <c r="B54" s="60">
        <v>3</v>
      </c>
      <c r="C54" s="60">
        <v>59.15</v>
      </c>
      <c r="D54" s="60">
        <v>36.79</v>
      </c>
      <c r="E54" s="60">
        <v>3.04</v>
      </c>
      <c r="F54" s="60">
        <v>13.78</v>
      </c>
      <c r="G54" s="60">
        <v>116.85</v>
      </c>
      <c r="H54" s="60">
        <v>56.59</v>
      </c>
      <c r="I54" s="60">
        <v>0.49</v>
      </c>
      <c r="J54" s="60">
        <v>0.09</v>
      </c>
      <c r="K54" s="60">
        <v>282.68</v>
      </c>
      <c r="L54" s="60">
        <v>33.43</v>
      </c>
      <c r="M54" s="60">
        <v>25.99</v>
      </c>
      <c r="N54" s="60">
        <v>866</v>
      </c>
      <c r="O54" s="60">
        <v>0</v>
      </c>
      <c r="P54" s="60">
        <v>0.82</v>
      </c>
      <c r="Q54" s="60">
        <v>35.340000000000003</v>
      </c>
      <c r="R54" s="198"/>
      <c r="S54" s="198"/>
      <c r="T54" s="198"/>
      <c r="U54" s="198"/>
    </row>
    <row r="55" spans="1:21" s="12" customFormat="1" x14ac:dyDescent="0.25">
      <c r="A55" s="201" t="s">
        <v>486</v>
      </c>
      <c r="B55" s="60">
        <v>52.59</v>
      </c>
      <c r="C55" s="60">
        <v>3.7</v>
      </c>
      <c r="D55" s="60">
        <v>55.81</v>
      </c>
      <c r="E55" s="60">
        <v>3.49</v>
      </c>
      <c r="F55" s="60">
        <v>16.38</v>
      </c>
      <c r="G55" s="214" t="s">
        <v>40</v>
      </c>
      <c r="H55" s="214" t="s">
        <v>40</v>
      </c>
      <c r="I55" s="60">
        <v>0.48</v>
      </c>
      <c r="J55" s="60">
        <v>0.12</v>
      </c>
      <c r="K55" s="60">
        <v>6.6</v>
      </c>
      <c r="L55" s="60">
        <v>32.82</v>
      </c>
      <c r="M55" s="60">
        <v>26.3</v>
      </c>
      <c r="N55" s="60">
        <v>907.6</v>
      </c>
      <c r="O55" s="60">
        <v>0</v>
      </c>
      <c r="P55" s="60">
        <v>0.83</v>
      </c>
      <c r="Q55" s="60">
        <v>35.31</v>
      </c>
      <c r="R55" s="198"/>
      <c r="S55" s="198"/>
      <c r="T55" s="198"/>
      <c r="U55" s="198"/>
    </row>
    <row r="56" spans="1:21" s="12" customFormat="1" x14ac:dyDescent="0.25">
      <c r="A56" s="201" t="s">
        <v>487</v>
      </c>
      <c r="B56" s="60">
        <v>159.91999999999999</v>
      </c>
      <c r="C56" s="60">
        <v>7.7</v>
      </c>
      <c r="D56" s="60">
        <v>167.61</v>
      </c>
      <c r="E56" s="60">
        <v>1.88</v>
      </c>
      <c r="F56" s="60">
        <v>10.9</v>
      </c>
      <c r="G56" s="214" t="s">
        <v>40</v>
      </c>
      <c r="H56" s="214" t="s">
        <v>40</v>
      </c>
      <c r="I56" s="60">
        <v>0.48</v>
      </c>
      <c r="J56" s="60">
        <v>0.38</v>
      </c>
      <c r="K56" s="60">
        <v>29.22</v>
      </c>
      <c r="L56" s="60">
        <v>34.93</v>
      </c>
      <c r="M56" s="60">
        <v>23.68</v>
      </c>
      <c r="N56" s="60">
        <v>905.8</v>
      </c>
      <c r="O56" s="60">
        <v>0</v>
      </c>
      <c r="P56" s="60">
        <v>0.88</v>
      </c>
      <c r="Q56" s="60">
        <v>34.590000000000003</v>
      </c>
      <c r="R56" s="198"/>
      <c r="S56" s="198"/>
      <c r="T56" s="198"/>
      <c r="U56" s="198"/>
    </row>
    <row r="57" spans="1:21" s="12" customFormat="1" x14ac:dyDescent="0.25">
      <c r="A57" s="201" t="s">
        <v>488</v>
      </c>
      <c r="B57" s="60">
        <v>165.23</v>
      </c>
      <c r="C57" s="60">
        <v>8.84</v>
      </c>
      <c r="D57" s="60">
        <v>174.06</v>
      </c>
      <c r="E57" s="60">
        <v>2.79</v>
      </c>
      <c r="F57" s="60">
        <v>12.06</v>
      </c>
      <c r="G57" s="214" t="s">
        <v>40</v>
      </c>
      <c r="H57" s="214" t="s">
        <v>40</v>
      </c>
      <c r="I57" s="60">
        <v>0.48</v>
      </c>
      <c r="J57" s="60">
        <v>0.3</v>
      </c>
      <c r="K57" s="60">
        <v>6.34</v>
      </c>
      <c r="L57" s="60">
        <v>34.799999999999997</v>
      </c>
      <c r="M57" s="60">
        <v>23.6</v>
      </c>
      <c r="N57" s="60">
        <v>898.9</v>
      </c>
      <c r="O57" s="60">
        <v>0</v>
      </c>
      <c r="P57" s="60">
        <v>0.85</v>
      </c>
      <c r="Q57" s="60">
        <v>33.61</v>
      </c>
      <c r="R57" s="198"/>
      <c r="S57" s="198"/>
      <c r="T57" s="198"/>
      <c r="U57" s="198"/>
    </row>
    <row r="58" spans="1:21" s="12" customFormat="1" x14ac:dyDescent="0.25">
      <c r="A58" s="201" t="s">
        <v>489</v>
      </c>
      <c r="B58" s="60">
        <v>178.67</v>
      </c>
      <c r="C58" s="60">
        <v>9.83</v>
      </c>
      <c r="D58" s="60">
        <v>188.51</v>
      </c>
      <c r="E58" s="60">
        <v>2.61</v>
      </c>
      <c r="F58" s="60">
        <v>8.1300000000000008</v>
      </c>
      <c r="G58" s="214" t="s">
        <v>40</v>
      </c>
      <c r="H58" s="214" t="s">
        <v>40</v>
      </c>
      <c r="I58" s="60">
        <v>0.49</v>
      </c>
      <c r="J58" s="60">
        <v>0.19</v>
      </c>
      <c r="K58" s="60">
        <v>291.36</v>
      </c>
      <c r="L58" s="60">
        <v>33.64</v>
      </c>
      <c r="M58" s="60">
        <v>24.62</v>
      </c>
      <c r="N58" s="60">
        <v>909.7</v>
      </c>
      <c r="O58" s="60">
        <v>0</v>
      </c>
      <c r="P58" s="60">
        <v>0.82</v>
      </c>
      <c r="Q58" s="60">
        <v>34.200000000000003</v>
      </c>
      <c r="R58" s="198"/>
      <c r="S58" s="198"/>
      <c r="T58" s="198"/>
      <c r="U58" s="198"/>
    </row>
    <row r="59" spans="1:21" s="12" customFormat="1" x14ac:dyDescent="0.25">
      <c r="A59" s="201" t="s">
        <v>490</v>
      </c>
      <c r="B59" s="60">
        <v>187.24</v>
      </c>
      <c r="C59" s="60">
        <v>11.24</v>
      </c>
      <c r="D59" s="60">
        <v>198.48</v>
      </c>
      <c r="E59" s="60">
        <v>2.46</v>
      </c>
      <c r="F59" s="60">
        <v>8.76</v>
      </c>
      <c r="G59" s="60">
        <v>54.21</v>
      </c>
      <c r="H59" s="60">
        <v>24.07</v>
      </c>
      <c r="I59" s="60">
        <v>0.49</v>
      </c>
      <c r="J59" s="60">
        <v>0.25</v>
      </c>
      <c r="K59" s="60">
        <v>263.75</v>
      </c>
      <c r="L59" s="60">
        <v>32.76</v>
      </c>
      <c r="M59" s="60">
        <v>26.78</v>
      </c>
      <c r="N59" s="60">
        <v>871</v>
      </c>
      <c r="O59" s="60">
        <v>0</v>
      </c>
      <c r="P59" s="60">
        <v>0.78</v>
      </c>
      <c r="Q59" s="60">
        <v>34.35</v>
      </c>
      <c r="R59" s="198"/>
      <c r="S59" s="198"/>
      <c r="T59" s="198"/>
      <c r="U59" s="198"/>
    </row>
    <row r="60" spans="1:21" s="12" customFormat="1" x14ac:dyDescent="0.25">
      <c r="A60" s="201" t="s">
        <v>491</v>
      </c>
      <c r="B60" s="60">
        <v>3.39</v>
      </c>
      <c r="C60" s="60">
        <v>45.13</v>
      </c>
      <c r="D60" s="60">
        <v>29.5</v>
      </c>
      <c r="E60" s="60">
        <v>1.88</v>
      </c>
      <c r="F60" s="60">
        <v>9.1</v>
      </c>
      <c r="G60" s="60">
        <v>54.21</v>
      </c>
      <c r="H60" s="60">
        <v>24.07</v>
      </c>
      <c r="I60" s="60">
        <v>0.49</v>
      </c>
      <c r="J60" s="60">
        <v>0.17</v>
      </c>
      <c r="K60" s="60">
        <v>296.63</v>
      </c>
      <c r="L60" s="60">
        <v>33.54</v>
      </c>
      <c r="M60" s="60">
        <v>25.56</v>
      </c>
      <c r="N60" s="60">
        <v>874.6</v>
      </c>
      <c r="O60" s="60">
        <v>0</v>
      </c>
      <c r="P60" s="60">
        <v>0.74</v>
      </c>
      <c r="Q60" s="60">
        <v>34.64</v>
      </c>
      <c r="R60" s="198"/>
      <c r="S60" s="198"/>
      <c r="T60" s="198"/>
      <c r="U60" s="198"/>
    </row>
    <row r="61" spans="1:21" s="12" customFormat="1" x14ac:dyDescent="0.25">
      <c r="A61" s="201" t="s">
        <v>492</v>
      </c>
      <c r="B61" s="60">
        <v>3.23</v>
      </c>
      <c r="C61" s="60">
        <v>49.71</v>
      </c>
      <c r="D61" s="60">
        <v>30.76</v>
      </c>
      <c r="E61" s="60">
        <v>2.4900000000000002</v>
      </c>
      <c r="F61" s="60">
        <v>10.54</v>
      </c>
      <c r="G61" s="60">
        <v>54.21</v>
      </c>
      <c r="H61" s="60">
        <v>24.07</v>
      </c>
      <c r="I61" s="60">
        <v>0.49</v>
      </c>
      <c r="J61" s="60">
        <v>0.52</v>
      </c>
      <c r="K61" s="60">
        <v>212.77</v>
      </c>
      <c r="L61" s="60">
        <v>33.200000000000003</v>
      </c>
      <c r="M61" s="60">
        <v>24.81</v>
      </c>
      <c r="N61" s="60">
        <v>831</v>
      </c>
      <c r="O61" s="60">
        <v>0</v>
      </c>
      <c r="P61" s="60">
        <v>0.66</v>
      </c>
      <c r="Q61" s="60">
        <v>34.520000000000003</v>
      </c>
      <c r="R61" s="198"/>
      <c r="S61" s="198"/>
      <c r="T61" s="198"/>
      <c r="U61" s="198"/>
    </row>
    <row r="62" spans="1:21" s="12" customFormat="1" x14ac:dyDescent="0.25">
      <c r="A62" s="201" t="s">
        <v>493</v>
      </c>
      <c r="B62" s="60">
        <v>2.87</v>
      </c>
      <c r="C62" s="60">
        <v>49.81</v>
      </c>
      <c r="D62" s="60">
        <v>30.53</v>
      </c>
      <c r="E62" s="60">
        <v>1.84</v>
      </c>
      <c r="F62" s="60">
        <v>8.8000000000000007</v>
      </c>
      <c r="G62" s="60">
        <v>54.11</v>
      </c>
      <c r="H62" s="60">
        <v>24</v>
      </c>
      <c r="I62" s="60">
        <v>0.49</v>
      </c>
      <c r="J62" s="60">
        <v>0.55000000000000004</v>
      </c>
      <c r="K62" s="60">
        <v>214.6</v>
      </c>
      <c r="L62" s="60">
        <v>32.619999999999997</v>
      </c>
      <c r="M62" s="60">
        <v>23.53</v>
      </c>
      <c r="N62" s="60">
        <v>826.1</v>
      </c>
      <c r="O62" s="60">
        <v>0</v>
      </c>
      <c r="P62" s="60">
        <v>0.65</v>
      </c>
      <c r="Q62" s="60">
        <v>36.71</v>
      </c>
      <c r="R62" s="198"/>
      <c r="S62" s="198"/>
      <c r="T62" s="198"/>
      <c r="U62" s="198"/>
    </row>
    <row r="63" spans="1:21" s="12" customFormat="1" x14ac:dyDescent="0.25">
      <c r="A63" s="201" t="s">
        <v>494</v>
      </c>
      <c r="B63" s="60">
        <v>2.8</v>
      </c>
      <c r="C63" s="60">
        <v>48.53</v>
      </c>
      <c r="D63" s="60">
        <v>29.77</v>
      </c>
      <c r="E63" s="60">
        <v>2.11</v>
      </c>
      <c r="F63" s="60">
        <v>9.2200000000000006</v>
      </c>
      <c r="G63" s="60">
        <v>52.41</v>
      </c>
      <c r="H63" s="60">
        <v>22.64</v>
      </c>
      <c r="I63" s="60">
        <v>0.49</v>
      </c>
      <c r="J63" s="60">
        <v>0.08</v>
      </c>
      <c r="K63" s="60">
        <v>264.43</v>
      </c>
      <c r="L63" s="60">
        <v>32.72</v>
      </c>
      <c r="M63" s="60">
        <v>24.59</v>
      </c>
      <c r="N63" s="60">
        <v>750</v>
      </c>
      <c r="O63" s="60">
        <v>0</v>
      </c>
      <c r="P63" s="60">
        <v>0.61</v>
      </c>
      <c r="Q63" s="60">
        <v>37.090000000000003</v>
      </c>
      <c r="R63" s="198"/>
      <c r="S63" s="198"/>
      <c r="T63" s="198"/>
      <c r="U63" s="198"/>
    </row>
    <row r="64" spans="1:21" s="12" customFormat="1" x14ac:dyDescent="0.25">
      <c r="A64" s="201" t="s">
        <v>495</v>
      </c>
      <c r="B64" s="60">
        <v>2.75</v>
      </c>
      <c r="C64" s="60">
        <v>47.58</v>
      </c>
      <c r="D64" s="60">
        <v>29.21</v>
      </c>
      <c r="E64" s="60">
        <v>1.73</v>
      </c>
      <c r="F64" s="60">
        <v>8.9600000000000009</v>
      </c>
      <c r="G64" s="60">
        <v>52.41</v>
      </c>
      <c r="H64" s="60">
        <v>22.64</v>
      </c>
      <c r="I64" s="60">
        <v>0.49</v>
      </c>
      <c r="J64" s="60">
        <v>0.25</v>
      </c>
      <c r="K64" s="60">
        <v>217.49</v>
      </c>
      <c r="L64" s="60">
        <v>33.409999999999997</v>
      </c>
      <c r="M64" s="60">
        <v>23.39</v>
      </c>
      <c r="N64" s="60">
        <v>748.7</v>
      </c>
      <c r="O64" s="60">
        <v>0</v>
      </c>
      <c r="P64" s="60">
        <v>0.56999999999999995</v>
      </c>
      <c r="Q64" s="60">
        <v>37.1</v>
      </c>
      <c r="R64" s="198"/>
      <c r="S64" s="198"/>
      <c r="T64" s="198"/>
      <c r="U64" s="198"/>
    </row>
    <row r="65" spans="1:21" s="12" customFormat="1" x14ac:dyDescent="0.25">
      <c r="A65" s="201" t="s">
        <v>496</v>
      </c>
      <c r="B65" s="60">
        <v>2.92</v>
      </c>
      <c r="C65" s="60">
        <v>47.25</v>
      </c>
      <c r="D65" s="60">
        <v>29.16</v>
      </c>
      <c r="E65" s="60">
        <v>1.76</v>
      </c>
      <c r="F65" s="60">
        <v>7.93</v>
      </c>
      <c r="G65" s="60">
        <v>52.41</v>
      </c>
      <c r="H65" s="60">
        <v>22.64</v>
      </c>
      <c r="I65" s="60">
        <v>0.49</v>
      </c>
      <c r="J65" s="60">
        <v>0.64</v>
      </c>
      <c r="K65" s="60">
        <v>18.63</v>
      </c>
      <c r="L65" s="60">
        <v>34.79</v>
      </c>
      <c r="M65" s="60">
        <v>22.94</v>
      </c>
      <c r="N65" s="60">
        <v>693.1</v>
      </c>
      <c r="O65" s="60">
        <v>0</v>
      </c>
      <c r="P65" s="60">
        <v>0.56000000000000005</v>
      </c>
      <c r="Q65" s="60">
        <v>37.619999999999997</v>
      </c>
      <c r="R65" s="198"/>
      <c r="S65" s="198"/>
      <c r="T65" s="198"/>
      <c r="U65" s="198"/>
    </row>
    <row r="66" spans="1:21" s="12" customFormat="1" x14ac:dyDescent="0.25">
      <c r="A66" s="201" t="s">
        <v>497</v>
      </c>
      <c r="B66" s="60">
        <v>3.41</v>
      </c>
      <c r="C66" s="60">
        <v>48.17</v>
      </c>
      <c r="D66" s="60">
        <v>30.06</v>
      </c>
      <c r="E66" s="60">
        <v>1.65</v>
      </c>
      <c r="F66" s="60">
        <v>9.69</v>
      </c>
      <c r="G66" s="60">
        <v>51.39</v>
      </c>
      <c r="H66" s="60">
        <v>22.39</v>
      </c>
      <c r="I66" s="60">
        <v>0.48</v>
      </c>
      <c r="J66" s="60">
        <v>0.16</v>
      </c>
      <c r="K66" s="60">
        <v>241.24</v>
      </c>
      <c r="L66" s="60">
        <v>35.33</v>
      </c>
      <c r="M66" s="60">
        <v>22.43</v>
      </c>
      <c r="N66" s="60">
        <v>664.5</v>
      </c>
      <c r="O66" s="60">
        <v>0</v>
      </c>
      <c r="P66" s="60">
        <v>0.56000000000000005</v>
      </c>
      <c r="Q66" s="60">
        <v>38.15</v>
      </c>
      <c r="R66" s="198"/>
      <c r="S66" s="198"/>
      <c r="T66" s="198"/>
      <c r="U66" s="198"/>
    </row>
    <row r="67" spans="1:21" s="12" customFormat="1" x14ac:dyDescent="0.25">
      <c r="A67" s="201" t="s">
        <v>498</v>
      </c>
      <c r="B67" s="60">
        <v>3.11</v>
      </c>
      <c r="C67" s="60">
        <v>48.93</v>
      </c>
      <c r="D67" s="60">
        <v>30.23</v>
      </c>
      <c r="E67" s="60">
        <v>1.88</v>
      </c>
      <c r="F67" s="60">
        <v>10.09</v>
      </c>
      <c r="G67" s="60">
        <v>34.06</v>
      </c>
      <c r="H67" s="60">
        <v>17.05</v>
      </c>
      <c r="I67" s="60">
        <v>0.48</v>
      </c>
      <c r="J67" s="60">
        <v>1.1499999999999999</v>
      </c>
      <c r="K67" s="60">
        <v>185.78</v>
      </c>
      <c r="L67" s="60">
        <v>32.54</v>
      </c>
      <c r="M67" s="60">
        <v>24.63</v>
      </c>
      <c r="N67" s="60">
        <v>457.7</v>
      </c>
      <c r="O67" s="60">
        <v>0</v>
      </c>
      <c r="P67" s="60">
        <v>0.53</v>
      </c>
      <c r="Q67" s="60">
        <v>37.93</v>
      </c>
      <c r="R67" s="198"/>
      <c r="S67" s="198"/>
      <c r="T67" s="198"/>
      <c r="U67" s="198"/>
    </row>
    <row r="68" spans="1:21" s="12" customFormat="1" x14ac:dyDescent="0.25">
      <c r="A68" s="201" t="s">
        <v>499</v>
      </c>
      <c r="B68" s="60">
        <v>3.02</v>
      </c>
      <c r="C68" s="60">
        <v>42.06</v>
      </c>
      <c r="D68" s="60">
        <v>26.38</v>
      </c>
      <c r="E68" s="60">
        <v>2.14</v>
      </c>
      <c r="F68" s="60">
        <v>15.14</v>
      </c>
      <c r="G68" s="60">
        <v>34.06</v>
      </c>
      <c r="H68" s="60">
        <v>17.05</v>
      </c>
      <c r="I68" s="60">
        <v>0.48</v>
      </c>
      <c r="J68" s="60">
        <v>1.38</v>
      </c>
      <c r="K68" s="60">
        <v>178.42</v>
      </c>
      <c r="L68" s="60">
        <v>32.08</v>
      </c>
      <c r="M68" s="60">
        <v>23.63</v>
      </c>
      <c r="N68" s="60">
        <v>422.5</v>
      </c>
      <c r="O68" s="60">
        <v>0</v>
      </c>
      <c r="P68" s="60">
        <v>0.48</v>
      </c>
      <c r="Q68" s="60">
        <v>37.43</v>
      </c>
      <c r="R68" s="198"/>
      <c r="S68" s="198"/>
      <c r="T68" s="198"/>
      <c r="U68" s="198"/>
    </row>
    <row r="69" spans="1:21" s="12" customFormat="1" x14ac:dyDescent="0.25">
      <c r="A69" s="201" t="s">
        <v>500</v>
      </c>
      <c r="B69" s="60">
        <v>3.13</v>
      </c>
      <c r="C69" s="60">
        <v>32.99</v>
      </c>
      <c r="D69" s="60">
        <v>21.46</v>
      </c>
      <c r="E69" s="60">
        <v>2.44</v>
      </c>
      <c r="F69" s="60">
        <v>19.52</v>
      </c>
      <c r="G69" s="60">
        <v>34.06</v>
      </c>
      <c r="H69" s="60">
        <v>17.05</v>
      </c>
      <c r="I69" s="60">
        <v>0.47</v>
      </c>
      <c r="J69" s="60">
        <v>0.84</v>
      </c>
      <c r="K69" s="60">
        <v>204.98</v>
      </c>
      <c r="L69" s="60">
        <v>31.54</v>
      </c>
      <c r="M69" s="60">
        <v>24.4</v>
      </c>
      <c r="N69" s="60">
        <v>220.7</v>
      </c>
      <c r="O69" s="60">
        <v>0</v>
      </c>
      <c r="P69" s="60">
        <v>0.45</v>
      </c>
      <c r="Q69" s="60">
        <v>32.11</v>
      </c>
      <c r="R69" s="198"/>
      <c r="S69" s="198"/>
      <c r="T69" s="198"/>
      <c r="U69" s="198"/>
    </row>
    <row r="70" spans="1:21" s="12" customFormat="1" x14ac:dyDescent="0.25">
      <c r="A70" s="201" t="s">
        <v>501</v>
      </c>
      <c r="B70" s="60">
        <v>3.02</v>
      </c>
      <c r="C70" s="60">
        <v>41.25</v>
      </c>
      <c r="D70" s="60">
        <v>25.93</v>
      </c>
      <c r="E70" s="60">
        <v>2.86</v>
      </c>
      <c r="F70" s="60">
        <v>25.43</v>
      </c>
      <c r="G70" s="60">
        <v>33.31</v>
      </c>
      <c r="H70" s="60">
        <v>17.04</v>
      </c>
      <c r="I70" s="60">
        <v>0.47</v>
      </c>
      <c r="J70" s="60">
        <v>0.76</v>
      </c>
      <c r="K70" s="60">
        <v>193.61</v>
      </c>
      <c r="L70" s="60">
        <v>31.32</v>
      </c>
      <c r="M70" s="60">
        <v>25.13</v>
      </c>
      <c r="N70" s="60">
        <v>172.9</v>
      </c>
      <c r="O70" s="60">
        <v>0</v>
      </c>
      <c r="P70" s="60">
        <v>0.42</v>
      </c>
      <c r="Q70" s="60">
        <v>31.12</v>
      </c>
      <c r="R70" s="198"/>
      <c r="S70" s="198"/>
      <c r="T70" s="198"/>
      <c r="U70" s="198"/>
    </row>
    <row r="71" spans="1:21" s="12" customFormat="1" x14ac:dyDescent="0.25">
      <c r="A71" s="201" t="s">
        <v>502</v>
      </c>
      <c r="B71" s="60">
        <v>2.88</v>
      </c>
      <c r="C71" s="60">
        <v>40.94</v>
      </c>
      <c r="D71" s="60">
        <v>25.64</v>
      </c>
      <c r="E71" s="60">
        <v>2.84</v>
      </c>
      <c r="F71" s="60">
        <v>22.15</v>
      </c>
      <c r="G71" s="60">
        <v>20.440000000000001</v>
      </c>
      <c r="H71" s="60">
        <v>16.88</v>
      </c>
      <c r="I71" s="60">
        <v>0.48</v>
      </c>
      <c r="J71" s="60">
        <v>0.84</v>
      </c>
      <c r="K71" s="60">
        <v>213.01</v>
      </c>
      <c r="L71" s="60">
        <v>31.27</v>
      </c>
      <c r="M71" s="60">
        <v>25.82</v>
      </c>
      <c r="N71" s="60">
        <v>154.9</v>
      </c>
      <c r="O71" s="60">
        <v>0</v>
      </c>
      <c r="P71" s="60">
        <v>0.41</v>
      </c>
      <c r="Q71" s="60">
        <v>32.76</v>
      </c>
      <c r="R71" s="198"/>
      <c r="S71" s="198"/>
      <c r="T71" s="198"/>
      <c r="U71" s="198"/>
    </row>
    <row r="72" spans="1:21" s="12" customFormat="1" x14ac:dyDescent="0.25">
      <c r="A72" s="201" t="s">
        <v>503</v>
      </c>
      <c r="B72" s="60">
        <v>3.08</v>
      </c>
      <c r="C72" s="60">
        <v>40.69</v>
      </c>
      <c r="D72" s="60">
        <v>25.66</v>
      </c>
      <c r="E72" s="60">
        <v>1.57</v>
      </c>
      <c r="F72" s="60">
        <v>22.65</v>
      </c>
      <c r="G72" s="60">
        <v>20.440000000000001</v>
      </c>
      <c r="H72" s="60">
        <v>16.88</v>
      </c>
      <c r="I72" s="60">
        <v>0.47</v>
      </c>
      <c r="J72" s="60">
        <v>0.76</v>
      </c>
      <c r="K72" s="60">
        <v>215.73</v>
      </c>
      <c r="L72" s="60">
        <v>31.38</v>
      </c>
      <c r="M72" s="60">
        <v>25.38</v>
      </c>
      <c r="N72" s="60">
        <v>234.9</v>
      </c>
      <c r="O72" s="60">
        <v>0</v>
      </c>
      <c r="P72" s="60">
        <v>0.39</v>
      </c>
      <c r="Q72" s="60">
        <v>32.1</v>
      </c>
      <c r="R72" s="198"/>
      <c r="S72" s="198"/>
      <c r="T72" s="198"/>
      <c r="U72" s="198"/>
    </row>
    <row r="73" spans="1:21" s="12" customFormat="1" x14ac:dyDescent="0.25">
      <c r="A73" s="201" t="s">
        <v>504</v>
      </c>
      <c r="B73" s="60">
        <v>3.4</v>
      </c>
      <c r="C73" s="60">
        <v>40.35</v>
      </c>
      <c r="D73" s="60">
        <v>25.73</v>
      </c>
      <c r="E73" s="60">
        <v>2.4500000000000002</v>
      </c>
      <c r="F73" s="60">
        <v>17.239999999999998</v>
      </c>
      <c r="G73" s="60">
        <v>20.440000000000001</v>
      </c>
      <c r="H73" s="60">
        <v>16.88</v>
      </c>
      <c r="I73" s="60">
        <v>0.48</v>
      </c>
      <c r="J73" s="60">
        <v>1.17</v>
      </c>
      <c r="K73" s="60">
        <v>199.82</v>
      </c>
      <c r="L73" s="60">
        <v>31.36</v>
      </c>
      <c r="M73" s="60">
        <v>25.79</v>
      </c>
      <c r="N73" s="60">
        <v>174.4</v>
      </c>
      <c r="O73" s="60">
        <v>0</v>
      </c>
      <c r="P73" s="60">
        <v>0.39</v>
      </c>
      <c r="Q73" s="60">
        <v>32.53</v>
      </c>
      <c r="R73" s="198"/>
      <c r="S73" s="198"/>
      <c r="T73" s="198"/>
      <c r="U73" s="198"/>
    </row>
    <row r="74" spans="1:21" s="12" customFormat="1" x14ac:dyDescent="0.25">
      <c r="A74" s="201" t="s">
        <v>505</v>
      </c>
      <c r="B74" s="60">
        <v>8.24</v>
      </c>
      <c r="C74" s="60">
        <v>47.3</v>
      </c>
      <c r="D74" s="60">
        <v>33.159999999999997</v>
      </c>
      <c r="E74" s="60">
        <v>3.19</v>
      </c>
      <c r="F74" s="60">
        <v>16.059999999999999</v>
      </c>
      <c r="G74" s="60">
        <v>21.22</v>
      </c>
      <c r="H74" s="60">
        <v>16.66</v>
      </c>
      <c r="I74" s="60">
        <v>0.5</v>
      </c>
      <c r="J74" s="60">
        <v>0.28000000000000003</v>
      </c>
      <c r="K74" s="60">
        <v>4.24</v>
      </c>
      <c r="L74" s="60">
        <v>31.85</v>
      </c>
      <c r="M74" s="60">
        <v>23.53</v>
      </c>
      <c r="N74" s="60">
        <v>132</v>
      </c>
      <c r="O74" s="60">
        <v>0</v>
      </c>
      <c r="P74" s="60">
        <v>0.56999999999999995</v>
      </c>
      <c r="Q74" s="60">
        <v>31.8</v>
      </c>
      <c r="R74" s="198"/>
      <c r="S74" s="198"/>
      <c r="T74" s="198"/>
      <c r="U74" s="198"/>
    </row>
    <row r="75" spans="1:21" s="12" customFormat="1" x14ac:dyDescent="0.25">
      <c r="A75" s="201" t="s">
        <v>506</v>
      </c>
      <c r="B75" s="60">
        <v>6.94</v>
      </c>
      <c r="C75" s="60">
        <v>48.64</v>
      </c>
      <c r="D75" s="60">
        <v>33.15</v>
      </c>
      <c r="E75" s="60">
        <v>5.91</v>
      </c>
      <c r="F75" s="60">
        <v>16.170000000000002</v>
      </c>
      <c r="G75" s="60">
        <v>34.51</v>
      </c>
      <c r="H75" s="60">
        <v>13.25</v>
      </c>
      <c r="I75" s="60">
        <v>0.5</v>
      </c>
      <c r="J75" s="60">
        <v>0.2</v>
      </c>
      <c r="K75" s="60">
        <v>7.8</v>
      </c>
      <c r="L75" s="60">
        <v>32.090000000000003</v>
      </c>
      <c r="M75" s="60">
        <v>23.19</v>
      </c>
      <c r="N75" s="60">
        <v>97.2</v>
      </c>
      <c r="O75" s="60">
        <v>0</v>
      </c>
      <c r="P75" s="60">
        <v>0.62</v>
      </c>
      <c r="Q75" s="60">
        <v>33.31</v>
      </c>
      <c r="R75" s="198"/>
      <c r="S75" s="198"/>
      <c r="T75" s="198"/>
      <c r="U75" s="198"/>
    </row>
    <row r="76" spans="1:21" s="12" customFormat="1" x14ac:dyDescent="0.25">
      <c r="A76" s="201" t="s">
        <v>507</v>
      </c>
      <c r="B76" s="60">
        <v>5.65</v>
      </c>
      <c r="C76" s="60">
        <v>47.93</v>
      </c>
      <c r="D76" s="60">
        <v>31.72</v>
      </c>
      <c r="E76" s="60">
        <v>3.64</v>
      </c>
      <c r="F76" s="60">
        <v>9.1300000000000008</v>
      </c>
      <c r="G76" s="60">
        <v>34.51</v>
      </c>
      <c r="H76" s="60">
        <v>13.25</v>
      </c>
      <c r="I76" s="60">
        <v>0.52</v>
      </c>
      <c r="J76" s="60">
        <v>0.13</v>
      </c>
      <c r="K76" s="60">
        <v>18.829999999999998</v>
      </c>
      <c r="L76" s="60">
        <v>31.66</v>
      </c>
      <c r="M76" s="60">
        <v>22.47</v>
      </c>
      <c r="N76" s="60">
        <v>87.8</v>
      </c>
      <c r="O76" s="60">
        <v>0</v>
      </c>
      <c r="P76" s="60">
        <v>0.6</v>
      </c>
      <c r="Q76" s="60">
        <v>36.85</v>
      </c>
      <c r="R76" s="198"/>
      <c r="S76" s="198"/>
      <c r="T76" s="198"/>
      <c r="U76" s="198"/>
    </row>
    <row r="77" spans="1:21" s="12" customFormat="1" x14ac:dyDescent="0.25">
      <c r="A77" s="201" t="s">
        <v>508</v>
      </c>
      <c r="B77" s="60">
        <v>4.6500000000000004</v>
      </c>
      <c r="C77" s="60">
        <v>50.19</v>
      </c>
      <c r="D77" s="60">
        <v>32.17</v>
      </c>
      <c r="E77" s="60">
        <v>2.42</v>
      </c>
      <c r="F77" s="60">
        <v>9.2799999999999994</v>
      </c>
      <c r="G77" s="60">
        <v>34.51</v>
      </c>
      <c r="H77" s="60">
        <v>13.25</v>
      </c>
      <c r="I77" s="60">
        <v>0.53</v>
      </c>
      <c r="J77" s="60">
        <v>0.08</v>
      </c>
      <c r="K77" s="60">
        <v>306.89999999999998</v>
      </c>
      <c r="L77" s="60">
        <v>31.33</v>
      </c>
      <c r="M77" s="60">
        <v>21.73</v>
      </c>
      <c r="N77" s="60">
        <v>71.7</v>
      </c>
      <c r="O77" s="60">
        <v>0</v>
      </c>
      <c r="P77" s="60">
        <v>0.6</v>
      </c>
      <c r="Q77" s="60">
        <v>37.44</v>
      </c>
      <c r="R77" s="198"/>
      <c r="S77" s="198"/>
      <c r="T77" s="198"/>
      <c r="U77" s="198"/>
    </row>
    <row r="78" spans="1:21" s="12" customFormat="1" x14ac:dyDescent="0.25">
      <c r="A78" s="201" t="s">
        <v>509</v>
      </c>
      <c r="B78" s="60">
        <v>4.6399999999999997</v>
      </c>
      <c r="C78" s="60">
        <v>54.09</v>
      </c>
      <c r="D78" s="60">
        <v>34.31</v>
      </c>
      <c r="E78" s="60">
        <v>2.68</v>
      </c>
      <c r="F78" s="60">
        <v>9.9600000000000009</v>
      </c>
      <c r="G78" s="60">
        <v>34.44</v>
      </c>
      <c r="H78" s="60">
        <v>13.31</v>
      </c>
      <c r="I78" s="60">
        <v>0.55000000000000004</v>
      </c>
      <c r="J78" s="60">
        <v>0.1</v>
      </c>
      <c r="K78" s="60">
        <v>17.48</v>
      </c>
      <c r="L78" s="60">
        <v>31.03</v>
      </c>
      <c r="M78" s="60">
        <v>23.18</v>
      </c>
      <c r="N78" s="60">
        <v>47.1</v>
      </c>
      <c r="O78" s="60">
        <v>0</v>
      </c>
      <c r="P78" s="60">
        <v>0.62</v>
      </c>
      <c r="Q78" s="60">
        <v>37.74</v>
      </c>
      <c r="R78" s="198"/>
      <c r="S78" s="198"/>
      <c r="T78" s="198"/>
      <c r="U78" s="198"/>
    </row>
    <row r="79" spans="1:21" s="12" customFormat="1" x14ac:dyDescent="0.25">
      <c r="A79" s="201" t="s">
        <v>510</v>
      </c>
      <c r="B79" s="60">
        <v>4.32</v>
      </c>
      <c r="C79" s="60">
        <v>56.23</v>
      </c>
      <c r="D79" s="60">
        <v>35.24</v>
      </c>
      <c r="E79" s="60">
        <v>2.39</v>
      </c>
      <c r="F79" s="60">
        <v>11.61</v>
      </c>
      <c r="G79" s="60">
        <v>33.299999999999997</v>
      </c>
      <c r="H79" s="60">
        <v>14.55</v>
      </c>
      <c r="I79" s="60">
        <v>0.54</v>
      </c>
      <c r="J79" s="60">
        <v>0.41</v>
      </c>
      <c r="K79" s="60">
        <v>238.99</v>
      </c>
      <c r="L79" s="60">
        <v>30.52</v>
      </c>
      <c r="M79" s="60">
        <v>26.96</v>
      </c>
      <c r="N79" s="60">
        <v>32.9</v>
      </c>
      <c r="O79" s="60">
        <v>0</v>
      </c>
      <c r="P79" s="60">
        <v>0.61</v>
      </c>
      <c r="Q79" s="60">
        <v>37.99</v>
      </c>
      <c r="R79" s="198"/>
      <c r="S79" s="198"/>
      <c r="T79" s="198"/>
      <c r="U79" s="198"/>
    </row>
    <row r="80" spans="1:21" s="12" customFormat="1" x14ac:dyDescent="0.25">
      <c r="A80" s="201" t="s">
        <v>511</v>
      </c>
      <c r="B80" s="60">
        <v>3.8</v>
      </c>
      <c r="C80" s="60">
        <v>55.41</v>
      </c>
      <c r="D80" s="60">
        <v>34.369999999999997</v>
      </c>
      <c r="E80" s="60">
        <v>2.2999999999999998</v>
      </c>
      <c r="F80" s="60">
        <v>11.04</v>
      </c>
      <c r="G80" s="60">
        <v>33.299999999999997</v>
      </c>
      <c r="H80" s="60">
        <v>14.55</v>
      </c>
      <c r="I80" s="60">
        <v>0.53</v>
      </c>
      <c r="J80" s="60">
        <v>0.59</v>
      </c>
      <c r="K80" s="60">
        <v>213.2</v>
      </c>
      <c r="L80" s="60">
        <v>29.89</v>
      </c>
      <c r="M80" s="60">
        <v>32.880000000000003</v>
      </c>
      <c r="N80" s="60">
        <v>20.399999999999999</v>
      </c>
      <c r="O80" s="60">
        <v>0</v>
      </c>
      <c r="P80" s="60">
        <v>0.59</v>
      </c>
      <c r="Q80" s="60">
        <v>37.61</v>
      </c>
      <c r="R80" s="198"/>
      <c r="S80" s="198"/>
      <c r="T80" s="198"/>
      <c r="U80" s="198"/>
    </row>
    <row r="81" spans="1:26" s="12" customFormat="1" x14ac:dyDescent="0.25">
      <c r="A81" s="201" t="s">
        <v>512</v>
      </c>
      <c r="B81" s="60">
        <v>3.71</v>
      </c>
      <c r="C81" s="60">
        <v>55.98</v>
      </c>
      <c r="D81" s="60">
        <v>34.61</v>
      </c>
      <c r="E81" s="60">
        <v>2.5299999999999998</v>
      </c>
      <c r="F81" s="60">
        <v>11.64</v>
      </c>
      <c r="G81" s="60">
        <v>33.299999999999997</v>
      </c>
      <c r="H81" s="60">
        <v>14.55</v>
      </c>
      <c r="I81" s="60">
        <v>0.53</v>
      </c>
      <c r="J81" s="60">
        <v>0.85</v>
      </c>
      <c r="K81" s="60">
        <v>189.08</v>
      </c>
      <c r="L81" s="60">
        <v>29.56</v>
      </c>
      <c r="M81" s="60">
        <v>34.1</v>
      </c>
      <c r="N81" s="60">
        <v>9.4</v>
      </c>
      <c r="O81" s="60">
        <v>0</v>
      </c>
      <c r="P81" s="60">
        <v>0.56999999999999995</v>
      </c>
      <c r="Q81" s="60">
        <v>37.26</v>
      </c>
      <c r="R81" s="198"/>
      <c r="S81" s="198"/>
      <c r="T81" s="198"/>
      <c r="U81" s="198"/>
    </row>
    <row r="82" spans="1:26" s="12" customFormat="1" x14ac:dyDescent="0.25">
      <c r="A82" s="201" t="s">
        <v>513</v>
      </c>
      <c r="B82" s="60">
        <v>3.61</v>
      </c>
      <c r="C82" s="60">
        <v>56.1</v>
      </c>
      <c r="D82" s="60">
        <v>34.590000000000003</v>
      </c>
      <c r="E82" s="60">
        <v>3.77</v>
      </c>
      <c r="F82" s="60">
        <v>24.01</v>
      </c>
      <c r="G82" s="60">
        <v>38.97</v>
      </c>
      <c r="H82" s="60">
        <v>14.79</v>
      </c>
      <c r="I82" s="60">
        <v>0.53</v>
      </c>
      <c r="J82" s="60">
        <v>0.76</v>
      </c>
      <c r="K82" s="60">
        <v>194.86</v>
      </c>
      <c r="L82" s="60">
        <v>29.18</v>
      </c>
      <c r="M82" s="60">
        <v>35.19</v>
      </c>
      <c r="N82" s="60">
        <v>5.3</v>
      </c>
      <c r="O82" s="60">
        <v>0</v>
      </c>
      <c r="P82" s="60">
        <v>0.56000000000000005</v>
      </c>
      <c r="Q82" s="60">
        <v>36.81</v>
      </c>
      <c r="R82" s="198"/>
      <c r="S82" s="198"/>
      <c r="T82" s="198"/>
      <c r="U82" s="198"/>
    </row>
    <row r="83" spans="1:26" s="12" customFormat="1" x14ac:dyDescent="0.25">
      <c r="A83" s="201" t="s">
        <v>514</v>
      </c>
      <c r="B83" s="60">
        <v>4.49</v>
      </c>
      <c r="C83" s="60">
        <v>59.81</v>
      </c>
      <c r="D83" s="60">
        <v>37.35</v>
      </c>
      <c r="E83" s="60">
        <v>4.83</v>
      </c>
      <c r="F83" s="60">
        <v>19.39</v>
      </c>
      <c r="G83" s="60">
        <v>160.72</v>
      </c>
      <c r="H83" s="60">
        <v>18.87</v>
      </c>
      <c r="I83" s="60">
        <v>0.53</v>
      </c>
      <c r="J83" s="60">
        <v>0.99</v>
      </c>
      <c r="K83" s="60">
        <v>187.53</v>
      </c>
      <c r="L83" s="60">
        <v>29.01</v>
      </c>
      <c r="M83" s="60">
        <v>35.25</v>
      </c>
      <c r="N83" s="60">
        <v>4.4000000000000004</v>
      </c>
      <c r="O83" s="60">
        <v>0</v>
      </c>
      <c r="P83" s="60">
        <v>0.6</v>
      </c>
      <c r="Q83" s="60">
        <v>35.1</v>
      </c>
      <c r="R83" s="198"/>
      <c r="S83" s="198"/>
      <c r="T83" s="198"/>
      <c r="U83" s="198"/>
    </row>
    <row r="84" spans="1:26" s="12" customFormat="1" x14ac:dyDescent="0.25">
      <c r="A84" s="201" t="s">
        <v>515</v>
      </c>
      <c r="B84" s="60">
        <v>5.27</v>
      </c>
      <c r="C84" s="60">
        <v>58.05</v>
      </c>
      <c r="D84" s="60">
        <v>37.01</v>
      </c>
      <c r="E84" s="60">
        <v>4.5999999999999996</v>
      </c>
      <c r="F84" s="60">
        <v>18.600000000000001</v>
      </c>
      <c r="G84" s="60">
        <v>160.72</v>
      </c>
      <c r="H84" s="60">
        <v>18.87</v>
      </c>
      <c r="I84" s="60">
        <v>0.52</v>
      </c>
      <c r="J84" s="60">
        <v>0.86</v>
      </c>
      <c r="K84" s="60">
        <v>184.78</v>
      </c>
      <c r="L84" s="60">
        <v>28.84</v>
      </c>
      <c r="M84" s="60">
        <v>35.94</v>
      </c>
      <c r="N84" s="60">
        <v>4.5</v>
      </c>
      <c r="O84" s="60">
        <v>0</v>
      </c>
      <c r="P84" s="60">
        <v>0.6</v>
      </c>
      <c r="Q84" s="60">
        <v>33.54</v>
      </c>
      <c r="R84" s="198"/>
      <c r="S84" s="198"/>
      <c r="T84" s="198"/>
      <c r="U84" s="198"/>
    </row>
    <row r="85" spans="1:26" s="12" customFormat="1" x14ac:dyDescent="0.25">
      <c r="A85" s="201" t="s">
        <v>516</v>
      </c>
      <c r="B85" s="60">
        <v>5.85</v>
      </c>
      <c r="C85" s="60">
        <v>61.37</v>
      </c>
      <c r="D85" s="60">
        <v>39.299999999999997</v>
      </c>
      <c r="E85" s="60">
        <v>5.42</v>
      </c>
      <c r="F85" s="60">
        <v>20.96</v>
      </c>
      <c r="G85" s="60">
        <v>160.72</v>
      </c>
      <c r="H85" s="60">
        <v>18.87</v>
      </c>
      <c r="I85" s="60">
        <v>0.5</v>
      </c>
      <c r="J85" s="60">
        <v>0.54</v>
      </c>
      <c r="K85" s="60">
        <v>182.97</v>
      </c>
      <c r="L85" s="60">
        <v>28.44</v>
      </c>
      <c r="M85" s="60">
        <v>37.51</v>
      </c>
      <c r="N85" s="60">
        <v>4.9000000000000004</v>
      </c>
      <c r="O85" s="60">
        <v>0</v>
      </c>
      <c r="P85" s="60">
        <v>0.68</v>
      </c>
      <c r="Q85" s="60">
        <v>32.24</v>
      </c>
      <c r="R85" s="198"/>
      <c r="S85" s="198"/>
      <c r="T85" s="198"/>
      <c r="U85" s="198"/>
    </row>
    <row r="86" spans="1:26" s="12" customFormat="1" x14ac:dyDescent="0.25">
      <c r="A86" s="201" t="s">
        <v>517</v>
      </c>
      <c r="B86" s="60">
        <v>6.62</v>
      </c>
      <c r="C86" s="60">
        <v>62.34</v>
      </c>
      <c r="D86" s="60">
        <v>40.46</v>
      </c>
      <c r="E86" s="60">
        <v>4.75</v>
      </c>
      <c r="F86" s="60">
        <v>16.309999999999999</v>
      </c>
      <c r="G86" s="60">
        <v>156.37</v>
      </c>
      <c r="H86" s="60">
        <v>18.920000000000002</v>
      </c>
      <c r="I86" s="60">
        <v>0.51</v>
      </c>
      <c r="J86" s="60">
        <v>0.72</v>
      </c>
      <c r="K86" s="60">
        <v>179.6</v>
      </c>
      <c r="L86" s="60">
        <v>28.21</v>
      </c>
      <c r="M86" s="60">
        <v>38.83</v>
      </c>
      <c r="N86" s="60">
        <v>4.5999999999999996</v>
      </c>
      <c r="O86" s="60">
        <v>0</v>
      </c>
      <c r="P86" s="60">
        <v>0.74</v>
      </c>
      <c r="Q86" s="60">
        <v>32.35</v>
      </c>
      <c r="R86" s="198"/>
      <c r="S86" s="198"/>
      <c r="T86" s="198"/>
      <c r="U86" s="198"/>
    </row>
    <row r="87" spans="1:26" s="12" customFormat="1" x14ac:dyDescent="0.25">
      <c r="A87" s="201" t="s">
        <v>518</v>
      </c>
      <c r="B87" s="60">
        <v>5.43</v>
      </c>
      <c r="C87" s="60">
        <v>59.15</v>
      </c>
      <c r="D87" s="60">
        <v>37.729999999999997</v>
      </c>
      <c r="E87" s="60">
        <v>5.26</v>
      </c>
      <c r="F87" s="60">
        <v>21.23</v>
      </c>
      <c r="G87" s="60">
        <v>82.38</v>
      </c>
      <c r="H87" s="60">
        <v>19.760000000000002</v>
      </c>
      <c r="I87" s="60">
        <v>0.51</v>
      </c>
      <c r="J87" s="60">
        <v>0.54</v>
      </c>
      <c r="K87" s="60">
        <v>180.33</v>
      </c>
      <c r="L87" s="60">
        <v>27.95</v>
      </c>
      <c r="M87" s="60">
        <v>39.96</v>
      </c>
      <c r="N87" s="60">
        <v>4.5999999999999996</v>
      </c>
      <c r="O87" s="60">
        <v>0</v>
      </c>
      <c r="P87" s="60">
        <v>0.8</v>
      </c>
      <c r="Q87" s="60">
        <v>32.979999999999997</v>
      </c>
      <c r="R87" s="198"/>
      <c r="S87" s="198"/>
      <c r="T87" s="198"/>
      <c r="U87" s="198"/>
    </row>
    <row r="88" spans="1:26" s="12" customFormat="1" x14ac:dyDescent="0.25">
      <c r="A88" s="201" t="s">
        <v>519</v>
      </c>
      <c r="B88" s="60">
        <v>9.91</v>
      </c>
      <c r="C88" s="60">
        <v>63.24</v>
      </c>
      <c r="D88" s="60">
        <v>43.59</v>
      </c>
      <c r="E88" s="60">
        <v>3.28</v>
      </c>
      <c r="F88" s="60">
        <v>13.04</v>
      </c>
      <c r="G88" s="60">
        <v>82.38</v>
      </c>
      <c r="H88" s="60">
        <v>19.760000000000002</v>
      </c>
      <c r="I88" s="60">
        <v>0.52</v>
      </c>
      <c r="J88" s="60">
        <v>0.7</v>
      </c>
      <c r="K88" s="60">
        <v>180.58</v>
      </c>
      <c r="L88" s="60">
        <v>27.77</v>
      </c>
      <c r="M88" s="60">
        <v>40.54</v>
      </c>
      <c r="N88" s="60">
        <v>4.4000000000000004</v>
      </c>
      <c r="O88" s="60">
        <v>0</v>
      </c>
      <c r="P88" s="60">
        <v>0.8</v>
      </c>
      <c r="Q88" s="60">
        <v>33.229999999999997</v>
      </c>
      <c r="R88" s="198"/>
      <c r="S88" s="198"/>
      <c r="T88" s="198"/>
      <c r="U88" s="198"/>
    </row>
    <row r="89" spans="1:26" s="12" customFormat="1" x14ac:dyDescent="0.25">
      <c r="A89" s="201" t="s">
        <v>520</v>
      </c>
      <c r="B89" s="60">
        <v>9.31</v>
      </c>
      <c r="C89" s="60">
        <v>66.47</v>
      </c>
      <c r="D89" s="60">
        <v>44.89</v>
      </c>
      <c r="E89" s="60">
        <v>5.41</v>
      </c>
      <c r="F89" s="60">
        <v>13.16</v>
      </c>
      <c r="G89" s="60">
        <v>82.38</v>
      </c>
      <c r="H89" s="60">
        <v>19.760000000000002</v>
      </c>
      <c r="I89" s="60">
        <v>0.53</v>
      </c>
      <c r="J89" s="60">
        <v>0.31</v>
      </c>
      <c r="K89" s="60">
        <v>192.06</v>
      </c>
      <c r="L89" s="60">
        <v>27.5</v>
      </c>
      <c r="M89" s="60">
        <v>41.89</v>
      </c>
      <c r="N89" s="60">
        <v>4.9000000000000004</v>
      </c>
      <c r="O89" s="60">
        <v>0</v>
      </c>
      <c r="P89" s="60">
        <v>0.85</v>
      </c>
      <c r="Q89" s="60">
        <v>33.58</v>
      </c>
      <c r="R89" s="198"/>
      <c r="S89" s="198"/>
      <c r="T89" s="198"/>
      <c r="U89" s="198"/>
    </row>
    <row r="90" spans="1:26" s="12" customFormat="1" x14ac:dyDescent="0.25">
      <c r="A90" s="201" t="s">
        <v>521</v>
      </c>
      <c r="B90" s="60">
        <v>11.06</v>
      </c>
      <c r="C90" s="60">
        <v>60.94</v>
      </c>
      <c r="D90" s="60">
        <v>43.25</v>
      </c>
      <c r="E90" s="60">
        <v>3.92</v>
      </c>
      <c r="F90" s="60">
        <v>6.64</v>
      </c>
      <c r="G90" s="60">
        <v>81.48</v>
      </c>
      <c r="H90" s="60">
        <v>19.7</v>
      </c>
      <c r="I90" s="60">
        <v>0.54</v>
      </c>
      <c r="J90" s="60">
        <v>0.55000000000000004</v>
      </c>
      <c r="K90" s="60">
        <v>186.37</v>
      </c>
      <c r="L90" s="60">
        <v>27.37</v>
      </c>
      <c r="M90" s="60">
        <v>41.66</v>
      </c>
      <c r="N90" s="60">
        <v>4.2</v>
      </c>
      <c r="O90" s="60">
        <v>0</v>
      </c>
      <c r="P90" s="60">
        <v>0.78</v>
      </c>
      <c r="Q90" s="60">
        <v>36.4</v>
      </c>
      <c r="R90" s="198"/>
      <c r="S90" s="198"/>
      <c r="T90" s="198"/>
      <c r="U90" s="198"/>
    </row>
    <row r="91" spans="1:26" s="12" customFormat="1" x14ac:dyDescent="0.25">
      <c r="A91" s="201" t="s">
        <v>522</v>
      </c>
      <c r="B91" s="60">
        <v>11.94</v>
      </c>
      <c r="C91" s="60">
        <v>63.63</v>
      </c>
      <c r="D91" s="60">
        <v>45.43</v>
      </c>
      <c r="E91" s="60">
        <v>3.37</v>
      </c>
      <c r="F91" s="60">
        <v>5.96</v>
      </c>
      <c r="G91" s="60">
        <v>66.13</v>
      </c>
      <c r="H91" s="60">
        <v>18.7</v>
      </c>
      <c r="I91" s="60">
        <v>0.57999999999999996</v>
      </c>
      <c r="J91" s="60">
        <v>0.35</v>
      </c>
      <c r="K91" s="60">
        <v>195.78</v>
      </c>
      <c r="L91" s="60">
        <v>27.29</v>
      </c>
      <c r="M91" s="60">
        <v>42.18</v>
      </c>
      <c r="N91" s="60">
        <v>4.5999999999999996</v>
      </c>
      <c r="O91" s="60">
        <v>0</v>
      </c>
      <c r="P91" s="60">
        <v>0.8</v>
      </c>
      <c r="Q91" s="60">
        <v>39.15</v>
      </c>
      <c r="R91" s="198"/>
      <c r="S91" s="198"/>
      <c r="T91" s="198"/>
      <c r="U91" s="198"/>
    </row>
    <row r="92" spans="1:26" s="12" customFormat="1" x14ac:dyDescent="0.25">
      <c r="A92" s="201" t="s">
        <v>523</v>
      </c>
      <c r="B92" s="60">
        <v>10.210000000000001</v>
      </c>
      <c r="C92" s="60">
        <v>64.42</v>
      </c>
      <c r="D92" s="60">
        <v>44.48</v>
      </c>
      <c r="E92" s="60">
        <v>3.79</v>
      </c>
      <c r="F92" s="60">
        <v>7.58</v>
      </c>
      <c r="G92" s="60">
        <v>66.13</v>
      </c>
      <c r="H92" s="60">
        <v>18.7</v>
      </c>
      <c r="I92" s="60">
        <v>0.64</v>
      </c>
      <c r="J92" s="60">
        <v>0.04</v>
      </c>
      <c r="K92" s="60">
        <v>275.98</v>
      </c>
      <c r="L92" s="60">
        <v>26.75</v>
      </c>
      <c r="M92" s="60">
        <v>44.16</v>
      </c>
      <c r="N92" s="60">
        <v>5.0999999999999996</v>
      </c>
      <c r="O92" s="60">
        <v>0</v>
      </c>
      <c r="P92" s="60">
        <v>0.87</v>
      </c>
      <c r="Q92" s="60">
        <v>41.31</v>
      </c>
      <c r="R92" s="198"/>
      <c r="S92" s="198"/>
      <c r="T92" s="198"/>
      <c r="U92" s="198"/>
    </row>
    <row r="93" spans="1:26" s="12" customFormat="1" x14ac:dyDescent="0.25">
      <c r="A93" s="201" t="s">
        <v>524</v>
      </c>
      <c r="B93" s="60">
        <v>9.31</v>
      </c>
      <c r="C93" s="60">
        <v>62.28</v>
      </c>
      <c r="D93" s="60">
        <v>42.57</v>
      </c>
      <c r="E93" s="60">
        <v>3.26</v>
      </c>
      <c r="F93" s="60">
        <v>7.74</v>
      </c>
      <c r="G93" s="60">
        <v>66.13</v>
      </c>
      <c r="H93" s="60">
        <v>18.7</v>
      </c>
      <c r="I93" s="60">
        <v>0.61</v>
      </c>
      <c r="J93" s="60">
        <v>0.28000000000000003</v>
      </c>
      <c r="K93" s="60">
        <v>223.56</v>
      </c>
      <c r="L93" s="60">
        <v>26.79</v>
      </c>
      <c r="M93" s="60">
        <v>44.09</v>
      </c>
      <c r="N93" s="60">
        <v>4.0999999999999996</v>
      </c>
      <c r="O93" s="60">
        <v>0</v>
      </c>
      <c r="P93" s="60">
        <v>0.87</v>
      </c>
      <c r="Q93" s="60">
        <v>41.55</v>
      </c>
      <c r="R93" s="198"/>
      <c r="S93" s="198"/>
      <c r="T93" s="198"/>
      <c r="U93" s="198"/>
    </row>
    <row r="94" spans="1:26" s="12" customFormat="1" x14ac:dyDescent="0.25">
      <c r="A94" s="201" t="s">
        <v>525</v>
      </c>
      <c r="B94" s="60">
        <v>8.57</v>
      </c>
      <c r="C94" s="60">
        <v>61.57</v>
      </c>
      <c r="D94" s="60">
        <v>41.6</v>
      </c>
      <c r="E94" s="60">
        <v>3.26</v>
      </c>
      <c r="F94" s="60">
        <v>9.08</v>
      </c>
      <c r="G94" s="60">
        <v>65.62</v>
      </c>
      <c r="H94" s="60">
        <v>18.77</v>
      </c>
      <c r="I94" s="60">
        <v>0.57999999999999996</v>
      </c>
      <c r="J94" s="60">
        <v>0.14000000000000001</v>
      </c>
      <c r="K94" s="60">
        <v>206.67</v>
      </c>
      <c r="L94" s="60">
        <v>26.53</v>
      </c>
      <c r="M94" s="60">
        <v>45.81</v>
      </c>
      <c r="N94" s="60">
        <v>4.8</v>
      </c>
      <c r="O94" s="60">
        <v>0</v>
      </c>
      <c r="P94" s="60">
        <v>0.89</v>
      </c>
      <c r="Q94" s="60">
        <v>41.27</v>
      </c>
      <c r="R94" s="198"/>
      <c r="S94" s="198"/>
      <c r="T94" s="198"/>
      <c r="U94" s="198"/>
    </row>
    <row r="95" spans="1:26" s="12" customFormat="1" x14ac:dyDescent="0.25">
      <c r="A95" s="201" t="s">
        <v>526</v>
      </c>
      <c r="B95" s="60">
        <v>8.41</v>
      </c>
      <c r="C95" s="60">
        <v>66.239999999999995</v>
      </c>
      <c r="D95" s="60">
        <v>44.04</v>
      </c>
      <c r="E95" s="60">
        <v>3.19</v>
      </c>
      <c r="F95" s="60">
        <v>7.42</v>
      </c>
      <c r="G95" s="60">
        <v>56.96</v>
      </c>
      <c r="H95" s="60">
        <v>19.850000000000001</v>
      </c>
      <c r="I95" s="60">
        <v>0.57999999999999996</v>
      </c>
      <c r="J95" s="60">
        <v>0.15</v>
      </c>
      <c r="K95" s="60">
        <v>227</v>
      </c>
      <c r="L95" s="60">
        <v>26.06</v>
      </c>
      <c r="M95" s="60">
        <v>47.94</v>
      </c>
      <c r="N95" s="60">
        <v>4.5999999999999996</v>
      </c>
      <c r="O95" s="60">
        <v>0</v>
      </c>
      <c r="P95" s="60">
        <v>0.92</v>
      </c>
      <c r="Q95" s="60">
        <v>40.83</v>
      </c>
      <c r="R95" s="198"/>
      <c r="S95" s="198"/>
      <c r="T95" s="198"/>
      <c r="U95" s="198"/>
    </row>
    <row r="96" spans="1:26" s="12" customFormat="1" x14ac:dyDescent="0.25">
      <c r="A96" s="201" t="s">
        <v>527</v>
      </c>
      <c r="B96" s="60">
        <v>12.82</v>
      </c>
      <c r="C96" s="60">
        <v>68.66</v>
      </c>
      <c r="D96" s="60">
        <v>48.91</v>
      </c>
      <c r="E96" s="60">
        <v>3.3</v>
      </c>
      <c r="F96" s="60">
        <v>7.91</v>
      </c>
      <c r="G96" s="60">
        <v>56.96</v>
      </c>
      <c r="H96" s="60">
        <v>19.850000000000001</v>
      </c>
      <c r="I96" s="60">
        <v>0.57999999999999996</v>
      </c>
      <c r="J96" s="60">
        <v>0.08</v>
      </c>
      <c r="K96" s="60">
        <v>215.41</v>
      </c>
      <c r="L96" s="60">
        <v>25.94</v>
      </c>
      <c r="M96" s="60">
        <v>48.65</v>
      </c>
      <c r="N96" s="60">
        <v>4.5999999999999996</v>
      </c>
      <c r="O96" s="60">
        <v>0</v>
      </c>
      <c r="P96" s="60">
        <v>0.96</v>
      </c>
      <c r="Q96" s="60">
        <v>40.86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528</v>
      </c>
      <c r="B97" s="60">
        <v>19.079999999999998</v>
      </c>
      <c r="C97" s="60">
        <v>64.489999999999995</v>
      </c>
      <c r="D97" s="60">
        <v>51.63</v>
      </c>
      <c r="E97" s="60">
        <v>4.99</v>
      </c>
      <c r="F97" s="60">
        <v>13</v>
      </c>
      <c r="G97" s="60">
        <v>56.96</v>
      </c>
      <c r="H97" s="60">
        <v>19.850000000000001</v>
      </c>
      <c r="I97" s="60">
        <v>0.59</v>
      </c>
      <c r="J97" s="60">
        <v>0.09</v>
      </c>
      <c r="K97" s="60">
        <v>330.48</v>
      </c>
      <c r="L97" s="60">
        <v>25.53</v>
      </c>
      <c r="M97" s="60">
        <v>49.76</v>
      </c>
      <c r="N97" s="60">
        <v>4.9000000000000004</v>
      </c>
      <c r="O97" s="60">
        <v>0</v>
      </c>
      <c r="P97" s="60">
        <v>1.1299999999999999</v>
      </c>
      <c r="Q97" s="60">
        <v>38.24</v>
      </c>
      <c r="R97" s="198"/>
      <c r="S97" s="198"/>
      <c r="T97" s="198"/>
      <c r="U97" s="198"/>
    </row>
    <row r="98" spans="1:33" s="12" customFormat="1" x14ac:dyDescent="0.25">
      <c r="A98" s="201" t="s">
        <v>529</v>
      </c>
      <c r="B98" s="60">
        <v>8.4600000000000009</v>
      </c>
      <c r="C98" s="60">
        <v>61.6</v>
      </c>
      <c r="D98" s="60">
        <v>41.52</v>
      </c>
      <c r="E98" s="60">
        <v>4.84</v>
      </c>
      <c r="F98" s="60">
        <v>13.99</v>
      </c>
      <c r="G98" s="60">
        <v>57.79</v>
      </c>
      <c r="H98" s="60">
        <v>20.16</v>
      </c>
      <c r="I98" s="60">
        <v>0.59</v>
      </c>
      <c r="J98" s="60">
        <v>0.12</v>
      </c>
      <c r="K98" s="60">
        <v>302.8</v>
      </c>
      <c r="L98" s="60">
        <v>25.52</v>
      </c>
      <c r="M98" s="60">
        <v>49.75</v>
      </c>
      <c r="N98" s="60">
        <v>4.5</v>
      </c>
      <c r="O98" s="60">
        <v>0</v>
      </c>
      <c r="P98" s="60">
        <v>0.91</v>
      </c>
      <c r="Q98" s="60">
        <v>36.5</v>
      </c>
      <c r="R98" s="198"/>
      <c r="S98" s="198"/>
      <c r="T98" s="198"/>
      <c r="U98" s="198"/>
    </row>
    <row r="99" spans="1:33" s="12" customFormat="1" x14ac:dyDescent="0.25">
      <c r="A99" s="201" t="s">
        <v>530</v>
      </c>
      <c r="B99" s="60">
        <v>8.57</v>
      </c>
      <c r="C99" s="60">
        <v>56.6</v>
      </c>
      <c r="D99" s="60">
        <v>38.85</v>
      </c>
      <c r="E99" s="60">
        <v>4.43</v>
      </c>
      <c r="F99" s="60">
        <v>13.74</v>
      </c>
      <c r="G99" s="60">
        <v>72.05</v>
      </c>
      <c r="H99" s="60">
        <v>25.59</v>
      </c>
      <c r="I99" s="60">
        <v>0.57999999999999996</v>
      </c>
      <c r="J99" s="60">
        <v>0.62</v>
      </c>
      <c r="K99" s="60">
        <v>213.37</v>
      </c>
      <c r="L99" s="60">
        <v>25.77</v>
      </c>
      <c r="M99" s="60">
        <v>48.91</v>
      </c>
      <c r="N99" s="60">
        <v>3.4</v>
      </c>
      <c r="O99" s="60">
        <v>0</v>
      </c>
      <c r="P99" s="60">
        <v>0.86</v>
      </c>
      <c r="Q99" s="60">
        <v>35.01</v>
      </c>
      <c r="R99" s="198"/>
      <c r="S99" s="198"/>
      <c r="T99" s="198"/>
      <c r="U99" s="198"/>
    </row>
    <row r="100" spans="1:33" s="12" customFormat="1" x14ac:dyDescent="0.25">
      <c r="A100" s="201" t="s">
        <v>531</v>
      </c>
      <c r="B100" s="60">
        <v>8.2799999999999994</v>
      </c>
      <c r="C100" s="60">
        <v>50.27</v>
      </c>
      <c r="D100" s="60">
        <v>35.119999999999997</v>
      </c>
      <c r="E100" s="60">
        <v>4.7300000000000004</v>
      </c>
      <c r="F100" s="60">
        <v>17.34</v>
      </c>
      <c r="G100" s="60">
        <v>72.05</v>
      </c>
      <c r="H100" s="60">
        <v>25.59</v>
      </c>
      <c r="I100" s="60">
        <v>0.56999999999999995</v>
      </c>
      <c r="J100" s="60">
        <v>0.21</v>
      </c>
      <c r="K100" s="60">
        <v>270.94</v>
      </c>
      <c r="L100" s="60">
        <v>25.52</v>
      </c>
      <c r="M100" s="60">
        <v>49.87</v>
      </c>
      <c r="N100" s="60">
        <v>4.8</v>
      </c>
      <c r="O100" s="60">
        <v>0</v>
      </c>
      <c r="P100" s="60">
        <v>0.84</v>
      </c>
      <c r="Q100" s="60">
        <v>35.83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532</v>
      </c>
      <c r="B101" s="60">
        <v>8.7200000000000006</v>
      </c>
      <c r="C101" s="60">
        <v>48.23</v>
      </c>
      <c r="D101" s="60">
        <v>34.35</v>
      </c>
      <c r="E101" s="60">
        <v>4.03</v>
      </c>
      <c r="F101" s="60">
        <v>13.37</v>
      </c>
      <c r="G101" s="60">
        <v>72.05</v>
      </c>
      <c r="H101" s="60">
        <v>25.59</v>
      </c>
      <c r="I101" s="60">
        <v>0.56999999999999995</v>
      </c>
      <c r="J101" s="60">
        <v>0.39</v>
      </c>
      <c r="K101" s="60">
        <v>249.4</v>
      </c>
      <c r="L101" s="60">
        <v>25.24</v>
      </c>
      <c r="M101" s="60">
        <v>50.99</v>
      </c>
      <c r="N101" s="60">
        <v>4.4000000000000004</v>
      </c>
      <c r="O101" s="60">
        <v>0</v>
      </c>
      <c r="P101" s="60">
        <v>0.86</v>
      </c>
      <c r="Q101" s="60">
        <v>35.71</v>
      </c>
      <c r="R101" s="198"/>
      <c r="S101" s="198"/>
      <c r="T101" s="198"/>
      <c r="U101" s="198"/>
    </row>
    <row r="102" spans="1:33" s="12" customFormat="1" x14ac:dyDescent="0.25">
      <c r="A102" s="201" t="s">
        <v>533</v>
      </c>
      <c r="B102" s="60">
        <v>8.52</v>
      </c>
      <c r="C102" s="60">
        <v>44.75</v>
      </c>
      <c r="D102" s="60">
        <v>32.270000000000003</v>
      </c>
      <c r="E102" s="60">
        <v>3.52</v>
      </c>
      <c r="F102" s="60">
        <v>14.7</v>
      </c>
      <c r="G102" s="60">
        <v>71.7</v>
      </c>
      <c r="H102" s="60">
        <v>25.64</v>
      </c>
      <c r="I102" s="60">
        <v>0.57999999999999996</v>
      </c>
      <c r="J102" s="60">
        <v>0.16</v>
      </c>
      <c r="K102" s="60">
        <v>258.88</v>
      </c>
      <c r="L102" s="60">
        <v>24.82</v>
      </c>
      <c r="M102" s="60">
        <v>53.57</v>
      </c>
      <c r="N102" s="60">
        <v>5</v>
      </c>
      <c r="O102" s="60">
        <v>0</v>
      </c>
      <c r="P102" s="60">
        <v>0.83</v>
      </c>
      <c r="Q102" s="60">
        <v>36.08</v>
      </c>
      <c r="R102" s="198"/>
      <c r="S102" s="198"/>
      <c r="T102" s="198"/>
      <c r="U102" s="198"/>
    </row>
    <row r="103" spans="1:33" s="12" customFormat="1" x14ac:dyDescent="0.25">
      <c r="A103" s="201" t="s">
        <v>534</v>
      </c>
      <c r="B103" s="60">
        <v>9.18</v>
      </c>
      <c r="C103" s="60">
        <v>44.93</v>
      </c>
      <c r="D103" s="60">
        <v>32.9</v>
      </c>
      <c r="E103" s="60">
        <v>3.61</v>
      </c>
      <c r="F103" s="60">
        <v>7.8</v>
      </c>
      <c r="G103" s="60">
        <v>65.75</v>
      </c>
      <c r="H103" s="60">
        <v>26.41</v>
      </c>
      <c r="I103" s="60">
        <v>0.56999999999999995</v>
      </c>
      <c r="J103" s="60">
        <v>1.27</v>
      </c>
      <c r="K103" s="60">
        <v>191.24</v>
      </c>
      <c r="L103" s="60">
        <v>24.69</v>
      </c>
      <c r="M103" s="60">
        <v>53.84</v>
      </c>
      <c r="N103" s="60">
        <v>3.7</v>
      </c>
      <c r="O103" s="60">
        <v>0</v>
      </c>
      <c r="P103" s="60">
        <v>0.87</v>
      </c>
      <c r="Q103" s="60">
        <v>36.32</v>
      </c>
      <c r="R103" s="198"/>
      <c r="S103" s="198"/>
      <c r="T103" s="198"/>
      <c r="U103" s="198"/>
    </row>
    <row r="104" spans="1:33" s="12" customFormat="1" x14ac:dyDescent="0.25">
      <c r="A104" s="201" t="s">
        <v>535</v>
      </c>
      <c r="B104" s="60">
        <v>9.99</v>
      </c>
      <c r="C104" s="60">
        <v>44.86</v>
      </c>
      <c r="D104" s="60">
        <v>33.5</v>
      </c>
      <c r="E104" s="60">
        <v>2.23</v>
      </c>
      <c r="F104" s="60">
        <v>5.95</v>
      </c>
      <c r="G104" s="60">
        <v>65.75</v>
      </c>
      <c r="H104" s="60">
        <v>26.41</v>
      </c>
      <c r="I104" s="60">
        <v>0.56999999999999995</v>
      </c>
      <c r="J104" s="60">
        <v>1.06</v>
      </c>
      <c r="K104" s="60">
        <v>193.49</v>
      </c>
      <c r="L104" s="60">
        <v>24.68</v>
      </c>
      <c r="M104" s="60">
        <v>53.4</v>
      </c>
      <c r="N104" s="60">
        <v>4.4000000000000004</v>
      </c>
      <c r="O104" s="60">
        <v>0</v>
      </c>
      <c r="P104" s="60">
        <v>0.88</v>
      </c>
      <c r="Q104" s="60">
        <v>38.1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2.75</v>
      </c>
      <c r="C106" s="67">
        <f>MIN(C9:C104)</f>
        <v>3.7</v>
      </c>
      <c r="D106" s="67">
        <f t="shared" ref="D106:Q106" si="0">MIN(D9:D104)</f>
        <v>21.46</v>
      </c>
      <c r="E106" s="67">
        <f t="shared" si="0"/>
        <v>1.26</v>
      </c>
      <c r="F106" s="67">
        <f t="shared" si="0"/>
        <v>2.86</v>
      </c>
      <c r="G106" s="67">
        <f t="shared" si="0"/>
        <v>20.440000000000001</v>
      </c>
      <c r="H106" s="67">
        <f t="shared" si="0"/>
        <v>13.25</v>
      </c>
      <c r="I106" s="67">
        <f t="shared" si="0"/>
        <v>0.47</v>
      </c>
      <c r="J106" s="67">
        <f t="shared" si="0"/>
        <v>0.04</v>
      </c>
      <c r="K106" s="67">
        <f t="shared" si="0"/>
        <v>1.04</v>
      </c>
      <c r="L106" s="67">
        <f t="shared" si="0"/>
        <v>19.149999999999999</v>
      </c>
      <c r="M106" s="67">
        <f t="shared" si="0"/>
        <v>21.73</v>
      </c>
      <c r="N106" s="67">
        <f t="shared" si="0"/>
        <v>3.4</v>
      </c>
      <c r="O106" s="67">
        <f t="shared" si="0"/>
        <v>0</v>
      </c>
      <c r="P106" s="67">
        <f t="shared" si="0"/>
        <v>0.39</v>
      </c>
      <c r="Q106" s="67">
        <f t="shared" si="0"/>
        <v>31.12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187.24</v>
      </c>
      <c r="C107" s="66">
        <f t="shared" ref="C107:Q107" si="1">MAX(C9:C104)</f>
        <v>69.45</v>
      </c>
      <c r="D107" s="66">
        <f t="shared" si="1"/>
        <v>198.48</v>
      </c>
      <c r="E107" s="66">
        <f t="shared" si="1"/>
        <v>87.16</v>
      </c>
      <c r="F107" s="66">
        <f t="shared" si="1"/>
        <v>56.57</v>
      </c>
      <c r="G107" s="66">
        <f t="shared" si="1"/>
        <v>257.06</v>
      </c>
      <c r="H107" s="66">
        <f t="shared" si="1"/>
        <v>64.62</v>
      </c>
      <c r="I107" s="66">
        <f t="shared" si="1"/>
        <v>1</v>
      </c>
      <c r="J107" s="66">
        <f t="shared" si="1"/>
        <v>1.38</v>
      </c>
      <c r="K107" s="66">
        <f t="shared" si="1"/>
        <v>359.48</v>
      </c>
      <c r="L107" s="66">
        <f t="shared" si="1"/>
        <v>35.33</v>
      </c>
      <c r="M107" s="66">
        <f t="shared" si="1"/>
        <v>66.849999999999994</v>
      </c>
      <c r="N107" s="66">
        <f t="shared" si="1"/>
        <v>909.7</v>
      </c>
      <c r="O107" s="66">
        <f t="shared" si="1"/>
        <v>0</v>
      </c>
      <c r="P107" s="66">
        <f t="shared" si="1"/>
        <v>2.14</v>
      </c>
      <c r="Q107" s="66">
        <f t="shared" si="1"/>
        <v>49.1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32.771562499999995</v>
      </c>
      <c r="C108" s="67">
        <f t="shared" ref="C108:Q108" si="2">AVERAGE(C9:C104)</f>
        <v>52.294270833333321</v>
      </c>
      <c r="D108" s="67">
        <f t="shared" si="2"/>
        <v>58.052395833333357</v>
      </c>
      <c r="E108" s="67">
        <f t="shared" si="2"/>
        <v>4.8362499999999997</v>
      </c>
      <c r="F108" s="67">
        <f t="shared" si="2"/>
        <v>10.102395833333331</v>
      </c>
      <c r="G108" s="67">
        <f t="shared" si="2"/>
        <v>99.604565217391297</v>
      </c>
      <c r="H108" s="67">
        <f t="shared" si="2"/>
        <v>34.684782608695656</v>
      </c>
      <c r="I108" s="67">
        <f t="shared" si="2"/>
        <v>0.60802083333333323</v>
      </c>
      <c r="J108" s="67">
        <f t="shared" si="2"/>
        <v>0.38489583333333327</v>
      </c>
      <c r="K108" s="67">
        <f t="shared" si="2"/>
        <v>170.29093749999996</v>
      </c>
      <c r="L108" s="67">
        <f t="shared" si="2"/>
        <v>27.014687499999994</v>
      </c>
      <c r="M108" s="67">
        <f t="shared" si="2"/>
        <v>40.642395833333346</v>
      </c>
      <c r="N108" s="67">
        <f t="shared" si="2"/>
        <v>243.93541666666673</v>
      </c>
      <c r="O108" s="67">
        <f t="shared" si="2"/>
        <v>0</v>
      </c>
      <c r="P108" s="67">
        <f t="shared" si="2"/>
        <v>1.0939583333333327</v>
      </c>
      <c r="Q108" s="67">
        <f t="shared" si="2"/>
        <v>38.867291666666652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37.684531192746803</v>
      </c>
      <c r="C109" s="67">
        <f t="shared" ref="C109:Q109" si="3">STDEV(C9:C104)</f>
        <v>13.04191330367658</v>
      </c>
      <c r="D109" s="67">
        <f t="shared" si="3"/>
        <v>33.125359652301057</v>
      </c>
      <c r="E109" s="67">
        <f t="shared" si="3"/>
        <v>8.9607514076372947</v>
      </c>
      <c r="F109" s="67">
        <f t="shared" si="3"/>
        <v>8.8218776787319406</v>
      </c>
      <c r="G109" s="67">
        <f t="shared" si="3"/>
        <v>59.075302260517674</v>
      </c>
      <c r="H109" s="67">
        <f t="shared" si="3"/>
        <v>16.784509438618617</v>
      </c>
      <c r="I109" s="67">
        <f t="shared" si="3"/>
        <v>0.12266016203672989</v>
      </c>
      <c r="J109" s="67">
        <f t="shared" si="3"/>
        <v>0.31184002238552289</v>
      </c>
      <c r="K109" s="67">
        <f t="shared" si="3"/>
        <v>101.43283234761428</v>
      </c>
      <c r="L109" s="67">
        <f t="shared" si="3"/>
        <v>4.7660313299597528</v>
      </c>
      <c r="M109" s="67">
        <f t="shared" si="3"/>
        <v>13.618693325123751</v>
      </c>
      <c r="N109" s="67">
        <f t="shared" si="3"/>
        <v>331.68910585514016</v>
      </c>
      <c r="O109" s="67">
        <f t="shared" si="3"/>
        <v>0</v>
      </c>
      <c r="P109" s="67">
        <f t="shared" si="3"/>
        <v>0.48535928996041539</v>
      </c>
      <c r="Q109" s="67">
        <f t="shared" si="3"/>
        <v>4.4026328197585363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41" sqref="G14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536</v>
      </c>
      <c r="B9" s="60">
        <v>8.7899999999999991</v>
      </c>
      <c r="C9" s="60">
        <v>45.06</v>
      </c>
      <c r="D9" s="60">
        <v>32.65</v>
      </c>
      <c r="E9" s="60">
        <v>2.79</v>
      </c>
      <c r="F9" s="60">
        <v>4.8899999999999997</v>
      </c>
      <c r="G9" s="60">
        <v>65.75</v>
      </c>
      <c r="H9" s="60">
        <v>26.41</v>
      </c>
      <c r="I9" s="60">
        <v>0.62</v>
      </c>
      <c r="J9" s="60">
        <v>1.1100000000000001</v>
      </c>
      <c r="K9" s="60">
        <v>193.08</v>
      </c>
      <c r="L9" s="60">
        <v>24.44</v>
      </c>
      <c r="M9" s="60">
        <v>55.11</v>
      </c>
      <c r="N9" s="60">
        <v>4.5999999999999996</v>
      </c>
      <c r="O9" s="60">
        <v>0</v>
      </c>
      <c r="P9" s="60">
        <v>0.86</v>
      </c>
      <c r="Q9" s="60">
        <v>40.97</v>
      </c>
      <c r="R9" s="198"/>
      <c r="S9" s="198"/>
      <c r="T9" s="198"/>
      <c r="U9" s="198"/>
    </row>
    <row r="10" spans="1:21" s="12" customFormat="1" x14ac:dyDescent="0.25">
      <c r="A10" s="201" t="s">
        <v>537</v>
      </c>
      <c r="B10" s="60">
        <v>7.27</v>
      </c>
      <c r="C10" s="60">
        <v>46.6</v>
      </c>
      <c r="D10" s="60">
        <v>32.29</v>
      </c>
      <c r="E10" s="60">
        <v>2.73</v>
      </c>
      <c r="F10" s="60">
        <v>4.37</v>
      </c>
      <c r="G10" s="60">
        <v>64.48</v>
      </c>
      <c r="H10" s="60">
        <v>26.34</v>
      </c>
      <c r="I10" s="60">
        <v>0.69</v>
      </c>
      <c r="J10" s="60">
        <v>0.61</v>
      </c>
      <c r="K10" s="60">
        <v>199.35</v>
      </c>
      <c r="L10" s="60">
        <v>24.13</v>
      </c>
      <c r="M10" s="60">
        <v>57.14</v>
      </c>
      <c r="N10" s="60">
        <v>4.9000000000000004</v>
      </c>
      <c r="O10" s="60">
        <v>0</v>
      </c>
      <c r="P10" s="60">
        <v>0.82</v>
      </c>
      <c r="Q10" s="60">
        <v>42.33</v>
      </c>
      <c r="R10" s="198"/>
      <c r="S10" s="198"/>
      <c r="T10" s="198"/>
      <c r="U10" s="198"/>
    </row>
    <row r="11" spans="1:21" s="12" customFormat="1" x14ac:dyDescent="0.25">
      <c r="A11" s="201" t="s">
        <v>538</v>
      </c>
      <c r="B11" s="60">
        <v>6.24</v>
      </c>
      <c r="C11" s="60">
        <v>46.85</v>
      </c>
      <c r="D11" s="60">
        <v>31.6</v>
      </c>
      <c r="E11" s="60">
        <v>2.9</v>
      </c>
      <c r="F11" s="60">
        <v>4.42</v>
      </c>
      <c r="G11" s="60">
        <v>42.88</v>
      </c>
      <c r="H11" s="60">
        <v>25.23</v>
      </c>
      <c r="I11" s="60">
        <v>0.67</v>
      </c>
      <c r="J11" s="60">
        <v>0.39</v>
      </c>
      <c r="K11" s="60">
        <v>235.01</v>
      </c>
      <c r="L11" s="60">
        <v>23.9</v>
      </c>
      <c r="M11" s="60">
        <v>58.33</v>
      </c>
      <c r="N11" s="60">
        <v>4.7</v>
      </c>
      <c r="O11" s="60">
        <v>0</v>
      </c>
      <c r="P11" s="60">
        <v>0.8</v>
      </c>
      <c r="Q11" s="60">
        <v>42.67</v>
      </c>
      <c r="R11" s="198"/>
      <c r="S11" s="198"/>
      <c r="T11" s="198"/>
      <c r="U11" s="198"/>
    </row>
    <row r="12" spans="1:21" s="12" customFormat="1" x14ac:dyDescent="0.25">
      <c r="A12" s="201" t="s">
        <v>539</v>
      </c>
      <c r="B12" s="60">
        <v>5.59</v>
      </c>
      <c r="C12" s="60">
        <v>46.46</v>
      </c>
      <c r="D12" s="60">
        <v>30.86</v>
      </c>
      <c r="E12" s="60">
        <v>2.68</v>
      </c>
      <c r="F12" s="60">
        <v>4.22</v>
      </c>
      <c r="G12" s="60">
        <v>42.88</v>
      </c>
      <c r="H12" s="60">
        <v>25.23</v>
      </c>
      <c r="I12" s="60">
        <v>0.64</v>
      </c>
      <c r="J12" s="60">
        <v>0.3</v>
      </c>
      <c r="K12" s="60">
        <v>220.45</v>
      </c>
      <c r="L12" s="60">
        <v>23.63</v>
      </c>
      <c r="M12" s="60">
        <v>59.88</v>
      </c>
      <c r="N12" s="60">
        <v>4.8</v>
      </c>
      <c r="O12" s="60">
        <v>0</v>
      </c>
      <c r="P12" s="60">
        <v>0.78</v>
      </c>
      <c r="Q12" s="60">
        <v>42.64</v>
      </c>
      <c r="R12" s="198"/>
      <c r="S12" s="198"/>
      <c r="T12" s="198"/>
      <c r="U12" s="198"/>
    </row>
    <row r="13" spans="1:21" s="12" customFormat="1" x14ac:dyDescent="0.25">
      <c r="A13" s="201" t="s">
        <v>540</v>
      </c>
      <c r="B13" s="60">
        <v>5.2</v>
      </c>
      <c r="C13" s="60">
        <v>46.03</v>
      </c>
      <c r="D13" s="60">
        <v>30.31</v>
      </c>
      <c r="E13" s="60">
        <v>2.14</v>
      </c>
      <c r="F13" s="60">
        <v>3.95</v>
      </c>
      <c r="G13" s="60">
        <v>42.88</v>
      </c>
      <c r="H13" s="60">
        <v>25.23</v>
      </c>
      <c r="I13" s="60">
        <v>0.63</v>
      </c>
      <c r="J13" s="60">
        <v>0.25</v>
      </c>
      <c r="K13" s="60">
        <v>242.42</v>
      </c>
      <c r="L13" s="60">
        <v>23.38</v>
      </c>
      <c r="M13" s="60">
        <v>60.81</v>
      </c>
      <c r="N13" s="60">
        <v>4.7</v>
      </c>
      <c r="O13" s="60">
        <v>0</v>
      </c>
      <c r="P13" s="60">
        <v>0.68</v>
      </c>
      <c r="Q13" s="60">
        <v>42.56</v>
      </c>
      <c r="R13" s="198"/>
      <c r="S13" s="198"/>
      <c r="T13" s="198"/>
      <c r="U13" s="198"/>
    </row>
    <row r="14" spans="1:21" s="12" customFormat="1" x14ac:dyDescent="0.25">
      <c r="A14" s="201" t="s">
        <v>541</v>
      </c>
      <c r="B14" s="60">
        <v>4.9400000000000004</v>
      </c>
      <c r="C14" s="60">
        <v>45.6</v>
      </c>
      <c r="D14" s="60">
        <v>29.87</v>
      </c>
      <c r="E14" s="60">
        <v>2.44</v>
      </c>
      <c r="F14" s="60">
        <v>4.24</v>
      </c>
      <c r="G14" s="60">
        <v>42.99</v>
      </c>
      <c r="H14" s="60">
        <v>25.15</v>
      </c>
      <c r="I14" s="60">
        <v>0.6</v>
      </c>
      <c r="J14" s="60">
        <v>0.37</v>
      </c>
      <c r="K14" s="60">
        <v>215.81</v>
      </c>
      <c r="L14" s="60">
        <v>23.29</v>
      </c>
      <c r="M14" s="60">
        <v>61.74</v>
      </c>
      <c r="N14" s="60">
        <v>4.4000000000000004</v>
      </c>
      <c r="O14" s="60">
        <v>0</v>
      </c>
      <c r="P14" s="60">
        <v>0.71</v>
      </c>
      <c r="Q14" s="60">
        <v>42.17</v>
      </c>
      <c r="R14" s="198"/>
      <c r="S14" s="198"/>
      <c r="T14" s="198"/>
      <c r="U14" s="198"/>
    </row>
    <row r="15" spans="1:21" s="12" customFormat="1" x14ac:dyDescent="0.25">
      <c r="A15" s="201" t="s">
        <v>542</v>
      </c>
      <c r="B15" s="60">
        <v>4.45</v>
      </c>
      <c r="C15" s="60">
        <v>40.26</v>
      </c>
      <c r="D15" s="60">
        <v>26.53</v>
      </c>
      <c r="E15" s="60">
        <v>3.01</v>
      </c>
      <c r="F15" s="60">
        <v>12.52</v>
      </c>
      <c r="G15" s="60">
        <v>45.31</v>
      </c>
      <c r="H15" s="60">
        <v>23.45</v>
      </c>
      <c r="I15" s="60">
        <v>0.56999999999999995</v>
      </c>
      <c r="J15" s="60">
        <v>0.13</v>
      </c>
      <c r="K15" s="60">
        <v>229.84</v>
      </c>
      <c r="L15" s="60">
        <v>23.13</v>
      </c>
      <c r="M15" s="60">
        <v>62.41</v>
      </c>
      <c r="N15" s="60">
        <v>4.8</v>
      </c>
      <c r="O15" s="60">
        <v>0</v>
      </c>
      <c r="P15" s="60">
        <v>0.67</v>
      </c>
      <c r="Q15" s="60">
        <v>41.62</v>
      </c>
      <c r="R15" s="198"/>
      <c r="S15" s="198"/>
      <c r="T15" s="198"/>
      <c r="U15" s="198"/>
    </row>
    <row r="16" spans="1:21" s="12" customFormat="1" x14ac:dyDescent="0.25">
      <c r="A16" s="201" t="s">
        <v>543</v>
      </c>
      <c r="B16" s="60">
        <v>4.45</v>
      </c>
      <c r="C16" s="60">
        <v>31.2</v>
      </c>
      <c r="D16" s="60">
        <v>21.53</v>
      </c>
      <c r="E16" s="60">
        <v>3.14</v>
      </c>
      <c r="F16" s="60">
        <v>11.67</v>
      </c>
      <c r="G16" s="60">
        <v>45.31</v>
      </c>
      <c r="H16" s="60">
        <v>23.45</v>
      </c>
      <c r="I16" s="60">
        <v>0.55000000000000004</v>
      </c>
      <c r="J16" s="60">
        <v>0.05</v>
      </c>
      <c r="K16" s="60">
        <v>294.25</v>
      </c>
      <c r="L16" s="60">
        <v>22.9</v>
      </c>
      <c r="M16" s="60">
        <v>63.44</v>
      </c>
      <c r="N16" s="60">
        <v>4.8</v>
      </c>
      <c r="O16" s="60">
        <v>0</v>
      </c>
      <c r="P16" s="60">
        <v>0.65</v>
      </c>
      <c r="Q16" s="60">
        <v>36.409999999999997</v>
      </c>
      <c r="R16" s="198"/>
      <c r="S16" s="198"/>
      <c r="T16" s="198"/>
      <c r="U16" s="198"/>
    </row>
    <row r="17" spans="1:21" s="12" customFormat="1" x14ac:dyDescent="0.25">
      <c r="A17" s="201" t="s">
        <v>544</v>
      </c>
      <c r="B17" s="60">
        <v>5.1100000000000003</v>
      </c>
      <c r="C17" s="60">
        <v>43.07</v>
      </c>
      <c r="D17" s="60">
        <v>28.61</v>
      </c>
      <c r="E17" s="60">
        <v>3.14</v>
      </c>
      <c r="F17" s="60">
        <v>12.78</v>
      </c>
      <c r="G17" s="60">
        <v>45.31</v>
      </c>
      <c r="H17" s="60">
        <v>23.45</v>
      </c>
      <c r="I17" s="60">
        <v>0.52</v>
      </c>
      <c r="J17" s="60">
        <v>0.08</v>
      </c>
      <c r="K17" s="60">
        <v>286.93</v>
      </c>
      <c r="L17" s="60">
        <v>22.64</v>
      </c>
      <c r="M17" s="60">
        <v>64.3</v>
      </c>
      <c r="N17" s="60">
        <v>4.7</v>
      </c>
      <c r="O17" s="60">
        <v>0</v>
      </c>
      <c r="P17" s="60">
        <v>0.64</v>
      </c>
      <c r="Q17" s="60">
        <v>35.119999999999997</v>
      </c>
      <c r="R17" s="198"/>
      <c r="S17" s="198"/>
      <c r="T17" s="198"/>
      <c r="U17" s="198"/>
    </row>
    <row r="18" spans="1:21" s="12" customFormat="1" x14ac:dyDescent="0.25">
      <c r="A18" s="201" t="s">
        <v>545</v>
      </c>
      <c r="B18" s="60">
        <v>5.45</v>
      </c>
      <c r="C18" s="60">
        <v>41.18</v>
      </c>
      <c r="D18" s="60">
        <v>27.84</v>
      </c>
      <c r="E18" s="60">
        <v>3.07</v>
      </c>
      <c r="F18" s="60">
        <v>13.42</v>
      </c>
      <c r="G18" s="60">
        <v>45.14</v>
      </c>
      <c r="H18" s="60">
        <v>23.37</v>
      </c>
      <c r="I18" s="60">
        <v>0.51</v>
      </c>
      <c r="J18" s="60">
        <v>7.0000000000000007E-2</v>
      </c>
      <c r="K18" s="60">
        <v>296.98</v>
      </c>
      <c r="L18" s="60">
        <v>22.52</v>
      </c>
      <c r="M18" s="60">
        <v>64.7</v>
      </c>
      <c r="N18" s="60">
        <v>4.7</v>
      </c>
      <c r="O18" s="60">
        <v>0</v>
      </c>
      <c r="P18" s="60">
        <v>0.63</v>
      </c>
      <c r="Q18" s="60">
        <v>34.56</v>
      </c>
      <c r="R18" s="198"/>
      <c r="S18" s="198"/>
      <c r="T18" s="198"/>
      <c r="U18" s="198"/>
    </row>
    <row r="19" spans="1:21" s="12" customFormat="1" x14ac:dyDescent="0.25">
      <c r="A19" s="201" t="s">
        <v>546</v>
      </c>
      <c r="B19" s="60">
        <v>5.54</v>
      </c>
      <c r="C19" s="60">
        <v>38.950000000000003</v>
      </c>
      <c r="D19" s="60">
        <v>26.68</v>
      </c>
      <c r="E19" s="60">
        <v>3.34</v>
      </c>
      <c r="F19" s="60">
        <v>11.88</v>
      </c>
      <c r="G19" s="60">
        <v>42.23</v>
      </c>
      <c r="H19" s="60">
        <v>21.98</v>
      </c>
      <c r="I19" s="60">
        <v>0.52</v>
      </c>
      <c r="J19" s="60">
        <v>0.09</v>
      </c>
      <c r="K19" s="60">
        <v>213.42</v>
      </c>
      <c r="L19" s="60">
        <v>22.25</v>
      </c>
      <c r="M19" s="60">
        <v>65.849999999999994</v>
      </c>
      <c r="N19" s="60">
        <v>4.7</v>
      </c>
      <c r="O19" s="60">
        <v>0</v>
      </c>
      <c r="P19" s="60">
        <v>0.64</v>
      </c>
      <c r="Q19" s="60">
        <v>34.369999999999997</v>
      </c>
      <c r="R19" s="198"/>
      <c r="S19" s="198"/>
      <c r="T19" s="198"/>
      <c r="U19" s="198"/>
    </row>
    <row r="20" spans="1:21" s="12" customFormat="1" x14ac:dyDescent="0.25">
      <c r="A20" s="201" t="s">
        <v>547</v>
      </c>
      <c r="B20" s="60">
        <v>5.78</v>
      </c>
      <c r="C20" s="60">
        <v>37.619999999999997</v>
      </c>
      <c r="D20" s="60">
        <v>26.13</v>
      </c>
      <c r="E20" s="60">
        <v>3.31</v>
      </c>
      <c r="F20" s="60">
        <v>13.57</v>
      </c>
      <c r="G20" s="60">
        <v>42.23</v>
      </c>
      <c r="H20" s="60">
        <v>21.98</v>
      </c>
      <c r="I20" s="60">
        <v>0.52</v>
      </c>
      <c r="J20" s="60">
        <v>0.05</v>
      </c>
      <c r="K20" s="60">
        <v>296.41000000000003</v>
      </c>
      <c r="L20" s="60">
        <v>22.32</v>
      </c>
      <c r="M20" s="60">
        <v>64.760000000000005</v>
      </c>
      <c r="N20" s="60">
        <v>4.5999999999999996</v>
      </c>
      <c r="O20" s="60">
        <v>0</v>
      </c>
      <c r="P20" s="60">
        <v>0.62</v>
      </c>
      <c r="Q20" s="60">
        <v>35.97</v>
      </c>
      <c r="R20" s="198"/>
      <c r="S20" s="198"/>
      <c r="T20" s="198"/>
      <c r="U20" s="198"/>
    </row>
    <row r="21" spans="1:21" s="12" customFormat="1" x14ac:dyDescent="0.25">
      <c r="A21" s="201" t="s">
        <v>548</v>
      </c>
      <c r="B21" s="60">
        <v>6.07</v>
      </c>
      <c r="C21" s="60">
        <v>37.18</v>
      </c>
      <c r="D21" s="60">
        <v>26.13</v>
      </c>
      <c r="E21" s="60">
        <v>3.33</v>
      </c>
      <c r="F21" s="60">
        <v>12.81</v>
      </c>
      <c r="G21" s="60">
        <v>42.23</v>
      </c>
      <c r="H21" s="60">
        <v>21.98</v>
      </c>
      <c r="I21" s="60">
        <v>0.52</v>
      </c>
      <c r="J21" s="60">
        <v>0.02</v>
      </c>
      <c r="K21" s="60">
        <v>302.93</v>
      </c>
      <c r="L21" s="60">
        <v>22.22</v>
      </c>
      <c r="M21" s="60">
        <v>64.94</v>
      </c>
      <c r="N21" s="60">
        <v>4.5999999999999996</v>
      </c>
      <c r="O21" s="60">
        <v>0</v>
      </c>
      <c r="P21" s="60">
        <v>0.62</v>
      </c>
      <c r="Q21" s="60">
        <v>36.24</v>
      </c>
      <c r="R21" s="198"/>
      <c r="S21" s="198"/>
      <c r="T21" s="198"/>
      <c r="U21" s="198"/>
    </row>
    <row r="22" spans="1:21" s="12" customFormat="1" x14ac:dyDescent="0.25">
      <c r="A22" s="201" t="s">
        <v>549</v>
      </c>
      <c r="B22" s="60">
        <v>9.7100000000000009</v>
      </c>
      <c r="C22" s="60">
        <v>42.39</v>
      </c>
      <c r="D22" s="60">
        <v>31.93</v>
      </c>
      <c r="E22" s="60">
        <v>2.88</v>
      </c>
      <c r="F22" s="60">
        <v>5.87</v>
      </c>
      <c r="G22" s="60">
        <v>42.63</v>
      </c>
      <c r="H22" s="60">
        <v>21.99</v>
      </c>
      <c r="I22" s="60">
        <v>0.53</v>
      </c>
      <c r="J22" s="60">
        <v>0.1</v>
      </c>
      <c r="K22" s="60">
        <v>350.17</v>
      </c>
      <c r="L22" s="60">
        <v>21.81</v>
      </c>
      <c r="M22" s="60">
        <v>67.41</v>
      </c>
      <c r="N22" s="60">
        <v>4.9000000000000004</v>
      </c>
      <c r="O22" s="60">
        <v>0</v>
      </c>
      <c r="P22" s="60">
        <v>0.65</v>
      </c>
      <c r="Q22" s="60">
        <v>36.42</v>
      </c>
      <c r="R22" s="198"/>
      <c r="S22" s="198"/>
      <c r="T22" s="198"/>
      <c r="U22" s="198"/>
    </row>
    <row r="23" spans="1:21" s="12" customFormat="1" x14ac:dyDescent="0.25">
      <c r="A23" s="201" t="s">
        <v>550</v>
      </c>
      <c r="B23" s="60">
        <v>8.2899999999999991</v>
      </c>
      <c r="C23" s="60">
        <v>38.200000000000003</v>
      </c>
      <c r="D23" s="60">
        <v>28.47</v>
      </c>
      <c r="E23" s="60">
        <v>3.15</v>
      </c>
      <c r="F23" s="60">
        <v>4.2699999999999996</v>
      </c>
      <c r="G23" s="60">
        <v>49.37</v>
      </c>
      <c r="H23" s="60">
        <v>22.1</v>
      </c>
      <c r="I23" s="60">
        <v>0.54</v>
      </c>
      <c r="J23" s="60">
        <v>0.08</v>
      </c>
      <c r="K23" s="60">
        <v>351.95</v>
      </c>
      <c r="L23" s="60">
        <v>21.8</v>
      </c>
      <c r="M23" s="60">
        <v>66.260000000000005</v>
      </c>
      <c r="N23" s="60">
        <v>4.5999999999999996</v>
      </c>
      <c r="O23" s="60">
        <v>0</v>
      </c>
      <c r="P23" s="60">
        <v>0.66</v>
      </c>
      <c r="Q23" s="60">
        <v>40.619999999999997</v>
      </c>
      <c r="R23" s="198"/>
      <c r="S23" s="198"/>
      <c r="T23" s="198"/>
      <c r="U23" s="198"/>
    </row>
    <row r="24" spans="1:21" s="12" customFormat="1" x14ac:dyDescent="0.25">
      <c r="A24" s="201" t="s">
        <v>551</v>
      </c>
      <c r="B24" s="60">
        <v>8.26</v>
      </c>
      <c r="C24" s="60">
        <v>40.729999999999997</v>
      </c>
      <c r="D24" s="60">
        <v>29.84</v>
      </c>
      <c r="E24" s="60">
        <v>0.28000000000000003</v>
      </c>
      <c r="F24" s="60">
        <v>3.77</v>
      </c>
      <c r="G24" s="60">
        <v>49.37</v>
      </c>
      <c r="H24" s="60">
        <v>22.1</v>
      </c>
      <c r="I24" s="60">
        <v>0.57999999999999996</v>
      </c>
      <c r="J24" s="60">
        <v>0.2</v>
      </c>
      <c r="K24" s="60">
        <v>27.51</v>
      </c>
      <c r="L24" s="60">
        <v>21.68</v>
      </c>
      <c r="M24" s="60">
        <v>67.540000000000006</v>
      </c>
      <c r="N24" s="60">
        <v>5</v>
      </c>
      <c r="O24" s="60">
        <v>0</v>
      </c>
      <c r="P24" s="60">
        <v>0.66</v>
      </c>
      <c r="Q24" s="60">
        <v>41.93</v>
      </c>
      <c r="R24" s="198"/>
      <c r="S24" s="198"/>
      <c r="T24" s="198"/>
      <c r="U24" s="198"/>
    </row>
    <row r="25" spans="1:21" s="12" customFormat="1" x14ac:dyDescent="0.25">
      <c r="A25" s="201" t="s">
        <v>552</v>
      </c>
      <c r="B25" s="60">
        <v>8.32</v>
      </c>
      <c r="C25" s="60">
        <v>43.39</v>
      </c>
      <c r="D25" s="60">
        <v>31.36</v>
      </c>
      <c r="E25" s="60">
        <v>0.71</v>
      </c>
      <c r="F25" s="60">
        <v>3.56</v>
      </c>
      <c r="G25" s="60">
        <v>49.37</v>
      </c>
      <c r="H25" s="60">
        <v>22.1</v>
      </c>
      <c r="I25" s="60">
        <v>0.61</v>
      </c>
      <c r="J25" s="60">
        <v>0.11</v>
      </c>
      <c r="K25" s="60">
        <v>345.4</v>
      </c>
      <c r="L25" s="60">
        <v>21.37</v>
      </c>
      <c r="M25" s="60">
        <v>68.44</v>
      </c>
      <c r="N25" s="60">
        <v>4.8</v>
      </c>
      <c r="O25" s="60">
        <v>0</v>
      </c>
      <c r="P25" s="60">
        <v>0.67</v>
      </c>
      <c r="Q25" s="60">
        <v>43.11</v>
      </c>
      <c r="R25" s="198"/>
      <c r="S25" s="198"/>
      <c r="T25" s="198"/>
      <c r="U25" s="198"/>
    </row>
    <row r="26" spans="1:21" s="12" customFormat="1" x14ac:dyDescent="0.25">
      <c r="A26" s="201" t="s">
        <v>553</v>
      </c>
      <c r="B26" s="60">
        <v>8.11</v>
      </c>
      <c r="C26" s="60">
        <v>45.13</v>
      </c>
      <c r="D26" s="60">
        <v>32.15</v>
      </c>
      <c r="E26" s="60">
        <v>0.77</v>
      </c>
      <c r="F26" s="60">
        <v>3.55</v>
      </c>
      <c r="G26" s="60">
        <v>49.34</v>
      </c>
      <c r="H26" s="60">
        <v>22.17</v>
      </c>
      <c r="I26" s="60">
        <v>0.59</v>
      </c>
      <c r="J26" s="60">
        <v>0.51</v>
      </c>
      <c r="K26" s="60">
        <v>4.8899999999999997</v>
      </c>
      <c r="L26" s="60">
        <v>21.64</v>
      </c>
      <c r="M26" s="60">
        <v>65.91</v>
      </c>
      <c r="N26" s="60">
        <v>3.6</v>
      </c>
      <c r="O26" s="60">
        <v>0</v>
      </c>
      <c r="P26" s="60">
        <v>0.66</v>
      </c>
      <c r="Q26" s="60">
        <v>43.32</v>
      </c>
      <c r="R26" s="198"/>
      <c r="S26" s="198"/>
      <c r="T26" s="198"/>
      <c r="U26" s="198"/>
    </row>
    <row r="27" spans="1:21" s="12" customFormat="1" x14ac:dyDescent="0.25">
      <c r="A27" s="201" t="s">
        <v>554</v>
      </c>
      <c r="B27" s="60">
        <v>7.63</v>
      </c>
      <c r="C27" s="60">
        <v>46.38</v>
      </c>
      <c r="D27" s="60">
        <v>32.450000000000003</v>
      </c>
      <c r="E27" s="60">
        <v>0.61</v>
      </c>
      <c r="F27" s="60">
        <v>3.73</v>
      </c>
      <c r="G27" s="60">
        <v>48.73</v>
      </c>
      <c r="H27" s="60">
        <v>23.36</v>
      </c>
      <c r="I27" s="60">
        <v>0.6</v>
      </c>
      <c r="J27" s="60">
        <v>0.23</v>
      </c>
      <c r="K27" s="60">
        <v>6.14</v>
      </c>
      <c r="L27" s="60">
        <v>21.87</v>
      </c>
      <c r="M27" s="60">
        <v>64.05</v>
      </c>
      <c r="N27" s="60">
        <v>4.5999999999999996</v>
      </c>
      <c r="O27" s="60">
        <v>0</v>
      </c>
      <c r="P27" s="60">
        <v>0.64</v>
      </c>
      <c r="Q27" s="60">
        <v>43.03</v>
      </c>
      <c r="R27" s="198"/>
      <c r="S27" s="198"/>
      <c r="T27" s="198"/>
      <c r="U27" s="198"/>
    </row>
    <row r="28" spans="1:21" s="12" customFormat="1" x14ac:dyDescent="0.25">
      <c r="A28" s="201" t="s">
        <v>555</v>
      </c>
      <c r="B28" s="60">
        <v>7.33</v>
      </c>
      <c r="C28" s="60">
        <v>47.27</v>
      </c>
      <c r="D28" s="60">
        <v>32.71</v>
      </c>
      <c r="E28" s="60">
        <v>0.73</v>
      </c>
      <c r="F28" s="60">
        <v>3.66</v>
      </c>
      <c r="G28" s="60">
        <v>48.73</v>
      </c>
      <c r="H28" s="60">
        <v>23.36</v>
      </c>
      <c r="I28" s="60">
        <v>0.56999999999999995</v>
      </c>
      <c r="J28" s="60">
        <v>0.06</v>
      </c>
      <c r="K28" s="60">
        <v>10.55</v>
      </c>
      <c r="L28" s="60">
        <v>21.76</v>
      </c>
      <c r="M28" s="60">
        <v>64.97</v>
      </c>
      <c r="N28" s="60">
        <v>5</v>
      </c>
      <c r="O28" s="60">
        <v>0</v>
      </c>
      <c r="P28" s="60">
        <v>0.62</v>
      </c>
      <c r="Q28" s="60">
        <v>42.93</v>
      </c>
      <c r="R28" s="198"/>
      <c r="S28" s="198"/>
      <c r="T28" s="198"/>
      <c r="U28" s="198"/>
    </row>
    <row r="29" spans="1:21" s="12" customFormat="1" x14ac:dyDescent="0.25">
      <c r="A29" s="201" t="s">
        <v>556</v>
      </c>
      <c r="B29" s="60">
        <v>7.59</v>
      </c>
      <c r="C29" s="60">
        <v>46.87</v>
      </c>
      <c r="D29" s="60">
        <v>32.69</v>
      </c>
      <c r="E29" s="60">
        <v>0.69</v>
      </c>
      <c r="F29" s="60">
        <v>4.57</v>
      </c>
      <c r="G29" s="60">
        <v>48.73</v>
      </c>
      <c r="H29" s="60">
        <v>23.36</v>
      </c>
      <c r="I29" s="60">
        <v>0.55000000000000004</v>
      </c>
      <c r="J29" s="60">
        <v>0.1</v>
      </c>
      <c r="K29" s="60">
        <v>14.26</v>
      </c>
      <c r="L29" s="60">
        <v>21.59</v>
      </c>
      <c r="M29" s="60">
        <v>65.94</v>
      </c>
      <c r="N29" s="60">
        <v>4.7</v>
      </c>
      <c r="O29" s="60">
        <v>0</v>
      </c>
      <c r="P29" s="60">
        <v>0.6</v>
      </c>
      <c r="Q29" s="60">
        <v>42.3</v>
      </c>
      <c r="R29" s="198"/>
      <c r="S29" s="198"/>
      <c r="T29" s="198"/>
      <c r="U29" s="198"/>
    </row>
    <row r="30" spans="1:21" s="12" customFormat="1" x14ac:dyDescent="0.25">
      <c r="A30" s="201" t="s">
        <v>557</v>
      </c>
      <c r="B30" s="60">
        <v>8.64</v>
      </c>
      <c r="C30" s="60">
        <v>38.869999999999997</v>
      </c>
      <c r="D30" s="60">
        <v>29.12</v>
      </c>
      <c r="E30" s="60">
        <v>1.19</v>
      </c>
      <c r="F30" s="60">
        <v>6.18</v>
      </c>
      <c r="G30" s="60">
        <v>49.22</v>
      </c>
      <c r="H30" s="60">
        <v>23.28</v>
      </c>
      <c r="I30" s="60">
        <v>0.56000000000000005</v>
      </c>
      <c r="J30" s="60">
        <v>0.08</v>
      </c>
      <c r="K30" s="60">
        <v>354.22</v>
      </c>
      <c r="L30" s="60">
        <v>21.88</v>
      </c>
      <c r="M30" s="60">
        <v>64.58</v>
      </c>
      <c r="N30" s="60">
        <v>4.7</v>
      </c>
      <c r="O30" s="60">
        <v>0</v>
      </c>
      <c r="P30" s="60">
        <v>0.6</v>
      </c>
      <c r="Q30" s="60">
        <v>36.369999999999997</v>
      </c>
      <c r="R30" s="198"/>
      <c r="S30" s="198"/>
      <c r="T30" s="198"/>
      <c r="U30" s="198"/>
    </row>
    <row r="31" spans="1:21" s="12" customFormat="1" x14ac:dyDescent="0.25">
      <c r="A31" s="201" t="s">
        <v>558</v>
      </c>
      <c r="B31" s="60">
        <v>10.039999999999999</v>
      </c>
      <c r="C31" s="60">
        <v>45.42</v>
      </c>
      <c r="D31" s="60">
        <v>33.86</v>
      </c>
      <c r="E31" s="60">
        <v>0.97</v>
      </c>
      <c r="F31" s="60">
        <v>5.72</v>
      </c>
      <c r="G31" s="60">
        <v>59.86</v>
      </c>
      <c r="H31" s="60">
        <v>21.87</v>
      </c>
      <c r="I31" s="60">
        <v>0.53</v>
      </c>
      <c r="J31" s="60">
        <v>0.1</v>
      </c>
      <c r="K31" s="60">
        <v>331.11</v>
      </c>
      <c r="L31" s="60">
        <v>22.12</v>
      </c>
      <c r="M31" s="60">
        <v>63.56</v>
      </c>
      <c r="N31" s="60">
        <v>5.5</v>
      </c>
      <c r="O31" s="60">
        <v>0</v>
      </c>
      <c r="P31" s="60">
        <v>0.62</v>
      </c>
      <c r="Q31" s="60">
        <v>34.090000000000003</v>
      </c>
      <c r="R31" s="198"/>
      <c r="S31" s="198"/>
      <c r="T31" s="198"/>
      <c r="U31" s="198"/>
    </row>
    <row r="32" spans="1:21" s="12" customFormat="1" x14ac:dyDescent="0.25">
      <c r="A32" s="201" t="s">
        <v>559</v>
      </c>
      <c r="B32" s="60">
        <v>13.19</v>
      </c>
      <c r="C32" s="60">
        <v>45.03</v>
      </c>
      <c r="D32" s="60">
        <v>36.159999999999997</v>
      </c>
      <c r="E32" s="60">
        <v>1.29</v>
      </c>
      <c r="F32" s="60">
        <v>5.2</v>
      </c>
      <c r="G32" s="60">
        <v>59.86</v>
      </c>
      <c r="H32" s="60">
        <v>21.87</v>
      </c>
      <c r="I32" s="60">
        <v>0.51</v>
      </c>
      <c r="J32" s="60">
        <v>0.06</v>
      </c>
      <c r="K32" s="60">
        <v>24.07</v>
      </c>
      <c r="L32" s="60">
        <v>21.7</v>
      </c>
      <c r="M32" s="60">
        <v>66.09</v>
      </c>
      <c r="N32" s="60">
        <v>10.6</v>
      </c>
      <c r="O32" s="60">
        <v>0</v>
      </c>
      <c r="P32" s="60">
        <v>0.63</v>
      </c>
      <c r="Q32" s="60">
        <v>35.119999999999997</v>
      </c>
      <c r="R32" s="198"/>
      <c r="S32" s="198"/>
      <c r="T32" s="198"/>
      <c r="U32" s="198"/>
    </row>
    <row r="33" spans="1:21" s="12" customFormat="1" x14ac:dyDescent="0.25">
      <c r="A33" s="201" t="s">
        <v>560</v>
      </c>
      <c r="B33" s="60">
        <v>10.63</v>
      </c>
      <c r="C33" s="60">
        <v>48.51</v>
      </c>
      <c r="D33" s="60">
        <v>36.03</v>
      </c>
      <c r="E33" s="60">
        <v>1.3</v>
      </c>
      <c r="F33" s="60">
        <v>5.99</v>
      </c>
      <c r="G33" s="60">
        <v>59.86</v>
      </c>
      <c r="H33" s="60">
        <v>21.87</v>
      </c>
      <c r="I33" s="60">
        <v>0.54</v>
      </c>
      <c r="J33" s="60">
        <v>0.02</v>
      </c>
      <c r="K33" s="60">
        <v>262.36</v>
      </c>
      <c r="L33" s="60">
        <v>21.79</v>
      </c>
      <c r="M33" s="60">
        <v>65.12</v>
      </c>
      <c r="N33" s="60">
        <v>24.3</v>
      </c>
      <c r="O33" s="60">
        <v>0</v>
      </c>
      <c r="P33" s="60">
        <v>0.64</v>
      </c>
      <c r="Q33" s="60">
        <v>34.46</v>
      </c>
      <c r="R33" s="198"/>
      <c r="S33" s="198"/>
      <c r="T33" s="198"/>
      <c r="U33" s="198"/>
    </row>
    <row r="34" spans="1:21" s="12" customFormat="1" x14ac:dyDescent="0.25">
      <c r="A34" s="201" t="s">
        <v>561</v>
      </c>
      <c r="B34" s="60">
        <v>17.440000000000001</v>
      </c>
      <c r="C34" s="60">
        <v>51.36</v>
      </c>
      <c r="D34" s="60">
        <v>43.07</v>
      </c>
      <c r="E34" s="60">
        <v>1.94</v>
      </c>
      <c r="F34" s="60">
        <v>4.96</v>
      </c>
      <c r="G34" s="60">
        <v>60.44</v>
      </c>
      <c r="H34" s="60">
        <v>22.04</v>
      </c>
      <c r="I34" s="60">
        <v>0.55000000000000004</v>
      </c>
      <c r="J34" s="60">
        <v>0.1</v>
      </c>
      <c r="K34" s="60">
        <v>251.7</v>
      </c>
      <c r="L34" s="60">
        <v>22.3</v>
      </c>
      <c r="M34" s="60">
        <v>63.3</v>
      </c>
      <c r="N34" s="60">
        <v>50.1</v>
      </c>
      <c r="O34" s="60">
        <v>0</v>
      </c>
      <c r="P34" s="60">
        <v>0.77</v>
      </c>
      <c r="Q34" s="60">
        <v>33.9</v>
      </c>
      <c r="R34" s="198"/>
      <c r="S34" s="198"/>
      <c r="T34" s="198"/>
      <c r="U34" s="198"/>
    </row>
    <row r="35" spans="1:21" s="12" customFormat="1" x14ac:dyDescent="0.25">
      <c r="A35" s="201" t="s">
        <v>562</v>
      </c>
      <c r="B35" s="60">
        <v>13.3</v>
      </c>
      <c r="C35" s="60">
        <v>47.72</v>
      </c>
      <c r="D35" s="60">
        <v>37.74</v>
      </c>
      <c r="E35" s="60">
        <v>1.85</v>
      </c>
      <c r="F35" s="60">
        <v>5</v>
      </c>
      <c r="G35" s="60">
        <v>73.03</v>
      </c>
      <c r="H35" s="60">
        <v>24.67</v>
      </c>
      <c r="I35" s="60">
        <v>0.53</v>
      </c>
      <c r="J35" s="60">
        <v>0.47</v>
      </c>
      <c r="K35" s="60">
        <v>211.33</v>
      </c>
      <c r="L35" s="60">
        <v>23.28</v>
      </c>
      <c r="M35" s="60">
        <v>59.6</v>
      </c>
      <c r="N35" s="60">
        <v>87.8</v>
      </c>
      <c r="O35" s="60">
        <v>0</v>
      </c>
      <c r="P35" s="60">
        <v>0.71</v>
      </c>
      <c r="Q35" s="60">
        <v>35.58</v>
      </c>
      <c r="R35" s="198"/>
      <c r="S35" s="198"/>
      <c r="T35" s="198"/>
      <c r="U35" s="198"/>
    </row>
    <row r="36" spans="1:21" s="12" customFormat="1" x14ac:dyDescent="0.25">
      <c r="A36" s="201" t="s">
        <v>563</v>
      </c>
      <c r="B36" s="60">
        <v>13.5</v>
      </c>
      <c r="C36" s="60">
        <v>44.23</v>
      </c>
      <c r="D36" s="60">
        <v>35.97</v>
      </c>
      <c r="E36" s="60">
        <v>1.89</v>
      </c>
      <c r="F36" s="60">
        <v>5.34</v>
      </c>
      <c r="G36" s="60">
        <v>73.03</v>
      </c>
      <c r="H36" s="60">
        <v>24.67</v>
      </c>
      <c r="I36" s="60">
        <v>0.56000000000000005</v>
      </c>
      <c r="J36" s="60">
        <v>0.17</v>
      </c>
      <c r="K36" s="60">
        <v>241</v>
      </c>
      <c r="L36" s="60">
        <v>23.84</v>
      </c>
      <c r="M36" s="60">
        <v>58.22</v>
      </c>
      <c r="N36" s="60">
        <v>131.6</v>
      </c>
      <c r="O36" s="60">
        <v>0</v>
      </c>
      <c r="P36" s="60">
        <v>0.66</v>
      </c>
      <c r="Q36" s="60">
        <v>36.5</v>
      </c>
      <c r="R36" s="198"/>
      <c r="S36" s="198"/>
      <c r="T36" s="198"/>
      <c r="U36" s="198"/>
    </row>
    <row r="37" spans="1:21" s="12" customFormat="1" x14ac:dyDescent="0.25">
      <c r="A37" s="201" t="s">
        <v>564</v>
      </c>
      <c r="B37" s="60">
        <v>13.61</v>
      </c>
      <c r="C37" s="60">
        <v>38.94</v>
      </c>
      <c r="D37" s="60">
        <v>33.14</v>
      </c>
      <c r="E37" s="60">
        <v>1.4</v>
      </c>
      <c r="F37" s="60">
        <v>4.25</v>
      </c>
      <c r="G37" s="60">
        <v>73.03</v>
      </c>
      <c r="H37" s="60">
        <v>24.67</v>
      </c>
      <c r="I37" s="60">
        <v>0.59</v>
      </c>
      <c r="J37" s="60">
        <v>0.66</v>
      </c>
      <c r="K37" s="60">
        <v>220.37</v>
      </c>
      <c r="L37" s="60">
        <v>23.84</v>
      </c>
      <c r="M37" s="60">
        <v>58.96</v>
      </c>
      <c r="N37" s="60">
        <v>182.3</v>
      </c>
      <c r="O37" s="60">
        <v>0</v>
      </c>
      <c r="P37" s="60">
        <v>0.63</v>
      </c>
      <c r="Q37" s="60">
        <v>39.6</v>
      </c>
      <c r="R37" s="198"/>
      <c r="S37" s="198"/>
      <c r="T37" s="198"/>
      <c r="U37" s="198"/>
    </row>
    <row r="38" spans="1:21" s="12" customFormat="1" x14ac:dyDescent="0.25">
      <c r="A38" s="201" t="s">
        <v>565</v>
      </c>
      <c r="B38" s="60">
        <v>12.26</v>
      </c>
      <c r="C38" s="60">
        <v>40.78</v>
      </c>
      <c r="D38" s="60">
        <v>33.07</v>
      </c>
      <c r="E38" s="60">
        <v>1.25</v>
      </c>
      <c r="F38" s="60">
        <v>3.41</v>
      </c>
      <c r="G38" s="60">
        <v>72.239999999999995</v>
      </c>
      <c r="H38" s="60">
        <v>24.75</v>
      </c>
      <c r="I38" s="60">
        <v>0.61</v>
      </c>
      <c r="J38" s="60">
        <v>0.77</v>
      </c>
      <c r="K38" s="60">
        <v>229.1</v>
      </c>
      <c r="L38" s="60">
        <v>24.07</v>
      </c>
      <c r="M38" s="60">
        <v>59.45</v>
      </c>
      <c r="N38" s="60">
        <v>233.3</v>
      </c>
      <c r="O38" s="60">
        <v>0</v>
      </c>
      <c r="P38" s="60">
        <v>0.64</v>
      </c>
      <c r="Q38" s="60">
        <v>41.8</v>
      </c>
      <c r="R38" s="198"/>
      <c r="S38" s="198"/>
      <c r="T38" s="198"/>
      <c r="U38" s="198"/>
    </row>
    <row r="39" spans="1:21" s="12" customFormat="1" x14ac:dyDescent="0.25">
      <c r="A39" s="201" t="s">
        <v>566</v>
      </c>
      <c r="B39" s="60">
        <v>10.71</v>
      </c>
      <c r="C39" s="60">
        <v>43.75</v>
      </c>
      <c r="D39" s="60">
        <v>33.47</v>
      </c>
      <c r="E39" s="60">
        <v>1.02</v>
      </c>
      <c r="F39" s="60">
        <v>3.67</v>
      </c>
      <c r="G39" s="60">
        <v>58.74</v>
      </c>
      <c r="H39" s="60">
        <v>26.08</v>
      </c>
      <c r="I39" s="60">
        <v>0.61</v>
      </c>
      <c r="J39" s="60">
        <v>0.57999999999999996</v>
      </c>
      <c r="K39" s="60">
        <v>215.88</v>
      </c>
      <c r="L39" s="60">
        <v>24.95</v>
      </c>
      <c r="M39" s="60">
        <v>56.62</v>
      </c>
      <c r="N39" s="60">
        <v>290.10000000000002</v>
      </c>
      <c r="O39" s="60">
        <v>0</v>
      </c>
      <c r="P39" s="60">
        <v>0.64</v>
      </c>
      <c r="Q39" s="60">
        <v>41.96</v>
      </c>
      <c r="R39" s="198"/>
      <c r="S39" s="198"/>
      <c r="T39" s="198"/>
      <c r="U39" s="198"/>
    </row>
    <row r="40" spans="1:21" s="12" customFormat="1" x14ac:dyDescent="0.25">
      <c r="A40" s="201" t="s">
        <v>567</v>
      </c>
      <c r="B40" s="60">
        <v>9.09</v>
      </c>
      <c r="C40" s="60">
        <v>45.44</v>
      </c>
      <c r="D40" s="60">
        <v>33.11</v>
      </c>
      <c r="E40" s="60">
        <v>1.97</v>
      </c>
      <c r="F40" s="60">
        <v>3.96</v>
      </c>
      <c r="G40" s="60">
        <v>58.74</v>
      </c>
      <c r="H40" s="60">
        <v>26.08</v>
      </c>
      <c r="I40" s="60">
        <v>0.56999999999999995</v>
      </c>
      <c r="J40" s="60">
        <v>0.59</v>
      </c>
      <c r="K40" s="60">
        <v>210.33</v>
      </c>
      <c r="L40" s="60">
        <v>25.93</v>
      </c>
      <c r="M40" s="60">
        <v>53.64</v>
      </c>
      <c r="N40" s="60">
        <v>348.3</v>
      </c>
      <c r="O40" s="60">
        <v>0</v>
      </c>
      <c r="P40" s="60">
        <v>0.63</v>
      </c>
      <c r="Q40" s="60">
        <v>42.22</v>
      </c>
      <c r="R40" s="198"/>
      <c r="S40" s="198"/>
      <c r="T40" s="198"/>
      <c r="U40" s="198"/>
    </row>
    <row r="41" spans="1:21" s="12" customFormat="1" x14ac:dyDescent="0.25">
      <c r="A41" s="201" t="s">
        <v>568</v>
      </c>
      <c r="B41" s="60">
        <v>7.51</v>
      </c>
      <c r="C41" s="60">
        <v>45.71</v>
      </c>
      <c r="D41" s="60">
        <v>31.99</v>
      </c>
      <c r="E41" s="60">
        <v>2.76</v>
      </c>
      <c r="F41" s="60">
        <v>4.33</v>
      </c>
      <c r="G41" s="60">
        <v>58.74</v>
      </c>
      <c r="H41" s="60">
        <v>26.08</v>
      </c>
      <c r="I41" s="60">
        <v>0.56999999999999995</v>
      </c>
      <c r="J41" s="60">
        <v>0.46</v>
      </c>
      <c r="K41" s="60">
        <v>235.33</v>
      </c>
      <c r="L41" s="60">
        <v>26.64</v>
      </c>
      <c r="M41" s="60">
        <v>51.18</v>
      </c>
      <c r="N41" s="60">
        <v>401.8</v>
      </c>
      <c r="O41" s="60">
        <v>0</v>
      </c>
      <c r="P41" s="60">
        <v>0.63</v>
      </c>
      <c r="Q41" s="60">
        <v>41.84</v>
      </c>
      <c r="R41" s="198"/>
      <c r="S41" s="198"/>
      <c r="T41" s="198"/>
      <c r="U41" s="198"/>
    </row>
    <row r="42" spans="1:21" s="12" customFormat="1" x14ac:dyDescent="0.25">
      <c r="A42" s="201" t="s">
        <v>569</v>
      </c>
      <c r="B42" s="60">
        <v>6.07</v>
      </c>
      <c r="C42" s="60">
        <v>46.87</v>
      </c>
      <c r="D42" s="60">
        <v>31.48</v>
      </c>
      <c r="E42" s="60">
        <v>2.5</v>
      </c>
      <c r="F42" s="60">
        <v>4.3</v>
      </c>
      <c r="G42" s="60">
        <v>58.34</v>
      </c>
      <c r="H42" s="60">
        <v>26.09</v>
      </c>
      <c r="I42" s="60">
        <v>0.56000000000000005</v>
      </c>
      <c r="J42" s="60">
        <v>0.48</v>
      </c>
      <c r="K42" s="60">
        <v>255.94</v>
      </c>
      <c r="L42" s="60">
        <v>27.39</v>
      </c>
      <c r="M42" s="60">
        <v>49.15</v>
      </c>
      <c r="N42" s="60">
        <v>454.1</v>
      </c>
      <c r="O42" s="60">
        <v>0</v>
      </c>
      <c r="P42" s="60">
        <v>0.62</v>
      </c>
      <c r="Q42" s="60">
        <v>40.75</v>
      </c>
      <c r="R42" s="198"/>
      <c r="S42" s="198"/>
      <c r="T42" s="198"/>
      <c r="U42" s="198"/>
    </row>
    <row r="43" spans="1:21" s="12" customFormat="1" x14ac:dyDescent="0.25">
      <c r="A43" s="201" t="s">
        <v>570</v>
      </c>
      <c r="B43" s="60">
        <v>4.95</v>
      </c>
      <c r="C43" s="60">
        <v>46.94</v>
      </c>
      <c r="D43" s="60">
        <v>30.62</v>
      </c>
      <c r="E43" s="60">
        <v>2.5</v>
      </c>
      <c r="F43" s="60">
        <v>4.91</v>
      </c>
      <c r="G43" s="60">
        <v>51.45</v>
      </c>
      <c r="H43" s="60">
        <v>26.36</v>
      </c>
      <c r="I43" s="60">
        <v>0.54</v>
      </c>
      <c r="J43" s="60">
        <v>0.4</v>
      </c>
      <c r="K43" s="60">
        <v>223.53</v>
      </c>
      <c r="L43" s="60">
        <v>28.21</v>
      </c>
      <c r="M43" s="60">
        <v>47.73</v>
      </c>
      <c r="N43" s="60">
        <v>506.1</v>
      </c>
      <c r="O43" s="60">
        <v>0</v>
      </c>
      <c r="P43" s="60">
        <v>0.61</v>
      </c>
      <c r="Q43" s="60">
        <v>40.54</v>
      </c>
      <c r="R43" s="198"/>
      <c r="S43" s="198"/>
      <c r="T43" s="198"/>
      <c r="U43" s="198"/>
    </row>
    <row r="44" spans="1:21" s="12" customFormat="1" x14ac:dyDescent="0.25">
      <c r="A44" s="201" t="s">
        <v>571</v>
      </c>
      <c r="B44" s="60">
        <v>4.29</v>
      </c>
      <c r="C44" s="60">
        <v>39</v>
      </c>
      <c r="D44" s="60">
        <v>25.7</v>
      </c>
      <c r="E44" s="60">
        <v>2.4300000000000002</v>
      </c>
      <c r="F44" s="60">
        <v>5.64</v>
      </c>
      <c r="G44" s="60">
        <v>51.45</v>
      </c>
      <c r="H44" s="60">
        <v>26.36</v>
      </c>
      <c r="I44" s="60">
        <v>0.53</v>
      </c>
      <c r="J44" s="60">
        <v>0.52</v>
      </c>
      <c r="K44" s="60">
        <v>257.52</v>
      </c>
      <c r="L44" s="60">
        <v>28.8</v>
      </c>
      <c r="M44" s="60">
        <v>45.38</v>
      </c>
      <c r="N44" s="60">
        <v>558.4</v>
      </c>
      <c r="O44" s="60">
        <v>0</v>
      </c>
      <c r="P44" s="60">
        <v>0.6</v>
      </c>
      <c r="Q44" s="60">
        <v>38.25</v>
      </c>
      <c r="R44" s="198"/>
      <c r="S44" s="198"/>
      <c r="T44" s="198"/>
      <c r="U44" s="198"/>
    </row>
    <row r="45" spans="1:21" s="12" customFormat="1" x14ac:dyDescent="0.25">
      <c r="A45" s="201" t="s">
        <v>572</v>
      </c>
      <c r="B45" s="60">
        <v>3.94</v>
      </c>
      <c r="C45" s="60">
        <v>31.72</v>
      </c>
      <c r="D45" s="60">
        <v>21.4</v>
      </c>
      <c r="E45" s="60">
        <v>2.63</v>
      </c>
      <c r="F45" s="60">
        <v>5.81</v>
      </c>
      <c r="G45" s="60">
        <v>51.45</v>
      </c>
      <c r="H45" s="60">
        <v>26.36</v>
      </c>
      <c r="I45" s="60">
        <v>0.53</v>
      </c>
      <c r="J45" s="60">
        <v>0.35</v>
      </c>
      <c r="K45" s="60">
        <v>258.8</v>
      </c>
      <c r="L45" s="60">
        <v>29.22</v>
      </c>
      <c r="M45" s="60">
        <v>45.15</v>
      </c>
      <c r="N45" s="60">
        <v>609.6</v>
      </c>
      <c r="O45" s="60">
        <v>0</v>
      </c>
      <c r="P45" s="60">
        <v>0.6</v>
      </c>
      <c r="Q45" s="60">
        <v>33.01</v>
      </c>
      <c r="R45" s="198"/>
      <c r="S45" s="198"/>
      <c r="T45" s="198"/>
      <c r="U45" s="198"/>
    </row>
    <row r="46" spans="1:21" s="12" customFormat="1" x14ac:dyDescent="0.25">
      <c r="A46" s="201" t="s">
        <v>573</v>
      </c>
      <c r="B46" s="60">
        <v>3.63</v>
      </c>
      <c r="C46" s="60">
        <v>30.25</v>
      </c>
      <c r="D46" s="60">
        <v>20.34</v>
      </c>
      <c r="E46" s="60">
        <v>2.4500000000000002</v>
      </c>
      <c r="F46" s="60">
        <v>6.98</v>
      </c>
      <c r="G46" s="60">
        <v>51.7</v>
      </c>
      <c r="H46" s="60">
        <v>26.24</v>
      </c>
      <c r="I46" s="60">
        <v>0.53</v>
      </c>
      <c r="J46" s="60">
        <v>0.46</v>
      </c>
      <c r="K46" s="60">
        <v>254.2</v>
      </c>
      <c r="L46" s="60">
        <v>29.28</v>
      </c>
      <c r="M46" s="60">
        <v>46.7</v>
      </c>
      <c r="N46" s="60">
        <v>663.1</v>
      </c>
      <c r="O46" s="60">
        <v>0</v>
      </c>
      <c r="P46" s="60">
        <v>0.59</v>
      </c>
      <c r="Q46" s="60">
        <v>30.37</v>
      </c>
      <c r="R46" s="198"/>
      <c r="S46" s="198"/>
      <c r="T46" s="198"/>
      <c r="U46" s="198"/>
    </row>
    <row r="47" spans="1:21" s="12" customFormat="1" x14ac:dyDescent="0.25">
      <c r="A47" s="201" t="s">
        <v>574</v>
      </c>
      <c r="B47" s="60">
        <v>3.43</v>
      </c>
      <c r="C47" s="60">
        <v>29.64</v>
      </c>
      <c r="D47" s="60">
        <v>19.850000000000001</v>
      </c>
      <c r="E47" s="60">
        <v>1.97</v>
      </c>
      <c r="F47" s="60">
        <v>6.44</v>
      </c>
      <c r="G47" s="60">
        <v>55.91</v>
      </c>
      <c r="H47" s="60">
        <v>24.55</v>
      </c>
      <c r="I47" s="60">
        <v>0.53</v>
      </c>
      <c r="J47" s="60">
        <v>0.26</v>
      </c>
      <c r="K47" s="60">
        <v>261.27999999999997</v>
      </c>
      <c r="L47" s="60">
        <v>29.91</v>
      </c>
      <c r="M47" s="60">
        <v>45.99</v>
      </c>
      <c r="N47" s="60">
        <v>706.9</v>
      </c>
      <c r="O47" s="60">
        <v>0</v>
      </c>
      <c r="P47" s="60">
        <v>0.57999999999999996</v>
      </c>
      <c r="Q47" s="60">
        <v>28.86</v>
      </c>
      <c r="R47" s="198"/>
      <c r="S47" s="198"/>
      <c r="T47" s="198"/>
      <c r="U47" s="198"/>
    </row>
    <row r="48" spans="1:21" s="12" customFormat="1" x14ac:dyDescent="0.25">
      <c r="A48" s="201" t="s">
        <v>575</v>
      </c>
      <c r="B48" s="60">
        <v>3.45</v>
      </c>
      <c r="C48" s="60">
        <v>46.5</v>
      </c>
      <c r="D48" s="60">
        <v>29.17</v>
      </c>
      <c r="E48" s="60">
        <v>2.82</v>
      </c>
      <c r="F48" s="60">
        <v>8.06</v>
      </c>
      <c r="G48" s="60">
        <v>55.91</v>
      </c>
      <c r="H48" s="60">
        <v>24.55</v>
      </c>
      <c r="I48" s="60">
        <v>0.5</v>
      </c>
      <c r="J48" s="60">
        <v>0.53</v>
      </c>
      <c r="K48" s="60">
        <v>254.8</v>
      </c>
      <c r="L48" s="60">
        <v>29.98</v>
      </c>
      <c r="M48" s="60">
        <v>47.08</v>
      </c>
      <c r="N48" s="60">
        <v>751.1</v>
      </c>
      <c r="O48" s="60">
        <v>0</v>
      </c>
      <c r="P48" s="60">
        <v>0.56999999999999995</v>
      </c>
      <c r="Q48" s="60">
        <v>28.97</v>
      </c>
      <c r="R48" s="198"/>
      <c r="S48" s="198"/>
      <c r="T48" s="198"/>
      <c r="U48" s="198"/>
    </row>
    <row r="49" spans="1:21" s="12" customFormat="1" x14ac:dyDescent="0.25">
      <c r="A49" s="201" t="s">
        <v>576</v>
      </c>
      <c r="B49" s="60">
        <v>3.3</v>
      </c>
      <c r="C49" s="60">
        <v>41.47</v>
      </c>
      <c r="D49" s="60">
        <v>26.27</v>
      </c>
      <c r="E49" s="60">
        <v>2.34</v>
      </c>
      <c r="F49" s="60">
        <v>8.26</v>
      </c>
      <c r="G49" s="60">
        <v>55.91</v>
      </c>
      <c r="H49" s="60">
        <v>24.55</v>
      </c>
      <c r="I49" s="60">
        <v>0.5</v>
      </c>
      <c r="J49" s="60">
        <v>0.43</v>
      </c>
      <c r="K49" s="60">
        <v>244.15</v>
      </c>
      <c r="L49" s="60">
        <v>30.46</v>
      </c>
      <c r="M49" s="60">
        <v>46.68</v>
      </c>
      <c r="N49" s="60">
        <v>779.3</v>
      </c>
      <c r="O49" s="60">
        <v>0</v>
      </c>
      <c r="P49" s="60">
        <v>0.55000000000000004</v>
      </c>
      <c r="Q49" s="60">
        <v>33.090000000000003</v>
      </c>
      <c r="R49" s="198"/>
      <c r="S49" s="198"/>
      <c r="T49" s="198"/>
      <c r="U49" s="198"/>
    </row>
    <row r="50" spans="1:21" s="12" customFormat="1" x14ac:dyDescent="0.25">
      <c r="A50" s="201" t="s">
        <v>577</v>
      </c>
      <c r="B50" s="60">
        <v>4.25</v>
      </c>
      <c r="C50" s="60">
        <v>30.25</v>
      </c>
      <c r="D50" s="60">
        <v>20.84</v>
      </c>
      <c r="E50" s="60">
        <v>3.09</v>
      </c>
      <c r="F50" s="60">
        <v>8.48</v>
      </c>
      <c r="G50" s="60">
        <v>55.92</v>
      </c>
      <c r="H50" s="60">
        <v>24.64</v>
      </c>
      <c r="I50" s="60">
        <v>0.5</v>
      </c>
      <c r="J50" s="60">
        <v>0.09</v>
      </c>
      <c r="K50" s="60">
        <v>8.68</v>
      </c>
      <c r="L50" s="60">
        <v>31.47</v>
      </c>
      <c r="M50" s="60">
        <v>44.18</v>
      </c>
      <c r="N50" s="60">
        <v>797.1</v>
      </c>
      <c r="O50" s="60">
        <v>0</v>
      </c>
      <c r="P50" s="60">
        <v>0.54</v>
      </c>
      <c r="Q50" s="60">
        <v>29.92</v>
      </c>
      <c r="R50" s="198"/>
      <c r="S50" s="198"/>
      <c r="T50" s="198"/>
      <c r="U50" s="198"/>
    </row>
    <row r="51" spans="1:21" s="12" customFormat="1" x14ac:dyDescent="0.25">
      <c r="A51" s="201" t="s">
        <v>578</v>
      </c>
      <c r="B51" s="60">
        <v>4.1900000000000004</v>
      </c>
      <c r="C51" s="60">
        <v>29.53</v>
      </c>
      <c r="D51" s="60">
        <v>20.399999999999999</v>
      </c>
      <c r="E51" s="60">
        <v>2.33</v>
      </c>
      <c r="F51" s="60">
        <v>8.3800000000000008</v>
      </c>
      <c r="G51" s="60">
        <v>56.1</v>
      </c>
      <c r="H51" s="60">
        <v>26.16</v>
      </c>
      <c r="I51" s="60">
        <v>0.5</v>
      </c>
      <c r="J51" s="60">
        <v>0.31</v>
      </c>
      <c r="K51" s="60">
        <v>6.51</v>
      </c>
      <c r="L51" s="60">
        <v>32.26</v>
      </c>
      <c r="M51" s="60">
        <v>42.03</v>
      </c>
      <c r="N51" s="60">
        <v>827.6</v>
      </c>
      <c r="O51" s="60">
        <v>0</v>
      </c>
      <c r="P51" s="60">
        <v>0.54</v>
      </c>
      <c r="Q51" s="60">
        <v>28.6</v>
      </c>
      <c r="R51" s="198"/>
      <c r="S51" s="198"/>
      <c r="T51" s="198"/>
      <c r="U51" s="198"/>
    </row>
    <row r="52" spans="1:21" s="12" customFormat="1" x14ac:dyDescent="0.25">
      <c r="A52" s="201" t="s">
        <v>579</v>
      </c>
      <c r="B52" s="60">
        <v>3.54</v>
      </c>
      <c r="C52" s="60">
        <v>34.340000000000003</v>
      </c>
      <c r="D52" s="60">
        <v>22.53</v>
      </c>
      <c r="E52" s="60">
        <v>2.1800000000000002</v>
      </c>
      <c r="F52" s="60">
        <v>7.89</v>
      </c>
      <c r="G52" s="60">
        <v>56.1</v>
      </c>
      <c r="H52" s="60">
        <v>26.16</v>
      </c>
      <c r="I52" s="60">
        <v>0.49</v>
      </c>
      <c r="J52" s="60">
        <v>0.27</v>
      </c>
      <c r="K52" s="60">
        <v>328.23</v>
      </c>
      <c r="L52" s="60">
        <v>33.270000000000003</v>
      </c>
      <c r="M52" s="60">
        <v>39.89</v>
      </c>
      <c r="N52" s="60">
        <v>839.3</v>
      </c>
      <c r="O52" s="60">
        <v>0</v>
      </c>
      <c r="P52" s="60">
        <v>0.53</v>
      </c>
      <c r="Q52" s="60">
        <v>32.39</v>
      </c>
      <c r="R52" s="198"/>
      <c r="S52" s="198"/>
      <c r="T52" s="198"/>
      <c r="U52" s="198"/>
    </row>
    <row r="53" spans="1:21" s="12" customFormat="1" x14ac:dyDescent="0.25">
      <c r="A53" s="201" t="s">
        <v>580</v>
      </c>
      <c r="B53" s="60">
        <v>3.19</v>
      </c>
      <c r="C53" s="60">
        <v>34.33</v>
      </c>
      <c r="D53" s="60">
        <v>22.24</v>
      </c>
      <c r="E53" s="60">
        <v>2.2400000000000002</v>
      </c>
      <c r="F53" s="60">
        <v>8.24</v>
      </c>
      <c r="G53" s="60">
        <v>56.1</v>
      </c>
      <c r="H53" s="60">
        <v>26.16</v>
      </c>
      <c r="I53" s="60">
        <v>0.49</v>
      </c>
      <c r="J53" s="60">
        <v>0.18</v>
      </c>
      <c r="K53" s="60">
        <v>319.10000000000002</v>
      </c>
      <c r="L53" s="60">
        <v>32.01</v>
      </c>
      <c r="M53" s="60">
        <v>42.02</v>
      </c>
      <c r="N53" s="60">
        <v>875.2</v>
      </c>
      <c r="O53" s="60">
        <v>0</v>
      </c>
      <c r="P53" s="60">
        <v>0.54</v>
      </c>
      <c r="Q53" s="60">
        <v>32.79</v>
      </c>
      <c r="R53" s="198"/>
      <c r="S53" s="198"/>
      <c r="T53" s="198"/>
      <c r="U53" s="198"/>
    </row>
    <row r="54" spans="1:21" s="12" customFormat="1" x14ac:dyDescent="0.25">
      <c r="A54" s="201" t="s">
        <v>581</v>
      </c>
      <c r="B54" s="60">
        <v>3.19</v>
      </c>
      <c r="C54" s="60">
        <v>36.950000000000003</v>
      </c>
      <c r="D54" s="60">
        <v>23.69</v>
      </c>
      <c r="E54" s="60">
        <v>2.0099999999999998</v>
      </c>
      <c r="F54" s="60">
        <v>8.1199999999999992</v>
      </c>
      <c r="G54" s="60">
        <v>55.28</v>
      </c>
      <c r="H54" s="60">
        <v>26.01</v>
      </c>
      <c r="I54" s="60">
        <v>0.49</v>
      </c>
      <c r="J54" s="60">
        <v>0.43</v>
      </c>
      <c r="K54" s="60">
        <v>28.53</v>
      </c>
      <c r="L54" s="60">
        <v>33.94</v>
      </c>
      <c r="M54" s="60">
        <v>37.630000000000003</v>
      </c>
      <c r="N54" s="60">
        <v>829.4</v>
      </c>
      <c r="O54" s="60">
        <v>0</v>
      </c>
      <c r="P54" s="60">
        <v>0.53</v>
      </c>
      <c r="Q54" s="60">
        <v>34.659999999999997</v>
      </c>
      <c r="R54" s="198"/>
      <c r="S54" s="198"/>
      <c r="T54" s="198"/>
      <c r="U54" s="198"/>
    </row>
    <row r="55" spans="1:21" s="12" customFormat="1" x14ac:dyDescent="0.25">
      <c r="A55" s="201" t="s">
        <v>582</v>
      </c>
      <c r="B55" s="60">
        <v>3.18</v>
      </c>
      <c r="C55" s="60">
        <v>38.43</v>
      </c>
      <c r="D55" s="60">
        <v>24.5</v>
      </c>
      <c r="E55" s="60">
        <v>2.36</v>
      </c>
      <c r="F55" s="60">
        <v>8.7799999999999994</v>
      </c>
      <c r="G55" s="60">
        <v>41.41</v>
      </c>
      <c r="H55" s="60">
        <v>23.18</v>
      </c>
      <c r="I55" s="60">
        <v>0.48</v>
      </c>
      <c r="J55" s="60">
        <v>0.24</v>
      </c>
      <c r="K55" s="60">
        <v>13.73</v>
      </c>
      <c r="L55" s="60">
        <v>33.58</v>
      </c>
      <c r="M55" s="60">
        <v>38.119999999999997</v>
      </c>
      <c r="N55" s="60">
        <v>852.4</v>
      </c>
      <c r="O55" s="60">
        <v>0</v>
      </c>
      <c r="P55" s="60">
        <v>0.54</v>
      </c>
      <c r="Q55" s="60">
        <v>35.07</v>
      </c>
      <c r="R55" s="198"/>
      <c r="S55" s="198"/>
      <c r="T55" s="198"/>
      <c r="U55" s="198"/>
    </row>
    <row r="56" spans="1:21" s="12" customFormat="1" x14ac:dyDescent="0.25">
      <c r="A56" s="201" t="s">
        <v>583</v>
      </c>
      <c r="B56" s="60">
        <v>3.13</v>
      </c>
      <c r="C56" s="60">
        <v>36.68</v>
      </c>
      <c r="D56" s="60">
        <v>23.5</v>
      </c>
      <c r="E56" s="60">
        <v>0.85</v>
      </c>
      <c r="F56" s="60">
        <v>8.1</v>
      </c>
      <c r="G56" s="60">
        <v>41.41</v>
      </c>
      <c r="H56" s="60">
        <v>23.18</v>
      </c>
      <c r="I56" s="60">
        <v>0.48</v>
      </c>
      <c r="J56" s="60">
        <v>0.41</v>
      </c>
      <c r="K56" s="60">
        <v>2.2999999999999998</v>
      </c>
      <c r="L56" s="60">
        <v>34.159999999999997</v>
      </c>
      <c r="M56" s="60">
        <v>37.58</v>
      </c>
      <c r="N56" s="60">
        <v>687.3</v>
      </c>
      <c r="O56" s="60">
        <v>0</v>
      </c>
      <c r="P56" s="60">
        <v>0.54</v>
      </c>
      <c r="Q56" s="60">
        <v>33.31</v>
      </c>
      <c r="R56" s="198"/>
      <c r="S56" s="198"/>
      <c r="T56" s="198"/>
      <c r="U56" s="198"/>
    </row>
    <row r="57" spans="1:21" s="12" customFormat="1" x14ac:dyDescent="0.25">
      <c r="A57" s="201" t="s">
        <v>584</v>
      </c>
      <c r="B57" s="60">
        <v>3.19</v>
      </c>
      <c r="C57" s="60">
        <v>35.770000000000003</v>
      </c>
      <c r="D57" s="60">
        <v>23.04</v>
      </c>
      <c r="E57" s="60">
        <v>1.34</v>
      </c>
      <c r="F57" s="60">
        <v>8.3000000000000007</v>
      </c>
      <c r="G57" s="60">
        <v>41.41</v>
      </c>
      <c r="H57" s="60">
        <v>23.18</v>
      </c>
      <c r="I57" s="60">
        <v>0.48</v>
      </c>
      <c r="J57" s="60">
        <v>0.44</v>
      </c>
      <c r="K57" s="60">
        <v>25.3</v>
      </c>
      <c r="L57" s="60">
        <v>34.07</v>
      </c>
      <c r="M57" s="60">
        <v>36.89</v>
      </c>
      <c r="N57" s="60">
        <v>810.3</v>
      </c>
      <c r="O57" s="60">
        <v>0</v>
      </c>
      <c r="P57" s="60">
        <v>0.54</v>
      </c>
      <c r="Q57" s="60">
        <v>31.15</v>
      </c>
      <c r="R57" s="198"/>
      <c r="S57" s="198"/>
      <c r="T57" s="198"/>
      <c r="U57" s="198"/>
    </row>
    <row r="58" spans="1:21" s="12" customFormat="1" x14ac:dyDescent="0.25">
      <c r="A58" s="201" t="s">
        <v>585</v>
      </c>
      <c r="B58" s="60">
        <v>3.2</v>
      </c>
      <c r="C58" s="60">
        <v>60.86</v>
      </c>
      <c r="D58" s="60">
        <v>36.89</v>
      </c>
      <c r="E58" s="60">
        <v>1.59</v>
      </c>
      <c r="F58" s="60">
        <v>9.99</v>
      </c>
      <c r="G58" s="60">
        <v>41.37</v>
      </c>
      <c r="H58" s="60">
        <v>23.07</v>
      </c>
      <c r="I58" s="60">
        <v>0.49</v>
      </c>
      <c r="J58" s="60">
        <v>0.32</v>
      </c>
      <c r="K58" s="60">
        <v>29.69</v>
      </c>
      <c r="L58" s="60">
        <v>33.93</v>
      </c>
      <c r="M58" s="60">
        <v>36.840000000000003</v>
      </c>
      <c r="N58" s="60">
        <v>660.9</v>
      </c>
      <c r="O58" s="60">
        <v>0</v>
      </c>
      <c r="P58" s="60">
        <v>0.54</v>
      </c>
      <c r="Q58" s="60">
        <v>33.43</v>
      </c>
      <c r="R58" s="198"/>
      <c r="S58" s="198"/>
      <c r="T58" s="198"/>
      <c r="U58" s="198"/>
    </row>
    <row r="59" spans="1:21" s="12" customFormat="1" x14ac:dyDescent="0.25">
      <c r="A59" s="201" t="s">
        <v>586</v>
      </c>
      <c r="B59" s="60">
        <v>3.22</v>
      </c>
      <c r="C59" s="60">
        <v>36.29</v>
      </c>
      <c r="D59" s="60">
        <v>23.35</v>
      </c>
      <c r="E59" s="60">
        <v>1.52</v>
      </c>
      <c r="F59" s="60">
        <v>8.91</v>
      </c>
      <c r="G59" s="60">
        <v>40.6</v>
      </c>
      <c r="H59" s="60">
        <v>21.05</v>
      </c>
      <c r="I59" s="60">
        <v>0.49</v>
      </c>
      <c r="J59" s="60">
        <v>0.33</v>
      </c>
      <c r="K59" s="60">
        <v>2</v>
      </c>
      <c r="L59" s="60">
        <v>34.19</v>
      </c>
      <c r="M59" s="60">
        <v>34.67</v>
      </c>
      <c r="N59" s="60">
        <v>849.6</v>
      </c>
      <c r="O59" s="60">
        <v>0</v>
      </c>
      <c r="P59" s="60">
        <v>0.53</v>
      </c>
      <c r="Q59" s="60">
        <v>28.07</v>
      </c>
      <c r="R59" s="198"/>
      <c r="S59" s="198"/>
      <c r="T59" s="198"/>
      <c r="U59" s="198"/>
    </row>
    <row r="60" spans="1:21" s="12" customFormat="1" x14ac:dyDescent="0.25">
      <c r="A60" s="201" t="s">
        <v>587</v>
      </c>
      <c r="B60" s="60">
        <v>3.82</v>
      </c>
      <c r="C60" s="60">
        <v>29.62</v>
      </c>
      <c r="D60" s="60">
        <v>20.149999999999999</v>
      </c>
      <c r="E60" s="60">
        <v>2.2599999999999998</v>
      </c>
      <c r="F60" s="60">
        <v>9.4700000000000006</v>
      </c>
      <c r="G60" s="60">
        <v>40.6</v>
      </c>
      <c r="H60" s="60">
        <v>21.05</v>
      </c>
      <c r="I60" s="60">
        <v>0.48</v>
      </c>
      <c r="J60" s="60">
        <v>0.47</v>
      </c>
      <c r="K60" s="60">
        <v>28.34</v>
      </c>
      <c r="L60" s="60">
        <v>35.770000000000003</v>
      </c>
      <c r="M60" s="60">
        <v>30.89</v>
      </c>
      <c r="N60" s="60">
        <v>900.1</v>
      </c>
      <c r="O60" s="60">
        <v>0</v>
      </c>
      <c r="P60" s="60">
        <v>0.52</v>
      </c>
      <c r="Q60" s="60">
        <v>24.12</v>
      </c>
      <c r="R60" s="198"/>
      <c r="S60" s="198"/>
      <c r="T60" s="198"/>
      <c r="U60" s="198"/>
    </row>
    <row r="61" spans="1:21" s="12" customFormat="1" x14ac:dyDescent="0.25">
      <c r="A61" s="201" t="s">
        <v>588</v>
      </c>
      <c r="B61" s="60">
        <v>3.46</v>
      </c>
      <c r="C61" s="60">
        <v>29.22</v>
      </c>
      <c r="D61" s="60">
        <v>19.649999999999999</v>
      </c>
      <c r="E61" s="60">
        <v>2.0499999999999998</v>
      </c>
      <c r="F61" s="60">
        <v>10.27</v>
      </c>
      <c r="G61" s="60">
        <v>40.6</v>
      </c>
      <c r="H61" s="60">
        <v>21.05</v>
      </c>
      <c r="I61" s="60">
        <v>0.48</v>
      </c>
      <c r="J61" s="60">
        <v>0.36</v>
      </c>
      <c r="K61" s="60">
        <v>28.33</v>
      </c>
      <c r="L61" s="60">
        <v>35.89</v>
      </c>
      <c r="M61" s="60">
        <v>29.46</v>
      </c>
      <c r="N61" s="60">
        <v>855.4</v>
      </c>
      <c r="O61" s="60">
        <v>0</v>
      </c>
      <c r="P61" s="60">
        <v>0.5</v>
      </c>
      <c r="Q61" s="60">
        <v>22.74</v>
      </c>
      <c r="R61" s="198"/>
      <c r="S61" s="198"/>
      <c r="T61" s="198"/>
      <c r="U61" s="198"/>
    </row>
    <row r="62" spans="1:21" s="12" customFormat="1" x14ac:dyDescent="0.25">
      <c r="A62" s="201" t="s">
        <v>589</v>
      </c>
      <c r="B62" s="60">
        <v>3.18</v>
      </c>
      <c r="C62" s="60">
        <v>29.39</v>
      </c>
      <c r="D62" s="60">
        <v>19.510000000000002</v>
      </c>
      <c r="E62" s="60">
        <v>2.4</v>
      </c>
      <c r="F62" s="60">
        <v>8.33</v>
      </c>
      <c r="G62" s="60">
        <v>40.46</v>
      </c>
      <c r="H62" s="60">
        <v>21.04</v>
      </c>
      <c r="I62" s="60">
        <v>0.48</v>
      </c>
      <c r="J62" s="60">
        <v>0.36</v>
      </c>
      <c r="K62" s="60">
        <v>32.97</v>
      </c>
      <c r="L62" s="60">
        <v>36.090000000000003</v>
      </c>
      <c r="M62" s="60">
        <v>28.7</v>
      </c>
      <c r="N62" s="60">
        <v>693.2</v>
      </c>
      <c r="O62" s="60">
        <v>0</v>
      </c>
      <c r="P62" s="60">
        <v>0.5</v>
      </c>
      <c r="Q62" s="60">
        <v>22.08</v>
      </c>
      <c r="R62" s="198"/>
      <c r="S62" s="198"/>
      <c r="T62" s="198"/>
      <c r="U62" s="198"/>
    </row>
    <row r="63" spans="1:21" s="12" customFormat="1" x14ac:dyDescent="0.25">
      <c r="A63" s="201" t="s">
        <v>590</v>
      </c>
      <c r="B63" s="60">
        <v>3.14</v>
      </c>
      <c r="C63" s="60">
        <v>28.86</v>
      </c>
      <c r="D63" s="60">
        <v>19.190000000000001</v>
      </c>
      <c r="E63" s="60">
        <v>2.37</v>
      </c>
      <c r="F63" s="60">
        <v>10.130000000000001</v>
      </c>
      <c r="G63" s="60">
        <v>38.1</v>
      </c>
      <c r="H63" s="60">
        <v>20.91</v>
      </c>
      <c r="I63" s="60">
        <v>0.48</v>
      </c>
      <c r="J63" s="60">
        <v>0.33</v>
      </c>
      <c r="K63" s="60">
        <v>15.42</v>
      </c>
      <c r="L63" s="60">
        <v>34.43</v>
      </c>
      <c r="M63" s="60">
        <v>30.18</v>
      </c>
      <c r="N63" s="60">
        <v>333</v>
      </c>
      <c r="O63" s="60">
        <v>0</v>
      </c>
      <c r="P63" s="60">
        <v>0.5</v>
      </c>
      <c r="Q63" s="60">
        <v>21.04</v>
      </c>
      <c r="R63" s="198"/>
      <c r="S63" s="198"/>
      <c r="T63" s="198"/>
      <c r="U63" s="198"/>
    </row>
    <row r="64" spans="1:21" s="12" customFormat="1" x14ac:dyDescent="0.25">
      <c r="A64" s="201" t="s">
        <v>591</v>
      </c>
      <c r="B64" s="60">
        <v>3.16</v>
      </c>
      <c r="C64" s="60">
        <v>29.94</v>
      </c>
      <c r="D64" s="60">
        <v>19.8</v>
      </c>
      <c r="E64" s="60">
        <v>2.13</v>
      </c>
      <c r="F64" s="60">
        <v>10.4</v>
      </c>
      <c r="G64" s="60">
        <v>38.1</v>
      </c>
      <c r="H64" s="60">
        <v>20.91</v>
      </c>
      <c r="I64" s="60">
        <v>0.48</v>
      </c>
      <c r="J64" s="60">
        <v>0.39</v>
      </c>
      <c r="K64" s="60">
        <v>21.02</v>
      </c>
      <c r="L64" s="60">
        <v>33.840000000000003</v>
      </c>
      <c r="M64" s="60">
        <v>29.12</v>
      </c>
      <c r="N64" s="60">
        <v>401.2</v>
      </c>
      <c r="O64" s="60">
        <v>0</v>
      </c>
      <c r="P64" s="60">
        <v>0.5</v>
      </c>
      <c r="Q64" s="60">
        <v>22.25</v>
      </c>
      <c r="R64" s="198"/>
      <c r="S64" s="198"/>
      <c r="T64" s="198"/>
      <c r="U64" s="198"/>
    </row>
    <row r="65" spans="1:21" s="12" customFormat="1" x14ac:dyDescent="0.25">
      <c r="A65" s="201" t="s">
        <v>592</v>
      </c>
      <c r="B65" s="60">
        <v>3.07</v>
      </c>
      <c r="C65" s="60">
        <v>30.52</v>
      </c>
      <c r="D65" s="60">
        <v>20.05</v>
      </c>
      <c r="E65" s="60">
        <v>1.68</v>
      </c>
      <c r="F65" s="60">
        <v>9.68</v>
      </c>
      <c r="G65" s="60">
        <v>38.1</v>
      </c>
      <c r="H65" s="60">
        <v>20.91</v>
      </c>
      <c r="I65" s="60">
        <v>0.48</v>
      </c>
      <c r="J65" s="60">
        <v>0.31</v>
      </c>
      <c r="K65" s="60">
        <v>31.65</v>
      </c>
      <c r="L65" s="60">
        <v>34.39</v>
      </c>
      <c r="M65" s="60">
        <v>27.47</v>
      </c>
      <c r="N65" s="60">
        <v>441.9</v>
      </c>
      <c r="O65" s="60">
        <v>0</v>
      </c>
      <c r="P65" s="60">
        <v>0.49</v>
      </c>
      <c r="Q65" s="60">
        <v>22.43</v>
      </c>
      <c r="R65" s="198"/>
      <c r="S65" s="198"/>
      <c r="T65" s="198"/>
      <c r="U65" s="198"/>
    </row>
    <row r="66" spans="1:21" s="12" customFormat="1" x14ac:dyDescent="0.25">
      <c r="A66" s="201" t="s">
        <v>593</v>
      </c>
      <c r="B66" s="60">
        <v>3.03</v>
      </c>
      <c r="C66" s="60">
        <v>34.78</v>
      </c>
      <c r="D66" s="60">
        <v>22.37</v>
      </c>
      <c r="E66" s="60">
        <v>1.59</v>
      </c>
      <c r="F66" s="60">
        <v>8.94</v>
      </c>
      <c r="G66" s="60">
        <v>38.29</v>
      </c>
      <c r="H66" s="60">
        <v>20.87</v>
      </c>
      <c r="I66" s="60">
        <v>0.48</v>
      </c>
      <c r="J66" s="60">
        <v>0.69</v>
      </c>
      <c r="K66" s="60">
        <v>17.670000000000002</v>
      </c>
      <c r="L66" s="60">
        <v>34</v>
      </c>
      <c r="M66" s="60">
        <v>27.32</v>
      </c>
      <c r="N66" s="60">
        <v>329.1</v>
      </c>
      <c r="O66" s="60">
        <v>0</v>
      </c>
      <c r="P66" s="60">
        <v>0.48</v>
      </c>
      <c r="Q66" s="60">
        <v>26.18</v>
      </c>
      <c r="R66" s="198"/>
      <c r="S66" s="198"/>
      <c r="T66" s="198"/>
      <c r="U66" s="198"/>
    </row>
    <row r="67" spans="1:21" s="12" customFormat="1" x14ac:dyDescent="0.25">
      <c r="A67" s="201" t="s">
        <v>594</v>
      </c>
      <c r="B67" s="60">
        <v>3.02</v>
      </c>
      <c r="C67" s="60">
        <v>37.65</v>
      </c>
      <c r="D67" s="60">
        <v>23.95</v>
      </c>
      <c r="E67" s="60">
        <v>1.95</v>
      </c>
      <c r="F67" s="60">
        <v>9.86</v>
      </c>
      <c r="G67" s="60">
        <v>41.6</v>
      </c>
      <c r="H67" s="60">
        <v>20.09</v>
      </c>
      <c r="I67" s="60">
        <v>0.48</v>
      </c>
      <c r="J67" s="60">
        <v>1.34</v>
      </c>
      <c r="K67" s="60">
        <v>24.55</v>
      </c>
      <c r="L67" s="60">
        <v>33.64</v>
      </c>
      <c r="M67" s="60">
        <v>24.98</v>
      </c>
      <c r="N67" s="60">
        <v>220.7</v>
      </c>
      <c r="O67" s="60">
        <v>0</v>
      </c>
      <c r="P67" s="60">
        <v>0.49</v>
      </c>
      <c r="Q67" s="60">
        <v>28.37</v>
      </c>
      <c r="R67" s="198"/>
      <c r="S67" s="198"/>
      <c r="T67" s="198"/>
      <c r="U67" s="198"/>
    </row>
    <row r="68" spans="1:21" s="12" customFormat="1" x14ac:dyDescent="0.25">
      <c r="A68" s="201" t="s">
        <v>595</v>
      </c>
      <c r="B68" s="60">
        <v>3.01</v>
      </c>
      <c r="C68" s="60">
        <v>39.68</v>
      </c>
      <c r="D68" s="60">
        <v>25.05</v>
      </c>
      <c r="E68" s="60">
        <v>1.8</v>
      </c>
      <c r="F68" s="60">
        <v>9.16</v>
      </c>
      <c r="G68" s="60">
        <v>41.6</v>
      </c>
      <c r="H68" s="60">
        <v>20.09</v>
      </c>
      <c r="I68" s="60">
        <v>0.48</v>
      </c>
      <c r="J68" s="60">
        <v>0.6</v>
      </c>
      <c r="K68" s="60">
        <v>23.84</v>
      </c>
      <c r="L68" s="60">
        <v>32.409999999999997</v>
      </c>
      <c r="M68" s="60">
        <v>28.43</v>
      </c>
      <c r="N68" s="60">
        <v>168.8</v>
      </c>
      <c r="O68" s="60">
        <v>0</v>
      </c>
      <c r="P68" s="60">
        <v>0.52</v>
      </c>
      <c r="Q68" s="60">
        <v>29.24</v>
      </c>
      <c r="R68" s="198"/>
      <c r="S68" s="198"/>
      <c r="T68" s="198"/>
      <c r="U68" s="198"/>
    </row>
    <row r="69" spans="1:21" s="12" customFormat="1" x14ac:dyDescent="0.25">
      <c r="A69" s="201" t="s">
        <v>596</v>
      </c>
      <c r="B69" s="60">
        <v>3.01</v>
      </c>
      <c r="C69" s="60">
        <v>41.71</v>
      </c>
      <c r="D69" s="60">
        <v>26.17</v>
      </c>
      <c r="E69" s="60">
        <v>1.68</v>
      </c>
      <c r="F69" s="60">
        <v>9.5399999999999991</v>
      </c>
      <c r="G69" s="60">
        <v>41.6</v>
      </c>
      <c r="H69" s="60">
        <v>20.09</v>
      </c>
      <c r="I69" s="60">
        <v>0.48</v>
      </c>
      <c r="J69" s="60">
        <v>0.26</v>
      </c>
      <c r="K69" s="60">
        <v>46.72</v>
      </c>
      <c r="L69" s="60">
        <v>31.95</v>
      </c>
      <c r="M69" s="60">
        <v>25.37</v>
      </c>
      <c r="N69" s="60">
        <v>213.5</v>
      </c>
      <c r="O69" s="60">
        <v>0</v>
      </c>
      <c r="P69" s="60">
        <v>0.53</v>
      </c>
      <c r="Q69" s="60">
        <v>29.46</v>
      </c>
      <c r="R69" s="198"/>
      <c r="S69" s="198"/>
      <c r="T69" s="198"/>
      <c r="U69" s="198"/>
    </row>
    <row r="70" spans="1:21" s="12" customFormat="1" x14ac:dyDescent="0.25">
      <c r="A70" s="201" t="s">
        <v>597</v>
      </c>
      <c r="B70" s="60">
        <v>3.23</v>
      </c>
      <c r="C70" s="60">
        <v>43.64</v>
      </c>
      <c r="D70" s="60">
        <v>27.41</v>
      </c>
      <c r="E70" s="60">
        <v>1.58</v>
      </c>
      <c r="F70" s="60">
        <v>8.44</v>
      </c>
      <c r="G70" s="60">
        <v>41.49</v>
      </c>
      <c r="H70" s="60">
        <v>20.03</v>
      </c>
      <c r="I70" s="60">
        <v>0.48</v>
      </c>
      <c r="J70" s="60">
        <v>0.26</v>
      </c>
      <c r="K70" s="60">
        <v>25.07</v>
      </c>
      <c r="L70" s="60">
        <v>32.67</v>
      </c>
      <c r="M70" s="60">
        <v>26.52</v>
      </c>
      <c r="N70" s="60">
        <v>278.5</v>
      </c>
      <c r="O70" s="60">
        <v>0</v>
      </c>
      <c r="P70" s="60">
        <v>0.54</v>
      </c>
      <c r="Q70" s="60">
        <v>29.03</v>
      </c>
      <c r="R70" s="198"/>
      <c r="S70" s="198"/>
      <c r="T70" s="198"/>
      <c r="U70" s="198"/>
    </row>
    <row r="71" spans="1:21" s="12" customFormat="1" x14ac:dyDescent="0.25">
      <c r="A71" s="201" t="s">
        <v>598</v>
      </c>
      <c r="B71" s="60">
        <v>3.4</v>
      </c>
      <c r="C71" s="60">
        <v>45.82</v>
      </c>
      <c r="D71" s="60">
        <v>28.75</v>
      </c>
      <c r="E71" s="60">
        <v>1.78</v>
      </c>
      <c r="F71" s="60">
        <v>8.82</v>
      </c>
      <c r="G71" s="60">
        <v>39.6</v>
      </c>
      <c r="H71" s="60">
        <v>19.13</v>
      </c>
      <c r="I71" s="60">
        <v>0.48</v>
      </c>
      <c r="J71" s="60">
        <v>0.22</v>
      </c>
      <c r="K71" s="60">
        <v>35.549999999999997</v>
      </c>
      <c r="L71" s="60">
        <v>32.880000000000003</v>
      </c>
      <c r="M71" s="60">
        <v>28.05</v>
      </c>
      <c r="N71" s="60">
        <v>140.69999999999999</v>
      </c>
      <c r="O71" s="60">
        <v>0</v>
      </c>
      <c r="P71" s="60">
        <v>0.56000000000000005</v>
      </c>
      <c r="Q71" s="60">
        <v>29.01</v>
      </c>
      <c r="R71" s="198"/>
      <c r="S71" s="198"/>
      <c r="T71" s="198"/>
      <c r="U71" s="198"/>
    </row>
    <row r="72" spans="1:21" s="12" customFormat="1" x14ac:dyDescent="0.25">
      <c r="A72" s="201" t="s">
        <v>599</v>
      </c>
      <c r="B72" s="60">
        <v>3.5</v>
      </c>
      <c r="C72" s="60">
        <v>62.14</v>
      </c>
      <c r="D72" s="60">
        <v>37.840000000000003</v>
      </c>
      <c r="E72" s="60">
        <v>2.2200000000000002</v>
      </c>
      <c r="F72" s="60">
        <v>13.51</v>
      </c>
      <c r="G72" s="60">
        <v>39.6</v>
      </c>
      <c r="H72" s="60">
        <v>19.13</v>
      </c>
      <c r="I72" s="60">
        <v>0.48</v>
      </c>
      <c r="J72" s="60">
        <v>0.18</v>
      </c>
      <c r="K72" s="60">
        <v>28.46</v>
      </c>
      <c r="L72" s="60">
        <v>32.25</v>
      </c>
      <c r="M72" s="60">
        <v>30.71</v>
      </c>
      <c r="N72" s="60">
        <v>112.9</v>
      </c>
      <c r="O72" s="60">
        <v>0</v>
      </c>
      <c r="P72" s="60">
        <v>0.6</v>
      </c>
      <c r="Q72" s="60">
        <v>29.06</v>
      </c>
      <c r="R72" s="198"/>
      <c r="S72" s="198"/>
      <c r="T72" s="198"/>
      <c r="U72" s="198"/>
    </row>
    <row r="73" spans="1:21" s="12" customFormat="1" x14ac:dyDescent="0.25">
      <c r="A73" s="201" t="s">
        <v>600</v>
      </c>
      <c r="B73" s="60">
        <v>3.19</v>
      </c>
      <c r="C73" s="60">
        <v>54.59</v>
      </c>
      <c r="D73" s="60">
        <v>33.42</v>
      </c>
      <c r="E73" s="60">
        <v>5.43</v>
      </c>
      <c r="F73" s="60">
        <v>15.19</v>
      </c>
      <c r="G73" s="60">
        <v>39.6</v>
      </c>
      <c r="H73" s="60">
        <v>19.13</v>
      </c>
      <c r="I73" s="60">
        <v>0.47</v>
      </c>
      <c r="J73" s="60">
        <v>0.61</v>
      </c>
      <c r="K73" s="60">
        <v>245.95</v>
      </c>
      <c r="L73" s="60">
        <v>31.33</v>
      </c>
      <c r="M73" s="60">
        <v>32.549999999999997</v>
      </c>
      <c r="N73" s="60">
        <v>151.6</v>
      </c>
      <c r="O73" s="60">
        <v>0</v>
      </c>
      <c r="P73" s="60">
        <v>0.56999999999999995</v>
      </c>
      <c r="Q73" s="60">
        <v>32.270000000000003</v>
      </c>
      <c r="R73" s="198"/>
      <c r="S73" s="198"/>
      <c r="T73" s="198"/>
      <c r="U73" s="198"/>
    </row>
    <row r="74" spans="1:21" s="12" customFormat="1" x14ac:dyDescent="0.25">
      <c r="A74" s="201" t="s">
        <v>601</v>
      </c>
      <c r="B74" s="60">
        <v>3.14</v>
      </c>
      <c r="C74" s="60">
        <v>47.7</v>
      </c>
      <c r="D74" s="60">
        <v>29.58</v>
      </c>
      <c r="E74" s="60">
        <v>5.82</v>
      </c>
      <c r="F74" s="60">
        <v>24.12</v>
      </c>
      <c r="G74" s="60">
        <v>38.369999999999997</v>
      </c>
      <c r="H74" s="60">
        <v>19.170000000000002</v>
      </c>
      <c r="I74" s="60">
        <v>0.48</v>
      </c>
      <c r="J74" s="60">
        <v>0.36</v>
      </c>
      <c r="K74" s="60">
        <v>255.22</v>
      </c>
      <c r="L74" s="60">
        <v>31.22</v>
      </c>
      <c r="M74" s="60">
        <v>31.53</v>
      </c>
      <c r="N74" s="60">
        <v>137.19999999999999</v>
      </c>
      <c r="O74" s="60">
        <v>0</v>
      </c>
      <c r="P74" s="60">
        <v>0.56000000000000005</v>
      </c>
      <c r="Q74" s="60">
        <v>31.05</v>
      </c>
      <c r="R74" s="198"/>
      <c r="S74" s="198"/>
      <c r="T74" s="198"/>
      <c r="U74" s="198"/>
    </row>
    <row r="75" spans="1:21" s="12" customFormat="1" x14ac:dyDescent="0.25">
      <c r="A75" s="201" t="s">
        <v>602</v>
      </c>
      <c r="B75" s="60">
        <v>3.15</v>
      </c>
      <c r="C75" s="60">
        <v>44.3</v>
      </c>
      <c r="D75" s="60">
        <v>27.71</v>
      </c>
      <c r="E75" s="60">
        <v>10.45</v>
      </c>
      <c r="F75" s="60">
        <v>32.200000000000003</v>
      </c>
      <c r="G75" s="60">
        <v>17.420000000000002</v>
      </c>
      <c r="H75" s="60">
        <v>19.760000000000002</v>
      </c>
      <c r="I75" s="60">
        <v>0.49</v>
      </c>
      <c r="J75" s="60">
        <v>0.34</v>
      </c>
      <c r="K75" s="60">
        <v>249.21</v>
      </c>
      <c r="L75" s="60">
        <v>31.41</v>
      </c>
      <c r="M75" s="60">
        <v>32</v>
      </c>
      <c r="N75" s="60">
        <v>99.6</v>
      </c>
      <c r="O75" s="60">
        <v>0</v>
      </c>
      <c r="P75" s="60">
        <v>0.59</v>
      </c>
      <c r="Q75" s="60">
        <v>29.45</v>
      </c>
      <c r="R75" s="198"/>
      <c r="S75" s="198"/>
      <c r="T75" s="198"/>
      <c r="U75" s="198"/>
    </row>
    <row r="76" spans="1:21" s="12" customFormat="1" x14ac:dyDescent="0.25">
      <c r="A76" s="201" t="s">
        <v>603</v>
      </c>
      <c r="B76" s="60">
        <v>5.6</v>
      </c>
      <c r="C76" s="60">
        <v>54.55</v>
      </c>
      <c r="D76" s="60">
        <v>35.340000000000003</v>
      </c>
      <c r="E76" s="60">
        <v>9.92</v>
      </c>
      <c r="F76" s="60">
        <v>25.96</v>
      </c>
      <c r="G76" s="60">
        <v>17.420000000000002</v>
      </c>
      <c r="H76" s="60">
        <v>19.760000000000002</v>
      </c>
      <c r="I76" s="60">
        <v>0.49</v>
      </c>
      <c r="J76" s="60">
        <v>0.14000000000000001</v>
      </c>
      <c r="K76" s="60">
        <v>288.7</v>
      </c>
      <c r="L76" s="60">
        <v>31.66</v>
      </c>
      <c r="M76" s="60">
        <v>31.67</v>
      </c>
      <c r="N76" s="60">
        <v>110.5</v>
      </c>
      <c r="O76" s="60">
        <v>0</v>
      </c>
      <c r="P76" s="60">
        <v>0.65</v>
      </c>
      <c r="Q76" s="60">
        <v>30.51</v>
      </c>
      <c r="R76" s="198"/>
      <c r="S76" s="198"/>
      <c r="T76" s="198"/>
      <c r="U76" s="198"/>
    </row>
    <row r="77" spans="1:21" s="12" customFormat="1" x14ac:dyDescent="0.25">
      <c r="A77" s="201" t="s">
        <v>604</v>
      </c>
      <c r="B77" s="60">
        <v>6.64</v>
      </c>
      <c r="C77" s="60">
        <v>55.55</v>
      </c>
      <c r="D77" s="60">
        <v>36.72</v>
      </c>
      <c r="E77" s="60">
        <v>6.24</v>
      </c>
      <c r="F77" s="60">
        <v>11.7</v>
      </c>
      <c r="G77" s="60">
        <v>17.420000000000002</v>
      </c>
      <c r="H77" s="60">
        <v>19.760000000000002</v>
      </c>
      <c r="I77" s="60">
        <v>0.47</v>
      </c>
      <c r="J77" s="60">
        <v>0.06</v>
      </c>
      <c r="K77" s="60">
        <v>327.97</v>
      </c>
      <c r="L77" s="60">
        <v>31.74</v>
      </c>
      <c r="M77" s="60">
        <v>30.2</v>
      </c>
      <c r="N77" s="60">
        <v>77.400000000000006</v>
      </c>
      <c r="O77" s="60">
        <v>0</v>
      </c>
      <c r="P77" s="60">
        <v>0.68</v>
      </c>
      <c r="Q77" s="60">
        <v>29.9</v>
      </c>
      <c r="R77" s="198"/>
      <c r="S77" s="198"/>
      <c r="T77" s="198"/>
      <c r="U77" s="198"/>
    </row>
    <row r="78" spans="1:21" s="12" customFormat="1" x14ac:dyDescent="0.25">
      <c r="A78" s="201" t="s">
        <v>605</v>
      </c>
      <c r="B78" s="60">
        <v>5.65</v>
      </c>
      <c r="C78" s="60">
        <v>60.26</v>
      </c>
      <c r="D78" s="60">
        <v>38.520000000000003</v>
      </c>
      <c r="E78" s="60">
        <v>4.2699999999999996</v>
      </c>
      <c r="F78" s="60">
        <v>10.56</v>
      </c>
      <c r="G78" s="60">
        <v>18.96</v>
      </c>
      <c r="H78" s="60">
        <v>19.8</v>
      </c>
      <c r="I78" s="60">
        <v>0.49</v>
      </c>
      <c r="J78" s="60">
        <v>0.28000000000000003</v>
      </c>
      <c r="K78" s="60">
        <v>29.59</v>
      </c>
      <c r="L78" s="60">
        <v>32.01</v>
      </c>
      <c r="M78" s="60">
        <v>23.57</v>
      </c>
      <c r="N78" s="60">
        <v>63.6</v>
      </c>
      <c r="O78" s="60">
        <v>0</v>
      </c>
      <c r="P78" s="60">
        <v>0.65</v>
      </c>
      <c r="Q78" s="60">
        <v>28.4</v>
      </c>
      <c r="R78" s="198"/>
      <c r="S78" s="198"/>
      <c r="T78" s="198"/>
      <c r="U78" s="198"/>
    </row>
    <row r="79" spans="1:21" s="12" customFormat="1" x14ac:dyDescent="0.25">
      <c r="A79" s="201" t="s">
        <v>606</v>
      </c>
      <c r="B79" s="60">
        <v>5.07</v>
      </c>
      <c r="C79" s="60">
        <v>72.77</v>
      </c>
      <c r="D79" s="60">
        <v>44.97</v>
      </c>
      <c r="E79" s="60">
        <v>3.17</v>
      </c>
      <c r="F79" s="60">
        <v>10.19</v>
      </c>
      <c r="G79" s="60">
        <v>45.1</v>
      </c>
      <c r="H79" s="60">
        <v>20.36</v>
      </c>
      <c r="I79" s="60">
        <v>0.52</v>
      </c>
      <c r="J79" s="60">
        <v>0.28999999999999998</v>
      </c>
      <c r="K79" s="60">
        <v>26.45</v>
      </c>
      <c r="L79" s="60">
        <v>31.77</v>
      </c>
      <c r="M79" s="60">
        <v>19.68</v>
      </c>
      <c r="N79" s="60">
        <v>37.6</v>
      </c>
      <c r="O79" s="60">
        <v>0</v>
      </c>
      <c r="P79" s="60">
        <v>0.62</v>
      </c>
      <c r="Q79" s="60">
        <v>30.11</v>
      </c>
      <c r="R79" s="198"/>
      <c r="S79" s="198"/>
      <c r="T79" s="198"/>
      <c r="U79" s="198"/>
    </row>
    <row r="80" spans="1:21" s="12" customFormat="1" x14ac:dyDescent="0.25">
      <c r="A80" s="201" t="s">
        <v>607</v>
      </c>
      <c r="B80" s="60">
        <v>4.84</v>
      </c>
      <c r="C80" s="60">
        <v>57.53</v>
      </c>
      <c r="D80" s="60">
        <v>36.369999999999997</v>
      </c>
      <c r="E80" s="60">
        <v>2.88</v>
      </c>
      <c r="F80" s="60">
        <v>7.28</v>
      </c>
      <c r="G80" s="60">
        <v>45.1</v>
      </c>
      <c r="H80" s="60">
        <v>20.36</v>
      </c>
      <c r="I80" s="60">
        <v>0.54</v>
      </c>
      <c r="J80" s="60">
        <v>0.97</v>
      </c>
      <c r="K80" s="60">
        <v>216.7</v>
      </c>
      <c r="L80" s="60">
        <v>29.85</v>
      </c>
      <c r="M80" s="60">
        <v>33.99</v>
      </c>
      <c r="N80" s="60">
        <v>23.7</v>
      </c>
      <c r="O80" s="60">
        <v>0</v>
      </c>
      <c r="P80" s="60">
        <v>0.6</v>
      </c>
      <c r="Q80" s="60">
        <v>32.9</v>
      </c>
      <c r="R80" s="198"/>
      <c r="S80" s="198"/>
      <c r="T80" s="198"/>
      <c r="U80" s="198"/>
    </row>
    <row r="81" spans="1:26" s="12" customFormat="1" x14ac:dyDescent="0.25">
      <c r="A81" s="201" t="s">
        <v>608</v>
      </c>
      <c r="B81" s="60">
        <v>4.4000000000000004</v>
      </c>
      <c r="C81" s="60">
        <v>54.99</v>
      </c>
      <c r="D81" s="60">
        <v>34.619999999999997</v>
      </c>
      <c r="E81" s="60">
        <v>2.4700000000000002</v>
      </c>
      <c r="F81" s="60">
        <v>7.88</v>
      </c>
      <c r="G81" s="60">
        <v>45.1</v>
      </c>
      <c r="H81" s="60">
        <v>20.36</v>
      </c>
      <c r="I81" s="60">
        <v>0.54</v>
      </c>
      <c r="J81" s="60">
        <v>0.31</v>
      </c>
      <c r="K81" s="60">
        <v>219.69</v>
      </c>
      <c r="L81" s="60">
        <v>27.83</v>
      </c>
      <c r="M81" s="60">
        <v>40.19</v>
      </c>
      <c r="N81" s="60">
        <v>11.5</v>
      </c>
      <c r="O81" s="60">
        <v>0</v>
      </c>
      <c r="P81" s="60">
        <v>0.57999999999999996</v>
      </c>
      <c r="Q81" s="60">
        <v>34.950000000000003</v>
      </c>
      <c r="R81" s="198"/>
      <c r="S81" s="198"/>
      <c r="T81" s="198"/>
      <c r="U81" s="198"/>
    </row>
    <row r="82" spans="1:26" s="12" customFormat="1" x14ac:dyDescent="0.25">
      <c r="A82" s="201" t="s">
        <v>609</v>
      </c>
      <c r="B82" s="60">
        <v>4.5</v>
      </c>
      <c r="C82" s="60">
        <v>57.22</v>
      </c>
      <c r="D82" s="60">
        <v>35.93</v>
      </c>
      <c r="E82" s="60">
        <v>2.3199999999999998</v>
      </c>
      <c r="F82" s="60">
        <v>6.84</v>
      </c>
      <c r="G82" s="60">
        <v>46.24</v>
      </c>
      <c r="H82" s="60">
        <v>20.399999999999999</v>
      </c>
      <c r="I82" s="60">
        <v>0.54</v>
      </c>
      <c r="J82" s="60">
        <v>0.88</v>
      </c>
      <c r="K82" s="60">
        <v>203.45</v>
      </c>
      <c r="L82" s="60">
        <v>27.18</v>
      </c>
      <c r="M82" s="60">
        <v>40.299999999999997</v>
      </c>
      <c r="N82" s="60">
        <v>5.8</v>
      </c>
      <c r="O82" s="60">
        <v>0</v>
      </c>
      <c r="P82" s="60">
        <v>0.56999999999999995</v>
      </c>
      <c r="Q82" s="60">
        <v>35.5</v>
      </c>
      <c r="R82" s="198"/>
      <c r="S82" s="198"/>
      <c r="T82" s="198"/>
      <c r="U82" s="198"/>
    </row>
    <row r="83" spans="1:26" s="12" customFormat="1" x14ac:dyDescent="0.25">
      <c r="A83" s="201" t="s">
        <v>610</v>
      </c>
      <c r="B83" s="60">
        <v>4.1900000000000004</v>
      </c>
      <c r="C83" s="60">
        <v>55.9</v>
      </c>
      <c r="D83" s="60">
        <v>34.950000000000003</v>
      </c>
      <c r="E83" s="60">
        <v>2.12</v>
      </c>
      <c r="F83" s="60">
        <v>6.98</v>
      </c>
      <c r="G83" s="60">
        <v>65.75</v>
      </c>
      <c r="H83" s="60">
        <v>21.06</v>
      </c>
      <c r="I83" s="60">
        <v>0.54</v>
      </c>
      <c r="J83" s="60">
        <v>0.64</v>
      </c>
      <c r="K83" s="60">
        <v>218.4</v>
      </c>
      <c r="L83" s="60">
        <v>26.86</v>
      </c>
      <c r="M83" s="60">
        <v>41.08</v>
      </c>
      <c r="N83" s="60">
        <v>4.5999999999999996</v>
      </c>
      <c r="O83" s="60">
        <v>0</v>
      </c>
      <c r="P83" s="60">
        <v>0.55000000000000004</v>
      </c>
      <c r="Q83" s="60">
        <v>35.78</v>
      </c>
      <c r="R83" s="198"/>
      <c r="S83" s="198"/>
      <c r="T83" s="198"/>
      <c r="U83" s="198"/>
    </row>
    <row r="84" spans="1:26" s="12" customFormat="1" x14ac:dyDescent="0.25">
      <c r="A84" s="201" t="s">
        <v>611</v>
      </c>
      <c r="B84" s="60">
        <v>3.89</v>
      </c>
      <c r="C84" s="60">
        <v>55.24</v>
      </c>
      <c r="D84" s="60">
        <v>34.35</v>
      </c>
      <c r="E84" s="60">
        <v>1.82</v>
      </c>
      <c r="F84" s="60">
        <v>5.71</v>
      </c>
      <c r="G84" s="60">
        <v>65.75</v>
      </c>
      <c r="H84" s="60">
        <v>21.06</v>
      </c>
      <c r="I84" s="60">
        <v>0.53</v>
      </c>
      <c r="J84" s="60">
        <v>0.68</v>
      </c>
      <c r="K84" s="60">
        <v>213.57</v>
      </c>
      <c r="L84" s="60">
        <v>26.58</v>
      </c>
      <c r="M84" s="60">
        <v>42.84</v>
      </c>
      <c r="N84" s="60">
        <v>4.4000000000000004</v>
      </c>
      <c r="O84" s="60">
        <v>0</v>
      </c>
      <c r="P84" s="60">
        <v>0.55000000000000004</v>
      </c>
      <c r="Q84" s="60">
        <v>35.799999999999997</v>
      </c>
      <c r="R84" s="198"/>
      <c r="S84" s="198"/>
      <c r="T84" s="198"/>
      <c r="U84" s="198"/>
    </row>
    <row r="85" spans="1:26" s="12" customFormat="1" x14ac:dyDescent="0.25">
      <c r="A85" s="201" t="s">
        <v>612</v>
      </c>
      <c r="B85" s="60">
        <v>3.88</v>
      </c>
      <c r="C85" s="60">
        <v>54.64</v>
      </c>
      <c r="D85" s="60">
        <v>34.01</v>
      </c>
      <c r="E85" s="60">
        <v>1.74</v>
      </c>
      <c r="F85" s="60">
        <v>5.57</v>
      </c>
      <c r="G85" s="60">
        <v>65.75</v>
      </c>
      <c r="H85" s="60">
        <v>21.06</v>
      </c>
      <c r="I85" s="60">
        <v>0.52</v>
      </c>
      <c r="J85" s="60">
        <v>0.56999999999999995</v>
      </c>
      <c r="K85" s="60">
        <v>195.18</v>
      </c>
      <c r="L85" s="60">
        <v>26.32</v>
      </c>
      <c r="M85" s="60">
        <v>44.32</v>
      </c>
      <c r="N85" s="60">
        <v>4.4000000000000004</v>
      </c>
      <c r="O85" s="60">
        <v>0</v>
      </c>
      <c r="P85" s="60">
        <v>0.52</v>
      </c>
      <c r="Q85" s="60">
        <v>35.81</v>
      </c>
      <c r="R85" s="198"/>
      <c r="S85" s="198"/>
      <c r="T85" s="198"/>
      <c r="U85" s="198"/>
    </row>
    <row r="86" spans="1:26" s="12" customFormat="1" x14ac:dyDescent="0.25">
      <c r="A86" s="201" t="s">
        <v>613</v>
      </c>
      <c r="B86" s="60">
        <v>4.09</v>
      </c>
      <c r="C86" s="60">
        <v>54.61</v>
      </c>
      <c r="D86" s="60">
        <v>34.159999999999997</v>
      </c>
      <c r="E86" s="60">
        <v>1.68</v>
      </c>
      <c r="F86" s="60">
        <v>6.2</v>
      </c>
      <c r="G86" s="60">
        <v>65.08</v>
      </c>
      <c r="H86" s="60">
        <v>20.96</v>
      </c>
      <c r="I86" s="60">
        <v>0.54</v>
      </c>
      <c r="J86" s="60">
        <v>0.96</v>
      </c>
      <c r="K86" s="60">
        <v>186.9</v>
      </c>
      <c r="L86" s="60">
        <v>26.08</v>
      </c>
      <c r="M86" s="60">
        <v>45.7</v>
      </c>
      <c r="N86" s="60">
        <v>4.3</v>
      </c>
      <c r="O86" s="60">
        <v>0</v>
      </c>
      <c r="P86" s="60">
        <v>0.56000000000000005</v>
      </c>
      <c r="Q86" s="60">
        <v>35.17</v>
      </c>
      <c r="R86" s="198"/>
      <c r="S86" s="198"/>
      <c r="T86" s="198"/>
      <c r="U86" s="198"/>
    </row>
    <row r="87" spans="1:26" s="12" customFormat="1" x14ac:dyDescent="0.25">
      <c r="A87" s="201" t="s">
        <v>614</v>
      </c>
      <c r="B87" s="60">
        <v>4.12</v>
      </c>
      <c r="C87" s="60">
        <v>47.75</v>
      </c>
      <c r="D87" s="60">
        <v>30.39</v>
      </c>
      <c r="E87" s="60">
        <v>2.2599999999999998</v>
      </c>
      <c r="F87" s="60">
        <v>11.96</v>
      </c>
      <c r="G87" s="60">
        <v>53.62</v>
      </c>
      <c r="H87" s="60">
        <v>18.78</v>
      </c>
      <c r="I87" s="60">
        <v>0.54</v>
      </c>
      <c r="J87" s="60">
        <v>0.67</v>
      </c>
      <c r="K87" s="60">
        <v>212.77</v>
      </c>
      <c r="L87" s="60">
        <v>25.89</v>
      </c>
      <c r="M87" s="60">
        <v>46.46</v>
      </c>
      <c r="N87" s="60">
        <v>4.4000000000000004</v>
      </c>
      <c r="O87" s="60">
        <v>0</v>
      </c>
      <c r="P87" s="60">
        <v>0.56000000000000005</v>
      </c>
      <c r="Q87" s="60">
        <v>33.619999999999997</v>
      </c>
      <c r="R87" s="198"/>
      <c r="S87" s="198"/>
      <c r="T87" s="198"/>
      <c r="U87" s="198"/>
    </row>
    <row r="88" spans="1:26" s="12" customFormat="1" x14ac:dyDescent="0.25">
      <c r="A88" s="201" t="s">
        <v>615</v>
      </c>
      <c r="B88" s="60">
        <v>4.3</v>
      </c>
      <c r="C88" s="60">
        <v>44.01</v>
      </c>
      <c r="D88" s="60">
        <v>28.48</v>
      </c>
      <c r="E88" s="60">
        <v>1.1100000000000001</v>
      </c>
      <c r="F88" s="60">
        <v>14.09</v>
      </c>
      <c r="G88" s="60">
        <v>53.62</v>
      </c>
      <c r="H88" s="60">
        <v>18.78</v>
      </c>
      <c r="I88" s="60">
        <v>0.55000000000000004</v>
      </c>
      <c r="J88" s="60">
        <v>0.42</v>
      </c>
      <c r="K88" s="60">
        <v>211.14</v>
      </c>
      <c r="L88" s="60">
        <v>25.69</v>
      </c>
      <c r="M88" s="60">
        <v>47.6</v>
      </c>
      <c r="N88" s="60">
        <v>4.5</v>
      </c>
      <c r="O88" s="60">
        <v>0</v>
      </c>
      <c r="P88" s="60">
        <v>0.57999999999999996</v>
      </c>
      <c r="Q88" s="60">
        <v>28.63</v>
      </c>
      <c r="R88" s="198"/>
      <c r="S88" s="198"/>
      <c r="T88" s="198"/>
      <c r="U88" s="198"/>
    </row>
    <row r="89" spans="1:26" s="12" customFormat="1" x14ac:dyDescent="0.25">
      <c r="A89" s="201" t="s">
        <v>616</v>
      </c>
      <c r="B89" s="60">
        <v>4.63</v>
      </c>
      <c r="C89" s="60">
        <v>57.56</v>
      </c>
      <c r="D89" s="60">
        <v>36.22</v>
      </c>
      <c r="E89" s="60">
        <v>1.86</v>
      </c>
      <c r="F89" s="60">
        <v>15.18</v>
      </c>
      <c r="G89" s="60">
        <v>53.62</v>
      </c>
      <c r="H89" s="60">
        <v>18.78</v>
      </c>
      <c r="I89" s="60">
        <v>0.54</v>
      </c>
      <c r="J89" s="60">
        <v>0.38</v>
      </c>
      <c r="K89" s="60">
        <v>216.13</v>
      </c>
      <c r="L89" s="60">
        <v>25.46</v>
      </c>
      <c r="M89" s="60">
        <v>48.91</v>
      </c>
      <c r="N89" s="60">
        <v>4.5999999999999996</v>
      </c>
      <c r="O89" s="60">
        <v>0</v>
      </c>
      <c r="P89" s="60">
        <v>0.59</v>
      </c>
      <c r="Q89" s="60">
        <v>29.06</v>
      </c>
      <c r="R89" s="198"/>
      <c r="S89" s="198"/>
      <c r="T89" s="198"/>
      <c r="U89" s="198"/>
    </row>
    <row r="90" spans="1:26" s="12" customFormat="1" x14ac:dyDescent="0.25">
      <c r="A90" s="201" t="s">
        <v>617</v>
      </c>
      <c r="B90" s="60">
        <v>5.86</v>
      </c>
      <c r="C90" s="60">
        <v>56.52</v>
      </c>
      <c r="D90" s="60">
        <v>36.64</v>
      </c>
      <c r="E90" s="60">
        <v>2.56</v>
      </c>
      <c r="F90" s="60">
        <v>15.75</v>
      </c>
      <c r="G90" s="60">
        <v>53.44</v>
      </c>
      <c r="H90" s="60">
        <v>18.760000000000002</v>
      </c>
      <c r="I90" s="60">
        <v>0.53</v>
      </c>
      <c r="J90" s="60">
        <v>0.1</v>
      </c>
      <c r="K90" s="60">
        <v>265.72000000000003</v>
      </c>
      <c r="L90" s="60">
        <v>25.2</v>
      </c>
      <c r="M90" s="60">
        <v>50.22</v>
      </c>
      <c r="N90" s="60">
        <v>4.8</v>
      </c>
      <c r="O90" s="60">
        <v>0</v>
      </c>
      <c r="P90" s="60">
        <v>0.6</v>
      </c>
      <c r="Q90" s="60">
        <v>28.88</v>
      </c>
      <c r="R90" s="198"/>
      <c r="S90" s="198"/>
      <c r="T90" s="198"/>
      <c r="U90" s="198"/>
    </row>
    <row r="91" spans="1:26" s="12" customFormat="1" x14ac:dyDescent="0.25">
      <c r="A91" s="201" t="s">
        <v>618</v>
      </c>
      <c r="B91" s="60">
        <v>6.06</v>
      </c>
      <c r="C91" s="60">
        <v>54.93</v>
      </c>
      <c r="D91" s="60">
        <v>35.909999999999997</v>
      </c>
      <c r="E91" s="60">
        <v>2.29</v>
      </c>
      <c r="F91" s="60">
        <v>17.02</v>
      </c>
      <c r="G91" s="60">
        <v>50.42</v>
      </c>
      <c r="H91" s="60">
        <v>18.350000000000001</v>
      </c>
      <c r="I91" s="60">
        <v>0.51</v>
      </c>
      <c r="J91" s="60">
        <v>0.2</v>
      </c>
      <c r="K91" s="60">
        <v>201.7</v>
      </c>
      <c r="L91" s="60">
        <v>24.87</v>
      </c>
      <c r="M91" s="60">
        <v>51.59</v>
      </c>
      <c r="N91" s="60">
        <v>4.5</v>
      </c>
      <c r="O91" s="60">
        <v>0</v>
      </c>
      <c r="P91" s="60">
        <v>0.63</v>
      </c>
      <c r="Q91" s="60">
        <v>29.43</v>
      </c>
      <c r="R91" s="198"/>
      <c r="S91" s="198"/>
      <c r="T91" s="198"/>
      <c r="U91" s="198"/>
    </row>
    <row r="92" spans="1:26" s="12" customFormat="1" x14ac:dyDescent="0.25">
      <c r="A92" s="201" t="s">
        <v>619</v>
      </c>
      <c r="B92" s="60">
        <v>6.86</v>
      </c>
      <c r="C92" s="60">
        <v>58.75</v>
      </c>
      <c r="D92" s="60">
        <v>38.659999999999997</v>
      </c>
      <c r="E92" s="60">
        <v>2.46</v>
      </c>
      <c r="F92" s="60">
        <v>14.64</v>
      </c>
      <c r="G92" s="60">
        <v>50.42</v>
      </c>
      <c r="H92" s="60">
        <v>18.350000000000001</v>
      </c>
      <c r="I92" s="60">
        <v>0.51</v>
      </c>
      <c r="J92" s="60">
        <v>0.12</v>
      </c>
      <c r="K92" s="60">
        <v>208.56</v>
      </c>
      <c r="L92" s="60">
        <v>24.87</v>
      </c>
      <c r="M92" s="60">
        <v>51.96</v>
      </c>
      <c r="N92" s="60">
        <v>4.3</v>
      </c>
      <c r="O92" s="60">
        <v>0</v>
      </c>
      <c r="P92" s="60">
        <v>0.65</v>
      </c>
      <c r="Q92" s="60">
        <v>29.73</v>
      </c>
      <c r="R92" s="198"/>
      <c r="S92" s="198"/>
      <c r="T92" s="198"/>
      <c r="U92" s="198"/>
    </row>
    <row r="93" spans="1:26" s="12" customFormat="1" x14ac:dyDescent="0.25">
      <c r="A93" s="201" t="s">
        <v>620</v>
      </c>
      <c r="B93" s="60">
        <v>17.82</v>
      </c>
      <c r="C93" s="60">
        <v>62.88</v>
      </c>
      <c r="D93" s="60">
        <v>49.73</v>
      </c>
      <c r="E93" s="60">
        <v>2.79</v>
      </c>
      <c r="F93" s="60">
        <v>10.9</v>
      </c>
      <c r="G93" s="60">
        <v>50.42</v>
      </c>
      <c r="H93" s="60">
        <v>18.350000000000001</v>
      </c>
      <c r="I93" s="60">
        <v>0.52</v>
      </c>
      <c r="J93" s="60">
        <v>0.22</v>
      </c>
      <c r="K93" s="60">
        <v>11.01</v>
      </c>
      <c r="L93" s="60">
        <v>24.69</v>
      </c>
      <c r="M93" s="60">
        <v>52.48</v>
      </c>
      <c r="N93" s="60">
        <v>4.5999999999999996</v>
      </c>
      <c r="O93" s="60">
        <v>0</v>
      </c>
      <c r="P93" s="60">
        <v>0.91</v>
      </c>
      <c r="Q93" s="60">
        <v>30.11</v>
      </c>
      <c r="R93" s="198"/>
      <c r="S93" s="198"/>
      <c r="T93" s="198"/>
      <c r="U93" s="198"/>
    </row>
    <row r="94" spans="1:26" s="12" customFormat="1" x14ac:dyDescent="0.25">
      <c r="A94" s="201" t="s">
        <v>621</v>
      </c>
      <c r="B94" s="60">
        <v>14.13</v>
      </c>
      <c r="C94" s="60">
        <v>46.94</v>
      </c>
      <c r="D94" s="60">
        <v>37.979999999999997</v>
      </c>
      <c r="E94" s="60">
        <v>2.34</v>
      </c>
      <c r="F94" s="60">
        <v>5.94</v>
      </c>
      <c r="G94" s="60">
        <v>51.98</v>
      </c>
      <c r="H94" s="60">
        <v>18.579999999999998</v>
      </c>
      <c r="I94" s="60">
        <v>0.54</v>
      </c>
      <c r="J94" s="60">
        <v>0.14000000000000001</v>
      </c>
      <c r="K94" s="60">
        <v>26.14</v>
      </c>
      <c r="L94" s="60">
        <v>24.33</v>
      </c>
      <c r="M94" s="60">
        <v>53.95</v>
      </c>
      <c r="N94" s="60">
        <v>4.8</v>
      </c>
      <c r="O94" s="60">
        <v>0</v>
      </c>
      <c r="P94" s="60">
        <v>0.77</v>
      </c>
      <c r="Q94" s="60">
        <v>32.799999999999997</v>
      </c>
      <c r="R94" s="198"/>
      <c r="S94" s="198"/>
      <c r="T94" s="198"/>
      <c r="U94" s="198"/>
    </row>
    <row r="95" spans="1:26" s="12" customFormat="1" x14ac:dyDescent="0.25">
      <c r="A95" s="201" t="s">
        <v>622</v>
      </c>
      <c r="B95" s="60">
        <v>20.18</v>
      </c>
      <c r="C95" s="60">
        <v>52</v>
      </c>
      <c r="D95" s="60">
        <v>45.62</v>
      </c>
      <c r="E95" s="60">
        <v>1.91</v>
      </c>
      <c r="F95" s="60">
        <v>4.03</v>
      </c>
      <c r="G95" s="60">
        <v>78.47</v>
      </c>
      <c r="H95" s="60">
        <v>22.45</v>
      </c>
      <c r="I95" s="60">
        <v>0.56999999999999995</v>
      </c>
      <c r="J95" s="60">
        <v>0.03</v>
      </c>
      <c r="K95" s="60">
        <v>323.13</v>
      </c>
      <c r="L95" s="60">
        <v>23.88</v>
      </c>
      <c r="M95" s="60">
        <v>55.36</v>
      </c>
      <c r="N95" s="60">
        <v>4.9000000000000004</v>
      </c>
      <c r="O95" s="60">
        <v>0</v>
      </c>
      <c r="P95" s="60">
        <v>0.86</v>
      </c>
      <c r="Q95" s="60">
        <v>35.79</v>
      </c>
      <c r="R95" s="198"/>
      <c r="S95" s="198"/>
      <c r="T95" s="198"/>
      <c r="U95" s="198"/>
    </row>
    <row r="96" spans="1:26" s="12" customFormat="1" x14ac:dyDescent="0.25">
      <c r="A96" s="201" t="s">
        <v>623</v>
      </c>
      <c r="B96" s="60">
        <v>24.7</v>
      </c>
      <c r="C96" s="60">
        <v>60.61</v>
      </c>
      <c r="D96" s="60">
        <v>53.99</v>
      </c>
      <c r="E96" s="60">
        <v>1.64</v>
      </c>
      <c r="F96" s="60">
        <v>3.63</v>
      </c>
      <c r="G96" s="60">
        <v>78.47</v>
      </c>
      <c r="H96" s="60">
        <v>22.45</v>
      </c>
      <c r="I96" s="60">
        <v>0.62</v>
      </c>
      <c r="J96" s="60">
        <v>7.0000000000000007E-2</v>
      </c>
      <c r="K96" s="60">
        <v>21.74</v>
      </c>
      <c r="L96" s="60">
        <v>23.73</v>
      </c>
      <c r="M96" s="60">
        <v>55.32</v>
      </c>
      <c r="N96" s="60">
        <v>4.5999999999999996</v>
      </c>
      <c r="O96" s="60">
        <v>0</v>
      </c>
      <c r="P96" s="60">
        <v>0.97</v>
      </c>
      <c r="Q96" s="60">
        <v>37.92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624</v>
      </c>
      <c r="B97" s="60">
        <v>23.94</v>
      </c>
      <c r="C97" s="60">
        <v>63.17</v>
      </c>
      <c r="D97" s="60">
        <v>54.8</v>
      </c>
      <c r="E97" s="60">
        <v>1.83</v>
      </c>
      <c r="F97" s="60">
        <v>3.63</v>
      </c>
      <c r="G97" s="60">
        <v>78.47</v>
      </c>
      <c r="H97" s="60">
        <v>22.45</v>
      </c>
      <c r="I97" s="60">
        <v>0.64</v>
      </c>
      <c r="J97" s="60">
        <v>0.04</v>
      </c>
      <c r="K97" s="60">
        <v>357.67</v>
      </c>
      <c r="L97" s="60">
        <v>23.78</v>
      </c>
      <c r="M97" s="60">
        <v>54.85</v>
      </c>
      <c r="N97" s="60">
        <v>4.8</v>
      </c>
      <c r="O97" s="60">
        <v>0</v>
      </c>
      <c r="P97" s="60">
        <v>1.02</v>
      </c>
      <c r="Q97" s="60">
        <v>38.89</v>
      </c>
      <c r="R97" s="198"/>
      <c r="S97" s="198"/>
      <c r="T97" s="198"/>
      <c r="U97" s="198"/>
    </row>
    <row r="98" spans="1:33" s="12" customFormat="1" x14ac:dyDescent="0.25">
      <c r="A98" s="201" t="s">
        <v>625</v>
      </c>
      <c r="B98" s="60">
        <v>27.45</v>
      </c>
      <c r="C98" s="60">
        <v>63.55</v>
      </c>
      <c r="D98" s="60">
        <v>57.82</v>
      </c>
      <c r="E98" s="60">
        <v>1.66</v>
      </c>
      <c r="F98" s="60">
        <v>3.64</v>
      </c>
      <c r="G98" s="60">
        <v>78.11</v>
      </c>
      <c r="H98" s="60">
        <v>22.56</v>
      </c>
      <c r="I98" s="60">
        <v>0.65</v>
      </c>
      <c r="J98" s="60">
        <v>0.08</v>
      </c>
      <c r="K98" s="60">
        <v>319.43</v>
      </c>
      <c r="L98" s="60">
        <v>23.77</v>
      </c>
      <c r="M98" s="60">
        <v>54.9</v>
      </c>
      <c r="N98" s="60">
        <v>4.5999999999999996</v>
      </c>
      <c r="O98" s="60">
        <v>0</v>
      </c>
      <c r="P98" s="60">
        <v>1.05</v>
      </c>
      <c r="Q98" s="60">
        <v>39.479999999999997</v>
      </c>
      <c r="R98" s="198"/>
      <c r="S98" s="198"/>
      <c r="T98" s="198"/>
      <c r="U98" s="198"/>
    </row>
    <row r="99" spans="1:33" s="12" customFormat="1" x14ac:dyDescent="0.25">
      <c r="A99" s="201" t="s">
        <v>626</v>
      </c>
      <c r="B99" s="60">
        <v>27.77</v>
      </c>
      <c r="C99" s="60">
        <v>67.41</v>
      </c>
      <c r="D99" s="60">
        <v>60.21</v>
      </c>
      <c r="E99" s="60">
        <v>1.52</v>
      </c>
      <c r="F99" s="60">
        <v>4.17</v>
      </c>
      <c r="G99" s="60">
        <v>71.87</v>
      </c>
      <c r="H99" s="60">
        <v>24.37</v>
      </c>
      <c r="I99" s="60">
        <v>0.66</v>
      </c>
      <c r="J99" s="60">
        <v>0.12</v>
      </c>
      <c r="K99" s="60">
        <v>301.27999999999997</v>
      </c>
      <c r="L99" s="60">
        <v>24.28</v>
      </c>
      <c r="M99" s="60">
        <v>51.79</v>
      </c>
      <c r="N99" s="60">
        <v>3.6</v>
      </c>
      <c r="O99" s="60">
        <v>0</v>
      </c>
      <c r="P99" s="60">
        <v>1.05</v>
      </c>
      <c r="Q99" s="60">
        <v>39.630000000000003</v>
      </c>
      <c r="R99" s="198"/>
      <c r="S99" s="198"/>
      <c r="T99" s="198"/>
      <c r="U99" s="198"/>
    </row>
    <row r="100" spans="1:33" s="12" customFormat="1" x14ac:dyDescent="0.25">
      <c r="A100" s="201" t="s">
        <v>627</v>
      </c>
      <c r="B100" s="60">
        <v>23.71</v>
      </c>
      <c r="C100" s="60">
        <v>62.91</v>
      </c>
      <c r="D100" s="60">
        <v>54.47</v>
      </c>
      <c r="E100" s="60">
        <v>1.3</v>
      </c>
      <c r="F100" s="60">
        <v>4.21</v>
      </c>
      <c r="G100" s="60">
        <v>71.87</v>
      </c>
      <c r="H100" s="60">
        <v>24.37</v>
      </c>
      <c r="I100" s="60">
        <v>0.64</v>
      </c>
      <c r="J100" s="60">
        <v>0.47</v>
      </c>
      <c r="K100" s="60">
        <v>228.21</v>
      </c>
      <c r="L100" s="60">
        <v>24.59</v>
      </c>
      <c r="M100" s="60">
        <v>52.82</v>
      </c>
      <c r="N100" s="60">
        <v>3.8</v>
      </c>
      <c r="O100" s="60">
        <v>0</v>
      </c>
      <c r="P100" s="60">
        <v>1.01</v>
      </c>
      <c r="Q100" s="60">
        <v>39.79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628</v>
      </c>
      <c r="B101" s="60">
        <v>18.13</v>
      </c>
      <c r="C101" s="60">
        <v>54.35</v>
      </c>
      <c r="D101" s="60">
        <v>45.28</v>
      </c>
      <c r="E101" s="60">
        <v>1.47</v>
      </c>
      <c r="F101" s="60">
        <v>9.1300000000000008</v>
      </c>
      <c r="G101" s="60">
        <v>71.87</v>
      </c>
      <c r="H101" s="60">
        <v>24.37</v>
      </c>
      <c r="I101" s="60">
        <v>0.6</v>
      </c>
      <c r="J101" s="60">
        <v>0.16</v>
      </c>
      <c r="K101" s="60">
        <v>243.3</v>
      </c>
      <c r="L101" s="60">
        <v>23.72</v>
      </c>
      <c r="M101" s="60">
        <v>57.59</v>
      </c>
      <c r="N101" s="60">
        <v>5.0999999999999996</v>
      </c>
      <c r="O101" s="60">
        <v>0</v>
      </c>
      <c r="P101" s="60">
        <v>0.96</v>
      </c>
      <c r="Q101" s="60">
        <v>39.29</v>
      </c>
      <c r="R101" s="198"/>
      <c r="S101" s="198"/>
      <c r="T101" s="198"/>
      <c r="U101" s="198"/>
    </row>
    <row r="102" spans="1:33" s="12" customFormat="1" x14ac:dyDescent="0.25">
      <c r="A102" s="201" t="s">
        <v>629</v>
      </c>
      <c r="B102" s="60">
        <v>16.420000000000002</v>
      </c>
      <c r="C102" s="60">
        <v>43.54</v>
      </c>
      <c r="D102" s="60">
        <v>37.93</v>
      </c>
      <c r="E102" s="60">
        <v>1.79</v>
      </c>
      <c r="F102" s="60">
        <v>11.61</v>
      </c>
      <c r="G102" s="60">
        <v>72.8</v>
      </c>
      <c r="H102" s="60">
        <v>24.55</v>
      </c>
      <c r="I102" s="60">
        <v>0.59</v>
      </c>
      <c r="J102" s="60">
        <v>0.11</v>
      </c>
      <c r="K102" s="60">
        <v>312.99</v>
      </c>
      <c r="L102" s="60">
        <v>23.08</v>
      </c>
      <c r="M102" s="60">
        <v>60.16</v>
      </c>
      <c r="N102" s="60">
        <v>5</v>
      </c>
      <c r="O102" s="60">
        <v>0</v>
      </c>
      <c r="P102" s="60">
        <v>0.87</v>
      </c>
      <c r="Q102" s="60">
        <v>35.869999999999997</v>
      </c>
      <c r="R102" s="198"/>
      <c r="S102" s="198"/>
      <c r="T102" s="198"/>
      <c r="U102" s="198"/>
    </row>
    <row r="103" spans="1:33" s="12" customFormat="1" x14ac:dyDescent="0.25">
      <c r="A103" s="201" t="s">
        <v>630</v>
      </c>
      <c r="B103" s="60">
        <v>18.649999999999999</v>
      </c>
      <c r="C103" s="60">
        <v>61.29</v>
      </c>
      <c r="D103" s="60">
        <v>49.52</v>
      </c>
      <c r="E103" s="60">
        <v>1.53</v>
      </c>
      <c r="F103" s="60">
        <v>8.89</v>
      </c>
      <c r="G103" s="60">
        <v>88.55</v>
      </c>
      <c r="H103" s="60">
        <v>27.77</v>
      </c>
      <c r="I103" s="60">
        <v>0.56000000000000005</v>
      </c>
      <c r="J103" s="60">
        <v>0.11</v>
      </c>
      <c r="K103" s="60">
        <v>356.68</v>
      </c>
      <c r="L103" s="60">
        <v>22.74</v>
      </c>
      <c r="M103" s="60">
        <v>60.97</v>
      </c>
      <c r="N103" s="60">
        <v>4.8</v>
      </c>
      <c r="O103" s="60">
        <v>0</v>
      </c>
      <c r="P103" s="60">
        <v>0.94</v>
      </c>
      <c r="Q103" s="60">
        <v>32.69</v>
      </c>
      <c r="R103" s="198"/>
      <c r="S103" s="198"/>
      <c r="T103" s="198"/>
      <c r="U103" s="198"/>
    </row>
    <row r="104" spans="1:33" s="12" customFormat="1" x14ac:dyDescent="0.25">
      <c r="A104" s="201" t="s">
        <v>631</v>
      </c>
      <c r="B104" s="60">
        <v>18.190000000000001</v>
      </c>
      <c r="C104" s="60">
        <v>56.69</v>
      </c>
      <c r="D104" s="60">
        <v>46.61</v>
      </c>
      <c r="E104" s="60">
        <v>1.45</v>
      </c>
      <c r="F104" s="60">
        <v>8.61</v>
      </c>
      <c r="G104" s="60">
        <v>88.55</v>
      </c>
      <c r="H104" s="60">
        <v>27.77</v>
      </c>
      <c r="I104" s="60">
        <v>0.55000000000000004</v>
      </c>
      <c r="J104" s="60">
        <v>0.2</v>
      </c>
      <c r="K104" s="60">
        <v>21.02</v>
      </c>
      <c r="L104" s="60">
        <v>22.31</v>
      </c>
      <c r="M104" s="60">
        <v>63.81</v>
      </c>
      <c r="N104" s="60">
        <v>4.9000000000000004</v>
      </c>
      <c r="O104" s="60">
        <v>0</v>
      </c>
      <c r="P104" s="60">
        <v>0.89</v>
      </c>
      <c r="Q104" s="60">
        <v>33.700000000000003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3.01</v>
      </c>
      <c r="C106" s="67">
        <f>MIN(C9:C104)</f>
        <v>28.86</v>
      </c>
      <c r="D106" s="67">
        <f t="shared" ref="D106:Q106" si="0">MIN(D9:D104)</f>
        <v>19.190000000000001</v>
      </c>
      <c r="E106" s="67">
        <f t="shared" si="0"/>
        <v>0.28000000000000003</v>
      </c>
      <c r="F106" s="67">
        <f t="shared" si="0"/>
        <v>3.41</v>
      </c>
      <c r="G106" s="67">
        <f t="shared" si="0"/>
        <v>17.420000000000002</v>
      </c>
      <c r="H106" s="67">
        <f t="shared" si="0"/>
        <v>18.350000000000001</v>
      </c>
      <c r="I106" s="67">
        <f t="shared" si="0"/>
        <v>0.47</v>
      </c>
      <c r="J106" s="67">
        <f t="shared" si="0"/>
        <v>0.02</v>
      </c>
      <c r="K106" s="67">
        <f t="shared" si="0"/>
        <v>2</v>
      </c>
      <c r="L106" s="67">
        <f t="shared" si="0"/>
        <v>21.37</v>
      </c>
      <c r="M106" s="67">
        <f t="shared" si="0"/>
        <v>19.68</v>
      </c>
      <c r="N106" s="67">
        <f t="shared" si="0"/>
        <v>3.6</v>
      </c>
      <c r="O106" s="67">
        <f t="shared" si="0"/>
        <v>0</v>
      </c>
      <c r="P106" s="67">
        <f t="shared" si="0"/>
        <v>0.48</v>
      </c>
      <c r="Q106" s="67">
        <f t="shared" si="0"/>
        <v>21.04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27.77</v>
      </c>
      <c r="C107" s="66">
        <f t="shared" ref="C107:Q107" si="1">MAX(C9:C104)</f>
        <v>72.77</v>
      </c>
      <c r="D107" s="66">
        <f t="shared" si="1"/>
        <v>60.21</v>
      </c>
      <c r="E107" s="66">
        <f t="shared" si="1"/>
        <v>10.45</v>
      </c>
      <c r="F107" s="66">
        <f t="shared" si="1"/>
        <v>32.200000000000003</v>
      </c>
      <c r="G107" s="66">
        <f t="shared" si="1"/>
        <v>88.55</v>
      </c>
      <c r="H107" s="66">
        <f t="shared" si="1"/>
        <v>27.77</v>
      </c>
      <c r="I107" s="66">
        <f t="shared" si="1"/>
        <v>0.69</v>
      </c>
      <c r="J107" s="66">
        <f t="shared" si="1"/>
        <v>1.34</v>
      </c>
      <c r="K107" s="66">
        <f t="shared" si="1"/>
        <v>357.67</v>
      </c>
      <c r="L107" s="66">
        <f t="shared" si="1"/>
        <v>36.090000000000003</v>
      </c>
      <c r="M107" s="66">
        <f t="shared" si="1"/>
        <v>68.44</v>
      </c>
      <c r="N107" s="66">
        <f t="shared" si="1"/>
        <v>900.1</v>
      </c>
      <c r="O107" s="66">
        <f t="shared" si="1"/>
        <v>0</v>
      </c>
      <c r="P107" s="66">
        <f t="shared" si="1"/>
        <v>1.05</v>
      </c>
      <c r="Q107" s="66">
        <f t="shared" si="1"/>
        <v>43.32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7.6516666666666646</v>
      </c>
      <c r="C108" s="67">
        <f t="shared" ref="C108:Q108" si="2">AVERAGE(C9:C104)</f>
        <v>45.788333333333334</v>
      </c>
      <c r="D108" s="67">
        <f t="shared" si="2"/>
        <v>32.145520833333322</v>
      </c>
      <c r="E108" s="67">
        <f t="shared" si="2"/>
        <v>2.3480208333333334</v>
      </c>
      <c r="F108" s="67">
        <f t="shared" si="2"/>
        <v>8.4508333333333372</v>
      </c>
      <c r="G108" s="67">
        <f t="shared" si="2"/>
        <v>51.873645833333306</v>
      </c>
      <c r="H108" s="67">
        <f t="shared" si="2"/>
        <v>22.60114583333333</v>
      </c>
      <c r="I108" s="67">
        <f t="shared" si="2"/>
        <v>0.53843749999999979</v>
      </c>
      <c r="J108" s="67">
        <f t="shared" si="2"/>
        <v>0.33249999999999996</v>
      </c>
      <c r="K108" s="67">
        <f t="shared" si="2"/>
        <v>176.81281249999995</v>
      </c>
      <c r="L108" s="67">
        <f t="shared" si="2"/>
        <v>27.204895833333339</v>
      </c>
      <c r="M108" s="67">
        <f t="shared" si="2"/>
        <v>48.390833333333319</v>
      </c>
      <c r="N108" s="67">
        <f t="shared" si="2"/>
        <v>217.02187499999991</v>
      </c>
      <c r="O108" s="67">
        <f t="shared" si="2"/>
        <v>0</v>
      </c>
      <c r="P108" s="67">
        <f t="shared" si="2"/>
        <v>0.64645833333333336</v>
      </c>
      <c r="Q108" s="67">
        <f t="shared" si="2"/>
        <v>34.332083333333337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5.9948796865442073</v>
      </c>
      <c r="C109" s="67">
        <f t="shared" ref="C109:Q109" si="3">STDEV(C9:C104)</f>
        <v>10.140138758177205</v>
      </c>
      <c r="D109" s="67">
        <f t="shared" si="3"/>
        <v>9.0091157191850435</v>
      </c>
      <c r="E109" s="67">
        <f t="shared" si="3"/>
        <v>1.5112299764320012</v>
      </c>
      <c r="F109" s="67">
        <f t="shared" si="3"/>
        <v>4.8724606701805282</v>
      </c>
      <c r="G109" s="67">
        <f t="shared" si="3"/>
        <v>14.177592113858102</v>
      </c>
      <c r="H109" s="67">
        <f t="shared" si="3"/>
        <v>2.5238061773072595</v>
      </c>
      <c r="I109" s="67">
        <f t="shared" si="3"/>
        <v>5.2562306386150712E-2</v>
      </c>
      <c r="J109" s="67">
        <f t="shared" si="3"/>
        <v>0.25723223175300491</v>
      </c>
      <c r="K109" s="67">
        <f t="shared" si="3"/>
        <v>120.16926819417014</v>
      </c>
      <c r="L109" s="67">
        <f t="shared" si="3"/>
        <v>4.5791955153697206</v>
      </c>
      <c r="M109" s="67">
        <f t="shared" si="3"/>
        <v>13.554154279984282</v>
      </c>
      <c r="N109" s="67">
        <f t="shared" si="3"/>
        <v>301.20071230890994</v>
      </c>
      <c r="O109" s="67">
        <f t="shared" si="3"/>
        <v>0</v>
      </c>
      <c r="P109" s="67">
        <f t="shared" si="3"/>
        <v>0.13559986932664492</v>
      </c>
      <c r="Q109" s="67">
        <f t="shared" si="3"/>
        <v>5.6190272461505888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31" sqref="E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634</v>
      </c>
      <c r="B9" s="60">
        <v>17.5</v>
      </c>
      <c r="C9" s="60">
        <v>54.8</v>
      </c>
      <c r="D9" s="60">
        <v>45.02</v>
      </c>
      <c r="E9" s="60">
        <v>2.27</v>
      </c>
      <c r="F9" s="60">
        <v>9.48</v>
      </c>
      <c r="G9" s="60">
        <v>88.55</v>
      </c>
      <c r="H9" s="60">
        <v>27.77</v>
      </c>
      <c r="I9" s="60">
        <v>0.56000000000000005</v>
      </c>
      <c r="J9" s="60">
        <v>0.11</v>
      </c>
      <c r="K9" s="60">
        <v>331.02</v>
      </c>
      <c r="L9" s="60">
        <v>22.7</v>
      </c>
      <c r="M9" s="60">
        <v>59.88</v>
      </c>
      <c r="N9" s="60">
        <v>4.2</v>
      </c>
      <c r="O9" s="60">
        <v>0</v>
      </c>
      <c r="P9" s="60">
        <v>0.85</v>
      </c>
      <c r="Q9" s="60">
        <v>33.92</v>
      </c>
      <c r="R9" s="198"/>
      <c r="S9" s="198"/>
      <c r="T9" s="198"/>
      <c r="U9" s="198"/>
    </row>
    <row r="10" spans="1:21" s="12" customFormat="1" x14ac:dyDescent="0.25">
      <c r="A10" s="201" t="s">
        <v>635</v>
      </c>
      <c r="B10" s="60">
        <v>16.760000000000002</v>
      </c>
      <c r="C10" s="60">
        <v>46.34</v>
      </c>
      <c r="D10" s="60">
        <v>39.75</v>
      </c>
      <c r="E10" s="60">
        <v>2.4300000000000002</v>
      </c>
      <c r="F10" s="60">
        <v>9.99</v>
      </c>
      <c r="G10" s="60">
        <v>87.4</v>
      </c>
      <c r="H10" s="60">
        <v>27.77</v>
      </c>
      <c r="I10" s="60">
        <v>0.56000000000000005</v>
      </c>
      <c r="J10" s="60">
        <v>0.09</v>
      </c>
      <c r="K10" s="60">
        <v>327.64999999999998</v>
      </c>
      <c r="L10" s="60">
        <v>23.3</v>
      </c>
      <c r="M10" s="60">
        <v>57.98</v>
      </c>
      <c r="N10" s="60">
        <v>4.0999999999999996</v>
      </c>
      <c r="O10" s="60">
        <v>0</v>
      </c>
      <c r="P10" s="60">
        <v>0.85</v>
      </c>
      <c r="Q10" s="60">
        <v>33.799999999999997</v>
      </c>
      <c r="R10" s="198"/>
      <c r="S10" s="198"/>
      <c r="T10" s="198"/>
      <c r="U10" s="198"/>
    </row>
    <row r="11" spans="1:21" s="12" customFormat="1" x14ac:dyDescent="0.25">
      <c r="A11" s="201" t="s">
        <v>636</v>
      </c>
      <c r="B11" s="60">
        <v>16.54</v>
      </c>
      <c r="C11" s="60">
        <v>46.07</v>
      </c>
      <c r="D11" s="60">
        <v>39.43</v>
      </c>
      <c r="E11" s="60">
        <v>2.46</v>
      </c>
      <c r="F11" s="60">
        <v>10.46</v>
      </c>
      <c r="G11" s="60">
        <v>67.8</v>
      </c>
      <c r="H11" s="60">
        <v>27.71</v>
      </c>
      <c r="I11" s="60">
        <v>0.56000000000000005</v>
      </c>
      <c r="J11" s="60">
        <v>0.08</v>
      </c>
      <c r="K11" s="60">
        <v>328.32</v>
      </c>
      <c r="L11" s="60">
        <v>22.96</v>
      </c>
      <c r="M11" s="60">
        <v>60.51</v>
      </c>
      <c r="N11" s="60">
        <v>4.3</v>
      </c>
      <c r="O11" s="60">
        <v>0</v>
      </c>
      <c r="P11" s="60">
        <v>0.81</v>
      </c>
      <c r="Q11" s="60">
        <v>34.72</v>
      </c>
      <c r="R11" s="198"/>
      <c r="S11" s="198"/>
      <c r="T11" s="198"/>
      <c r="U11" s="198"/>
    </row>
    <row r="12" spans="1:21" s="12" customFormat="1" x14ac:dyDescent="0.25">
      <c r="A12" s="201" t="s">
        <v>637</v>
      </c>
      <c r="B12" s="60">
        <v>17.79</v>
      </c>
      <c r="C12" s="60">
        <v>50.41</v>
      </c>
      <c r="D12" s="60">
        <v>42.83</v>
      </c>
      <c r="E12" s="60">
        <v>2.41</v>
      </c>
      <c r="F12" s="60">
        <v>6.42</v>
      </c>
      <c r="G12" s="60">
        <v>67.8</v>
      </c>
      <c r="H12" s="60">
        <v>27.71</v>
      </c>
      <c r="I12" s="60">
        <v>0.57999999999999996</v>
      </c>
      <c r="J12" s="60">
        <v>0.16</v>
      </c>
      <c r="K12" s="60">
        <v>12.31</v>
      </c>
      <c r="L12" s="60">
        <v>22.7</v>
      </c>
      <c r="M12" s="60">
        <v>62.01</v>
      </c>
      <c r="N12" s="60">
        <v>4.7</v>
      </c>
      <c r="O12" s="60">
        <v>0</v>
      </c>
      <c r="P12" s="60">
        <v>0.87</v>
      </c>
      <c r="Q12" s="60">
        <v>34.15</v>
      </c>
      <c r="R12" s="198"/>
      <c r="S12" s="198"/>
      <c r="T12" s="198"/>
      <c r="U12" s="198"/>
    </row>
    <row r="13" spans="1:21" s="12" customFormat="1" x14ac:dyDescent="0.25">
      <c r="A13" s="201" t="s">
        <v>638</v>
      </c>
      <c r="B13" s="60">
        <v>17.12</v>
      </c>
      <c r="C13" s="60">
        <v>44.1</v>
      </c>
      <c r="D13" s="60">
        <v>38.81</v>
      </c>
      <c r="E13" s="60">
        <v>2.38</v>
      </c>
      <c r="F13" s="60">
        <v>4.1900000000000004</v>
      </c>
      <c r="G13" s="60">
        <v>67.8</v>
      </c>
      <c r="H13" s="60">
        <v>27.71</v>
      </c>
      <c r="I13" s="60">
        <v>0.61</v>
      </c>
      <c r="J13" s="60">
        <v>0.21</v>
      </c>
      <c r="K13" s="60">
        <v>0.86</v>
      </c>
      <c r="L13" s="60">
        <v>22.43</v>
      </c>
      <c r="M13" s="60">
        <v>63.5</v>
      </c>
      <c r="N13" s="60">
        <v>4.5999999999999996</v>
      </c>
      <c r="O13" s="60">
        <v>0</v>
      </c>
      <c r="P13" s="60">
        <v>0.85</v>
      </c>
      <c r="Q13" s="60">
        <v>37.630000000000003</v>
      </c>
      <c r="R13" s="198"/>
      <c r="S13" s="198"/>
      <c r="T13" s="198"/>
      <c r="U13" s="198"/>
    </row>
    <row r="14" spans="1:21" s="12" customFormat="1" x14ac:dyDescent="0.25">
      <c r="A14" s="201" t="s">
        <v>639</v>
      </c>
      <c r="B14" s="60">
        <v>14.36</v>
      </c>
      <c r="C14" s="60">
        <v>45.31</v>
      </c>
      <c r="D14" s="60">
        <v>37.26</v>
      </c>
      <c r="E14" s="60">
        <v>2.2999999999999998</v>
      </c>
      <c r="F14" s="60">
        <v>3.71</v>
      </c>
      <c r="G14" s="60">
        <v>67.41</v>
      </c>
      <c r="H14" s="60">
        <v>27.33</v>
      </c>
      <c r="I14" s="60">
        <v>0.62</v>
      </c>
      <c r="J14" s="60">
        <v>0.04</v>
      </c>
      <c r="K14" s="60">
        <v>27.82</v>
      </c>
      <c r="L14" s="60">
        <v>22.63</v>
      </c>
      <c r="M14" s="60">
        <v>61.81</v>
      </c>
      <c r="N14" s="60">
        <v>3.9</v>
      </c>
      <c r="O14" s="60">
        <v>0</v>
      </c>
      <c r="P14" s="60">
        <v>0.86</v>
      </c>
      <c r="Q14" s="60">
        <v>38.82</v>
      </c>
      <c r="R14" s="198"/>
      <c r="S14" s="198"/>
      <c r="T14" s="198"/>
      <c r="U14" s="198"/>
    </row>
    <row r="15" spans="1:21" s="12" customFormat="1" x14ac:dyDescent="0.25">
      <c r="A15" s="201" t="s">
        <v>640</v>
      </c>
      <c r="B15" s="60">
        <v>11.17</v>
      </c>
      <c r="C15" s="60">
        <v>47.05</v>
      </c>
      <c r="D15" s="60">
        <v>35.659999999999997</v>
      </c>
      <c r="E15" s="60">
        <v>1.94</v>
      </c>
      <c r="F15" s="60">
        <v>3.69</v>
      </c>
      <c r="G15" s="60">
        <v>59.08</v>
      </c>
      <c r="H15" s="60">
        <v>20.85</v>
      </c>
      <c r="I15" s="60">
        <v>0.63</v>
      </c>
      <c r="J15" s="60">
        <v>0.12</v>
      </c>
      <c r="K15" s="60">
        <v>51.82</v>
      </c>
      <c r="L15" s="60">
        <v>22.84</v>
      </c>
      <c r="M15" s="60">
        <v>60.67</v>
      </c>
      <c r="N15" s="60">
        <v>4.2</v>
      </c>
      <c r="O15" s="60">
        <v>0</v>
      </c>
      <c r="P15" s="60">
        <v>0.8</v>
      </c>
      <c r="Q15" s="60">
        <v>39.32</v>
      </c>
      <c r="R15" s="198"/>
      <c r="S15" s="198"/>
      <c r="T15" s="198"/>
      <c r="U15" s="198"/>
    </row>
    <row r="16" spans="1:21" s="12" customFormat="1" x14ac:dyDescent="0.25">
      <c r="A16" s="201" t="s">
        <v>641</v>
      </c>
      <c r="B16" s="60">
        <v>8.4</v>
      </c>
      <c r="C16" s="60">
        <v>48.05</v>
      </c>
      <c r="D16" s="60">
        <v>33.99</v>
      </c>
      <c r="E16" s="60">
        <v>1.73</v>
      </c>
      <c r="F16" s="60">
        <v>3.81</v>
      </c>
      <c r="G16" s="60">
        <v>59.08</v>
      </c>
      <c r="H16" s="60">
        <v>20.85</v>
      </c>
      <c r="I16" s="60">
        <v>0.6</v>
      </c>
      <c r="J16" s="60">
        <v>0.19</v>
      </c>
      <c r="K16" s="60">
        <v>334.53</v>
      </c>
      <c r="L16" s="60">
        <v>22.52</v>
      </c>
      <c r="M16" s="60">
        <v>62.37</v>
      </c>
      <c r="N16" s="60">
        <v>4.8</v>
      </c>
      <c r="O16" s="60">
        <v>0</v>
      </c>
      <c r="P16" s="60">
        <v>0.76</v>
      </c>
      <c r="Q16" s="60">
        <v>39.57</v>
      </c>
      <c r="R16" s="198"/>
      <c r="S16" s="198"/>
      <c r="T16" s="198"/>
      <c r="U16" s="198"/>
    </row>
    <row r="17" spans="1:21" s="12" customFormat="1" x14ac:dyDescent="0.25">
      <c r="A17" s="201" t="s">
        <v>642</v>
      </c>
      <c r="B17" s="60">
        <v>6.81</v>
      </c>
      <c r="C17" s="60">
        <v>48.36</v>
      </c>
      <c r="D17" s="60">
        <v>32.89</v>
      </c>
      <c r="E17" s="60">
        <v>1.84</v>
      </c>
      <c r="F17" s="60">
        <v>3.77</v>
      </c>
      <c r="G17" s="60">
        <v>59.08</v>
      </c>
      <c r="H17" s="60">
        <v>20.85</v>
      </c>
      <c r="I17" s="60">
        <v>0.59</v>
      </c>
      <c r="J17" s="60">
        <v>0.19</v>
      </c>
      <c r="K17" s="60">
        <v>337.95</v>
      </c>
      <c r="L17" s="60">
        <v>22.03</v>
      </c>
      <c r="M17" s="60">
        <v>64.180000000000007</v>
      </c>
      <c r="N17" s="60">
        <v>4.7</v>
      </c>
      <c r="O17" s="60">
        <v>0</v>
      </c>
      <c r="P17" s="60">
        <v>0.72</v>
      </c>
      <c r="Q17" s="60">
        <v>39.159999999999997</v>
      </c>
      <c r="R17" s="198"/>
      <c r="S17" s="198"/>
      <c r="T17" s="198"/>
      <c r="U17" s="198"/>
    </row>
    <row r="18" spans="1:21" s="12" customFormat="1" x14ac:dyDescent="0.25">
      <c r="A18" s="201" t="s">
        <v>643</v>
      </c>
      <c r="B18" s="60">
        <v>6.07</v>
      </c>
      <c r="C18" s="60">
        <v>48.26</v>
      </c>
      <c r="D18" s="60">
        <v>32.24</v>
      </c>
      <c r="E18" s="60">
        <v>1.88</v>
      </c>
      <c r="F18" s="60">
        <v>3.9</v>
      </c>
      <c r="G18" s="60">
        <v>58.3</v>
      </c>
      <c r="H18" s="60">
        <v>20.75</v>
      </c>
      <c r="I18" s="60">
        <v>0.56000000000000005</v>
      </c>
      <c r="J18" s="60">
        <v>0.09</v>
      </c>
      <c r="K18" s="60">
        <v>342.41</v>
      </c>
      <c r="L18" s="60">
        <v>21.86</v>
      </c>
      <c r="M18" s="60">
        <v>64.650000000000006</v>
      </c>
      <c r="N18" s="60">
        <v>4.8</v>
      </c>
      <c r="O18" s="60">
        <v>0</v>
      </c>
      <c r="P18" s="60">
        <v>0.7</v>
      </c>
      <c r="Q18" s="60">
        <v>38.869999999999997</v>
      </c>
      <c r="R18" s="198"/>
      <c r="S18" s="198"/>
      <c r="T18" s="198"/>
      <c r="U18" s="198"/>
    </row>
    <row r="19" spans="1:21" s="12" customFormat="1" x14ac:dyDescent="0.25">
      <c r="A19" s="201" t="s">
        <v>644</v>
      </c>
      <c r="B19" s="60">
        <v>5.32</v>
      </c>
      <c r="C19" s="60">
        <v>46.87</v>
      </c>
      <c r="D19" s="60">
        <v>30.87</v>
      </c>
      <c r="E19" s="60">
        <v>2.02</v>
      </c>
      <c r="F19" s="60">
        <v>7.55</v>
      </c>
      <c r="G19" s="60">
        <v>45</v>
      </c>
      <c r="H19" s="60">
        <v>18.5</v>
      </c>
      <c r="I19" s="60">
        <v>0.56999999999999995</v>
      </c>
      <c r="J19" s="60">
        <v>0.09</v>
      </c>
      <c r="K19" s="60">
        <v>333.38</v>
      </c>
      <c r="L19" s="60">
        <v>21.93</v>
      </c>
      <c r="M19" s="60">
        <v>64.540000000000006</v>
      </c>
      <c r="N19" s="60">
        <v>4.5999999999999996</v>
      </c>
      <c r="O19" s="60">
        <v>0</v>
      </c>
      <c r="P19" s="60">
        <v>0.66</v>
      </c>
      <c r="Q19" s="60">
        <v>37.340000000000003</v>
      </c>
      <c r="R19" s="198"/>
      <c r="S19" s="198"/>
      <c r="T19" s="198"/>
      <c r="U19" s="198"/>
    </row>
    <row r="20" spans="1:21" s="12" customFormat="1" x14ac:dyDescent="0.25">
      <c r="A20" s="201" t="s">
        <v>645</v>
      </c>
      <c r="B20" s="60">
        <v>4.99</v>
      </c>
      <c r="C20" s="60">
        <v>33.81</v>
      </c>
      <c r="D20" s="60">
        <v>23.4</v>
      </c>
      <c r="E20" s="60">
        <v>1.94</v>
      </c>
      <c r="F20" s="60">
        <v>7.94</v>
      </c>
      <c r="G20" s="60">
        <v>45</v>
      </c>
      <c r="H20" s="60">
        <v>18.5</v>
      </c>
      <c r="I20" s="60">
        <v>0.56999999999999995</v>
      </c>
      <c r="J20" s="60">
        <v>0.06</v>
      </c>
      <c r="K20" s="60">
        <v>28.56</v>
      </c>
      <c r="L20" s="60">
        <v>22.16</v>
      </c>
      <c r="M20" s="60">
        <v>64.06</v>
      </c>
      <c r="N20" s="60">
        <v>4.5</v>
      </c>
      <c r="O20" s="60">
        <v>0</v>
      </c>
      <c r="P20" s="60">
        <v>0.66</v>
      </c>
      <c r="Q20" s="60">
        <v>30.49</v>
      </c>
      <c r="R20" s="198"/>
      <c r="S20" s="198"/>
      <c r="T20" s="198"/>
      <c r="U20" s="198"/>
    </row>
    <row r="21" spans="1:21" s="12" customFormat="1" x14ac:dyDescent="0.25">
      <c r="A21" s="201" t="s">
        <v>646</v>
      </c>
      <c r="B21" s="60">
        <v>5.73</v>
      </c>
      <c r="C21" s="60">
        <v>47.06</v>
      </c>
      <c r="D21" s="60">
        <v>31.31</v>
      </c>
      <c r="E21" s="60">
        <v>1.89</v>
      </c>
      <c r="F21" s="60">
        <v>6.41</v>
      </c>
      <c r="G21" s="60">
        <v>45</v>
      </c>
      <c r="H21" s="60">
        <v>18.5</v>
      </c>
      <c r="I21" s="60">
        <v>0.54</v>
      </c>
      <c r="J21" s="60">
        <v>0.11</v>
      </c>
      <c r="K21" s="60">
        <v>330.71</v>
      </c>
      <c r="L21" s="60">
        <v>21.94</v>
      </c>
      <c r="M21" s="60">
        <v>66.13</v>
      </c>
      <c r="N21" s="60">
        <v>4.3</v>
      </c>
      <c r="O21" s="60">
        <v>0</v>
      </c>
      <c r="P21" s="60">
        <v>0.67</v>
      </c>
      <c r="Q21" s="60">
        <v>30.25</v>
      </c>
      <c r="R21" s="198"/>
      <c r="S21" s="198"/>
      <c r="T21" s="198"/>
      <c r="U21" s="198"/>
    </row>
    <row r="22" spans="1:21" s="12" customFormat="1" x14ac:dyDescent="0.25">
      <c r="A22" s="201" t="s">
        <v>647</v>
      </c>
      <c r="B22" s="60">
        <v>6.12</v>
      </c>
      <c r="C22" s="60">
        <v>46.77</v>
      </c>
      <c r="D22" s="60">
        <v>31.46</v>
      </c>
      <c r="E22" s="60">
        <v>2.15</v>
      </c>
      <c r="F22" s="60">
        <v>6.47</v>
      </c>
      <c r="G22" s="60">
        <v>44.79</v>
      </c>
      <c r="H22" s="60">
        <v>18.63</v>
      </c>
      <c r="I22" s="60">
        <v>0.5</v>
      </c>
      <c r="J22" s="60">
        <v>0.11</v>
      </c>
      <c r="K22" s="60">
        <v>32.19</v>
      </c>
      <c r="L22" s="60">
        <v>21.54</v>
      </c>
      <c r="M22" s="60">
        <v>67.98</v>
      </c>
      <c r="N22" s="60">
        <v>4.7</v>
      </c>
      <c r="O22" s="60">
        <v>0</v>
      </c>
      <c r="P22" s="60">
        <v>0.72</v>
      </c>
      <c r="Q22" s="60">
        <v>30.78</v>
      </c>
      <c r="R22" s="198"/>
      <c r="S22" s="198"/>
      <c r="T22" s="198"/>
      <c r="U22" s="198"/>
    </row>
    <row r="23" spans="1:21" s="12" customFormat="1" x14ac:dyDescent="0.25">
      <c r="A23" s="201" t="s">
        <v>648</v>
      </c>
      <c r="B23" s="60">
        <v>8.06</v>
      </c>
      <c r="C23" s="60">
        <v>51.14</v>
      </c>
      <c r="D23" s="60">
        <v>35.43</v>
      </c>
      <c r="E23" s="60">
        <v>2.48</v>
      </c>
      <c r="F23" s="60">
        <v>6.18</v>
      </c>
      <c r="G23" s="60">
        <v>41.11</v>
      </c>
      <c r="H23" s="60">
        <v>20.77</v>
      </c>
      <c r="I23" s="60">
        <v>0.52</v>
      </c>
      <c r="J23" s="60">
        <v>0.03</v>
      </c>
      <c r="K23" s="60">
        <v>190.73</v>
      </c>
      <c r="L23" s="60">
        <v>21.38</v>
      </c>
      <c r="M23" s="60">
        <v>68.37</v>
      </c>
      <c r="N23" s="60">
        <v>4.8</v>
      </c>
      <c r="O23" s="60">
        <v>0</v>
      </c>
      <c r="P23" s="60">
        <v>0.82</v>
      </c>
      <c r="Q23" s="60">
        <v>31.31</v>
      </c>
      <c r="R23" s="198"/>
      <c r="S23" s="198"/>
      <c r="T23" s="198"/>
      <c r="U23" s="198"/>
    </row>
    <row r="24" spans="1:21" s="12" customFormat="1" x14ac:dyDescent="0.25">
      <c r="A24" s="201" t="s">
        <v>649</v>
      </c>
      <c r="B24" s="60">
        <v>11.91</v>
      </c>
      <c r="C24" s="60">
        <v>48.76</v>
      </c>
      <c r="D24" s="60">
        <v>37.21</v>
      </c>
      <c r="E24" s="60">
        <v>1.6</v>
      </c>
      <c r="F24" s="60">
        <v>4.3899999999999997</v>
      </c>
      <c r="G24" s="60">
        <v>41.11</v>
      </c>
      <c r="H24" s="60">
        <v>20.77</v>
      </c>
      <c r="I24" s="60">
        <v>0.53</v>
      </c>
      <c r="J24" s="60">
        <v>0.1</v>
      </c>
      <c r="K24" s="60">
        <v>3.29</v>
      </c>
      <c r="L24" s="60">
        <v>21.22</v>
      </c>
      <c r="M24" s="60">
        <v>69.78</v>
      </c>
      <c r="N24" s="60">
        <v>4.9000000000000004</v>
      </c>
      <c r="O24" s="60">
        <v>0</v>
      </c>
      <c r="P24" s="60">
        <v>0.88</v>
      </c>
      <c r="Q24" s="60">
        <v>33.15</v>
      </c>
      <c r="R24" s="198"/>
      <c r="S24" s="198"/>
      <c r="T24" s="198"/>
      <c r="U24" s="198"/>
    </row>
    <row r="25" spans="1:21" s="12" customFormat="1" x14ac:dyDescent="0.25">
      <c r="A25" s="201" t="s">
        <v>650</v>
      </c>
      <c r="B25" s="60">
        <v>11.01</v>
      </c>
      <c r="C25" s="60">
        <v>43.95</v>
      </c>
      <c r="D25" s="60">
        <v>33.82</v>
      </c>
      <c r="E25" s="60">
        <v>2.38</v>
      </c>
      <c r="F25" s="60">
        <v>4.38</v>
      </c>
      <c r="G25" s="60">
        <v>41.11</v>
      </c>
      <c r="H25" s="60">
        <v>20.77</v>
      </c>
      <c r="I25" s="60">
        <v>0.52</v>
      </c>
      <c r="J25" s="60">
        <v>7.0000000000000007E-2</v>
      </c>
      <c r="K25" s="60">
        <v>235.66</v>
      </c>
      <c r="L25" s="60">
        <v>21.01</v>
      </c>
      <c r="M25" s="60">
        <v>70.7</v>
      </c>
      <c r="N25" s="60">
        <v>4.5999999999999996</v>
      </c>
      <c r="O25" s="60">
        <v>0</v>
      </c>
      <c r="P25" s="60">
        <v>0.89</v>
      </c>
      <c r="Q25" s="60">
        <v>33.450000000000003</v>
      </c>
      <c r="R25" s="198"/>
      <c r="S25" s="198"/>
      <c r="T25" s="198"/>
      <c r="U25" s="198"/>
    </row>
    <row r="26" spans="1:21" s="12" customFormat="1" x14ac:dyDescent="0.25">
      <c r="A26" s="201" t="s">
        <v>651</v>
      </c>
      <c r="B26" s="60">
        <v>12.17</v>
      </c>
      <c r="C26" s="60">
        <v>45.19</v>
      </c>
      <c r="D26" s="60">
        <v>35.44</v>
      </c>
      <c r="E26" s="60">
        <v>2.37</v>
      </c>
      <c r="F26" s="60">
        <v>4.5599999999999996</v>
      </c>
      <c r="G26" s="60">
        <v>42.65</v>
      </c>
      <c r="H26" s="60">
        <v>21.2</v>
      </c>
      <c r="I26" s="60">
        <v>0.54</v>
      </c>
      <c r="J26" s="60">
        <v>7.0000000000000007E-2</v>
      </c>
      <c r="K26" s="60">
        <v>276.3</v>
      </c>
      <c r="L26" s="60">
        <v>21.05</v>
      </c>
      <c r="M26" s="60">
        <v>70.44</v>
      </c>
      <c r="N26" s="60">
        <v>4.7</v>
      </c>
      <c r="O26" s="60">
        <v>0</v>
      </c>
      <c r="P26" s="60">
        <v>1.02</v>
      </c>
      <c r="Q26" s="60">
        <v>33.17</v>
      </c>
      <c r="R26" s="198"/>
      <c r="S26" s="198"/>
      <c r="T26" s="198"/>
      <c r="U26" s="198"/>
    </row>
    <row r="27" spans="1:21" s="12" customFormat="1" x14ac:dyDescent="0.25">
      <c r="A27" s="201" t="s">
        <v>652</v>
      </c>
      <c r="B27" s="60">
        <v>12.96</v>
      </c>
      <c r="C27" s="60">
        <v>42.3</v>
      </c>
      <c r="D27" s="60">
        <v>34.47</v>
      </c>
      <c r="E27" s="60">
        <v>2.62</v>
      </c>
      <c r="F27" s="60">
        <v>3.41</v>
      </c>
      <c r="G27" s="60">
        <v>68.77</v>
      </c>
      <c r="H27" s="60">
        <v>27.88</v>
      </c>
      <c r="I27" s="60">
        <v>0.55000000000000004</v>
      </c>
      <c r="J27" s="60">
        <v>0.06</v>
      </c>
      <c r="K27" s="60">
        <v>141.9</v>
      </c>
      <c r="L27" s="60">
        <v>21.06</v>
      </c>
      <c r="M27" s="60">
        <v>68.23</v>
      </c>
      <c r="N27" s="60">
        <v>4.7</v>
      </c>
      <c r="O27" s="60">
        <v>0</v>
      </c>
      <c r="P27" s="60">
        <v>0.85</v>
      </c>
      <c r="Q27" s="60">
        <v>35.64</v>
      </c>
      <c r="R27" s="198"/>
      <c r="S27" s="198"/>
      <c r="T27" s="198"/>
      <c r="U27" s="198"/>
    </row>
    <row r="28" spans="1:21" s="12" customFormat="1" x14ac:dyDescent="0.25">
      <c r="A28" s="201" t="s">
        <v>653</v>
      </c>
      <c r="B28" s="60">
        <v>13.03</v>
      </c>
      <c r="C28" s="60">
        <v>46.75</v>
      </c>
      <c r="D28" s="60">
        <v>36.99</v>
      </c>
      <c r="E28" s="60">
        <v>2.36</v>
      </c>
      <c r="F28" s="60">
        <v>3.14</v>
      </c>
      <c r="G28" s="60">
        <v>68.77</v>
      </c>
      <c r="H28" s="60">
        <v>27.88</v>
      </c>
      <c r="I28" s="60">
        <v>0.56999999999999995</v>
      </c>
      <c r="J28" s="60">
        <v>0.06</v>
      </c>
      <c r="K28" s="60">
        <v>113.02</v>
      </c>
      <c r="L28" s="60">
        <v>21.24</v>
      </c>
      <c r="M28" s="60">
        <v>68.25</v>
      </c>
      <c r="N28" s="60">
        <v>4.5</v>
      </c>
      <c r="O28" s="60">
        <v>0</v>
      </c>
      <c r="P28" s="60">
        <v>0.92</v>
      </c>
      <c r="Q28" s="60">
        <v>38.49</v>
      </c>
      <c r="R28" s="198"/>
      <c r="S28" s="198"/>
      <c r="T28" s="198"/>
      <c r="U28" s="198"/>
    </row>
    <row r="29" spans="1:21" s="12" customFormat="1" x14ac:dyDescent="0.25">
      <c r="A29" s="201" t="s">
        <v>654</v>
      </c>
      <c r="B29" s="60">
        <v>16.329999999999998</v>
      </c>
      <c r="C29" s="60">
        <v>49.74</v>
      </c>
      <c r="D29" s="60">
        <v>41.28</v>
      </c>
      <c r="E29" s="60">
        <v>2.1</v>
      </c>
      <c r="F29" s="60">
        <v>3.06</v>
      </c>
      <c r="G29" s="60">
        <v>68.77</v>
      </c>
      <c r="H29" s="60">
        <v>27.88</v>
      </c>
      <c r="I29" s="60">
        <v>0.57999999999999996</v>
      </c>
      <c r="J29" s="60">
        <v>0.19</v>
      </c>
      <c r="K29" s="60">
        <v>10.3</v>
      </c>
      <c r="L29" s="60">
        <v>20.86</v>
      </c>
      <c r="M29" s="60">
        <v>71.12</v>
      </c>
      <c r="N29" s="60">
        <v>4.9000000000000004</v>
      </c>
      <c r="O29" s="60">
        <v>0</v>
      </c>
      <c r="P29" s="60">
        <v>1.01</v>
      </c>
      <c r="Q29" s="60">
        <v>39.67</v>
      </c>
      <c r="R29" s="198"/>
      <c r="S29" s="198"/>
      <c r="T29" s="198"/>
      <c r="U29" s="198"/>
    </row>
    <row r="30" spans="1:21" s="12" customFormat="1" x14ac:dyDescent="0.25">
      <c r="A30" s="201" t="s">
        <v>655</v>
      </c>
      <c r="B30" s="60">
        <v>21.95</v>
      </c>
      <c r="C30" s="60">
        <v>50.94</v>
      </c>
      <c r="D30" s="60">
        <v>46.46</v>
      </c>
      <c r="E30" s="60">
        <v>1.96</v>
      </c>
      <c r="F30" s="60">
        <v>2.96</v>
      </c>
      <c r="G30" s="60">
        <v>69.53</v>
      </c>
      <c r="H30" s="60">
        <v>28.02</v>
      </c>
      <c r="I30" s="60">
        <v>0.56999999999999995</v>
      </c>
      <c r="J30" s="60">
        <v>0.13</v>
      </c>
      <c r="K30" s="60">
        <v>215.69</v>
      </c>
      <c r="L30" s="60">
        <v>20.66</v>
      </c>
      <c r="M30" s="60">
        <v>71.64</v>
      </c>
      <c r="N30" s="60">
        <v>4.3</v>
      </c>
      <c r="O30" s="60">
        <v>0</v>
      </c>
      <c r="P30" s="60">
        <v>1.0900000000000001</v>
      </c>
      <c r="Q30" s="60">
        <v>40.6</v>
      </c>
      <c r="R30" s="198"/>
      <c r="S30" s="198"/>
      <c r="T30" s="198"/>
      <c r="U30" s="198"/>
    </row>
    <row r="31" spans="1:21" s="12" customFormat="1" x14ac:dyDescent="0.25">
      <c r="A31" s="201" t="s">
        <v>656</v>
      </c>
      <c r="B31" s="60">
        <v>29.5</v>
      </c>
      <c r="C31" s="60">
        <v>52.72</v>
      </c>
      <c r="D31" s="60">
        <v>53.49</v>
      </c>
      <c r="E31" s="60">
        <v>2.38</v>
      </c>
      <c r="F31" s="60">
        <v>2.92</v>
      </c>
      <c r="G31" s="60">
        <v>86.05</v>
      </c>
      <c r="H31" s="60">
        <v>30.23</v>
      </c>
      <c r="I31" s="60">
        <v>0.57999999999999996</v>
      </c>
      <c r="J31" s="60">
        <v>0.16</v>
      </c>
      <c r="K31" s="60">
        <v>23.55</v>
      </c>
      <c r="L31" s="60">
        <v>20.88</v>
      </c>
      <c r="M31" s="60">
        <v>71.59</v>
      </c>
      <c r="N31" s="60">
        <v>5.8</v>
      </c>
      <c r="O31" s="60">
        <v>0</v>
      </c>
      <c r="P31" s="60">
        <v>1.1499999999999999</v>
      </c>
      <c r="Q31" s="60">
        <v>40.78</v>
      </c>
      <c r="R31" s="198"/>
      <c r="S31" s="198"/>
      <c r="T31" s="198"/>
      <c r="U31" s="198"/>
    </row>
    <row r="32" spans="1:21" s="12" customFormat="1" x14ac:dyDescent="0.25">
      <c r="A32" s="201" t="s">
        <v>657</v>
      </c>
      <c r="B32" s="60">
        <v>40.840000000000003</v>
      </c>
      <c r="C32" s="60">
        <v>54.74</v>
      </c>
      <c r="D32" s="60">
        <v>63.7</v>
      </c>
      <c r="E32" s="60">
        <v>2.2200000000000002</v>
      </c>
      <c r="F32" s="60">
        <v>3.08</v>
      </c>
      <c r="G32" s="60">
        <v>86.05</v>
      </c>
      <c r="H32" s="60">
        <v>30.23</v>
      </c>
      <c r="I32" s="60">
        <v>0.57999999999999996</v>
      </c>
      <c r="J32" s="60">
        <v>0.04</v>
      </c>
      <c r="K32" s="60">
        <v>9.18</v>
      </c>
      <c r="L32" s="60">
        <v>20.48</v>
      </c>
      <c r="M32" s="60">
        <v>73.94</v>
      </c>
      <c r="N32" s="60">
        <v>12</v>
      </c>
      <c r="O32" s="60">
        <v>0</v>
      </c>
      <c r="P32" s="60">
        <v>1.25</v>
      </c>
      <c r="Q32" s="60">
        <v>41.09</v>
      </c>
      <c r="R32" s="198"/>
      <c r="S32" s="198"/>
      <c r="T32" s="198"/>
      <c r="U32" s="198"/>
    </row>
    <row r="33" spans="1:21" s="12" customFormat="1" x14ac:dyDescent="0.25">
      <c r="A33" s="201" t="s">
        <v>658</v>
      </c>
      <c r="B33" s="60">
        <v>47.27</v>
      </c>
      <c r="C33" s="60">
        <v>55.37</v>
      </c>
      <c r="D33" s="60">
        <v>69.2</v>
      </c>
      <c r="E33" s="60">
        <v>2.16</v>
      </c>
      <c r="F33" s="60">
        <v>3.11</v>
      </c>
      <c r="G33" s="60">
        <v>86.05</v>
      </c>
      <c r="H33" s="60">
        <v>30.23</v>
      </c>
      <c r="I33" s="60">
        <v>0.62</v>
      </c>
      <c r="J33" s="60">
        <v>0.42</v>
      </c>
      <c r="K33" s="60">
        <v>252.78</v>
      </c>
      <c r="L33" s="60">
        <v>21.23</v>
      </c>
      <c r="M33" s="60">
        <v>69.23</v>
      </c>
      <c r="N33" s="60">
        <v>27.2</v>
      </c>
      <c r="O33" s="60">
        <v>0</v>
      </c>
      <c r="P33" s="60">
        <v>1.28</v>
      </c>
      <c r="Q33" s="60">
        <v>41.43</v>
      </c>
      <c r="R33" s="198"/>
      <c r="S33" s="198"/>
      <c r="T33" s="198"/>
      <c r="U33" s="198"/>
    </row>
    <row r="34" spans="1:21" s="12" customFormat="1" x14ac:dyDescent="0.25">
      <c r="A34" s="201" t="s">
        <v>659</v>
      </c>
      <c r="B34" s="60">
        <v>48.43</v>
      </c>
      <c r="C34" s="60">
        <v>45.41</v>
      </c>
      <c r="D34" s="60">
        <v>64.63</v>
      </c>
      <c r="E34" s="60">
        <v>1.86</v>
      </c>
      <c r="F34" s="60">
        <v>3.23</v>
      </c>
      <c r="G34" s="60">
        <v>86.12</v>
      </c>
      <c r="H34" s="60">
        <v>30.33</v>
      </c>
      <c r="I34" s="60">
        <v>0.63</v>
      </c>
      <c r="J34" s="60">
        <v>0.53</v>
      </c>
      <c r="K34" s="60">
        <v>205.2</v>
      </c>
      <c r="L34" s="60">
        <v>21.55</v>
      </c>
      <c r="M34" s="60">
        <v>67.790000000000006</v>
      </c>
      <c r="N34" s="60">
        <v>56.2</v>
      </c>
      <c r="O34" s="60">
        <v>0</v>
      </c>
      <c r="P34" s="60">
        <v>1.25</v>
      </c>
      <c r="Q34" s="60">
        <v>41.48</v>
      </c>
      <c r="R34" s="198"/>
      <c r="S34" s="198"/>
      <c r="T34" s="198"/>
      <c r="U34" s="198"/>
    </row>
    <row r="35" spans="1:21" s="12" customFormat="1" x14ac:dyDescent="0.25">
      <c r="A35" s="201" t="s">
        <v>660</v>
      </c>
      <c r="B35" s="60">
        <v>51.54</v>
      </c>
      <c r="C35" s="60">
        <v>51.84</v>
      </c>
      <c r="D35" s="60">
        <v>70.680000000000007</v>
      </c>
      <c r="E35" s="60">
        <v>2.25</v>
      </c>
      <c r="F35" s="60">
        <v>3.24</v>
      </c>
      <c r="G35" s="60">
        <v>87.67</v>
      </c>
      <c r="H35" s="60">
        <v>31.82</v>
      </c>
      <c r="I35" s="60">
        <v>0.64</v>
      </c>
      <c r="J35" s="60">
        <v>0.14000000000000001</v>
      </c>
      <c r="K35" s="60">
        <v>31.47</v>
      </c>
      <c r="L35" s="60">
        <v>22.31</v>
      </c>
      <c r="M35" s="60">
        <v>66.53</v>
      </c>
      <c r="N35" s="60">
        <v>94.3</v>
      </c>
      <c r="O35" s="60">
        <v>0</v>
      </c>
      <c r="P35" s="60">
        <v>1.28</v>
      </c>
      <c r="Q35" s="60">
        <v>35.76</v>
      </c>
      <c r="R35" s="198"/>
      <c r="S35" s="198"/>
      <c r="T35" s="198"/>
      <c r="U35" s="198"/>
    </row>
    <row r="36" spans="1:21" s="12" customFormat="1" x14ac:dyDescent="0.25">
      <c r="A36" s="201" t="s">
        <v>661</v>
      </c>
      <c r="B36" s="60">
        <v>53.47</v>
      </c>
      <c r="C36" s="60">
        <v>54.45</v>
      </c>
      <c r="D36" s="60">
        <v>73.67</v>
      </c>
      <c r="E36" s="60">
        <v>2.66</v>
      </c>
      <c r="F36" s="60">
        <v>3.43</v>
      </c>
      <c r="G36" s="60">
        <v>87.67</v>
      </c>
      <c r="H36" s="60">
        <v>31.82</v>
      </c>
      <c r="I36" s="60">
        <v>0.61</v>
      </c>
      <c r="J36" s="60">
        <v>0.14000000000000001</v>
      </c>
      <c r="K36" s="60">
        <v>64.53</v>
      </c>
      <c r="L36" s="60">
        <v>23.66</v>
      </c>
      <c r="M36" s="60">
        <v>62.95</v>
      </c>
      <c r="N36" s="60">
        <v>75.2</v>
      </c>
      <c r="O36" s="60">
        <v>0</v>
      </c>
      <c r="P36" s="60">
        <v>1.34</v>
      </c>
      <c r="Q36" s="60">
        <v>34.99</v>
      </c>
      <c r="R36" s="198"/>
      <c r="S36" s="198"/>
      <c r="T36" s="198"/>
      <c r="U36" s="198"/>
    </row>
    <row r="37" spans="1:21" s="12" customFormat="1" x14ac:dyDescent="0.25">
      <c r="A37" s="201" t="s">
        <v>662</v>
      </c>
      <c r="B37" s="60">
        <v>51.64</v>
      </c>
      <c r="C37" s="60">
        <v>54.6</v>
      </c>
      <c r="D37" s="60">
        <v>72.28</v>
      </c>
      <c r="E37" s="60">
        <v>3.82</v>
      </c>
      <c r="F37" s="60">
        <v>4.2699999999999996</v>
      </c>
      <c r="G37" s="60">
        <v>87.67</v>
      </c>
      <c r="H37" s="60">
        <v>31.82</v>
      </c>
      <c r="I37" s="60">
        <v>0.57999999999999996</v>
      </c>
      <c r="J37" s="60">
        <v>0.12</v>
      </c>
      <c r="K37" s="60">
        <v>38.36</v>
      </c>
      <c r="L37" s="60">
        <v>25.6</v>
      </c>
      <c r="M37" s="60">
        <v>55.85</v>
      </c>
      <c r="N37" s="60">
        <v>186.4</v>
      </c>
      <c r="O37" s="60">
        <v>0</v>
      </c>
      <c r="P37" s="60">
        <v>1.18</v>
      </c>
      <c r="Q37" s="60">
        <v>35.020000000000003</v>
      </c>
      <c r="R37" s="198"/>
      <c r="S37" s="198"/>
      <c r="T37" s="198"/>
      <c r="U37" s="198"/>
    </row>
    <row r="38" spans="1:21" s="12" customFormat="1" x14ac:dyDescent="0.25">
      <c r="A38" s="201" t="s">
        <v>663</v>
      </c>
      <c r="B38" s="60">
        <v>40.92</v>
      </c>
      <c r="C38" s="60">
        <v>53.34</v>
      </c>
      <c r="D38" s="60">
        <v>62.99</v>
      </c>
      <c r="E38" s="60">
        <v>4.5199999999999996</v>
      </c>
      <c r="F38" s="60">
        <v>8.06</v>
      </c>
      <c r="G38" s="60">
        <v>88.08</v>
      </c>
      <c r="H38" s="60">
        <v>31.79</v>
      </c>
      <c r="I38" s="60">
        <v>0.59</v>
      </c>
      <c r="J38" s="60">
        <v>0.3</v>
      </c>
      <c r="K38" s="60">
        <v>153.57</v>
      </c>
      <c r="L38" s="60">
        <v>27.21</v>
      </c>
      <c r="M38" s="60">
        <v>46.23</v>
      </c>
      <c r="N38" s="60">
        <v>238.2</v>
      </c>
      <c r="O38" s="60">
        <v>0</v>
      </c>
      <c r="P38" s="60">
        <v>1.17</v>
      </c>
      <c r="Q38" s="60">
        <v>36.549999999999997</v>
      </c>
      <c r="R38" s="198"/>
      <c r="S38" s="198"/>
      <c r="T38" s="198"/>
      <c r="U38" s="198"/>
    </row>
    <row r="39" spans="1:21" s="12" customFormat="1" x14ac:dyDescent="0.25">
      <c r="A39" s="201" t="s">
        <v>664</v>
      </c>
      <c r="B39" s="60">
        <v>41.41</v>
      </c>
      <c r="C39" s="60">
        <v>55.82</v>
      </c>
      <c r="D39" s="60">
        <v>64.760000000000005</v>
      </c>
      <c r="E39" s="60">
        <v>6.49</v>
      </c>
      <c r="F39" s="60">
        <v>10.56</v>
      </c>
      <c r="G39" s="60">
        <v>96.9</v>
      </c>
      <c r="H39" s="60">
        <v>31.34</v>
      </c>
      <c r="I39" s="60">
        <v>0.59</v>
      </c>
      <c r="J39" s="60">
        <v>0.08</v>
      </c>
      <c r="K39" s="60">
        <v>317.05</v>
      </c>
      <c r="L39" s="60">
        <v>28.35</v>
      </c>
      <c r="M39" s="60">
        <v>42.32</v>
      </c>
      <c r="N39" s="60">
        <v>286.10000000000002</v>
      </c>
      <c r="O39" s="60">
        <v>0</v>
      </c>
      <c r="P39" s="60">
        <v>1.2</v>
      </c>
      <c r="Q39" s="60">
        <v>36.85</v>
      </c>
      <c r="R39" s="198"/>
      <c r="S39" s="198"/>
      <c r="T39" s="198"/>
      <c r="U39" s="198"/>
    </row>
    <row r="40" spans="1:21" s="12" customFormat="1" x14ac:dyDescent="0.25">
      <c r="A40" s="201" t="s">
        <v>665</v>
      </c>
      <c r="B40" s="60">
        <v>45.76</v>
      </c>
      <c r="C40" s="60">
        <v>58.84</v>
      </c>
      <c r="D40" s="60">
        <v>69.91</v>
      </c>
      <c r="E40" s="60">
        <v>3.08</v>
      </c>
      <c r="F40" s="60">
        <v>8</v>
      </c>
      <c r="G40" s="60">
        <v>96.9</v>
      </c>
      <c r="H40" s="60">
        <v>31.34</v>
      </c>
      <c r="I40" s="60">
        <v>0.59</v>
      </c>
      <c r="J40" s="60">
        <v>0.1</v>
      </c>
      <c r="K40" s="60">
        <v>346.28</v>
      </c>
      <c r="L40" s="60">
        <v>28.52</v>
      </c>
      <c r="M40" s="60">
        <v>45.38</v>
      </c>
      <c r="N40" s="60">
        <v>334.4</v>
      </c>
      <c r="O40" s="60">
        <v>0</v>
      </c>
      <c r="P40" s="60">
        <v>1.28</v>
      </c>
      <c r="Q40" s="60">
        <v>36.590000000000003</v>
      </c>
      <c r="R40" s="198"/>
      <c r="S40" s="198"/>
      <c r="T40" s="198"/>
      <c r="U40" s="198"/>
    </row>
    <row r="41" spans="1:21" s="12" customFormat="1" x14ac:dyDescent="0.25">
      <c r="A41" s="201" t="s">
        <v>666</v>
      </c>
      <c r="B41" s="60">
        <v>44.84</v>
      </c>
      <c r="C41" s="60">
        <v>47.39</v>
      </c>
      <c r="D41" s="60">
        <v>62.85</v>
      </c>
      <c r="E41" s="60">
        <v>4.62</v>
      </c>
      <c r="F41" s="60">
        <v>5.88</v>
      </c>
      <c r="G41" s="60">
        <v>96.9</v>
      </c>
      <c r="H41" s="60">
        <v>31.34</v>
      </c>
      <c r="I41" s="60">
        <v>0.6</v>
      </c>
      <c r="J41" s="60">
        <v>0.12</v>
      </c>
      <c r="K41" s="60">
        <v>219.96</v>
      </c>
      <c r="L41" s="60">
        <v>28.6</v>
      </c>
      <c r="M41" s="60">
        <v>43.51</v>
      </c>
      <c r="N41" s="60">
        <v>387.2</v>
      </c>
      <c r="O41" s="60">
        <v>0</v>
      </c>
      <c r="P41" s="60">
        <v>1.25</v>
      </c>
      <c r="Q41" s="60">
        <v>39.06</v>
      </c>
      <c r="R41" s="198"/>
      <c r="S41" s="198"/>
      <c r="T41" s="198"/>
      <c r="U41" s="198"/>
    </row>
    <row r="42" spans="1:21" s="12" customFormat="1" x14ac:dyDescent="0.25">
      <c r="A42" s="201" t="s">
        <v>667</v>
      </c>
      <c r="B42" s="60">
        <v>45.74</v>
      </c>
      <c r="C42" s="60">
        <v>50.58</v>
      </c>
      <c r="D42" s="60">
        <v>65.33</v>
      </c>
      <c r="E42" s="60">
        <v>3.41</v>
      </c>
      <c r="F42" s="60">
        <v>4.01</v>
      </c>
      <c r="G42" s="60">
        <v>97.13</v>
      </c>
      <c r="H42" s="60">
        <v>31.39</v>
      </c>
      <c r="I42" s="60">
        <v>0.62</v>
      </c>
      <c r="J42" s="60">
        <v>0.04</v>
      </c>
      <c r="K42" s="60">
        <v>274.62</v>
      </c>
      <c r="L42" s="60">
        <v>29.86</v>
      </c>
      <c r="M42" s="60">
        <v>35.92</v>
      </c>
      <c r="N42" s="60">
        <v>444.2</v>
      </c>
      <c r="O42" s="60">
        <v>0</v>
      </c>
      <c r="P42" s="60">
        <v>1.26</v>
      </c>
      <c r="Q42" s="60">
        <v>40.380000000000003</v>
      </c>
      <c r="R42" s="198"/>
      <c r="S42" s="198"/>
      <c r="T42" s="198"/>
      <c r="U42" s="198"/>
    </row>
    <row r="43" spans="1:21" s="12" customFormat="1" x14ac:dyDescent="0.25">
      <c r="A43" s="201" t="s">
        <v>668</v>
      </c>
      <c r="B43" s="60">
        <v>39.840000000000003</v>
      </c>
      <c r="C43" s="60">
        <v>56.55</v>
      </c>
      <c r="D43" s="60">
        <v>63.9</v>
      </c>
      <c r="E43" s="60">
        <v>3.76</v>
      </c>
      <c r="F43" s="60">
        <v>4.93</v>
      </c>
      <c r="G43" s="60">
        <v>102.21</v>
      </c>
      <c r="H43" s="60">
        <v>32.159999999999997</v>
      </c>
      <c r="I43" s="60">
        <v>0.67</v>
      </c>
      <c r="J43" s="60">
        <v>0.25</v>
      </c>
      <c r="K43" s="60">
        <v>206.83</v>
      </c>
      <c r="L43" s="60">
        <v>30.19</v>
      </c>
      <c r="M43" s="60">
        <v>31.45</v>
      </c>
      <c r="N43" s="60">
        <v>503.2</v>
      </c>
      <c r="O43" s="60">
        <v>0</v>
      </c>
      <c r="P43" s="60">
        <v>1.24</v>
      </c>
      <c r="Q43" s="60">
        <v>41.6</v>
      </c>
      <c r="R43" s="198"/>
      <c r="S43" s="198"/>
      <c r="T43" s="198"/>
      <c r="U43" s="198"/>
    </row>
    <row r="44" spans="1:21" s="12" customFormat="1" x14ac:dyDescent="0.25">
      <c r="A44" s="201" t="s">
        <v>669</v>
      </c>
      <c r="B44" s="60">
        <v>34.92</v>
      </c>
      <c r="C44" s="60">
        <v>60.55</v>
      </c>
      <c r="D44" s="60">
        <v>62.16</v>
      </c>
      <c r="E44" s="60">
        <v>3.51</v>
      </c>
      <c r="F44" s="60">
        <v>4.41</v>
      </c>
      <c r="G44" s="60">
        <v>102.21</v>
      </c>
      <c r="H44" s="60">
        <v>32.159999999999997</v>
      </c>
      <c r="I44" s="60">
        <v>0.68</v>
      </c>
      <c r="J44" s="60">
        <v>0.21</v>
      </c>
      <c r="K44" s="60">
        <v>10.26</v>
      </c>
      <c r="L44" s="60">
        <v>32.78</v>
      </c>
      <c r="M44" s="60">
        <v>29.29</v>
      </c>
      <c r="N44" s="60">
        <v>549.6</v>
      </c>
      <c r="O44" s="60">
        <v>0</v>
      </c>
      <c r="P44" s="60">
        <v>1.22</v>
      </c>
      <c r="Q44" s="60">
        <v>41.61</v>
      </c>
      <c r="R44" s="198"/>
      <c r="S44" s="198"/>
      <c r="T44" s="198"/>
      <c r="U44" s="198"/>
    </row>
    <row r="45" spans="1:21" s="12" customFormat="1" x14ac:dyDescent="0.25">
      <c r="A45" s="201" t="s">
        <v>670</v>
      </c>
      <c r="B45" s="60">
        <v>30.82</v>
      </c>
      <c r="C45" s="60">
        <v>64.59</v>
      </c>
      <c r="D45" s="60">
        <v>61.1</v>
      </c>
      <c r="E45" s="60">
        <v>2.97</v>
      </c>
      <c r="F45" s="60">
        <v>3.63</v>
      </c>
      <c r="G45" s="60">
        <v>102.21</v>
      </c>
      <c r="H45" s="60">
        <v>32.159999999999997</v>
      </c>
      <c r="I45" s="60">
        <v>0.63</v>
      </c>
      <c r="J45" s="60">
        <v>0.15</v>
      </c>
      <c r="K45" s="60">
        <v>322.23</v>
      </c>
      <c r="L45" s="60">
        <v>32.11</v>
      </c>
      <c r="M45" s="60">
        <v>30.75</v>
      </c>
      <c r="N45" s="60">
        <v>609.5</v>
      </c>
      <c r="O45" s="60">
        <v>0</v>
      </c>
      <c r="P45" s="60">
        <v>1.19</v>
      </c>
      <c r="Q45" s="60">
        <v>41.09</v>
      </c>
      <c r="R45" s="198"/>
      <c r="S45" s="198"/>
      <c r="T45" s="198"/>
      <c r="U45" s="198"/>
    </row>
    <row r="46" spans="1:21" s="12" customFormat="1" x14ac:dyDescent="0.25">
      <c r="A46" s="201" t="s">
        <v>671</v>
      </c>
      <c r="B46" s="60">
        <v>25.03</v>
      </c>
      <c r="C46" s="60">
        <v>67.58</v>
      </c>
      <c r="D46" s="60">
        <v>58.1</v>
      </c>
      <c r="E46" s="60">
        <v>2.16</v>
      </c>
      <c r="F46" s="60">
        <v>3.48</v>
      </c>
      <c r="G46" s="60">
        <v>101.81</v>
      </c>
      <c r="H46" s="60">
        <v>32.28</v>
      </c>
      <c r="I46" s="60">
        <v>0.63</v>
      </c>
      <c r="J46" s="60">
        <v>0.22</v>
      </c>
      <c r="K46" s="60">
        <v>343.29</v>
      </c>
      <c r="L46" s="60">
        <v>33.340000000000003</v>
      </c>
      <c r="M46" s="60">
        <v>32.450000000000003</v>
      </c>
      <c r="N46" s="60">
        <v>649.6</v>
      </c>
      <c r="O46" s="60">
        <v>0</v>
      </c>
      <c r="P46" s="60">
        <v>1.1599999999999999</v>
      </c>
      <c r="Q46" s="60">
        <v>39.93</v>
      </c>
      <c r="R46" s="198"/>
      <c r="S46" s="198"/>
      <c r="T46" s="198"/>
      <c r="U46" s="198"/>
    </row>
    <row r="47" spans="1:21" s="12" customFormat="1" x14ac:dyDescent="0.25">
      <c r="A47" s="201" t="s">
        <v>672</v>
      </c>
      <c r="B47" s="60">
        <v>19.489999999999998</v>
      </c>
      <c r="C47" s="60">
        <v>69.17</v>
      </c>
      <c r="D47" s="60">
        <v>54.54</v>
      </c>
      <c r="E47" s="60">
        <v>2.19</v>
      </c>
      <c r="F47" s="60">
        <v>4.05</v>
      </c>
      <c r="G47" s="60">
        <v>93.25</v>
      </c>
      <c r="H47" s="60">
        <v>34.43</v>
      </c>
      <c r="I47" s="60">
        <v>0.63</v>
      </c>
      <c r="J47" s="60">
        <v>0.18</v>
      </c>
      <c r="K47" s="60">
        <v>13.37</v>
      </c>
      <c r="L47" s="60">
        <v>33.119999999999997</v>
      </c>
      <c r="M47" s="60">
        <v>34.869999999999997</v>
      </c>
      <c r="N47" s="60">
        <v>673.8</v>
      </c>
      <c r="O47" s="60">
        <v>0</v>
      </c>
      <c r="P47" s="60">
        <v>1.17</v>
      </c>
      <c r="Q47" s="60">
        <v>38.46</v>
      </c>
      <c r="R47" s="198"/>
      <c r="S47" s="198"/>
      <c r="T47" s="198"/>
      <c r="U47" s="198"/>
    </row>
    <row r="48" spans="1:21" s="12" customFormat="1" x14ac:dyDescent="0.25">
      <c r="A48" s="201" t="s">
        <v>673</v>
      </c>
      <c r="B48" s="60">
        <v>14.23</v>
      </c>
      <c r="C48" s="60">
        <v>63.29</v>
      </c>
      <c r="D48" s="60">
        <v>47.08</v>
      </c>
      <c r="E48" s="60">
        <v>5.82</v>
      </c>
      <c r="F48" s="60">
        <v>10.92</v>
      </c>
      <c r="G48" s="60">
        <v>93.25</v>
      </c>
      <c r="H48" s="60">
        <v>34.43</v>
      </c>
      <c r="I48" s="60">
        <v>0.61</v>
      </c>
      <c r="J48" s="60">
        <v>0.38</v>
      </c>
      <c r="K48" s="60">
        <v>33.51</v>
      </c>
      <c r="L48" s="60">
        <v>35.11</v>
      </c>
      <c r="M48" s="60">
        <v>29.39</v>
      </c>
      <c r="N48" s="60">
        <v>710.8</v>
      </c>
      <c r="O48" s="60">
        <v>0</v>
      </c>
      <c r="P48" s="60">
        <v>1.2</v>
      </c>
      <c r="Q48" s="60">
        <v>36.68</v>
      </c>
      <c r="R48" s="198"/>
      <c r="S48" s="198"/>
      <c r="T48" s="198"/>
      <c r="U48" s="198"/>
    </row>
    <row r="49" spans="1:21" s="12" customFormat="1" x14ac:dyDescent="0.25">
      <c r="A49" s="201" t="s">
        <v>674</v>
      </c>
      <c r="B49" s="60">
        <v>14.04</v>
      </c>
      <c r="C49" s="60">
        <v>54.02</v>
      </c>
      <c r="D49" s="60">
        <v>41.81</v>
      </c>
      <c r="E49" s="60">
        <v>5.52</v>
      </c>
      <c r="F49" s="60">
        <v>9.9</v>
      </c>
      <c r="G49" s="60">
        <v>93.25</v>
      </c>
      <c r="H49" s="60">
        <v>34.43</v>
      </c>
      <c r="I49" s="60">
        <v>0.59</v>
      </c>
      <c r="J49" s="60">
        <v>0.61</v>
      </c>
      <c r="K49" s="60">
        <v>15.26</v>
      </c>
      <c r="L49" s="60">
        <v>34.299999999999997</v>
      </c>
      <c r="M49" s="60">
        <v>28.15</v>
      </c>
      <c r="N49" s="60">
        <v>743.2</v>
      </c>
      <c r="O49" s="60">
        <v>0</v>
      </c>
      <c r="P49" s="60">
        <v>1.19</v>
      </c>
      <c r="Q49" s="60">
        <v>35.72</v>
      </c>
      <c r="R49" s="198"/>
      <c r="S49" s="198"/>
      <c r="T49" s="198"/>
      <c r="U49" s="198"/>
    </row>
    <row r="50" spans="1:21" s="12" customFormat="1" x14ac:dyDescent="0.25">
      <c r="A50" s="201" t="s">
        <v>675</v>
      </c>
      <c r="B50" s="60">
        <v>9.11</v>
      </c>
      <c r="C50" s="60">
        <v>67.27</v>
      </c>
      <c r="D50" s="60">
        <v>45.17</v>
      </c>
      <c r="E50" s="60">
        <v>5.72</v>
      </c>
      <c r="F50" s="60">
        <v>22.26</v>
      </c>
      <c r="G50" s="60">
        <v>92.34</v>
      </c>
      <c r="H50" s="60">
        <v>34.08</v>
      </c>
      <c r="I50" s="60">
        <v>0.56000000000000005</v>
      </c>
      <c r="J50" s="60">
        <v>0.55000000000000004</v>
      </c>
      <c r="K50" s="60">
        <v>12.72</v>
      </c>
      <c r="L50" s="60">
        <v>36.450000000000003</v>
      </c>
      <c r="M50" s="60">
        <v>24.83</v>
      </c>
      <c r="N50" s="60">
        <v>778.2</v>
      </c>
      <c r="O50" s="60">
        <v>0</v>
      </c>
      <c r="P50" s="60">
        <v>1.17</v>
      </c>
      <c r="Q50" s="60">
        <v>33.14</v>
      </c>
      <c r="R50" s="198"/>
      <c r="S50" s="198"/>
      <c r="T50" s="198"/>
      <c r="U50" s="198"/>
    </row>
    <row r="51" spans="1:21" s="12" customFormat="1" x14ac:dyDescent="0.25">
      <c r="A51" s="201" t="s">
        <v>676</v>
      </c>
      <c r="B51" s="60">
        <v>4.95</v>
      </c>
      <c r="C51" s="60">
        <v>63.85</v>
      </c>
      <c r="D51" s="60">
        <v>39.950000000000003</v>
      </c>
      <c r="E51" s="60">
        <v>6.56</v>
      </c>
      <c r="F51" s="60">
        <v>23.61</v>
      </c>
      <c r="G51" s="60">
        <v>72.67</v>
      </c>
      <c r="H51" s="60">
        <v>27.75</v>
      </c>
      <c r="I51" s="60">
        <v>0.56000000000000005</v>
      </c>
      <c r="J51" s="60">
        <v>0.49</v>
      </c>
      <c r="K51" s="60">
        <v>92.55</v>
      </c>
      <c r="L51" s="60">
        <v>34.26</v>
      </c>
      <c r="M51" s="60">
        <v>27.68</v>
      </c>
      <c r="N51" s="60">
        <v>798.8</v>
      </c>
      <c r="O51" s="60">
        <v>0</v>
      </c>
      <c r="P51" s="60">
        <v>1.1299999999999999</v>
      </c>
      <c r="Q51" s="60">
        <v>31.23</v>
      </c>
      <c r="R51" s="198"/>
      <c r="S51" s="198"/>
      <c r="T51" s="198"/>
      <c r="U51" s="198"/>
    </row>
    <row r="52" spans="1:21" s="12" customFormat="1" x14ac:dyDescent="0.25">
      <c r="A52" s="201" t="s">
        <v>677</v>
      </c>
      <c r="B52" s="60">
        <v>5.73</v>
      </c>
      <c r="C52" s="60">
        <v>58.93</v>
      </c>
      <c r="D52" s="60">
        <v>37.86</v>
      </c>
      <c r="E52" s="60">
        <v>6.11</v>
      </c>
      <c r="F52" s="60">
        <v>18.28</v>
      </c>
      <c r="G52" s="60">
        <v>72.67</v>
      </c>
      <c r="H52" s="60">
        <v>27.75</v>
      </c>
      <c r="I52" s="60">
        <v>0.53</v>
      </c>
      <c r="J52" s="60">
        <v>0.38</v>
      </c>
      <c r="K52" s="60">
        <v>72.989999999999995</v>
      </c>
      <c r="L52" s="60">
        <v>35.159999999999997</v>
      </c>
      <c r="M52" s="60">
        <v>25.78</v>
      </c>
      <c r="N52" s="60">
        <v>813.7</v>
      </c>
      <c r="O52" s="60">
        <v>0</v>
      </c>
      <c r="P52" s="60">
        <v>1.1299999999999999</v>
      </c>
      <c r="Q52" s="60">
        <v>31.32</v>
      </c>
      <c r="R52" s="198"/>
      <c r="S52" s="198"/>
      <c r="T52" s="198"/>
      <c r="U52" s="198"/>
    </row>
    <row r="53" spans="1:21" s="12" customFormat="1" x14ac:dyDescent="0.25">
      <c r="A53" s="201" t="s">
        <v>678</v>
      </c>
      <c r="B53" s="60">
        <v>4.66</v>
      </c>
      <c r="C53" s="60">
        <v>55.03</v>
      </c>
      <c r="D53" s="60">
        <v>34.85</v>
      </c>
      <c r="E53" s="60">
        <v>6.04</v>
      </c>
      <c r="F53" s="60">
        <v>21.27</v>
      </c>
      <c r="G53" s="60">
        <v>72.67</v>
      </c>
      <c r="H53" s="60">
        <v>27.75</v>
      </c>
      <c r="I53" s="60">
        <v>0.52</v>
      </c>
      <c r="J53" s="60">
        <v>0.43</v>
      </c>
      <c r="K53" s="60">
        <v>70.400000000000006</v>
      </c>
      <c r="L53" s="60">
        <v>33.5</v>
      </c>
      <c r="M53" s="60">
        <v>25.76</v>
      </c>
      <c r="N53" s="60">
        <v>844.6</v>
      </c>
      <c r="O53" s="60">
        <v>0</v>
      </c>
      <c r="P53" s="60">
        <v>1.0900000000000001</v>
      </c>
      <c r="Q53" s="60">
        <v>31.78</v>
      </c>
      <c r="R53" s="198"/>
      <c r="S53" s="198"/>
      <c r="T53" s="198"/>
      <c r="U53" s="198"/>
    </row>
    <row r="54" spans="1:21" s="12" customFormat="1" x14ac:dyDescent="0.25">
      <c r="A54" s="201" t="s">
        <v>679</v>
      </c>
      <c r="B54" s="60">
        <v>5.75</v>
      </c>
      <c r="C54" s="60">
        <v>54.43</v>
      </c>
      <c r="D54" s="60">
        <v>35.39</v>
      </c>
      <c r="E54" s="60">
        <v>8.6</v>
      </c>
      <c r="F54" s="60">
        <v>34.89</v>
      </c>
      <c r="G54" s="60">
        <v>72.64</v>
      </c>
      <c r="H54" s="60">
        <v>27.72</v>
      </c>
      <c r="I54" s="60">
        <v>0.53</v>
      </c>
      <c r="J54" s="60">
        <v>0.43</v>
      </c>
      <c r="K54" s="60">
        <v>47</v>
      </c>
      <c r="L54" s="60">
        <v>34.92</v>
      </c>
      <c r="M54" s="60">
        <v>22.9</v>
      </c>
      <c r="N54" s="60">
        <v>847.8</v>
      </c>
      <c r="O54" s="60">
        <v>0</v>
      </c>
      <c r="P54" s="60">
        <v>0.99</v>
      </c>
      <c r="Q54" s="60">
        <v>31.96</v>
      </c>
      <c r="R54" s="198"/>
      <c r="S54" s="198"/>
      <c r="T54" s="198"/>
      <c r="U54" s="198"/>
    </row>
    <row r="55" spans="1:21" s="12" customFormat="1" x14ac:dyDescent="0.25">
      <c r="A55" s="201" t="s">
        <v>680</v>
      </c>
      <c r="B55" s="60">
        <v>5.25</v>
      </c>
      <c r="C55" s="60">
        <v>51.91</v>
      </c>
      <c r="D55" s="60">
        <v>33.6</v>
      </c>
      <c r="E55" s="60">
        <v>10.52</v>
      </c>
      <c r="F55" s="60">
        <v>19.39</v>
      </c>
      <c r="G55" s="60">
        <v>72.180000000000007</v>
      </c>
      <c r="H55" s="60">
        <v>27.11</v>
      </c>
      <c r="I55" s="60">
        <v>0.53</v>
      </c>
      <c r="J55" s="60">
        <v>0.42</v>
      </c>
      <c r="K55" s="60">
        <v>21.07</v>
      </c>
      <c r="L55" s="60">
        <v>36.25</v>
      </c>
      <c r="M55" s="60">
        <v>22.32</v>
      </c>
      <c r="N55" s="60">
        <v>839.4</v>
      </c>
      <c r="O55" s="60">
        <v>0</v>
      </c>
      <c r="P55" s="60">
        <v>1.02</v>
      </c>
      <c r="Q55" s="60">
        <v>32.33</v>
      </c>
      <c r="R55" s="198"/>
      <c r="S55" s="198"/>
      <c r="T55" s="198"/>
      <c r="U55" s="198"/>
    </row>
    <row r="56" spans="1:21" s="12" customFormat="1" x14ac:dyDescent="0.25">
      <c r="A56" s="201" t="s">
        <v>681</v>
      </c>
      <c r="B56" s="60">
        <v>3.8</v>
      </c>
      <c r="C56" s="60">
        <v>56.49</v>
      </c>
      <c r="D56" s="60">
        <v>34.96</v>
      </c>
      <c r="E56" s="60">
        <v>2.19</v>
      </c>
      <c r="F56" s="60">
        <v>15.09</v>
      </c>
      <c r="G56" s="60">
        <v>72.180000000000007</v>
      </c>
      <c r="H56" s="60">
        <v>27.11</v>
      </c>
      <c r="I56" s="60">
        <v>0.55000000000000004</v>
      </c>
      <c r="J56" s="60">
        <v>0.69</v>
      </c>
      <c r="K56" s="60">
        <v>194.6</v>
      </c>
      <c r="L56" s="60">
        <v>33.979999999999997</v>
      </c>
      <c r="M56" s="60">
        <v>23.49</v>
      </c>
      <c r="N56" s="60">
        <v>860.7</v>
      </c>
      <c r="O56" s="60">
        <v>0</v>
      </c>
      <c r="P56" s="60">
        <v>1.03</v>
      </c>
      <c r="Q56" s="60">
        <v>34.82</v>
      </c>
      <c r="R56" s="198"/>
      <c r="S56" s="198"/>
      <c r="T56" s="198"/>
      <c r="U56" s="198"/>
    </row>
    <row r="57" spans="1:21" s="12" customFormat="1" x14ac:dyDescent="0.25">
      <c r="A57" s="201" t="s">
        <v>682</v>
      </c>
      <c r="B57" s="60">
        <v>3.6</v>
      </c>
      <c r="C57" s="60">
        <v>56.48</v>
      </c>
      <c r="D57" s="60">
        <v>34.799999999999997</v>
      </c>
      <c r="E57" s="60">
        <v>4.09</v>
      </c>
      <c r="F57" s="60">
        <v>16.77</v>
      </c>
      <c r="G57" s="60">
        <v>72.180000000000007</v>
      </c>
      <c r="H57" s="60">
        <v>27.11</v>
      </c>
      <c r="I57" s="60">
        <v>0.59</v>
      </c>
      <c r="J57" s="60">
        <v>0.63</v>
      </c>
      <c r="K57" s="60">
        <v>114.93</v>
      </c>
      <c r="L57" s="60">
        <v>33.49</v>
      </c>
      <c r="M57" s="60">
        <v>25.14</v>
      </c>
      <c r="N57" s="60">
        <v>846</v>
      </c>
      <c r="O57" s="60">
        <v>0</v>
      </c>
      <c r="P57" s="60">
        <v>0.96</v>
      </c>
      <c r="Q57" s="60">
        <v>35.78</v>
      </c>
      <c r="R57" s="198"/>
      <c r="S57" s="198"/>
      <c r="T57" s="198"/>
      <c r="U57" s="198"/>
    </row>
    <row r="58" spans="1:21" s="12" customFormat="1" x14ac:dyDescent="0.25">
      <c r="A58" s="201" t="s">
        <v>683</v>
      </c>
      <c r="B58" s="60">
        <v>3.59</v>
      </c>
      <c r="C58" s="60">
        <v>57.02</v>
      </c>
      <c r="D58" s="60">
        <v>35.090000000000003</v>
      </c>
      <c r="E58" s="60">
        <v>4.0199999999999996</v>
      </c>
      <c r="F58" s="60">
        <v>10.28</v>
      </c>
      <c r="G58" s="60">
        <v>71.959999999999994</v>
      </c>
      <c r="H58" s="60">
        <v>27.13</v>
      </c>
      <c r="I58" s="60">
        <v>0.61</v>
      </c>
      <c r="J58" s="60">
        <v>0.09</v>
      </c>
      <c r="K58" s="60">
        <v>34.72</v>
      </c>
      <c r="L58" s="60">
        <v>34.93</v>
      </c>
      <c r="M58" s="60">
        <v>23.09</v>
      </c>
      <c r="N58" s="60">
        <v>825.1</v>
      </c>
      <c r="O58" s="60">
        <v>0</v>
      </c>
      <c r="P58" s="60">
        <v>0.96</v>
      </c>
      <c r="Q58" s="60">
        <v>36.19</v>
      </c>
      <c r="R58" s="198"/>
      <c r="S58" s="198"/>
      <c r="T58" s="198"/>
      <c r="U58" s="198"/>
    </row>
    <row r="59" spans="1:21" s="12" customFormat="1" x14ac:dyDescent="0.25">
      <c r="A59" s="201" t="s">
        <v>684</v>
      </c>
      <c r="B59" s="60">
        <v>3.16</v>
      </c>
      <c r="C59" s="60">
        <v>58.09</v>
      </c>
      <c r="D59" s="60">
        <v>35.340000000000003</v>
      </c>
      <c r="E59" s="60">
        <v>3.47</v>
      </c>
      <c r="F59" s="60">
        <v>11.8</v>
      </c>
      <c r="G59" s="60">
        <v>68.150000000000006</v>
      </c>
      <c r="H59" s="60">
        <v>27.41</v>
      </c>
      <c r="I59" s="60">
        <v>0.6</v>
      </c>
      <c r="J59" s="60">
        <v>0.96</v>
      </c>
      <c r="K59" s="60">
        <v>121.45</v>
      </c>
      <c r="L59" s="60">
        <v>33.07</v>
      </c>
      <c r="M59" s="60">
        <v>24.36</v>
      </c>
      <c r="N59" s="60">
        <v>801.1</v>
      </c>
      <c r="O59" s="60">
        <v>0</v>
      </c>
      <c r="P59" s="60">
        <v>0.91</v>
      </c>
      <c r="Q59" s="60">
        <v>36.81</v>
      </c>
      <c r="R59" s="198"/>
      <c r="S59" s="198"/>
      <c r="T59" s="198"/>
      <c r="U59" s="198"/>
    </row>
    <row r="60" spans="1:21" s="12" customFormat="1" x14ac:dyDescent="0.25">
      <c r="A60" s="201" t="s">
        <v>685</v>
      </c>
      <c r="B60" s="60">
        <v>3.5</v>
      </c>
      <c r="C60" s="60">
        <v>59.4</v>
      </c>
      <c r="D60" s="60">
        <v>36.33</v>
      </c>
      <c r="E60" s="60">
        <v>3.96</v>
      </c>
      <c r="F60" s="60">
        <v>14.69</v>
      </c>
      <c r="G60" s="60">
        <v>68.150000000000006</v>
      </c>
      <c r="H60" s="60">
        <v>27.41</v>
      </c>
      <c r="I60" s="60">
        <v>0.59</v>
      </c>
      <c r="J60" s="60">
        <v>0.59</v>
      </c>
      <c r="K60" s="60">
        <v>58.22</v>
      </c>
      <c r="L60" s="60">
        <v>34.78</v>
      </c>
      <c r="M60" s="60">
        <v>22.36</v>
      </c>
      <c r="N60" s="60">
        <v>701.6</v>
      </c>
      <c r="O60" s="60">
        <v>0</v>
      </c>
      <c r="P60" s="60">
        <v>0.89</v>
      </c>
      <c r="Q60" s="60">
        <v>37.4</v>
      </c>
      <c r="R60" s="198"/>
      <c r="S60" s="198"/>
      <c r="T60" s="198"/>
      <c r="U60" s="198"/>
    </row>
    <row r="61" spans="1:21" s="12" customFormat="1" x14ac:dyDescent="0.25">
      <c r="A61" s="201" t="s">
        <v>686</v>
      </c>
      <c r="B61" s="60">
        <v>3.54</v>
      </c>
      <c r="C61" s="60">
        <v>63.13</v>
      </c>
      <c r="D61" s="60">
        <v>38.42</v>
      </c>
      <c r="E61" s="60">
        <v>5.79</v>
      </c>
      <c r="F61" s="60">
        <v>25.62</v>
      </c>
      <c r="G61" s="60">
        <v>68.150000000000006</v>
      </c>
      <c r="H61" s="60">
        <v>27.41</v>
      </c>
      <c r="I61" s="60">
        <v>0.56999999999999995</v>
      </c>
      <c r="J61" s="60">
        <v>0.41</v>
      </c>
      <c r="K61" s="60">
        <v>58.69</v>
      </c>
      <c r="L61" s="60">
        <v>35.78</v>
      </c>
      <c r="M61" s="60">
        <v>21.24</v>
      </c>
      <c r="N61" s="60">
        <v>702.1</v>
      </c>
      <c r="O61" s="60">
        <v>0</v>
      </c>
      <c r="P61" s="60">
        <v>0.84</v>
      </c>
      <c r="Q61" s="60">
        <v>37</v>
      </c>
      <c r="R61" s="198"/>
      <c r="S61" s="198"/>
      <c r="T61" s="198"/>
      <c r="U61" s="198"/>
    </row>
    <row r="62" spans="1:21" s="12" customFormat="1" x14ac:dyDescent="0.25">
      <c r="A62" s="201" t="s">
        <v>687</v>
      </c>
      <c r="B62" s="60">
        <v>2.76</v>
      </c>
      <c r="C62" s="60">
        <v>57.59</v>
      </c>
      <c r="D62" s="60">
        <v>34.74</v>
      </c>
      <c r="E62" s="60">
        <v>4.18</v>
      </c>
      <c r="F62" s="60">
        <v>27.89</v>
      </c>
      <c r="G62" s="60">
        <v>66.83</v>
      </c>
      <c r="H62" s="60">
        <v>27.38</v>
      </c>
      <c r="I62" s="60">
        <v>0.56000000000000005</v>
      </c>
      <c r="J62" s="60">
        <v>0.92</v>
      </c>
      <c r="K62" s="60">
        <v>193.48</v>
      </c>
      <c r="L62" s="60">
        <v>33.380000000000003</v>
      </c>
      <c r="M62" s="60">
        <v>27.04</v>
      </c>
      <c r="N62" s="60">
        <v>513.9</v>
      </c>
      <c r="O62" s="60">
        <v>0</v>
      </c>
      <c r="P62" s="60">
        <v>0.79</v>
      </c>
      <c r="Q62" s="60">
        <v>34.799999999999997</v>
      </c>
      <c r="R62" s="198"/>
      <c r="S62" s="198"/>
      <c r="T62" s="198"/>
      <c r="U62" s="198"/>
    </row>
    <row r="63" spans="1:21" s="12" customFormat="1" x14ac:dyDescent="0.25">
      <c r="A63" s="201" t="s">
        <v>688</v>
      </c>
      <c r="B63" s="60">
        <v>3.64</v>
      </c>
      <c r="C63" s="60">
        <v>44.82</v>
      </c>
      <c r="D63" s="60">
        <v>28.4</v>
      </c>
      <c r="E63" s="60">
        <v>8.92</v>
      </c>
      <c r="F63" s="60">
        <v>36.630000000000003</v>
      </c>
      <c r="G63" s="60">
        <v>44.3</v>
      </c>
      <c r="H63" s="60">
        <v>26.9</v>
      </c>
      <c r="I63" s="60">
        <v>0.55000000000000004</v>
      </c>
      <c r="J63" s="60">
        <v>0.48</v>
      </c>
      <c r="K63" s="60">
        <v>201.75</v>
      </c>
      <c r="L63" s="60">
        <v>32.67</v>
      </c>
      <c r="M63" s="60">
        <v>26.72</v>
      </c>
      <c r="N63" s="60">
        <v>153.9</v>
      </c>
      <c r="O63" s="60">
        <v>0</v>
      </c>
      <c r="P63" s="60">
        <v>0.78</v>
      </c>
      <c r="Q63" s="60">
        <v>34.94</v>
      </c>
      <c r="R63" s="198"/>
      <c r="S63" s="198"/>
      <c r="T63" s="198"/>
      <c r="U63" s="198"/>
    </row>
    <row r="64" spans="1:21" s="12" customFormat="1" x14ac:dyDescent="0.25">
      <c r="A64" s="201" t="s">
        <v>689</v>
      </c>
      <c r="B64" s="60">
        <v>3.16</v>
      </c>
      <c r="C64" s="60">
        <v>36.590000000000003</v>
      </c>
      <c r="D64" s="60">
        <v>23.47</v>
      </c>
      <c r="E64" s="60">
        <v>7.93</v>
      </c>
      <c r="F64" s="60">
        <v>32.700000000000003</v>
      </c>
      <c r="G64" s="60">
        <v>44.3</v>
      </c>
      <c r="H64" s="60">
        <v>26.9</v>
      </c>
      <c r="I64" s="60">
        <v>0.54</v>
      </c>
      <c r="J64" s="60">
        <v>0.69</v>
      </c>
      <c r="K64" s="60">
        <v>230.68</v>
      </c>
      <c r="L64" s="60">
        <v>31.52</v>
      </c>
      <c r="M64" s="60">
        <v>29.55</v>
      </c>
      <c r="N64" s="60">
        <v>116.2</v>
      </c>
      <c r="O64" s="60">
        <v>0</v>
      </c>
      <c r="P64" s="60">
        <v>0.76</v>
      </c>
      <c r="Q64" s="60">
        <v>30.1</v>
      </c>
      <c r="R64" s="198"/>
      <c r="S64" s="198"/>
      <c r="T64" s="198"/>
      <c r="U64" s="198"/>
    </row>
    <row r="65" spans="1:21" s="12" customFormat="1" x14ac:dyDescent="0.25">
      <c r="A65" s="201" t="s">
        <v>690</v>
      </c>
      <c r="B65" s="60">
        <v>4</v>
      </c>
      <c r="C65" s="60">
        <v>43.43</v>
      </c>
      <c r="D65" s="60">
        <v>27.92</v>
      </c>
      <c r="E65" s="60">
        <v>8.6199999999999992</v>
      </c>
      <c r="F65" s="60">
        <v>37.119999999999997</v>
      </c>
      <c r="G65" s="60">
        <v>44.3</v>
      </c>
      <c r="H65" s="60">
        <v>26.9</v>
      </c>
      <c r="I65" s="60">
        <v>0.55000000000000004</v>
      </c>
      <c r="J65" s="60">
        <v>0.06</v>
      </c>
      <c r="K65" s="60">
        <v>306.23</v>
      </c>
      <c r="L65" s="60">
        <v>31.5</v>
      </c>
      <c r="M65" s="60">
        <v>30.3</v>
      </c>
      <c r="N65" s="60">
        <v>137.6</v>
      </c>
      <c r="O65" s="60">
        <v>0</v>
      </c>
      <c r="P65" s="60">
        <v>0.75</v>
      </c>
      <c r="Q65" s="60">
        <v>27.96</v>
      </c>
      <c r="R65" s="198"/>
      <c r="S65" s="198"/>
      <c r="T65" s="198"/>
      <c r="U65" s="198"/>
    </row>
    <row r="66" spans="1:21" s="12" customFormat="1" x14ac:dyDescent="0.25">
      <c r="A66" s="201" t="s">
        <v>691</v>
      </c>
      <c r="B66" s="60">
        <v>5.95</v>
      </c>
      <c r="C66" s="60">
        <v>54.67</v>
      </c>
      <c r="D66" s="60">
        <v>35.68</v>
      </c>
      <c r="E66" s="60">
        <v>9.1999999999999993</v>
      </c>
      <c r="F66" s="60">
        <v>25.3</v>
      </c>
      <c r="G66" s="60">
        <v>44.79</v>
      </c>
      <c r="H66" s="60">
        <v>26.84</v>
      </c>
      <c r="I66" s="60">
        <v>0.56000000000000005</v>
      </c>
      <c r="J66" s="60">
        <v>0.77</v>
      </c>
      <c r="K66" s="60">
        <v>7.38</v>
      </c>
      <c r="L66" s="60">
        <v>32.19</v>
      </c>
      <c r="M66" s="60">
        <v>31.6</v>
      </c>
      <c r="N66" s="60">
        <v>97.7</v>
      </c>
      <c r="O66" s="60">
        <v>0</v>
      </c>
      <c r="P66" s="60">
        <v>0.9</v>
      </c>
      <c r="Q66" s="60">
        <v>28.95</v>
      </c>
      <c r="R66" s="198"/>
      <c r="S66" s="198"/>
      <c r="T66" s="198"/>
      <c r="U66" s="198"/>
    </row>
    <row r="67" spans="1:21" s="12" customFormat="1" x14ac:dyDescent="0.25">
      <c r="A67" s="201" t="s">
        <v>692</v>
      </c>
      <c r="B67" s="60">
        <v>4.1900000000000004</v>
      </c>
      <c r="C67" s="60">
        <v>48.95</v>
      </c>
      <c r="D67" s="60">
        <v>31.12</v>
      </c>
      <c r="E67" s="60">
        <v>4.3</v>
      </c>
      <c r="F67" s="60">
        <v>14.12</v>
      </c>
      <c r="G67" s="60">
        <v>53.22</v>
      </c>
      <c r="H67" s="60">
        <v>25.79</v>
      </c>
      <c r="I67" s="60">
        <v>0.56000000000000005</v>
      </c>
      <c r="J67" s="60">
        <v>1.8</v>
      </c>
      <c r="K67" s="60">
        <v>4.29</v>
      </c>
      <c r="L67" s="60">
        <v>30.59</v>
      </c>
      <c r="M67" s="60">
        <v>33.869999999999997</v>
      </c>
      <c r="N67" s="60">
        <v>130.69999999999999</v>
      </c>
      <c r="O67" s="60">
        <v>0</v>
      </c>
      <c r="P67" s="60">
        <v>0.8</v>
      </c>
      <c r="Q67" s="60">
        <v>31.1</v>
      </c>
      <c r="R67" s="198"/>
      <c r="S67" s="198"/>
      <c r="T67" s="198"/>
      <c r="U67" s="198"/>
    </row>
    <row r="68" spans="1:21" s="12" customFormat="1" x14ac:dyDescent="0.25">
      <c r="A68" s="201" t="s">
        <v>693</v>
      </c>
      <c r="B68" s="60">
        <v>3.87</v>
      </c>
      <c r="C68" s="60">
        <v>49.28</v>
      </c>
      <c r="D68" s="60">
        <v>31.04</v>
      </c>
      <c r="E68" s="60">
        <v>2.91</v>
      </c>
      <c r="F68" s="60">
        <v>10.79</v>
      </c>
      <c r="G68" s="60">
        <v>53.22</v>
      </c>
      <c r="H68" s="60">
        <v>25.79</v>
      </c>
      <c r="I68" s="60">
        <v>0.56999999999999995</v>
      </c>
      <c r="J68" s="60">
        <v>1.21</v>
      </c>
      <c r="K68" s="60">
        <v>11.24</v>
      </c>
      <c r="L68" s="60">
        <v>30.92</v>
      </c>
      <c r="M68" s="60">
        <v>32.89</v>
      </c>
      <c r="N68" s="60">
        <v>339.7</v>
      </c>
      <c r="O68" s="60">
        <v>0</v>
      </c>
      <c r="P68" s="60">
        <v>0.78</v>
      </c>
      <c r="Q68" s="60">
        <v>30.51</v>
      </c>
      <c r="R68" s="198"/>
      <c r="S68" s="198"/>
      <c r="T68" s="198"/>
      <c r="U68" s="198"/>
    </row>
    <row r="69" spans="1:21" s="12" customFormat="1" x14ac:dyDescent="0.25">
      <c r="A69" s="201" t="s">
        <v>694</v>
      </c>
      <c r="B69" s="60">
        <v>7.27</v>
      </c>
      <c r="C69" s="60">
        <v>50.19</v>
      </c>
      <c r="D69" s="60">
        <v>34.270000000000003</v>
      </c>
      <c r="E69" s="60">
        <v>4.9800000000000004</v>
      </c>
      <c r="F69" s="60">
        <v>15.98</v>
      </c>
      <c r="G69" s="60">
        <v>53.22</v>
      </c>
      <c r="H69" s="60">
        <v>25.79</v>
      </c>
      <c r="I69" s="60">
        <v>0.57999999999999996</v>
      </c>
      <c r="J69" s="60">
        <v>0.96</v>
      </c>
      <c r="K69" s="60">
        <v>22.09</v>
      </c>
      <c r="L69" s="60">
        <v>32.57</v>
      </c>
      <c r="M69" s="60">
        <v>28.85</v>
      </c>
      <c r="N69" s="60">
        <v>375.6</v>
      </c>
      <c r="O69" s="60">
        <v>0</v>
      </c>
      <c r="P69" s="60">
        <v>0.8</v>
      </c>
      <c r="Q69" s="60">
        <v>30.42</v>
      </c>
      <c r="R69" s="198"/>
      <c r="S69" s="198"/>
      <c r="T69" s="198"/>
      <c r="U69" s="198"/>
    </row>
    <row r="70" spans="1:21" s="12" customFormat="1" x14ac:dyDescent="0.25">
      <c r="A70" s="201" t="s">
        <v>695</v>
      </c>
      <c r="B70" s="60">
        <v>6.73</v>
      </c>
      <c r="C70" s="60">
        <v>55.7</v>
      </c>
      <c r="D70" s="60">
        <v>36.880000000000003</v>
      </c>
      <c r="E70" s="60">
        <v>4.9400000000000004</v>
      </c>
      <c r="F70" s="60">
        <v>13.07</v>
      </c>
      <c r="G70" s="60">
        <v>58.13</v>
      </c>
      <c r="H70" s="60">
        <v>25.82</v>
      </c>
      <c r="I70" s="60">
        <v>0.57999999999999996</v>
      </c>
      <c r="J70" s="60">
        <v>0.91</v>
      </c>
      <c r="K70" s="60">
        <v>32.58</v>
      </c>
      <c r="L70" s="60">
        <v>34.03</v>
      </c>
      <c r="M70" s="60">
        <v>24.6</v>
      </c>
      <c r="N70" s="60">
        <v>347.5</v>
      </c>
      <c r="O70" s="60">
        <v>0</v>
      </c>
      <c r="P70" s="60">
        <v>0.8</v>
      </c>
      <c r="Q70" s="60">
        <v>32.18</v>
      </c>
      <c r="R70" s="198"/>
      <c r="S70" s="198"/>
      <c r="T70" s="198"/>
      <c r="U70" s="198"/>
    </row>
    <row r="71" spans="1:21" s="12" customFormat="1" x14ac:dyDescent="0.25">
      <c r="A71" s="201" t="s">
        <v>696</v>
      </c>
      <c r="B71" s="60">
        <v>6.37</v>
      </c>
      <c r="C71" s="60">
        <v>58.37</v>
      </c>
      <c r="D71" s="60">
        <v>38.06</v>
      </c>
      <c r="E71" s="60">
        <v>7.51</v>
      </c>
      <c r="F71" s="60">
        <v>19.04</v>
      </c>
      <c r="G71" s="60">
        <v>141.69</v>
      </c>
      <c r="H71" s="60">
        <v>26.34</v>
      </c>
      <c r="I71" s="60">
        <v>0.56999999999999995</v>
      </c>
      <c r="J71" s="60">
        <v>0.69</v>
      </c>
      <c r="K71" s="60">
        <v>34.450000000000003</v>
      </c>
      <c r="L71" s="60">
        <v>34.340000000000003</v>
      </c>
      <c r="M71" s="60">
        <v>23.13</v>
      </c>
      <c r="N71" s="60">
        <v>201.7</v>
      </c>
      <c r="O71" s="60">
        <v>0</v>
      </c>
      <c r="P71" s="60">
        <v>0.81</v>
      </c>
      <c r="Q71" s="60">
        <v>33.659999999999997</v>
      </c>
      <c r="R71" s="198"/>
      <c r="S71" s="198"/>
      <c r="T71" s="198"/>
      <c r="U71" s="198"/>
    </row>
    <row r="72" spans="1:21" s="12" customFormat="1" x14ac:dyDescent="0.25">
      <c r="A72" s="201" t="s">
        <v>697</v>
      </c>
      <c r="B72" s="60">
        <v>6.13</v>
      </c>
      <c r="C72" s="60">
        <v>63.4</v>
      </c>
      <c r="D72" s="60">
        <v>40.64</v>
      </c>
      <c r="E72" s="60">
        <v>2.15</v>
      </c>
      <c r="F72" s="60">
        <v>9.8699999999999992</v>
      </c>
      <c r="G72" s="60">
        <v>141.69</v>
      </c>
      <c r="H72" s="60">
        <v>26.34</v>
      </c>
      <c r="I72" s="60">
        <v>0.56999999999999995</v>
      </c>
      <c r="J72" s="60">
        <v>0.8</v>
      </c>
      <c r="K72" s="60">
        <v>28.59</v>
      </c>
      <c r="L72" s="60">
        <v>34.21</v>
      </c>
      <c r="M72" s="60">
        <v>20.93</v>
      </c>
      <c r="N72" s="60">
        <v>176.2</v>
      </c>
      <c r="O72" s="60">
        <v>0</v>
      </c>
      <c r="P72" s="60">
        <v>0.81</v>
      </c>
      <c r="Q72" s="60">
        <v>34.880000000000003</v>
      </c>
      <c r="R72" s="198"/>
      <c r="S72" s="198"/>
      <c r="T72" s="198"/>
      <c r="U72" s="198"/>
    </row>
    <row r="73" spans="1:21" s="12" customFormat="1" x14ac:dyDescent="0.25">
      <c r="A73" s="201" t="s">
        <v>698</v>
      </c>
      <c r="B73" s="60">
        <v>6.14</v>
      </c>
      <c r="C73" s="60">
        <v>65.72</v>
      </c>
      <c r="D73" s="60">
        <v>41.93</v>
      </c>
      <c r="E73" s="60">
        <v>3.75</v>
      </c>
      <c r="F73" s="60">
        <v>15.08</v>
      </c>
      <c r="G73" s="60">
        <v>141.69</v>
      </c>
      <c r="H73" s="60">
        <v>26.34</v>
      </c>
      <c r="I73" s="60">
        <v>0.57999999999999996</v>
      </c>
      <c r="J73" s="60">
        <v>0.67</v>
      </c>
      <c r="K73" s="60">
        <v>34.229999999999997</v>
      </c>
      <c r="L73" s="60">
        <v>33.83</v>
      </c>
      <c r="M73" s="60">
        <v>21.19</v>
      </c>
      <c r="N73" s="60">
        <v>192.4</v>
      </c>
      <c r="O73" s="60">
        <v>0</v>
      </c>
      <c r="P73" s="60">
        <v>0.8</v>
      </c>
      <c r="Q73" s="60">
        <v>35.4</v>
      </c>
      <c r="R73" s="198"/>
      <c r="S73" s="198"/>
      <c r="T73" s="198"/>
      <c r="U73" s="198"/>
    </row>
    <row r="74" spans="1:21" s="12" customFormat="1" x14ac:dyDescent="0.25">
      <c r="A74" s="201" t="s">
        <v>699</v>
      </c>
      <c r="B74" s="60">
        <v>7.31</v>
      </c>
      <c r="C74" s="60">
        <v>69.66</v>
      </c>
      <c r="D74" s="60">
        <v>45.05</v>
      </c>
      <c r="E74" s="60">
        <v>5.27</v>
      </c>
      <c r="F74" s="60">
        <v>19.79</v>
      </c>
      <c r="G74" s="60">
        <v>136.44999999999999</v>
      </c>
      <c r="H74" s="60">
        <v>26.3</v>
      </c>
      <c r="I74" s="60">
        <v>0.57999999999999996</v>
      </c>
      <c r="J74" s="60">
        <v>0.57999999999999996</v>
      </c>
      <c r="K74" s="60">
        <v>35.520000000000003</v>
      </c>
      <c r="L74" s="60">
        <v>33.43</v>
      </c>
      <c r="M74" s="60">
        <v>21.89</v>
      </c>
      <c r="N74" s="60">
        <v>122</v>
      </c>
      <c r="O74" s="60">
        <v>0</v>
      </c>
      <c r="P74" s="60">
        <v>0.81</v>
      </c>
      <c r="Q74" s="60">
        <v>35.31</v>
      </c>
      <c r="R74" s="198"/>
      <c r="S74" s="198"/>
      <c r="T74" s="198"/>
      <c r="U74" s="198"/>
    </row>
    <row r="75" spans="1:21" s="12" customFormat="1" x14ac:dyDescent="0.25">
      <c r="A75" s="201" t="s">
        <v>700</v>
      </c>
      <c r="B75" s="60">
        <v>7.9</v>
      </c>
      <c r="C75" s="60">
        <v>70.010000000000005</v>
      </c>
      <c r="D75" s="60">
        <v>45.71</v>
      </c>
      <c r="E75" s="60">
        <v>5.45</v>
      </c>
      <c r="F75" s="60">
        <v>19.34</v>
      </c>
      <c r="G75" s="60">
        <v>47.41</v>
      </c>
      <c r="H75" s="60">
        <v>25.48</v>
      </c>
      <c r="I75" s="60">
        <v>0.55000000000000004</v>
      </c>
      <c r="J75" s="60">
        <v>0.57999999999999996</v>
      </c>
      <c r="K75" s="60">
        <v>33.36</v>
      </c>
      <c r="L75" s="60">
        <v>32.950000000000003</v>
      </c>
      <c r="M75" s="60">
        <v>22.19</v>
      </c>
      <c r="N75" s="60">
        <v>98.8</v>
      </c>
      <c r="O75" s="60">
        <v>0</v>
      </c>
      <c r="P75" s="60">
        <v>0.83</v>
      </c>
      <c r="Q75" s="60">
        <v>35.049999999999997</v>
      </c>
      <c r="R75" s="198"/>
      <c r="S75" s="198"/>
      <c r="T75" s="198"/>
      <c r="U75" s="198"/>
    </row>
    <row r="76" spans="1:21" s="12" customFormat="1" x14ac:dyDescent="0.25">
      <c r="A76" s="201" t="s">
        <v>701</v>
      </c>
      <c r="B76" s="60">
        <v>7.45</v>
      </c>
      <c r="C76" s="60">
        <v>68.63</v>
      </c>
      <c r="D76" s="60">
        <v>44.59</v>
      </c>
      <c r="E76" s="60">
        <v>8.5399999999999991</v>
      </c>
      <c r="F76" s="60">
        <v>33.24</v>
      </c>
      <c r="G76" s="60">
        <v>47.41</v>
      </c>
      <c r="H76" s="60">
        <v>25.48</v>
      </c>
      <c r="I76" s="60">
        <v>0.53</v>
      </c>
      <c r="J76" s="60">
        <v>0.1</v>
      </c>
      <c r="K76" s="60">
        <v>43.88</v>
      </c>
      <c r="L76" s="60">
        <v>32.29</v>
      </c>
      <c r="M76" s="60">
        <v>22.26</v>
      </c>
      <c r="N76" s="60">
        <v>83.4</v>
      </c>
      <c r="O76" s="60">
        <v>0</v>
      </c>
      <c r="P76" s="60">
        <v>0.8</v>
      </c>
      <c r="Q76" s="60">
        <v>34.770000000000003</v>
      </c>
      <c r="R76" s="198"/>
      <c r="S76" s="198"/>
      <c r="T76" s="198"/>
      <c r="U76" s="198"/>
    </row>
    <row r="77" spans="1:21" s="12" customFormat="1" x14ac:dyDescent="0.25">
      <c r="A77" s="201" t="s">
        <v>702</v>
      </c>
      <c r="B77" s="60">
        <v>10.64</v>
      </c>
      <c r="C77" s="60">
        <v>58.08</v>
      </c>
      <c r="D77" s="60">
        <v>41.33</v>
      </c>
      <c r="E77" s="60">
        <v>15.21</v>
      </c>
      <c r="F77" s="60">
        <v>53.88</v>
      </c>
      <c r="G77" s="60">
        <v>47.41</v>
      </c>
      <c r="H77" s="60">
        <v>25.48</v>
      </c>
      <c r="I77" s="60">
        <v>0.52</v>
      </c>
      <c r="J77" s="60">
        <v>0.38</v>
      </c>
      <c r="K77" s="60">
        <v>108.78</v>
      </c>
      <c r="L77" s="60">
        <v>31.7</v>
      </c>
      <c r="M77" s="60">
        <v>22.64</v>
      </c>
      <c r="N77" s="60">
        <v>67.3</v>
      </c>
      <c r="O77" s="60">
        <v>0</v>
      </c>
      <c r="P77" s="60">
        <v>0.78</v>
      </c>
      <c r="Q77" s="60">
        <v>33.729999999999997</v>
      </c>
      <c r="R77" s="198"/>
      <c r="S77" s="198"/>
      <c r="T77" s="198"/>
      <c r="U77" s="198"/>
    </row>
    <row r="78" spans="1:21" s="12" customFormat="1" x14ac:dyDescent="0.25">
      <c r="A78" s="201" t="s">
        <v>703</v>
      </c>
      <c r="B78" s="60">
        <v>11.09</v>
      </c>
      <c r="C78" s="60">
        <v>57.37</v>
      </c>
      <c r="D78" s="60">
        <v>41.3</v>
      </c>
      <c r="E78" s="60">
        <v>17.22</v>
      </c>
      <c r="F78" s="60">
        <v>56.35</v>
      </c>
      <c r="G78" s="60">
        <v>48.12</v>
      </c>
      <c r="H78" s="60">
        <v>25.42</v>
      </c>
      <c r="I78" s="60">
        <v>0.51</v>
      </c>
      <c r="J78" s="60">
        <v>0.16</v>
      </c>
      <c r="K78" s="60">
        <v>78.680000000000007</v>
      </c>
      <c r="L78" s="60">
        <v>31.28</v>
      </c>
      <c r="M78" s="60">
        <v>23.4</v>
      </c>
      <c r="N78" s="60">
        <v>51.3</v>
      </c>
      <c r="O78" s="60">
        <v>0</v>
      </c>
      <c r="P78" s="60">
        <v>0.78</v>
      </c>
      <c r="Q78" s="60">
        <v>32.979999999999997</v>
      </c>
      <c r="R78" s="198"/>
      <c r="S78" s="198"/>
      <c r="T78" s="198"/>
      <c r="U78" s="198"/>
    </row>
    <row r="79" spans="1:21" s="12" customFormat="1" x14ac:dyDescent="0.25">
      <c r="A79" s="201" t="s">
        <v>704</v>
      </c>
      <c r="B79" s="60">
        <v>14.57</v>
      </c>
      <c r="C79" s="60">
        <v>78.040000000000006</v>
      </c>
      <c r="D79" s="60">
        <v>55.49</v>
      </c>
      <c r="E79" s="60">
        <v>15.63</v>
      </c>
      <c r="F79" s="60">
        <v>12.9</v>
      </c>
      <c r="G79" s="60">
        <v>60.3</v>
      </c>
      <c r="H79" s="60">
        <v>24.53</v>
      </c>
      <c r="I79" s="60">
        <v>0.5</v>
      </c>
      <c r="J79" s="60">
        <v>0.18</v>
      </c>
      <c r="K79" s="60">
        <v>130.72999999999999</v>
      </c>
      <c r="L79" s="60">
        <v>30.85</v>
      </c>
      <c r="M79" s="60">
        <v>27</v>
      </c>
      <c r="N79" s="60">
        <v>35.9</v>
      </c>
      <c r="O79" s="60">
        <v>0</v>
      </c>
      <c r="P79" s="60">
        <v>1.06</v>
      </c>
      <c r="Q79" s="60">
        <v>27.64</v>
      </c>
      <c r="R79" s="198"/>
      <c r="S79" s="198"/>
      <c r="T79" s="198"/>
      <c r="U79" s="198"/>
    </row>
    <row r="80" spans="1:21" s="12" customFormat="1" x14ac:dyDescent="0.25">
      <c r="A80" s="201" t="s">
        <v>705</v>
      </c>
      <c r="B80" s="60">
        <v>8.02</v>
      </c>
      <c r="C80" s="60">
        <v>93.29</v>
      </c>
      <c r="D80" s="60">
        <v>58.65</v>
      </c>
      <c r="E80" s="60">
        <v>16.28</v>
      </c>
      <c r="F80" s="60">
        <v>338.96</v>
      </c>
      <c r="G80" s="60">
        <v>60.3</v>
      </c>
      <c r="H80" s="60">
        <v>24.53</v>
      </c>
      <c r="I80" s="60">
        <v>0.55000000000000004</v>
      </c>
      <c r="J80" s="60">
        <v>0.45</v>
      </c>
      <c r="K80" s="60">
        <v>200.44</v>
      </c>
      <c r="L80" s="60">
        <v>30.01</v>
      </c>
      <c r="M80" s="60">
        <v>27.56</v>
      </c>
      <c r="N80" s="60">
        <v>19.899999999999999</v>
      </c>
      <c r="O80" s="60">
        <v>0</v>
      </c>
      <c r="P80" s="60">
        <v>0.74</v>
      </c>
      <c r="Q80" s="60">
        <v>30.65</v>
      </c>
      <c r="R80" s="198"/>
      <c r="S80" s="198"/>
      <c r="T80" s="198"/>
      <c r="U80" s="198"/>
    </row>
    <row r="81" spans="1:26" s="12" customFormat="1" x14ac:dyDescent="0.25">
      <c r="A81" s="201" t="s">
        <v>706</v>
      </c>
      <c r="B81" s="60">
        <v>6.66</v>
      </c>
      <c r="C81" s="60">
        <v>67.73</v>
      </c>
      <c r="D81" s="60">
        <v>43.46</v>
      </c>
      <c r="E81" s="60">
        <v>6.81</v>
      </c>
      <c r="F81" s="60">
        <v>25.4</v>
      </c>
      <c r="G81" s="60">
        <v>60.3</v>
      </c>
      <c r="H81" s="60">
        <v>24.53</v>
      </c>
      <c r="I81" s="60">
        <v>0.6</v>
      </c>
      <c r="J81" s="60">
        <v>0.82</v>
      </c>
      <c r="K81" s="60">
        <v>193.72</v>
      </c>
      <c r="L81" s="60">
        <v>29.29</v>
      </c>
      <c r="M81" s="60">
        <v>37.9</v>
      </c>
      <c r="N81" s="60">
        <v>10</v>
      </c>
      <c r="O81" s="60">
        <v>0</v>
      </c>
      <c r="P81" s="60">
        <v>0.76</v>
      </c>
      <c r="Q81" s="60">
        <v>30.95</v>
      </c>
      <c r="R81" s="198"/>
      <c r="S81" s="198"/>
      <c r="T81" s="198"/>
      <c r="U81" s="198"/>
    </row>
    <row r="82" spans="1:26" s="12" customFormat="1" x14ac:dyDescent="0.25">
      <c r="A82" s="201" t="s">
        <v>707</v>
      </c>
      <c r="B82" s="60">
        <v>5.44</v>
      </c>
      <c r="C82" s="60">
        <v>57.06</v>
      </c>
      <c r="D82" s="60">
        <v>36.590000000000003</v>
      </c>
      <c r="E82" s="60">
        <v>3.85</v>
      </c>
      <c r="F82" s="60">
        <v>15.63</v>
      </c>
      <c r="G82" s="60">
        <v>60.24</v>
      </c>
      <c r="H82" s="60">
        <v>24.72</v>
      </c>
      <c r="I82" s="60">
        <v>0.55000000000000004</v>
      </c>
      <c r="J82" s="60">
        <v>1.1200000000000001</v>
      </c>
      <c r="K82" s="60">
        <v>200.67</v>
      </c>
      <c r="L82" s="60">
        <v>28.33</v>
      </c>
      <c r="M82" s="60">
        <v>43.84</v>
      </c>
      <c r="N82" s="60">
        <v>5.8</v>
      </c>
      <c r="O82" s="60">
        <v>0</v>
      </c>
      <c r="P82" s="60">
        <v>0.76</v>
      </c>
      <c r="Q82" s="60">
        <v>32.07</v>
      </c>
      <c r="R82" s="198"/>
      <c r="S82" s="198"/>
      <c r="T82" s="198"/>
      <c r="U82" s="198"/>
    </row>
    <row r="83" spans="1:26" s="12" customFormat="1" x14ac:dyDescent="0.25">
      <c r="A83" s="201" t="s">
        <v>708</v>
      </c>
      <c r="B83" s="60">
        <v>5.63</v>
      </c>
      <c r="C83" s="60">
        <v>54.28</v>
      </c>
      <c r="D83" s="60">
        <v>35.21</v>
      </c>
      <c r="E83" s="60">
        <v>3.37</v>
      </c>
      <c r="F83" s="60">
        <v>17.32</v>
      </c>
      <c r="G83" s="60">
        <v>59.26</v>
      </c>
      <c r="H83" s="60">
        <v>27.74</v>
      </c>
      <c r="I83" s="60">
        <v>0.56000000000000005</v>
      </c>
      <c r="J83" s="60">
        <v>0.85</v>
      </c>
      <c r="K83" s="60">
        <v>207.87</v>
      </c>
      <c r="L83" s="60">
        <v>27.94</v>
      </c>
      <c r="M83" s="60">
        <v>45.73</v>
      </c>
      <c r="N83" s="60">
        <v>4.8</v>
      </c>
      <c r="O83" s="60">
        <v>0</v>
      </c>
      <c r="P83" s="60">
        <v>0.71</v>
      </c>
      <c r="Q83" s="60">
        <v>33.54</v>
      </c>
      <c r="R83" s="198"/>
      <c r="S83" s="198"/>
      <c r="T83" s="198"/>
      <c r="U83" s="198"/>
    </row>
    <row r="84" spans="1:26" s="12" customFormat="1" x14ac:dyDescent="0.25">
      <c r="A84" s="201" t="s">
        <v>709</v>
      </c>
      <c r="B84" s="60">
        <v>6.05</v>
      </c>
      <c r="C84" s="60">
        <v>63.4</v>
      </c>
      <c r="D84" s="60">
        <v>40.58</v>
      </c>
      <c r="E84" s="60">
        <v>3.63</v>
      </c>
      <c r="F84" s="60">
        <v>8.9499999999999993</v>
      </c>
      <c r="G84" s="60">
        <v>59.26</v>
      </c>
      <c r="H84" s="60">
        <v>27.74</v>
      </c>
      <c r="I84" s="60">
        <v>0.59</v>
      </c>
      <c r="J84" s="60">
        <v>0.68</v>
      </c>
      <c r="K84" s="60">
        <v>205.99</v>
      </c>
      <c r="L84" s="60">
        <v>27.65</v>
      </c>
      <c r="M84" s="60">
        <v>46.71</v>
      </c>
      <c r="N84" s="60">
        <v>4.5999999999999996</v>
      </c>
      <c r="O84" s="60">
        <v>0</v>
      </c>
      <c r="P84" s="60">
        <v>0.75</v>
      </c>
      <c r="Q84" s="60">
        <v>31.92</v>
      </c>
      <c r="R84" s="198"/>
      <c r="S84" s="198"/>
      <c r="T84" s="198"/>
      <c r="U84" s="198"/>
    </row>
    <row r="85" spans="1:26" s="12" customFormat="1" x14ac:dyDescent="0.25">
      <c r="A85" s="201" t="s">
        <v>710</v>
      </c>
      <c r="B85" s="60">
        <v>5.16</v>
      </c>
      <c r="C85" s="60">
        <v>62.98</v>
      </c>
      <c r="D85" s="60">
        <v>39.64</v>
      </c>
      <c r="E85" s="60">
        <v>3.48</v>
      </c>
      <c r="F85" s="60">
        <v>13.28</v>
      </c>
      <c r="G85" s="60">
        <v>59.26</v>
      </c>
      <c r="H85" s="60">
        <v>27.74</v>
      </c>
      <c r="I85" s="60">
        <v>0.6</v>
      </c>
      <c r="J85" s="60">
        <v>0.11</v>
      </c>
      <c r="K85" s="60">
        <v>227.33</v>
      </c>
      <c r="L85" s="60">
        <v>27.35</v>
      </c>
      <c r="M85" s="60">
        <v>47.41</v>
      </c>
      <c r="N85" s="60">
        <v>4.8</v>
      </c>
      <c r="O85" s="60">
        <v>0</v>
      </c>
      <c r="P85" s="60">
        <v>0.7</v>
      </c>
      <c r="Q85" s="60">
        <v>35.700000000000003</v>
      </c>
      <c r="R85" s="198"/>
      <c r="S85" s="198"/>
      <c r="T85" s="198"/>
      <c r="U85" s="198"/>
    </row>
    <row r="86" spans="1:26" s="12" customFormat="1" x14ac:dyDescent="0.25">
      <c r="A86" s="201" t="s">
        <v>711</v>
      </c>
      <c r="B86" s="60">
        <v>4.66</v>
      </c>
      <c r="C86" s="60">
        <v>62.89</v>
      </c>
      <c r="D86" s="60">
        <v>39.18</v>
      </c>
      <c r="E86" s="60">
        <v>3.27</v>
      </c>
      <c r="F86" s="60">
        <v>10.14</v>
      </c>
      <c r="G86" s="60">
        <v>58.49</v>
      </c>
      <c r="H86" s="60">
        <v>27.7</v>
      </c>
      <c r="I86" s="60">
        <v>0.6</v>
      </c>
      <c r="J86" s="60">
        <v>0.36</v>
      </c>
      <c r="K86" s="60">
        <v>209.51</v>
      </c>
      <c r="L86" s="60">
        <v>27.31</v>
      </c>
      <c r="M86" s="60">
        <v>46.92</v>
      </c>
      <c r="N86" s="60">
        <v>4.3</v>
      </c>
      <c r="O86" s="60">
        <v>0</v>
      </c>
      <c r="P86" s="60">
        <v>0.74</v>
      </c>
      <c r="Q86" s="60">
        <v>37.71</v>
      </c>
      <c r="R86" s="198"/>
      <c r="S86" s="198"/>
      <c r="T86" s="198"/>
      <c r="U86" s="198"/>
    </row>
    <row r="87" spans="1:26" s="12" customFormat="1" x14ac:dyDescent="0.25">
      <c r="A87" s="201" t="s">
        <v>712</v>
      </c>
      <c r="B87" s="60">
        <v>4.79</v>
      </c>
      <c r="C87" s="60">
        <v>65.97</v>
      </c>
      <c r="D87" s="60">
        <v>40.98</v>
      </c>
      <c r="E87" s="60">
        <v>2.66</v>
      </c>
      <c r="F87" s="60">
        <v>8.66</v>
      </c>
      <c r="G87" s="60">
        <v>45.41</v>
      </c>
      <c r="H87" s="60">
        <v>26.91</v>
      </c>
      <c r="I87" s="60">
        <v>0.62</v>
      </c>
      <c r="J87" s="60">
        <v>0.18</v>
      </c>
      <c r="K87" s="60">
        <v>236.3</v>
      </c>
      <c r="L87" s="60">
        <v>27.11</v>
      </c>
      <c r="M87" s="60">
        <v>46.86</v>
      </c>
      <c r="N87" s="60">
        <v>4.5999999999999996</v>
      </c>
      <c r="O87" s="60">
        <v>0</v>
      </c>
      <c r="P87" s="60">
        <v>0.75</v>
      </c>
      <c r="Q87" s="60">
        <v>38</v>
      </c>
      <c r="R87" s="198"/>
      <c r="S87" s="198"/>
      <c r="T87" s="198"/>
      <c r="U87" s="198"/>
    </row>
    <row r="88" spans="1:26" s="12" customFormat="1" x14ac:dyDescent="0.25">
      <c r="A88" s="201" t="s">
        <v>713</v>
      </c>
      <c r="B88" s="60">
        <v>4.6500000000000004</v>
      </c>
      <c r="C88" s="60">
        <v>64.3</v>
      </c>
      <c r="D88" s="60">
        <v>39.950000000000003</v>
      </c>
      <c r="E88" s="60">
        <v>1.96</v>
      </c>
      <c r="F88" s="60">
        <v>6.63</v>
      </c>
      <c r="G88" s="60">
        <v>45.41</v>
      </c>
      <c r="H88" s="60">
        <v>26.91</v>
      </c>
      <c r="I88" s="60">
        <v>0.61</v>
      </c>
      <c r="J88" s="60">
        <v>0.44</v>
      </c>
      <c r="K88" s="60">
        <v>207.06</v>
      </c>
      <c r="L88" s="60">
        <v>26.91</v>
      </c>
      <c r="M88" s="60">
        <v>47.49</v>
      </c>
      <c r="N88" s="60">
        <v>4.0999999999999996</v>
      </c>
      <c r="O88" s="60">
        <v>0</v>
      </c>
      <c r="P88" s="60">
        <v>0.77</v>
      </c>
      <c r="Q88" s="60">
        <v>38.54</v>
      </c>
      <c r="R88" s="198"/>
      <c r="S88" s="198"/>
      <c r="T88" s="198"/>
      <c r="U88" s="198"/>
    </row>
    <row r="89" spans="1:26" s="12" customFormat="1" x14ac:dyDescent="0.25">
      <c r="A89" s="201" t="s">
        <v>714</v>
      </c>
      <c r="B89" s="60">
        <v>7.13</v>
      </c>
      <c r="C89" s="60">
        <v>67.73</v>
      </c>
      <c r="D89" s="60">
        <v>43.84</v>
      </c>
      <c r="E89" s="60">
        <v>3.26</v>
      </c>
      <c r="F89" s="60">
        <v>8.42</v>
      </c>
      <c r="G89" s="60">
        <v>45.41</v>
      </c>
      <c r="H89" s="60">
        <v>26.91</v>
      </c>
      <c r="I89" s="60">
        <v>0.61</v>
      </c>
      <c r="J89" s="60">
        <v>0.09</v>
      </c>
      <c r="K89" s="60">
        <v>355</v>
      </c>
      <c r="L89" s="60">
        <v>26.55</v>
      </c>
      <c r="M89" s="60">
        <v>50.45</v>
      </c>
      <c r="N89" s="60">
        <v>5.0999999999999996</v>
      </c>
      <c r="O89" s="60">
        <v>0</v>
      </c>
      <c r="P89" s="60">
        <v>0.82</v>
      </c>
      <c r="Q89" s="60">
        <v>38.369999999999997</v>
      </c>
      <c r="R89" s="198"/>
      <c r="S89" s="198"/>
      <c r="T89" s="198"/>
      <c r="U89" s="198"/>
    </row>
    <row r="90" spans="1:26" s="12" customFormat="1" x14ac:dyDescent="0.25">
      <c r="A90" s="201" t="s">
        <v>715</v>
      </c>
      <c r="B90" s="60">
        <v>12.85</v>
      </c>
      <c r="C90" s="60">
        <v>67.81</v>
      </c>
      <c r="D90" s="60">
        <v>48.47</v>
      </c>
      <c r="E90" s="60">
        <v>3.2</v>
      </c>
      <c r="F90" s="60">
        <v>5.52</v>
      </c>
      <c r="G90" s="60">
        <v>46</v>
      </c>
      <c r="H90" s="60">
        <v>26.87</v>
      </c>
      <c r="I90" s="60">
        <v>0.61</v>
      </c>
      <c r="J90" s="60">
        <v>7.0000000000000007E-2</v>
      </c>
      <c r="K90" s="60">
        <v>75.569999999999993</v>
      </c>
      <c r="L90" s="60">
        <v>25.78</v>
      </c>
      <c r="M90" s="60">
        <v>53.35</v>
      </c>
      <c r="N90" s="60">
        <v>5.0999999999999996</v>
      </c>
      <c r="O90" s="60">
        <v>0</v>
      </c>
      <c r="P90" s="60">
        <v>0.98</v>
      </c>
      <c r="Q90" s="60">
        <v>38.270000000000003</v>
      </c>
      <c r="R90" s="198"/>
      <c r="S90" s="198"/>
      <c r="T90" s="198"/>
      <c r="U90" s="198"/>
    </row>
    <row r="91" spans="1:26" s="12" customFormat="1" x14ac:dyDescent="0.25">
      <c r="A91" s="201" t="s">
        <v>716</v>
      </c>
      <c r="B91" s="60">
        <v>31</v>
      </c>
      <c r="C91" s="60">
        <v>86.73</v>
      </c>
      <c r="D91" s="60">
        <v>73.459999999999994</v>
      </c>
      <c r="E91" s="60">
        <v>4.01</v>
      </c>
      <c r="F91" s="60">
        <v>5.01</v>
      </c>
      <c r="G91" s="60">
        <v>55.96</v>
      </c>
      <c r="H91" s="60">
        <v>26.18</v>
      </c>
      <c r="I91" s="60">
        <v>0.6</v>
      </c>
      <c r="J91" s="60">
        <v>0.04</v>
      </c>
      <c r="K91" s="60">
        <v>33.89</v>
      </c>
      <c r="L91" s="60">
        <v>25.55</v>
      </c>
      <c r="M91" s="60">
        <v>54.36</v>
      </c>
      <c r="N91" s="60">
        <v>4.7</v>
      </c>
      <c r="O91" s="60">
        <v>0</v>
      </c>
      <c r="P91" s="60">
        <v>1.41</v>
      </c>
      <c r="Q91" s="60">
        <v>37.06</v>
      </c>
      <c r="R91" s="198"/>
      <c r="S91" s="198"/>
      <c r="T91" s="198"/>
      <c r="U91" s="198"/>
    </row>
    <row r="92" spans="1:26" s="12" customFormat="1" x14ac:dyDescent="0.25">
      <c r="A92" s="201" t="s">
        <v>717</v>
      </c>
      <c r="B92" s="60">
        <v>50.81</v>
      </c>
      <c r="C92" s="60">
        <v>89.57</v>
      </c>
      <c r="D92" s="60">
        <v>90.92</v>
      </c>
      <c r="E92" s="60">
        <v>5.03</v>
      </c>
      <c r="F92" s="60">
        <v>4</v>
      </c>
      <c r="G92" s="60">
        <v>55.96</v>
      </c>
      <c r="H92" s="60">
        <v>26.18</v>
      </c>
      <c r="I92" s="60">
        <v>0.6</v>
      </c>
      <c r="J92" s="60">
        <v>0.19</v>
      </c>
      <c r="K92" s="60">
        <v>105.21</v>
      </c>
      <c r="L92" s="60">
        <v>25.49</v>
      </c>
      <c r="M92" s="60">
        <v>54.9</v>
      </c>
      <c r="N92" s="60">
        <v>4.7</v>
      </c>
      <c r="O92" s="60">
        <v>0</v>
      </c>
      <c r="P92" s="60">
        <v>1.8</v>
      </c>
      <c r="Q92" s="60">
        <v>31.91</v>
      </c>
      <c r="R92" s="198"/>
      <c r="S92" s="198"/>
      <c r="T92" s="198"/>
      <c r="U92" s="198"/>
    </row>
    <row r="93" spans="1:26" s="12" customFormat="1" x14ac:dyDescent="0.25">
      <c r="A93" s="201" t="s">
        <v>718</v>
      </c>
      <c r="B93" s="60">
        <v>74.260000000000005</v>
      </c>
      <c r="C93" s="60">
        <v>84.3</v>
      </c>
      <c r="D93" s="60">
        <v>106.82</v>
      </c>
      <c r="E93" s="60">
        <v>4.99</v>
      </c>
      <c r="F93" s="60">
        <v>3.89</v>
      </c>
      <c r="G93" s="60">
        <v>55.96</v>
      </c>
      <c r="H93" s="60">
        <v>26.18</v>
      </c>
      <c r="I93" s="60">
        <v>0.71</v>
      </c>
      <c r="J93" s="60">
        <v>0.2</v>
      </c>
      <c r="K93" s="60">
        <v>35.56</v>
      </c>
      <c r="L93" s="60">
        <v>25.04</v>
      </c>
      <c r="M93" s="60">
        <v>57.63</v>
      </c>
      <c r="N93" s="60">
        <v>4.8</v>
      </c>
      <c r="O93" s="60">
        <v>0</v>
      </c>
      <c r="P93" s="60">
        <v>2.11</v>
      </c>
      <c r="Q93" s="60">
        <v>28.25</v>
      </c>
      <c r="R93" s="198"/>
      <c r="S93" s="198"/>
      <c r="T93" s="198"/>
      <c r="U93" s="198"/>
    </row>
    <row r="94" spans="1:26" s="12" customFormat="1" x14ac:dyDescent="0.25">
      <c r="A94" s="201" t="s">
        <v>719</v>
      </c>
      <c r="B94" s="60">
        <v>39.31</v>
      </c>
      <c r="C94" s="60">
        <v>88.05</v>
      </c>
      <c r="D94" s="60">
        <v>80.86</v>
      </c>
      <c r="E94" s="60">
        <v>4.63</v>
      </c>
      <c r="F94" s="60">
        <v>5.59</v>
      </c>
      <c r="G94" s="60">
        <v>58.42</v>
      </c>
      <c r="H94" s="60">
        <v>26.3</v>
      </c>
      <c r="I94" s="60">
        <v>0.87</v>
      </c>
      <c r="J94" s="60">
        <v>0.24</v>
      </c>
      <c r="K94" s="60">
        <v>59.57</v>
      </c>
      <c r="L94" s="60">
        <v>25.22</v>
      </c>
      <c r="M94" s="60">
        <v>54.04</v>
      </c>
      <c r="N94" s="60">
        <v>3.9</v>
      </c>
      <c r="O94" s="60">
        <v>0</v>
      </c>
      <c r="P94" s="60">
        <v>1.9</v>
      </c>
      <c r="Q94" s="60">
        <v>29.78</v>
      </c>
      <c r="R94" s="198"/>
      <c r="S94" s="198"/>
      <c r="T94" s="198"/>
      <c r="U94" s="198"/>
    </row>
    <row r="95" spans="1:26" s="12" customFormat="1" x14ac:dyDescent="0.25">
      <c r="A95" s="201" t="s">
        <v>720</v>
      </c>
      <c r="B95" s="60">
        <v>30.64</v>
      </c>
      <c r="C95" s="60">
        <v>86.1</v>
      </c>
      <c r="D95" s="60">
        <v>72.83</v>
      </c>
      <c r="E95" s="60">
        <v>5.16</v>
      </c>
      <c r="F95" s="60">
        <v>6.81</v>
      </c>
      <c r="G95" s="60">
        <v>100.17</v>
      </c>
      <c r="H95" s="60">
        <v>28.15</v>
      </c>
      <c r="I95" s="60">
        <v>0.8</v>
      </c>
      <c r="J95" s="60">
        <v>0.06</v>
      </c>
      <c r="K95" s="60">
        <v>172.44</v>
      </c>
      <c r="L95" s="60">
        <v>25.7</v>
      </c>
      <c r="M95" s="60">
        <v>52.01</v>
      </c>
      <c r="N95" s="60">
        <v>4.4000000000000004</v>
      </c>
      <c r="O95" s="60">
        <v>0</v>
      </c>
      <c r="P95" s="60">
        <v>1.84</v>
      </c>
      <c r="Q95" s="60">
        <v>31</v>
      </c>
      <c r="R95" s="198"/>
      <c r="S95" s="198"/>
      <c r="T95" s="198"/>
      <c r="U95" s="198"/>
    </row>
    <row r="96" spans="1:26" s="12" customFormat="1" x14ac:dyDescent="0.25">
      <c r="A96" s="201" t="s">
        <v>721</v>
      </c>
      <c r="B96" s="60">
        <v>22.64</v>
      </c>
      <c r="C96" s="60">
        <v>67.67</v>
      </c>
      <c r="D96" s="60">
        <v>56.24</v>
      </c>
      <c r="E96" s="60">
        <v>5.32</v>
      </c>
      <c r="F96" s="60">
        <v>8.34</v>
      </c>
      <c r="G96" s="60">
        <v>100.17</v>
      </c>
      <c r="H96" s="60">
        <v>28.15</v>
      </c>
      <c r="I96" s="60">
        <v>0.79</v>
      </c>
      <c r="J96" s="60">
        <v>0.52</v>
      </c>
      <c r="K96" s="60">
        <v>136.55000000000001</v>
      </c>
      <c r="L96" s="60">
        <v>25.73</v>
      </c>
      <c r="M96" s="60">
        <v>53.09</v>
      </c>
      <c r="N96" s="60">
        <v>3.6</v>
      </c>
      <c r="O96" s="60">
        <v>0</v>
      </c>
      <c r="P96" s="60">
        <v>1.56</v>
      </c>
      <c r="Q96" s="60">
        <v>35.53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722</v>
      </c>
      <c r="B97" s="60">
        <v>26.08</v>
      </c>
      <c r="C97" s="60">
        <v>67.53</v>
      </c>
      <c r="D97" s="60">
        <v>58.92</v>
      </c>
      <c r="E97" s="60">
        <v>4.84</v>
      </c>
      <c r="F97" s="60">
        <v>8.02</v>
      </c>
      <c r="G97" s="60">
        <v>100.17</v>
      </c>
      <c r="H97" s="60">
        <v>28.15</v>
      </c>
      <c r="I97" s="60">
        <v>0.82</v>
      </c>
      <c r="J97" s="60">
        <v>0.1</v>
      </c>
      <c r="K97" s="60">
        <v>66.290000000000006</v>
      </c>
      <c r="L97" s="60">
        <v>25.81</v>
      </c>
      <c r="M97" s="60">
        <v>53.34</v>
      </c>
      <c r="N97" s="60">
        <v>4.5999999999999996</v>
      </c>
      <c r="O97" s="60">
        <v>0</v>
      </c>
      <c r="P97" s="60">
        <v>1.57</v>
      </c>
      <c r="Q97" s="60">
        <v>34.22</v>
      </c>
      <c r="R97" s="198"/>
      <c r="S97" s="198"/>
      <c r="T97" s="198"/>
      <c r="U97" s="198"/>
    </row>
    <row r="98" spans="1:33" s="12" customFormat="1" x14ac:dyDescent="0.25">
      <c r="A98" s="201" t="s">
        <v>723</v>
      </c>
      <c r="B98" s="60">
        <v>33.36</v>
      </c>
      <c r="C98" s="60">
        <v>55.18</v>
      </c>
      <c r="D98" s="60">
        <v>57.94</v>
      </c>
      <c r="E98" s="60">
        <v>4.87</v>
      </c>
      <c r="F98" s="60">
        <v>5.99</v>
      </c>
      <c r="G98" s="60">
        <v>99.67</v>
      </c>
      <c r="H98" s="60">
        <v>28.27</v>
      </c>
      <c r="I98" s="60">
        <v>0.76</v>
      </c>
      <c r="J98" s="60">
        <v>0.06</v>
      </c>
      <c r="K98" s="60">
        <v>8.0500000000000007</v>
      </c>
      <c r="L98" s="60">
        <v>25.1</v>
      </c>
      <c r="M98" s="60">
        <v>56.75</v>
      </c>
      <c r="N98" s="60">
        <v>5</v>
      </c>
      <c r="O98" s="60">
        <v>0</v>
      </c>
      <c r="P98" s="60">
        <v>1.58</v>
      </c>
      <c r="Q98" s="60">
        <v>36.08</v>
      </c>
      <c r="R98" s="198"/>
      <c r="S98" s="198"/>
      <c r="T98" s="198"/>
      <c r="U98" s="198"/>
    </row>
    <row r="99" spans="1:33" s="12" customFormat="1" x14ac:dyDescent="0.25">
      <c r="A99" s="201" t="s">
        <v>724</v>
      </c>
      <c r="B99" s="60">
        <v>28.6</v>
      </c>
      <c r="C99" s="60">
        <v>56.21</v>
      </c>
      <c r="D99" s="60">
        <v>54.7</v>
      </c>
      <c r="E99" s="60">
        <v>3.77</v>
      </c>
      <c r="F99" s="60">
        <v>3.99</v>
      </c>
      <c r="G99" s="60">
        <v>91.12</v>
      </c>
      <c r="H99" s="60">
        <v>30.17</v>
      </c>
      <c r="I99" s="60">
        <v>0.76</v>
      </c>
      <c r="J99" s="60">
        <v>0.06</v>
      </c>
      <c r="K99" s="60">
        <v>56.27</v>
      </c>
      <c r="L99" s="60">
        <v>24.93</v>
      </c>
      <c r="M99" s="60">
        <v>55.35</v>
      </c>
      <c r="N99" s="60">
        <v>4.7</v>
      </c>
      <c r="O99" s="60">
        <v>0</v>
      </c>
      <c r="P99" s="60">
        <v>1.43</v>
      </c>
      <c r="Q99" s="60">
        <v>37.369999999999997</v>
      </c>
      <c r="R99" s="198"/>
      <c r="S99" s="198"/>
      <c r="T99" s="198"/>
      <c r="U99" s="198"/>
    </row>
    <row r="100" spans="1:33" s="12" customFormat="1" x14ac:dyDescent="0.25">
      <c r="A100" s="201" t="s">
        <v>725</v>
      </c>
      <c r="B100" s="60">
        <v>41.24</v>
      </c>
      <c r="C100" s="60">
        <v>59.11</v>
      </c>
      <c r="D100" s="60">
        <v>66.44</v>
      </c>
      <c r="E100" s="60">
        <v>3.6</v>
      </c>
      <c r="F100" s="60">
        <v>3.55</v>
      </c>
      <c r="G100" s="60">
        <v>91.12</v>
      </c>
      <c r="H100" s="60">
        <v>30.17</v>
      </c>
      <c r="I100" s="60">
        <v>0.82</v>
      </c>
      <c r="J100" s="60">
        <v>0.2</v>
      </c>
      <c r="K100" s="60">
        <v>30.72</v>
      </c>
      <c r="L100" s="60">
        <v>24.27</v>
      </c>
      <c r="M100" s="60">
        <v>60.6</v>
      </c>
      <c r="N100" s="60">
        <v>5.2</v>
      </c>
      <c r="O100" s="60">
        <v>0</v>
      </c>
      <c r="P100" s="60">
        <v>1.62</v>
      </c>
      <c r="Q100" s="60">
        <v>39.1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726</v>
      </c>
      <c r="B101" s="60">
        <v>39.33</v>
      </c>
      <c r="C101" s="60">
        <v>59.07</v>
      </c>
      <c r="D101" s="60">
        <v>64.88</v>
      </c>
      <c r="E101" s="60">
        <v>3.35</v>
      </c>
      <c r="F101" s="60">
        <v>3.45</v>
      </c>
      <c r="G101" s="60">
        <v>91.12</v>
      </c>
      <c r="H101" s="60">
        <v>30.17</v>
      </c>
      <c r="I101" s="60">
        <v>0.83</v>
      </c>
      <c r="J101" s="60">
        <v>0.12</v>
      </c>
      <c r="K101" s="60">
        <v>289.38</v>
      </c>
      <c r="L101" s="60">
        <v>24.31</v>
      </c>
      <c r="M101" s="60">
        <v>56.57</v>
      </c>
      <c r="N101" s="60">
        <v>4.4000000000000004</v>
      </c>
      <c r="O101" s="60">
        <v>0</v>
      </c>
      <c r="P101" s="60">
        <v>1.59</v>
      </c>
      <c r="Q101" s="60">
        <v>40.799999999999997</v>
      </c>
      <c r="R101" s="198"/>
      <c r="S101" s="198"/>
      <c r="T101" s="198"/>
      <c r="U101" s="198"/>
    </row>
    <row r="102" spans="1:33" s="12" customFormat="1" x14ac:dyDescent="0.25">
      <c r="A102" s="201" t="s">
        <v>727</v>
      </c>
      <c r="B102" s="60">
        <v>39.65</v>
      </c>
      <c r="C102" s="60">
        <v>64.03</v>
      </c>
      <c r="D102" s="60">
        <v>67.88</v>
      </c>
      <c r="E102" s="60">
        <v>3.02</v>
      </c>
      <c r="F102" s="60">
        <v>3.2</v>
      </c>
      <c r="G102" s="60">
        <v>91.97</v>
      </c>
      <c r="H102" s="60">
        <v>30.35</v>
      </c>
      <c r="I102" s="60">
        <v>0.78</v>
      </c>
      <c r="J102" s="60">
        <v>0.21</v>
      </c>
      <c r="K102" s="60">
        <v>25.36</v>
      </c>
      <c r="L102" s="60">
        <v>23.71</v>
      </c>
      <c r="M102" s="60">
        <v>60.86</v>
      </c>
      <c r="N102" s="60">
        <v>5.0999999999999996</v>
      </c>
      <c r="O102" s="60">
        <v>0</v>
      </c>
      <c r="P102" s="60">
        <v>1.6</v>
      </c>
      <c r="Q102" s="60">
        <v>41.78</v>
      </c>
      <c r="R102" s="198"/>
      <c r="S102" s="198"/>
      <c r="T102" s="198"/>
      <c r="U102" s="198"/>
    </row>
    <row r="103" spans="1:33" s="12" customFormat="1" x14ac:dyDescent="0.25">
      <c r="A103" s="201" t="s">
        <v>728</v>
      </c>
      <c r="B103" s="60">
        <v>40.1</v>
      </c>
      <c r="C103" s="60">
        <v>67.09</v>
      </c>
      <c r="D103" s="60">
        <v>69.92</v>
      </c>
      <c r="E103" s="60">
        <v>2.86</v>
      </c>
      <c r="F103" s="60">
        <v>3.08</v>
      </c>
      <c r="G103" s="60">
        <v>106.31</v>
      </c>
      <c r="H103" s="60">
        <v>33.33</v>
      </c>
      <c r="I103" s="60">
        <v>0.78</v>
      </c>
      <c r="J103" s="60">
        <v>0.57999999999999996</v>
      </c>
      <c r="K103" s="60">
        <v>199.99</v>
      </c>
      <c r="L103" s="60">
        <v>23.91</v>
      </c>
      <c r="M103" s="60">
        <v>59.35</v>
      </c>
      <c r="N103" s="60">
        <v>3.4</v>
      </c>
      <c r="O103" s="60">
        <v>0</v>
      </c>
      <c r="P103" s="60">
        <v>1.59</v>
      </c>
      <c r="Q103" s="60">
        <v>41.78</v>
      </c>
      <c r="R103" s="198"/>
      <c r="S103" s="198"/>
      <c r="T103" s="198"/>
      <c r="U103" s="198"/>
    </row>
    <row r="104" spans="1:33" s="12" customFormat="1" x14ac:dyDescent="0.25">
      <c r="A104" s="201" t="s">
        <v>729</v>
      </c>
      <c r="B104" s="60">
        <v>37.83</v>
      </c>
      <c r="C104" s="60">
        <v>66.28</v>
      </c>
      <c r="D104" s="60">
        <v>67.66</v>
      </c>
      <c r="E104" s="60">
        <v>0.72</v>
      </c>
      <c r="F104" s="60">
        <v>2.92</v>
      </c>
      <c r="G104" s="60">
        <v>106.31</v>
      </c>
      <c r="H104" s="60">
        <v>33.33</v>
      </c>
      <c r="I104" s="60">
        <v>0.78</v>
      </c>
      <c r="J104" s="60">
        <v>0.62</v>
      </c>
      <c r="K104" s="60">
        <v>202.16</v>
      </c>
      <c r="L104" s="60">
        <v>24.44</v>
      </c>
      <c r="M104" s="60">
        <v>55.73</v>
      </c>
      <c r="N104" s="60">
        <v>3.9</v>
      </c>
      <c r="O104" s="60">
        <v>0</v>
      </c>
      <c r="P104" s="60">
        <v>1.55</v>
      </c>
      <c r="Q104" s="60">
        <v>41.79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2.76</v>
      </c>
      <c r="C106" s="67">
        <f>MIN(C9:C104)</f>
        <v>33.81</v>
      </c>
      <c r="D106" s="67">
        <f t="shared" ref="D106:Q106" si="0">MIN(D9:D104)</f>
        <v>23.4</v>
      </c>
      <c r="E106" s="67">
        <f t="shared" si="0"/>
        <v>0.72</v>
      </c>
      <c r="F106" s="67">
        <f t="shared" si="0"/>
        <v>2.92</v>
      </c>
      <c r="G106" s="67">
        <f t="shared" si="0"/>
        <v>41.11</v>
      </c>
      <c r="H106" s="67">
        <f t="shared" si="0"/>
        <v>18.5</v>
      </c>
      <c r="I106" s="67">
        <f t="shared" si="0"/>
        <v>0.5</v>
      </c>
      <c r="J106" s="67">
        <f t="shared" si="0"/>
        <v>0.03</v>
      </c>
      <c r="K106" s="67">
        <f t="shared" si="0"/>
        <v>0.86</v>
      </c>
      <c r="L106" s="67">
        <f t="shared" si="0"/>
        <v>20.48</v>
      </c>
      <c r="M106" s="67">
        <f t="shared" si="0"/>
        <v>20.93</v>
      </c>
      <c r="N106" s="67">
        <f t="shared" si="0"/>
        <v>3.4</v>
      </c>
      <c r="O106" s="67">
        <f t="shared" si="0"/>
        <v>0</v>
      </c>
      <c r="P106" s="67">
        <f t="shared" si="0"/>
        <v>0.66</v>
      </c>
      <c r="Q106" s="67">
        <f t="shared" si="0"/>
        <v>27.64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74.260000000000005</v>
      </c>
      <c r="C107" s="66">
        <f t="shared" ref="C107:Q107" si="1">MAX(C9:C104)</f>
        <v>93.29</v>
      </c>
      <c r="D107" s="66">
        <f t="shared" si="1"/>
        <v>106.82</v>
      </c>
      <c r="E107" s="66">
        <f t="shared" si="1"/>
        <v>17.22</v>
      </c>
      <c r="F107" s="66">
        <f t="shared" si="1"/>
        <v>338.96</v>
      </c>
      <c r="G107" s="66">
        <f t="shared" si="1"/>
        <v>141.69</v>
      </c>
      <c r="H107" s="66">
        <f t="shared" si="1"/>
        <v>34.43</v>
      </c>
      <c r="I107" s="66">
        <f t="shared" si="1"/>
        <v>0.87</v>
      </c>
      <c r="J107" s="66">
        <f t="shared" si="1"/>
        <v>1.8</v>
      </c>
      <c r="K107" s="66">
        <f t="shared" si="1"/>
        <v>355</v>
      </c>
      <c r="L107" s="66">
        <f t="shared" si="1"/>
        <v>36.450000000000003</v>
      </c>
      <c r="M107" s="66">
        <f t="shared" si="1"/>
        <v>73.94</v>
      </c>
      <c r="N107" s="66">
        <f t="shared" si="1"/>
        <v>860.7</v>
      </c>
      <c r="O107" s="66">
        <f t="shared" si="1"/>
        <v>0</v>
      </c>
      <c r="P107" s="66">
        <f t="shared" si="1"/>
        <v>2.11</v>
      </c>
      <c r="Q107" s="66">
        <f t="shared" si="1"/>
        <v>41.79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18.370104166666668</v>
      </c>
      <c r="C108" s="67">
        <f t="shared" ref="C108:Q108" si="2">AVERAGE(C9:C104)</f>
        <v>57.914270833333319</v>
      </c>
      <c r="D108" s="67">
        <f t="shared" si="2"/>
        <v>47.433333333333316</v>
      </c>
      <c r="E108" s="67">
        <f t="shared" si="2"/>
        <v>4.4232291666666663</v>
      </c>
      <c r="F108" s="67">
        <f t="shared" si="2"/>
        <v>14.945520833333338</v>
      </c>
      <c r="G108" s="67">
        <f t="shared" si="2"/>
        <v>73.22375000000001</v>
      </c>
      <c r="H108" s="67">
        <f t="shared" si="2"/>
        <v>27.367395833333322</v>
      </c>
      <c r="I108" s="67">
        <f t="shared" si="2"/>
        <v>0.60416666666666663</v>
      </c>
      <c r="J108" s="67">
        <f t="shared" si="2"/>
        <v>0.34302083333333333</v>
      </c>
      <c r="K108" s="67">
        <f t="shared" si="2"/>
        <v>136.10312499999995</v>
      </c>
      <c r="L108" s="67">
        <f t="shared" si="2"/>
        <v>27.765416666666663</v>
      </c>
      <c r="M108" s="67">
        <f t="shared" si="2"/>
        <v>45.564479166666665</v>
      </c>
      <c r="N108" s="67">
        <f t="shared" si="2"/>
        <v>205.44895833333337</v>
      </c>
      <c r="O108" s="67">
        <f t="shared" si="2"/>
        <v>0</v>
      </c>
      <c r="P108" s="67">
        <f t="shared" si="2"/>
        <v>1.0407291666666667</v>
      </c>
      <c r="Q108" s="67">
        <f t="shared" si="2"/>
        <v>35.475833333333327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16.408853097917451</v>
      </c>
      <c r="C109" s="67">
        <f t="shared" ref="C109:Q109" si="3">STDEV(C9:C104)</f>
        <v>11.3858356829687</v>
      </c>
      <c r="D109" s="67">
        <f t="shared" si="3"/>
        <v>15.85825932351759</v>
      </c>
      <c r="E109" s="67">
        <f t="shared" si="3"/>
        <v>3.1501874613531604</v>
      </c>
      <c r="F109" s="67">
        <f t="shared" si="3"/>
        <v>35.070441291170766</v>
      </c>
      <c r="G109" s="67">
        <f t="shared" si="3"/>
        <v>24.046808443445943</v>
      </c>
      <c r="H109" s="67">
        <f t="shared" si="3"/>
        <v>3.6880667435426182</v>
      </c>
      <c r="I109" s="67">
        <f t="shared" si="3"/>
        <v>8.0218998493488639E-2</v>
      </c>
      <c r="J109" s="67">
        <f t="shared" si="3"/>
        <v>0.32357906311706758</v>
      </c>
      <c r="K109" s="67">
        <f t="shared" si="3"/>
        <v>114.45982373339109</v>
      </c>
      <c r="L109" s="67">
        <f t="shared" si="3"/>
        <v>4.9838632060020034</v>
      </c>
      <c r="M109" s="67">
        <f t="shared" si="3"/>
        <v>17.424342069874072</v>
      </c>
      <c r="N109" s="67">
        <f t="shared" si="3"/>
        <v>292.72442150642627</v>
      </c>
      <c r="O109" s="67">
        <f t="shared" si="3"/>
        <v>0</v>
      </c>
      <c r="P109" s="67">
        <f t="shared" si="3"/>
        <v>0.31933893820851139</v>
      </c>
      <c r="Q109" s="67">
        <f t="shared" si="3"/>
        <v>3.7235401001188886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730</v>
      </c>
      <c r="B9" s="60">
        <v>28.87</v>
      </c>
      <c r="C9" s="60">
        <v>62.02</v>
      </c>
      <c r="D9" s="60">
        <v>58.12</v>
      </c>
      <c r="E9" s="60">
        <v>1.88</v>
      </c>
      <c r="F9" s="60">
        <v>6.06</v>
      </c>
      <c r="G9" s="60">
        <v>106.31</v>
      </c>
      <c r="H9" s="60">
        <v>33.33</v>
      </c>
      <c r="I9" s="60">
        <v>0.78</v>
      </c>
      <c r="J9" s="60">
        <v>0.12</v>
      </c>
      <c r="K9" s="60">
        <v>10.82</v>
      </c>
      <c r="L9" s="60">
        <v>24.09</v>
      </c>
      <c r="M9" s="60">
        <v>56.65</v>
      </c>
      <c r="N9" s="60">
        <v>5.0999999999999996</v>
      </c>
      <c r="O9" s="60">
        <v>0</v>
      </c>
      <c r="P9" s="60">
        <v>1.38</v>
      </c>
      <c r="Q9" s="60">
        <v>41.67</v>
      </c>
      <c r="R9" s="198"/>
      <c r="S9" s="198"/>
      <c r="T9" s="198"/>
      <c r="U9" s="198"/>
    </row>
    <row r="10" spans="1:21" s="12" customFormat="1" x14ac:dyDescent="0.25">
      <c r="A10" s="201" t="s">
        <v>731</v>
      </c>
      <c r="B10" s="60">
        <v>21.31</v>
      </c>
      <c r="C10" s="60">
        <v>52.66</v>
      </c>
      <c r="D10" s="60">
        <v>46.89</v>
      </c>
      <c r="E10" s="60">
        <v>2.4</v>
      </c>
      <c r="F10" s="60">
        <v>9.5399999999999991</v>
      </c>
      <c r="G10" s="60">
        <v>104.94</v>
      </c>
      <c r="H10" s="60">
        <v>33.39</v>
      </c>
      <c r="I10" s="60">
        <v>0.78</v>
      </c>
      <c r="J10" s="60">
        <v>0.14000000000000001</v>
      </c>
      <c r="K10" s="60">
        <v>210.48</v>
      </c>
      <c r="L10" s="60">
        <v>23.63</v>
      </c>
      <c r="M10" s="60">
        <v>56.79</v>
      </c>
      <c r="N10" s="60">
        <v>4.5</v>
      </c>
      <c r="O10" s="60">
        <v>0</v>
      </c>
      <c r="P10" s="60">
        <v>1.21</v>
      </c>
      <c r="Q10" s="60">
        <v>40.96</v>
      </c>
      <c r="R10" s="198"/>
      <c r="S10" s="198"/>
      <c r="T10" s="198"/>
      <c r="U10" s="198"/>
    </row>
    <row r="11" spans="1:21" s="12" customFormat="1" x14ac:dyDescent="0.25">
      <c r="A11" s="201" t="s">
        <v>732</v>
      </c>
      <c r="B11" s="60">
        <v>20.79</v>
      </c>
      <c r="C11" s="60">
        <v>43.68</v>
      </c>
      <c r="D11" s="60">
        <v>41.52</v>
      </c>
      <c r="E11" s="60">
        <v>3.01</v>
      </c>
      <c r="F11" s="60">
        <v>15.1</v>
      </c>
      <c r="G11" s="60">
        <v>81.67</v>
      </c>
      <c r="H11" s="60">
        <v>34.42</v>
      </c>
      <c r="I11" s="60">
        <v>0.72</v>
      </c>
      <c r="J11" s="60">
        <v>0.1</v>
      </c>
      <c r="K11" s="60">
        <v>297.61</v>
      </c>
      <c r="L11" s="60">
        <v>23.88</v>
      </c>
      <c r="M11" s="60">
        <v>52.13</v>
      </c>
      <c r="N11" s="60">
        <v>4.5</v>
      </c>
      <c r="O11" s="60">
        <v>0</v>
      </c>
      <c r="P11" s="60">
        <v>1.1200000000000001</v>
      </c>
      <c r="Q11" s="60">
        <v>37.76</v>
      </c>
      <c r="R11" s="198"/>
      <c r="S11" s="198"/>
      <c r="T11" s="198"/>
      <c r="U11" s="198"/>
    </row>
    <row r="12" spans="1:21" s="12" customFormat="1" x14ac:dyDescent="0.25">
      <c r="A12" s="201" t="s">
        <v>733</v>
      </c>
      <c r="B12" s="60">
        <v>23.17</v>
      </c>
      <c r="C12" s="60">
        <v>54.25</v>
      </c>
      <c r="D12" s="60">
        <v>49.26</v>
      </c>
      <c r="E12" s="60">
        <v>2.69</v>
      </c>
      <c r="F12" s="60">
        <v>13.23</v>
      </c>
      <c r="G12" s="60">
        <v>81.67</v>
      </c>
      <c r="H12" s="60">
        <v>34.42</v>
      </c>
      <c r="I12" s="60">
        <v>0.63</v>
      </c>
      <c r="J12" s="60">
        <v>0.24</v>
      </c>
      <c r="K12" s="60">
        <v>202.91</v>
      </c>
      <c r="L12" s="60">
        <v>23.9</v>
      </c>
      <c r="M12" s="60">
        <v>51.45</v>
      </c>
      <c r="N12" s="60">
        <v>4.2</v>
      </c>
      <c r="O12" s="60">
        <v>0</v>
      </c>
      <c r="P12" s="60">
        <v>1.19</v>
      </c>
      <c r="Q12" s="60">
        <v>33.29</v>
      </c>
      <c r="R12" s="198"/>
      <c r="S12" s="198"/>
      <c r="T12" s="198"/>
      <c r="U12" s="198"/>
    </row>
    <row r="13" spans="1:21" s="12" customFormat="1" x14ac:dyDescent="0.25">
      <c r="A13" s="201" t="s">
        <v>734</v>
      </c>
      <c r="B13" s="60">
        <v>22.67</v>
      </c>
      <c r="C13" s="60">
        <v>55.91</v>
      </c>
      <c r="D13" s="60">
        <v>49.78</v>
      </c>
      <c r="E13" s="60">
        <v>2.2799999999999998</v>
      </c>
      <c r="F13" s="60">
        <v>8.92</v>
      </c>
      <c r="G13" s="60">
        <v>81.67</v>
      </c>
      <c r="H13" s="60">
        <v>34.42</v>
      </c>
      <c r="I13" s="60">
        <v>0.63</v>
      </c>
      <c r="J13" s="60">
        <v>0.17</v>
      </c>
      <c r="K13" s="60">
        <v>291.33999999999997</v>
      </c>
      <c r="L13" s="60">
        <v>23.24</v>
      </c>
      <c r="M13" s="60">
        <v>56.27</v>
      </c>
      <c r="N13" s="60">
        <v>5.2</v>
      </c>
      <c r="O13" s="60">
        <v>0</v>
      </c>
      <c r="P13" s="60">
        <v>1.18</v>
      </c>
      <c r="Q13" s="60">
        <v>34.159999999999997</v>
      </c>
      <c r="R13" s="198"/>
      <c r="S13" s="198"/>
      <c r="T13" s="198"/>
      <c r="U13" s="198"/>
    </row>
    <row r="14" spans="1:21" s="12" customFormat="1" x14ac:dyDescent="0.25">
      <c r="A14" s="201" t="s">
        <v>735</v>
      </c>
      <c r="B14" s="60">
        <v>22.11</v>
      </c>
      <c r="C14" s="60">
        <v>54.32</v>
      </c>
      <c r="D14" s="60">
        <v>48.45</v>
      </c>
      <c r="E14" s="60">
        <v>2.25</v>
      </c>
      <c r="F14" s="60">
        <v>9.82</v>
      </c>
      <c r="G14" s="60">
        <v>81.64</v>
      </c>
      <c r="H14" s="60">
        <v>34.24</v>
      </c>
      <c r="I14" s="60">
        <v>0.64</v>
      </c>
      <c r="J14" s="60">
        <v>0.18</v>
      </c>
      <c r="K14" s="60">
        <v>2.7</v>
      </c>
      <c r="L14" s="60">
        <v>22.92</v>
      </c>
      <c r="M14" s="60">
        <v>58.3</v>
      </c>
      <c r="N14" s="60">
        <v>4.9000000000000004</v>
      </c>
      <c r="O14" s="60">
        <v>0</v>
      </c>
      <c r="P14" s="60">
        <v>1.1499999999999999</v>
      </c>
      <c r="Q14" s="60">
        <v>34.83</v>
      </c>
      <c r="R14" s="198"/>
      <c r="S14" s="198"/>
      <c r="T14" s="198"/>
      <c r="U14" s="198"/>
    </row>
    <row r="15" spans="1:21" s="12" customFormat="1" x14ac:dyDescent="0.25">
      <c r="A15" s="201" t="s">
        <v>736</v>
      </c>
      <c r="B15" s="60">
        <v>24.99</v>
      </c>
      <c r="C15" s="60">
        <v>50.67</v>
      </c>
      <c r="D15" s="60">
        <v>48.74</v>
      </c>
      <c r="E15" s="60">
        <v>1.75</v>
      </c>
      <c r="F15" s="60">
        <v>7.66</v>
      </c>
      <c r="G15" s="60">
        <v>80.900000000000006</v>
      </c>
      <c r="H15" s="60">
        <v>30.36</v>
      </c>
      <c r="I15" s="60">
        <v>0.65</v>
      </c>
      <c r="J15" s="60">
        <v>0.12</v>
      </c>
      <c r="K15" s="60">
        <v>25.2</v>
      </c>
      <c r="L15" s="60">
        <v>22.18</v>
      </c>
      <c r="M15" s="60">
        <v>63.17</v>
      </c>
      <c r="N15" s="60">
        <v>5</v>
      </c>
      <c r="O15" s="60">
        <v>0</v>
      </c>
      <c r="P15" s="60">
        <v>1.17</v>
      </c>
      <c r="Q15" s="60">
        <v>34.840000000000003</v>
      </c>
      <c r="R15" s="198"/>
      <c r="S15" s="198"/>
      <c r="T15" s="198"/>
      <c r="U15" s="198"/>
    </row>
    <row r="16" spans="1:21" s="12" customFormat="1" x14ac:dyDescent="0.25">
      <c r="A16" s="201" t="s">
        <v>737</v>
      </c>
      <c r="B16" s="60">
        <v>22.78</v>
      </c>
      <c r="C16" s="60">
        <v>47.14</v>
      </c>
      <c r="D16" s="60">
        <v>45.03</v>
      </c>
      <c r="E16" s="60">
        <v>2.0699999999999998</v>
      </c>
      <c r="F16" s="60">
        <v>9.11</v>
      </c>
      <c r="G16" s="60">
        <v>80.900000000000006</v>
      </c>
      <c r="H16" s="60">
        <v>30.36</v>
      </c>
      <c r="I16" s="60">
        <v>0.66</v>
      </c>
      <c r="J16" s="60">
        <v>0.02</v>
      </c>
      <c r="K16" s="60">
        <v>236.71</v>
      </c>
      <c r="L16" s="60">
        <v>22.07</v>
      </c>
      <c r="M16" s="60">
        <v>61.24</v>
      </c>
      <c r="N16" s="60">
        <v>4.8</v>
      </c>
      <c r="O16" s="60">
        <v>0</v>
      </c>
      <c r="P16" s="60">
        <v>1.1399999999999999</v>
      </c>
      <c r="Q16" s="60">
        <v>36.340000000000003</v>
      </c>
      <c r="R16" s="198"/>
      <c r="S16" s="198"/>
      <c r="T16" s="198"/>
      <c r="U16" s="198"/>
    </row>
    <row r="17" spans="1:21" s="12" customFormat="1" x14ac:dyDescent="0.25">
      <c r="A17" s="201" t="s">
        <v>738</v>
      </c>
      <c r="B17" s="60">
        <v>28.17</v>
      </c>
      <c r="C17" s="60">
        <v>61.99</v>
      </c>
      <c r="D17" s="60">
        <v>57.54</v>
      </c>
      <c r="E17" s="60">
        <v>1.8</v>
      </c>
      <c r="F17" s="60">
        <v>4.7699999999999996</v>
      </c>
      <c r="G17" s="60">
        <v>80.900000000000006</v>
      </c>
      <c r="H17" s="60">
        <v>30.36</v>
      </c>
      <c r="I17" s="60">
        <v>0.65</v>
      </c>
      <c r="J17" s="60">
        <v>0.09</v>
      </c>
      <c r="K17" s="60">
        <v>358.54</v>
      </c>
      <c r="L17" s="60">
        <v>22.13</v>
      </c>
      <c r="M17" s="60">
        <v>63</v>
      </c>
      <c r="N17" s="60">
        <v>4.8</v>
      </c>
      <c r="O17" s="60">
        <v>0</v>
      </c>
      <c r="P17" s="60">
        <v>1.28</v>
      </c>
      <c r="Q17" s="60">
        <v>35.049999999999997</v>
      </c>
      <c r="R17" s="198"/>
      <c r="S17" s="198"/>
      <c r="T17" s="198"/>
      <c r="U17" s="198"/>
    </row>
    <row r="18" spans="1:21" s="12" customFormat="1" x14ac:dyDescent="0.25">
      <c r="A18" s="201" t="s">
        <v>739</v>
      </c>
      <c r="B18" s="60">
        <v>27.74</v>
      </c>
      <c r="C18" s="60">
        <v>57.13</v>
      </c>
      <c r="D18" s="60">
        <v>54.51</v>
      </c>
      <c r="E18" s="60">
        <v>1.05</v>
      </c>
      <c r="F18" s="60">
        <v>3.44</v>
      </c>
      <c r="G18" s="60">
        <v>81.87</v>
      </c>
      <c r="H18" s="60">
        <v>30.48</v>
      </c>
      <c r="I18" s="60">
        <v>0.69</v>
      </c>
      <c r="J18" s="60">
        <v>7.0000000000000007E-2</v>
      </c>
      <c r="K18" s="60">
        <v>273.81</v>
      </c>
      <c r="L18" s="60">
        <v>22.07</v>
      </c>
      <c r="M18" s="60">
        <v>62.65</v>
      </c>
      <c r="N18" s="60">
        <v>4.5</v>
      </c>
      <c r="O18" s="60">
        <v>0</v>
      </c>
      <c r="P18" s="60">
        <v>1.24</v>
      </c>
      <c r="Q18" s="60">
        <v>39.49</v>
      </c>
      <c r="R18" s="198"/>
      <c r="S18" s="198"/>
      <c r="T18" s="198"/>
      <c r="U18" s="198"/>
    </row>
    <row r="19" spans="1:21" s="12" customFormat="1" x14ac:dyDescent="0.25">
      <c r="A19" s="201" t="s">
        <v>740</v>
      </c>
      <c r="B19" s="60">
        <v>26.04</v>
      </c>
      <c r="C19" s="60">
        <v>56.18</v>
      </c>
      <c r="D19" s="60">
        <v>52.63</v>
      </c>
      <c r="E19" s="60">
        <v>1.23</v>
      </c>
      <c r="F19" s="60">
        <v>3.48</v>
      </c>
      <c r="G19" s="60">
        <v>102.74</v>
      </c>
      <c r="H19" s="60">
        <v>32.520000000000003</v>
      </c>
      <c r="I19" s="60">
        <v>0.78</v>
      </c>
      <c r="J19" s="60">
        <v>0.12</v>
      </c>
      <c r="K19" s="60">
        <v>53.66</v>
      </c>
      <c r="L19" s="60">
        <v>21.92</v>
      </c>
      <c r="M19" s="60">
        <v>64.78</v>
      </c>
      <c r="N19" s="60">
        <v>4.9000000000000004</v>
      </c>
      <c r="O19" s="60">
        <v>0</v>
      </c>
      <c r="P19" s="60">
        <v>1.19</v>
      </c>
      <c r="Q19" s="60">
        <v>40.1</v>
      </c>
      <c r="R19" s="198"/>
      <c r="S19" s="198"/>
      <c r="T19" s="198"/>
      <c r="U19" s="198"/>
    </row>
    <row r="20" spans="1:21" s="12" customFormat="1" x14ac:dyDescent="0.25">
      <c r="A20" s="201" t="s">
        <v>741</v>
      </c>
      <c r="B20" s="60">
        <v>24.07</v>
      </c>
      <c r="C20" s="60">
        <v>55.84</v>
      </c>
      <c r="D20" s="60">
        <v>50.86</v>
      </c>
      <c r="E20" s="60">
        <v>1.1100000000000001</v>
      </c>
      <c r="F20" s="60">
        <v>3.23</v>
      </c>
      <c r="G20" s="60">
        <v>102.74</v>
      </c>
      <c r="H20" s="60">
        <v>32.520000000000003</v>
      </c>
      <c r="I20" s="60">
        <v>0.78</v>
      </c>
      <c r="J20" s="60">
        <v>0.09</v>
      </c>
      <c r="K20" s="60">
        <v>274.83999999999997</v>
      </c>
      <c r="L20" s="60">
        <v>22.32</v>
      </c>
      <c r="M20" s="60">
        <v>61.95</v>
      </c>
      <c r="N20" s="60">
        <v>4.3</v>
      </c>
      <c r="O20" s="60">
        <v>0</v>
      </c>
      <c r="P20" s="60">
        <v>1.1399999999999999</v>
      </c>
      <c r="Q20" s="60">
        <v>40.840000000000003</v>
      </c>
      <c r="R20" s="198"/>
      <c r="S20" s="198"/>
      <c r="T20" s="198"/>
      <c r="U20" s="198"/>
    </row>
    <row r="21" spans="1:21" s="12" customFormat="1" x14ac:dyDescent="0.25">
      <c r="A21" s="201" t="s">
        <v>742</v>
      </c>
      <c r="B21" s="60">
        <v>21.86</v>
      </c>
      <c r="C21" s="60">
        <v>55.21</v>
      </c>
      <c r="D21" s="60">
        <v>48.74</v>
      </c>
      <c r="E21" s="60">
        <v>1.07</v>
      </c>
      <c r="F21" s="60">
        <v>2.86</v>
      </c>
      <c r="G21" s="60">
        <v>102.74</v>
      </c>
      <c r="H21" s="60">
        <v>32.520000000000003</v>
      </c>
      <c r="I21" s="60">
        <v>0.76</v>
      </c>
      <c r="J21" s="60">
        <v>0.2</v>
      </c>
      <c r="K21" s="60">
        <v>96.75</v>
      </c>
      <c r="L21" s="60">
        <v>22.3</v>
      </c>
      <c r="M21" s="60">
        <v>63.31</v>
      </c>
      <c r="N21" s="60">
        <v>4.3</v>
      </c>
      <c r="O21" s="60">
        <v>0</v>
      </c>
      <c r="P21" s="60">
        <v>1.0900000000000001</v>
      </c>
      <c r="Q21" s="60">
        <v>41.01</v>
      </c>
      <c r="R21" s="198"/>
      <c r="S21" s="198"/>
      <c r="T21" s="198"/>
      <c r="U21" s="198"/>
    </row>
    <row r="22" spans="1:21" s="12" customFormat="1" x14ac:dyDescent="0.25">
      <c r="A22" s="201" t="s">
        <v>743</v>
      </c>
      <c r="B22" s="60">
        <v>20.32</v>
      </c>
      <c r="C22" s="60">
        <v>54.69</v>
      </c>
      <c r="D22" s="60">
        <v>47.22</v>
      </c>
      <c r="E22" s="60">
        <v>0.49</v>
      </c>
      <c r="F22" s="60">
        <v>2.76</v>
      </c>
      <c r="G22" s="60">
        <v>101.78</v>
      </c>
      <c r="H22" s="60">
        <v>32.520000000000003</v>
      </c>
      <c r="I22" s="60">
        <v>0.71</v>
      </c>
      <c r="J22" s="60">
        <v>0.1</v>
      </c>
      <c r="K22" s="60">
        <v>307.98</v>
      </c>
      <c r="L22" s="60">
        <v>22</v>
      </c>
      <c r="M22" s="60">
        <v>66.22</v>
      </c>
      <c r="N22" s="60">
        <v>4.9000000000000004</v>
      </c>
      <c r="O22" s="60">
        <v>0</v>
      </c>
      <c r="P22" s="60">
        <v>1.06</v>
      </c>
      <c r="Q22" s="60">
        <v>40.72</v>
      </c>
      <c r="R22" s="198"/>
      <c r="S22" s="198"/>
      <c r="T22" s="198"/>
      <c r="U22" s="198"/>
    </row>
    <row r="23" spans="1:21" s="12" customFormat="1" x14ac:dyDescent="0.25">
      <c r="A23" s="201" t="s">
        <v>744</v>
      </c>
      <c r="B23" s="60">
        <v>19.61</v>
      </c>
      <c r="C23" s="60">
        <v>54.35</v>
      </c>
      <c r="D23" s="60">
        <v>46.46</v>
      </c>
      <c r="E23" s="60">
        <v>0.55000000000000004</v>
      </c>
      <c r="F23" s="60">
        <v>2.73</v>
      </c>
      <c r="G23" s="60">
        <v>81.209999999999994</v>
      </c>
      <c r="H23" s="60">
        <v>32.58</v>
      </c>
      <c r="I23" s="60">
        <v>0.66</v>
      </c>
      <c r="J23" s="60">
        <v>0.47</v>
      </c>
      <c r="K23" s="60">
        <v>204.1</v>
      </c>
      <c r="L23" s="60">
        <v>22.32</v>
      </c>
      <c r="M23" s="60">
        <v>64.599999999999994</v>
      </c>
      <c r="N23" s="60">
        <v>3.5</v>
      </c>
      <c r="O23" s="60">
        <v>0</v>
      </c>
      <c r="P23" s="60">
        <v>1.03</v>
      </c>
      <c r="Q23" s="60">
        <v>40.24</v>
      </c>
      <c r="R23" s="198"/>
      <c r="S23" s="198"/>
      <c r="T23" s="198"/>
      <c r="U23" s="198"/>
    </row>
    <row r="24" spans="1:21" s="12" customFormat="1" x14ac:dyDescent="0.25">
      <c r="A24" s="201" t="s">
        <v>745</v>
      </c>
      <c r="B24" s="60">
        <v>18.260000000000002</v>
      </c>
      <c r="C24" s="60">
        <v>47.58</v>
      </c>
      <c r="D24" s="60">
        <v>41.64</v>
      </c>
      <c r="E24" s="60">
        <v>1.39</v>
      </c>
      <c r="F24" s="60">
        <v>3.34</v>
      </c>
      <c r="G24" s="60">
        <v>81.209999999999994</v>
      </c>
      <c r="H24" s="60">
        <v>32.58</v>
      </c>
      <c r="I24" s="60">
        <v>0.66</v>
      </c>
      <c r="J24" s="60">
        <v>0.28000000000000003</v>
      </c>
      <c r="K24" s="60">
        <v>190.45</v>
      </c>
      <c r="L24" s="60">
        <v>22.69</v>
      </c>
      <c r="M24" s="60">
        <v>61.77</v>
      </c>
      <c r="N24" s="60">
        <v>4.3</v>
      </c>
      <c r="O24" s="60">
        <v>0</v>
      </c>
      <c r="P24" s="60">
        <v>0.92</v>
      </c>
      <c r="Q24" s="60">
        <v>39.549999999999997</v>
      </c>
      <c r="R24" s="198"/>
      <c r="S24" s="198"/>
      <c r="T24" s="198"/>
      <c r="U24" s="198"/>
    </row>
    <row r="25" spans="1:21" s="12" customFormat="1" x14ac:dyDescent="0.25">
      <c r="A25" s="201" t="s">
        <v>746</v>
      </c>
      <c r="B25" s="60">
        <v>22.45</v>
      </c>
      <c r="C25" s="60">
        <v>40.549999999999997</v>
      </c>
      <c r="D25" s="60">
        <v>41.12</v>
      </c>
      <c r="E25" s="60">
        <v>2.2799999999999998</v>
      </c>
      <c r="F25" s="60">
        <v>3.33</v>
      </c>
      <c r="G25" s="60">
        <v>81.209999999999994</v>
      </c>
      <c r="H25" s="60">
        <v>32.58</v>
      </c>
      <c r="I25" s="60">
        <v>0.65</v>
      </c>
      <c r="J25" s="60">
        <v>0.26</v>
      </c>
      <c r="K25" s="60">
        <v>29.18</v>
      </c>
      <c r="L25" s="60">
        <v>21.95</v>
      </c>
      <c r="M25" s="60">
        <v>67.36</v>
      </c>
      <c r="N25" s="60">
        <v>5.2</v>
      </c>
      <c r="O25" s="60">
        <v>0</v>
      </c>
      <c r="P25" s="60">
        <v>0.96</v>
      </c>
      <c r="Q25" s="60">
        <v>33.25</v>
      </c>
      <c r="R25" s="198"/>
      <c r="S25" s="198"/>
      <c r="T25" s="198"/>
      <c r="U25" s="198"/>
    </row>
    <row r="26" spans="1:21" s="12" customFormat="1" x14ac:dyDescent="0.25">
      <c r="A26" s="201" t="s">
        <v>747</v>
      </c>
      <c r="B26" s="60">
        <v>23.2</v>
      </c>
      <c r="C26" s="60">
        <v>49.28</v>
      </c>
      <c r="D26" s="60">
        <v>46.54</v>
      </c>
      <c r="E26" s="60">
        <v>2.27</v>
      </c>
      <c r="F26" s="60">
        <v>3.04</v>
      </c>
      <c r="G26" s="60">
        <v>80.19</v>
      </c>
      <c r="H26" s="60">
        <v>32.69</v>
      </c>
      <c r="I26" s="60">
        <v>0.63</v>
      </c>
      <c r="J26" s="60">
        <v>0.21</v>
      </c>
      <c r="K26" s="60">
        <v>350.91</v>
      </c>
      <c r="L26" s="60">
        <v>21.69</v>
      </c>
      <c r="M26" s="60">
        <v>69.23</v>
      </c>
      <c r="N26" s="60">
        <v>5.0999999999999996</v>
      </c>
      <c r="O26" s="60">
        <v>0</v>
      </c>
      <c r="P26" s="60">
        <v>0.95</v>
      </c>
      <c r="Q26" s="60">
        <v>32.33</v>
      </c>
      <c r="R26" s="198"/>
      <c r="S26" s="198"/>
      <c r="T26" s="198"/>
      <c r="U26" s="198"/>
    </row>
    <row r="27" spans="1:21" s="12" customFormat="1" x14ac:dyDescent="0.25">
      <c r="A27" s="201" t="s">
        <v>748</v>
      </c>
      <c r="B27" s="60">
        <v>21.37</v>
      </c>
      <c r="C27" s="60">
        <v>52.96</v>
      </c>
      <c r="D27" s="60">
        <v>47.11</v>
      </c>
      <c r="E27" s="60">
        <v>2.0099999999999998</v>
      </c>
      <c r="F27" s="60">
        <v>3.2</v>
      </c>
      <c r="G27" s="60">
        <v>58.08</v>
      </c>
      <c r="H27" s="60">
        <v>34.54</v>
      </c>
      <c r="I27" s="60">
        <v>0.63</v>
      </c>
      <c r="J27" s="60">
        <v>0.32</v>
      </c>
      <c r="K27" s="60">
        <v>109.92</v>
      </c>
      <c r="L27" s="60">
        <v>22</v>
      </c>
      <c r="M27" s="60">
        <v>66.599999999999994</v>
      </c>
      <c r="N27" s="60">
        <v>4.5</v>
      </c>
      <c r="O27" s="60">
        <v>0</v>
      </c>
      <c r="P27" s="60">
        <v>0.93</v>
      </c>
      <c r="Q27" s="60">
        <v>32.64</v>
      </c>
      <c r="R27" s="198"/>
      <c r="S27" s="198"/>
      <c r="T27" s="198"/>
      <c r="U27" s="198"/>
    </row>
    <row r="28" spans="1:21" s="12" customFormat="1" x14ac:dyDescent="0.25">
      <c r="A28" s="201" t="s">
        <v>749</v>
      </c>
      <c r="B28" s="60">
        <v>21.72</v>
      </c>
      <c r="C28" s="60">
        <v>50.29</v>
      </c>
      <c r="D28" s="60">
        <v>45.91</v>
      </c>
      <c r="E28" s="60">
        <v>2.31</v>
      </c>
      <c r="F28" s="60">
        <v>3.03</v>
      </c>
      <c r="G28" s="60">
        <v>58.08</v>
      </c>
      <c r="H28" s="60">
        <v>34.54</v>
      </c>
      <c r="I28" s="60">
        <v>0.64</v>
      </c>
      <c r="J28" s="60">
        <v>0.37</v>
      </c>
      <c r="K28" s="60">
        <v>242.31</v>
      </c>
      <c r="L28" s="60">
        <v>22.17</v>
      </c>
      <c r="M28" s="60">
        <v>67.47</v>
      </c>
      <c r="N28" s="60">
        <v>4.3</v>
      </c>
      <c r="O28" s="60">
        <v>0</v>
      </c>
      <c r="P28" s="60">
        <v>0.94</v>
      </c>
      <c r="Q28" s="60">
        <v>34.130000000000003</v>
      </c>
      <c r="R28" s="198"/>
      <c r="S28" s="198"/>
      <c r="T28" s="198"/>
      <c r="U28" s="198"/>
    </row>
    <row r="29" spans="1:21" s="12" customFormat="1" x14ac:dyDescent="0.25">
      <c r="A29" s="201" t="s">
        <v>750</v>
      </c>
      <c r="B29" s="60">
        <v>30.71</v>
      </c>
      <c r="C29" s="60">
        <v>46.28</v>
      </c>
      <c r="D29" s="60">
        <v>50.91</v>
      </c>
      <c r="E29" s="60">
        <v>2.56</v>
      </c>
      <c r="F29" s="60">
        <v>3.2</v>
      </c>
      <c r="G29" s="60">
        <v>58.08</v>
      </c>
      <c r="H29" s="60">
        <v>34.54</v>
      </c>
      <c r="I29" s="60">
        <v>0.64</v>
      </c>
      <c r="J29" s="60">
        <v>0.13</v>
      </c>
      <c r="K29" s="60">
        <v>19.100000000000001</v>
      </c>
      <c r="L29" s="60">
        <v>21.84</v>
      </c>
      <c r="M29" s="60">
        <v>70.13</v>
      </c>
      <c r="N29" s="60">
        <v>5.0999999999999996</v>
      </c>
      <c r="O29" s="60">
        <v>0</v>
      </c>
      <c r="P29" s="60">
        <v>0.95</v>
      </c>
      <c r="Q29" s="60">
        <v>33.229999999999997</v>
      </c>
      <c r="R29" s="198"/>
      <c r="S29" s="198"/>
      <c r="T29" s="198"/>
      <c r="U29" s="198"/>
    </row>
    <row r="30" spans="1:21" s="12" customFormat="1" x14ac:dyDescent="0.25">
      <c r="A30" s="201" t="s">
        <v>751</v>
      </c>
      <c r="B30" s="60">
        <v>52.6</v>
      </c>
      <c r="C30" s="60">
        <v>50.95</v>
      </c>
      <c r="D30" s="60">
        <v>71.040000000000006</v>
      </c>
      <c r="E30" s="60">
        <v>2.6</v>
      </c>
      <c r="F30" s="60">
        <v>3.17</v>
      </c>
      <c r="G30" s="60">
        <v>62.42</v>
      </c>
      <c r="H30" s="60">
        <v>34.590000000000003</v>
      </c>
      <c r="I30" s="60">
        <v>0.66</v>
      </c>
      <c r="J30" s="60">
        <v>0.15</v>
      </c>
      <c r="K30" s="60">
        <v>5.6</v>
      </c>
      <c r="L30" s="60">
        <v>21.28</v>
      </c>
      <c r="M30" s="60">
        <v>73.849999999999994</v>
      </c>
      <c r="N30" s="60">
        <v>5</v>
      </c>
      <c r="O30" s="60">
        <v>0</v>
      </c>
      <c r="P30" s="60">
        <v>1.07</v>
      </c>
      <c r="Q30" s="60">
        <v>32.630000000000003</v>
      </c>
      <c r="R30" s="198"/>
      <c r="S30" s="198"/>
      <c r="T30" s="198"/>
      <c r="U30" s="198"/>
    </row>
    <row r="31" spans="1:21" s="12" customFormat="1" x14ac:dyDescent="0.25">
      <c r="A31" s="201" t="s">
        <v>752</v>
      </c>
      <c r="B31" s="60">
        <v>39.619999999999997</v>
      </c>
      <c r="C31" s="60">
        <v>33.369999999999997</v>
      </c>
      <c r="D31" s="60">
        <v>50.93</v>
      </c>
      <c r="E31" s="60">
        <v>3.02</v>
      </c>
      <c r="F31" s="60">
        <v>2.92</v>
      </c>
      <c r="G31" s="60">
        <v>155.65</v>
      </c>
      <c r="H31" s="60">
        <v>35.54</v>
      </c>
      <c r="I31" s="60">
        <v>0.67</v>
      </c>
      <c r="J31" s="60">
        <v>0.12</v>
      </c>
      <c r="K31" s="60">
        <v>333.25</v>
      </c>
      <c r="L31" s="60">
        <v>21.01</v>
      </c>
      <c r="M31" s="60">
        <v>75.12</v>
      </c>
      <c r="N31" s="60">
        <v>6.1</v>
      </c>
      <c r="O31" s="60">
        <v>0</v>
      </c>
      <c r="P31" s="60">
        <v>1.04</v>
      </c>
      <c r="Q31" s="60">
        <v>35.76</v>
      </c>
      <c r="R31" s="198"/>
      <c r="S31" s="198"/>
      <c r="T31" s="198"/>
      <c r="U31" s="198"/>
    </row>
    <row r="32" spans="1:21" s="12" customFormat="1" x14ac:dyDescent="0.25">
      <c r="A32" s="201" t="s">
        <v>753</v>
      </c>
      <c r="B32" s="60">
        <v>41.65</v>
      </c>
      <c r="C32" s="60">
        <v>37.950000000000003</v>
      </c>
      <c r="D32" s="60">
        <v>55.08</v>
      </c>
      <c r="E32" s="60">
        <v>2.64</v>
      </c>
      <c r="F32" s="60">
        <v>3.06</v>
      </c>
      <c r="G32" s="60">
        <v>155.65</v>
      </c>
      <c r="H32" s="60">
        <v>35.54</v>
      </c>
      <c r="I32" s="60">
        <v>0.69</v>
      </c>
      <c r="J32" s="60">
        <v>0.09</v>
      </c>
      <c r="K32" s="60">
        <v>329.07</v>
      </c>
      <c r="L32" s="60">
        <v>20.9</v>
      </c>
      <c r="M32" s="60">
        <v>75.62</v>
      </c>
      <c r="N32" s="60">
        <v>13.3</v>
      </c>
      <c r="O32" s="60">
        <v>0</v>
      </c>
      <c r="P32" s="60">
        <v>1.05</v>
      </c>
      <c r="Q32" s="60">
        <v>39.17</v>
      </c>
      <c r="R32" s="198"/>
      <c r="S32" s="198"/>
      <c r="T32" s="198"/>
      <c r="U32" s="198"/>
    </row>
    <row r="33" spans="1:21" s="12" customFormat="1" x14ac:dyDescent="0.25">
      <c r="A33" s="201" t="s">
        <v>754</v>
      </c>
      <c r="B33" s="60">
        <v>46.41</v>
      </c>
      <c r="C33" s="60">
        <v>42.16</v>
      </c>
      <c r="D33" s="60">
        <v>61.22</v>
      </c>
      <c r="E33" s="60">
        <v>2.7</v>
      </c>
      <c r="F33" s="60">
        <v>3.13</v>
      </c>
      <c r="G33" s="60">
        <v>155.65</v>
      </c>
      <c r="H33" s="60">
        <v>35.54</v>
      </c>
      <c r="I33" s="60">
        <v>0.73</v>
      </c>
      <c r="J33" s="60">
        <v>0.14000000000000001</v>
      </c>
      <c r="K33" s="60">
        <v>272.97000000000003</v>
      </c>
      <c r="L33" s="60">
        <v>21.65</v>
      </c>
      <c r="M33" s="60">
        <v>71.37</v>
      </c>
      <c r="N33" s="60">
        <v>30.6</v>
      </c>
      <c r="O33" s="60">
        <v>0</v>
      </c>
      <c r="P33" s="60">
        <v>1.07</v>
      </c>
      <c r="Q33" s="60">
        <v>40.72</v>
      </c>
      <c r="R33" s="198"/>
      <c r="S33" s="198"/>
      <c r="T33" s="198"/>
      <c r="U33" s="198"/>
    </row>
    <row r="34" spans="1:21" s="12" customFormat="1" x14ac:dyDescent="0.25">
      <c r="A34" s="201" t="s">
        <v>755</v>
      </c>
      <c r="B34" s="60">
        <v>52.55</v>
      </c>
      <c r="C34" s="60">
        <v>46.12</v>
      </c>
      <c r="D34" s="60">
        <v>68.34</v>
      </c>
      <c r="E34" s="60">
        <v>2.82</v>
      </c>
      <c r="F34" s="60">
        <v>3.18</v>
      </c>
      <c r="G34" s="60">
        <v>154.62</v>
      </c>
      <c r="H34" s="60">
        <v>35.520000000000003</v>
      </c>
      <c r="I34" s="60">
        <v>0.78</v>
      </c>
      <c r="J34" s="60">
        <v>0.13</v>
      </c>
      <c r="K34" s="60">
        <v>120.49</v>
      </c>
      <c r="L34" s="60">
        <v>22.01</v>
      </c>
      <c r="M34" s="60">
        <v>68.45</v>
      </c>
      <c r="N34" s="60">
        <v>57.3</v>
      </c>
      <c r="O34" s="60">
        <v>0</v>
      </c>
      <c r="P34" s="60">
        <v>1.1100000000000001</v>
      </c>
      <c r="Q34" s="60">
        <v>41.63</v>
      </c>
      <c r="R34" s="198"/>
      <c r="S34" s="198"/>
      <c r="T34" s="198"/>
      <c r="U34" s="198"/>
    </row>
    <row r="35" spans="1:21" s="12" customFormat="1" x14ac:dyDescent="0.25">
      <c r="A35" s="201" t="s">
        <v>756</v>
      </c>
      <c r="B35" s="60">
        <v>58.27</v>
      </c>
      <c r="C35" s="60">
        <v>50.36</v>
      </c>
      <c r="D35" s="60">
        <v>75.260000000000005</v>
      </c>
      <c r="E35" s="60">
        <v>2.71</v>
      </c>
      <c r="F35" s="60">
        <v>3.06</v>
      </c>
      <c r="G35" s="60">
        <v>132.29</v>
      </c>
      <c r="H35" s="60">
        <v>35.19</v>
      </c>
      <c r="I35" s="60">
        <v>0.76</v>
      </c>
      <c r="J35" s="60">
        <v>0.02</v>
      </c>
      <c r="K35" s="60">
        <v>93.7</v>
      </c>
      <c r="L35" s="60">
        <v>23.33</v>
      </c>
      <c r="M35" s="60">
        <v>62.23</v>
      </c>
      <c r="N35" s="60">
        <v>89.2</v>
      </c>
      <c r="O35" s="60">
        <v>0</v>
      </c>
      <c r="P35" s="60">
        <v>1.1200000000000001</v>
      </c>
      <c r="Q35" s="60">
        <v>42.38</v>
      </c>
      <c r="R35" s="198"/>
      <c r="S35" s="198"/>
      <c r="T35" s="198"/>
      <c r="U35" s="198"/>
    </row>
    <row r="36" spans="1:21" s="12" customFormat="1" x14ac:dyDescent="0.25">
      <c r="A36" s="201" t="s">
        <v>757</v>
      </c>
      <c r="B36" s="60">
        <v>62.24</v>
      </c>
      <c r="C36" s="60">
        <v>53.86</v>
      </c>
      <c r="D36" s="60">
        <v>80.37</v>
      </c>
      <c r="E36" s="60">
        <v>3.12</v>
      </c>
      <c r="F36" s="60">
        <v>3.06</v>
      </c>
      <c r="G36" s="60">
        <v>132.29</v>
      </c>
      <c r="H36" s="60">
        <v>35.19</v>
      </c>
      <c r="I36" s="60">
        <v>0.72</v>
      </c>
      <c r="J36" s="60">
        <v>0.05</v>
      </c>
      <c r="K36" s="60">
        <v>295.91000000000003</v>
      </c>
      <c r="L36" s="60">
        <v>24.94</v>
      </c>
      <c r="M36" s="60">
        <v>58.61</v>
      </c>
      <c r="N36" s="60">
        <v>141.9</v>
      </c>
      <c r="O36" s="60">
        <v>0</v>
      </c>
      <c r="P36" s="60">
        <v>1.17</v>
      </c>
      <c r="Q36" s="60">
        <v>42.52</v>
      </c>
      <c r="R36" s="198"/>
      <c r="S36" s="198"/>
      <c r="T36" s="198"/>
      <c r="U36" s="198"/>
    </row>
    <row r="37" spans="1:21" s="12" customFormat="1" x14ac:dyDescent="0.25">
      <c r="A37" s="201" t="s">
        <v>758</v>
      </c>
      <c r="B37" s="60">
        <v>64.430000000000007</v>
      </c>
      <c r="C37" s="60">
        <v>56.85</v>
      </c>
      <c r="D37" s="60">
        <v>83.79</v>
      </c>
      <c r="E37" s="60">
        <v>2.86</v>
      </c>
      <c r="F37" s="60">
        <v>2.85</v>
      </c>
      <c r="G37" s="60">
        <v>132.29</v>
      </c>
      <c r="H37" s="60">
        <v>35.19</v>
      </c>
      <c r="I37" s="60">
        <v>0.71</v>
      </c>
      <c r="J37" s="60">
        <v>0.26</v>
      </c>
      <c r="K37" s="60">
        <v>216.89</v>
      </c>
      <c r="L37" s="60">
        <v>24.55</v>
      </c>
      <c r="M37" s="60">
        <v>56.86</v>
      </c>
      <c r="N37" s="60">
        <v>67.400000000000006</v>
      </c>
      <c r="O37" s="60">
        <v>0</v>
      </c>
      <c r="P37" s="60">
        <v>1.1299999999999999</v>
      </c>
      <c r="Q37" s="60">
        <v>42.52</v>
      </c>
      <c r="R37" s="198"/>
      <c r="S37" s="198"/>
      <c r="T37" s="198"/>
      <c r="U37" s="198"/>
    </row>
    <row r="38" spans="1:21" s="12" customFormat="1" x14ac:dyDescent="0.25">
      <c r="A38" s="201" t="s">
        <v>759</v>
      </c>
      <c r="B38" s="60">
        <v>49.18</v>
      </c>
      <c r="C38" s="60">
        <v>53.73</v>
      </c>
      <c r="D38" s="60">
        <v>69.83</v>
      </c>
      <c r="E38" s="60">
        <v>2.52</v>
      </c>
      <c r="F38" s="60">
        <v>4.8899999999999997</v>
      </c>
      <c r="G38" s="60">
        <v>129.66</v>
      </c>
      <c r="H38" s="60">
        <v>35.26</v>
      </c>
      <c r="I38" s="60">
        <v>0.72</v>
      </c>
      <c r="J38" s="60">
        <v>0.25</v>
      </c>
      <c r="K38" s="60">
        <v>215.46</v>
      </c>
      <c r="L38" s="60">
        <v>23.87</v>
      </c>
      <c r="M38" s="60">
        <v>59.49</v>
      </c>
      <c r="N38" s="60">
        <v>78</v>
      </c>
      <c r="O38" s="60">
        <v>0</v>
      </c>
      <c r="P38" s="60">
        <v>1.0900000000000001</v>
      </c>
      <c r="Q38" s="60">
        <v>42.51</v>
      </c>
      <c r="R38" s="198"/>
      <c r="S38" s="198"/>
      <c r="T38" s="198"/>
      <c r="U38" s="198"/>
    </row>
    <row r="39" spans="1:21" s="12" customFormat="1" x14ac:dyDescent="0.25">
      <c r="A39" s="201" t="s">
        <v>760</v>
      </c>
      <c r="B39" s="60">
        <v>53.07</v>
      </c>
      <c r="C39" s="60">
        <v>33.92</v>
      </c>
      <c r="D39" s="60">
        <v>62.02</v>
      </c>
      <c r="E39" s="60">
        <v>2.89</v>
      </c>
      <c r="F39" s="60">
        <v>5.12</v>
      </c>
      <c r="G39" s="60">
        <v>85.02</v>
      </c>
      <c r="H39" s="60">
        <v>36.4</v>
      </c>
      <c r="I39" s="60">
        <v>0.71</v>
      </c>
      <c r="J39" s="60">
        <v>0.51</v>
      </c>
      <c r="K39" s="60">
        <v>244.88</v>
      </c>
      <c r="L39" s="60">
        <v>23.69</v>
      </c>
      <c r="M39" s="60">
        <v>60.41</v>
      </c>
      <c r="N39" s="60">
        <v>173.3</v>
      </c>
      <c r="O39" s="60">
        <v>0</v>
      </c>
      <c r="P39" s="60">
        <v>1.1100000000000001</v>
      </c>
      <c r="Q39" s="60">
        <v>40.89</v>
      </c>
      <c r="R39" s="198"/>
      <c r="S39" s="198"/>
      <c r="T39" s="198"/>
      <c r="U39" s="198"/>
    </row>
    <row r="40" spans="1:21" s="12" customFormat="1" x14ac:dyDescent="0.25">
      <c r="A40" s="201" t="s">
        <v>761</v>
      </c>
      <c r="B40" s="60">
        <v>52.13</v>
      </c>
      <c r="C40" s="60">
        <v>48.87</v>
      </c>
      <c r="D40" s="60">
        <v>69.52</v>
      </c>
      <c r="E40" s="60">
        <v>1.68</v>
      </c>
      <c r="F40" s="60">
        <v>3.38</v>
      </c>
      <c r="G40" s="60">
        <v>85.02</v>
      </c>
      <c r="H40" s="60">
        <v>36.4</v>
      </c>
      <c r="I40" s="60">
        <v>0.68</v>
      </c>
      <c r="J40" s="60">
        <v>0.2</v>
      </c>
      <c r="K40" s="60">
        <v>318.85000000000002</v>
      </c>
      <c r="L40" s="60">
        <v>24.11</v>
      </c>
      <c r="M40" s="60">
        <v>60.96</v>
      </c>
      <c r="N40" s="60">
        <v>243.8</v>
      </c>
      <c r="O40" s="60">
        <v>0</v>
      </c>
      <c r="P40" s="60">
        <v>1.1200000000000001</v>
      </c>
      <c r="Q40" s="60">
        <v>34.25</v>
      </c>
      <c r="R40" s="198"/>
      <c r="S40" s="198"/>
      <c r="T40" s="198"/>
      <c r="U40" s="198"/>
    </row>
    <row r="41" spans="1:21" s="12" customFormat="1" x14ac:dyDescent="0.25">
      <c r="A41" s="201" t="s">
        <v>762</v>
      </c>
      <c r="B41" s="60">
        <v>49.58</v>
      </c>
      <c r="C41" s="60">
        <v>43.34</v>
      </c>
      <c r="D41" s="60">
        <v>64.42</v>
      </c>
      <c r="E41" s="60">
        <v>2.48</v>
      </c>
      <c r="F41" s="60">
        <v>3.12</v>
      </c>
      <c r="G41" s="60">
        <v>85.02</v>
      </c>
      <c r="H41" s="60">
        <v>36.4</v>
      </c>
      <c r="I41" s="60">
        <v>0.67</v>
      </c>
      <c r="J41" s="60">
        <v>0.96</v>
      </c>
      <c r="K41" s="60">
        <v>359.07</v>
      </c>
      <c r="L41" s="60">
        <v>25.93</v>
      </c>
      <c r="M41" s="60">
        <v>53.54</v>
      </c>
      <c r="N41" s="60">
        <v>189.7</v>
      </c>
      <c r="O41" s="60">
        <v>0</v>
      </c>
      <c r="P41" s="60">
        <v>1.1000000000000001</v>
      </c>
      <c r="Q41" s="60">
        <v>36.25</v>
      </c>
      <c r="R41" s="198"/>
      <c r="S41" s="198"/>
      <c r="T41" s="198"/>
      <c r="U41" s="198"/>
    </row>
    <row r="42" spans="1:21" s="12" customFormat="1" x14ac:dyDescent="0.25">
      <c r="A42" s="201" t="s">
        <v>763</v>
      </c>
      <c r="B42" s="60">
        <v>47.93</v>
      </c>
      <c r="C42" s="60">
        <v>58.55</v>
      </c>
      <c r="D42" s="60">
        <v>71.489999999999995</v>
      </c>
      <c r="E42" s="60">
        <v>4.13</v>
      </c>
      <c r="F42" s="60">
        <v>3.88</v>
      </c>
      <c r="G42" s="60">
        <v>80.290000000000006</v>
      </c>
      <c r="H42" s="60">
        <v>36.21</v>
      </c>
      <c r="I42" s="60">
        <v>0.69</v>
      </c>
      <c r="J42" s="60">
        <v>0.84</v>
      </c>
      <c r="K42" s="60">
        <v>23.92</v>
      </c>
      <c r="L42" s="60">
        <v>26.12</v>
      </c>
      <c r="M42" s="60">
        <v>46.92</v>
      </c>
      <c r="N42" s="60">
        <v>224.5</v>
      </c>
      <c r="O42" s="60">
        <v>0</v>
      </c>
      <c r="P42" s="60">
        <v>1.18</v>
      </c>
      <c r="Q42" s="60">
        <v>32.659999999999997</v>
      </c>
      <c r="R42" s="198"/>
      <c r="S42" s="198"/>
      <c r="T42" s="198"/>
      <c r="U42" s="198"/>
    </row>
    <row r="43" spans="1:21" s="12" customFormat="1" x14ac:dyDescent="0.25">
      <c r="A43" s="201" t="s">
        <v>764</v>
      </c>
      <c r="B43" s="60">
        <v>46.1</v>
      </c>
      <c r="C43" s="60">
        <v>55.85</v>
      </c>
      <c r="D43" s="60">
        <v>68.53</v>
      </c>
      <c r="E43" s="60">
        <v>5.91</v>
      </c>
      <c r="F43" s="60">
        <v>4.42</v>
      </c>
      <c r="G43" s="211" t="s">
        <v>43</v>
      </c>
      <c r="H43" s="60">
        <v>33.049999999999997</v>
      </c>
      <c r="I43" s="60">
        <v>0.67</v>
      </c>
      <c r="J43" s="60">
        <v>0.74</v>
      </c>
      <c r="K43" s="60">
        <v>12.44</v>
      </c>
      <c r="L43" s="60">
        <v>27.87</v>
      </c>
      <c r="M43" s="60">
        <v>41.51</v>
      </c>
      <c r="N43" s="60">
        <v>416.4</v>
      </c>
      <c r="O43" s="60">
        <v>0</v>
      </c>
      <c r="P43" s="60">
        <v>1.18</v>
      </c>
      <c r="Q43" s="60">
        <v>33.450000000000003</v>
      </c>
      <c r="R43" s="198"/>
      <c r="S43" s="198"/>
      <c r="T43" s="198"/>
      <c r="U43" s="198"/>
    </row>
    <row r="44" spans="1:21" s="12" customFormat="1" x14ac:dyDescent="0.25">
      <c r="A44" s="201" t="s">
        <v>765</v>
      </c>
      <c r="B44" s="60">
        <v>44.57</v>
      </c>
      <c r="C44" s="60">
        <v>46.29</v>
      </c>
      <c r="D44" s="60">
        <v>62.03</v>
      </c>
      <c r="E44" s="60">
        <v>5.98</v>
      </c>
      <c r="F44" s="60">
        <v>4.82</v>
      </c>
      <c r="G44" s="211" t="s">
        <v>43</v>
      </c>
      <c r="H44" s="60">
        <v>33.049999999999997</v>
      </c>
      <c r="I44" s="60">
        <v>0.66</v>
      </c>
      <c r="J44" s="60">
        <v>1</v>
      </c>
      <c r="K44" s="60">
        <v>23.45</v>
      </c>
      <c r="L44" s="60">
        <v>29.55</v>
      </c>
      <c r="M44" s="60">
        <v>37.21</v>
      </c>
      <c r="N44" s="60">
        <v>373.9</v>
      </c>
      <c r="O44" s="60">
        <v>0</v>
      </c>
      <c r="P44" s="60">
        <v>1.1599999999999999</v>
      </c>
      <c r="Q44" s="60">
        <v>36.450000000000003</v>
      </c>
      <c r="R44" s="198"/>
      <c r="S44" s="198"/>
      <c r="T44" s="198"/>
      <c r="U44" s="198"/>
    </row>
    <row r="45" spans="1:21" s="12" customFormat="1" x14ac:dyDescent="0.25">
      <c r="A45" s="201" t="s">
        <v>766</v>
      </c>
      <c r="B45" s="60">
        <v>45.99</v>
      </c>
      <c r="C45" s="60">
        <v>62.33</v>
      </c>
      <c r="D45" s="60">
        <v>72.02</v>
      </c>
      <c r="E45" s="60">
        <v>6.88</v>
      </c>
      <c r="F45" s="60">
        <v>6.62</v>
      </c>
      <c r="G45" s="211" t="s">
        <v>43</v>
      </c>
      <c r="H45" s="60">
        <v>33.049999999999997</v>
      </c>
      <c r="I45" s="60">
        <v>0.66</v>
      </c>
      <c r="J45" s="60">
        <v>0.84</v>
      </c>
      <c r="K45" s="60">
        <v>23.39</v>
      </c>
      <c r="L45" s="60">
        <v>30.53</v>
      </c>
      <c r="M45" s="60">
        <v>34.21</v>
      </c>
      <c r="N45" s="60">
        <v>526.4</v>
      </c>
      <c r="O45" s="60">
        <v>0</v>
      </c>
      <c r="P45" s="60">
        <v>1.18</v>
      </c>
      <c r="Q45" s="60">
        <v>31.51</v>
      </c>
      <c r="R45" s="198"/>
      <c r="S45" s="198"/>
      <c r="T45" s="198"/>
      <c r="U45" s="198"/>
    </row>
    <row r="46" spans="1:21" s="12" customFormat="1" x14ac:dyDescent="0.25">
      <c r="A46" s="201" t="s">
        <v>767</v>
      </c>
      <c r="B46" s="60">
        <v>42.63</v>
      </c>
      <c r="C46" s="60">
        <v>69.34</v>
      </c>
      <c r="D46" s="60">
        <v>73.19</v>
      </c>
      <c r="E46" s="60">
        <v>4.18</v>
      </c>
      <c r="F46" s="60">
        <v>4.1399999999999997</v>
      </c>
      <c r="G46" s="60">
        <v>5.96</v>
      </c>
      <c r="H46" s="60">
        <v>33.4</v>
      </c>
      <c r="I46" s="60">
        <v>0.65</v>
      </c>
      <c r="J46" s="60">
        <v>0.47</v>
      </c>
      <c r="K46" s="60">
        <v>28.49</v>
      </c>
      <c r="L46" s="60">
        <v>31.08</v>
      </c>
      <c r="M46" s="60">
        <v>32.979999999999997</v>
      </c>
      <c r="N46" s="60">
        <v>454.7</v>
      </c>
      <c r="O46" s="60">
        <v>0</v>
      </c>
      <c r="P46" s="60">
        <v>1.18</v>
      </c>
      <c r="Q46" s="60">
        <v>37.93</v>
      </c>
      <c r="R46" s="198"/>
      <c r="S46" s="198"/>
      <c r="T46" s="198"/>
      <c r="U46" s="198"/>
    </row>
    <row r="47" spans="1:21" s="12" customFormat="1" x14ac:dyDescent="0.25">
      <c r="A47" s="201" t="s">
        <v>768</v>
      </c>
      <c r="B47" s="60">
        <v>37.82</v>
      </c>
      <c r="C47" s="60">
        <v>67.69</v>
      </c>
      <c r="D47" s="60">
        <v>68.42</v>
      </c>
      <c r="E47" s="60">
        <v>3.57</v>
      </c>
      <c r="F47" s="60">
        <v>3.85</v>
      </c>
      <c r="G47" s="60">
        <v>107.26</v>
      </c>
      <c r="H47" s="60">
        <v>39.380000000000003</v>
      </c>
      <c r="I47" s="60">
        <v>0.66</v>
      </c>
      <c r="J47" s="60">
        <v>0.24</v>
      </c>
      <c r="K47" s="60">
        <v>31.37</v>
      </c>
      <c r="L47" s="60">
        <v>30.11</v>
      </c>
      <c r="M47" s="60">
        <v>34.74</v>
      </c>
      <c r="N47" s="60">
        <v>342</v>
      </c>
      <c r="O47" s="60">
        <v>0</v>
      </c>
      <c r="P47" s="60">
        <v>1.18</v>
      </c>
      <c r="Q47" s="60">
        <v>39.590000000000003</v>
      </c>
      <c r="R47" s="198"/>
      <c r="S47" s="198"/>
      <c r="T47" s="198"/>
      <c r="U47" s="198"/>
    </row>
    <row r="48" spans="1:21" s="12" customFormat="1" x14ac:dyDescent="0.25">
      <c r="A48" s="201" t="s">
        <v>769</v>
      </c>
      <c r="B48" s="60">
        <v>32.340000000000003</v>
      </c>
      <c r="C48" s="60">
        <v>69.88</v>
      </c>
      <c r="D48" s="60">
        <v>65.239999999999995</v>
      </c>
      <c r="E48" s="60">
        <v>3.74</v>
      </c>
      <c r="F48" s="60">
        <v>3.94</v>
      </c>
      <c r="G48" s="60">
        <v>107.26</v>
      </c>
      <c r="H48" s="60">
        <v>39.380000000000003</v>
      </c>
      <c r="I48" s="60">
        <v>0.66</v>
      </c>
      <c r="J48" s="60">
        <v>0.15</v>
      </c>
      <c r="K48" s="60">
        <v>20.29</v>
      </c>
      <c r="L48" s="60">
        <v>30.65</v>
      </c>
      <c r="M48" s="60">
        <v>34.25</v>
      </c>
      <c r="N48" s="60">
        <v>296.5</v>
      </c>
      <c r="O48" s="60">
        <v>0</v>
      </c>
      <c r="P48" s="60">
        <v>1.19</v>
      </c>
      <c r="Q48" s="60">
        <v>40.17</v>
      </c>
      <c r="R48" s="198"/>
      <c r="S48" s="198"/>
      <c r="T48" s="198"/>
      <c r="U48" s="198"/>
    </row>
    <row r="49" spans="1:21" s="12" customFormat="1" x14ac:dyDescent="0.25">
      <c r="A49" s="201" t="s">
        <v>770</v>
      </c>
      <c r="B49" s="60">
        <v>28.26</v>
      </c>
      <c r="C49" s="60">
        <v>72.209999999999994</v>
      </c>
      <c r="D49" s="60">
        <v>63.26</v>
      </c>
      <c r="E49" s="60">
        <v>3.14</v>
      </c>
      <c r="F49" s="60">
        <v>3.51</v>
      </c>
      <c r="G49" s="60">
        <v>107.26</v>
      </c>
      <c r="H49" s="60">
        <v>39.380000000000003</v>
      </c>
      <c r="I49" s="60">
        <v>0.65</v>
      </c>
      <c r="J49" s="60">
        <v>0.18</v>
      </c>
      <c r="K49" s="60">
        <v>2.62</v>
      </c>
      <c r="L49" s="60">
        <v>30.06</v>
      </c>
      <c r="M49" s="60">
        <v>36.64</v>
      </c>
      <c r="N49" s="60">
        <v>278</v>
      </c>
      <c r="O49" s="60">
        <v>0</v>
      </c>
      <c r="P49" s="60">
        <v>1.22</v>
      </c>
      <c r="Q49" s="60">
        <v>40.200000000000003</v>
      </c>
      <c r="R49" s="198"/>
      <c r="S49" s="198"/>
      <c r="T49" s="198"/>
      <c r="U49" s="198"/>
    </row>
    <row r="50" spans="1:21" s="12" customFormat="1" x14ac:dyDescent="0.25">
      <c r="A50" s="201" t="s">
        <v>771</v>
      </c>
      <c r="B50" s="60">
        <v>23.87</v>
      </c>
      <c r="C50" s="60">
        <v>74.540000000000006</v>
      </c>
      <c r="D50" s="60">
        <v>61.02</v>
      </c>
      <c r="E50" s="60">
        <v>2.92</v>
      </c>
      <c r="F50" s="60">
        <v>3.32</v>
      </c>
      <c r="G50" s="60">
        <v>113.64</v>
      </c>
      <c r="H50" s="60">
        <v>39.450000000000003</v>
      </c>
      <c r="I50" s="60">
        <v>0.64</v>
      </c>
      <c r="J50" s="60">
        <v>0.11</v>
      </c>
      <c r="K50" s="60">
        <v>336.28</v>
      </c>
      <c r="L50" s="60">
        <v>29.64</v>
      </c>
      <c r="M50" s="60">
        <v>36.1</v>
      </c>
      <c r="N50" s="60">
        <v>502.5</v>
      </c>
      <c r="O50" s="60">
        <v>0</v>
      </c>
      <c r="P50" s="60">
        <v>1.19</v>
      </c>
      <c r="Q50" s="60">
        <v>39.340000000000003</v>
      </c>
      <c r="R50" s="198"/>
      <c r="S50" s="198"/>
      <c r="T50" s="198"/>
      <c r="U50" s="198"/>
    </row>
    <row r="51" spans="1:21" s="12" customFormat="1" x14ac:dyDescent="0.25">
      <c r="A51" s="201" t="s">
        <v>772</v>
      </c>
      <c r="B51" s="60">
        <v>19.64</v>
      </c>
      <c r="C51" s="60">
        <v>75.87</v>
      </c>
      <c r="D51" s="60">
        <v>58.36</v>
      </c>
      <c r="E51" s="60">
        <v>2.4300000000000002</v>
      </c>
      <c r="F51" s="60">
        <v>3.76</v>
      </c>
      <c r="G51" s="60">
        <v>222.01</v>
      </c>
      <c r="H51" s="60">
        <v>40.65</v>
      </c>
      <c r="I51" s="60">
        <v>0.64</v>
      </c>
      <c r="J51" s="60">
        <v>0.1</v>
      </c>
      <c r="K51" s="60">
        <v>251.95</v>
      </c>
      <c r="L51" s="60">
        <v>30.69</v>
      </c>
      <c r="M51" s="60">
        <v>33.799999999999997</v>
      </c>
      <c r="N51" s="60">
        <v>668.6</v>
      </c>
      <c r="O51" s="60">
        <v>0</v>
      </c>
      <c r="P51" s="60">
        <v>1.17</v>
      </c>
      <c r="Q51" s="60">
        <v>38.44</v>
      </c>
      <c r="R51" s="198"/>
      <c r="S51" s="198"/>
      <c r="T51" s="198"/>
      <c r="U51" s="198"/>
    </row>
    <row r="52" spans="1:21" s="12" customFormat="1" x14ac:dyDescent="0.25">
      <c r="A52" s="201" t="s">
        <v>773</v>
      </c>
      <c r="B52" s="60">
        <v>13.89</v>
      </c>
      <c r="C52" s="60">
        <v>70.52</v>
      </c>
      <c r="D52" s="60">
        <v>50.8</v>
      </c>
      <c r="E52" s="60">
        <v>3.47</v>
      </c>
      <c r="F52" s="60">
        <v>12.59</v>
      </c>
      <c r="G52" s="60">
        <v>222.01</v>
      </c>
      <c r="H52" s="60">
        <v>40.65</v>
      </c>
      <c r="I52" s="60">
        <v>0.63</v>
      </c>
      <c r="J52" s="60">
        <v>7.0000000000000007E-2</v>
      </c>
      <c r="K52" s="60">
        <v>212.76</v>
      </c>
      <c r="L52" s="60">
        <v>31.2</v>
      </c>
      <c r="M52" s="60">
        <v>32.6</v>
      </c>
      <c r="N52" s="60">
        <v>383.4</v>
      </c>
      <c r="O52" s="60">
        <v>0</v>
      </c>
      <c r="P52" s="60">
        <v>1.07</v>
      </c>
      <c r="Q52" s="60">
        <v>37.630000000000003</v>
      </c>
      <c r="R52" s="198"/>
      <c r="S52" s="198"/>
      <c r="T52" s="198"/>
      <c r="U52" s="198"/>
    </row>
    <row r="53" spans="1:21" s="12" customFormat="1" x14ac:dyDescent="0.25">
      <c r="A53" s="201" t="s">
        <v>774</v>
      </c>
      <c r="B53" s="60">
        <v>12.15</v>
      </c>
      <c r="C53" s="60">
        <v>52.93</v>
      </c>
      <c r="D53" s="60">
        <v>39.700000000000003</v>
      </c>
      <c r="E53" s="60">
        <v>8.15</v>
      </c>
      <c r="F53" s="60">
        <v>20.6</v>
      </c>
      <c r="G53" s="60">
        <v>222.01</v>
      </c>
      <c r="H53" s="60">
        <v>40.65</v>
      </c>
      <c r="I53" s="60">
        <v>0.61</v>
      </c>
      <c r="J53" s="60">
        <v>0.38</v>
      </c>
      <c r="K53" s="60">
        <v>25.62</v>
      </c>
      <c r="L53" s="60">
        <v>31.9</v>
      </c>
      <c r="M53" s="60">
        <v>31.7</v>
      </c>
      <c r="N53" s="60">
        <v>752.9</v>
      </c>
      <c r="O53" s="60">
        <v>0</v>
      </c>
      <c r="P53" s="60">
        <v>1.03</v>
      </c>
      <c r="Q53" s="60">
        <v>37.18</v>
      </c>
      <c r="R53" s="198"/>
      <c r="S53" s="198"/>
      <c r="T53" s="198"/>
      <c r="U53" s="198"/>
    </row>
    <row r="54" spans="1:21" s="12" customFormat="1" x14ac:dyDescent="0.25">
      <c r="A54" s="201" t="s">
        <v>775</v>
      </c>
      <c r="B54" s="60">
        <v>11.37</v>
      </c>
      <c r="C54" s="60">
        <v>58.78</v>
      </c>
      <c r="D54" s="60">
        <v>42.3</v>
      </c>
      <c r="E54" s="60">
        <v>8.83</v>
      </c>
      <c r="F54" s="60">
        <v>21.34</v>
      </c>
      <c r="G54" s="60">
        <v>212.94</v>
      </c>
      <c r="H54" s="60">
        <v>40.479999999999997</v>
      </c>
      <c r="I54" s="60">
        <v>0.57999999999999996</v>
      </c>
      <c r="J54" s="60">
        <v>0.28999999999999998</v>
      </c>
      <c r="K54" s="60">
        <v>37.409999999999997</v>
      </c>
      <c r="L54" s="60">
        <v>33.619999999999997</v>
      </c>
      <c r="M54" s="60">
        <v>28.44</v>
      </c>
      <c r="N54" s="60">
        <v>684.4</v>
      </c>
      <c r="O54" s="60">
        <v>0</v>
      </c>
      <c r="P54" s="60">
        <v>1.07</v>
      </c>
      <c r="Q54" s="60">
        <v>33.799999999999997</v>
      </c>
      <c r="R54" s="198"/>
      <c r="S54" s="198"/>
      <c r="T54" s="198"/>
      <c r="U54" s="198"/>
    </row>
    <row r="55" spans="1:21" s="12" customFormat="1" x14ac:dyDescent="0.25">
      <c r="A55" s="201" t="s">
        <v>776</v>
      </c>
      <c r="B55" s="60">
        <v>10.43</v>
      </c>
      <c r="C55" s="60">
        <v>54.33</v>
      </c>
      <c r="D55" s="60">
        <v>39.08</v>
      </c>
      <c r="E55" s="60">
        <v>11.62</v>
      </c>
      <c r="F55" s="60">
        <v>20.58</v>
      </c>
      <c r="G55" s="60">
        <v>58.72</v>
      </c>
      <c r="H55" s="60">
        <v>36.72</v>
      </c>
      <c r="I55" s="60">
        <v>0.56000000000000005</v>
      </c>
      <c r="J55" s="60">
        <v>0.88</v>
      </c>
      <c r="K55" s="60">
        <v>29.45</v>
      </c>
      <c r="L55" s="60">
        <v>33.619999999999997</v>
      </c>
      <c r="M55" s="60">
        <v>28.53</v>
      </c>
      <c r="N55" s="60">
        <v>412.8</v>
      </c>
      <c r="O55" s="60">
        <v>0</v>
      </c>
      <c r="P55" s="60">
        <v>1.06</v>
      </c>
      <c r="Q55" s="60">
        <v>33.99</v>
      </c>
      <c r="R55" s="198"/>
      <c r="S55" s="198"/>
      <c r="T55" s="198"/>
      <c r="U55" s="198"/>
    </row>
    <row r="56" spans="1:21" s="12" customFormat="1" x14ac:dyDescent="0.25">
      <c r="A56" s="201" t="s">
        <v>777</v>
      </c>
      <c r="B56" s="60">
        <v>11.45</v>
      </c>
      <c r="C56" s="60">
        <v>52.97</v>
      </c>
      <c r="D56" s="60">
        <v>39.15</v>
      </c>
      <c r="E56" s="60">
        <v>5.28</v>
      </c>
      <c r="F56" s="60">
        <v>13.24</v>
      </c>
      <c r="G56" s="60">
        <v>58.72</v>
      </c>
      <c r="H56" s="60">
        <v>36.72</v>
      </c>
      <c r="I56" s="60">
        <v>0.57999999999999996</v>
      </c>
      <c r="J56" s="60">
        <v>1.46</v>
      </c>
      <c r="K56" s="60">
        <v>29.33</v>
      </c>
      <c r="L56" s="60">
        <v>34.049999999999997</v>
      </c>
      <c r="M56" s="60">
        <v>29.37</v>
      </c>
      <c r="N56" s="60">
        <v>711.5</v>
      </c>
      <c r="O56" s="60">
        <v>0</v>
      </c>
      <c r="P56" s="60">
        <v>1.1000000000000001</v>
      </c>
      <c r="Q56" s="60">
        <v>33.54</v>
      </c>
      <c r="R56" s="198"/>
      <c r="S56" s="198"/>
      <c r="T56" s="198"/>
      <c r="U56" s="198"/>
    </row>
    <row r="57" spans="1:21" s="12" customFormat="1" x14ac:dyDescent="0.25">
      <c r="A57" s="201" t="s">
        <v>778</v>
      </c>
      <c r="B57" s="60">
        <v>12.29</v>
      </c>
      <c r="C57" s="60">
        <v>67.790000000000006</v>
      </c>
      <c r="D57" s="60">
        <v>48.01</v>
      </c>
      <c r="E57" s="60">
        <v>8.18</v>
      </c>
      <c r="F57" s="60">
        <v>12.49</v>
      </c>
      <c r="G57" s="60">
        <v>58.72</v>
      </c>
      <c r="H57" s="60">
        <v>36.72</v>
      </c>
      <c r="I57" s="60">
        <v>0.57999999999999996</v>
      </c>
      <c r="J57" s="60">
        <v>1.1499999999999999</v>
      </c>
      <c r="K57" s="60">
        <v>22.03</v>
      </c>
      <c r="L57" s="60">
        <v>34.590000000000003</v>
      </c>
      <c r="M57" s="60">
        <v>29.2</v>
      </c>
      <c r="N57" s="60">
        <v>403.5</v>
      </c>
      <c r="O57" s="60">
        <v>0</v>
      </c>
      <c r="P57" s="60">
        <v>1.1200000000000001</v>
      </c>
      <c r="Q57" s="60">
        <v>31.11</v>
      </c>
      <c r="R57" s="198"/>
      <c r="S57" s="198"/>
      <c r="T57" s="198"/>
      <c r="U57" s="198"/>
    </row>
    <row r="58" spans="1:21" s="12" customFormat="1" x14ac:dyDescent="0.25">
      <c r="A58" s="201" t="s">
        <v>779</v>
      </c>
      <c r="B58" s="60">
        <v>14.22</v>
      </c>
      <c r="C58" s="60">
        <v>67.12</v>
      </c>
      <c r="D58" s="60">
        <v>49.18</v>
      </c>
      <c r="E58" s="60">
        <v>14.65</v>
      </c>
      <c r="F58" s="60">
        <v>16.14</v>
      </c>
      <c r="G58" s="60">
        <v>64.95</v>
      </c>
      <c r="H58" s="60">
        <v>36.68</v>
      </c>
      <c r="I58" s="60">
        <v>0.61</v>
      </c>
      <c r="J58" s="60">
        <v>1.1499999999999999</v>
      </c>
      <c r="K58" s="60">
        <v>31.71</v>
      </c>
      <c r="L58" s="60">
        <v>33.4</v>
      </c>
      <c r="M58" s="60">
        <v>30.15</v>
      </c>
      <c r="N58" s="60">
        <v>372.7</v>
      </c>
      <c r="O58" s="60">
        <v>0</v>
      </c>
      <c r="P58" s="60">
        <v>1.1399999999999999</v>
      </c>
      <c r="Q58" s="60">
        <v>33.01</v>
      </c>
      <c r="R58" s="198"/>
      <c r="S58" s="198"/>
      <c r="T58" s="198"/>
      <c r="U58" s="198"/>
    </row>
    <row r="59" spans="1:21" s="12" customFormat="1" x14ac:dyDescent="0.25">
      <c r="A59" s="201" t="s">
        <v>780</v>
      </c>
      <c r="B59" s="60">
        <v>11.34</v>
      </c>
      <c r="C59" s="60">
        <v>60.81</v>
      </c>
      <c r="D59" s="60">
        <v>43.4</v>
      </c>
      <c r="E59" s="60">
        <v>11.93</v>
      </c>
      <c r="F59" s="60">
        <v>12.44</v>
      </c>
      <c r="G59" s="60">
        <v>170.9</v>
      </c>
      <c r="H59" s="60">
        <v>36</v>
      </c>
      <c r="I59" s="60">
        <v>0.61</v>
      </c>
      <c r="J59" s="60">
        <v>1.49</v>
      </c>
      <c r="K59" s="60">
        <v>34.950000000000003</v>
      </c>
      <c r="L59" s="60">
        <v>33.619999999999997</v>
      </c>
      <c r="M59" s="60">
        <v>27.36</v>
      </c>
      <c r="N59" s="60">
        <v>637.9</v>
      </c>
      <c r="O59" s="60">
        <v>0</v>
      </c>
      <c r="P59" s="60">
        <v>1.1200000000000001</v>
      </c>
      <c r="Q59" s="60">
        <v>33.03</v>
      </c>
      <c r="R59" s="198"/>
      <c r="S59" s="198"/>
      <c r="T59" s="198"/>
      <c r="U59" s="198"/>
    </row>
    <row r="60" spans="1:21" s="12" customFormat="1" x14ac:dyDescent="0.25">
      <c r="A60" s="201" t="s">
        <v>781</v>
      </c>
      <c r="B60" s="60">
        <v>11</v>
      </c>
      <c r="C60" s="60">
        <v>75.84</v>
      </c>
      <c r="D60" s="60">
        <v>51.42</v>
      </c>
      <c r="E60" s="60">
        <v>6.55</v>
      </c>
      <c r="F60" s="60">
        <v>8.7899999999999991</v>
      </c>
      <c r="G60" s="60">
        <v>170.9</v>
      </c>
      <c r="H60" s="60">
        <v>36</v>
      </c>
      <c r="I60" s="60">
        <v>0.61</v>
      </c>
      <c r="J60" s="60">
        <v>0.76</v>
      </c>
      <c r="K60" s="60">
        <v>35.78</v>
      </c>
      <c r="L60" s="60">
        <v>33.270000000000003</v>
      </c>
      <c r="M60" s="60">
        <v>26.93</v>
      </c>
      <c r="N60" s="60">
        <v>652.9</v>
      </c>
      <c r="O60" s="60">
        <v>0</v>
      </c>
      <c r="P60" s="60">
        <v>1.1100000000000001</v>
      </c>
      <c r="Q60" s="60">
        <v>33.700000000000003</v>
      </c>
      <c r="R60" s="198"/>
      <c r="S60" s="198"/>
      <c r="T60" s="198"/>
      <c r="U60" s="198"/>
    </row>
    <row r="61" spans="1:21" s="12" customFormat="1" x14ac:dyDescent="0.25">
      <c r="A61" s="201" t="s">
        <v>782</v>
      </c>
      <c r="B61" s="60">
        <v>9.17</v>
      </c>
      <c r="C61" s="60">
        <v>73.12</v>
      </c>
      <c r="D61" s="60">
        <v>48.45</v>
      </c>
      <c r="E61" s="60">
        <v>6.57</v>
      </c>
      <c r="F61" s="60">
        <v>9.0299999999999994</v>
      </c>
      <c r="G61" s="60">
        <v>170.9</v>
      </c>
      <c r="H61" s="60">
        <v>36</v>
      </c>
      <c r="I61" s="60">
        <v>0.64</v>
      </c>
      <c r="J61" s="60">
        <v>0.99</v>
      </c>
      <c r="K61" s="60">
        <v>33</v>
      </c>
      <c r="L61" s="60">
        <v>34.840000000000003</v>
      </c>
      <c r="M61" s="60">
        <v>23.89</v>
      </c>
      <c r="N61" s="60">
        <v>803.6</v>
      </c>
      <c r="O61" s="60">
        <v>0</v>
      </c>
      <c r="P61" s="60">
        <v>1.04</v>
      </c>
      <c r="Q61" s="60">
        <v>37.51</v>
      </c>
      <c r="R61" s="198"/>
      <c r="S61" s="198"/>
      <c r="T61" s="198"/>
      <c r="U61" s="198"/>
    </row>
    <row r="62" spans="1:21" s="12" customFormat="1" x14ac:dyDescent="0.25">
      <c r="A62" s="201" t="s">
        <v>783</v>
      </c>
      <c r="B62" s="60">
        <v>7.96</v>
      </c>
      <c r="C62" s="60">
        <v>74.28</v>
      </c>
      <c r="D62" s="60">
        <v>48.12</v>
      </c>
      <c r="E62" s="60">
        <v>5.82</v>
      </c>
      <c r="F62" s="60">
        <v>8.2899999999999991</v>
      </c>
      <c r="G62" s="60">
        <v>164.79</v>
      </c>
      <c r="H62" s="60">
        <v>35.97</v>
      </c>
      <c r="I62" s="60">
        <v>0.68</v>
      </c>
      <c r="J62" s="60">
        <v>1.21</v>
      </c>
      <c r="K62" s="60">
        <v>22.16</v>
      </c>
      <c r="L62" s="60">
        <v>34.71</v>
      </c>
      <c r="M62" s="60">
        <v>23.64</v>
      </c>
      <c r="N62" s="60">
        <v>289.3</v>
      </c>
      <c r="O62" s="60">
        <v>0</v>
      </c>
      <c r="P62" s="60">
        <v>1.06</v>
      </c>
      <c r="Q62" s="60">
        <v>38.28</v>
      </c>
      <c r="R62" s="198"/>
      <c r="S62" s="198"/>
      <c r="T62" s="198"/>
      <c r="U62" s="198"/>
    </row>
    <row r="63" spans="1:21" s="12" customFormat="1" x14ac:dyDescent="0.25">
      <c r="A63" s="201" t="s">
        <v>784</v>
      </c>
      <c r="B63" s="60">
        <v>7.56</v>
      </c>
      <c r="C63" s="60">
        <v>75.83</v>
      </c>
      <c r="D63" s="60">
        <v>48.65</v>
      </c>
      <c r="E63" s="60">
        <v>6.48</v>
      </c>
      <c r="F63" s="60">
        <v>8.5500000000000007</v>
      </c>
      <c r="G63" s="60">
        <v>60.87</v>
      </c>
      <c r="H63" s="60">
        <v>35.24</v>
      </c>
      <c r="I63" s="60">
        <v>0.69</v>
      </c>
      <c r="J63" s="60">
        <v>0.73</v>
      </c>
      <c r="K63" s="60">
        <v>18.399999999999999</v>
      </c>
      <c r="L63" s="60">
        <v>33.85</v>
      </c>
      <c r="M63" s="60">
        <v>26.59</v>
      </c>
      <c r="N63" s="60">
        <v>363.5</v>
      </c>
      <c r="O63" s="60">
        <v>0</v>
      </c>
      <c r="P63" s="60">
        <v>1.08</v>
      </c>
      <c r="Q63" s="60">
        <v>37.950000000000003</v>
      </c>
      <c r="R63" s="198"/>
      <c r="S63" s="198"/>
      <c r="T63" s="198"/>
      <c r="U63" s="198"/>
    </row>
    <row r="64" spans="1:21" s="12" customFormat="1" x14ac:dyDescent="0.25">
      <c r="A64" s="201" t="s">
        <v>785</v>
      </c>
      <c r="B64" s="60">
        <v>7.51</v>
      </c>
      <c r="C64" s="60">
        <v>75.62</v>
      </c>
      <c r="D64" s="60">
        <v>48.5</v>
      </c>
      <c r="E64" s="60">
        <v>12.01</v>
      </c>
      <c r="F64" s="60">
        <v>9.9</v>
      </c>
      <c r="G64" s="60">
        <v>60.87</v>
      </c>
      <c r="H64" s="60">
        <v>35.24</v>
      </c>
      <c r="I64" s="60">
        <v>0.65</v>
      </c>
      <c r="J64" s="60">
        <v>0.65</v>
      </c>
      <c r="K64" s="60">
        <v>36.44</v>
      </c>
      <c r="L64" s="60">
        <v>32.99</v>
      </c>
      <c r="M64" s="60">
        <v>28.93</v>
      </c>
      <c r="N64" s="60">
        <v>456.9</v>
      </c>
      <c r="O64" s="60">
        <v>0</v>
      </c>
      <c r="P64" s="60">
        <v>1.0900000000000001</v>
      </c>
      <c r="Q64" s="60">
        <v>37.18</v>
      </c>
      <c r="R64" s="198"/>
      <c r="S64" s="198"/>
      <c r="T64" s="198"/>
      <c r="U64" s="198"/>
    </row>
    <row r="65" spans="1:21" s="12" customFormat="1" x14ac:dyDescent="0.25">
      <c r="A65" s="201" t="s">
        <v>786</v>
      </c>
      <c r="B65" s="60">
        <v>10.01</v>
      </c>
      <c r="C65" s="60">
        <v>76.48</v>
      </c>
      <c r="D65" s="60">
        <v>50.97</v>
      </c>
      <c r="E65" s="60">
        <v>10.84</v>
      </c>
      <c r="F65" s="60">
        <v>8.83</v>
      </c>
      <c r="G65" s="60">
        <v>60.87</v>
      </c>
      <c r="H65" s="60">
        <v>35.24</v>
      </c>
      <c r="I65" s="60">
        <v>0.6</v>
      </c>
      <c r="J65" s="60">
        <v>0.72</v>
      </c>
      <c r="K65" s="60">
        <v>31.53</v>
      </c>
      <c r="L65" s="60">
        <v>34.43</v>
      </c>
      <c r="M65" s="60">
        <v>26.72</v>
      </c>
      <c r="N65" s="60">
        <v>598.6</v>
      </c>
      <c r="O65" s="60">
        <v>0</v>
      </c>
      <c r="P65" s="60">
        <v>1.1100000000000001</v>
      </c>
      <c r="Q65" s="60">
        <v>37.08</v>
      </c>
      <c r="R65" s="198"/>
      <c r="S65" s="198"/>
      <c r="T65" s="198"/>
      <c r="U65" s="198"/>
    </row>
    <row r="66" spans="1:21" s="12" customFormat="1" x14ac:dyDescent="0.25">
      <c r="A66" s="201" t="s">
        <v>787</v>
      </c>
      <c r="B66" s="60">
        <v>8.42</v>
      </c>
      <c r="C66" s="60">
        <v>76.61</v>
      </c>
      <c r="D66" s="60">
        <v>49.78</v>
      </c>
      <c r="E66" s="60">
        <v>9.57</v>
      </c>
      <c r="F66" s="60">
        <v>7.45</v>
      </c>
      <c r="G66" s="60">
        <v>63.21</v>
      </c>
      <c r="H66" s="60">
        <v>35.33</v>
      </c>
      <c r="I66" s="60">
        <v>0.59</v>
      </c>
      <c r="J66" s="60">
        <v>1.18</v>
      </c>
      <c r="K66" s="60">
        <v>34.380000000000003</v>
      </c>
      <c r="L66" s="60">
        <v>35.01</v>
      </c>
      <c r="M66" s="60">
        <v>24.02</v>
      </c>
      <c r="N66" s="60">
        <v>631.6</v>
      </c>
      <c r="O66" s="60">
        <v>0</v>
      </c>
      <c r="P66" s="60">
        <v>1.1000000000000001</v>
      </c>
      <c r="Q66" s="60">
        <v>36.6</v>
      </c>
      <c r="R66" s="198"/>
      <c r="S66" s="198"/>
      <c r="T66" s="198"/>
      <c r="U66" s="198"/>
    </row>
    <row r="67" spans="1:21" s="12" customFormat="1" x14ac:dyDescent="0.25">
      <c r="A67" s="201" t="s">
        <v>788</v>
      </c>
      <c r="B67" s="60">
        <v>19.64</v>
      </c>
      <c r="C67" s="60">
        <v>75.069999999999993</v>
      </c>
      <c r="D67" s="60">
        <v>57.92</v>
      </c>
      <c r="E67" s="60">
        <v>17.8</v>
      </c>
      <c r="F67" s="60">
        <v>14.27</v>
      </c>
      <c r="G67" s="60">
        <v>102.91</v>
      </c>
      <c r="H67" s="60">
        <v>37.22</v>
      </c>
      <c r="I67" s="60">
        <v>0.59</v>
      </c>
      <c r="J67" s="60">
        <v>1.01</v>
      </c>
      <c r="K67" s="60">
        <v>18.510000000000002</v>
      </c>
      <c r="L67" s="60">
        <v>35.86</v>
      </c>
      <c r="M67" s="60">
        <v>23.38</v>
      </c>
      <c r="N67" s="60">
        <v>443</v>
      </c>
      <c r="O67" s="60">
        <v>0</v>
      </c>
      <c r="P67" s="60">
        <v>1.1000000000000001</v>
      </c>
      <c r="Q67" s="60">
        <v>34.08</v>
      </c>
      <c r="R67" s="198"/>
      <c r="S67" s="198"/>
      <c r="T67" s="198"/>
      <c r="U67" s="198"/>
    </row>
    <row r="68" spans="1:21" s="12" customFormat="1" x14ac:dyDescent="0.25">
      <c r="A68" s="201" t="s">
        <v>789</v>
      </c>
      <c r="B68" s="60">
        <v>11.01</v>
      </c>
      <c r="C68" s="60">
        <v>65.97</v>
      </c>
      <c r="D68" s="60">
        <v>45.98</v>
      </c>
      <c r="E68" s="60">
        <v>17</v>
      </c>
      <c r="F68" s="60">
        <v>24.72</v>
      </c>
      <c r="G68" s="60">
        <v>102.91</v>
      </c>
      <c r="H68" s="60">
        <v>37.22</v>
      </c>
      <c r="I68" s="60">
        <v>0.57999999999999996</v>
      </c>
      <c r="J68" s="60">
        <v>1.1299999999999999</v>
      </c>
      <c r="K68" s="60">
        <v>23.84</v>
      </c>
      <c r="L68" s="60">
        <v>35.31</v>
      </c>
      <c r="M68" s="60">
        <v>23.26</v>
      </c>
      <c r="N68" s="60">
        <v>437.2</v>
      </c>
      <c r="O68" s="60">
        <v>0</v>
      </c>
      <c r="P68" s="60">
        <v>1.02</v>
      </c>
      <c r="Q68" s="60">
        <v>34.21</v>
      </c>
      <c r="R68" s="198"/>
      <c r="S68" s="198"/>
      <c r="T68" s="198"/>
      <c r="U68" s="198"/>
    </row>
    <row r="69" spans="1:21" s="12" customFormat="1" x14ac:dyDescent="0.25">
      <c r="A69" s="201" t="s">
        <v>790</v>
      </c>
      <c r="B69" s="60">
        <v>10.61</v>
      </c>
      <c r="C69" s="60">
        <v>68.63</v>
      </c>
      <c r="D69" s="60">
        <v>47.13</v>
      </c>
      <c r="E69" s="60">
        <v>18.149999999999999</v>
      </c>
      <c r="F69" s="60">
        <v>25.19</v>
      </c>
      <c r="G69" s="60">
        <v>102.91</v>
      </c>
      <c r="H69" s="60">
        <v>37.22</v>
      </c>
      <c r="I69" s="60">
        <v>0.56999999999999995</v>
      </c>
      <c r="J69" s="60">
        <v>0.76</v>
      </c>
      <c r="K69" s="60">
        <v>37.14</v>
      </c>
      <c r="L69" s="60">
        <v>34.880000000000003</v>
      </c>
      <c r="M69" s="60">
        <v>22.46</v>
      </c>
      <c r="N69" s="60">
        <v>308.60000000000002</v>
      </c>
      <c r="O69" s="60">
        <v>0</v>
      </c>
      <c r="P69" s="60">
        <v>1.01</v>
      </c>
      <c r="Q69" s="60">
        <v>33.590000000000003</v>
      </c>
      <c r="R69" s="198"/>
      <c r="S69" s="198"/>
      <c r="T69" s="198"/>
      <c r="U69" s="198"/>
    </row>
    <row r="70" spans="1:21" s="12" customFormat="1" x14ac:dyDescent="0.25">
      <c r="A70" s="201" t="s">
        <v>791</v>
      </c>
      <c r="B70" s="60">
        <v>12.71</v>
      </c>
      <c r="C70" s="60">
        <v>68.510000000000005</v>
      </c>
      <c r="D70" s="60">
        <v>48.74</v>
      </c>
      <c r="E70" s="60">
        <v>25</v>
      </c>
      <c r="F70" s="60">
        <v>38.9</v>
      </c>
      <c r="G70" s="60">
        <v>104.94</v>
      </c>
      <c r="H70" s="60">
        <v>37.11</v>
      </c>
      <c r="I70" s="60">
        <v>0.56000000000000005</v>
      </c>
      <c r="J70" s="60">
        <v>0.69</v>
      </c>
      <c r="K70" s="60">
        <v>37.26</v>
      </c>
      <c r="L70" s="60">
        <v>33.18</v>
      </c>
      <c r="M70" s="60">
        <v>24.5</v>
      </c>
      <c r="N70" s="60">
        <v>224.3</v>
      </c>
      <c r="O70" s="60">
        <v>0</v>
      </c>
      <c r="P70" s="60">
        <v>1</v>
      </c>
      <c r="Q70" s="60">
        <v>32.700000000000003</v>
      </c>
      <c r="R70" s="198"/>
      <c r="S70" s="198"/>
      <c r="T70" s="198"/>
      <c r="U70" s="198"/>
    </row>
    <row r="71" spans="1:21" s="12" customFormat="1" x14ac:dyDescent="0.25">
      <c r="A71" s="201" t="s">
        <v>792</v>
      </c>
      <c r="B71" s="60">
        <v>9.6199999999999992</v>
      </c>
      <c r="C71" s="60">
        <v>63.23</v>
      </c>
      <c r="D71" s="60">
        <v>43.36</v>
      </c>
      <c r="E71" s="60">
        <v>26.55</v>
      </c>
      <c r="F71" s="60">
        <v>45.28</v>
      </c>
      <c r="G71" s="60">
        <v>139.5</v>
      </c>
      <c r="H71" s="60">
        <v>35.29</v>
      </c>
      <c r="I71" s="60">
        <v>0.55000000000000004</v>
      </c>
      <c r="J71" s="60">
        <v>0.5</v>
      </c>
      <c r="K71" s="60">
        <v>43.14</v>
      </c>
      <c r="L71" s="60">
        <v>33.229999999999997</v>
      </c>
      <c r="M71" s="60">
        <v>24.3</v>
      </c>
      <c r="N71" s="60">
        <v>200.8</v>
      </c>
      <c r="O71" s="60">
        <v>0</v>
      </c>
      <c r="P71" s="60">
        <v>0.92</v>
      </c>
      <c r="Q71" s="60">
        <v>32.51</v>
      </c>
      <c r="R71" s="198"/>
      <c r="S71" s="198"/>
      <c r="T71" s="198"/>
      <c r="U71" s="198"/>
    </row>
    <row r="72" spans="1:21" s="12" customFormat="1" x14ac:dyDescent="0.25">
      <c r="A72" s="201" t="s">
        <v>793</v>
      </c>
      <c r="B72" s="60">
        <v>12.35</v>
      </c>
      <c r="C72" s="60">
        <v>61.91</v>
      </c>
      <c r="D72" s="60">
        <v>44.81</v>
      </c>
      <c r="E72" s="60">
        <v>19.77</v>
      </c>
      <c r="F72" s="60">
        <v>33.64</v>
      </c>
      <c r="G72" s="60">
        <v>139.5</v>
      </c>
      <c r="H72" s="60">
        <v>35.29</v>
      </c>
      <c r="I72" s="60">
        <v>0.53</v>
      </c>
      <c r="J72" s="60">
        <v>0.87</v>
      </c>
      <c r="K72" s="60">
        <v>32.07</v>
      </c>
      <c r="L72" s="60">
        <v>32.54</v>
      </c>
      <c r="M72" s="60">
        <v>26.19</v>
      </c>
      <c r="N72" s="60">
        <v>171.3</v>
      </c>
      <c r="O72" s="60">
        <v>0</v>
      </c>
      <c r="P72" s="60">
        <v>0.95</v>
      </c>
      <c r="Q72" s="60">
        <v>32.049999999999997</v>
      </c>
      <c r="R72" s="198"/>
      <c r="S72" s="198"/>
      <c r="T72" s="198"/>
      <c r="U72" s="198"/>
    </row>
    <row r="73" spans="1:21" s="12" customFormat="1" x14ac:dyDescent="0.25">
      <c r="A73" s="201" t="s">
        <v>794</v>
      </c>
      <c r="B73" s="60">
        <v>10.92</v>
      </c>
      <c r="C73" s="60">
        <v>68.48</v>
      </c>
      <c r="D73" s="60">
        <v>47.29</v>
      </c>
      <c r="E73" s="60">
        <v>23.29</v>
      </c>
      <c r="F73" s="60">
        <v>33.04</v>
      </c>
      <c r="G73" s="60">
        <v>139.5</v>
      </c>
      <c r="H73" s="60">
        <v>35.29</v>
      </c>
      <c r="I73" s="60">
        <v>0.53</v>
      </c>
      <c r="J73" s="60">
        <v>0.63</v>
      </c>
      <c r="K73" s="60">
        <v>25.48</v>
      </c>
      <c r="L73" s="60">
        <v>32.46</v>
      </c>
      <c r="M73" s="60">
        <v>25.42</v>
      </c>
      <c r="N73" s="60">
        <v>123.8</v>
      </c>
      <c r="O73" s="60">
        <v>0</v>
      </c>
      <c r="P73" s="60">
        <v>1.06</v>
      </c>
      <c r="Q73" s="60">
        <v>32.229999999999997</v>
      </c>
      <c r="R73" s="198"/>
      <c r="S73" s="198"/>
      <c r="T73" s="198"/>
      <c r="U73" s="198"/>
    </row>
    <row r="74" spans="1:21" s="12" customFormat="1" x14ac:dyDescent="0.25">
      <c r="A74" s="201" t="s">
        <v>795</v>
      </c>
      <c r="B74" s="60">
        <v>11.71</v>
      </c>
      <c r="C74" s="60">
        <v>67.08</v>
      </c>
      <c r="D74" s="60">
        <v>47.15</v>
      </c>
      <c r="E74" s="60">
        <v>19.489999999999998</v>
      </c>
      <c r="F74" s="60">
        <v>19.48</v>
      </c>
      <c r="G74" s="60">
        <v>136.97999999999999</v>
      </c>
      <c r="H74" s="60">
        <v>35.33</v>
      </c>
      <c r="I74" s="60">
        <v>0.55000000000000004</v>
      </c>
      <c r="J74" s="60">
        <v>0.84</v>
      </c>
      <c r="K74" s="60">
        <v>23.34</v>
      </c>
      <c r="L74" s="60">
        <v>32.08</v>
      </c>
      <c r="M74" s="60">
        <v>23.95</v>
      </c>
      <c r="N74" s="60">
        <v>98.1</v>
      </c>
      <c r="O74" s="60">
        <v>0</v>
      </c>
      <c r="P74" s="60">
        <v>1.05</v>
      </c>
      <c r="Q74" s="60">
        <v>33.770000000000003</v>
      </c>
      <c r="R74" s="198"/>
      <c r="S74" s="198"/>
      <c r="T74" s="198"/>
      <c r="U74" s="198"/>
    </row>
    <row r="75" spans="1:21" s="12" customFormat="1" x14ac:dyDescent="0.25">
      <c r="A75" s="201" t="s">
        <v>796</v>
      </c>
      <c r="B75" s="60">
        <v>11.88</v>
      </c>
      <c r="C75" s="60">
        <v>67.19</v>
      </c>
      <c r="D75" s="60">
        <v>47.35</v>
      </c>
      <c r="E75" s="60">
        <v>9.48</v>
      </c>
      <c r="F75" s="60">
        <v>11.72</v>
      </c>
      <c r="G75" s="60">
        <v>94.07</v>
      </c>
      <c r="H75" s="60">
        <v>36.049999999999997</v>
      </c>
      <c r="I75" s="60">
        <v>0.57999999999999996</v>
      </c>
      <c r="J75" s="60">
        <v>0.71</v>
      </c>
      <c r="K75" s="60">
        <v>20.87</v>
      </c>
      <c r="L75" s="60">
        <v>31.94</v>
      </c>
      <c r="M75" s="60">
        <v>23.94</v>
      </c>
      <c r="N75" s="60">
        <v>71.099999999999994</v>
      </c>
      <c r="O75" s="60">
        <v>0</v>
      </c>
      <c r="P75" s="60">
        <v>1.0900000000000001</v>
      </c>
      <c r="Q75" s="60">
        <v>36.01</v>
      </c>
      <c r="R75" s="198"/>
      <c r="S75" s="198"/>
      <c r="T75" s="198"/>
      <c r="U75" s="198"/>
    </row>
    <row r="76" spans="1:21" s="12" customFormat="1" x14ac:dyDescent="0.25">
      <c r="A76" s="201" t="s">
        <v>797</v>
      </c>
      <c r="B76" s="60">
        <v>13.67</v>
      </c>
      <c r="C76" s="60">
        <v>70.22</v>
      </c>
      <c r="D76" s="60">
        <v>50.45</v>
      </c>
      <c r="E76" s="60">
        <v>8.65</v>
      </c>
      <c r="F76" s="60">
        <v>12.43</v>
      </c>
      <c r="G76" s="60">
        <v>94.07</v>
      </c>
      <c r="H76" s="60">
        <v>36.049999999999997</v>
      </c>
      <c r="I76" s="60">
        <v>0.62</v>
      </c>
      <c r="J76" s="60">
        <v>0.57999999999999996</v>
      </c>
      <c r="K76" s="60">
        <v>33.68</v>
      </c>
      <c r="L76" s="60">
        <v>31.52</v>
      </c>
      <c r="M76" s="60">
        <v>24.61</v>
      </c>
      <c r="N76" s="60">
        <v>62</v>
      </c>
      <c r="O76" s="60">
        <v>0</v>
      </c>
      <c r="P76" s="60">
        <v>1.1200000000000001</v>
      </c>
      <c r="Q76" s="60">
        <v>37.44</v>
      </c>
      <c r="R76" s="198"/>
      <c r="S76" s="198"/>
      <c r="T76" s="198"/>
      <c r="U76" s="198"/>
    </row>
    <row r="77" spans="1:21" s="12" customFormat="1" x14ac:dyDescent="0.25">
      <c r="A77" s="201" t="s">
        <v>798</v>
      </c>
      <c r="B77" s="60">
        <v>20.99</v>
      </c>
      <c r="C77" s="60">
        <v>84.4</v>
      </c>
      <c r="D77" s="60">
        <v>64.150000000000006</v>
      </c>
      <c r="E77" s="60">
        <v>12.67</v>
      </c>
      <c r="F77" s="60">
        <v>12.42</v>
      </c>
      <c r="G77" s="60">
        <v>94.07</v>
      </c>
      <c r="H77" s="60">
        <v>36.049999999999997</v>
      </c>
      <c r="I77" s="60">
        <v>0.67</v>
      </c>
      <c r="J77" s="60">
        <v>0.3</v>
      </c>
      <c r="K77" s="60">
        <v>35.46</v>
      </c>
      <c r="L77" s="60">
        <v>31.17</v>
      </c>
      <c r="M77" s="60">
        <v>26.55</v>
      </c>
      <c r="N77" s="60">
        <v>70.900000000000006</v>
      </c>
      <c r="O77" s="60">
        <v>0</v>
      </c>
      <c r="P77" s="60">
        <v>1.3</v>
      </c>
      <c r="Q77" s="60">
        <v>36.68</v>
      </c>
      <c r="R77" s="198"/>
      <c r="S77" s="198"/>
      <c r="T77" s="198"/>
      <c r="U77" s="198"/>
    </row>
    <row r="78" spans="1:21" s="12" customFormat="1" x14ac:dyDescent="0.25">
      <c r="A78" s="201" t="s">
        <v>799</v>
      </c>
      <c r="B78" s="60">
        <v>12.65</v>
      </c>
      <c r="C78" s="60">
        <v>78.3</v>
      </c>
      <c r="D78" s="60">
        <v>54.1</v>
      </c>
      <c r="E78" s="60">
        <v>15.04</v>
      </c>
      <c r="F78" s="60">
        <v>19.73</v>
      </c>
      <c r="G78" s="60">
        <v>88.84</v>
      </c>
      <c r="H78" s="60">
        <v>35.83</v>
      </c>
      <c r="I78" s="60">
        <v>0.64</v>
      </c>
      <c r="J78" s="60">
        <v>0.34</v>
      </c>
      <c r="K78" s="60">
        <v>104.14</v>
      </c>
      <c r="L78" s="60">
        <v>30.62</v>
      </c>
      <c r="M78" s="60">
        <v>27.7</v>
      </c>
      <c r="N78" s="60">
        <v>45.2</v>
      </c>
      <c r="O78" s="60">
        <v>0</v>
      </c>
      <c r="P78" s="60">
        <v>1.1299999999999999</v>
      </c>
      <c r="Q78" s="60">
        <v>36.21</v>
      </c>
      <c r="R78" s="198"/>
      <c r="S78" s="198"/>
      <c r="T78" s="198"/>
      <c r="U78" s="198"/>
    </row>
    <row r="79" spans="1:21" s="12" customFormat="1" x14ac:dyDescent="0.25">
      <c r="A79" s="201" t="s">
        <v>800</v>
      </c>
      <c r="B79" s="60">
        <v>9.5</v>
      </c>
      <c r="C79" s="60">
        <v>78.510000000000005</v>
      </c>
      <c r="D79" s="60">
        <v>51.68</v>
      </c>
      <c r="E79" s="60">
        <v>18.559999999999999</v>
      </c>
      <c r="F79" s="60">
        <v>22.45</v>
      </c>
      <c r="G79" s="211" t="s">
        <v>43</v>
      </c>
      <c r="H79" s="60">
        <v>32.15</v>
      </c>
      <c r="I79" s="60">
        <v>0.63</v>
      </c>
      <c r="J79" s="60">
        <v>0.23</v>
      </c>
      <c r="K79" s="60">
        <v>83.43</v>
      </c>
      <c r="L79" s="60">
        <v>30.29</v>
      </c>
      <c r="M79" s="60">
        <v>29.34</v>
      </c>
      <c r="N79" s="60">
        <v>20.9</v>
      </c>
      <c r="O79" s="60">
        <v>0</v>
      </c>
      <c r="P79" s="60">
        <v>1.04</v>
      </c>
      <c r="Q79" s="60">
        <v>36.5</v>
      </c>
      <c r="R79" s="198"/>
      <c r="S79" s="198"/>
      <c r="T79" s="198"/>
      <c r="U79" s="198"/>
    </row>
    <row r="80" spans="1:21" s="12" customFormat="1" x14ac:dyDescent="0.25">
      <c r="A80" s="201" t="s">
        <v>801</v>
      </c>
      <c r="B80" s="60">
        <v>8.44</v>
      </c>
      <c r="C80" s="60">
        <v>80.98</v>
      </c>
      <c r="D80" s="60">
        <v>52.2</v>
      </c>
      <c r="E80" s="60">
        <v>18.829999999999998</v>
      </c>
      <c r="F80" s="60">
        <v>23.35</v>
      </c>
      <c r="G80" s="211" t="s">
        <v>43</v>
      </c>
      <c r="H80" s="60">
        <v>32.15</v>
      </c>
      <c r="I80" s="60">
        <v>0.61</v>
      </c>
      <c r="J80" s="60">
        <v>0.22</v>
      </c>
      <c r="K80" s="60">
        <v>82.04</v>
      </c>
      <c r="L80" s="60">
        <v>29.81</v>
      </c>
      <c r="M80" s="60">
        <v>31.24</v>
      </c>
      <c r="N80" s="60">
        <v>17.899999999999999</v>
      </c>
      <c r="O80" s="60">
        <v>0</v>
      </c>
      <c r="P80" s="60">
        <v>1.07</v>
      </c>
      <c r="Q80" s="60">
        <v>36.369999999999997</v>
      </c>
      <c r="R80" s="198"/>
      <c r="S80" s="198"/>
      <c r="T80" s="198"/>
      <c r="U80" s="198"/>
    </row>
    <row r="81" spans="1:26" s="12" customFormat="1" x14ac:dyDescent="0.25">
      <c r="A81" s="201" t="s">
        <v>802</v>
      </c>
      <c r="B81" s="60">
        <v>6.02</v>
      </c>
      <c r="C81" s="60">
        <v>81.69</v>
      </c>
      <c r="D81" s="60">
        <v>50.65</v>
      </c>
      <c r="E81" s="60">
        <v>20.96</v>
      </c>
      <c r="F81" s="60">
        <v>28.17</v>
      </c>
      <c r="G81" s="211" t="s">
        <v>43</v>
      </c>
      <c r="H81" s="60">
        <v>32.15</v>
      </c>
      <c r="I81" s="60">
        <v>0.59</v>
      </c>
      <c r="J81" s="60">
        <v>0.15</v>
      </c>
      <c r="K81" s="60">
        <v>88.96</v>
      </c>
      <c r="L81" s="60">
        <v>29.53</v>
      </c>
      <c r="M81" s="60">
        <v>31.53</v>
      </c>
      <c r="N81" s="60">
        <v>17.3</v>
      </c>
      <c r="O81" s="60">
        <v>0</v>
      </c>
      <c r="P81" s="60">
        <v>1.0900000000000001</v>
      </c>
      <c r="Q81" s="60">
        <v>35.07</v>
      </c>
      <c r="R81" s="198"/>
      <c r="S81" s="198"/>
      <c r="T81" s="198"/>
      <c r="U81" s="198"/>
    </row>
    <row r="82" spans="1:26" s="12" customFormat="1" x14ac:dyDescent="0.25">
      <c r="A82" s="201" t="s">
        <v>803</v>
      </c>
      <c r="B82" s="60">
        <v>9.4700000000000006</v>
      </c>
      <c r="C82" s="60">
        <v>89.06</v>
      </c>
      <c r="D82" s="60">
        <v>57.49</v>
      </c>
      <c r="E82" s="60">
        <v>22.42</v>
      </c>
      <c r="F82" s="60">
        <v>27.02</v>
      </c>
      <c r="G82" s="60">
        <v>9.11</v>
      </c>
      <c r="H82" s="60">
        <v>32.25</v>
      </c>
      <c r="I82" s="60">
        <v>0.61</v>
      </c>
      <c r="J82" s="60">
        <v>0.17</v>
      </c>
      <c r="K82" s="60">
        <v>86.59</v>
      </c>
      <c r="L82" s="60">
        <v>29.48</v>
      </c>
      <c r="M82" s="60">
        <v>31.08</v>
      </c>
      <c r="N82" s="60">
        <v>6.7</v>
      </c>
      <c r="O82" s="60">
        <v>0</v>
      </c>
      <c r="P82" s="60">
        <v>1.3</v>
      </c>
      <c r="Q82" s="60">
        <v>33.46</v>
      </c>
      <c r="R82" s="198"/>
      <c r="S82" s="198"/>
      <c r="T82" s="198"/>
      <c r="U82" s="198"/>
    </row>
    <row r="83" spans="1:26" s="12" customFormat="1" x14ac:dyDescent="0.25">
      <c r="A83" s="201" t="s">
        <v>804</v>
      </c>
      <c r="B83" s="60">
        <v>77.87</v>
      </c>
      <c r="C83" s="60">
        <v>121.66</v>
      </c>
      <c r="D83" s="60">
        <v>130.32</v>
      </c>
      <c r="E83" s="60">
        <v>19.23</v>
      </c>
      <c r="F83" s="60">
        <v>4.9400000000000004</v>
      </c>
      <c r="G83" s="60">
        <v>163.97</v>
      </c>
      <c r="H83" s="60">
        <v>33.869999999999997</v>
      </c>
      <c r="I83" s="60">
        <v>0.67</v>
      </c>
      <c r="J83" s="60">
        <v>7.0000000000000007E-2</v>
      </c>
      <c r="K83" s="60">
        <v>72.16</v>
      </c>
      <c r="L83" s="60">
        <v>28.96</v>
      </c>
      <c r="M83" s="60">
        <v>35.68</v>
      </c>
      <c r="N83" s="60">
        <v>5.4</v>
      </c>
      <c r="O83" s="60">
        <v>0</v>
      </c>
      <c r="P83" s="60">
        <v>2.2000000000000002</v>
      </c>
      <c r="Q83" s="60">
        <v>23.66</v>
      </c>
      <c r="R83" s="198"/>
      <c r="S83" s="198"/>
      <c r="T83" s="198"/>
      <c r="U83" s="198"/>
    </row>
    <row r="84" spans="1:26" s="12" customFormat="1" x14ac:dyDescent="0.25">
      <c r="A84" s="201" t="s">
        <v>805</v>
      </c>
      <c r="B84" s="60">
        <v>22.61</v>
      </c>
      <c r="C84" s="60">
        <v>109.59</v>
      </c>
      <c r="D84" s="60">
        <v>79.349999999999994</v>
      </c>
      <c r="E84" s="60">
        <v>16.37</v>
      </c>
      <c r="F84" s="60">
        <v>4.7300000000000004</v>
      </c>
      <c r="G84" s="60">
        <v>163.97</v>
      </c>
      <c r="H84" s="60">
        <v>33.869999999999997</v>
      </c>
      <c r="I84" s="60">
        <v>0.81</v>
      </c>
      <c r="J84" s="60">
        <v>0.05</v>
      </c>
      <c r="K84" s="60">
        <v>145.79</v>
      </c>
      <c r="L84" s="60">
        <v>28.19</v>
      </c>
      <c r="M84" s="60">
        <v>37.159999999999997</v>
      </c>
      <c r="N84" s="60">
        <v>5.2</v>
      </c>
      <c r="O84" s="60">
        <v>0</v>
      </c>
      <c r="P84" s="60">
        <v>1.53</v>
      </c>
      <c r="Q84" s="60">
        <v>28.35</v>
      </c>
      <c r="R84" s="198"/>
      <c r="S84" s="198"/>
      <c r="T84" s="198"/>
      <c r="U84" s="198"/>
    </row>
    <row r="85" spans="1:26" s="12" customFormat="1" x14ac:dyDescent="0.25">
      <c r="A85" s="201" t="s">
        <v>806</v>
      </c>
      <c r="B85" s="60">
        <v>70.150000000000006</v>
      </c>
      <c r="C85" s="60">
        <v>116.57</v>
      </c>
      <c r="D85" s="60">
        <v>121.33</v>
      </c>
      <c r="E85" s="60">
        <v>16.04</v>
      </c>
      <c r="F85" s="60">
        <v>3.92</v>
      </c>
      <c r="G85" s="60">
        <v>163.97</v>
      </c>
      <c r="H85" s="60">
        <v>33.869999999999997</v>
      </c>
      <c r="I85" s="60">
        <v>0.95</v>
      </c>
      <c r="J85" s="60">
        <v>0.09</v>
      </c>
      <c r="K85" s="60">
        <v>322.56</v>
      </c>
      <c r="L85" s="60">
        <v>27.75</v>
      </c>
      <c r="M85" s="60">
        <v>39.33</v>
      </c>
      <c r="N85" s="60">
        <v>5.0999999999999996</v>
      </c>
      <c r="O85" s="60">
        <v>0</v>
      </c>
      <c r="P85" s="60">
        <v>2.67</v>
      </c>
      <c r="Q85" s="60">
        <v>28.08</v>
      </c>
      <c r="R85" s="198"/>
      <c r="S85" s="198"/>
      <c r="T85" s="198"/>
      <c r="U85" s="198"/>
    </row>
    <row r="86" spans="1:26" s="12" customFormat="1" x14ac:dyDescent="0.25">
      <c r="A86" s="201" t="s">
        <v>807</v>
      </c>
      <c r="B86" s="60">
        <v>71.430000000000007</v>
      </c>
      <c r="C86" s="60">
        <v>115.61</v>
      </c>
      <c r="D86" s="60">
        <v>121.82</v>
      </c>
      <c r="E86" s="60">
        <v>15.06</v>
      </c>
      <c r="F86" s="60">
        <v>3.86</v>
      </c>
      <c r="G86" s="60">
        <v>162.34</v>
      </c>
      <c r="H86" s="60">
        <v>33.99</v>
      </c>
      <c r="I86" s="60">
        <v>0.93</v>
      </c>
      <c r="J86" s="60">
        <v>0.06</v>
      </c>
      <c r="K86" s="60">
        <v>193.52</v>
      </c>
      <c r="L86" s="60">
        <v>27.4</v>
      </c>
      <c r="M86" s="60">
        <v>40.04</v>
      </c>
      <c r="N86" s="60">
        <v>5</v>
      </c>
      <c r="O86" s="60">
        <v>0</v>
      </c>
      <c r="P86" s="60">
        <v>2.4900000000000002</v>
      </c>
      <c r="Q86" s="60">
        <v>24.86</v>
      </c>
      <c r="R86" s="198"/>
      <c r="S86" s="198"/>
      <c r="T86" s="198"/>
      <c r="U86" s="198"/>
    </row>
    <row r="87" spans="1:26" s="12" customFormat="1" x14ac:dyDescent="0.25">
      <c r="A87" s="201" t="s">
        <v>808</v>
      </c>
      <c r="B87" s="60">
        <v>81.319999999999993</v>
      </c>
      <c r="C87" s="60">
        <v>121.08</v>
      </c>
      <c r="D87" s="60">
        <v>132.78</v>
      </c>
      <c r="E87" s="60">
        <v>15.35</v>
      </c>
      <c r="F87" s="60">
        <v>3.87</v>
      </c>
      <c r="G87" s="60">
        <v>134.66</v>
      </c>
      <c r="H87" s="60">
        <v>35.97</v>
      </c>
      <c r="I87" s="60">
        <v>1.08</v>
      </c>
      <c r="J87" s="60">
        <v>0.06</v>
      </c>
      <c r="K87" s="60">
        <v>258.77999999999997</v>
      </c>
      <c r="L87" s="60">
        <v>27.2</v>
      </c>
      <c r="M87" s="60">
        <v>39.53</v>
      </c>
      <c r="N87" s="60">
        <v>4.9000000000000004</v>
      </c>
      <c r="O87" s="60">
        <v>0</v>
      </c>
      <c r="P87" s="60">
        <v>2.16</v>
      </c>
      <c r="Q87" s="60">
        <v>26.27</v>
      </c>
      <c r="R87" s="198"/>
      <c r="S87" s="198"/>
      <c r="T87" s="198"/>
      <c r="U87" s="198"/>
    </row>
    <row r="88" spans="1:26" s="12" customFormat="1" x14ac:dyDescent="0.25">
      <c r="A88" s="201" t="s">
        <v>809</v>
      </c>
      <c r="B88" s="60">
        <v>77.58</v>
      </c>
      <c r="C88" s="60">
        <v>103.67</v>
      </c>
      <c r="D88" s="60">
        <v>120.17</v>
      </c>
      <c r="E88" s="60">
        <v>8.48</v>
      </c>
      <c r="F88" s="60">
        <v>3.78</v>
      </c>
      <c r="G88" s="60">
        <v>134.66</v>
      </c>
      <c r="H88" s="60">
        <v>35.97</v>
      </c>
      <c r="I88" s="60">
        <v>1.24</v>
      </c>
      <c r="J88" s="60">
        <v>0.1</v>
      </c>
      <c r="K88" s="60">
        <v>305.69</v>
      </c>
      <c r="L88" s="60">
        <v>26.75</v>
      </c>
      <c r="M88" s="60">
        <v>41.06</v>
      </c>
      <c r="N88" s="60">
        <v>4.5999999999999996</v>
      </c>
      <c r="O88" s="60">
        <v>0</v>
      </c>
      <c r="P88" s="60">
        <v>2.4500000000000002</v>
      </c>
      <c r="Q88" s="60">
        <v>28.47</v>
      </c>
      <c r="R88" s="198"/>
      <c r="S88" s="198"/>
      <c r="T88" s="198"/>
      <c r="U88" s="198"/>
    </row>
    <row r="89" spans="1:26" s="12" customFormat="1" x14ac:dyDescent="0.25">
      <c r="A89" s="201" t="s">
        <v>810</v>
      </c>
      <c r="B89" s="60">
        <v>36.68</v>
      </c>
      <c r="C89" s="60">
        <v>81.55</v>
      </c>
      <c r="D89" s="60">
        <v>75.16</v>
      </c>
      <c r="E89" s="60">
        <v>7.47</v>
      </c>
      <c r="F89" s="60">
        <v>4</v>
      </c>
      <c r="G89" s="60">
        <v>134.66</v>
      </c>
      <c r="H89" s="60">
        <v>35.97</v>
      </c>
      <c r="I89" s="60">
        <v>1.1599999999999999</v>
      </c>
      <c r="J89" s="60">
        <v>0.15</v>
      </c>
      <c r="K89" s="60">
        <v>244.05</v>
      </c>
      <c r="L89" s="60">
        <v>27.23</v>
      </c>
      <c r="M89" s="60">
        <v>36.47</v>
      </c>
      <c r="N89" s="60">
        <v>3.9</v>
      </c>
      <c r="O89" s="60">
        <v>0</v>
      </c>
      <c r="P89" s="60">
        <v>1.73</v>
      </c>
      <c r="Q89" s="60">
        <v>35.51</v>
      </c>
      <c r="R89" s="198"/>
      <c r="S89" s="198"/>
      <c r="T89" s="198"/>
      <c r="U89" s="198"/>
    </row>
    <row r="90" spans="1:26" s="12" customFormat="1" x14ac:dyDescent="0.25">
      <c r="A90" s="201" t="s">
        <v>811</v>
      </c>
      <c r="B90" s="60">
        <v>36.43</v>
      </c>
      <c r="C90" s="60">
        <v>83.35</v>
      </c>
      <c r="D90" s="60">
        <v>75.95</v>
      </c>
      <c r="E90" s="60">
        <v>6.67</v>
      </c>
      <c r="F90" s="60">
        <v>4.6399999999999997</v>
      </c>
      <c r="G90" s="60">
        <v>134.97</v>
      </c>
      <c r="H90" s="60">
        <v>36.159999999999997</v>
      </c>
      <c r="I90" s="60">
        <v>1.07</v>
      </c>
      <c r="J90" s="60">
        <v>0.19</v>
      </c>
      <c r="K90" s="60">
        <v>261.25</v>
      </c>
      <c r="L90" s="60">
        <v>27.19</v>
      </c>
      <c r="M90" s="60">
        <v>35.78</v>
      </c>
      <c r="N90" s="60">
        <v>4.2</v>
      </c>
      <c r="O90" s="60">
        <v>0</v>
      </c>
      <c r="P90" s="60">
        <v>1.67</v>
      </c>
      <c r="Q90" s="60">
        <v>38.119999999999997</v>
      </c>
      <c r="R90" s="198"/>
      <c r="S90" s="198"/>
      <c r="T90" s="198"/>
      <c r="U90" s="198"/>
    </row>
    <row r="91" spans="1:26" s="12" customFormat="1" x14ac:dyDescent="0.25">
      <c r="A91" s="201" t="s">
        <v>812</v>
      </c>
      <c r="B91" s="60">
        <v>66.05</v>
      </c>
      <c r="C91" s="60">
        <v>85.21</v>
      </c>
      <c r="D91" s="60">
        <v>100.73</v>
      </c>
      <c r="E91" s="60">
        <v>6.02</v>
      </c>
      <c r="F91" s="60">
        <v>4.05</v>
      </c>
      <c r="G91" s="60">
        <v>140.19</v>
      </c>
      <c r="H91" s="60">
        <v>39.31</v>
      </c>
      <c r="I91" s="60">
        <v>0.9</v>
      </c>
      <c r="J91" s="60">
        <v>0.04</v>
      </c>
      <c r="K91" s="60">
        <v>290.88</v>
      </c>
      <c r="L91" s="60">
        <v>26.57</v>
      </c>
      <c r="M91" s="60">
        <v>41.55</v>
      </c>
      <c r="N91" s="60">
        <v>5.2</v>
      </c>
      <c r="O91" s="60">
        <v>0</v>
      </c>
      <c r="P91" s="60">
        <v>2.19</v>
      </c>
      <c r="Q91" s="60">
        <v>36.69</v>
      </c>
      <c r="R91" s="198"/>
      <c r="S91" s="198"/>
      <c r="T91" s="198"/>
      <c r="U91" s="198"/>
    </row>
    <row r="92" spans="1:26" s="12" customFormat="1" x14ac:dyDescent="0.25">
      <c r="A92" s="201" t="s">
        <v>813</v>
      </c>
      <c r="B92" s="60">
        <v>58.32</v>
      </c>
      <c r="C92" s="60">
        <v>79.11</v>
      </c>
      <c r="D92" s="60">
        <v>91.17</v>
      </c>
      <c r="E92" s="60">
        <v>4.7300000000000004</v>
      </c>
      <c r="F92" s="60">
        <v>3.53</v>
      </c>
      <c r="G92" s="60">
        <v>140.19</v>
      </c>
      <c r="H92" s="60">
        <v>39.31</v>
      </c>
      <c r="I92" s="60">
        <v>0.89</v>
      </c>
      <c r="J92" s="60">
        <v>0.68</v>
      </c>
      <c r="K92" s="60">
        <v>215.04</v>
      </c>
      <c r="L92" s="60">
        <v>26.49</v>
      </c>
      <c r="M92" s="60">
        <v>41.84</v>
      </c>
      <c r="N92" s="60">
        <v>3.9</v>
      </c>
      <c r="O92" s="60">
        <v>0</v>
      </c>
      <c r="P92" s="60">
        <v>2.0099999999999998</v>
      </c>
      <c r="Q92" s="60">
        <v>38.83</v>
      </c>
      <c r="R92" s="198"/>
      <c r="S92" s="198"/>
      <c r="T92" s="198"/>
      <c r="U92" s="198"/>
    </row>
    <row r="93" spans="1:26" s="12" customFormat="1" x14ac:dyDescent="0.25">
      <c r="A93" s="201" t="s">
        <v>814</v>
      </c>
      <c r="B93" s="60">
        <v>48.85</v>
      </c>
      <c r="C93" s="60">
        <v>79.23</v>
      </c>
      <c r="D93" s="60">
        <v>83.64</v>
      </c>
      <c r="E93" s="60">
        <v>3.44</v>
      </c>
      <c r="F93" s="60">
        <v>3.2</v>
      </c>
      <c r="G93" s="60">
        <v>140.19</v>
      </c>
      <c r="H93" s="60">
        <v>39.31</v>
      </c>
      <c r="I93" s="60">
        <v>0.94</v>
      </c>
      <c r="J93" s="60">
        <v>1.01</v>
      </c>
      <c r="K93" s="60">
        <v>198</v>
      </c>
      <c r="L93" s="60">
        <v>25.68</v>
      </c>
      <c r="M93" s="60">
        <v>51.53</v>
      </c>
      <c r="N93" s="60">
        <v>5.2</v>
      </c>
      <c r="O93" s="60">
        <v>0</v>
      </c>
      <c r="P93" s="60">
        <v>1.87</v>
      </c>
      <c r="Q93" s="60">
        <v>39.83</v>
      </c>
      <c r="R93" s="198"/>
      <c r="S93" s="198"/>
      <c r="T93" s="198"/>
      <c r="U93" s="198"/>
    </row>
    <row r="94" spans="1:26" s="12" customFormat="1" x14ac:dyDescent="0.25">
      <c r="A94" s="201" t="s">
        <v>815</v>
      </c>
      <c r="B94" s="60">
        <v>42.67</v>
      </c>
      <c r="C94" s="60">
        <v>74.12</v>
      </c>
      <c r="D94" s="60">
        <v>75.87</v>
      </c>
      <c r="E94" s="60">
        <v>2.73</v>
      </c>
      <c r="F94" s="60">
        <v>3.32</v>
      </c>
      <c r="G94" s="60">
        <v>138.29</v>
      </c>
      <c r="H94" s="60">
        <v>39.68</v>
      </c>
      <c r="I94" s="60">
        <v>0.93</v>
      </c>
      <c r="J94" s="60">
        <v>0.64</v>
      </c>
      <c r="K94" s="60">
        <v>215.34</v>
      </c>
      <c r="L94" s="60">
        <v>25.05</v>
      </c>
      <c r="M94" s="60">
        <v>55.65</v>
      </c>
      <c r="N94" s="60">
        <v>5.0999999999999996</v>
      </c>
      <c r="O94" s="60">
        <v>0</v>
      </c>
      <c r="P94" s="60">
        <v>1.72</v>
      </c>
      <c r="Q94" s="60">
        <v>39.17</v>
      </c>
      <c r="R94" s="198"/>
      <c r="S94" s="198"/>
      <c r="T94" s="198"/>
      <c r="U94" s="198"/>
    </row>
    <row r="95" spans="1:26" s="12" customFormat="1" x14ac:dyDescent="0.25">
      <c r="A95" s="201" t="s">
        <v>816</v>
      </c>
      <c r="B95" s="60">
        <v>32.49</v>
      </c>
      <c r="C95" s="60">
        <v>67.97</v>
      </c>
      <c r="D95" s="60">
        <v>64.31</v>
      </c>
      <c r="E95" s="60">
        <v>2.6</v>
      </c>
      <c r="F95" s="60">
        <v>4.6900000000000004</v>
      </c>
      <c r="G95" s="60">
        <v>106.04</v>
      </c>
      <c r="H95" s="60">
        <v>45.98</v>
      </c>
      <c r="I95" s="60">
        <v>0.88</v>
      </c>
      <c r="J95" s="60">
        <v>0.51</v>
      </c>
      <c r="K95" s="60">
        <v>238.4</v>
      </c>
      <c r="L95" s="60">
        <v>24.54</v>
      </c>
      <c r="M95" s="60">
        <v>58.55</v>
      </c>
      <c r="N95" s="60">
        <v>4.9000000000000004</v>
      </c>
      <c r="O95" s="60">
        <v>0</v>
      </c>
      <c r="P95" s="60">
        <v>1.56</v>
      </c>
      <c r="Q95" s="60">
        <v>38.47</v>
      </c>
      <c r="R95" s="198"/>
      <c r="S95" s="198"/>
      <c r="T95" s="198"/>
      <c r="U95" s="198"/>
    </row>
    <row r="96" spans="1:26" s="12" customFormat="1" x14ac:dyDescent="0.25">
      <c r="A96" s="201" t="s">
        <v>817</v>
      </c>
      <c r="B96" s="60">
        <v>24.09</v>
      </c>
      <c r="C96" s="60">
        <v>45.97</v>
      </c>
      <c r="D96" s="60">
        <v>45.43</v>
      </c>
      <c r="E96" s="60">
        <v>2.75</v>
      </c>
      <c r="F96" s="60">
        <v>8.77</v>
      </c>
      <c r="G96" s="60">
        <v>106.04</v>
      </c>
      <c r="H96" s="60">
        <v>45.98</v>
      </c>
      <c r="I96" s="60">
        <v>0.84</v>
      </c>
      <c r="J96" s="60">
        <v>0.69</v>
      </c>
      <c r="K96" s="60">
        <v>203.88</v>
      </c>
      <c r="L96" s="60">
        <v>24.18</v>
      </c>
      <c r="M96" s="60">
        <v>60.63</v>
      </c>
      <c r="N96" s="60">
        <v>4.5999999999999996</v>
      </c>
      <c r="O96" s="60">
        <v>0</v>
      </c>
      <c r="P96" s="60">
        <v>1.36</v>
      </c>
      <c r="Q96" s="60">
        <v>38.44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818</v>
      </c>
      <c r="B97" s="60">
        <v>23.7</v>
      </c>
      <c r="C97" s="60">
        <v>44.91</v>
      </c>
      <c r="D97" s="60">
        <v>44.53</v>
      </c>
      <c r="E97" s="60">
        <v>2.81</v>
      </c>
      <c r="F97" s="60">
        <v>7.75</v>
      </c>
      <c r="G97" s="60">
        <v>106.04</v>
      </c>
      <c r="H97" s="60">
        <v>45.98</v>
      </c>
      <c r="I97" s="60">
        <v>0.76</v>
      </c>
      <c r="J97" s="60">
        <v>0.74</v>
      </c>
      <c r="K97" s="60">
        <v>195.98</v>
      </c>
      <c r="L97" s="60">
        <v>23.95</v>
      </c>
      <c r="M97" s="60">
        <v>62.43</v>
      </c>
      <c r="N97" s="60">
        <v>4.5999999999999996</v>
      </c>
      <c r="O97" s="60">
        <v>0</v>
      </c>
      <c r="P97" s="60">
        <v>1.36</v>
      </c>
      <c r="Q97" s="60">
        <v>34.67</v>
      </c>
      <c r="R97" s="198"/>
      <c r="S97" s="198"/>
      <c r="T97" s="198"/>
      <c r="U97" s="198"/>
    </row>
    <row r="98" spans="1:33" s="12" customFormat="1" x14ac:dyDescent="0.25">
      <c r="A98" s="201" t="s">
        <v>819</v>
      </c>
      <c r="B98" s="60">
        <v>22.22</v>
      </c>
      <c r="C98" s="60">
        <v>57.35</v>
      </c>
      <c r="D98" s="60">
        <v>50.21</v>
      </c>
      <c r="E98" s="60">
        <v>2.73</v>
      </c>
      <c r="F98" s="60">
        <v>8.32</v>
      </c>
      <c r="G98" s="60">
        <v>102.78</v>
      </c>
      <c r="H98" s="60">
        <v>45.08</v>
      </c>
      <c r="I98" s="60">
        <v>0.69</v>
      </c>
      <c r="J98" s="60">
        <v>0.67</v>
      </c>
      <c r="K98" s="60">
        <v>188.66</v>
      </c>
      <c r="L98" s="60">
        <v>23.68</v>
      </c>
      <c r="M98" s="60">
        <v>64</v>
      </c>
      <c r="N98" s="60">
        <v>4.5999999999999996</v>
      </c>
      <c r="O98" s="60">
        <v>0</v>
      </c>
      <c r="P98" s="60">
        <v>1.32</v>
      </c>
      <c r="Q98" s="60">
        <v>30.91</v>
      </c>
      <c r="R98" s="198"/>
      <c r="S98" s="198"/>
      <c r="T98" s="198"/>
      <c r="U98" s="198"/>
    </row>
    <row r="99" spans="1:33" s="12" customFormat="1" x14ac:dyDescent="0.25">
      <c r="A99" s="201" t="s">
        <v>820</v>
      </c>
      <c r="B99" s="60">
        <v>20.420000000000002</v>
      </c>
      <c r="C99" s="60">
        <v>54.93</v>
      </c>
      <c r="D99" s="60">
        <v>47.43</v>
      </c>
      <c r="E99" s="60">
        <v>2.73</v>
      </c>
      <c r="F99" s="60">
        <v>9.7899999999999991</v>
      </c>
      <c r="G99" s="60">
        <v>47.3</v>
      </c>
      <c r="H99" s="60">
        <v>29.78</v>
      </c>
      <c r="I99" s="60">
        <v>0.71</v>
      </c>
      <c r="J99" s="60">
        <v>0.28999999999999998</v>
      </c>
      <c r="K99" s="60">
        <v>240.56</v>
      </c>
      <c r="L99" s="60">
        <v>23.43</v>
      </c>
      <c r="M99" s="60">
        <v>65.16</v>
      </c>
      <c r="N99" s="60">
        <v>4.7</v>
      </c>
      <c r="O99" s="60">
        <v>0</v>
      </c>
      <c r="P99" s="60">
        <v>1.19</v>
      </c>
      <c r="Q99" s="60">
        <v>31.83</v>
      </c>
      <c r="R99" s="198"/>
      <c r="S99" s="198"/>
      <c r="T99" s="198"/>
      <c r="U99" s="198"/>
    </row>
    <row r="100" spans="1:33" s="12" customFormat="1" x14ac:dyDescent="0.25">
      <c r="A100" s="201" t="s">
        <v>821</v>
      </c>
      <c r="B100" s="60">
        <v>18.95</v>
      </c>
      <c r="C100" s="60">
        <v>52.75</v>
      </c>
      <c r="D100" s="60">
        <v>45.05</v>
      </c>
      <c r="E100" s="60">
        <v>2.5499999999999998</v>
      </c>
      <c r="F100" s="60">
        <v>11.1</v>
      </c>
      <c r="G100" s="60">
        <v>47.3</v>
      </c>
      <c r="H100" s="60">
        <v>29.78</v>
      </c>
      <c r="I100" s="60">
        <v>0.7</v>
      </c>
      <c r="J100" s="60">
        <v>0.42</v>
      </c>
      <c r="K100" s="60">
        <v>223.74</v>
      </c>
      <c r="L100" s="60">
        <v>23.3</v>
      </c>
      <c r="M100" s="60">
        <v>65.83</v>
      </c>
      <c r="N100" s="60">
        <v>4.4000000000000004</v>
      </c>
      <c r="O100" s="60">
        <v>0</v>
      </c>
      <c r="P100" s="60">
        <v>1.1499999999999999</v>
      </c>
      <c r="Q100" s="60">
        <v>31.9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822</v>
      </c>
      <c r="B101" s="60">
        <v>17.96</v>
      </c>
      <c r="C101" s="60">
        <v>49.46</v>
      </c>
      <c r="D101" s="60">
        <v>42.44</v>
      </c>
      <c r="E101" s="60">
        <v>2.65</v>
      </c>
      <c r="F101" s="60">
        <v>11.88</v>
      </c>
      <c r="G101" s="60">
        <v>47.3</v>
      </c>
      <c r="H101" s="60">
        <v>29.78</v>
      </c>
      <c r="I101" s="60">
        <v>0.66</v>
      </c>
      <c r="J101" s="60">
        <v>0.11</v>
      </c>
      <c r="K101" s="60">
        <v>261.07</v>
      </c>
      <c r="L101" s="60">
        <v>23.2</v>
      </c>
      <c r="M101" s="60">
        <v>66.2</v>
      </c>
      <c r="N101" s="60">
        <v>4.7</v>
      </c>
      <c r="O101" s="60">
        <v>0</v>
      </c>
      <c r="P101" s="60">
        <v>1.07</v>
      </c>
      <c r="Q101" s="60">
        <v>31.54</v>
      </c>
      <c r="R101" s="198"/>
      <c r="S101" s="198"/>
      <c r="T101" s="198"/>
      <c r="U101" s="198"/>
    </row>
    <row r="102" spans="1:33" s="12" customFormat="1" x14ac:dyDescent="0.25">
      <c r="A102" s="201" t="s">
        <v>823</v>
      </c>
      <c r="B102" s="60">
        <v>17.13</v>
      </c>
      <c r="C102" s="60">
        <v>48.25</v>
      </c>
      <c r="D102" s="60">
        <v>41.1</v>
      </c>
      <c r="E102" s="60">
        <v>2.88</v>
      </c>
      <c r="F102" s="60">
        <v>11.96</v>
      </c>
      <c r="G102" s="60">
        <v>46.4</v>
      </c>
      <c r="H102" s="60">
        <v>29.34</v>
      </c>
      <c r="I102" s="60">
        <v>0.65</v>
      </c>
      <c r="J102" s="60">
        <v>0.45</v>
      </c>
      <c r="K102" s="60">
        <v>199.47</v>
      </c>
      <c r="L102" s="60">
        <v>23.05</v>
      </c>
      <c r="M102" s="60">
        <v>66.8</v>
      </c>
      <c r="N102" s="60">
        <v>4.2</v>
      </c>
      <c r="O102" s="60">
        <v>0</v>
      </c>
      <c r="P102" s="60">
        <v>1.04</v>
      </c>
      <c r="Q102" s="60">
        <v>31.75</v>
      </c>
      <c r="R102" s="198"/>
      <c r="S102" s="198"/>
      <c r="T102" s="198"/>
      <c r="U102" s="198"/>
    </row>
    <row r="103" spans="1:33" s="12" customFormat="1" x14ac:dyDescent="0.25">
      <c r="A103" s="201" t="s">
        <v>824</v>
      </c>
      <c r="B103" s="60">
        <v>19.75</v>
      </c>
      <c r="C103" s="60">
        <v>47.29</v>
      </c>
      <c r="D103" s="60">
        <v>42.67</v>
      </c>
      <c r="E103" s="60">
        <v>2.5299999999999998</v>
      </c>
      <c r="F103" s="60">
        <v>4.28</v>
      </c>
      <c r="G103" s="60">
        <v>31.1</v>
      </c>
      <c r="H103" s="60">
        <v>22.61</v>
      </c>
      <c r="I103" s="60">
        <v>0.66</v>
      </c>
      <c r="J103" s="60">
        <v>0.27</v>
      </c>
      <c r="K103" s="60">
        <v>212.61</v>
      </c>
      <c r="L103" s="60">
        <v>23.02</v>
      </c>
      <c r="M103" s="60">
        <v>67.17</v>
      </c>
      <c r="N103" s="60">
        <v>4.4000000000000004</v>
      </c>
      <c r="O103" s="60">
        <v>0</v>
      </c>
      <c r="P103" s="60">
        <v>1.21</v>
      </c>
      <c r="Q103" s="60">
        <v>33.369999999999997</v>
      </c>
      <c r="R103" s="198"/>
      <c r="S103" s="198"/>
      <c r="T103" s="198"/>
      <c r="U103" s="198"/>
    </row>
    <row r="104" spans="1:33" s="12" customFormat="1" x14ac:dyDescent="0.25">
      <c r="A104" s="201" t="s">
        <v>825</v>
      </c>
      <c r="B104" s="60">
        <v>18.89</v>
      </c>
      <c r="C104" s="60">
        <v>50.77</v>
      </c>
      <c r="D104" s="60">
        <v>43.91</v>
      </c>
      <c r="E104" s="60">
        <v>1.4</v>
      </c>
      <c r="F104" s="60">
        <v>3.72</v>
      </c>
      <c r="G104" s="60">
        <v>31.1</v>
      </c>
      <c r="H104" s="60">
        <v>22.61</v>
      </c>
      <c r="I104" s="60">
        <v>0.65</v>
      </c>
      <c r="J104" s="60">
        <v>0.18</v>
      </c>
      <c r="K104" s="60">
        <v>248.7</v>
      </c>
      <c r="L104" s="60">
        <v>22.78</v>
      </c>
      <c r="M104" s="60">
        <v>67.84</v>
      </c>
      <c r="N104" s="60">
        <v>4.5999999999999996</v>
      </c>
      <c r="O104" s="60">
        <v>0</v>
      </c>
      <c r="P104" s="60">
        <v>1.1299999999999999</v>
      </c>
      <c r="Q104" s="60">
        <v>35.14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6.02</v>
      </c>
      <c r="C106" s="67">
        <f>MIN(C9:C104)</f>
        <v>33.369999999999997</v>
      </c>
      <c r="D106" s="67">
        <f t="shared" ref="D106:Q106" si="0">MIN(D9:D104)</f>
        <v>39.08</v>
      </c>
      <c r="E106" s="67">
        <f t="shared" si="0"/>
        <v>0.49</v>
      </c>
      <c r="F106" s="67">
        <f t="shared" si="0"/>
        <v>2.73</v>
      </c>
      <c r="G106" s="67">
        <f t="shared" si="0"/>
        <v>5.96</v>
      </c>
      <c r="H106" s="67">
        <f t="shared" si="0"/>
        <v>22.61</v>
      </c>
      <c r="I106" s="67">
        <f t="shared" si="0"/>
        <v>0.53</v>
      </c>
      <c r="J106" s="67">
        <f t="shared" si="0"/>
        <v>0.02</v>
      </c>
      <c r="K106" s="67">
        <f t="shared" si="0"/>
        <v>2.62</v>
      </c>
      <c r="L106" s="67">
        <f t="shared" si="0"/>
        <v>20.9</v>
      </c>
      <c r="M106" s="67">
        <f t="shared" si="0"/>
        <v>22.46</v>
      </c>
      <c r="N106" s="67">
        <f t="shared" si="0"/>
        <v>3.5</v>
      </c>
      <c r="O106" s="67">
        <f t="shared" si="0"/>
        <v>0</v>
      </c>
      <c r="P106" s="67">
        <f t="shared" si="0"/>
        <v>0.92</v>
      </c>
      <c r="Q106" s="67">
        <f t="shared" si="0"/>
        <v>23.66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81.319999999999993</v>
      </c>
      <c r="C107" s="66">
        <f t="shared" ref="C107:Q107" si="1">MAX(C9:C104)</f>
        <v>121.66</v>
      </c>
      <c r="D107" s="66">
        <f t="shared" si="1"/>
        <v>132.78</v>
      </c>
      <c r="E107" s="66">
        <f t="shared" si="1"/>
        <v>26.55</v>
      </c>
      <c r="F107" s="66">
        <f t="shared" si="1"/>
        <v>45.28</v>
      </c>
      <c r="G107" s="66">
        <f t="shared" si="1"/>
        <v>222.01</v>
      </c>
      <c r="H107" s="66">
        <f t="shared" si="1"/>
        <v>45.98</v>
      </c>
      <c r="I107" s="66">
        <f t="shared" si="1"/>
        <v>1.24</v>
      </c>
      <c r="J107" s="66">
        <f t="shared" si="1"/>
        <v>1.49</v>
      </c>
      <c r="K107" s="66">
        <f t="shared" si="1"/>
        <v>359.07</v>
      </c>
      <c r="L107" s="66">
        <f t="shared" si="1"/>
        <v>35.86</v>
      </c>
      <c r="M107" s="66">
        <f t="shared" si="1"/>
        <v>75.62</v>
      </c>
      <c r="N107" s="66">
        <f t="shared" si="1"/>
        <v>803.6</v>
      </c>
      <c r="O107" s="66">
        <f t="shared" si="1"/>
        <v>0</v>
      </c>
      <c r="P107" s="66">
        <f t="shared" si="1"/>
        <v>2.67</v>
      </c>
      <c r="Q107" s="66">
        <f t="shared" si="1"/>
        <v>42.52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28.527187499999997</v>
      </c>
      <c r="C108" s="67">
        <f t="shared" ref="C108:Q108" si="2">AVERAGE(C9:C104)</f>
        <v>64.371562499999996</v>
      </c>
      <c r="D108" s="67">
        <f t="shared" si="2"/>
        <v>59.142604166666665</v>
      </c>
      <c r="E108" s="67">
        <f t="shared" si="2"/>
        <v>7.1270833333333323</v>
      </c>
      <c r="F108" s="67">
        <f t="shared" si="2"/>
        <v>9.5543749999999985</v>
      </c>
      <c r="G108" s="67">
        <f t="shared" si="2"/>
        <v>106.37711111111112</v>
      </c>
      <c r="H108" s="67">
        <f t="shared" si="2"/>
        <v>35.251666666666672</v>
      </c>
      <c r="I108" s="67">
        <f t="shared" si="2"/>
        <v>0.69635416666666672</v>
      </c>
      <c r="J108" s="67">
        <f t="shared" si="2"/>
        <v>0.42770833333333336</v>
      </c>
      <c r="K108" s="67">
        <f t="shared" si="2"/>
        <v>142.67385416666664</v>
      </c>
      <c r="L108" s="67">
        <f t="shared" si="2"/>
        <v>27.348645833333322</v>
      </c>
      <c r="M108" s="67">
        <f t="shared" si="2"/>
        <v>46.121770833333336</v>
      </c>
      <c r="N108" s="67">
        <f t="shared" si="2"/>
        <v>165.15625000000003</v>
      </c>
      <c r="O108" s="67">
        <f t="shared" si="2"/>
        <v>0</v>
      </c>
      <c r="P108" s="67">
        <f t="shared" si="2"/>
        <v>1.2381249999999999</v>
      </c>
      <c r="Q108" s="67">
        <f t="shared" si="2"/>
        <v>35.705520833333331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18.906257037406263</v>
      </c>
      <c r="C109" s="67">
        <f t="shared" ref="C109:Q109" si="3">STDEV(C9:C104)</f>
        <v>18.251056340192896</v>
      </c>
      <c r="D109" s="67">
        <f t="shared" si="3"/>
        <v>20.07098441163744</v>
      </c>
      <c r="E109" s="67">
        <f t="shared" si="3"/>
        <v>6.6479296209883323</v>
      </c>
      <c r="F109" s="67">
        <f t="shared" si="3"/>
        <v>8.7544614565795484</v>
      </c>
      <c r="G109" s="67">
        <f t="shared" si="3"/>
        <v>45.660250070541345</v>
      </c>
      <c r="H109" s="67">
        <f t="shared" si="3"/>
        <v>3.8418612996324333</v>
      </c>
      <c r="I109" s="67">
        <f t="shared" si="3"/>
        <v>0.13071559961403201</v>
      </c>
      <c r="J109" s="67">
        <f t="shared" si="3"/>
        <v>0.36947609898246225</v>
      </c>
      <c r="K109" s="67">
        <f t="shared" si="3"/>
        <v>115.49013344387379</v>
      </c>
      <c r="L109" s="67">
        <f t="shared" si="3"/>
        <v>4.6124765855442664</v>
      </c>
      <c r="M109" s="67">
        <f t="shared" si="3"/>
        <v>17.0129829059297</v>
      </c>
      <c r="N109" s="67">
        <f t="shared" si="3"/>
        <v>225.85953474274777</v>
      </c>
      <c r="O109" s="67">
        <f t="shared" si="3"/>
        <v>0</v>
      </c>
      <c r="P109" s="67">
        <f t="shared" si="3"/>
        <v>0.35020689373719338</v>
      </c>
      <c r="Q109" s="67">
        <f t="shared" si="3"/>
        <v>3.9532320873436335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90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826</v>
      </c>
      <c r="B9" s="60">
        <v>15.9</v>
      </c>
      <c r="C9" s="60">
        <v>53.69</v>
      </c>
      <c r="D9" s="60">
        <v>43.12</v>
      </c>
      <c r="E9" s="60">
        <v>2</v>
      </c>
      <c r="F9" s="60">
        <v>3.7</v>
      </c>
      <c r="G9" s="60">
        <v>31.1</v>
      </c>
      <c r="H9" s="60">
        <v>22.61</v>
      </c>
      <c r="I9" s="60">
        <v>0.69</v>
      </c>
      <c r="J9" s="60">
        <v>0.26</v>
      </c>
      <c r="K9" s="60">
        <v>257.77</v>
      </c>
      <c r="L9" s="60">
        <v>22.71</v>
      </c>
      <c r="M9" s="60">
        <v>67.73</v>
      </c>
      <c r="N9" s="60">
        <v>4.4000000000000004</v>
      </c>
      <c r="O9" s="60">
        <v>0</v>
      </c>
      <c r="P9" s="60">
        <v>1.05</v>
      </c>
      <c r="Q9" s="60">
        <v>36.22</v>
      </c>
      <c r="R9" s="198"/>
      <c r="S9" s="198"/>
      <c r="T9" s="198"/>
      <c r="U9" s="198"/>
    </row>
    <row r="10" spans="1:21" s="12" customFormat="1" x14ac:dyDescent="0.25">
      <c r="A10" s="201" t="s">
        <v>827</v>
      </c>
      <c r="B10" s="60">
        <v>12.86</v>
      </c>
      <c r="C10" s="60">
        <v>54.35</v>
      </c>
      <c r="D10" s="60">
        <v>41.05</v>
      </c>
      <c r="E10" s="60">
        <v>2.0699999999999998</v>
      </c>
      <c r="F10" s="60">
        <v>3.71</v>
      </c>
      <c r="G10" s="60">
        <v>30.94</v>
      </c>
      <c r="H10" s="60">
        <v>22.35</v>
      </c>
      <c r="I10" s="60">
        <v>0.69</v>
      </c>
      <c r="J10" s="60">
        <v>0.31</v>
      </c>
      <c r="K10" s="60">
        <v>204.31</v>
      </c>
      <c r="L10" s="60">
        <v>22.61</v>
      </c>
      <c r="M10" s="60">
        <v>68.489999999999995</v>
      </c>
      <c r="N10" s="60">
        <v>4.4000000000000004</v>
      </c>
      <c r="O10" s="60">
        <v>0</v>
      </c>
      <c r="P10" s="60">
        <v>0.97</v>
      </c>
      <c r="Q10" s="60">
        <v>36.89</v>
      </c>
      <c r="R10" s="198"/>
      <c r="S10" s="198"/>
      <c r="T10" s="198"/>
      <c r="U10" s="198"/>
    </row>
    <row r="11" spans="1:21" s="12" customFormat="1" x14ac:dyDescent="0.25">
      <c r="A11" s="201" t="s">
        <v>828</v>
      </c>
      <c r="B11" s="60">
        <v>10.57</v>
      </c>
      <c r="C11" s="60">
        <v>53.45</v>
      </c>
      <c r="D11" s="60">
        <v>38.71</v>
      </c>
      <c r="E11" s="60">
        <v>1.87</v>
      </c>
      <c r="F11" s="60">
        <v>3.51</v>
      </c>
      <c r="G11" s="60">
        <v>28.17</v>
      </c>
      <c r="H11" s="60">
        <v>16.84</v>
      </c>
      <c r="I11" s="60">
        <v>0.64</v>
      </c>
      <c r="J11" s="60">
        <v>0.22</v>
      </c>
      <c r="K11" s="60">
        <v>254.69</v>
      </c>
      <c r="L11" s="60">
        <v>22.37</v>
      </c>
      <c r="M11" s="60">
        <v>69.58</v>
      </c>
      <c r="N11" s="60">
        <v>4.5999999999999996</v>
      </c>
      <c r="O11" s="60">
        <v>0</v>
      </c>
      <c r="P11" s="60">
        <v>0.91</v>
      </c>
      <c r="Q11" s="60">
        <v>37.14</v>
      </c>
      <c r="R11" s="198"/>
      <c r="S11" s="198"/>
      <c r="T11" s="198"/>
      <c r="U11" s="198"/>
    </row>
    <row r="12" spans="1:21" s="12" customFormat="1" x14ac:dyDescent="0.25">
      <c r="A12" s="201" t="s">
        <v>829</v>
      </c>
      <c r="B12" s="60">
        <v>8.68</v>
      </c>
      <c r="C12" s="60">
        <v>52.75</v>
      </c>
      <c r="D12" s="60">
        <v>36.81</v>
      </c>
      <c r="E12" s="60">
        <v>1.93</v>
      </c>
      <c r="F12" s="60">
        <v>3.51</v>
      </c>
      <c r="G12" s="60">
        <v>28.17</v>
      </c>
      <c r="H12" s="60">
        <v>16.84</v>
      </c>
      <c r="I12" s="60">
        <v>0.63</v>
      </c>
      <c r="J12" s="60">
        <v>0.14000000000000001</v>
      </c>
      <c r="K12" s="60">
        <v>259.57</v>
      </c>
      <c r="L12" s="60">
        <v>22.25</v>
      </c>
      <c r="M12" s="60">
        <v>69.89</v>
      </c>
      <c r="N12" s="60">
        <v>4.5999999999999996</v>
      </c>
      <c r="O12" s="60">
        <v>0</v>
      </c>
      <c r="P12" s="60">
        <v>0.85</v>
      </c>
      <c r="Q12" s="60">
        <v>37.36</v>
      </c>
      <c r="R12" s="198"/>
      <c r="S12" s="198"/>
      <c r="T12" s="198"/>
      <c r="U12" s="198"/>
    </row>
    <row r="13" spans="1:21" s="12" customFormat="1" x14ac:dyDescent="0.25">
      <c r="A13" s="201" t="s">
        <v>830</v>
      </c>
      <c r="B13" s="60">
        <v>7.12</v>
      </c>
      <c r="C13" s="60">
        <v>51.48</v>
      </c>
      <c r="D13" s="60">
        <v>34.86</v>
      </c>
      <c r="E13" s="60">
        <v>1.89</v>
      </c>
      <c r="F13" s="60">
        <v>3.65</v>
      </c>
      <c r="G13" s="60">
        <v>28.17</v>
      </c>
      <c r="H13" s="60">
        <v>16.84</v>
      </c>
      <c r="I13" s="60">
        <v>0.63</v>
      </c>
      <c r="J13" s="60">
        <v>0.35</v>
      </c>
      <c r="K13" s="60">
        <v>217.5</v>
      </c>
      <c r="L13" s="60">
        <v>22.28</v>
      </c>
      <c r="M13" s="60">
        <v>69.42</v>
      </c>
      <c r="N13" s="60">
        <v>4.0999999999999996</v>
      </c>
      <c r="O13" s="60">
        <v>0</v>
      </c>
      <c r="P13" s="60">
        <v>0.76</v>
      </c>
      <c r="Q13" s="60">
        <v>36.729999999999997</v>
      </c>
      <c r="R13" s="198"/>
      <c r="S13" s="198"/>
      <c r="T13" s="198"/>
      <c r="U13" s="198"/>
    </row>
    <row r="14" spans="1:21" s="12" customFormat="1" x14ac:dyDescent="0.25">
      <c r="A14" s="201" t="s">
        <v>831</v>
      </c>
      <c r="B14" s="60">
        <v>5.22</v>
      </c>
      <c r="C14" s="60">
        <v>39.08</v>
      </c>
      <c r="D14" s="60">
        <v>26.5</v>
      </c>
      <c r="E14" s="60">
        <v>2.0699999999999998</v>
      </c>
      <c r="F14" s="60">
        <v>13.87</v>
      </c>
      <c r="G14" s="60">
        <v>27.49</v>
      </c>
      <c r="H14" s="60">
        <v>16.850000000000001</v>
      </c>
      <c r="I14" s="60">
        <v>0.62</v>
      </c>
      <c r="J14" s="60">
        <v>0.14000000000000001</v>
      </c>
      <c r="K14" s="60">
        <v>248.23</v>
      </c>
      <c r="L14" s="60">
        <v>22.06</v>
      </c>
      <c r="M14" s="60">
        <v>70.77</v>
      </c>
      <c r="N14" s="60">
        <v>4.7</v>
      </c>
      <c r="O14" s="60">
        <v>0</v>
      </c>
      <c r="P14" s="60">
        <v>0.62</v>
      </c>
      <c r="Q14" s="60">
        <v>31.01</v>
      </c>
      <c r="R14" s="198"/>
      <c r="S14" s="198"/>
      <c r="T14" s="198"/>
      <c r="U14" s="198"/>
    </row>
    <row r="15" spans="1:21" s="12" customFormat="1" x14ac:dyDescent="0.25">
      <c r="A15" s="201" t="s">
        <v>832</v>
      </c>
      <c r="B15" s="60">
        <v>5.58</v>
      </c>
      <c r="C15" s="60">
        <v>29.65</v>
      </c>
      <c r="D15" s="60">
        <v>21.58</v>
      </c>
      <c r="E15" s="60">
        <v>2.16</v>
      </c>
      <c r="F15" s="60">
        <v>9.24</v>
      </c>
      <c r="G15" s="211" t="s">
        <v>43</v>
      </c>
      <c r="H15" s="60">
        <v>17.14</v>
      </c>
      <c r="I15" s="60">
        <v>0.56999999999999995</v>
      </c>
      <c r="J15" s="60">
        <v>7.0000000000000007E-2</v>
      </c>
      <c r="K15" s="60">
        <v>298.11</v>
      </c>
      <c r="L15" s="60">
        <v>21.93</v>
      </c>
      <c r="M15" s="60">
        <v>71.31</v>
      </c>
      <c r="N15" s="60">
        <v>4.5999999999999996</v>
      </c>
      <c r="O15" s="60">
        <v>0</v>
      </c>
      <c r="P15" s="60">
        <v>0.66</v>
      </c>
      <c r="Q15" s="60">
        <v>22.81</v>
      </c>
      <c r="R15" s="198"/>
      <c r="S15" s="198"/>
      <c r="T15" s="198"/>
      <c r="U15" s="198"/>
    </row>
    <row r="16" spans="1:21" s="12" customFormat="1" x14ac:dyDescent="0.25">
      <c r="A16" s="201" t="s">
        <v>833</v>
      </c>
      <c r="B16" s="60">
        <v>6.03</v>
      </c>
      <c r="C16" s="60">
        <v>47.4</v>
      </c>
      <c r="D16" s="60">
        <v>31.73</v>
      </c>
      <c r="E16" s="60">
        <v>2.39</v>
      </c>
      <c r="F16" s="60">
        <v>8.76</v>
      </c>
      <c r="G16" s="211" t="s">
        <v>43</v>
      </c>
      <c r="H16" s="60">
        <v>17.14</v>
      </c>
      <c r="I16" s="60">
        <v>0.53</v>
      </c>
      <c r="J16" s="60">
        <v>0.12</v>
      </c>
      <c r="K16" s="60">
        <v>259.83</v>
      </c>
      <c r="L16" s="60">
        <v>21.96</v>
      </c>
      <c r="M16" s="60">
        <v>69.400000000000006</v>
      </c>
      <c r="N16" s="60">
        <v>4.4000000000000004</v>
      </c>
      <c r="O16" s="60">
        <v>0</v>
      </c>
      <c r="P16" s="60">
        <v>0.66</v>
      </c>
      <c r="Q16" s="60">
        <v>27.58</v>
      </c>
      <c r="R16" s="198"/>
      <c r="S16" s="198"/>
      <c r="T16" s="198"/>
      <c r="U16" s="198"/>
    </row>
    <row r="17" spans="1:21" s="12" customFormat="1" x14ac:dyDescent="0.25">
      <c r="A17" s="201" t="s">
        <v>834</v>
      </c>
      <c r="B17" s="60">
        <v>6.29</v>
      </c>
      <c r="C17" s="60">
        <v>46.08</v>
      </c>
      <c r="D17" s="60">
        <v>31.21</v>
      </c>
      <c r="E17" s="60">
        <v>2.1</v>
      </c>
      <c r="F17" s="60">
        <v>8.73</v>
      </c>
      <c r="G17" s="211" t="s">
        <v>43</v>
      </c>
      <c r="H17" s="60">
        <v>17.14</v>
      </c>
      <c r="I17" s="60">
        <v>0.55000000000000004</v>
      </c>
      <c r="J17" s="60">
        <v>0.11</v>
      </c>
      <c r="K17" s="60">
        <v>16.11</v>
      </c>
      <c r="L17" s="60">
        <v>21.82</v>
      </c>
      <c r="M17" s="60">
        <v>69.23</v>
      </c>
      <c r="N17" s="60">
        <v>4.7</v>
      </c>
      <c r="O17" s="60">
        <v>0</v>
      </c>
      <c r="P17" s="60">
        <v>0.66</v>
      </c>
      <c r="Q17" s="60">
        <v>26.6</v>
      </c>
      <c r="R17" s="198"/>
      <c r="S17" s="198"/>
      <c r="T17" s="198"/>
      <c r="U17" s="198"/>
    </row>
    <row r="18" spans="1:21" s="12" customFormat="1" x14ac:dyDescent="0.25">
      <c r="A18" s="201" t="s">
        <v>835</v>
      </c>
      <c r="B18" s="60">
        <v>6.58</v>
      </c>
      <c r="C18" s="60">
        <v>44.63</v>
      </c>
      <c r="D18" s="60">
        <v>30.64</v>
      </c>
      <c r="E18" s="60">
        <v>1.99</v>
      </c>
      <c r="F18" s="60">
        <v>9.1</v>
      </c>
      <c r="G18" s="211" t="s">
        <v>43</v>
      </c>
      <c r="H18" s="60">
        <v>16.899999999999999</v>
      </c>
      <c r="I18" s="60">
        <v>0.6</v>
      </c>
      <c r="J18" s="60">
        <v>0.06</v>
      </c>
      <c r="K18" s="60">
        <v>21.5</v>
      </c>
      <c r="L18" s="60">
        <v>21.79</v>
      </c>
      <c r="M18" s="60">
        <v>67.55</v>
      </c>
      <c r="N18" s="60">
        <v>4.3</v>
      </c>
      <c r="O18" s="60">
        <v>0</v>
      </c>
      <c r="P18" s="60">
        <v>0.63</v>
      </c>
      <c r="Q18" s="60">
        <v>27.01</v>
      </c>
      <c r="R18" s="198"/>
      <c r="S18" s="198"/>
      <c r="T18" s="198"/>
      <c r="U18" s="198"/>
    </row>
    <row r="19" spans="1:21" s="12" customFormat="1" x14ac:dyDescent="0.25">
      <c r="A19" s="201" t="s">
        <v>836</v>
      </c>
      <c r="B19" s="60">
        <v>6.59</v>
      </c>
      <c r="C19" s="60">
        <v>45.9</v>
      </c>
      <c r="D19" s="60">
        <v>31.35</v>
      </c>
      <c r="E19" s="60">
        <v>1.89</v>
      </c>
      <c r="F19" s="60">
        <v>10.199999999999999</v>
      </c>
      <c r="G19" s="60">
        <v>37.85</v>
      </c>
      <c r="H19" s="60">
        <v>11.91</v>
      </c>
      <c r="I19" s="60">
        <v>0.57999999999999996</v>
      </c>
      <c r="J19" s="60">
        <v>7.0000000000000007E-2</v>
      </c>
      <c r="K19" s="60">
        <v>268.56</v>
      </c>
      <c r="L19" s="60">
        <v>21.93</v>
      </c>
      <c r="M19" s="60">
        <v>65.5</v>
      </c>
      <c r="N19" s="60">
        <v>4.2</v>
      </c>
      <c r="O19" s="60">
        <v>0</v>
      </c>
      <c r="P19" s="60">
        <v>0.61</v>
      </c>
      <c r="Q19" s="60">
        <v>29.1</v>
      </c>
      <c r="R19" s="198"/>
      <c r="S19" s="198"/>
      <c r="T19" s="198"/>
      <c r="U19" s="198"/>
    </row>
    <row r="20" spans="1:21" s="12" customFormat="1" x14ac:dyDescent="0.25">
      <c r="A20" s="201" t="s">
        <v>837</v>
      </c>
      <c r="B20" s="60">
        <v>6.55</v>
      </c>
      <c r="C20" s="60">
        <v>43.12</v>
      </c>
      <c r="D20" s="60">
        <v>29.8</v>
      </c>
      <c r="E20" s="60">
        <v>1.95</v>
      </c>
      <c r="F20" s="60">
        <v>10.88</v>
      </c>
      <c r="G20" s="60">
        <v>37.85</v>
      </c>
      <c r="H20" s="60">
        <v>11.91</v>
      </c>
      <c r="I20" s="60">
        <v>0.56999999999999995</v>
      </c>
      <c r="J20" s="60">
        <v>0.08</v>
      </c>
      <c r="K20" s="60">
        <v>267.58999999999997</v>
      </c>
      <c r="L20" s="60">
        <v>21.69</v>
      </c>
      <c r="M20" s="60">
        <v>66.44</v>
      </c>
      <c r="N20" s="60">
        <v>4.5</v>
      </c>
      <c r="O20" s="60">
        <v>0</v>
      </c>
      <c r="P20" s="60">
        <v>0.59</v>
      </c>
      <c r="Q20" s="60">
        <v>28.53</v>
      </c>
      <c r="R20" s="198"/>
      <c r="S20" s="198"/>
      <c r="T20" s="198"/>
      <c r="U20" s="198"/>
    </row>
    <row r="21" spans="1:21" s="12" customFormat="1" x14ac:dyDescent="0.25">
      <c r="A21" s="201" t="s">
        <v>838</v>
      </c>
      <c r="B21" s="60">
        <v>7.14</v>
      </c>
      <c r="C21" s="60">
        <v>46.56</v>
      </c>
      <c r="D21" s="60">
        <v>32.159999999999997</v>
      </c>
      <c r="E21" s="60">
        <v>2.13</v>
      </c>
      <c r="F21" s="60">
        <v>6.98</v>
      </c>
      <c r="G21" s="60">
        <v>37.85</v>
      </c>
      <c r="H21" s="60">
        <v>11.91</v>
      </c>
      <c r="I21" s="60">
        <v>0.56000000000000005</v>
      </c>
      <c r="J21" s="60">
        <v>0.09</v>
      </c>
      <c r="K21" s="60">
        <v>325.17</v>
      </c>
      <c r="L21" s="60">
        <v>21.13</v>
      </c>
      <c r="M21" s="60">
        <v>70.62</v>
      </c>
      <c r="N21" s="60">
        <v>4.9000000000000004</v>
      </c>
      <c r="O21" s="60">
        <v>0</v>
      </c>
      <c r="P21" s="60">
        <v>0.63</v>
      </c>
      <c r="Q21" s="60">
        <v>30.75</v>
      </c>
      <c r="R21" s="198"/>
      <c r="S21" s="198"/>
      <c r="T21" s="198"/>
      <c r="U21" s="198"/>
    </row>
    <row r="22" spans="1:21" s="12" customFormat="1" x14ac:dyDescent="0.25">
      <c r="A22" s="201" t="s">
        <v>839</v>
      </c>
      <c r="B22" s="60">
        <v>7.49</v>
      </c>
      <c r="C22" s="60">
        <v>48.95</v>
      </c>
      <c r="D22" s="60">
        <v>33.76</v>
      </c>
      <c r="E22" s="60">
        <v>2.02</v>
      </c>
      <c r="F22" s="60">
        <v>4.08</v>
      </c>
      <c r="G22" s="60">
        <v>37.56</v>
      </c>
      <c r="H22" s="60">
        <v>12.02</v>
      </c>
      <c r="I22" s="60">
        <v>0.56999999999999995</v>
      </c>
      <c r="J22" s="60">
        <v>0.08</v>
      </c>
      <c r="K22" s="60">
        <v>297.54000000000002</v>
      </c>
      <c r="L22" s="60">
        <v>21.12</v>
      </c>
      <c r="M22" s="60">
        <v>69.760000000000005</v>
      </c>
      <c r="N22" s="60">
        <v>4.5</v>
      </c>
      <c r="O22" s="60">
        <v>0</v>
      </c>
      <c r="P22" s="60">
        <v>0.62</v>
      </c>
      <c r="Q22" s="60">
        <v>34.67</v>
      </c>
      <c r="R22" s="198"/>
      <c r="S22" s="198"/>
      <c r="T22" s="198"/>
      <c r="U22" s="198"/>
    </row>
    <row r="23" spans="1:21" s="12" customFormat="1" x14ac:dyDescent="0.25">
      <c r="A23" s="201" t="s">
        <v>840</v>
      </c>
      <c r="B23" s="60">
        <v>7.02</v>
      </c>
      <c r="C23" s="60">
        <v>48.46</v>
      </c>
      <c r="D23" s="60">
        <v>33.119999999999997</v>
      </c>
      <c r="E23" s="60">
        <v>2.04</v>
      </c>
      <c r="F23" s="60">
        <v>3.55</v>
      </c>
      <c r="G23" s="60">
        <v>31.4</v>
      </c>
      <c r="H23" s="60">
        <v>14.01</v>
      </c>
      <c r="I23" s="60">
        <v>0.56999999999999995</v>
      </c>
      <c r="J23" s="60">
        <v>0.12</v>
      </c>
      <c r="K23" s="60">
        <v>346.21</v>
      </c>
      <c r="L23" s="60">
        <v>20.8</v>
      </c>
      <c r="M23" s="60">
        <v>72.37</v>
      </c>
      <c r="N23" s="60">
        <v>4.7</v>
      </c>
      <c r="O23" s="60">
        <v>0</v>
      </c>
      <c r="P23" s="60">
        <v>0.59</v>
      </c>
      <c r="Q23" s="60">
        <v>35.36</v>
      </c>
      <c r="R23" s="198"/>
      <c r="S23" s="198"/>
      <c r="T23" s="198"/>
      <c r="U23" s="198"/>
    </row>
    <row r="24" spans="1:21" s="12" customFormat="1" x14ac:dyDescent="0.25">
      <c r="A24" s="201" t="s">
        <v>841</v>
      </c>
      <c r="B24" s="60">
        <v>6.57</v>
      </c>
      <c r="C24" s="60">
        <v>48.67</v>
      </c>
      <c r="D24" s="60">
        <v>32.869999999999997</v>
      </c>
      <c r="E24" s="60">
        <v>0.37</v>
      </c>
      <c r="F24" s="60">
        <v>3.61</v>
      </c>
      <c r="G24" s="60">
        <v>31.4</v>
      </c>
      <c r="H24" s="60">
        <v>14.01</v>
      </c>
      <c r="I24" s="60">
        <v>0.57999999999999996</v>
      </c>
      <c r="J24" s="60">
        <v>0.22</v>
      </c>
      <c r="K24" s="60">
        <v>355.98</v>
      </c>
      <c r="L24" s="60">
        <v>20.66</v>
      </c>
      <c r="M24" s="60">
        <v>72.8</v>
      </c>
      <c r="N24" s="60">
        <v>4.3</v>
      </c>
      <c r="O24" s="60">
        <v>0</v>
      </c>
      <c r="P24" s="60">
        <v>0.56999999999999995</v>
      </c>
      <c r="Q24" s="60">
        <v>36.33</v>
      </c>
      <c r="R24" s="198"/>
      <c r="S24" s="198"/>
      <c r="T24" s="198"/>
      <c r="U24" s="198"/>
    </row>
    <row r="25" spans="1:21" s="12" customFormat="1" x14ac:dyDescent="0.25">
      <c r="A25" s="201" t="s">
        <v>842</v>
      </c>
      <c r="B25" s="60">
        <v>6.07</v>
      </c>
      <c r="C25" s="60">
        <v>49.04</v>
      </c>
      <c r="D25" s="60">
        <v>32.67</v>
      </c>
      <c r="E25" s="60">
        <v>0.9</v>
      </c>
      <c r="F25" s="60">
        <v>3.65</v>
      </c>
      <c r="G25" s="60">
        <v>31.4</v>
      </c>
      <c r="H25" s="60">
        <v>14.01</v>
      </c>
      <c r="I25" s="60">
        <v>0.56999999999999995</v>
      </c>
      <c r="J25" s="60">
        <v>0.13</v>
      </c>
      <c r="K25" s="60">
        <v>250.86</v>
      </c>
      <c r="L25" s="60">
        <v>21.44</v>
      </c>
      <c r="M25" s="60">
        <v>68.38</v>
      </c>
      <c r="N25" s="60">
        <v>3.7</v>
      </c>
      <c r="O25" s="60">
        <v>0</v>
      </c>
      <c r="P25" s="60">
        <v>0.55000000000000004</v>
      </c>
      <c r="Q25" s="60">
        <v>36.93</v>
      </c>
      <c r="R25" s="198"/>
      <c r="S25" s="198"/>
      <c r="T25" s="198"/>
      <c r="U25" s="198"/>
    </row>
    <row r="26" spans="1:21" s="12" customFormat="1" x14ac:dyDescent="0.25">
      <c r="A26" s="201" t="s">
        <v>843</v>
      </c>
      <c r="B26" s="60">
        <v>5.6</v>
      </c>
      <c r="C26" s="60">
        <v>48.87</v>
      </c>
      <c r="D26" s="60">
        <v>32.200000000000003</v>
      </c>
      <c r="E26" s="60">
        <v>1.42</v>
      </c>
      <c r="F26" s="60">
        <v>3.48</v>
      </c>
      <c r="G26" s="60">
        <v>30.3</v>
      </c>
      <c r="H26" s="60">
        <v>14.01</v>
      </c>
      <c r="I26" s="60">
        <v>0.56000000000000005</v>
      </c>
      <c r="J26" s="60">
        <v>0.06</v>
      </c>
      <c r="K26" s="60">
        <v>37.79</v>
      </c>
      <c r="L26" s="60">
        <v>21.57</v>
      </c>
      <c r="M26" s="60">
        <v>68.040000000000006</v>
      </c>
      <c r="N26" s="60">
        <v>4.8</v>
      </c>
      <c r="O26" s="60">
        <v>0</v>
      </c>
      <c r="P26" s="60">
        <v>0.53</v>
      </c>
      <c r="Q26" s="60">
        <v>36.880000000000003</v>
      </c>
      <c r="R26" s="198"/>
      <c r="S26" s="198"/>
      <c r="T26" s="198"/>
      <c r="U26" s="198"/>
    </row>
    <row r="27" spans="1:21" s="12" customFormat="1" x14ac:dyDescent="0.25">
      <c r="A27" s="201" t="s">
        <v>844</v>
      </c>
      <c r="B27" s="60">
        <v>6.6</v>
      </c>
      <c r="C27" s="60">
        <v>50.14</v>
      </c>
      <c r="D27" s="60">
        <v>33.700000000000003</v>
      </c>
      <c r="E27" s="60">
        <v>1.1200000000000001</v>
      </c>
      <c r="F27" s="60">
        <v>3.2</v>
      </c>
      <c r="G27" s="211" t="s">
        <v>43</v>
      </c>
      <c r="H27" s="60">
        <v>14.04</v>
      </c>
      <c r="I27" s="60">
        <v>0.55000000000000004</v>
      </c>
      <c r="J27" s="60">
        <v>7.0000000000000007E-2</v>
      </c>
      <c r="K27" s="60">
        <v>98.18</v>
      </c>
      <c r="L27" s="60">
        <v>21.06</v>
      </c>
      <c r="M27" s="60">
        <v>71.72</v>
      </c>
      <c r="N27" s="60">
        <v>4.7</v>
      </c>
      <c r="O27" s="60">
        <v>0</v>
      </c>
      <c r="P27" s="60">
        <v>0.52</v>
      </c>
      <c r="Q27" s="60">
        <v>36.76</v>
      </c>
      <c r="R27" s="198"/>
      <c r="S27" s="198"/>
      <c r="T27" s="198"/>
      <c r="U27" s="198"/>
    </row>
    <row r="28" spans="1:21" s="12" customFormat="1" x14ac:dyDescent="0.25">
      <c r="A28" s="201" t="s">
        <v>845</v>
      </c>
      <c r="B28" s="60">
        <v>7.79</v>
      </c>
      <c r="C28" s="60">
        <v>48.14</v>
      </c>
      <c r="D28" s="60">
        <v>33.56</v>
      </c>
      <c r="E28" s="60">
        <v>1.19</v>
      </c>
      <c r="F28" s="60">
        <v>4.17</v>
      </c>
      <c r="G28" s="211" t="s">
        <v>43</v>
      </c>
      <c r="H28" s="60">
        <v>14.04</v>
      </c>
      <c r="I28" s="60">
        <v>0.54</v>
      </c>
      <c r="J28" s="60">
        <v>0.27</v>
      </c>
      <c r="K28" s="60">
        <v>88.87</v>
      </c>
      <c r="L28" s="60">
        <v>20.77</v>
      </c>
      <c r="M28" s="60">
        <v>73.25</v>
      </c>
      <c r="N28" s="60">
        <v>4.4000000000000004</v>
      </c>
      <c r="O28" s="60">
        <v>0</v>
      </c>
      <c r="P28" s="60">
        <v>0.52</v>
      </c>
      <c r="Q28" s="60">
        <v>35.020000000000003</v>
      </c>
      <c r="R28" s="198"/>
      <c r="S28" s="198"/>
      <c r="T28" s="198"/>
      <c r="U28" s="198"/>
    </row>
    <row r="29" spans="1:21" s="12" customFormat="1" x14ac:dyDescent="0.25">
      <c r="A29" s="201" t="s">
        <v>846</v>
      </c>
      <c r="B29" s="60">
        <v>11.64</v>
      </c>
      <c r="C29" s="60">
        <v>35.26</v>
      </c>
      <c r="D29" s="60">
        <v>29.54</v>
      </c>
      <c r="E29" s="60">
        <v>1.59</v>
      </c>
      <c r="F29" s="60">
        <v>7.13</v>
      </c>
      <c r="G29" s="211" t="s">
        <v>43</v>
      </c>
      <c r="H29" s="60">
        <v>14.04</v>
      </c>
      <c r="I29" s="60">
        <v>0.55000000000000004</v>
      </c>
      <c r="J29" s="60">
        <v>0.43</v>
      </c>
      <c r="K29" s="60">
        <v>99.75</v>
      </c>
      <c r="L29" s="60">
        <v>21.44</v>
      </c>
      <c r="M29" s="60">
        <v>68.209999999999994</v>
      </c>
      <c r="N29" s="60">
        <v>3.7</v>
      </c>
      <c r="O29" s="60">
        <v>0</v>
      </c>
      <c r="P29" s="60">
        <v>0.51</v>
      </c>
      <c r="Q29" s="60">
        <v>25.96</v>
      </c>
      <c r="R29" s="198"/>
      <c r="S29" s="198"/>
      <c r="T29" s="198"/>
      <c r="U29" s="198"/>
    </row>
    <row r="30" spans="1:21" s="12" customFormat="1" x14ac:dyDescent="0.25">
      <c r="A30" s="201" t="s">
        <v>847</v>
      </c>
      <c r="B30" s="60">
        <v>11.62</v>
      </c>
      <c r="C30" s="60">
        <v>45.4</v>
      </c>
      <c r="D30" s="60">
        <v>35.11</v>
      </c>
      <c r="E30" s="60">
        <v>1.57</v>
      </c>
      <c r="F30" s="60">
        <v>5.4</v>
      </c>
      <c r="G30" s="211" t="s">
        <v>43</v>
      </c>
      <c r="H30" s="60">
        <v>14.23</v>
      </c>
      <c r="I30" s="60">
        <v>0.54</v>
      </c>
      <c r="J30" s="60">
        <v>0.42</v>
      </c>
      <c r="K30" s="60">
        <v>158.44999999999999</v>
      </c>
      <c r="L30" s="60">
        <v>21.57</v>
      </c>
      <c r="M30" s="60">
        <v>68.31</v>
      </c>
      <c r="N30" s="60">
        <v>4</v>
      </c>
      <c r="O30" s="60">
        <v>0</v>
      </c>
      <c r="P30" s="60">
        <v>0.53</v>
      </c>
      <c r="Q30" s="60">
        <v>27.73</v>
      </c>
      <c r="R30" s="198"/>
      <c r="S30" s="198"/>
      <c r="T30" s="198"/>
      <c r="U30" s="198"/>
    </row>
    <row r="31" spans="1:21" s="12" customFormat="1" x14ac:dyDescent="0.25">
      <c r="A31" s="201" t="s">
        <v>848</v>
      </c>
      <c r="B31" s="60">
        <v>10.72</v>
      </c>
      <c r="C31" s="60">
        <v>48.39</v>
      </c>
      <c r="D31" s="60">
        <v>36.04</v>
      </c>
      <c r="E31" s="60">
        <v>1.93</v>
      </c>
      <c r="F31" s="60">
        <v>4.82</v>
      </c>
      <c r="G31" s="60">
        <v>59.44</v>
      </c>
      <c r="H31" s="60">
        <v>18.190000000000001</v>
      </c>
      <c r="I31" s="60">
        <v>0.54</v>
      </c>
      <c r="J31" s="60">
        <v>1.1499999999999999</v>
      </c>
      <c r="K31" s="60">
        <v>110.96</v>
      </c>
      <c r="L31" s="60">
        <v>21.6</v>
      </c>
      <c r="M31" s="60">
        <v>68.83</v>
      </c>
      <c r="N31" s="60">
        <v>5.3</v>
      </c>
      <c r="O31" s="60">
        <v>0</v>
      </c>
      <c r="P31" s="60">
        <v>0.52</v>
      </c>
      <c r="Q31" s="60">
        <v>29.87</v>
      </c>
      <c r="R31" s="198"/>
      <c r="S31" s="198"/>
      <c r="T31" s="198"/>
      <c r="U31" s="198"/>
    </row>
    <row r="32" spans="1:21" s="12" customFormat="1" x14ac:dyDescent="0.25">
      <c r="A32" s="201" t="s">
        <v>849</v>
      </c>
      <c r="B32" s="60">
        <v>11.36</v>
      </c>
      <c r="C32" s="60">
        <v>45.9</v>
      </c>
      <c r="D32" s="60">
        <v>35.19</v>
      </c>
      <c r="E32" s="60">
        <v>1.17</v>
      </c>
      <c r="F32" s="60">
        <v>4.3600000000000003</v>
      </c>
      <c r="G32" s="60">
        <v>59.44</v>
      </c>
      <c r="H32" s="60">
        <v>18.190000000000001</v>
      </c>
      <c r="I32" s="60">
        <v>0.56000000000000005</v>
      </c>
      <c r="J32" s="60">
        <v>0.76</v>
      </c>
      <c r="K32" s="60">
        <v>106.33</v>
      </c>
      <c r="L32" s="60">
        <v>21.59</v>
      </c>
      <c r="M32" s="60">
        <v>68.650000000000006</v>
      </c>
      <c r="N32" s="60">
        <v>13</v>
      </c>
      <c r="O32" s="60">
        <v>0</v>
      </c>
      <c r="P32" s="60">
        <v>0.53</v>
      </c>
      <c r="Q32" s="60">
        <v>32.130000000000003</v>
      </c>
      <c r="R32" s="198"/>
      <c r="S32" s="198"/>
      <c r="T32" s="198"/>
      <c r="U32" s="198"/>
    </row>
    <row r="33" spans="1:21" s="12" customFormat="1" x14ac:dyDescent="0.25">
      <c r="A33" s="201" t="s">
        <v>850</v>
      </c>
      <c r="B33" s="60">
        <v>12.77</v>
      </c>
      <c r="C33" s="60">
        <v>46.06</v>
      </c>
      <c r="D33" s="60">
        <v>36.4</v>
      </c>
      <c r="E33" s="60">
        <v>1.44</v>
      </c>
      <c r="F33" s="60">
        <v>4.1900000000000004</v>
      </c>
      <c r="G33" s="60">
        <v>59.44</v>
      </c>
      <c r="H33" s="60">
        <v>18.190000000000001</v>
      </c>
      <c r="I33" s="60">
        <v>0.56999999999999995</v>
      </c>
      <c r="J33" s="60">
        <v>0.26</v>
      </c>
      <c r="K33" s="60">
        <v>153.26</v>
      </c>
      <c r="L33" s="60">
        <v>21.35</v>
      </c>
      <c r="M33" s="60">
        <v>70.430000000000007</v>
      </c>
      <c r="N33" s="60">
        <v>30.4</v>
      </c>
      <c r="O33" s="60">
        <v>0</v>
      </c>
      <c r="P33" s="60">
        <v>0.52</v>
      </c>
      <c r="Q33" s="60">
        <v>33.200000000000003</v>
      </c>
      <c r="R33" s="198"/>
      <c r="S33" s="198"/>
      <c r="T33" s="198"/>
      <c r="U33" s="198"/>
    </row>
    <row r="34" spans="1:21" s="12" customFormat="1" x14ac:dyDescent="0.25">
      <c r="A34" s="201" t="s">
        <v>851</v>
      </c>
      <c r="B34" s="60">
        <v>12.37</v>
      </c>
      <c r="C34" s="60">
        <v>45.84</v>
      </c>
      <c r="D34" s="60">
        <v>35.96</v>
      </c>
      <c r="E34" s="60">
        <v>1.33</v>
      </c>
      <c r="F34" s="60">
        <v>4.01</v>
      </c>
      <c r="G34" s="60">
        <v>58.52</v>
      </c>
      <c r="H34" s="60">
        <v>18.170000000000002</v>
      </c>
      <c r="I34" s="60">
        <v>0.56999999999999995</v>
      </c>
      <c r="J34" s="60">
        <v>0.35</v>
      </c>
      <c r="K34" s="60">
        <v>140.52000000000001</v>
      </c>
      <c r="L34" s="60">
        <v>21.55</v>
      </c>
      <c r="M34" s="60">
        <v>69.75</v>
      </c>
      <c r="N34" s="60">
        <v>58.1</v>
      </c>
      <c r="O34" s="60">
        <v>0</v>
      </c>
      <c r="P34" s="60">
        <v>0.51</v>
      </c>
      <c r="Q34" s="60">
        <v>33.08</v>
      </c>
      <c r="R34" s="198"/>
      <c r="S34" s="198"/>
      <c r="T34" s="198"/>
      <c r="U34" s="198"/>
    </row>
    <row r="35" spans="1:21" s="12" customFormat="1" x14ac:dyDescent="0.25">
      <c r="A35" s="201" t="s">
        <v>852</v>
      </c>
      <c r="B35" s="60">
        <v>12.78</v>
      </c>
      <c r="C35" s="60">
        <v>47.13</v>
      </c>
      <c r="D35" s="60">
        <v>37</v>
      </c>
      <c r="E35" s="60">
        <v>1.43</v>
      </c>
      <c r="F35" s="60">
        <v>3.83</v>
      </c>
      <c r="G35" s="60">
        <v>42.81</v>
      </c>
      <c r="H35" s="60">
        <v>17.760000000000002</v>
      </c>
      <c r="I35" s="60">
        <v>0.59</v>
      </c>
      <c r="J35" s="60">
        <v>0.68</v>
      </c>
      <c r="K35" s="60">
        <v>186.08</v>
      </c>
      <c r="L35" s="60">
        <v>21.71</v>
      </c>
      <c r="M35" s="60">
        <v>69.760000000000005</v>
      </c>
      <c r="N35" s="60">
        <v>98</v>
      </c>
      <c r="O35" s="60">
        <v>0</v>
      </c>
      <c r="P35" s="60">
        <v>0.52</v>
      </c>
      <c r="Q35" s="60">
        <v>33.909999999999997</v>
      </c>
      <c r="R35" s="198"/>
      <c r="S35" s="198"/>
      <c r="T35" s="198"/>
      <c r="U35" s="198"/>
    </row>
    <row r="36" spans="1:21" s="12" customFormat="1" x14ac:dyDescent="0.25">
      <c r="A36" s="201" t="s">
        <v>853</v>
      </c>
      <c r="B36" s="60">
        <v>12.89</v>
      </c>
      <c r="C36" s="60">
        <v>46.08</v>
      </c>
      <c r="D36" s="60">
        <v>36.5</v>
      </c>
      <c r="E36" s="60">
        <v>1.58</v>
      </c>
      <c r="F36" s="60">
        <v>3.23</v>
      </c>
      <c r="G36" s="60">
        <v>42.81</v>
      </c>
      <c r="H36" s="60">
        <v>17.760000000000002</v>
      </c>
      <c r="I36" s="60">
        <v>0.6</v>
      </c>
      <c r="J36" s="60">
        <v>0.33</v>
      </c>
      <c r="K36" s="60">
        <v>193.66</v>
      </c>
      <c r="L36" s="60">
        <v>22.25</v>
      </c>
      <c r="M36" s="60">
        <v>68.459999999999994</v>
      </c>
      <c r="N36" s="60">
        <v>141.1</v>
      </c>
      <c r="O36" s="60">
        <v>0</v>
      </c>
      <c r="P36" s="60">
        <v>0.52</v>
      </c>
      <c r="Q36" s="60">
        <v>36.93</v>
      </c>
      <c r="R36" s="198"/>
      <c r="S36" s="198"/>
      <c r="T36" s="198"/>
      <c r="U36" s="198"/>
    </row>
    <row r="37" spans="1:21" s="12" customFormat="1" x14ac:dyDescent="0.25">
      <c r="A37" s="201" t="s">
        <v>854</v>
      </c>
      <c r="B37" s="60">
        <v>12.67</v>
      </c>
      <c r="C37" s="60">
        <v>46.46</v>
      </c>
      <c r="D37" s="60">
        <v>36.54</v>
      </c>
      <c r="E37" s="60">
        <v>1.66</v>
      </c>
      <c r="F37" s="60">
        <v>3.4</v>
      </c>
      <c r="G37" s="60">
        <v>42.81</v>
      </c>
      <c r="H37" s="60">
        <v>17.760000000000002</v>
      </c>
      <c r="I37" s="60">
        <v>0.59</v>
      </c>
      <c r="J37" s="60">
        <v>0.71</v>
      </c>
      <c r="K37" s="60">
        <v>123.25</v>
      </c>
      <c r="L37" s="60">
        <v>22.8</v>
      </c>
      <c r="M37" s="60">
        <v>66.790000000000006</v>
      </c>
      <c r="N37" s="60">
        <v>192.4</v>
      </c>
      <c r="O37" s="60">
        <v>0</v>
      </c>
      <c r="P37" s="60">
        <v>0.54</v>
      </c>
      <c r="Q37" s="60">
        <v>38.14</v>
      </c>
      <c r="R37" s="198"/>
      <c r="S37" s="198"/>
      <c r="T37" s="198"/>
      <c r="U37" s="198"/>
    </row>
    <row r="38" spans="1:21" s="12" customFormat="1" x14ac:dyDescent="0.25">
      <c r="A38" s="201" t="s">
        <v>855</v>
      </c>
      <c r="B38" s="60">
        <v>11.61</v>
      </c>
      <c r="C38" s="60">
        <v>48.01</v>
      </c>
      <c r="D38" s="60">
        <v>36.54</v>
      </c>
      <c r="E38" s="60">
        <v>1.41</v>
      </c>
      <c r="F38" s="60">
        <v>3.46</v>
      </c>
      <c r="G38" s="60">
        <v>42.63</v>
      </c>
      <c r="H38" s="60">
        <v>17.8</v>
      </c>
      <c r="I38" s="60">
        <v>0.57999999999999996</v>
      </c>
      <c r="J38" s="60">
        <v>0.6</v>
      </c>
      <c r="K38" s="60">
        <v>169.02</v>
      </c>
      <c r="L38" s="60">
        <v>23.44</v>
      </c>
      <c r="M38" s="60">
        <v>63.89</v>
      </c>
      <c r="N38" s="60">
        <v>244.4</v>
      </c>
      <c r="O38" s="60">
        <v>0</v>
      </c>
      <c r="P38" s="60">
        <v>0.57999999999999996</v>
      </c>
      <c r="Q38" s="60">
        <v>39.03</v>
      </c>
      <c r="R38" s="198"/>
      <c r="S38" s="198"/>
      <c r="T38" s="198"/>
      <c r="U38" s="198"/>
    </row>
    <row r="39" spans="1:21" s="12" customFormat="1" x14ac:dyDescent="0.25">
      <c r="A39" s="201" t="s">
        <v>856</v>
      </c>
      <c r="B39" s="60">
        <v>10.130000000000001</v>
      </c>
      <c r="C39" s="60">
        <v>49.44</v>
      </c>
      <c r="D39" s="60">
        <v>36.15</v>
      </c>
      <c r="E39" s="60">
        <v>1.43</v>
      </c>
      <c r="F39" s="60">
        <v>3.33</v>
      </c>
      <c r="G39" s="60">
        <v>38.700000000000003</v>
      </c>
      <c r="H39" s="60">
        <v>18.54</v>
      </c>
      <c r="I39" s="60">
        <v>0.59</v>
      </c>
      <c r="J39" s="60">
        <v>0.56999999999999995</v>
      </c>
      <c r="K39" s="60">
        <v>182.37</v>
      </c>
      <c r="L39" s="60">
        <v>24.19</v>
      </c>
      <c r="M39" s="60">
        <v>60.96</v>
      </c>
      <c r="N39" s="60">
        <v>299.10000000000002</v>
      </c>
      <c r="O39" s="60">
        <v>0</v>
      </c>
      <c r="P39" s="60">
        <v>0.56000000000000005</v>
      </c>
      <c r="Q39" s="60">
        <v>38.69</v>
      </c>
      <c r="R39" s="198"/>
      <c r="S39" s="198"/>
      <c r="T39" s="198"/>
      <c r="U39" s="198"/>
    </row>
    <row r="40" spans="1:21" s="12" customFormat="1" x14ac:dyDescent="0.25">
      <c r="A40" s="201" t="s">
        <v>857</v>
      </c>
      <c r="B40" s="60">
        <v>8.8000000000000007</v>
      </c>
      <c r="C40" s="60">
        <v>50.1</v>
      </c>
      <c r="D40" s="60">
        <v>35.450000000000003</v>
      </c>
      <c r="E40" s="60">
        <v>1.43</v>
      </c>
      <c r="F40" s="60">
        <v>3.6</v>
      </c>
      <c r="G40" s="60">
        <v>38.700000000000003</v>
      </c>
      <c r="H40" s="60">
        <v>18.54</v>
      </c>
      <c r="I40" s="60">
        <v>0.56999999999999995</v>
      </c>
      <c r="J40" s="60">
        <v>0.45</v>
      </c>
      <c r="K40" s="60">
        <v>173.67</v>
      </c>
      <c r="L40" s="60">
        <v>25.08</v>
      </c>
      <c r="M40" s="60">
        <v>58.49</v>
      </c>
      <c r="N40" s="60">
        <v>351.7</v>
      </c>
      <c r="O40" s="60">
        <v>0</v>
      </c>
      <c r="P40" s="60">
        <v>0.56000000000000005</v>
      </c>
      <c r="Q40" s="60">
        <v>38.82</v>
      </c>
      <c r="R40" s="198"/>
      <c r="S40" s="198"/>
      <c r="T40" s="198"/>
      <c r="U40" s="198"/>
    </row>
    <row r="41" spans="1:21" s="12" customFormat="1" x14ac:dyDescent="0.25">
      <c r="A41" s="201" t="s">
        <v>858</v>
      </c>
      <c r="B41" s="60">
        <v>7.87</v>
      </c>
      <c r="C41" s="60">
        <v>50</v>
      </c>
      <c r="D41" s="60">
        <v>34.65</v>
      </c>
      <c r="E41" s="60">
        <v>1.43</v>
      </c>
      <c r="F41" s="60">
        <v>3.74</v>
      </c>
      <c r="G41" s="60">
        <v>38.700000000000003</v>
      </c>
      <c r="H41" s="60">
        <v>18.54</v>
      </c>
      <c r="I41" s="60">
        <v>0.56000000000000005</v>
      </c>
      <c r="J41" s="60">
        <v>0.81</v>
      </c>
      <c r="K41" s="60">
        <v>175.65</v>
      </c>
      <c r="L41" s="60">
        <v>25.32</v>
      </c>
      <c r="M41" s="60">
        <v>57.28</v>
      </c>
      <c r="N41" s="60">
        <v>410.2</v>
      </c>
      <c r="O41" s="60">
        <v>0</v>
      </c>
      <c r="P41" s="60">
        <v>0.56000000000000005</v>
      </c>
      <c r="Q41" s="60">
        <v>37.9</v>
      </c>
      <c r="R41" s="198"/>
      <c r="S41" s="198"/>
      <c r="T41" s="198"/>
      <c r="U41" s="198"/>
    </row>
    <row r="42" spans="1:21" s="12" customFormat="1" x14ac:dyDescent="0.25">
      <c r="A42" s="201" t="s">
        <v>859</v>
      </c>
      <c r="B42" s="60">
        <v>6.88</v>
      </c>
      <c r="C42" s="60">
        <v>50.51</v>
      </c>
      <c r="D42" s="60">
        <v>34.14</v>
      </c>
      <c r="E42" s="60">
        <v>1.28</v>
      </c>
      <c r="F42" s="60">
        <v>4.97</v>
      </c>
      <c r="G42" s="60">
        <v>38.53</v>
      </c>
      <c r="H42" s="60">
        <v>18.57</v>
      </c>
      <c r="I42" s="60">
        <v>0.56000000000000005</v>
      </c>
      <c r="J42" s="60">
        <v>0.84</v>
      </c>
      <c r="K42" s="60">
        <v>169.73</v>
      </c>
      <c r="L42" s="60">
        <v>25.93</v>
      </c>
      <c r="M42" s="60">
        <v>54.38</v>
      </c>
      <c r="N42" s="60">
        <v>464.9</v>
      </c>
      <c r="O42" s="60">
        <v>0</v>
      </c>
      <c r="P42" s="60">
        <v>0.56000000000000005</v>
      </c>
      <c r="Q42" s="60">
        <v>36.74</v>
      </c>
      <c r="R42" s="198"/>
      <c r="S42" s="198"/>
      <c r="T42" s="198"/>
      <c r="U42" s="198"/>
    </row>
    <row r="43" spans="1:21" s="12" customFormat="1" x14ac:dyDescent="0.25">
      <c r="A43" s="201" t="s">
        <v>860</v>
      </c>
      <c r="B43" s="60">
        <v>6.14</v>
      </c>
      <c r="C43" s="60">
        <v>36.22</v>
      </c>
      <c r="D43" s="60">
        <v>25.65</v>
      </c>
      <c r="E43" s="60">
        <v>1.99</v>
      </c>
      <c r="F43" s="60">
        <v>7.23</v>
      </c>
      <c r="G43" s="60">
        <v>34.869999999999997</v>
      </c>
      <c r="H43" s="60">
        <v>19.32</v>
      </c>
      <c r="I43" s="60">
        <v>0.55000000000000004</v>
      </c>
      <c r="J43" s="60">
        <v>0.35</v>
      </c>
      <c r="K43" s="60">
        <v>216.48</v>
      </c>
      <c r="L43" s="60">
        <v>26.82</v>
      </c>
      <c r="M43" s="60">
        <v>50</v>
      </c>
      <c r="N43" s="60">
        <v>516.1</v>
      </c>
      <c r="O43" s="60">
        <v>0</v>
      </c>
      <c r="P43" s="60">
        <v>0.55000000000000004</v>
      </c>
      <c r="Q43" s="60">
        <v>31.82</v>
      </c>
      <c r="R43" s="198"/>
      <c r="S43" s="198"/>
      <c r="T43" s="198"/>
      <c r="U43" s="198"/>
    </row>
    <row r="44" spans="1:21" s="12" customFormat="1" x14ac:dyDescent="0.25">
      <c r="A44" s="201" t="s">
        <v>861</v>
      </c>
      <c r="B44" s="60">
        <v>6.1</v>
      </c>
      <c r="C44" s="60">
        <v>29.89</v>
      </c>
      <c r="D44" s="60">
        <v>22.13</v>
      </c>
      <c r="E44" s="60">
        <v>2.67</v>
      </c>
      <c r="F44" s="60">
        <v>11.02</v>
      </c>
      <c r="G44" s="60">
        <v>34.869999999999997</v>
      </c>
      <c r="H44" s="60">
        <v>19.32</v>
      </c>
      <c r="I44" s="60">
        <v>0.55000000000000004</v>
      </c>
      <c r="J44" s="60">
        <v>0.53</v>
      </c>
      <c r="K44" s="60">
        <v>188.17</v>
      </c>
      <c r="L44" s="60">
        <v>27.88</v>
      </c>
      <c r="M44" s="60">
        <v>45.32</v>
      </c>
      <c r="N44" s="60">
        <v>572.4</v>
      </c>
      <c r="O44" s="60">
        <v>0</v>
      </c>
      <c r="P44" s="60">
        <v>0.57999999999999996</v>
      </c>
      <c r="Q44" s="60">
        <v>26.7</v>
      </c>
      <c r="R44" s="198"/>
      <c r="S44" s="198"/>
      <c r="T44" s="198"/>
      <c r="U44" s="198"/>
    </row>
    <row r="45" spans="1:21" s="12" customFormat="1" x14ac:dyDescent="0.25">
      <c r="A45" s="201" t="s">
        <v>862</v>
      </c>
      <c r="B45" s="60">
        <v>6.74</v>
      </c>
      <c r="C45" s="60">
        <v>29.56</v>
      </c>
      <c r="D45" s="60">
        <v>22.46</v>
      </c>
      <c r="E45" s="60">
        <v>3.42</v>
      </c>
      <c r="F45" s="60">
        <v>14.67</v>
      </c>
      <c r="G45" s="60">
        <v>34.869999999999997</v>
      </c>
      <c r="H45" s="60">
        <v>19.32</v>
      </c>
      <c r="I45" s="60">
        <v>0.54</v>
      </c>
      <c r="J45" s="60">
        <v>0.14000000000000001</v>
      </c>
      <c r="K45" s="60">
        <v>75.180000000000007</v>
      </c>
      <c r="L45" s="60">
        <v>29.34</v>
      </c>
      <c r="M45" s="60">
        <v>42.16</v>
      </c>
      <c r="N45" s="60">
        <v>622.29999999999995</v>
      </c>
      <c r="O45" s="60">
        <v>0</v>
      </c>
      <c r="P45" s="60">
        <v>0.61</v>
      </c>
      <c r="Q45" s="60">
        <v>24.33</v>
      </c>
      <c r="R45" s="198"/>
      <c r="S45" s="198"/>
      <c r="T45" s="198"/>
      <c r="U45" s="198"/>
    </row>
    <row r="46" spans="1:21" s="12" customFormat="1" x14ac:dyDescent="0.25">
      <c r="A46" s="201" t="s">
        <v>863</v>
      </c>
      <c r="B46" s="60">
        <v>7.32</v>
      </c>
      <c r="C46" s="60">
        <v>44.67</v>
      </c>
      <c r="D46" s="60">
        <v>31.26</v>
      </c>
      <c r="E46" s="60">
        <v>4.04</v>
      </c>
      <c r="F46" s="60">
        <v>17.36</v>
      </c>
      <c r="G46" s="60">
        <v>35.5</v>
      </c>
      <c r="H46" s="60">
        <v>19.34</v>
      </c>
      <c r="I46" s="60">
        <v>0.56000000000000005</v>
      </c>
      <c r="J46" s="60">
        <v>0.59</v>
      </c>
      <c r="K46" s="60">
        <v>27.69</v>
      </c>
      <c r="L46" s="60">
        <v>31.72</v>
      </c>
      <c r="M46" s="60">
        <v>36.659999999999997</v>
      </c>
      <c r="N46" s="60">
        <v>636</v>
      </c>
      <c r="O46" s="60">
        <v>0</v>
      </c>
      <c r="P46" s="60">
        <v>0.64</v>
      </c>
      <c r="Q46" s="60">
        <v>25.84</v>
      </c>
      <c r="R46" s="198"/>
      <c r="S46" s="198"/>
      <c r="T46" s="198"/>
      <c r="U46" s="198"/>
    </row>
    <row r="47" spans="1:21" s="12" customFormat="1" x14ac:dyDescent="0.25">
      <c r="A47" s="201" t="s">
        <v>864</v>
      </c>
      <c r="B47" s="60">
        <v>7.45</v>
      </c>
      <c r="C47" s="60">
        <v>42.15</v>
      </c>
      <c r="D47" s="60">
        <v>29.98</v>
      </c>
      <c r="E47" s="60">
        <v>5.25</v>
      </c>
      <c r="F47" s="60">
        <v>17.23</v>
      </c>
      <c r="G47" s="60">
        <v>46.2</v>
      </c>
      <c r="H47" s="60">
        <v>19.86</v>
      </c>
      <c r="I47" s="60">
        <v>0.56999999999999995</v>
      </c>
      <c r="J47" s="60">
        <v>0.34</v>
      </c>
      <c r="K47" s="60">
        <v>105.02</v>
      </c>
      <c r="L47" s="60">
        <v>31.47</v>
      </c>
      <c r="M47" s="60">
        <v>36.840000000000003</v>
      </c>
      <c r="N47" s="60">
        <v>663</v>
      </c>
      <c r="O47" s="60">
        <v>0</v>
      </c>
      <c r="P47" s="60">
        <v>0.66</v>
      </c>
      <c r="Q47" s="60">
        <v>32.08</v>
      </c>
      <c r="R47" s="198"/>
      <c r="S47" s="198"/>
      <c r="T47" s="198"/>
      <c r="U47" s="198"/>
    </row>
    <row r="48" spans="1:21" s="12" customFormat="1" x14ac:dyDescent="0.25">
      <c r="A48" s="201" t="s">
        <v>865</v>
      </c>
      <c r="B48" s="60">
        <v>7.15</v>
      </c>
      <c r="C48" s="60">
        <v>34.14</v>
      </c>
      <c r="D48" s="60">
        <v>25.32</v>
      </c>
      <c r="E48" s="60">
        <v>7.18</v>
      </c>
      <c r="F48" s="60">
        <v>19.64</v>
      </c>
      <c r="G48" s="60">
        <v>46.2</v>
      </c>
      <c r="H48" s="60">
        <v>19.86</v>
      </c>
      <c r="I48" s="60">
        <v>0.56000000000000005</v>
      </c>
      <c r="J48" s="60">
        <v>0.48</v>
      </c>
      <c r="K48" s="60">
        <v>174.3</v>
      </c>
      <c r="L48" s="60">
        <v>30.87</v>
      </c>
      <c r="M48" s="60">
        <v>36.58</v>
      </c>
      <c r="N48" s="60">
        <v>734.1</v>
      </c>
      <c r="O48" s="60">
        <v>0</v>
      </c>
      <c r="P48" s="60">
        <v>0.65</v>
      </c>
      <c r="Q48" s="60">
        <v>28.82</v>
      </c>
      <c r="R48" s="198"/>
      <c r="S48" s="198"/>
      <c r="T48" s="198"/>
      <c r="U48" s="198"/>
    </row>
    <row r="49" spans="1:21" s="12" customFormat="1" x14ac:dyDescent="0.25">
      <c r="A49" s="201" t="s">
        <v>866</v>
      </c>
      <c r="B49" s="60">
        <v>7.07</v>
      </c>
      <c r="C49" s="60">
        <v>33.979999999999997</v>
      </c>
      <c r="D49" s="60">
        <v>25.17</v>
      </c>
      <c r="E49" s="60">
        <v>7.33</v>
      </c>
      <c r="F49" s="60">
        <v>11.37</v>
      </c>
      <c r="G49" s="60">
        <v>46.2</v>
      </c>
      <c r="H49" s="60">
        <v>19.86</v>
      </c>
      <c r="I49" s="60">
        <v>0.55000000000000004</v>
      </c>
      <c r="J49" s="60">
        <v>0.04</v>
      </c>
      <c r="K49" s="60">
        <v>277.45</v>
      </c>
      <c r="L49" s="60">
        <v>31.99</v>
      </c>
      <c r="M49" s="60">
        <v>34</v>
      </c>
      <c r="N49" s="60">
        <v>656.1</v>
      </c>
      <c r="O49" s="60">
        <v>0</v>
      </c>
      <c r="P49" s="60">
        <v>0.67</v>
      </c>
      <c r="Q49" s="60">
        <v>27.04</v>
      </c>
      <c r="R49" s="198"/>
      <c r="S49" s="198"/>
      <c r="T49" s="198"/>
      <c r="U49" s="198"/>
    </row>
    <row r="50" spans="1:21" s="12" customFormat="1" x14ac:dyDescent="0.25">
      <c r="A50" s="201" t="s">
        <v>867</v>
      </c>
      <c r="B50" s="60">
        <v>6.4</v>
      </c>
      <c r="C50" s="60">
        <v>35.89</v>
      </c>
      <c r="D50" s="60">
        <v>25.68</v>
      </c>
      <c r="E50" s="60">
        <v>3.41</v>
      </c>
      <c r="F50" s="60">
        <v>6.46</v>
      </c>
      <c r="G50" s="60">
        <v>46.62</v>
      </c>
      <c r="H50" s="60">
        <v>19.84</v>
      </c>
      <c r="I50" s="60">
        <v>0.59</v>
      </c>
      <c r="J50" s="60">
        <v>0.05</v>
      </c>
      <c r="K50" s="60">
        <v>161.30000000000001</v>
      </c>
      <c r="L50" s="60">
        <v>31.18</v>
      </c>
      <c r="M50" s="60">
        <v>34.72</v>
      </c>
      <c r="N50" s="60">
        <v>437.1</v>
      </c>
      <c r="O50" s="60">
        <v>0</v>
      </c>
      <c r="P50" s="60">
        <v>0.66</v>
      </c>
      <c r="Q50" s="60">
        <v>29.23</v>
      </c>
      <c r="R50" s="198"/>
      <c r="S50" s="198"/>
      <c r="T50" s="198"/>
      <c r="U50" s="198"/>
    </row>
    <row r="51" spans="1:21" s="12" customFormat="1" x14ac:dyDescent="0.25">
      <c r="A51" s="201" t="s">
        <v>868</v>
      </c>
      <c r="B51" s="60">
        <v>5.36</v>
      </c>
      <c r="C51" s="60">
        <v>49.11</v>
      </c>
      <c r="D51" s="60">
        <v>32.14</v>
      </c>
      <c r="E51" s="60">
        <v>3.61</v>
      </c>
      <c r="F51" s="60">
        <v>20.65</v>
      </c>
      <c r="G51" s="60">
        <v>53.82</v>
      </c>
      <c r="H51" s="60">
        <v>19.489999999999998</v>
      </c>
      <c r="I51" s="60">
        <v>0.61</v>
      </c>
      <c r="J51" s="60">
        <v>0.57999999999999996</v>
      </c>
      <c r="K51" s="60">
        <v>13.67</v>
      </c>
      <c r="L51" s="60">
        <v>33.72</v>
      </c>
      <c r="M51" s="60">
        <v>31.23</v>
      </c>
      <c r="N51" s="60">
        <v>654.20000000000005</v>
      </c>
      <c r="O51" s="60">
        <v>0</v>
      </c>
      <c r="P51" s="60">
        <v>0.87</v>
      </c>
      <c r="Q51" s="60">
        <v>32.08</v>
      </c>
      <c r="R51" s="198"/>
      <c r="S51" s="198"/>
      <c r="T51" s="198"/>
      <c r="U51" s="198"/>
    </row>
    <row r="52" spans="1:21" s="12" customFormat="1" x14ac:dyDescent="0.25">
      <c r="A52" s="201" t="s">
        <v>869</v>
      </c>
      <c r="B52" s="60">
        <v>5.35</v>
      </c>
      <c r="C52" s="60">
        <v>85.27</v>
      </c>
      <c r="D52" s="60">
        <v>52.09</v>
      </c>
      <c r="E52" s="60">
        <v>5.05</v>
      </c>
      <c r="F52" s="60">
        <v>21.79</v>
      </c>
      <c r="G52" s="60">
        <v>53.82</v>
      </c>
      <c r="H52" s="60">
        <v>19.489999999999998</v>
      </c>
      <c r="I52" s="60">
        <v>0.61</v>
      </c>
      <c r="J52" s="60">
        <v>0.3</v>
      </c>
      <c r="K52" s="60">
        <v>37.04</v>
      </c>
      <c r="L52" s="60">
        <v>33.799999999999997</v>
      </c>
      <c r="M52" s="60">
        <v>31.77</v>
      </c>
      <c r="N52" s="60">
        <v>606.5</v>
      </c>
      <c r="O52" s="60">
        <v>0</v>
      </c>
      <c r="P52" s="60">
        <v>1.34</v>
      </c>
      <c r="Q52" s="60">
        <v>32.97</v>
      </c>
      <c r="R52" s="198"/>
      <c r="S52" s="198"/>
      <c r="T52" s="198"/>
      <c r="U52" s="198"/>
    </row>
    <row r="53" spans="1:21" s="12" customFormat="1" x14ac:dyDescent="0.25">
      <c r="A53" s="201" t="s">
        <v>870</v>
      </c>
      <c r="B53" s="60">
        <v>3.34</v>
      </c>
      <c r="C53" s="60">
        <v>79.83</v>
      </c>
      <c r="D53" s="60">
        <v>47.47</v>
      </c>
      <c r="E53" s="60">
        <v>2.2999999999999998</v>
      </c>
      <c r="F53" s="60">
        <v>11.61</v>
      </c>
      <c r="G53" s="60">
        <v>53.82</v>
      </c>
      <c r="H53" s="60">
        <v>19.489999999999998</v>
      </c>
      <c r="I53" s="60">
        <v>0.56000000000000005</v>
      </c>
      <c r="J53" s="60">
        <v>0.49</v>
      </c>
      <c r="K53" s="60">
        <v>29.42</v>
      </c>
      <c r="L53" s="60">
        <v>32.4</v>
      </c>
      <c r="M53" s="60">
        <v>33.979999999999997</v>
      </c>
      <c r="N53" s="60">
        <v>493.3</v>
      </c>
      <c r="O53" s="60">
        <v>0</v>
      </c>
      <c r="P53" s="60">
        <v>1.27</v>
      </c>
      <c r="Q53" s="60">
        <v>33.42</v>
      </c>
      <c r="R53" s="198"/>
      <c r="S53" s="198"/>
      <c r="T53" s="198"/>
      <c r="U53" s="198"/>
    </row>
    <row r="54" spans="1:21" s="12" customFormat="1" x14ac:dyDescent="0.25">
      <c r="A54" s="201" t="s">
        <v>871</v>
      </c>
      <c r="B54" s="60">
        <v>3.81</v>
      </c>
      <c r="C54" s="60">
        <v>71.92</v>
      </c>
      <c r="D54" s="60">
        <v>43.49</v>
      </c>
      <c r="E54" s="60">
        <v>2.2200000000000002</v>
      </c>
      <c r="F54" s="60">
        <v>8.8800000000000008</v>
      </c>
      <c r="G54" s="60">
        <v>53.49</v>
      </c>
      <c r="H54" s="60">
        <v>19.66</v>
      </c>
      <c r="I54" s="60">
        <v>0.5</v>
      </c>
      <c r="J54" s="60">
        <v>0.54</v>
      </c>
      <c r="K54" s="60">
        <v>1.96</v>
      </c>
      <c r="L54" s="60">
        <v>34.049999999999997</v>
      </c>
      <c r="M54" s="60">
        <v>31.31</v>
      </c>
      <c r="N54" s="60">
        <v>600</v>
      </c>
      <c r="O54" s="60">
        <v>0</v>
      </c>
      <c r="P54" s="60">
        <v>1.26</v>
      </c>
      <c r="Q54" s="60">
        <v>32.94</v>
      </c>
      <c r="R54" s="198"/>
      <c r="S54" s="198"/>
      <c r="T54" s="198"/>
      <c r="U54" s="198"/>
    </row>
    <row r="55" spans="1:21" s="12" customFormat="1" x14ac:dyDescent="0.25">
      <c r="A55" s="201" t="s">
        <v>872</v>
      </c>
      <c r="B55" s="60">
        <v>4.1100000000000003</v>
      </c>
      <c r="C55" s="60">
        <v>67.06</v>
      </c>
      <c r="D55" s="60">
        <v>41.05</v>
      </c>
      <c r="E55" s="60">
        <v>1.95</v>
      </c>
      <c r="F55" s="60">
        <v>10.61</v>
      </c>
      <c r="G55" s="60">
        <v>46.48</v>
      </c>
      <c r="H55" s="60">
        <v>22.53</v>
      </c>
      <c r="I55" s="60">
        <v>0.5</v>
      </c>
      <c r="J55" s="60">
        <v>0.48</v>
      </c>
      <c r="K55" s="60">
        <v>23.78</v>
      </c>
      <c r="L55" s="60">
        <v>35.04</v>
      </c>
      <c r="M55" s="60">
        <v>29.6</v>
      </c>
      <c r="N55" s="60">
        <v>712</v>
      </c>
      <c r="O55" s="60">
        <v>0</v>
      </c>
      <c r="P55" s="60">
        <v>1.24</v>
      </c>
      <c r="Q55" s="60">
        <v>32.69</v>
      </c>
      <c r="R55" s="198"/>
      <c r="S55" s="198"/>
      <c r="T55" s="198"/>
      <c r="U55" s="198"/>
    </row>
    <row r="56" spans="1:21" s="12" customFormat="1" x14ac:dyDescent="0.25">
      <c r="A56" s="201" t="s">
        <v>873</v>
      </c>
      <c r="B56" s="60">
        <v>3.86</v>
      </c>
      <c r="C56" s="60">
        <v>64.95</v>
      </c>
      <c r="D56" s="60">
        <v>39.68</v>
      </c>
      <c r="E56" s="60">
        <v>1.7</v>
      </c>
      <c r="F56" s="60">
        <v>11.79</v>
      </c>
      <c r="G56" s="60">
        <v>46.48</v>
      </c>
      <c r="H56" s="60">
        <v>22.53</v>
      </c>
      <c r="I56" s="60">
        <v>0.5</v>
      </c>
      <c r="J56" s="60">
        <v>0.66</v>
      </c>
      <c r="K56" s="60">
        <v>127.36</v>
      </c>
      <c r="L56" s="60">
        <v>32.29</v>
      </c>
      <c r="M56" s="60">
        <v>32.58</v>
      </c>
      <c r="N56" s="60">
        <v>690.3</v>
      </c>
      <c r="O56" s="60">
        <v>0</v>
      </c>
      <c r="P56" s="60">
        <v>1.21</v>
      </c>
      <c r="Q56" s="60">
        <v>31.41</v>
      </c>
      <c r="R56" s="198"/>
      <c r="S56" s="198"/>
      <c r="T56" s="198"/>
      <c r="U56" s="198"/>
    </row>
    <row r="57" spans="1:21" s="12" customFormat="1" x14ac:dyDescent="0.25">
      <c r="A57" s="201" t="s">
        <v>874</v>
      </c>
      <c r="B57" s="60">
        <v>6.84</v>
      </c>
      <c r="C57" s="60">
        <v>53.43</v>
      </c>
      <c r="D57" s="60">
        <v>35.71</v>
      </c>
      <c r="E57" s="60">
        <v>5.57</v>
      </c>
      <c r="F57" s="60">
        <v>36.79</v>
      </c>
      <c r="G57" s="60">
        <v>46.48</v>
      </c>
      <c r="H57" s="60">
        <v>22.53</v>
      </c>
      <c r="I57" s="60">
        <v>0.5</v>
      </c>
      <c r="J57" s="60">
        <v>0.42</v>
      </c>
      <c r="K57" s="60">
        <v>27.47</v>
      </c>
      <c r="L57" s="60">
        <v>34.06</v>
      </c>
      <c r="M57" s="60">
        <v>28.24</v>
      </c>
      <c r="N57" s="60">
        <v>684.2</v>
      </c>
      <c r="O57" s="60">
        <v>0</v>
      </c>
      <c r="P57" s="60">
        <v>1.1000000000000001</v>
      </c>
      <c r="Q57" s="60">
        <v>32.270000000000003</v>
      </c>
      <c r="R57" s="198"/>
      <c r="S57" s="198"/>
      <c r="T57" s="198"/>
      <c r="U57" s="198"/>
    </row>
    <row r="58" spans="1:21" s="12" customFormat="1" x14ac:dyDescent="0.25">
      <c r="A58" s="201" t="s">
        <v>875</v>
      </c>
      <c r="B58" s="60">
        <v>5.86</v>
      </c>
      <c r="C58" s="60">
        <v>37.92</v>
      </c>
      <c r="D58" s="60">
        <v>26.37</v>
      </c>
      <c r="E58" s="60">
        <v>4.57</v>
      </c>
      <c r="F58" s="60">
        <v>21.22</v>
      </c>
      <c r="G58" s="60">
        <v>46.12</v>
      </c>
      <c r="H58" s="60">
        <v>22.67</v>
      </c>
      <c r="I58" s="60">
        <v>0.49</v>
      </c>
      <c r="J58" s="60">
        <v>0.14000000000000001</v>
      </c>
      <c r="K58" s="60">
        <v>342.67</v>
      </c>
      <c r="L58" s="60">
        <v>35.19</v>
      </c>
      <c r="M58" s="60">
        <v>25.33</v>
      </c>
      <c r="N58" s="60">
        <v>811.8</v>
      </c>
      <c r="O58" s="60">
        <v>0</v>
      </c>
      <c r="P58" s="60">
        <v>1.07</v>
      </c>
      <c r="Q58" s="60">
        <v>26.09</v>
      </c>
      <c r="R58" s="198"/>
      <c r="S58" s="198"/>
      <c r="T58" s="198"/>
      <c r="U58" s="198"/>
    </row>
    <row r="59" spans="1:21" s="12" customFormat="1" x14ac:dyDescent="0.25">
      <c r="A59" s="201" t="s">
        <v>876</v>
      </c>
      <c r="B59" s="60">
        <v>5.0199999999999996</v>
      </c>
      <c r="C59" s="60">
        <v>38.270000000000003</v>
      </c>
      <c r="D59" s="60">
        <v>25.89</v>
      </c>
      <c r="E59" s="60">
        <v>4.55</v>
      </c>
      <c r="F59" s="60">
        <v>38.61</v>
      </c>
      <c r="G59" s="60">
        <v>39.93</v>
      </c>
      <c r="H59" s="60">
        <v>25.17</v>
      </c>
      <c r="I59" s="60">
        <v>0.5</v>
      </c>
      <c r="J59" s="60">
        <v>0.26</v>
      </c>
      <c r="K59" s="60">
        <v>30.36</v>
      </c>
      <c r="L59" s="60">
        <v>35.24</v>
      </c>
      <c r="M59" s="60">
        <v>25.18</v>
      </c>
      <c r="N59" s="60">
        <v>735.5</v>
      </c>
      <c r="O59" s="60">
        <v>0</v>
      </c>
      <c r="P59" s="60">
        <v>0.99</v>
      </c>
      <c r="Q59" s="60">
        <v>22.03</v>
      </c>
      <c r="R59" s="198"/>
      <c r="S59" s="198"/>
      <c r="T59" s="198"/>
      <c r="U59" s="198"/>
    </row>
    <row r="60" spans="1:21" s="12" customFormat="1" x14ac:dyDescent="0.25">
      <c r="A60" s="201" t="s">
        <v>877</v>
      </c>
      <c r="B60" s="60">
        <v>4.2699999999999996</v>
      </c>
      <c r="C60" s="60">
        <v>38.76</v>
      </c>
      <c r="D60" s="60">
        <v>25.55</v>
      </c>
      <c r="E60" s="60">
        <v>7.4</v>
      </c>
      <c r="F60" s="60">
        <v>37.01</v>
      </c>
      <c r="G60" s="60">
        <v>39.93</v>
      </c>
      <c r="H60" s="60">
        <v>25.17</v>
      </c>
      <c r="I60" s="60">
        <v>0.52</v>
      </c>
      <c r="J60" s="60">
        <v>0.28999999999999998</v>
      </c>
      <c r="K60" s="60">
        <v>43.89</v>
      </c>
      <c r="L60" s="60">
        <v>34.97</v>
      </c>
      <c r="M60" s="60">
        <v>26.92</v>
      </c>
      <c r="N60" s="60">
        <v>696.4</v>
      </c>
      <c r="O60" s="60">
        <v>0</v>
      </c>
      <c r="P60" s="60">
        <v>0.99</v>
      </c>
      <c r="Q60" s="60">
        <v>21.59</v>
      </c>
      <c r="R60" s="198"/>
      <c r="S60" s="198"/>
      <c r="T60" s="198"/>
      <c r="U60" s="198"/>
    </row>
    <row r="61" spans="1:21" s="12" customFormat="1" x14ac:dyDescent="0.25">
      <c r="A61" s="201" t="s">
        <v>878</v>
      </c>
      <c r="B61" s="60">
        <v>3.47</v>
      </c>
      <c r="C61" s="60">
        <v>38.659999999999997</v>
      </c>
      <c r="D61" s="60">
        <v>24.86</v>
      </c>
      <c r="E61" s="60">
        <v>5.34</v>
      </c>
      <c r="F61" s="60">
        <v>37.74</v>
      </c>
      <c r="G61" s="60">
        <v>39.93</v>
      </c>
      <c r="H61" s="60">
        <v>25.17</v>
      </c>
      <c r="I61" s="60">
        <v>0.53</v>
      </c>
      <c r="J61" s="60">
        <v>0.59</v>
      </c>
      <c r="K61" s="60">
        <v>167.36</v>
      </c>
      <c r="L61" s="60">
        <v>34.700000000000003</v>
      </c>
      <c r="M61" s="60">
        <v>25.95</v>
      </c>
      <c r="N61" s="60">
        <v>699.2</v>
      </c>
      <c r="O61" s="60">
        <v>0</v>
      </c>
      <c r="P61" s="60">
        <v>0.87</v>
      </c>
      <c r="Q61" s="60">
        <v>23.98</v>
      </c>
      <c r="R61" s="198"/>
      <c r="S61" s="198"/>
      <c r="T61" s="198"/>
      <c r="U61" s="198"/>
    </row>
    <row r="62" spans="1:21" s="12" customFormat="1" x14ac:dyDescent="0.25">
      <c r="A62" s="201" t="s">
        <v>879</v>
      </c>
      <c r="B62" s="60">
        <v>3.35</v>
      </c>
      <c r="C62" s="60">
        <v>37.340000000000003</v>
      </c>
      <c r="D62" s="60">
        <v>24.03</v>
      </c>
      <c r="E62" s="60">
        <v>6.93</v>
      </c>
      <c r="F62" s="60">
        <v>55.02</v>
      </c>
      <c r="G62" s="60">
        <v>40.229999999999997</v>
      </c>
      <c r="H62" s="60">
        <v>25.19</v>
      </c>
      <c r="I62" s="60">
        <v>0.54</v>
      </c>
      <c r="J62" s="60">
        <v>0.57999999999999996</v>
      </c>
      <c r="K62" s="60">
        <v>143.96</v>
      </c>
      <c r="L62" s="60">
        <v>33.14</v>
      </c>
      <c r="M62" s="60">
        <v>28.41</v>
      </c>
      <c r="N62" s="60">
        <v>569.70000000000005</v>
      </c>
      <c r="O62" s="60">
        <v>0</v>
      </c>
      <c r="P62" s="60">
        <v>0.83</v>
      </c>
      <c r="Q62" s="60">
        <v>24.71</v>
      </c>
      <c r="R62" s="198"/>
      <c r="S62" s="198"/>
      <c r="T62" s="198"/>
      <c r="U62" s="198"/>
    </row>
    <row r="63" spans="1:21" s="12" customFormat="1" x14ac:dyDescent="0.25">
      <c r="A63" s="201" t="s">
        <v>880</v>
      </c>
      <c r="B63" s="60">
        <v>2.77</v>
      </c>
      <c r="C63" s="60">
        <v>35.1</v>
      </c>
      <c r="D63" s="60">
        <v>22.34</v>
      </c>
      <c r="E63" s="60">
        <v>3.82</v>
      </c>
      <c r="F63" s="60">
        <v>31.5</v>
      </c>
      <c r="G63" s="60">
        <v>45.4</v>
      </c>
      <c r="H63" s="60">
        <v>25.5</v>
      </c>
      <c r="I63" s="60">
        <v>0.56000000000000005</v>
      </c>
      <c r="J63" s="60">
        <v>0.74</v>
      </c>
      <c r="K63" s="60">
        <v>191.77</v>
      </c>
      <c r="L63" s="60">
        <v>33.25</v>
      </c>
      <c r="M63" s="60">
        <v>28.16</v>
      </c>
      <c r="N63" s="60">
        <v>690.8</v>
      </c>
      <c r="O63" s="60">
        <v>0</v>
      </c>
      <c r="P63" s="60">
        <v>0.8</v>
      </c>
      <c r="Q63" s="60">
        <v>26.77</v>
      </c>
      <c r="R63" s="198"/>
      <c r="S63" s="198"/>
      <c r="T63" s="198"/>
      <c r="U63" s="198"/>
    </row>
    <row r="64" spans="1:21" s="12" customFormat="1" x14ac:dyDescent="0.25">
      <c r="A64" s="201" t="s">
        <v>881</v>
      </c>
      <c r="B64" s="60">
        <v>2.38</v>
      </c>
      <c r="C64" s="60">
        <v>35.299999999999997</v>
      </c>
      <c r="D64" s="60">
        <v>22.13</v>
      </c>
      <c r="E64" s="60">
        <v>3.96</v>
      </c>
      <c r="F64" s="60">
        <v>20.47</v>
      </c>
      <c r="G64" s="60">
        <v>45.4</v>
      </c>
      <c r="H64" s="60">
        <v>25.5</v>
      </c>
      <c r="I64" s="60">
        <v>0.55000000000000004</v>
      </c>
      <c r="J64" s="60">
        <v>0.24</v>
      </c>
      <c r="K64" s="60">
        <v>220.59</v>
      </c>
      <c r="L64" s="60">
        <v>33.79</v>
      </c>
      <c r="M64" s="60">
        <v>27.04</v>
      </c>
      <c r="N64" s="60">
        <v>693.7</v>
      </c>
      <c r="O64" s="60">
        <v>0</v>
      </c>
      <c r="P64" s="60">
        <v>0.81</v>
      </c>
      <c r="Q64" s="60">
        <v>28.6</v>
      </c>
      <c r="R64" s="198"/>
      <c r="S64" s="198"/>
      <c r="T64" s="198"/>
      <c r="U64" s="198"/>
    </row>
    <row r="65" spans="1:21" s="12" customFormat="1" x14ac:dyDescent="0.25">
      <c r="A65" s="201" t="s">
        <v>882</v>
      </c>
      <c r="B65" s="60">
        <v>2.19</v>
      </c>
      <c r="C65" s="60">
        <v>39</v>
      </c>
      <c r="D65" s="60">
        <v>24.02</v>
      </c>
      <c r="E65" s="60">
        <v>3.24</v>
      </c>
      <c r="F65" s="60">
        <v>18.46</v>
      </c>
      <c r="G65" s="60">
        <v>45.4</v>
      </c>
      <c r="H65" s="60">
        <v>25.5</v>
      </c>
      <c r="I65" s="60">
        <v>0.59</v>
      </c>
      <c r="J65" s="60">
        <v>0.31</v>
      </c>
      <c r="K65" s="60">
        <v>233.14</v>
      </c>
      <c r="L65" s="60">
        <v>33.85</v>
      </c>
      <c r="M65" s="60">
        <v>26.66</v>
      </c>
      <c r="N65" s="60">
        <v>688.6</v>
      </c>
      <c r="O65" s="60">
        <v>0</v>
      </c>
      <c r="P65" s="60">
        <v>0.77</v>
      </c>
      <c r="Q65" s="60">
        <v>30.72</v>
      </c>
      <c r="R65" s="198"/>
      <c r="S65" s="198"/>
      <c r="T65" s="198"/>
      <c r="U65" s="198"/>
    </row>
    <row r="66" spans="1:21" s="12" customFormat="1" x14ac:dyDescent="0.25">
      <c r="A66" s="201" t="s">
        <v>883</v>
      </c>
      <c r="B66" s="60">
        <v>2.08</v>
      </c>
      <c r="C66" s="60">
        <v>40.76</v>
      </c>
      <c r="D66" s="60">
        <v>24.9</v>
      </c>
      <c r="E66" s="60">
        <v>2.46</v>
      </c>
      <c r="F66" s="60">
        <v>19.88</v>
      </c>
      <c r="G66" s="60">
        <v>45.77</v>
      </c>
      <c r="H66" s="60">
        <v>25.36</v>
      </c>
      <c r="I66" s="60">
        <v>0.61</v>
      </c>
      <c r="J66" s="60">
        <v>0.15</v>
      </c>
      <c r="K66" s="60">
        <v>19.239999999999998</v>
      </c>
      <c r="L66" s="60">
        <v>34.590000000000003</v>
      </c>
      <c r="M66" s="60">
        <v>24.24</v>
      </c>
      <c r="N66" s="60">
        <v>628.4</v>
      </c>
      <c r="O66" s="60">
        <v>0</v>
      </c>
      <c r="P66" s="60">
        <v>0.71</v>
      </c>
      <c r="Q66" s="60">
        <v>31.11</v>
      </c>
      <c r="R66" s="198"/>
      <c r="S66" s="198"/>
      <c r="T66" s="198"/>
      <c r="U66" s="198"/>
    </row>
    <row r="67" spans="1:21" s="12" customFormat="1" x14ac:dyDescent="0.25">
      <c r="A67" s="201" t="s">
        <v>884</v>
      </c>
      <c r="B67" s="60">
        <v>2.21</v>
      </c>
      <c r="C67" s="60">
        <v>44.31</v>
      </c>
      <c r="D67" s="60">
        <v>26.96</v>
      </c>
      <c r="E67" s="60">
        <v>1.74</v>
      </c>
      <c r="F67" s="60">
        <v>14.18</v>
      </c>
      <c r="G67" s="60">
        <v>52.13</v>
      </c>
      <c r="H67" s="60">
        <v>22.65</v>
      </c>
      <c r="I67" s="60">
        <v>0.56999999999999995</v>
      </c>
      <c r="J67" s="60">
        <v>0.45</v>
      </c>
      <c r="K67" s="60">
        <v>159.99</v>
      </c>
      <c r="L67" s="60">
        <v>35.49</v>
      </c>
      <c r="M67" s="60">
        <v>21.29</v>
      </c>
      <c r="N67" s="60">
        <v>443.1</v>
      </c>
      <c r="O67" s="60">
        <v>0</v>
      </c>
      <c r="P67" s="60">
        <v>0.69</v>
      </c>
      <c r="Q67" s="60">
        <v>31.03</v>
      </c>
      <c r="R67" s="198"/>
      <c r="S67" s="198"/>
      <c r="T67" s="198"/>
      <c r="U67" s="198"/>
    </row>
    <row r="68" spans="1:21" s="12" customFormat="1" x14ac:dyDescent="0.25">
      <c r="A68" s="201" t="s">
        <v>885</v>
      </c>
      <c r="B68" s="60">
        <v>2.4900000000000002</v>
      </c>
      <c r="C68" s="60">
        <v>45.11</v>
      </c>
      <c r="D68" s="60">
        <v>27.63</v>
      </c>
      <c r="E68" s="60">
        <v>2.19</v>
      </c>
      <c r="F68" s="60">
        <v>14.75</v>
      </c>
      <c r="G68" s="60">
        <v>52.13</v>
      </c>
      <c r="H68" s="60">
        <v>22.65</v>
      </c>
      <c r="I68" s="60">
        <v>0.55000000000000004</v>
      </c>
      <c r="J68" s="60">
        <v>0.46</v>
      </c>
      <c r="K68" s="60">
        <v>220.46</v>
      </c>
      <c r="L68" s="60">
        <v>33.56</v>
      </c>
      <c r="M68" s="60">
        <v>24.45</v>
      </c>
      <c r="N68" s="60">
        <v>470.8</v>
      </c>
      <c r="O68" s="60">
        <v>0</v>
      </c>
      <c r="P68" s="60">
        <v>0.66</v>
      </c>
      <c r="Q68" s="60">
        <v>32.01</v>
      </c>
      <c r="R68" s="198"/>
      <c r="S68" s="198"/>
      <c r="T68" s="198"/>
      <c r="U68" s="198"/>
    </row>
    <row r="69" spans="1:21" s="12" customFormat="1" x14ac:dyDescent="0.25">
      <c r="A69" s="201" t="s">
        <v>886</v>
      </c>
      <c r="B69" s="60">
        <v>2.14</v>
      </c>
      <c r="C69" s="60">
        <v>40.24</v>
      </c>
      <c r="D69" s="60">
        <v>24.67</v>
      </c>
      <c r="E69" s="60">
        <v>2.79</v>
      </c>
      <c r="F69" s="60">
        <v>28.06</v>
      </c>
      <c r="G69" s="60">
        <v>52.13</v>
      </c>
      <c r="H69" s="60">
        <v>22.65</v>
      </c>
      <c r="I69" s="60">
        <v>0.53</v>
      </c>
      <c r="J69" s="60">
        <v>0.55000000000000004</v>
      </c>
      <c r="K69" s="60">
        <v>223.28</v>
      </c>
      <c r="L69" s="60">
        <v>33.56</v>
      </c>
      <c r="M69" s="60">
        <v>25.98</v>
      </c>
      <c r="N69" s="60">
        <v>400.1</v>
      </c>
      <c r="O69" s="60">
        <v>0</v>
      </c>
      <c r="P69" s="60">
        <v>0.61</v>
      </c>
      <c r="Q69" s="60">
        <v>31.14</v>
      </c>
      <c r="R69" s="198"/>
      <c r="S69" s="198"/>
      <c r="T69" s="198"/>
      <c r="U69" s="198"/>
    </row>
    <row r="70" spans="1:21" s="12" customFormat="1" x14ac:dyDescent="0.25">
      <c r="A70" s="201" t="s">
        <v>887</v>
      </c>
      <c r="B70" s="60">
        <v>2</v>
      </c>
      <c r="C70" s="60">
        <v>47.76</v>
      </c>
      <c r="D70" s="60">
        <v>28.7</v>
      </c>
      <c r="E70" s="60">
        <v>1.74</v>
      </c>
      <c r="F70" s="60">
        <v>16.149999999999999</v>
      </c>
      <c r="G70" s="60">
        <v>51.73</v>
      </c>
      <c r="H70" s="60">
        <v>22.7</v>
      </c>
      <c r="I70" s="60">
        <v>0.51</v>
      </c>
      <c r="J70" s="60">
        <v>0.08</v>
      </c>
      <c r="K70" s="60">
        <v>11.58</v>
      </c>
      <c r="L70" s="60">
        <v>33.89</v>
      </c>
      <c r="M70" s="60">
        <v>26.61</v>
      </c>
      <c r="N70" s="60">
        <v>386</v>
      </c>
      <c r="O70" s="60">
        <v>0</v>
      </c>
      <c r="P70" s="60">
        <v>0.63</v>
      </c>
      <c r="Q70" s="60">
        <v>30.75</v>
      </c>
      <c r="R70" s="198"/>
      <c r="S70" s="198"/>
      <c r="T70" s="198"/>
      <c r="U70" s="198"/>
    </row>
    <row r="71" spans="1:21" s="12" customFormat="1" x14ac:dyDescent="0.25">
      <c r="A71" s="201" t="s">
        <v>888</v>
      </c>
      <c r="B71" s="60">
        <v>2.13</v>
      </c>
      <c r="C71" s="60">
        <v>66.5</v>
      </c>
      <c r="D71" s="60">
        <v>39.15</v>
      </c>
      <c r="E71" s="60">
        <v>2.1</v>
      </c>
      <c r="F71" s="60">
        <v>24.16</v>
      </c>
      <c r="G71" s="60">
        <v>44.88</v>
      </c>
      <c r="H71" s="60">
        <v>23.37</v>
      </c>
      <c r="I71" s="60">
        <v>0.48</v>
      </c>
      <c r="J71" s="60">
        <v>0.37</v>
      </c>
      <c r="K71" s="60">
        <v>258.14999999999998</v>
      </c>
      <c r="L71" s="60">
        <v>33.96</v>
      </c>
      <c r="M71" s="60">
        <v>25.8</v>
      </c>
      <c r="N71" s="60">
        <v>263.8</v>
      </c>
      <c r="O71" s="60">
        <v>0</v>
      </c>
      <c r="P71" s="60">
        <v>0.63</v>
      </c>
      <c r="Q71" s="60">
        <v>29.69</v>
      </c>
      <c r="R71" s="198"/>
      <c r="S71" s="198"/>
      <c r="T71" s="198"/>
      <c r="U71" s="198"/>
    </row>
    <row r="72" spans="1:21" s="12" customFormat="1" x14ac:dyDescent="0.25">
      <c r="A72" s="201" t="s">
        <v>889</v>
      </c>
      <c r="B72" s="60">
        <v>2.1</v>
      </c>
      <c r="C72" s="60">
        <v>43.07</v>
      </c>
      <c r="D72" s="60">
        <v>26.19</v>
      </c>
      <c r="E72" s="60">
        <v>1.41</v>
      </c>
      <c r="F72" s="60">
        <v>30.52</v>
      </c>
      <c r="G72" s="60">
        <v>44.88</v>
      </c>
      <c r="H72" s="60">
        <v>23.37</v>
      </c>
      <c r="I72" s="60">
        <v>0.48</v>
      </c>
      <c r="J72" s="60">
        <v>0.38</v>
      </c>
      <c r="K72" s="60">
        <v>216.98</v>
      </c>
      <c r="L72" s="60">
        <v>33.21</v>
      </c>
      <c r="M72" s="60">
        <v>26.26</v>
      </c>
      <c r="N72" s="60">
        <v>197</v>
      </c>
      <c r="O72" s="60">
        <v>0</v>
      </c>
      <c r="P72" s="60">
        <v>0.6</v>
      </c>
      <c r="Q72" s="60">
        <v>30.54</v>
      </c>
      <c r="R72" s="198"/>
      <c r="S72" s="198"/>
      <c r="T72" s="198"/>
      <c r="U72" s="198"/>
    </row>
    <row r="73" spans="1:21" s="12" customFormat="1" x14ac:dyDescent="0.25">
      <c r="A73" s="201" t="s">
        <v>890</v>
      </c>
      <c r="B73" s="60">
        <v>2.63</v>
      </c>
      <c r="C73" s="60">
        <v>55.91</v>
      </c>
      <c r="D73" s="60">
        <v>33.700000000000003</v>
      </c>
      <c r="E73" s="60">
        <v>3.38</v>
      </c>
      <c r="F73" s="60">
        <v>25</v>
      </c>
      <c r="G73" s="60">
        <v>44.88</v>
      </c>
      <c r="H73" s="60">
        <v>23.37</v>
      </c>
      <c r="I73" s="60">
        <v>0.48</v>
      </c>
      <c r="J73" s="60">
        <v>0.35</v>
      </c>
      <c r="K73" s="60">
        <v>237.37</v>
      </c>
      <c r="L73" s="60">
        <v>32.950000000000003</v>
      </c>
      <c r="M73" s="60">
        <v>25.09</v>
      </c>
      <c r="N73" s="60">
        <v>200.3</v>
      </c>
      <c r="O73" s="60">
        <v>0</v>
      </c>
      <c r="P73" s="60">
        <v>0.61</v>
      </c>
      <c r="Q73" s="60">
        <v>28.58</v>
      </c>
      <c r="R73" s="198"/>
      <c r="S73" s="198"/>
      <c r="T73" s="198"/>
      <c r="U73" s="198"/>
    </row>
    <row r="74" spans="1:21" s="12" customFormat="1" x14ac:dyDescent="0.25">
      <c r="A74" s="201" t="s">
        <v>891</v>
      </c>
      <c r="B74" s="60">
        <v>2.4500000000000002</v>
      </c>
      <c r="C74" s="60">
        <v>54.52</v>
      </c>
      <c r="D74" s="60">
        <v>32.79</v>
      </c>
      <c r="E74" s="60">
        <v>2.78</v>
      </c>
      <c r="F74" s="60">
        <v>30.22</v>
      </c>
      <c r="G74" s="60">
        <v>45.24</v>
      </c>
      <c r="H74" s="60">
        <v>23.27</v>
      </c>
      <c r="I74" s="60">
        <v>0.48</v>
      </c>
      <c r="J74" s="60">
        <v>0.44</v>
      </c>
      <c r="K74" s="60">
        <v>216.93</v>
      </c>
      <c r="L74" s="60">
        <v>32.76</v>
      </c>
      <c r="M74" s="60">
        <v>23.29</v>
      </c>
      <c r="N74" s="60">
        <v>163.6</v>
      </c>
      <c r="O74" s="60">
        <v>0</v>
      </c>
      <c r="P74" s="60">
        <v>0.56000000000000005</v>
      </c>
      <c r="Q74" s="60">
        <v>28.4</v>
      </c>
      <c r="R74" s="198"/>
      <c r="S74" s="198"/>
      <c r="T74" s="198"/>
      <c r="U74" s="198"/>
    </row>
    <row r="75" spans="1:21" s="12" customFormat="1" x14ac:dyDescent="0.25">
      <c r="A75" s="201" t="s">
        <v>892</v>
      </c>
      <c r="B75" s="60">
        <v>2.6</v>
      </c>
      <c r="C75" s="60">
        <v>55.4</v>
      </c>
      <c r="D75" s="60">
        <v>33.4</v>
      </c>
      <c r="E75" s="60">
        <v>2.75</v>
      </c>
      <c r="F75" s="60">
        <v>21.57</v>
      </c>
      <c r="G75" s="60">
        <v>53.01</v>
      </c>
      <c r="H75" s="60">
        <v>21.49</v>
      </c>
      <c r="I75" s="60">
        <v>0.48</v>
      </c>
      <c r="J75" s="60">
        <v>0.39</v>
      </c>
      <c r="K75" s="60">
        <v>243.3</v>
      </c>
      <c r="L75" s="60">
        <v>32.630000000000003</v>
      </c>
      <c r="M75" s="60">
        <v>22.88</v>
      </c>
      <c r="N75" s="60">
        <v>136.5</v>
      </c>
      <c r="O75" s="60">
        <v>0</v>
      </c>
      <c r="P75" s="60">
        <v>0.56000000000000005</v>
      </c>
      <c r="Q75" s="60">
        <v>28.25</v>
      </c>
      <c r="R75" s="198"/>
      <c r="S75" s="198"/>
      <c r="T75" s="198"/>
      <c r="U75" s="198"/>
    </row>
    <row r="76" spans="1:21" s="12" customFormat="1" x14ac:dyDescent="0.25">
      <c r="A76" s="201" t="s">
        <v>893</v>
      </c>
      <c r="B76" s="60">
        <v>2.69</v>
      </c>
      <c r="C76" s="60">
        <v>55.24</v>
      </c>
      <c r="D76" s="60">
        <v>33.380000000000003</v>
      </c>
      <c r="E76" s="60">
        <v>2.58</v>
      </c>
      <c r="F76" s="60">
        <v>22.91</v>
      </c>
      <c r="G76" s="60">
        <v>53.01</v>
      </c>
      <c r="H76" s="60">
        <v>21.49</v>
      </c>
      <c r="I76" s="60">
        <v>0.49</v>
      </c>
      <c r="J76" s="60">
        <v>0.09</v>
      </c>
      <c r="K76" s="60">
        <v>291.39</v>
      </c>
      <c r="L76" s="60">
        <v>32.450000000000003</v>
      </c>
      <c r="M76" s="60">
        <v>22.21</v>
      </c>
      <c r="N76" s="60">
        <v>98.2</v>
      </c>
      <c r="O76" s="60">
        <v>0</v>
      </c>
      <c r="P76" s="60">
        <v>0.55000000000000004</v>
      </c>
      <c r="Q76" s="60">
        <v>27.94</v>
      </c>
      <c r="R76" s="198"/>
      <c r="S76" s="198"/>
      <c r="T76" s="198"/>
      <c r="U76" s="198"/>
    </row>
    <row r="77" spans="1:21" s="12" customFormat="1" x14ac:dyDescent="0.25">
      <c r="A77" s="201" t="s">
        <v>894</v>
      </c>
      <c r="B77" s="60">
        <v>4.66</v>
      </c>
      <c r="C77" s="60">
        <v>59.45</v>
      </c>
      <c r="D77" s="60">
        <v>37.29</v>
      </c>
      <c r="E77" s="60">
        <v>2.76</v>
      </c>
      <c r="F77" s="60">
        <v>24.19</v>
      </c>
      <c r="G77" s="60">
        <v>53.01</v>
      </c>
      <c r="H77" s="60">
        <v>21.49</v>
      </c>
      <c r="I77" s="60">
        <v>0.51</v>
      </c>
      <c r="J77" s="60">
        <v>0.21</v>
      </c>
      <c r="K77" s="60">
        <v>258.83</v>
      </c>
      <c r="L77" s="60">
        <v>32.200000000000003</v>
      </c>
      <c r="M77" s="60">
        <v>24.09</v>
      </c>
      <c r="N77" s="60">
        <v>74.400000000000006</v>
      </c>
      <c r="O77" s="60">
        <v>0</v>
      </c>
      <c r="P77" s="60">
        <v>0.63</v>
      </c>
      <c r="Q77" s="60">
        <v>28.02</v>
      </c>
      <c r="R77" s="198"/>
      <c r="S77" s="198"/>
      <c r="T77" s="198"/>
      <c r="U77" s="198"/>
    </row>
    <row r="78" spans="1:21" s="12" customFormat="1" x14ac:dyDescent="0.25">
      <c r="A78" s="201" t="s">
        <v>895</v>
      </c>
      <c r="B78" s="60">
        <v>4.43</v>
      </c>
      <c r="C78" s="60">
        <v>57.92</v>
      </c>
      <c r="D78" s="60">
        <v>36.26</v>
      </c>
      <c r="E78" s="60">
        <v>3.37</v>
      </c>
      <c r="F78" s="60">
        <v>19.309999999999999</v>
      </c>
      <c r="G78" s="60">
        <v>51.42</v>
      </c>
      <c r="H78" s="60">
        <v>21.41</v>
      </c>
      <c r="I78" s="60">
        <v>0.52</v>
      </c>
      <c r="J78" s="60">
        <v>0.44</v>
      </c>
      <c r="K78" s="60">
        <v>251.05</v>
      </c>
      <c r="L78" s="60">
        <v>31.85</v>
      </c>
      <c r="M78" s="60">
        <v>24.51</v>
      </c>
      <c r="N78" s="60">
        <v>35.4</v>
      </c>
      <c r="O78" s="60">
        <v>0</v>
      </c>
      <c r="P78" s="60">
        <v>0.57999999999999996</v>
      </c>
      <c r="Q78" s="60">
        <v>27.9</v>
      </c>
      <c r="R78" s="198"/>
      <c r="S78" s="198"/>
      <c r="T78" s="198"/>
      <c r="U78" s="198"/>
    </row>
    <row r="79" spans="1:21" s="12" customFormat="1" x14ac:dyDescent="0.25">
      <c r="A79" s="201" t="s">
        <v>896</v>
      </c>
      <c r="B79" s="60">
        <v>3.13</v>
      </c>
      <c r="C79" s="60">
        <v>51.69</v>
      </c>
      <c r="D79" s="60">
        <v>31.77</v>
      </c>
      <c r="E79" s="60">
        <v>2.19</v>
      </c>
      <c r="F79" s="60">
        <v>11.84</v>
      </c>
      <c r="G79" s="60">
        <v>24.39</v>
      </c>
      <c r="H79" s="60">
        <v>20.04</v>
      </c>
      <c r="I79" s="60">
        <v>0.52</v>
      </c>
      <c r="J79" s="60">
        <v>0.37</v>
      </c>
      <c r="K79" s="60">
        <v>257.87</v>
      </c>
      <c r="L79" s="60">
        <v>31.57</v>
      </c>
      <c r="M79" s="60">
        <v>23.77</v>
      </c>
      <c r="N79" s="60">
        <v>26</v>
      </c>
      <c r="O79" s="60">
        <v>0</v>
      </c>
      <c r="P79" s="60">
        <v>0.56999999999999995</v>
      </c>
      <c r="Q79" s="60">
        <v>29.42</v>
      </c>
      <c r="R79" s="198"/>
      <c r="S79" s="198"/>
      <c r="T79" s="198"/>
      <c r="U79" s="198"/>
    </row>
    <row r="80" spans="1:21" s="12" customFormat="1" x14ac:dyDescent="0.25">
      <c r="A80" s="201" t="s">
        <v>897</v>
      </c>
      <c r="B80" s="60">
        <v>2.92</v>
      </c>
      <c r="C80" s="60">
        <v>51.8</v>
      </c>
      <c r="D80" s="60">
        <v>31.68</v>
      </c>
      <c r="E80" s="60">
        <v>1.94</v>
      </c>
      <c r="F80" s="60">
        <v>14.94</v>
      </c>
      <c r="G80" s="60">
        <v>24.39</v>
      </c>
      <c r="H80" s="60">
        <v>20.04</v>
      </c>
      <c r="I80" s="60">
        <v>0.52</v>
      </c>
      <c r="J80" s="60">
        <v>0.52</v>
      </c>
      <c r="K80" s="60">
        <v>210.2</v>
      </c>
      <c r="L80" s="60">
        <v>31.16</v>
      </c>
      <c r="M80" s="60">
        <v>26.18</v>
      </c>
      <c r="N80" s="60">
        <v>13</v>
      </c>
      <c r="O80" s="60">
        <v>0</v>
      </c>
      <c r="P80" s="60">
        <v>0.59</v>
      </c>
      <c r="Q80" s="60">
        <v>31.07</v>
      </c>
      <c r="R80" s="198"/>
      <c r="S80" s="198"/>
      <c r="T80" s="198"/>
      <c r="U80" s="198"/>
    </row>
    <row r="81" spans="1:26" s="12" customFormat="1" x14ac:dyDescent="0.25">
      <c r="A81" s="201" t="s">
        <v>898</v>
      </c>
      <c r="B81" s="60">
        <v>2.89</v>
      </c>
      <c r="C81" s="60">
        <v>52.14</v>
      </c>
      <c r="D81" s="60">
        <v>31.83</v>
      </c>
      <c r="E81" s="60">
        <v>2.23</v>
      </c>
      <c r="F81" s="60">
        <v>13.58</v>
      </c>
      <c r="G81" s="60">
        <v>24.39</v>
      </c>
      <c r="H81" s="60">
        <v>20.04</v>
      </c>
      <c r="I81" s="60">
        <v>0.52</v>
      </c>
      <c r="J81" s="60">
        <v>0.28999999999999998</v>
      </c>
      <c r="K81" s="60">
        <v>263.33</v>
      </c>
      <c r="L81" s="60">
        <v>30.62</v>
      </c>
      <c r="M81" s="60">
        <v>28.62</v>
      </c>
      <c r="N81" s="60">
        <v>7.8</v>
      </c>
      <c r="O81" s="60">
        <v>0</v>
      </c>
      <c r="P81" s="60">
        <v>0.63</v>
      </c>
      <c r="Q81" s="60">
        <v>31.15</v>
      </c>
      <c r="R81" s="198"/>
      <c r="S81" s="198"/>
      <c r="T81" s="198"/>
      <c r="U81" s="198"/>
    </row>
    <row r="82" spans="1:26" s="12" customFormat="1" x14ac:dyDescent="0.25">
      <c r="A82" s="201" t="s">
        <v>899</v>
      </c>
      <c r="B82" s="60">
        <v>3.18</v>
      </c>
      <c r="C82" s="60">
        <v>53.34</v>
      </c>
      <c r="D82" s="60">
        <v>32.72</v>
      </c>
      <c r="E82" s="60">
        <v>1.76</v>
      </c>
      <c r="F82" s="60">
        <v>12.24</v>
      </c>
      <c r="G82" s="60">
        <v>26.67</v>
      </c>
      <c r="H82" s="60">
        <v>20.22</v>
      </c>
      <c r="I82" s="60">
        <v>0.51</v>
      </c>
      <c r="J82" s="60">
        <v>0.13</v>
      </c>
      <c r="K82" s="60">
        <v>272.16000000000003</v>
      </c>
      <c r="L82" s="60">
        <v>30.35</v>
      </c>
      <c r="M82" s="60">
        <v>30.22</v>
      </c>
      <c r="N82" s="60">
        <v>5.2</v>
      </c>
      <c r="O82" s="60">
        <v>0</v>
      </c>
      <c r="P82" s="60">
        <v>0.64</v>
      </c>
      <c r="Q82" s="60">
        <v>31.37</v>
      </c>
      <c r="R82" s="198"/>
      <c r="S82" s="198"/>
      <c r="T82" s="198"/>
      <c r="U82" s="198"/>
    </row>
    <row r="83" spans="1:26" s="12" customFormat="1" x14ac:dyDescent="0.25">
      <c r="A83" s="201" t="s">
        <v>900</v>
      </c>
      <c r="B83" s="60">
        <v>3</v>
      </c>
      <c r="C83" s="60">
        <v>53.7</v>
      </c>
      <c r="D83" s="60">
        <v>32.78</v>
      </c>
      <c r="E83" s="60">
        <v>1.71</v>
      </c>
      <c r="F83" s="60">
        <v>9.16</v>
      </c>
      <c r="G83" s="60">
        <v>65.599999999999994</v>
      </c>
      <c r="H83" s="60">
        <v>23.56</v>
      </c>
      <c r="I83" s="60">
        <v>0.52</v>
      </c>
      <c r="J83" s="60">
        <v>0.17</v>
      </c>
      <c r="K83" s="60">
        <v>281.87</v>
      </c>
      <c r="L83" s="60">
        <v>30.26</v>
      </c>
      <c r="M83" s="60">
        <v>31.38</v>
      </c>
      <c r="N83" s="60">
        <v>4.7</v>
      </c>
      <c r="O83" s="60">
        <v>0</v>
      </c>
      <c r="P83" s="60">
        <v>0.67</v>
      </c>
      <c r="Q83" s="60">
        <v>31.1</v>
      </c>
      <c r="R83" s="198"/>
      <c r="S83" s="198"/>
      <c r="T83" s="198"/>
      <c r="U83" s="198"/>
    </row>
    <row r="84" spans="1:26" s="12" customFormat="1" x14ac:dyDescent="0.25">
      <c r="A84" s="201" t="s">
        <v>901</v>
      </c>
      <c r="B84" s="60">
        <v>2.73</v>
      </c>
      <c r="C84" s="60">
        <v>53.42</v>
      </c>
      <c r="D84" s="60">
        <v>32.409999999999997</v>
      </c>
      <c r="E84" s="60">
        <v>1.69</v>
      </c>
      <c r="F84" s="60">
        <v>10.07</v>
      </c>
      <c r="G84" s="60">
        <v>65.599999999999994</v>
      </c>
      <c r="H84" s="60">
        <v>23.56</v>
      </c>
      <c r="I84" s="60">
        <v>0.53</v>
      </c>
      <c r="J84" s="60">
        <v>0.23</v>
      </c>
      <c r="K84" s="60">
        <v>264.64</v>
      </c>
      <c r="L84" s="60">
        <v>30.12</v>
      </c>
      <c r="M84" s="60">
        <v>32.08</v>
      </c>
      <c r="N84" s="60">
        <v>4.7</v>
      </c>
      <c r="O84" s="60">
        <v>0</v>
      </c>
      <c r="P84" s="60">
        <v>0.7</v>
      </c>
      <c r="Q84" s="60">
        <v>30.93</v>
      </c>
      <c r="R84" s="198"/>
      <c r="S84" s="198"/>
      <c r="T84" s="198"/>
      <c r="U84" s="198"/>
    </row>
    <row r="85" spans="1:26" s="12" customFormat="1" x14ac:dyDescent="0.25">
      <c r="A85" s="201" t="s">
        <v>902</v>
      </c>
      <c r="B85" s="60">
        <v>3.04</v>
      </c>
      <c r="C85" s="60">
        <v>55.36</v>
      </c>
      <c r="D85" s="60">
        <v>33.729999999999997</v>
      </c>
      <c r="E85" s="60">
        <v>1.41</v>
      </c>
      <c r="F85" s="60">
        <v>8.8000000000000007</v>
      </c>
      <c r="G85" s="60">
        <v>65.599999999999994</v>
      </c>
      <c r="H85" s="60">
        <v>23.56</v>
      </c>
      <c r="I85" s="60">
        <v>0.53</v>
      </c>
      <c r="J85" s="60">
        <v>0.21</v>
      </c>
      <c r="K85" s="60">
        <v>4.87</v>
      </c>
      <c r="L85" s="60">
        <v>29.97</v>
      </c>
      <c r="M85" s="60">
        <v>32.200000000000003</v>
      </c>
      <c r="N85" s="60">
        <v>4.8</v>
      </c>
      <c r="O85" s="60">
        <v>0</v>
      </c>
      <c r="P85" s="60">
        <v>0.74</v>
      </c>
      <c r="Q85" s="60">
        <v>30.64</v>
      </c>
      <c r="R85" s="198"/>
      <c r="S85" s="198"/>
      <c r="T85" s="198"/>
      <c r="U85" s="198"/>
    </row>
    <row r="86" spans="1:26" s="12" customFormat="1" x14ac:dyDescent="0.25">
      <c r="A86" s="201" t="s">
        <v>903</v>
      </c>
      <c r="B86" s="60">
        <v>3.07</v>
      </c>
      <c r="C86" s="60">
        <v>48.27</v>
      </c>
      <c r="D86" s="60">
        <v>29.84</v>
      </c>
      <c r="E86" s="60">
        <v>1.3</v>
      </c>
      <c r="F86" s="60">
        <v>10.35</v>
      </c>
      <c r="G86" s="60">
        <v>74.05</v>
      </c>
      <c r="H86" s="60">
        <v>24.01</v>
      </c>
      <c r="I86" s="60">
        <v>0.53</v>
      </c>
      <c r="J86" s="60">
        <v>2.93</v>
      </c>
      <c r="K86" s="60">
        <v>336.35</v>
      </c>
      <c r="L86" s="60">
        <v>26.42</v>
      </c>
      <c r="M86" s="60">
        <v>42.67</v>
      </c>
      <c r="N86" s="60">
        <v>12.3</v>
      </c>
      <c r="O86" s="60">
        <v>0</v>
      </c>
      <c r="P86" s="60">
        <v>0.71</v>
      </c>
      <c r="Q86" s="60">
        <v>25.41</v>
      </c>
      <c r="R86" s="198"/>
      <c r="S86" s="198"/>
      <c r="T86" s="198"/>
      <c r="U86" s="198"/>
    </row>
    <row r="87" spans="1:26" s="12" customFormat="1" x14ac:dyDescent="0.25">
      <c r="A87" s="201" t="s">
        <v>904</v>
      </c>
      <c r="B87" s="60">
        <v>2.7</v>
      </c>
      <c r="C87" s="60">
        <v>47.91</v>
      </c>
      <c r="D87" s="60">
        <v>29.35</v>
      </c>
      <c r="E87" s="60">
        <v>1.19</v>
      </c>
      <c r="F87" s="60">
        <v>11.25</v>
      </c>
      <c r="G87" s="60">
        <v>217.79</v>
      </c>
      <c r="H87" s="60">
        <v>31.04</v>
      </c>
      <c r="I87" s="60">
        <v>0.53</v>
      </c>
      <c r="J87" s="60">
        <v>1.7</v>
      </c>
      <c r="K87" s="60">
        <v>343.53</v>
      </c>
      <c r="L87" s="60">
        <v>24.9</v>
      </c>
      <c r="M87" s="60">
        <v>47.32</v>
      </c>
      <c r="N87" s="60">
        <v>6.3</v>
      </c>
      <c r="O87" s="60">
        <v>0</v>
      </c>
      <c r="P87" s="60">
        <v>0.66</v>
      </c>
      <c r="Q87" s="60">
        <v>23.13</v>
      </c>
      <c r="R87" s="198"/>
      <c r="S87" s="198"/>
      <c r="T87" s="198"/>
      <c r="U87" s="198"/>
    </row>
    <row r="88" spans="1:26" s="12" customFormat="1" x14ac:dyDescent="0.25">
      <c r="A88" s="201" t="s">
        <v>905</v>
      </c>
      <c r="B88" s="60">
        <v>2.73</v>
      </c>
      <c r="C88" s="60">
        <v>45.92</v>
      </c>
      <c r="D88" s="60">
        <v>28.27</v>
      </c>
      <c r="E88" s="60">
        <v>0.72</v>
      </c>
      <c r="F88" s="60">
        <v>10.28</v>
      </c>
      <c r="G88" s="60">
        <v>217.79</v>
      </c>
      <c r="H88" s="60">
        <v>31.04</v>
      </c>
      <c r="I88" s="60">
        <v>0.52</v>
      </c>
      <c r="J88" s="60">
        <v>2.59</v>
      </c>
      <c r="K88" s="60">
        <v>351.75</v>
      </c>
      <c r="L88" s="60">
        <v>23.87</v>
      </c>
      <c r="M88" s="60">
        <v>52.18</v>
      </c>
      <c r="N88" s="60">
        <v>6.7</v>
      </c>
      <c r="O88" s="60">
        <v>0</v>
      </c>
      <c r="P88" s="60">
        <v>0.63</v>
      </c>
      <c r="Q88" s="60">
        <v>22.26</v>
      </c>
      <c r="R88" s="198"/>
      <c r="S88" s="198"/>
      <c r="T88" s="198"/>
      <c r="U88" s="198"/>
    </row>
    <row r="89" spans="1:26" s="12" customFormat="1" x14ac:dyDescent="0.25">
      <c r="A89" s="201" t="s">
        <v>906</v>
      </c>
      <c r="B89" s="60">
        <v>2.75</v>
      </c>
      <c r="C89" s="60">
        <v>44.5</v>
      </c>
      <c r="D89" s="60">
        <v>27.51</v>
      </c>
      <c r="E89" s="60">
        <v>1.3</v>
      </c>
      <c r="F89" s="60">
        <v>11.52</v>
      </c>
      <c r="G89" s="60">
        <v>217.79</v>
      </c>
      <c r="H89" s="60">
        <v>31.04</v>
      </c>
      <c r="I89" s="60">
        <v>0.49</v>
      </c>
      <c r="J89" s="60">
        <v>2.86</v>
      </c>
      <c r="K89" s="60">
        <v>6.8</v>
      </c>
      <c r="L89" s="60">
        <v>23.02</v>
      </c>
      <c r="M89" s="60">
        <v>53.18</v>
      </c>
      <c r="N89" s="60">
        <v>5.6</v>
      </c>
      <c r="O89" s="60">
        <v>0</v>
      </c>
      <c r="P89" s="60">
        <v>0.6</v>
      </c>
      <c r="Q89" s="60">
        <v>21.79</v>
      </c>
      <c r="R89" s="198"/>
      <c r="S89" s="198"/>
      <c r="T89" s="198"/>
      <c r="U89" s="198"/>
    </row>
    <row r="90" spans="1:26" s="12" customFormat="1" x14ac:dyDescent="0.25">
      <c r="A90" s="201" t="s">
        <v>907</v>
      </c>
      <c r="B90" s="60">
        <v>2.85</v>
      </c>
      <c r="C90" s="60">
        <v>44.06</v>
      </c>
      <c r="D90" s="60">
        <v>27.34</v>
      </c>
      <c r="E90" s="60">
        <v>0.99</v>
      </c>
      <c r="F90" s="60">
        <v>9.5399999999999991</v>
      </c>
      <c r="G90" s="60">
        <v>208.74</v>
      </c>
      <c r="H90" s="60">
        <v>30.83</v>
      </c>
      <c r="I90" s="60">
        <v>0.49</v>
      </c>
      <c r="J90" s="60">
        <v>2.74</v>
      </c>
      <c r="K90" s="60">
        <v>15.21</v>
      </c>
      <c r="L90" s="60">
        <v>22.63</v>
      </c>
      <c r="M90" s="60">
        <v>54.15</v>
      </c>
      <c r="N90" s="60">
        <v>5.0999999999999996</v>
      </c>
      <c r="O90" s="60">
        <v>0</v>
      </c>
      <c r="P90" s="60">
        <v>0.59</v>
      </c>
      <c r="Q90" s="60">
        <v>21.55</v>
      </c>
      <c r="R90" s="198"/>
      <c r="S90" s="198"/>
      <c r="T90" s="198"/>
      <c r="U90" s="198"/>
    </row>
    <row r="91" spans="1:26" s="12" customFormat="1" x14ac:dyDescent="0.25">
      <c r="A91" s="201" t="s">
        <v>908</v>
      </c>
      <c r="B91" s="60">
        <v>3.04</v>
      </c>
      <c r="C91" s="60">
        <v>45.19</v>
      </c>
      <c r="D91" s="60">
        <v>28.12</v>
      </c>
      <c r="E91" s="60">
        <v>1.25</v>
      </c>
      <c r="F91" s="60">
        <v>8.23</v>
      </c>
      <c r="G91" s="60">
        <v>54.92</v>
      </c>
      <c r="H91" s="60">
        <v>27.57</v>
      </c>
      <c r="I91" s="60">
        <v>0.48</v>
      </c>
      <c r="J91" s="60">
        <v>2.73</v>
      </c>
      <c r="K91" s="60">
        <v>15.21</v>
      </c>
      <c r="L91" s="60">
        <v>22.43</v>
      </c>
      <c r="M91" s="60">
        <v>55.05</v>
      </c>
      <c r="N91" s="60">
        <v>4.5999999999999996</v>
      </c>
      <c r="O91" s="60">
        <v>0</v>
      </c>
      <c r="P91" s="60">
        <v>0.57999999999999996</v>
      </c>
      <c r="Q91" s="60">
        <v>21.85</v>
      </c>
      <c r="R91" s="198"/>
      <c r="S91" s="198"/>
      <c r="T91" s="198"/>
      <c r="U91" s="198"/>
    </row>
    <row r="92" spans="1:26" s="12" customFormat="1" x14ac:dyDescent="0.25">
      <c r="A92" s="201" t="s">
        <v>909</v>
      </c>
      <c r="B92" s="60">
        <v>3.1</v>
      </c>
      <c r="C92" s="60">
        <v>44.64</v>
      </c>
      <c r="D92" s="60">
        <v>27.87</v>
      </c>
      <c r="E92" s="60">
        <v>1.47</v>
      </c>
      <c r="F92" s="60">
        <v>8.1199999999999992</v>
      </c>
      <c r="G92" s="60">
        <v>54.92</v>
      </c>
      <c r="H92" s="60">
        <v>27.57</v>
      </c>
      <c r="I92" s="60">
        <v>0.49</v>
      </c>
      <c r="J92" s="60">
        <v>3.18</v>
      </c>
      <c r="K92" s="60">
        <v>13.43</v>
      </c>
      <c r="L92" s="60">
        <v>22.42</v>
      </c>
      <c r="M92" s="60">
        <v>54.2</v>
      </c>
      <c r="N92" s="60">
        <v>4.3</v>
      </c>
      <c r="O92" s="60">
        <v>0</v>
      </c>
      <c r="P92" s="60">
        <v>0.56000000000000005</v>
      </c>
      <c r="Q92" s="60">
        <v>21.77</v>
      </c>
      <c r="R92" s="198"/>
      <c r="S92" s="198"/>
      <c r="T92" s="198"/>
      <c r="U92" s="198"/>
    </row>
    <row r="93" spans="1:26" s="12" customFormat="1" x14ac:dyDescent="0.25">
      <c r="A93" s="201" t="s">
        <v>910</v>
      </c>
      <c r="B93" s="60">
        <v>3.07</v>
      </c>
      <c r="C93" s="60">
        <v>40.86</v>
      </c>
      <c r="D93" s="60">
        <v>25.75</v>
      </c>
      <c r="E93" s="60">
        <v>1.47</v>
      </c>
      <c r="F93" s="60">
        <v>9.2200000000000006</v>
      </c>
      <c r="G93" s="60">
        <v>54.92</v>
      </c>
      <c r="H93" s="60">
        <v>27.57</v>
      </c>
      <c r="I93" s="60">
        <v>0.48</v>
      </c>
      <c r="J93" s="60">
        <v>3.21</v>
      </c>
      <c r="K93" s="60">
        <v>24.92</v>
      </c>
      <c r="L93" s="60">
        <v>22.6</v>
      </c>
      <c r="M93" s="60">
        <v>52.32</v>
      </c>
      <c r="N93" s="60">
        <v>4.3</v>
      </c>
      <c r="O93" s="60">
        <v>0</v>
      </c>
      <c r="P93" s="60">
        <v>0.56000000000000005</v>
      </c>
      <c r="Q93" s="60">
        <v>19.88</v>
      </c>
      <c r="R93" s="198"/>
      <c r="S93" s="198"/>
      <c r="T93" s="198"/>
      <c r="U93" s="198"/>
    </row>
    <row r="94" spans="1:26" s="12" customFormat="1" x14ac:dyDescent="0.25">
      <c r="A94" s="201" t="s">
        <v>911</v>
      </c>
      <c r="B94" s="60">
        <v>4.74</v>
      </c>
      <c r="C94" s="60">
        <v>43.06</v>
      </c>
      <c r="D94" s="60">
        <v>28.3</v>
      </c>
      <c r="E94" s="60">
        <v>1.34</v>
      </c>
      <c r="F94" s="60">
        <v>10.15</v>
      </c>
      <c r="G94" s="60">
        <v>54.01</v>
      </c>
      <c r="H94" s="60">
        <v>27.22</v>
      </c>
      <c r="I94" s="60">
        <v>0.48</v>
      </c>
      <c r="J94" s="60">
        <v>3.1</v>
      </c>
      <c r="K94" s="60">
        <v>23.39</v>
      </c>
      <c r="L94" s="60">
        <v>22.82</v>
      </c>
      <c r="M94" s="60">
        <v>50.53</v>
      </c>
      <c r="N94" s="60">
        <v>4.4000000000000004</v>
      </c>
      <c r="O94" s="60">
        <v>0</v>
      </c>
      <c r="P94" s="60">
        <v>0.56000000000000005</v>
      </c>
      <c r="Q94" s="60">
        <v>23.14</v>
      </c>
      <c r="R94" s="198"/>
      <c r="S94" s="198"/>
      <c r="T94" s="198"/>
      <c r="U94" s="198"/>
    </row>
    <row r="95" spans="1:26" s="12" customFormat="1" x14ac:dyDescent="0.25">
      <c r="A95" s="201" t="s">
        <v>912</v>
      </c>
      <c r="B95" s="60">
        <v>3.59</v>
      </c>
      <c r="C95" s="60">
        <v>46.44</v>
      </c>
      <c r="D95" s="60">
        <v>29.25</v>
      </c>
      <c r="E95" s="60">
        <v>1.62</v>
      </c>
      <c r="F95" s="60">
        <v>10.96</v>
      </c>
      <c r="G95" s="60">
        <v>34.549999999999997</v>
      </c>
      <c r="H95" s="60">
        <v>21.69</v>
      </c>
      <c r="I95" s="60">
        <v>0.48</v>
      </c>
      <c r="J95" s="60">
        <v>2.87</v>
      </c>
      <c r="K95" s="60">
        <v>19.29</v>
      </c>
      <c r="L95" s="60">
        <v>22.63</v>
      </c>
      <c r="M95" s="60">
        <v>51.23</v>
      </c>
      <c r="N95" s="60">
        <v>5.3</v>
      </c>
      <c r="O95" s="60">
        <v>0</v>
      </c>
      <c r="P95" s="60">
        <v>0.55000000000000004</v>
      </c>
      <c r="Q95" s="60">
        <v>25.29</v>
      </c>
      <c r="R95" s="198"/>
      <c r="S95" s="198"/>
      <c r="T95" s="198"/>
      <c r="U95" s="198"/>
    </row>
    <row r="96" spans="1:26" s="12" customFormat="1" x14ac:dyDescent="0.25">
      <c r="A96" s="201" t="s">
        <v>913</v>
      </c>
      <c r="B96" s="60">
        <v>3.78</v>
      </c>
      <c r="C96" s="60">
        <v>48.24</v>
      </c>
      <c r="D96" s="60">
        <v>30.4</v>
      </c>
      <c r="E96" s="60">
        <v>1.7</v>
      </c>
      <c r="F96" s="60">
        <v>9.5</v>
      </c>
      <c r="G96" s="60">
        <v>34.549999999999997</v>
      </c>
      <c r="H96" s="60">
        <v>21.69</v>
      </c>
      <c r="I96" s="60">
        <v>0.48</v>
      </c>
      <c r="J96" s="60">
        <v>2.0699999999999998</v>
      </c>
      <c r="K96" s="60">
        <v>20.239999999999998</v>
      </c>
      <c r="L96" s="60">
        <v>22.34</v>
      </c>
      <c r="M96" s="60">
        <v>53.15</v>
      </c>
      <c r="N96" s="60">
        <v>5</v>
      </c>
      <c r="O96" s="60">
        <v>0</v>
      </c>
      <c r="P96" s="60">
        <v>0.56999999999999995</v>
      </c>
      <c r="Q96" s="60">
        <v>26.76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914</v>
      </c>
      <c r="B97" s="60">
        <v>3.92</v>
      </c>
      <c r="C97" s="60">
        <v>48.49</v>
      </c>
      <c r="D97" s="60">
        <v>30.65</v>
      </c>
      <c r="E97" s="60">
        <v>2.99</v>
      </c>
      <c r="F97" s="60">
        <v>10.82</v>
      </c>
      <c r="G97" s="60">
        <v>34.549999999999997</v>
      </c>
      <c r="H97" s="60">
        <v>21.69</v>
      </c>
      <c r="I97" s="60">
        <v>0.48</v>
      </c>
      <c r="J97" s="60">
        <v>2.85</v>
      </c>
      <c r="K97" s="60">
        <v>18.760000000000002</v>
      </c>
      <c r="L97" s="60">
        <v>22.34</v>
      </c>
      <c r="M97" s="60">
        <v>52.55</v>
      </c>
      <c r="N97" s="60">
        <v>4.5</v>
      </c>
      <c r="O97" s="60">
        <v>0</v>
      </c>
      <c r="P97" s="60">
        <v>0.55000000000000004</v>
      </c>
      <c r="Q97" s="60">
        <v>27.77</v>
      </c>
      <c r="R97" s="198"/>
      <c r="S97" s="198"/>
      <c r="T97" s="198"/>
      <c r="U97" s="198"/>
    </row>
    <row r="98" spans="1:33" s="12" customFormat="1" x14ac:dyDescent="0.25">
      <c r="A98" s="201" t="s">
        <v>915</v>
      </c>
      <c r="B98" s="60">
        <v>3.16</v>
      </c>
      <c r="C98" s="60">
        <v>48.86</v>
      </c>
      <c r="D98" s="60">
        <v>30.24</v>
      </c>
      <c r="E98" s="60">
        <v>2.68</v>
      </c>
      <c r="F98" s="60">
        <v>10.5</v>
      </c>
      <c r="G98" s="60">
        <v>36.06</v>
      </c>
      <c r="H98" s="60">
        <v>21.62</v>
      </c>
      <c r="I98" s="60">
        <v>0.48</v>
      </c>
      <c r="J98" s="60">
        <v>2.85</v>
      </c>
      <c r="K98" s="60">
        <v>21.22</v>
      </c>
      <c r="L98" s="60">
        <v>22.56</v>
      </c>
      <c r="M98" s="60">
        <v>50.81</v>
      </c>
      <c r="N98" s="60">
        <v>4.4000000000000004</v>
      </c>
      <c r="O98" s="60">
        <v>0</v>
      </c>
      <c r="P98" s="60">
        <v>0.54</v>
      </c>
      <c r="Q98" s="60">
        <v>28.18</v>
      </c>
      <c r="R98" s="198"/>
      <c r="S98" s="198"/>
      <c r="T98" s="198"/>
      <c r="U98" s="198"/>
    </row>
    <row r="99" spans="1:33" s="12" customFormat="1" x14ac:dyDescent="0.25">
      <c r="A99" s="201" t="s">
        <v>916</v>
      </c>
      <c r="B99" s="60">
        <v>3.04</v>
      </c>
      <c r="C99" s="60">
        <v>47.73</v>
      </c>
      <c r="D99" s="60">
        <v>29.52</v>
      </c>
      <c r="E99" s="60">
        <v>2.59</v>
      </c>
      <c r="F99" s="60">
        <v>16.100000000000001</v>
      </c>
      <c r="G99" s="60">
        <v>61.73</v>
      </c>
      <c r="H99" s="60">
        <v>20.61</v>
      </c>
      <c r="I99" s="60">
        <v>0.47</v>
      </c>
      <c r="J99" s="60">
        <v>2.93</v>
      </c>
      <c r="K99" s="60">
        <v>21.92</v>
      </c>
      <c r="L99" s="60">
        <v>22.8</v>
      </c>
      <c r="M99" s="60">
        <v>48.21</v>
      </c>
      <c r="N99" s="60">
        <v>4.3</v>
      </c>
      <c r="O99" s="60">
        <v>0</v>
      </c>
      <c r="P99" s="60">
        <v>0.53</v>
      </c>
      <c r="Q99" s="60">
        <v>28.1</v>
      </c>
      <c r="R99" s="198"/>
      <c r="S99" s="198"/>
      <c r="T99" s="198"/>
      <c r="U99" s="198"/>
    </row>
    <row r="100" spans="1:33" s="12" customFormat="1" x14ac:dyDescent="0.25">
      <c r="A100" s="201" t="s">
        <v>917</v>
      </c>
      <c r="B100" s="60">
        <v>2.95</v>
      </c>
      <c r="C100" s="60">
        <v>44.78</v>
      </c>
      <c r="D100" s="60">
        <v>27.82</v>
      </c>
      <c r="E100" s="60">
        <v>2.81</v>
      </c>
      <c r="F100" s="60">
        <v>15.23</v>
      </c>
      <c r="G100" s="60">
        <v>61.73</v>
      </c>
      <c r="H100" s="60">
        <v>20.61</v>
      </c>
      <c r="I100" s="60">
        <v>0.47</v>
      </c>
      <c r="J100" s="60">
        <v>2.2799999999999998</v>
      </c>
      <c r="K100" s="60">
        <v>17.05</v>
      </c>
      <c r="L100" s="60">
        <v>23.03</v>
      </c>
      <c r="M100" s="60">
        <v>47.3</v>
      </c>
      <c r="N100" s="60">
        <v>4.8</v>
      </c>
      <c r="O100" s="60">
        <v>0</v>
      </c>
      <c r="P100" s="60">
        <v>0.55000000000000004</v>
      </c>
      <c r="Q100" s="60">
        <v>25.41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918</v>
      </c>
      <c r="B101" s="60">
        <v>3.84</v>
      </c>
      <c r="C101" s="60">
        <v>47.02</v>
      </c>
      <c r="D101" s="60">
        <v>29.77</v>
      </c>
      <c r="E101" s="60">
        <v>4.5</v>
      </c>
      <c r="F101" s="60">
        <v>11.81</v>
      </c>
      <c r="G101" s="60">
        <v>61.73</v>
      </c>
      <c r="H101" s="60">
        <v>20.61</v>
      </c>
      <c r="I101" s="60">
        <v>0.47</v>
      </c>
      <c r="J101" s="60">
        <v>1.27</v>
      </c>
      <c r="K101" s="60">
        <v>21.92</v>
      </c>
      <c r="L101" s="60">
        <v>22.88</v>
      </c>
      <c r="M101" s="60">
        <v>48.4</v>
      </c>
      <c r="N101" s="60">
        <v>5</v>
      </c>
      <c r="O101" s="60">
        <v>0</v>
      </c>
      <c r="P101" s="60">
        <v>0.61</v>
      </c>
      <c r="Q101" s="60">
        <v>25.15</v>
      </c>
      <c r="R101" s="198"/>
      <c r="S101" s="198"/>
      <c r="T101" s="198"/>
      <c r="U101" s="198"/>
    </row>
    <row r="102" spans="1:33" s="12" customFormat="1" x14ac:dyDescent="0.25">
      <c r="A102" s="201" t="s">
        <v>919</v>
      </c>
      <c r="B102" s="60">
        <v>4.25</v>
      </c>
      <c r="C102" s="60">
        <v>45.6</v>
      </c>
      <c r="D102" s="60">
        <v>29.31</v>
      </c>
      <c r="E102" s="60">
        <v>5.03</v>
      </c>
      <c r="F102" s="60">
        <v>10.3</v>
      </c>
      <c r="G102" s="60">
        <v>60.8</v>
      </c>
      <c r="H102" s="60">
        <v>20.23</v>
      </c>
      <c r="I102" s="60">
        <v>0.47</v>
      </c>
      <c r="J102" s="60">
        <v>1.07</v>
      </c>
      <c r="K102" s="60">
        <v>23.4</v>
      </c>
      <c r="L102" s="60">
        <v>22.82</v>
      </c>
      <c r="M102" s="60">
        <v>49.36</v>
      </c>
      <c r="N102" s="60">
        <v>4.8</v>
      </c>
      <c r="O102" s="60">
        <v>0</v>
      </c>
      <c r="P102" s="60">
        <v>0.59</v>
      </c>
      <c r="Q102" s="60">
        <v>25.44</v>
      </c>
      <c r="R102" s="198"/>
      <c r="S102" s="198"/>
      <c r="T102" s="198"/>
      <c r="U102" s="198"/>
    </row>
    <row r="103" spans="1:33" s="12" customFormat="1" x14ac:dyDescent="0.25">
      <c r="A103" s="201" t="s">
        <v>920</v>
      </c>
      <c r="B103" s="60">
        <v>3.87</v>
      </c>
      <c r="C103" s="60">
        <v>47.05</v>
      </c>
      <c r="D103" s="60">
        <v>29.81</v>
      </c>
      <c r="E103" s="60">
        <v>3.33</v>
      </c>
      <c r="F103" s="60">
        <v>10.97</v>
      </c>
      <c r="G103" s="60">
        <v>45.03</v>
      </c>
      <c r="H103" s="60">
        <v>14.35</v>
      </c>
      <c r="I103" s="60">
        <v>0.48</v>
      </c>
      <c r="J103" s="60">
        <v>0.91</v>
      </c>
      <c r="K103" s="60">
        <v>67.41</v>
      </c>
      <c r="L103" s="60">
        <v>22.52</v>
      </c>
      <c r="M103" s="60">
        <v>50.76</v>
      </c>
      <c r="N103" s="60">
        <v>4.8</v>
      </c>
      <c r="O103" s="60">
        <v>0</v>
      </c>
      <c r="P103" s="60">
        <v>0.56999999999999995</v>
      </c>
      <c r="Q103" s="60">
        <v>26.93</v>
      </c>
      <c r="R103" s="198"/>
      <c r="S103" s="198"/>
      <c r="T103" s="198"/>
      <c r="U103" s="198"/>
    </row>
    <row r="104" spans="1:33" s="12" customFormat="1" x14ac:dyDescent="0.25">
      <c r="A104" s="201" t="s">
        <v>921</v>
      </c>
      <c r="B104" s="60">
        <v>3.59</v>
      </c>
      <c r="C104" s="60">
        <v>45.3</v>
      </c>
      <c r="D104" s="60">
        <v>28.62</v>
      </c>
      <c r="E104" s="60">
        <v>1.99</v>
      </c>
      <c r="F104" s="60">
        <v>9.24</v>
      </c>
      <c r="G104" s="60">
        <v>45.03</v>
      </c>
      <c r="H104" s="60">
        <v>14.35</v>
      </c>
      <c r="I104" s="60">
        <v>0.49</v>
      </c>
      <c r="J104" s="60">
        <v>1.35</v>
      </c>
      <c r="K104" s="60">
        <v>83.18</v>
      </c>
      <c r="L104" s="60">
        <v>22.48</v>
      </c>
      <c r="M104" s="60">
        <v>50.2</v>
      </c>
      <c r="N104" s="60">
        <v>4.5</v>
      </c>
      <c r="O104" s="60">
        <v>0</v>
      </c>
      <c r="P104" s="60">
        <v>0.55000000000000004</v>
      </c>
      <c r="Q104" s="60">
        <v>28.12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29.56</v>
      </c>
      <c r="D106" s="67">
        <f t="shared" ref="D106:Q106" si="0">MIN(D9:D104)</f>
        <v>21.58</v>
      </c>
      <c r="E106" s="67">
        <f t="shared" si="0"/>
        <v>0.37</v>
      </c>
      <c r="F106" s="67">
        <f t="shared" si="0"/>
        <v>3.2</v>
      </c>
      <c r="G106" s="67">
        <f t="shared" si="0"/>
        <v>24.39</v>
      </c>
      <c r="H106" s="67">
        <f t="shared" si="0"/>
        <v>11.91</v>
      </c>
      <c r="I106" s="67">
        <f t="shared" si="0"/>
        <v>0.47</v>
      </c>
      <c r="J106" s="67">
        <f t="shared" si="0"/>
        <v>0.04</v>
      </c>
      <c r="K106" s="67">
        <f t="shared" si="0"/>
        <v>1.96</v>
      </c>
      <c r="L106" s="67">
        <f t="shared" si="0"/>
        <v>20.66</v>
      </c>
      <c r="M106" s="67">
        <f t="shared" si="0"/>
        <v>21.29</v>
      </c>
      <c r="N106" s="67">
        <f t="shared" si="0"/>
        <v>3.7</v>
      </c>
      <c r="O106" s="67">
        <f t="shared" si="0"/>
        <v>0</v>
      </c>
      <c r="P106" s="67">
        <f t="shared" si="0"/>
        <v>0.51</v>
      </c>
      <c r="Q106" s="67">
        <f t="shared" si="0"/>
        <v>19.88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15.9</v>
      </c>
      <c r="C107" s="66">
        <f t="shared" ref="C107:Q107" si="1">MAX(C9:C104)</f>
        <v>85.27</v>
      </c>
      <c r="D107" s="66">
        <f t="shared" si="1"/>
        <v>52.09</v>
      </c>
      <c r="E107" s="66">
        <f t="shared" si="1"/>
        <v>7.4</v>
      </c>
      <c r="F107" s="66">
        <f t="shared" si="1"/>
        <v>55.02</v>
      </c>
      <c r="G107" s="66">
        <f t="shared" si="1"/>
        <v>217.79</v>
      </c>
      <c r="H107" s="66">
        <f t="shared" si="1"/>
        <v>31.04</v>
      </c>
      <c r="I107" s="66">
        <f t="shared" si="1"/>
        <v>0.69</v>
      </c>
      <c r="J107" s="66">
        <f t="shared" si="1"/>
        <v>3.21</v>
      </c>
      <c r="K107" s="66">
        <f t="shared" si="1"/>
        <v>355.98</v>
      </c>
      <c r="L107" s="66">
        <f t="shared" si="1"/>
        <v>35.49</v>
      </c>
      <c r="M107" s="66">
        <f t="shared" si="1"/>
        <v>73.25</v>
      </c>
      <c r="N107" s="66">
        <f t="shared" si="1"/>
        <v>811.8</v>
      </c>
      <c r="O107" s="66">
        <f t="shared" si="1"/>
        <v>0</v>
      </c>
      <c r="P107" s="66">
        <f t="shared" si="1"/>
        <v>1.34</v>
      </c>
      <c r="Q107" s="66">
        <f t="shared" si="1"/>
        <v>39.03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5.6484375000000009</v>
      </c>
      <c r="C108" s="67">
        <f t="shared" ref="C108:Q108" si="2">AVERAGE(C9:C104)</f>
        <v>47.6559375</v>
      </c>
      <c r="D108" s="67">
        <f t="shared" si="2"/>
        <v>31.570416666666674</v>
      </c>
      <c r="E108" s="67">
        <f t="shared" si="2"/>
        <v>2.488854166666667</v>
      </c>
      <c r="F108" s="67">
        <f t="shared" si="2"/>
        <v>12.956249999999997</v>
      </c>
      <c r="G108" s="67">
        <f t="shared" si="2"/>
        <v>52.338522727272739</v>
      </c>
      <c r="H108" s="67">
        <f t="shared" si="2"/>
        <v>20.445208333333323</v>
      </c>
      <c r="I108" s="67">
        <f t="shared" si="2"/>
        <v>0.54062499999999969</v>
      </c>
      <c r="J108" s="67">
        <f t="shared" si="2"/>
        <v>0.75249999999999984</v>
      </c>
      <c r="K108" s="67">
        <f t="shared" si="2"/>
        <v>156.09968749999996</v>
      </c>
      <c r="L108" s="67">
        <f t="shared" si="2"/>
        <v>26.970729166666683</v>
      </c>
      <c r="M108" s="67">
        <f t="shared" si="2"/>
        <v>47.289583333333326</v>
      </c>
      <c r="N108" s="67">
        <f t="shared" si="2"/>
        <v>218.06145833333323</v>
      </c>
      <c r="O108" s="67">
        <f t="shared" si="2"/>
        <v>0</v>
      </c>
      <c r="P108" s="67">
        <f t="shared" si="2"/>
        <v>0.67791666666666683</v>
      </c>
      <c r="Q108" s="67">
        <f t="shared" si="2"/>
        <v>29.884479166666662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3.2628316175484238</v>
      </c>
      <c r="C109" s="67">
        <f t="shared" ref="C109:Q109" si="3">STDEV(C9:C104)</f>
        <v>9.190360118724449</v>
      </c>
      <c r="D109" s="67">
        <f t="shared" si="3"/>
        <v>5.5457953568762779</v>
      </c>
      <c r="E109" s="67">
        <f t="shared" si="3"/>
        <v>1.4746217140546263</v>
      </c>
      <c r="F109" s="67">
        <f t="shared" si="3"/>
        <v>9.7142124040798539</v>
      </c>
      <c r="G109" s="67">
        <f t="shared" si="3"/>
        <v>37.448570451047445</v>
      </c>
      <c r="H109" s="67">
        <f t="shared" si="3"/>
        <v>4.3854921056561471</v>
      </c>
      <c r="I109" s="67">
        <f t="shared" si="3"/>
        <v>4.8748819148991235E-2</v>
      </c>
      <c r="J109" s="67">
        <f t="shared" si="3"/>
        <v>0.90712385274036678</v>
      </c>
      <c r="K109" s="67">
        <f t="shared" si="3"/>
        <v>108.93803356378079</v>
      </c>
      <c r="L109" s="67">
        <f t="shared" si="3"/>
        <v>5.2652959620501356</v>
      </c>
      <c r="M109" s="67">
        <f t="shared" si="3"/>
        <v>17.916209474378952</v>
      </c>
      <c r="N109" s="67">
        <f t="shared" si="3"/>
        <v>276.54350009767342</v>
      </c>
      <c r="O109" s="67">
        <f t="shared" si="3"/>
        <v>0</v>
      </c>
      <c r="P109" s="67">
        <f t="shared" si="3"/>
        <v>0.19113465447257671</v>
      </c>
      <c r="Q109" s="67">
        <f t="shared" si="3"/>
        <v>4.7634178065293922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88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922</v>
      </c>
      <c r="B9" s="60">
        <v>3.53</v>
      </c>
      <c r="C9" s="60">
        <v>42.81</v>
      </c>
      <c r="D9" s="60">
        <v>27.2</v>
      </c>
      <c r="E9" s="60">
        <v>2.5099999999999998</v>
      </c>
      <c r="F9" s="60">
        <v>10.44</v>
      </c>
      <c r="G9" s="60">
        <v>45.03</v>
      </c>
      <c r="H9" s="60">
        <v>14.35</v>
      </c>
      <c r="I9" s="60">
        <v>0.49</v>
      </c>
      <c r="J9" s="60">
        <v>0.84</v>
      </c>
      <c r="K9" s="60">
        <v>62.26</v>
      </c>
      <c r="L9" s="60">
        <v>22.75</v>
      </c>
      <c r="M9" s="60">
        <v>48.06</v>
      </c>
      <c r="N9" s="60">
        <v>4.5999999999999996</v>
      </c>
      <c r="O9" s="60">
        <v>0</v>
      </c>
      <c r="P9" s="60">
        <v>0.55000000000000004</v>
      </c>
      <c r="Q9" s="60">
        <v>28.6</v>
      </c>
      <c r="R9" s="198"/>
      <c r="S9" s="198"/>
      <c r="T9" s="198"/>
      <c r="U9" s="198"/>
    </row>
    <row r="10" spans="1:21" s="12" customFormat="1" x14ac:dyDescent="0.25">
      <c r="A10" s="201" t="s">
        <v>923</v>
      </c>
      <c r="B10" s="60">
        <v>3.52</v>
      </c>
      <c r="C10" s="60">
        <v>42.18</v>
      </c>
      <c r="D10" s="60">
        <v>26.84</v>
      </c>
      <c r="E10" s="60">
        <v>2.12</v>
      </c>
      <c r="F10" s="60">
        <v>10.25</v>
      </c>
      <c r="G10" s="60">
        <v>42.7</v>
      </c>
      <c r="H10" s="60">
        <v>14.17</v>
      </c>
      <c r="I10" s="60">
        <v>0.49</v>
      </c>
      <c r="J10" s="60">
        <v>0.84</v>
      </c>
      <c r="K10" s="60">
        <v>65.41</v>
      </c>
      <c r="L10" s="60">
        <v>22.97</v>
      </c>
      <c r="M10" s="60">
        <v>46.27</v>
      </c>
      <c r="N10" s="60">
        <v>4.5</v>
      </c>
      <c r="O10" s="60">
        <v>0</v>
      </c>
      <c r="P10" s="60">
        <v>0.53</v>
      </c>
      <c r="Q10" s="60">
        <v>29.04</v>
      </c>
      <c r="R10" s="198"/>
      <c r="S10" s="198"/>
      <c r="T10" s="198"/>
      <c r="U10" s="198"/>
    </row>
    <row r="11" spans="1:21" s="12" customFormat="1" x14ac:dyDescent="0.25">
      <c r="A11" s="201" t="s">
        <v>924</v>
      </c>
      <c r="B11" s="60">
        <v>3.53</v>
      </c>
      <c r="C11" s="60">
        <v>42.84</v>
      </c>
      <c r="D11" s="60">
        <v>27.22</v>
      </c>
      <c r="E11" s="60">
        <v>1.91</v>
      </c>
      <c r="F11" s="60">
        <v>7.08</v>
      </c>
      <c r="G11" s="60">
        <v>3.14</v>
      </c>
      <c r="H11" s="60">
        <v>11.52</v>
      </c>
      <c r="I11" s="60">
        <v>0.5</v>
      </c>
      <c r="J11" s="60">
        <v>0.74</v>
      </c>
      <c r="K11" s="60">
        <v>73.819999999999993</v>
      </c>
      <c r="L11" s="60">
        <v>23.09</v>
      </c>
      <c r="M11" s="60">
        <v>45.76</v>
      </c>
      <c r="N11" s="60">
        <v>4.7</v>
      </c>
      <c r="O11" s="60">
        <v>0</v>
      </c>
      <c r="P11" s="60">
        <v>0.52</v>
      </c>
      <c r="Q11" s="60">
        <v>30.07</v>
      </c>
      <c r="R11" s="198"/>
      <c r="S11" s="198"/>
      <c r="T11" s="198"/>
      <c r="U11" s="198"/>
    </row>
    <row r="12" spans="1:21" s="12" customFormat="1" x14ac:dyDescent="0.25">
      <c r="A12" s="201" t="s">
        <v>925</v>
      </c>
      <c r="B12" s="60">
        <v>3.23</v>
      </c>
      <c r="C12" s="60">
        <v>43.36</v>
      </c>
      <c r="D12" s="60">
        <v>27.26</v>
      </c>
      <c r="E12" s="60">
        <v>1.9</v>
      </c>
      <c r="F12" s="60">
        <v>7.01</v>
      </c>
      <c r="G12" s="60">
        <v>3.14</v>
      </c>
      <c r="H12" s="60">
        <v>11.52</v>
      </c>
      <c r="I12" s="60">
        <v>0.5</v>
      </c>
      <c r="J12" s="60">
        <v>0.94</v>
      </c>
      <c r="K12" s="60">
        <v>94.83</v>
      </c>
      <c r="L12" s="60">
        <v>23.22</v>
      </c>
      <c r="M12" s="60">
        <v>45.14</v>
      </c>
      <c r="N12" s="60">
        <v>4.5999999999999996</v>
      </c>
      <c r="O12" s="60">
        <v>0</v>
      </c>
      <c r="P12" s="60">
        <v>0.51</v>
      </c>
      <c r="Q12" s="60">
        <v>32.01</v>
      </c>
      <c r="R12" s="198"/>
      <c r="S12" s="198"/>
      <c r="T12" s="198"/>
      <c r="U12" s="198"/>
    </row>
    <row r="13" spans="1:21" s="12" customFormat="1" x14ac:dyDescent="0.25">
      <c r="A13" s="201" t="s">
        <v>926</v>
      </c>
      <c r="B13" s="60">
        <v>2.78</v>
      </c>
      <c r="C13" s="60">
        <v>42.73</v>
      </c>
      <c r="D13" s="60">
        <v>26.56</v>
      </c>
      <c r="E13" s="60">
        <v>1.9</v>
      </c>
      <c r="F13" s="60">
        <v>6.81</v>
      </c>
      <c r="G13" s="60">
        <v>3.14</v>
      </c>
      <c r="H13" s="60">
        <v>11.52</v>
      </c>
      <c r="I13" s="60">
        <v>0.49</v>
      </c>
      <c r="J13" s="60">
        <v>1.52</v>
      </c>
      <c r="K13" s="60">
        <v>118.31</v>
      </c>
      <c r="L13" s="60">
        <v>23.4</v>
      </c>
      <c r="M13" s="60">
        <v>44.77</v>
      </c>
      <c r="N13" s="60">
        <v>4.5</v>
      </c>
      <c r="O13" s="60">
        <v>0</v>
      </c>
      <c r="P13" s="60">
        <v>0.48</v>
      </c>
      <c r="Q13" s="60">
        <v>32.82</v>
      </c>
      <c r="R13" s="198"/>
      <c r="S13" s="198"/>
      <c r="T13" s="198"/>
      <c r="U13" s="198"/>
    </row>
    <row r="14" spans="1:21" s="12" customFormat="1" x14ac:dyDescent="0.25">
      <c r="A14" s="201" t="s">
        <v>927</v>
      </c>
      <c r="B14" s="60">
        <v>2.57</v>
      </c>
      <c r="C14" s="60">
        <v>42.59</v>
      </c>
      <c r="D14" s="60">
        <v>26.31</v>
      </c>
      <c r="E14" s="60">
        <v>1.77</v>
      </c>
      <c r="F14" s="60">
        <v>6.39</v>
      </c>
      <c r="G14" s="60">
        <v>3.82</v>
      </c>
      <c r="H14" s="60">
        <v>11.56</v>
      </c>
      <c r="I14" s="60">
        <v>0.48</v>
      </c>
      <c r="J14" s="60">
        <v>0.51</v>
      </c>
      <c r="K14" s="60">
        <v>114.44</v>
      </c>
      <c r="L14" s="60">
        <v>23.49</v>
      </c>
      <c r="M14" s="60">
        <v>44.24</v>
      </c>
      <c r="N14" s="60">
        <v>4.9000000000000004</v>
      </c>
      <c r="O14" s="60">
        <v>0</v>
      </c>
      <c r="P14" s="60">
        <v>0.47</v>
      </c>
      <c r="Q14" s="60">
        <v>33.5</v>
      </c>
      <c r="R14" s="198"/>
      <c r="S14" s="198"/>
      <c r="T14" s="198"/>
      <c r="U14" s="198"/>
    </row>
    <row r="15" spans="1:21" s="12" customFormat="1" x14ac:dyDescent="0.25">
      <c r="A15" s="201" t="s">
        <v>928</v>
      </c>
      <c r="B15" s="60">
        <v>2.5499999999999998</v>
      </c>
      <c r="C15" s="60">
        <v>42.7</v>
      </c>
      <c r="D15" s="60">
        <v>26.35</v>
      </c>
      <c r="E15" s="60">
        <v>1.72</v>
      </c>
      <c r="F15" s="60">
        <v>6.18</v>
      </c>
      <c r="G15" s="60">
        <v>18.510000000000002</v>
      </c>
      <c r="H15" s="60">
        <v>12.07</v>
      </c>
      <c r="I15" s="60">
        <v>0.48</v>
      </c>
      <c r="J15" s="60">
        <v>0.06</v>
      </c>
      <c r="K15" s="60">
        <v>354.95</v>
      </c>
      <c r="L15" s="60">
        <v>23.24</v>
      </c>
      <c r="M15" s="60">
        <v>46.08</v>
      </c>
      <c r="N15" s="60">
        <v>5.3</v>
      </c>
      <c r="O15" s="60">
        <v>0</v>
      </c>
      <c r="P15" s="60">
        <v>0.45</v>
      </c>
      <c r="Q15" s="60">
        <v>33.799999999999997</v>
      </c>
      <c r="R15" s="198"/>
      <c r="S15" s="198"/>
      <c r="T15" s="198"/>
      <c r="U15" s="198"/>
    </row>
    <row r="16" spans="1:21" s="12" customFormat="1" x14ac:dyDescent="0.25">
      <c r="A16" s="201" t="s">
        <v>929</v>
      </c>
      <c r="B16" s="60">
        <v>2.5299999999999998</v>
      </c>
      <c r="C16" s="60">
        <v>42.9</v>
      </c>
      <c r="D16" s="60">
        <v>26.45</v>
      </c>
      <c r="E16" s="60">
        <v>2.02</v>
      </c>
      <c r="F16" s="60">
        <v>5.93</v>
      </c>
      <c r="G16" s="60">
        <v>18.510000000000002</v>
      </c>
      <c r="H16" s="60">
        <v>12.07</v>
      </c>
      <c r="I16" s="60">
        <v>0.48</v>
      </c>
      <c r="J16" s="60">
        <v>0.15</v>
      </c>
      <c r="K16" s="60">
        <v>227.25</v>
      </c>
      <c r="L16" s="60">
        <v>22.79</v>
      </c>
      <c r="M16" s="60">
        <v>48.87</v>
      </c>
      <c r="N16" s="60">
        <v>5.3</v>
      </c>
      <c r="O16" s="60">
        <v>0</v>
      </c>
      <c r="P16" s="60">
        <v>0.44</v>
      </c>
      <c r="Q16" s="60">
        <v>33.270000000000003</v>
      </c>
      <c r="R16" s="198"/>
      <c r="S16" s="198"/>
      <c r="T16" s="198"/>
      <c r="U16" s="198"/>
    </row>
    <row r="17" spans="1:21" s="12" customFormat="1" x14ac:dyDescent="0.25">
      <c r="A17" s="201" t="s">
        <v>930</v>
      </c>
      <c r="B17" s="60">
        <v>2.4900000000000002</v>
      </c>
      <c r="C17" s="60">
        <v>42.58</v>
      </c>
      <c r="D17" s="60">
        <v>26.24</v>
      </c>
      <c r="E17" s="60">
        <v>1.62</v>
      </c>
      <c r="F17" s="60">
        <v>5.55</v>
      </c>
      <c r="G17" s="60">
        <v>18.510000000000002</v>
      </c>
      <c r="H17" s="60">
        <v>12.07</v>
      </c>
      <c r="I17" s="60">
        <v>0.48</v>
      </c>
      <c r="J17" s="60">
        <v>0.03</v>
      </c>
      <c r="K17" s="60">
        <v>319.66000000000003</v>
      </c>
      <c r="L17" s="60">
        <v>22.5</v>
      </c>
      <c r="M17" s="60">
        <v>50.98</v>
      </c>
      <c r="N17" s="60">
        <v>5.2</v>
      </c>
      <c r="O17" s="60">
        <v>0</v>
      </c>
      <c r="P17" s="60">
        <v>0.43</v>
      </c>
      <c r="Q17" s="60">
        <v>32.49</v>
      </c>
      <c r="R17" s="198"/>
      <c r="S17" s="198"/>
      <c r="T17" s="198"/>
      <c r="U17" s="198"/>
    </row>
    <row r="18" spans="1:21" s="12" customFormat="1" x14ac:dyDescent="0.25">
      <c r="A18" s="201" t="s">
        <v>931</v>
      </c>
      <c r="B18" s="60">
        <v>2.52</v>
      </c>
      <c r="C18" s="60">
        <v>40.24</v>
      </c>
      <c r="D18" s="60">
        <v>24.97</v>
      </c>
      <c r="E18" s="60">
        <v>1.9</v>
      </c>
      <c r="F18" s="60">
        <v>11.02</v>
      </c>
      <c r="G18" s="60">
        <v>19.88</v>
      </c>
      <c r="H18" s="60">
        <v>12.06</v>
      </c>
      <c r="I18" s="60">
        <v>0.47</v>
      </c>
      <c r="J18" s="60">
        <v>0.05</v>
      </c>
      <c r="K18" s="60">
        <v>10.48</v>
      </c>
      <c r="L18" s="60">
        <v>22.26</v>
      </c>
      <c r="M18" s="60">
        <v>52.53</v>
      </c>
      <c r="N18" s="60">
        <v>5.2</v>
      </c>
      <c r="O18" s="60">
        <v>0</v>
      </c>
      <c r="P18" s="60">
        <v>0.4</v>
      </c>
      <c r="Q18" s="60">
        <v>30.17</v>
      </c>
      <c r="R18" s="198"/>
      <c r="S18" s="198"/>
      <c r="T18" s="198"/>
      <c r="U18" s="198"/>
    </row>
    <row r="19" spans="1:21" s="12" customFormat="1" x14ac:dyDescent="0.25">
      <c r="A19" s="201" t="s">
        <v>932</v>
      </c>
      <c r="B19" s="60">
        <v>2.68</v>
      </c>
      <c r="C19" s="60">
        <v>33.65</v>
      </c>
      <c r="D19" s="60">
        <v>21.46</v>
      </c>
      <c r="E19" s="60">
        <v>1.45</v>
      </c>
      <c r="F19" s="60">
        <v>7.13</v>
      </c>
      <c r="G19" s="60">
        <v>43.3</v>
      </c>
      <c r="H19" s="60">
        <v>11.86</v>
      </c>
      <c r="I19" s="60">
        <v>0.48</v>
      </c>
      <c r="J19" s="60">
        <v>0.27</v>
      </c>
      <c r="K19" s="60">
        <v>356.38</v>
      </c>
      <c r="L19" s="60">
        <v>22.07</v>
      </c>
      <c r="M19" s="60">
        <v>53.87</v>
      </c>
      <c r="N19" s="60">
        <v>5.2</v>
      </c>
      <c r="O19" s="60">
        <v>0</v>
      </c>
      <c r="P19" s="60">
        <v>0.41</v>
      </c>
      <c r="Q19" s="60">
        <v>24.69</v>
      </c>
      <c r="R19" s="198"/>
      <c r="S19" s="198"/>
      <c r="T19" s="198"/>
      <c r="U19" s="198"/>
    </row>
    <row r="20" spans="1:21" s="12" customFormat="1" x14ac:dyDescent="0.25">
      <c r="A20" s="201" t="s">
        <v>933</v>
      </c>
      <c r="B20" s="60">
        <v>3.02</v>
      </c>
      <c r="C20" s="60">
        <v>37.49</v>
      </c>
      <c r="D20" s="60">
        <v>23.85</v>
      </c>
      <c r="E20" s="60">
        <v>1.36</v>
      </c>
      <c r="F20" s="60">
        <v>4.25</v>
      </c>
      <c r="G20" s="60">
        <v>43.3</v>
      </c>
      <c r="H20" s="60">
        <v>11.86</v>
      </c>
      <c r="I20" s="60">
        <v>0.49</v>
      </c>
      <c r="J20" s="60">
        <v>0.3</v>
      </c>
      <c r="K20" s="60">
        <v>344.15</v>
      </c>
      <c r="L20" s="60">
        <v>21.52</v>
      </c>
      <c r="M20" s="60">
        <v>56.64</v>
      </c>
      <c r="N20" s="60">
        <v>5</v>
      </c>
      <c r="O20" s="60">
        <v>0</v>
      </c>
      <c r="P20" s="60">
        <v>0.42</v>
      </c>
      <c r="Q20" s="60">
        <v>23.85</v>
      </c>
      <c r="R20" s="198"/>
      <c r="S20" s="198"/>
      <c r="T20" s="198"/>
      <c r="U20" s="198"/>
    </row>
    <row r="21" spans="1:21" s="12" customFormat="1" x14ac:dyDescent="0.25">
      <c r="A21" s="201" t="s">
        <v>934</v>
      </c>
      <c r="B21" s="60">
        <v>3.33</v>
      </c>
      <c r="C21" s="60">
        <v>36.78</v>
      </c>
      <c r="D21" s="60">
        <v>23.71</v>
      </c>
      <c r="E21" s="60">
        <v>1.22</v>
      </c>
      <c r="F21" s="60">
        <v>4.42</v>
      </c>
      <c r="G21" s="60">
        <v>43.3</v>
      </c>
      <c r="H21" s="60">
        <v>11.86</v>
      </c>
      <c r="I21" s="60">
        <v>0.49</v>
      </c>
      <c r="J21" s="60">
        <v>0.2</v>
      </c>
      <c r="K21" s="60">
        <v>353.51</v>
      </c>
      <c r="L21" s="60">
        <v>21.22</v>
      </c>
      <c r="M21" s="60">
        <v>57.4</v>
      </c>
      <c r="N21" s="60">
        <v>4.7</v>
      </c>
      <c r="O21" s="60">
        <v>0</v>
      </c>
      <c r="P21" s="60">
        <v>0.41</v>
      </c>
      <c r="Q21" s="60">
        <v>23.04</v>
      </c>
      <c r="R21" s="198"/>
      <c r="S21" s="198"/>
      <c r="T21" s="198"/>
      <c r="U21" s="198"/>
    </row>
    <row r="22" spans="1:21" s="12" customFormat="1" x14ac:dyDescent="0.25">
      <c r="A22" s="201" t="s">
        <v>935</v>
      </c>
      <c r="B22" s="60">
        <v>3.65</v>
      </c>
      <c r="C22" s="60">
        <v>37.24</v>
      </c>
      <c r="D22" s="60">
        <v>24.22</v>
      </c>
      <c r="E22" s="60">
        <v>1.6</v>
      </c>
      <c r="F22" s="60">
        <v>3.97</v>
      </c>
      <c r="G22" s="60">
        <v>43.01</v>
      </c>
      <c r="H22" s="60">
        <v>11.8</v>
      </c>
      <c r="I22" s="60">
        <v>0.48</v>
      </c>
      <c r="J22" s="60">
        <v>0.26</v>
      </c>
      <c r="K22" s="60">
        <v>13.79</v>
      </c>
      <c r="L22" s="60">
        <v>21.12</v>
      </c>
      <c r="M22" s="60">
        <v>57.82</v>
      </c>
      <c r="N22" s="60">
        <v>4.5999999999999996</v>
      </c>
      <c r="O22" s="60">
        <v>0</v>
      </c>
      <c r="P22" s="60">
        <v>0.42</v>
      </c>
      <c r="Q22" s="60">
        <v>23.12</v>
      </c>
      <c r="R22" s="198"/>
      <c r="S22" s="198"/>
      <c r="T22" s="198"/>
      <c r="U22" s="198"/>
    </row>
    <row r="23" spans="1:21" s="12" customFormat="1" x14ac:dyDescent="0.25">
      <c r="A23" s="201" t="s">
        <v>936</v>
      </c>
      <c r="B23" s="60">
        <v>3.73</v>
      </c>
      <c r="C23" s="60">
        <v>37.520000000000003</v>
      </c>
      <c r="D23" s="60">
        <v>24.44</v>
      </c>
      <c r="E23" s="60">
        <v>1.56</v>
      </c>
      <c r="F23" s="60">
        <v>3.93</v>
      </c>
      <c r="G23" s="60">
        <v>36.69</v>
      </c>
      <c r="H23" s="60">
        <v>10.82</v>
      </c>
      <c r="I23" s="60">
        <v>0.48</v>
      </c>
      <c r="J23" s="60">
        <v>0.25</v>
      </c>
      <c r="K23" s="60">
        <v>2.93</v>
      </c>
      <c r="L23" s="60">
        <v>21.1</v>
      </c>
      <c r="M23" s="60">
        <v>57.81</v>
      </c>
      <c r="N23" s="60">
        <v>4.9000000000000004</v>
      </c>
      <c r="O23" s="60">
        <v>0</v>
      </c>
      <c r="P23" s="60">
        <v>0.4</v>
      </c>
      <c r="Q23" s="60">
        <v>23.16</v>
      </c>
      <c r="R23" s="198"/>
      <c r="S23" s="198"/>
      <c r="T23" s="198"/>
      <c r="U23" s="198"/>
    </row>
    <row r="24" spans="1:21" s="12" customFormat="1" x14ac:dyDescent="0.25">
      <c r="A24" s="201" t="s">
        <v>937</v>
      </c>
      <c r="B24" s="60">
        <v>3.71</v>
      </c>
      <c r="C24" s="60">
        <v>35.99</v>
      </c>
      <c r="D24" s="60">
        <v>23.58</v>
      </c>
      <c r="E24" s="60">
        <v>0.2</v>
      </c>
      <c r="F24" s="60">
        <v>4.0999999999999996</v>
      </c>
      <c r="G24" s="60">
        <v>36.69</v>
      </c>
      <c r="H24" s="60">
        <v>10.82</v>
      </c>
      <c r="I24" s="60">
        <v>0.49</v>
      </c>
      <c r="J24" s="60">
        <v>0.31</v>
      </c>
      <c r="K24" s="60">
        <v>347.21</v>
      </c>
      <c r="L24" s="60">
        <v>20.8</v>
      </c>
      <c r="M24" s="60">
        <v>59.6</v>
      </c>
      <c r="N24" s="60">
        <v>4.9000000000000004</v>
      </c>
      <c r="O24" s="60">
        <v>0</v>
      </c>
      <c r="P24" s="60">
        <v>0.41</v>
      </c>
      <c r="Q24" s="60">
        <v>22.56</v>
      </c>
      <c r="R24" s="198"/>
      <c r="S24" s="198"/>
      <c r="T24" s="198"/>
      <c r="U24" s="198"/>
    </row>
    <row r="25" spans="1:21" s="12" customFormat="1" x14ac:dyDescent="0.25">
      <c r="A25" s="201" t="s">
        <v>938</v>
      </c>
      <c r="B25" s="60">
        <v>3.75</v>
      </c>
      <c r="C25" s="60">
        <v>36.979999999999997</v>
      </c>
      <c r="D25" s="60">
        <v>24.16</v>
      </c>
      <c r="E25" s="60">
        <v>0.78</v>
      </c>
      <c r="F25" s="60">
        <v>3.82</v>
      </c>
      <c r="G25" s="60">
        <v>36.69</v>
      </c>
      <c r="H25" s="60">
        <v>10.82</v>
      </c>
      <c r="I25" s="60">
        <v>0.49</v>
      </c>
      <c r="J25" s="60">
        <v>0.12</v>
      </c>
      <c r="K25" s="60">
        <v>10.220000000000001</v>
      </c>
      <c r="L25" s="60">
        <v>20.64</v>
      </c>
      <c r="M25" s="60">
        <v>59.91</v>
      </c>
      <c r="N25" s="60">
        <v>4.7</v>
      </c>
      <c r="O25" s="60">
        <v>0</v>
      </c>
      <c r="P25" s="60">
        <v>0.41</v>
      </c>
      <c r="Q25" s="60">
        <v>22.7</v>
      </c>
      <c r="R25" s="198"/>
      <c r="S25" s="198"/>
      <c r="T25" s="198"/>
      <c r="U25" s="198"/>
    </row>
    <row r="26" spans="1:21" s="12" customFormat="1" x14ac:dyDescent="0.25">
      <c r="A26" s="201" t="s">
        <v>939</v>
      </c>
      <c r="B26" s="60">
        <v>3.52</v>
      </c>
      <c r="C26" s="60">
        <v>35.909999999999997</v>
      </c>
      <c r="D26" s="60">
        <v>23.38</v>
      </c>
      <c r="E26" s="60">
        <v>1.1599999999999999</v>
      </c>
      <c r="F26" s="60">
        <v>4.79</v>
      </c>
      <c r="G26" s="60">
        <v>35.33</v>
      </c>
      <c r="H26" s="60">
        <v>10.9</v>
      </c>
      <c r="I26" s="60">
        <v>0.49</v>
      </c>
      <c r="J26" s="60">
        <v>0.18</v>
      </c>
      <c r="K26" s="60">
        <v>34.1</v>
      </c>
      <c r="L26" s="60">
        <v>20.54</v>
      </c>
      <c r="M26" s="60">
        <v>60.79</v>
      </c>
      <c r="N26" s="60">
        <v>4.7</v>
      </c>
      <c r="O26" s="60">
        <v>0</v>
      </c>
      <c r="P26" s="60">
        <v>0.39</v>
      </c>
      <c r="Q26" s="60">
        <v>23.34</v>
      </c>
      <c r="R26" s="198"/>
      <c r="S26" s="198"/>
      <c r="T26" s="198"/>
      <c r="U26" s="198"/>
    </row>
    <row r="27" spans="1:21" s="12" customFormat="1" x14ac:dyDescent="0.25">
      <c r="A27" s="201" t="s">
        <v>940</v>
      </c>
      <c r="B27" s="60">
        <v>3.08</v>
      </c>
      <c r="C27" s="60">
        <v>36.78</v>
      </c>
      <c r="D27" s="60">
        <v>23.51</v>
      </c>
      <c r="E27" s="60">
        <v>0.85</v>
      </c>
      <c r="F27" s="60">
        <v>5.85</v>
      </c>
      <c r="G27" s="211" t="s">
        <v>43</v>
      </c>
      <c r="H27" s="211" t="s">
        <v>43</v>
      </c>
      <c r="I27" s="60">
        <v>0.49</v>
      </c>
      <c r="J27" s="60">
        <v>0.17</v>
      </c>
      <c r="K27" s="60">
        <v>54.69</v>
      </c>
      <c r="L27" s="60">
        <v>20.440000000000001</v>
      </c>
      <c r="M27" s="60">
        <v>61.47</v>
      </c>
      <c r="N27" s="60">
        <v>4.7</v>
      </c>
      <c r="O27" s="60">
        <v>0</v>
      </c>
      <c r="P27" s="60">
        <v>0.38</v>
      </c>
      <c r="Q27" s="60">
        <v>23.93</v>
      </c>
      <c r="R27" s="198"/>
      <c r="S27" s="198"/>
      <c r="T27" s="198"/>
      <c r="U27" s="198"/>
    </row>
    <row r="28" spans="1:21" s="12" customFormat="1" x14ac:dyDescent="0.25">
      <c r="A28" s="201" t="s">
        <v>941</v>
      </c>
      <c r="B28" s="60">
        <v>2.8</v>
      </c>
      <c r="C28" s="60">
        <v>38.119999999999997</v>
      </c>
      <c r="D28" s="60">
        <v>24.02</v>
      </c>
      <c r="E28" s="60">
        <v>0.27</v>
      </c>
      <c r="F28" s="60">
        <v>5.95</v>
      </c>
      <c r="G28" s="211" t="s">
        <v>43</v>
      </c>
      <c r="H28" s="211" t="s">
        <v>43</v>
      </c>
      <c r="I28" s="60">
        <v>0.49</v>
      </c>
      <c r="J28" s="60">
        <v>0.05</v>
      </c>
      <c r="K28" s="60">
        <v>342.31</v>
      </c>
      <c r="L28" s="60">
        <v>20.329999999999998</v>
      </c>
      <c r="M28" s="60">
        <v>62.17</v>
      </c>
      <c r="N28" s="60">
        <v>4.7</v>
      </c>
      <c r="O28" s="60">
        <v>0</v>
      </c>
      <c r="P28" s="60">
        <v>0.38</v>
      </c>
      <c r="Q28" s="60">
        <v>24.12</v>
      </c>
      <c r="R28" s="198"/>
      <c r="S28" s="198"/>
      <c r="T28" s="198"/>
      <c r="U28" s="198"/>
    </row>
    <row r="29" spans="1:21" s="12" customFormat="1" x14ac:dyDescent="0.25">
      <c r="A29" s="201" t="s">
        <v>942</v>
      </c>
      <c r="B29" s="60">
        <v>2.68</v>
      </c>
      <c r="C29" s="60">
        <v>38.69</v>
      </c>
      <c r="D29" s="60">
        <v>24.25</v>
      </c>
      <c r="E29" s="60">
        <v>0.94</v>
      </c>
      <c r="F29" s="60">
        <v>5.37</v>
      </c>
      <c r="G29" s="211" t="s">
        <v>43</v>
      </c>
      <c r="H29" s="211" t="s">
        <v>43</v>
      </c>
      <c r="I29" s="60">
        <v>0.48</v>
      </c>
      <c r="J29" s="60">
        <v>0.16</v>
      </c>
      <c r="K29" s="60">
        <v>42.31</v>
      </c>
      <c r="L29" s="60">
        <v>20.27</v>
      </c>
      <c r="M29" s="60">
        <v>62.96</v>
      </c>
      <c r="N29" s="60">
        <v>4.5999999999999996</v>
      </c>
      <c r="O29" s="60">
        <v>0</v>
      </c>
      <c r="P29" s="60">
        <v>0.38</v>
      </c>
      <c r="Q29" s="60">
        <v>24.21</v>
      </c>
      <c r="R29" s="198"/>
      <c r="S29" s="198"/>
      <c r="T29" s="198"/>
      <c r="U29" s="198"/>
    </row>
    <row r="30" spans="1:21" s="12" customFormat="1" x14ac:dyDescent="0.25">
      <c r="A30" s="201" t="s">
        <v>943</v>
      </c>
      <c r="B30" s="60">
        <v>2.72</v>
      </c>
      <c r="C30" s="60">
        <v>38.69</v>
      </c>
      <c r="D30" s="60">
        <v>24.28</v>
      </c>
      <c r="E30" s="60">
        <v>0.4</v>
      </c>
      <c r="F30" s="60">
        <v>5</v>
      </c>
      <c r="G30" s="211" t="s">
        <v>43</v>
      </c>
      <c r="H30" s="211" t="s">
        <v>43</v>
      </c>
      <c r="I30" s="60">
        <v>0.48</v>
      </c>
      <c r="J30" s="60">
        <v>0.16</v>
      </c>
      <c r="K30" s="60">
        <v>33.57</v>
      </c>
      <c r="L30" s="60">
        <v>20.350000000000001</v>
      </c>
      <c r="M30" s="60">
        <v>62.55</v>
      </c>
      <c r="N30" s="60">
        <v>4.5999999999999996</v>
      </c>
      <c r="O30" s="60">
        <v>0</v>
      </c>
      <c r="P30" s="60">
        <v>0.38</v>
      </c>
      <c r="Q30" s="60">
        <v>24.35</v>
      </c>
      <c r="R30" s="198"/>
      <c r="S30" s="198"/>
      <c r="T30" s="198"/>
      <c r="U30" s="198"/>
    </row>
    <row r="31" spans="1:21" s="12" customFormat="1" x14ac:dyDescent="0.25">
      <c r="A31" s="201" t="s">
        <v>944</v>
      </c>
      <c r="B31" s="60">
        <v>2.84</v>
      </c>
      <c r="C31" s="60">
        <v>38.909999999999997</v>
      </c>
      <c r="D31" s="60">
        <v>24.49</v>
      </c>
      <c r="E31" s="60">
        <v>0.64</v>
      </c>
      <c r="F31" s="60">
        <v>5.29</v>
      </c>
      <c r="G31" s="211" t="s">
        <v>43</v>
      </c>
      <c r="H31" s="211" t="s">
        <v>43</v>
      </c>
      <c r="I31" s="60">
        <v>0.48</v>
      </c>
      <c r="J31" s="60">
        <v>0.09</v>
      </c>
      <c r="K31" s="60">
        <v>20.6</v>
      </c>
      <c r="L31" s="60">
        <v>20.399999999999999</v>
      </c>
      <c r="M31" s="60">
        <v>62.12</v>
      </c>
      <c r="N31" s="60">
        <v>5.2</v>
      </c>
      <c r="O31" s="60">
        <v>0</v>
      </c>
      <c r="P31" s="60">
        <v>0.4</v>
      </c>
      <c r="Q31" s="60">
        <v>24.29</v>
      </c>
      <c r="R31" s="198"/>
      <c r="S31" s="198"/>
      <c r="T31" s="198"/>
      <c r="U31" s="198"/>
    </row>
    <row r="32" spans="1:21" s="12" customFormat="1" x14ac:dyDescent="0.25">
      <c r="A32" s="201" t="s">
        <v>945</v>
      </c>
      <c r="B32" s="60">
        <v>3.09</v>
      </c>
      <c r="C32" s="60">
        <v>39.51</v>
      </c>
      <c r="D32" s="60">
        <v>25.02</v>
      </c>
      <c r="E32" s="60">
        <v>0.49</v>
      </c>
      <c r="F32" s="60">
        <v>5.16</v>
      </c>
      <c r="G32" s="211" t="s">
        <v>43</v>
      </c>
      <c r="H32" s="211" t="s">
        <v>43</v>
      </c>
      <c r="I32" s="60">
        <v>0.46</v>
      </c>
      <c r="J32" s="60">
        <v>0.32</v>
      </c>
      <c r="K32" s="60">
        <v>349.87</v>
      </c>
      <c r="L32" s="60">
        <v>20.45</v>
      </c>
      <c r="M32" s="60">
        <v>62.25</v>
      </c>
      <c r="N32" s="60">
        <v>8.6999999999999993</v>
      </c>
      <c r="O32" s="60">
        <v>0</v>
      </c>
      <c r="P32" s="60">
        <v>0.41</v>
      </c>
      <c r="Q32" s="60">
        <v>23.93</v>
      </c>
      <c r="R32" s="198"/>
      <c r="S32" s="198"/>
      <c r="T32" s="198"/>
      <c r="U32" s="198"/>
    </row>
    <row r="33" spans="1:21" s="12" customFormat="1" x14ac:dyDescent="0.25">
      <c r="A33" s="201" t="s">
        <v>946</v>
      </c>
      <c r="B33" s="60">
        <v>3.87</v>
      </c>
      <c r="C33" s="60">
        <v>34.78</v>
      </c>
      <c r="D33" s="60">
        <v>23.04</v>
      </c>
      <c r="E33" s="60">
        <v>0.42</v>
      </c>
      <c r="F33" s="60">
        <v>4.08</v>
      </c>
      <c r="G33" s="211" t="s">
        <v>43</v>
      </c>
      <c r="H33" s="211" t="s">
        <v>43</v>
      </c>
      <c r="I33" s="60">
        <v>0.46</v>
      </c>
      <c r="J33" s="60">
        <v>0.47</v>
      </c>
      <c r="K33" s="60">
        <v>341.19</v>
      </c>
      <c r="L33" s="60">
        <v>20.36</v>
      </c>
      <c r="M33" s="60">
        <v>63.55</v>
      </c>
      <c r="N33" s="60">
        <v>21.6</v>
      </c>
      <c r="O33" s="60">
        <v>0</v>
      </c>
      <c r="P33" s="60">
        <v>0.46</v>
      </c>
      <c r="Q33" s="60">
        <v>19.25</v>
      </c>
      <c r="R33" s="198"/>
      <c r="S33" s="198"/>
      <c r="T33" s="198"/>
      <c r="U33" s="198"/>
    </row>
    <row r="34" spans="1:21" s="12" customFormat="1" x14ac:dyDescent="0.25">
      <c r="A34" s="201" t="s">
        <v>947</v>
      </c>
      <c r="B34" s="60">
        <v>4.43</v>
      </c>
      <c r="C34" s="60">
        <v>42.3</v>
      </c>
      <c r="D34" s="60">
        <v>27.63</v>
      </c>
      <c r="E34" s="60">
        <v>0.71</v>
      </c>
      <c r="F34" s="60">
        <v>3.4</v>
      </c>
      <c r="G34" s="211" t="s">
        <v>43</v>
      </c>
      <c r="H34" s="211" t="s">
        <v>43</v>
      </c>
      <c r="I34" s="60">
        <v>0.46</v>
      </c>
      <c r="J34" s="60">
        <v>0.57999999999999996</v>
      </c>
      <c r="K34" s="60">
        <v>342.76</v>
      </c>
      <c r="L34" s="60">
        <v>20.55</v>
      </c>
      <c r="M34" s="60">
        <v>63.52</v>
      </c>
      <c r="N34" s="60">
        <v>49.9</v>
      </c>
      <c r="O34" s="60">
        <v>0</v>
      </c>
      <c r="P34" s="60">
        <v>0.57999999999999996</v>
      </c>
      <c r="Q34" s="60">
        <v>20.190000000000001</v>
      </c>
      <c r="R34" s="198"/>
      <c r="S34" s="198"/>
      <c r="T34" s="198"/>
      <c r="U34" s="198"/>
    </row>
    <row r="35" spans="1:21" s="12" customFormat="1" x14ac:dyDescent="0.25">
      <c r="A35" s="201" t="s">
        <v>948</v>
      </c>
      <c r="B35" s="60">
        <v>6.28</v>
      </c>
      <c r="C35" s="60">
        <v>41.29</v>
      </c>
      <c r="D35" s="60">
        <v>28.56</v>
      </c>
      <c r="E35" s="60">
        <v>0.87</v>
      </c>
      <c r="F35" s="60">
        <v>4.12</v>
      </c>
      <c r="G35" s="211" t="s">
        <v>43</v>
      </c>
      <c r="H35" s="211" t="s">
        <v>43</v>
      </c>
      <c r="I35" s="60">
        <v>0.46</v>
      </c>
      <c r="J35" s="60">
        <v>0.62</v>
      </c>
      <c r="K35" s="60">
        <v>351.93</v>
      </c>
      <c r="L35" s="60">
        <v>21.15</v>
      </c>
      <c r="M35" s="60">
        <v>61.3</v>
      </c>
      <c r="N35" s="60">
        <v>106</v>
      </c>
      <c r="O35" s="60">
        <v>0</v>
      </c>
      <c r="P35" s="60">
        <v>0.65</v>
      </c>
      <c r="Q35" s="60">
        <v>19.55</v>
      </c>
      <c r="R35" s="198"/>
      <c r="S35" s="198"/>
      <c r="T35" s="198"/>
      <c r="U35" s="198"/>
    </row>
    <row r="36" spans="1:21" s="12" customFormat="1" x14ac:dyDescent="0.25">
      <c r="A36" s="201" t="s">
        <v>949</v>
      </c>
      <c r="B36" s="60">
        <v>6.29</v>
      </c>
      <c r="C36" s="60">
        <v>41.16</v>
      </c>
      <c r="D36" s="60">
        <v>28.5</v>
      </c>
      <c r="E36" s="60">
        <v>0.62</v>
      </c>
      <c r="F36" s="60">
        <v>4.18</v>
      </c>
      <c r="G36" s="211" t="s">
        <v>43</v>
      </c>
      <c r="H36" s="211" t="s">
        <v>43</v>
      </c>
      <c r="I36" s="60">
        <v>0.47</v>
      </c>
      <c r="J36" s="60">
        <v>0.56999999999999995</v>
      </c>
      <c r="K36" s="60">
        <v>343.48</v>
      </c>
      <c r="L36" s="60">
        <v>22.38</v>
      </c>
      <c r="M36" s="60">
        <v>56.46</v>
      </c>
      <c r="N36" s="60">
        <v>118</v>
      </c>
      <c r="O36" s="60">
        <v>0</v>
      </c>
      <c r="P36" s="60">
        <v>0.66</v>
      </c>
      <c r="Q36" s="60">
        <v>20.2</v>
      </c>
      <c r="R36" s="198"/>
      <c r="S36" s="198"/>
      <c r="T36" s="198"/>
      <c r="U36" s="198"/>
    </row>
    <row r="37" spans="1:21" s="12" customFormat="1" x14ac:dyDescent="0.25">
      <c r="A37" s="201" t="s">
        <v>950</v>
      </c>
      <c r="B37" s="60">
        <v>6.93</v>
      </c>
      <c r="C37" s="60">
        <v>43.96</v>
      </c>
      <c r="D37" s="60">
        <v>30.55</v>
      </c>
      <c r="E37" s="60">
        <v>1.1000000000000001</v>
      </c>
      <c r="F37" s="60">
        <v>3.66</v>
      </c>
      <c r="G37" s="211" t="s">
        <v>43</v>
      </c>
      <c r="H37" s="211" t="s">
        <v>43</v>
      </c>
      <c r="I37" s="60">
        <v>0.47</v>
      </c>
      <c r="J37" s="60">
        <v>0.98</v>
      </c>
      <c r="K37" s="60">
        <v>353.33</v>
      </c>
      <c r="L37" s="60">
        <v>23.13</v>
      </c>
      <c r="M37" s="60">
        <v>53.86</v>
      </c>
      <c r="N37" s="60">
        <v>92.5</v>
      </c>
      <c r="O37" s="60">
        <v>0</v>
      </c>
      <c r="P37" s="60">
        <v>0.64</v>
      </c>
      <c r="Q37" s="60">
        <v>21.39</v>
      </c>
      <c r="R37" s="198"/>
      <c r="S37" s="198"/>
      <c r="T37" s="198"/>
      <c r="U37" s="198"/>
    </row>
    <row r="38" spans="1:21" s="12" customFormat="1" x14ac:dyDescent="0.25">
      <c r="A38" s="201" t="s">
        <v>951</v>
      </c>
      <c r="B38" s="60">
        <v>7.82</v>
      </c>
      <c r="C38" s="60">
        <v>43.68</v>
      </c>
      <c r="D38" s="60">
        <v>31.12</v>
      </c>
      <c r="E38" s="60">
        <v>0.87</v>
      </c>
      <c r="F38" s="60">
        <v>3.49</v>
      </c>
      <c r="G38" s="211" t="s">
        <v>43</v>
      </c>
      <c r="H38" s="211" t="s">
        <v>43</v>
      </c>
      <c r="I38" s="60">
        <v>0.48</v>
      </c>
      <c r="J38" s="60">
        <v>0.77</v>
      </c>
      <c r="K38" s="60">
        <v>343.96</v>
      </c>
      <c r="L38" s="60">
        <v>23.23</v>
      </c>
      <c r="M38" s="60">
        <v>53.23</v>
      </c>
      <c r="N38" s="60">
        <v>129</v>
      </c>
      <c r="O38" s="60">
        <v>0</v>
      </c>
      <c r="P38" s="60">
        <v>0.66</v>
      </c>
      <c r="Q38" s="60">
        <v>21.79</v>
      </c>
      <c r="R38" s="198"/>
      <c r="S38" s="198"/>
      <c r="T38" s="198"/>
      <c r="U38" s="198"/>
    </row>
    <row r="39" spans="1:21" s="12" customFormat="1" x14ac:dyDescent="0.25">
      <c r="A39" s="201" t="s">
        <v>952</v>
      </c>
      <c r="B39" s="60">
        <v>7.96</v>
      </c>
      <c r="C39" s="60">
        <v>46.8</v>
      </c>
      <c r="D39" s="60">
        <v>32.950000000000003</v>
      </c>
      <c r="E39" s="60">
        <v>0.5</v>
      </c>
      <c r="F39" s="60">
        <v>4.09</v>
      </c>
      <c r="G39" s="211" t="s">
        <v>43</v>
      </c>
      <c r="H39" s="211" t="s">
        <v>43</v>
      </c>
      <c r="I39" s="60">
        <v>0.48</v>
      </c>
      <c r="J39" s="60">
        <v>1.01</v>
      </c>
      <c r="K39" s="60">
        <v>15.12</v>
      </c>
      <c r="L39" s="60">
        <v>24.23</v>
      </c>
      <c r="M39" s="60">
        <v>49.7</v>
      </c>
      <c r="N39" s="60">
        <v>139</v>
      </c>
      <c r="O39" s="60">
        <v>0</v>
      </c>
      <c r="P39" s="60">
        <v>0.67</v>
      </c>
      <c r="Q39" s="60">
        <v>22.9</v>
      </c>
      <c r="R39" s="198"/>
      <c r="S39" s="198"/>
      <c r="T39" s="198"/>
      <c r="U39" s="198"/>
    </row>
    <row r="40" spans="1:21" s="12" customFormat="1" x14ac:dyDescent="0.25">
      <c r="A40" s="201" t="s">
        <v>953</v>
      </c>
      <c r="B40" s="60">
        <v>9.26</v>
      </c>
      <c r="C40" s="60">
        <v>44.6</v>
      </c>
      <c r="D40" s="60">
        <v>32.78</v>
      </c>
      <c r="E40" s="60">
        <v>1.06</v>
      </c>
      <c r="F40" s="60">
        <v>4.82</v>
      </c>
      <c r="G40" s="211" t="s">
        <v>43</v>
      </c>
      <c r="H40" s="211" t="s">
        <v>43</v>
      </c>
      <c r="I40" s="60">
        <v>0.48</v>
      </c>
      <c r="J40" s="60">
        <v>0.54</v>
      </c>
      <c r="K40" s="60">
        <v>12.96</v>
      </c>
      <c r="L40" s="60">
        <v>24.19</v>
      </c>
      <c r="M40" s="60">
        <v>48.9</v>
      </c>
      <c r="N40" s="60">
        <v>92.4</v>
      </c>
      <c r="O40" s="60">
        <v>0</v>
      </c>
      <c r="P40" s="60">
        <v>0.69</v>
      </c>
      <c r="Q40" s="60">
        <v>24.02</v>
      </c>
      <c r="R40" s="198"/>
      <c r="S40" s="198"/>
      <c r="T40" s="198"/>
      <c r="U40" s="198"/>
    </row>
    <row r="41" spans="1:21" s="12" customFormat="1" x14ac:dyDescent="0.25">
      <c r="A41" s="201" t="s">
        <v>954</v>
      </c>
      <c r="B41" s="60">
        <v>8.89</v>
      </c>
      <c r="C41" s="60">
        <v>46.86</v>
      </c>
      <c r="D41" s="60">
        <v>33.729999999999997</v>
      </c>
      <c r="E41" s="60">
        <v>1.82</v>
      </c>
      <c r="F41" s="60">
        <v>4.28</v>
      </c>
      <c r="G41" s="211" t="s">
        <v>43</v>
      </c>
      <c r="H41" s="211" t="s">
        <v>43</v>
      </c>
      <c r="I41" s="60">
        <v>0.49</v>
      </c>
      <c r="J41" s="60">
        <v>0.64</v>
      </c>
      <c r="K41" s="60">
        <v>9.76</v>
      </c>
      <c r="L41" s="60">
        <v>24.49</v>
      </c>
      <c r="M41" s="60">
        <v>48.51</v>
      </c>
      <c r="N41" s="60">
        <v>189.3</v>
      </c>
      <c r="O41" s="60">
        <v>0</v>
      </c>
      <c r="P41" s="60">
        <v>0.7</v>
      </c>
      <c r="Q41" s="60">
        <v>25.65</v>
      </c>
      <c r="R41" s="198"/>
      <c r="S41" s="198"/>
      <c r="T41" s="198"/>
      <c r="U41" s="198"/>
    </row>
    <row r="42" spans="1:21" s="12" customFormat="1" x14ac:dyDescent="0.25">
      <c r="A42" s="201" t="s">
        <v>955</v>
      </c>
      <c r="B42" s="60">
        <v>9.01</v>
      </c>
      <c r="C42" s="60">
        <v>50.25</v>
      </c>
      <c r="D42" s="60">
        <v>35.700000000000003</v>
      </c>
      <c r="E42" s="60">
        <v>2.0099999999999998</v>
      </c>
      <c r="F42" s="60">
        <v>4.18</v>
      </c>
      <c r="G42" s="211" t="s">
        <v>43</v>
      </c>
      <c r="H42" s="211" t="s">
        <v>43</v>
      </c>
      <c r="I42" s="60">
        <v>0.49</v>
      </c>
      <c r="J42" s="60">
        <v>0.49</v>
      </c>
      <c r="K42" s="60">
        <v>2.48</v>
      </c>
      <c r="L42" s="60">
        <v>26.24</v>
      </c>
      <c r="M42" s="60">
        <v>43.64</v>
      </c>
      <c r="N42" s="60">
        <v>323.3</v>
      </c>
      <c r="O42" s="60">
        <v>0</v>
      </c>
      <c r="P42" s="60">
        <v>0.71</v>
      </c>
      <c r="Q42" s="60">
        <v>27.93</v>
      </c>
      <c r="R42" s="198"/>
      <c r="S42" s="198"/>
      <c r="T42" s="198"/>
      <c r="U42" s="198"/>
    </row>
    <row r="43" spans="1:21" s="12" customFormat="1" x14ac:dyDescent="0.25">
      <c r="A43" s="201" t="s">
        <v>956</v>
      </c>
      <c r="B43" s="60">
        <v>8.33</v>
      </c>
      <c r="C43" s="60">
        <v>52.62</v>
      </c>
      <c r="D43" s="60">
        <v>36.46</v>
      </c>
      <c r="E43" s="60">
        <v>1.49</v>
      </c>
      <c r="F43" s="60">
        <v>4.28</v>
      </c>
      <c r="G43" s="211" t="s">
        <v>43</v>
      </c>
      <c r="H43" s="211" t="s">
        <v>43</v>
      </c>
      <c r="I43" s="60">
        <v>0.5</v>
      </c>
      <c r="J43" s="60">
        <v>0.25</v>
      </c>
      <c r="K43" s="60">
        <v>351.2</v>
      </c>
      <c r="L43" s="60">
        <v>27.09</v>
      </c>
      <c r="M43" s="60">
        <v>41.23</v>
      </c>
      <c r="N43" s="60">
        <v>318.10000000000002</v>
      </c>
      <c r="O43" s="60">
        <v>0</v>
      </c>
      <c r="P43" s="60">
        <v>0.72</v>
      </c>
      <c r="Q43" s="60">
        <v>29.18</v>
      </c>
      <c r="R43" s="198"/>
      <c r="S43" s="198"/>
      <c r="T43" s="198"/>
      <c r="U43" s="198"/>
    </row>
    <row r="44" spans="1:21" s="12" customFormat="1" x14ac:dyDescent="0.25">
      <c r="A44" s="201" t="s">
        <v>957</v>
      </c>
      <c r="B44" s="60">
        <v>7.28</v>
      </c>
      <c r="C44" s="60">
        <v>54.48</v>
      </c>
      <c r="D44" s="60">
        <v>36.65</v>
      </c>
      <c r="E44" s="60">
        <v>1.41</v>
      </c>
      <c r="F44" s="60">
        <v>4.33</v>
      </c>
      <c r="G44" s="211" t="s">
        <v>43</v>
      </c>
      <c r="H44" s="211" t="s">
        <v>43</v>
      </c>
      <c r="I44" s="60">
        <v>0.5</v>
      </c>
      <c r="J44" s="60">
        <v>0.26</v>
      </c>
      <c r="K44" s="60">
        <v>344.26</v>
      </c>
      <c r="L44" s="60">
        <v>28.05</v>
      </c>
      <c r="M44" s="60">
        <v>39.04</v>
      </c>
      <c r="N44" s="60">
        <v>378.7</v>
      </c>
      <c r="O44" s="60">
        <v>0</v>
      </c>
      <c r="P44" s="60">
        <v>0.73</v>
      </c>
      <c r="Q44" s="60">
        <v>29.81</v>
      </c>
      <c r="R44" s="198"/>
      <c r="S44" s="198"/>
      <c r="T44" s="198"/>
      <c r="U44" s="198"/>
    </row>
    <row r="45" spans="1:21" s="12" customFormat="1" x14ac:dyDescent="0.25">
      <c r="A45" s="201" t="s">
        <v>958</v>
      </c>
      <c r="B45" s="60">
        <v>6.24</v>
      </c>
      <c r="C45" s="60">
        <v>55.74</v>
      </c>
      <c r="D45" s="60">
        <v>36.51</v>
      </c>
      <c r="E45" s="60">
        <v>1.51</v>
      </c>
      <c r="F45" s="60">
        <v>4.4800000000000004</v>
      </c>
      <c r="G45" s="211" t="s">
        <v>43</v>
      </c>
      <c r="H45" s="211" t="s">
        <v>43</v>
      </c>
      <c r="I45" s="60">
        <v>0.49</v>
      </c>
      <c r="J45" s="60">
        <v>0.44</v>
      </c>
      <c r="K45" s="60">
        <v>214.28</v>
      </c>
      <c r="L45" s="60">
        <v>25.7</v>
      </c>
      <c r="M45" s="60">
        <v>46</v>
      </c>
      <c r="N45" s="60">
        <v>217.7</v>
      </c>
      <c r="O45" s="60">
        <v>0</v>
      </c>
      <c r="P45" s="60">
        <v>0.72</v>
      </c>
      <c r="Q45" s="60">
        <v>30.13</v>
      </c>
      <c r="R45" s="198"/>
      <c r="S45" s="198"/>
      <c r="T45" s="198"/>
      <c r="U45" s="198"/>
    </row>
    <row r="46" spans="1:21" s="12" customFormat="1" x14ac:dyDescent="0.25">
      <c r="A46" s="201" t="s">
        <v>959</v>
      </c>
      <c r="B46" s="60">
        <v>4.91</v>
      </c>
      <c r="C46" s="60">
        <v>55.73</v>
      </c>
      <c r="D46" s="60">
        <v>35.44</v>
      </c>
      <c r="E46" s="60">
        <v>1.1200000000000001</v>
      </c>
      <c r="F46" s="60">
        <v>4.71</v>
      </c>
      <c r="G46" s="211" t="s">
        <v>43</v>
      </c>
      <c r="H46" s="211" t="s">
        <v>43</v>
      </c>
      <c r="I46" s="60">
        <v>0.5</v>
      </c>
      <c r="J46" s="60">
        <v>0.15</v>
      </c>
      <c r="K46" s="60">
        <v>259.2</v>
      </c>
      <c r="L46" s="60">
        <v>25.01</v>
      </c>
      <c r="M46" s="60">
        <v>47.45</v>
      </c>
      <c r="N46" s="60">
        <v>123.9</v>
      </c>
      <c r="O46" s="60">
        <v>0</v>
      </c>
      <c r="P46" s="60">
        <v>0.71</v>
      </c>
      <c r="Q46" s="60">
        <v>29.69</v>
      </c>
      <c r="R46" s="198"/>
      <c r="S46" s="198"/>
      <c r="T46" s="198"/>
      <c r="U46" s="198"/>
    </row>
    <row r="47" spans="1:21" s="12" customFormat="1" x14ac:dyDescent="0.25">
      <c r="A47" s="201" t="s">
        <v>960</v>
      </c>
      <c r="B47" s="60">
        <v>4.0999999999999996</v>
      </c>
      <c r="C47" s="60">
        <v>50.91</v>
      </c>
      <c r="D47" s="60">
        <v>32.119999999999997</v>
      </c>
      <c r="E47" s="60">
        <v>1.0900000000000001</v>
      </c>
      <c r="F47" s="60">
        <v>5.12</v>
      </c>
      <c r="G47" s="211" t="s">
        <v>43</v>
      </c>
      <c r="H47" s="211" t="s">
        <v>43</v>
      </c>
      <c r="I47" s="60">
        <v>0.49</v>
      </c>
      <c r="J47" s="60">
        <v>0.27</v>
      </c>
      <c r="K47" s="60">
        <v>9.2799999999999994</v>
      </c>
      <c r="L47" s="60">
        <v>25.01</v>
      </c>
      <c r="M47" s="60">
        <v>51.29</v>
      </c>
      <c r="N47" s="60">
        <v>74.5</v>
      </c>
      <c r="O47" s="60">
        <v>0.2</v>
      </c>
      <c r="P47" s="60">
        <v>0.71</v>
      </c>
      <c r="Q47" s="60">
        <v>25.31</v>
      </c>
      <c r="R47" s="198"/>
      <c r="S47" s="198"/>
      <c r="T47" s="198"/>
      <c r="U47" s="198"/>
    </row>
    <row r="48" spans="1:21" s="12" customFormat="1" x14ac:dyDescent="0.25">
      <c r="A48" s="201" t="s">
        <v>961</v>
      </c>
      <c r="B48" s="60">
        <v>4.8099999999999996</v>
      </c>
      <c r="C48" s="60">
        <v>44.01</v>
      </c>
      <c r="D48" s="60">
        <v>28.89</v>
      </c>
      <c r="E48" s="60">
        <v>1.33</v>
      </c>
      <c r="F48" s="60">
        <v>7.05</v>
      </c>
      <c r="G48" s="211" t="s">
        <v>43</v>
      </c>
      <c r="H48" s="211" t="s">
        <v>43</v>
      </c>
      <c r="I48" s="60">
        <v>0.49</v>
      </c>
      <c r="J48" s="60">
        <v>0.14000000000000001</v>
      </c>
      <c r="K48" s="60">
        <v>357.76</v>
      </c>
      <c r="L48" s="60">
        <v>23.31</v>
      </c>
      <c r="M48" s="60">
        <v>63.17</v>
      </c>
      <c r="N48" s="60">
        <v>78</v>
      </c>
      <c r="O48" s="60">
        <v>0</v>
      </c>
      <c r="P48" s="60">
        <v>0.78</v>
      </c>
      <c r="Q48" s="60">
        <v>19.11</v>
      </c>
      <c r="R48" s="198"/>
      <c r="S48" s="198"/>
      <c r="T48" s="198"/>
      <c r="U48" s="198"/>
    </row>
    <row r="49" spans="1:21" s="12" customFormat="1" x14ac:dyDescent="0.25">
      <c r="A49" s="201" t="s">
        <v>962</v>
      </c>
      <c r="B49" s="60">
        <v>5.83</v>
      </c>
      <c r="C49" s="60">
        <v>53.8</v>
      </c>
      <c r="D49" s="60">
        <v>35.11</v>
      </c>
      <c r="E49" s="60">
        <v>1.43</v>
      </c>
      <c r="F49" s="60">
        <v>4.8600000000000003</v>
      </c>
      <c r="G49" s="211" t="s">
        <v>43</v>
      </c>
      <c r="H49" s="211" t="s">
        <v>43</v>
      </c>
      <c r="I49" s="60">
        <v>0.49</v>
      </c>
      <c r="J49" s="60">
        <v>0.45</v>
      </c>
      <c r="K49" s="60">
        <v>347.11</v>
      </c>
      <c r="L49" s="60">
        <v>23.14</v>
      </c>
      <c r="M49" s="60">
        <v>61.85</v>
      </c>
      <c r="N49" s="60">
        <v>69</v>
      </c>
      <c r="O49" s="60">
        <v>0</v>
      </c>
      <c r="P49" s="60">
        <v>0.76</v>
      </c>
      <c r="Q49" s="60">
        <v>22</v>
      </c>
      <c r="R49" s="198"/>
      <c r="S49" s="198"/>
      <c r="T49" s="198"/>
      <c r="U49" s="198"/>
    </row>
    <row r="50" spans="1:21" s="12" customFormat="1" x14ac:dyDescent="0.25">
      <c r="A50" s="201" t="s">
        <v>963</v>
      </c>
      <c r="B50" s="60">
        <v>8.08</v>
      </c>
      <c r="C50" s="60">
        <v>53.7</v>
      </c>
      <c r="D50" s="60">
        <v>36.86</v>
      </c>
      <c r="E50" s="60">
        <v>1.67</v>
      </c>
      <c r="F50" s="60">
        <v>6.71</v>
      </c>
      <c r="G50" s="211" t="s">
        <v>43</v>
      </c>
      <c r="H50" s="211" t="s">
        <v>43</v>
      </c>
      <c r="I50" s="60">
        <v>0.5</v>
      </c>
      <c r="J50" s="60">
        <v>0.69</v>
      </c>
      <c r="K50" s="60">
        <v>346.67</v>
      </c>
      <c r="L50" s="60">
        <v>23.37</v>
      </c>
      <c r="M50" s="60">
        <v>59.78</v>
      </c>
      <c r="N50" s="60">
        <v>62.3</v>
      </c>
      <c r="O50" s="60">
        <v>0</v>
      </c>
      <c r="P50" s="60">
        <v>0.88</v>
      </c>
      <c r="Q50" s="60">
        <v>21.85</v>
      </c>
      <c r="R50" s="198"/>
      <c r="S50" s="198"/>
      <c r="T50" s="198"/>
      <c r="U50" s="198"/>
    </row>
    <row r="51" spans="1:21" s="12" customFormat="1" x14ac:dyDescent="0.25">
      <c r="A51" s="201" t="s">
        <v>964</v>
      </c>
      <c r="B51" s="60">
        <v>7.41</v>
      </c>
      <c r="C51" s="60">
        <v>81.58</v>
      </c>
      <c r="D51" s="60">
        <v>51.71</v>
      </c>
      <c r="E51" s="60">
        <v>1.9</v>
      </c>
      <c r="F51" s="60">
        <v>12.25</v>
      </c>
      <c r="G51" s="211" t="s">
        <v>43</v>
      </c>
      <c r="H51" s="211" t="s">
        <v>43</v>
      </c>
      <c r="I51" s="60">
        <v>0.51</v>
      </c>
      <c r="J51" s="60">
        <v>1.1299999999999999</v>
      </c>
      <c r="K51" s="60">
        <v>347.18</v>
      </c>
      <c r="L51" s="60">
        <v>22.73</v>
      </c>
      <c r="M51" s="60">
        <v>68.3</v>
      </c>
      <c r="N51" s="60">
        <v>110.2</v>
      </c>
      <c r="O51" s="60">
        <v>0.2</v>
      </c>
      <c r="P51" s="60">
        <v>1.23</v>
      </c>
      <c r="Q51" s="60">
        <v>23.99</v>
      </c>
      <c r="R51" s="198"/>
      <c r="S51" s="198"/>
      <c r="T51" s="198"/>
      <c r="U51" s="198"/>
    </row>
    <row r="52" spans="1:21" s="12" customFormat="1" x14ac:dyDescent="0.25">
      <c r="A52" s="201" t="s">
        <v>965</v>
      </c>
      <c r="B52" s="60">
        <v>4.88</v>
      </c>
      <c r="C52" s="60">
        <v>74.680000000000007</v>
      </c>
      <c r="D52" s="60">
        <v>45.87</v>
      </c>
      <c r="E52" s="60">
        <v>1.3</v>
      </c>
      <c r="F52" s="60">
        <v>7.25</v>
      </c>
      <c r="G52" s="211" t="s">
        <v>43</v>
      </c>
      <c r="H52" s="211" t="s">
        <v>43</v>
      </c>
      <c r="I52" s="60">
        <v>0.53</v>
      </c>
      <c r="J52" s="60">
        <v>0.98</v>
      </c>
      <c r="K52" s="60">
        <v>344.98</v>
      </c>
      <c r="L52" s="60">
        <v>22.89</v>
      </c>
      <c r="M52" s="60">
        <v>64.34</v>
      </c>
      <c r="N52" s="60">
        <v>196.2</v>
      </c>
      <c r="O52" s="60">
        <v>0</v>
      </c>
      <c r="P52" s="60">
        <v>1.1499999999999999</v>
      </c>
      <c r="Q52" s="60">
        <v>22.76</v>
      </c>
      <c r="R52" s="198"/>
      <c r="S52" s="198"/>
      <c r="T52" s="198"/>
      <c r="U52" s="198"/>
    </row>
    <row r="53" spans="1:21" s="12" customFormat="1" x14ac:dyDescent="0.25">
      <c r="A53" s="201" t="s">
        <v>966</v>
      </c>
      <c r="B53" s="60">
        <v>4.96</v>
      </c>
      <c r="C53" s="60">
        <v>69.42</v>
      </c>
      <c r="D53" s="60">
        <v>43.03</v>
      </c>
      <c r="E53" s="60">
        <v>1.35</v>
      </c>
      <c r="F53" s="60">
        <v>5.1100000000000003</v>
      </c>
      <c r="G53" s="211" t="s">
        <v>43</v>
      </c>
      <c r="H53" s="211" t="s">
        <v>43</v>
      </c>
      <c r="I53" s="60">
        <v>0.56000000000000005</v>
      </c>
      <c r="J53" s="60">
        <v>1.36</v>
      </c>
      <c r="K53" s="60">
        <v>349.6</v>
      </c>
      <c r="L53" s="60">
        <v>23.9</v>
      </c>
      <c r="M53" s="60">
        <v>57.98</v>
      </c>
      <c r="N53" s="60">
        <v>240.3</v>
      </c>
      <c r="O53" s="60">
        <v>0</v>
      </c>
      <c r="P53" s="60">
        <v>1.0900000000000001</v>
      </c>
      <c r="Q53" s="60">
        <v>22.56</v>
      </c>
      <c r="R53" s="198"/>
      <c r="S53" s="198"/>
      <c r="T53" s="198"/>
      <c r="U53" s="198"/>
    </row>
    <row r="54" spans="1:21" s="12" customFormat="1" x14ac:dyDescent="0.25">
      <c r="A54" s="201" t="s">
        <v>967</v>
      </c>
      <c r="B54" s="60">
        <v>5.47</v>
      </c>
      <c r="C54" s="60">
        <v>60.76</v>
      </c>
      <c r="D54" s="60">
        <v>38.659999999999997</v>
      </c>
      <c r="E54" s="60">
        <v>1.43</v>
      </c>
      <c r="F54" s="60">
        <v>4.8499999999999996</v>
      </c>
      <c r="G54" s="211" t="s">
        <v>43</v>
      </c>
      <c r="H54" s="211" t="s">
        <v>43</v>
      </c>
      <c r="I54" s="60">
        <v>0.55000000000000004</v>
      </c>
      <c r="J54" s="60">
        <v>1.23</v>
      </c>
      <c r="K54" s="60">
        <v>0.75</v>
      </c>
      <c r="L54" s="60">
        <v>24.97</v>
      </c>
      <c r="M54" s="60">
        <v>53.06</v>
      </c>
      <c r="N54" s="60">
        <v>392.1</v>
      </c>
      <c r="O54" s="60">
        <v>0</v>
      </c>
      <c r="P54" s="60">
        <v>1.05</v>
      </c>
      <c r="Q54" s="60">
        <v>20.21</v>
      </c>
      <c r="R54" s="198"/>
      <c r="S54" s="198"/>
      <c r="T54" s="198"/>
      <c r="U54" s="198"/>
    </row>
    <row r="55" spans="1:21" s="12" customFormat="1" x14ac:dyDescent="0.25">
      <c r="A55" s="201" t="s">
        <v>968</v>
      </c>
      <c r="B55" s="60">
        <v>4.9800000000000004</v>
      </c>
      <c r="C55" s="60">
        <v>55.54</v>
      </c>
      <c r="D55" s="60">
        <v>35.39</v>
      </c>
      <c r="E55" s="60">
        <v>1.34</v>
      </c>
      <c r="F55" s="60">
        <v>6.44</v>
      </c>
      <c r="G55" s="211" t="s">
        <v>43</v>
      </c>
      <c r="H55" s="211" t="s">
        <v>43</v>
      </c>
      <c r="I55" s="60">
        <v>0.55000000000000004</v>
      </c>
      <c r="J55" s="60">
        <v>1.88</v>
      </c>
      <c r="K55" s="60">
        <v>13.98</v>
      </c>
      <c r="L55" s="60">
        <v>26.96</v>
      </c>
      <c r="M55" s="60">
        <v>43.51</v>
      </c>
      <c r="N55" s="60">
        <v>666.2</v>
      </c>
      <c r="O55" s="60">
        <v>0</v>
      </c>
      <c r="P55" s="60">
        <v>0.97</v>
      </c>
      <c r="Q55" s="60">
        <v>20.57</v>
      </c>
      <c r="R55" s="198"/>
      <c r="S55" s="198"/>
      <c r="T55" s="198"/>
      <c r="U55" s="198"/>
    </row>
    <row r="56" spans="1:21" s="12" customFormat="1" x14ac:dyDescent="0.25">
      <c r="A56" s="201" t="s">
        <v>969</v>
      </c>
      <c r="B56" s="60">
        <v>3.82</v>
      </c>
      <c r="C56" s="60">
        <v>53.76</v>
      </c>
      <c r="D56" s="60">
        <v>33.47</v>
      </c>
      <c r="E56" s="60">
        <v>0.98</v>
      </c>
      <c r="F56" s="60">
        <v>6.71</v>
      </c>
      <c r="G56" s="211" t="s">
        <v>43</v>
      </c>
      <c r="H56" s="211" t="s">
        <v>43</v>
      </c>
      <c r="I56" s="60">
        <v>0.53</v>
      </c>
      <c r="J56" s="60">
        <v>1.58</v>
      </c>
      <c r="K56" s="60">
        <v>356.07</v>
      </c>
      <c r="L56" s="60">
        <v>28.37</v>
      </c>
      <c r="M56" s="60">
        <v>39.26</v>
      </c>
      <c r="N56" s="60">
        <v>701.8</v>
      </c>
      <c r="O56" s="60">
        <v>0</v>
      </c>
      <c r="P56" s="60">
        <v>0.9</v>
      </c>
      <c r="Q56" s="60">
        <v>22.46</v>
      </c>
      <c r="R56" s="198"/>
      <c r="S56" s="198"/>
      <c r="T56" s="198"/>
      <c r="U56" s="198"/>
    </row>
    <row r="57" spans="1:21" s="12" customFormat="1" x14ac:dyDescent="0.25">
      <c r="A57" s="201" t="s">
        <v>970</v>
      </c>
      <c r="B57" s="60">
        <v>3.56</v>
      </c>
      <c r="C57" s="60">
        <v>51.07</v>
      </c>
      <c r="D57" s="60">
        <v>31.78</v>
      </c>
      <c r="E57" s="60">
        <v>1.1599999999999999</v>
      </c>
      <c r="F57" s="60">
        <v>6.73</v>
      </c>
      <c r="G57" s="211" t="s">
        <v>43</v>
      </c>
      <c r="H57" s="211" t="s">
        <v>43</v>
      </c>
      <c r="I57" s="60">
        <v>0.51</v>
      </c>
      <c r="J57" s="60">
        <v>2.0499999999999998</v>
      </c>
      <c r="K57" s="60">
        <v>19.87</v>
      </c>
      <c r="L57" s="60">
        <v>30.07</v>
      </c>
      <c r="M57" s="60">
        <v>35.43</v>
      </c>
      <c r="N57" s="60">
        <v>871.8</v>
      </c>
      <c r="O57" s="60">
        <v>0</v>
      </c>
      <c r="P57" s="60">
        <v>0.84</v>
      </c>
      <c r="Q57" s="60">
        <v>24.12</v>
      </c>
      <c r="R57" s="198"/>
      <c r="S57" s="198"/>
      <c r="T57" s="198"/>
      <c r="U57" s="198"/>
    </row>
    <row r="58" spans="1:21" s="12" customFormat="1" x14ac:dyDescent="0.25">
      <c r="A58" s="201" t="s">
        <v>971</v>
      </c>
      <c r="B58" s="60">
        <v>3.47</v>
      </c>
      <c r="C58" s="60">
        <v>49.24</v>
      </c>
      <c r="D58" s="60">
        <v>30.69</v>
      </c>
      <c r="E58" s="60">
        <v>1.74</v>
      </c>
      <c r="F58" s="60">
        <v>6.67</v>
      </c>
      <c r="G58" s="211" t="s">
        <v>43</v>
      </c>
      <c r="H58" s="211" t="s">
        <v>43</v>
      </c>
      <c r="I58" s="60">
        <v>0.5</v>
      </c>
      <c r="J58" s="60">
        <v>2.1800000000000002</v>
      </c>
      <c r="K58" s="60">
        <v>14.47</v>
      </c>
      <c r="L58" s="60">
        <v>29.87</v>
      </c>
      <c r="M58" s="60">
        <v>35.020000000000003</v>
      </c>
      <c r="N58" s="60">
        <v>520.5</v>
      </c>
      <c r="O58" s="60">
        <v>0</v>
      </c>
      <c r="P58" s="60">
        <v>0.8</v>
      </c>
      <c r="Q58" s="60">
        <v>24.64</v>
      </c>
      <c r="R58" s="198"/>
      <c r="S58" s="198"/>
      <c r="T58" s="198"/>
      <c r="U58" s="198"/>
    </row>
    <row r="59" spans="1:21" s="12" customFormat="1" x14ac:dyDescent="0.25">
      <c r="A59" s="201" t="s">
        <v>972</v>
      </c>
      <c r="B59" s="60">
        <v>3.66</v>
      </c>
      <c r="C59" s="60">
        <v>50.93</v>
      </c>
      <c r="D59" s="60">
        <v>31.78</v>
      </c>
      <c r="E59" s="60">
        <v>1.64</v>
      </c>
      <c r="F59" s="60">
        <v>7.38</v>
      </c>
      <c r="G59" s="211" t="s">
        <v>43</v>
      </c>
      <c r="H59" s="211" t="s">
        <v>43</v>
      </c>
      <c r="I59" s="60">
        <v>0.5</v>
      </c>
      <c r="J59" s="60">
        <v>2.1800000000000002</v>
      </c>
      <c r="K59" s="60">
        <v>21.66</v>
      </c>
      <c r="L59" s="60">
        <v>30.03</v>
      </c>
      <c r="M59" s="60">
        <v>33.72</v>
      </c>
      <c r="N59" s="60">
        <v>638.9</v>
      </c>
      <c r="O59" s="60">
        <v>0</v>
      </c>
      <c r="P59" s="60">
        <v>0.77</v>
      </c>
      <c r="Q59" s="60">
        <v>25.39</v>
      </c>
      <c r="R59" s="198"/>
      <c r="S59" s="198"/>
      <c r="T59" s="198"/>
      <c r="U59" s="198"/>
    </row>
    <row r="60" spans="1:21" s="12" customFormat="1" x14ac:dyDescent="0.25">
      <c r="A60" s="201" t="s">
        <v>973</v>
      </c>
      <c r="B60" s="60">
        <v>3.83</v>
      </c>
      <c r="C60" s="60">
        <v>51.48</v>
      </c>
      <c r="D60" s="60">
        <v>32.229999999999997</v>
      </c>
      <c r="E60" s="60">
        <v>1.62</v>
      </c>
      <c r="F60" s="60">
        <v>13.67</v>
      </c>
      <c r="G60" s="211" t="s">
        <v>43</v>
      </c>
      <c r="H60" s="211" t="s">
        <v>43</v>
      </c>
      <c r="I60" s="60">
        <v>0.49</v>
      </c>
      <c r="J60" s="60">
        <v>2.0699999999999998</v>
      </c>
      <c r="K60" s="60">
        <v>24.15</v>
      </c>
      <c r="L60" s="60">
        <v>30.41</v>
      </c>
      <c r="M60" s="60">
        <v>33.19</v>
      </c>
      <c r="N60" s="60">
        <v>761.1</v>
      </c>
      <c r="O60" s="60">
        <v>0</v>
      </c>
      <c r="P60" s="60">
        <v>0.71</v>
      </c>
      <c r="Q60" s="60">
        <v>25.75</v>
      </c>
      <c r="R60" s="198"/>
      <c r="S60" s="198"/>
      <c r="T60" s="198"/>
      <c r="U60" s="198"/>
    </row>
    <row r="61" spans="1:21" s="12" customFormat="1" x14ac:dyDescent="0.25">
      <c r="A61" s="201" t="s">
        <v>974</v>
      </c>
      <c r="B61" s="60">
        <v>3.81</v>
      </c>
      <c r="C61" s="60">
        <v>56.85</v>
      </c>
      <c r="D61" s="60">
        <v>35.17</v>
      </c>
      <c r="E61" s="60">
        <v>1.46</v>
      </c>
      <c r="F61" s="60">
        <v>11.46</v>
      </c>
      <c r="G61" s="211" t="s">
        <v>43</v>
      </c>
      <c r="H61" s="211" t="s">
        <v>43</v>
      </c>
      <c r="I61" s="60">
        <v>0.49</v>
      </c>
      <c r="J61" s="60">
        <v>2.2400000000000002</v>
      </c>
      <c r="K61" s="60">
        <v>22.69</v>
      </c>
      <c r="L61" s="60">
        <v>31.17</v>
      </c>
      <c r="M61" s="60">
        <v>32.19</v>
      </c>
      <c r="N61" s="60">
        <v>767.7</v>
      </c>
      <c r="O61" s="60">
        <v>0</v>
      </c>
      <c r="P61" s="60">
        <v>0.63</v>
      </c>
      <c r="Q61" s="60">
        <v>26.32</v>
      </c>
      <c r="R61" s="198"/>
      <c r="S61" s="198"/>
      <c r="T61" s="198"/>
      <c r="U61" s="198"/>
    </row>
    <row r="62" spans="1:21" s="12" customFormat="1" x14ac:dyDescent="0.25">
      <c r="A62" s="201" t="s">
        <v>975</v>
      </c>
      <c r="B62" s="60">
        <v>3.59</v>
      </c>
      <c r="C62" s="60">
        <v>48.89</v>
      </c>
      <c r="D62" s="60">
        <v>30.6</v>
      </c>
      <c r="E62" s="60">
        <v>1.1000000000000001</v>
      </c>
      <c r="F62" s="60">
        <v>21.34</v>
      </c>
      <c r="G62" s="211" t="s">
        <v>43</v>
      </c>
      <c r="H62" s="211" t="s">
        <v>43</v>
      </c>
      <c r="I62" s="60">
        <v>0.49</v>
      </c>
      <c r="J62" s="60">
        <v>2.16</v>
      </c>
      <c r="K62" s="60">
        <v>30.41</v>
      </c>
      <c r="L62" s="60">
        <v>30.07</v>
      </c>
      <c r="M62" s="60">
        <v>32.659999999999997</v>
      </c>
      <c r="N62" s="60">
        <v>582.1</v>
      </c>
      <c r="O62" s="60">
        <v>0</v>
      </c>
      <c r="P62" s="60">
        <v>0.59</v>
      </c>
      <c r="Q62" s="60">
        <v>19.28</v>
      </c>
      <c r="R62" s="198"/>
      <c r="S62" s="198"/>
      <c r="T62" s="198"/>
      <c r="U62" s="198"/>
    </row>
    <row r="63" spans="1:21" s="12" customFormat="1" x14ac:dyDescent="0.25">
      <c r="A63" s="201" t="s">
        <v>976</v>
      </c>
      <c r="B63" s="60">
        <v>4.41</v>
      </c>
      <c r="C63" s="60">
        <v>43.28</v>
      </c>
      <c r="D63" s="60">
        <v>28.16</v>
      </c>
      <c r="E63" s="60">
        <v>2.5099999999999998</v>
      </c>
      <c r="F63" s="60">
        <v>16.25</v>
      </c>
      <c r="G63" s="211" t="s">
        <v>43</v>
      </c>
      <c r="H63" s="211" t="s">
        <v>43</v>
      </c>
      <c r="I63" s="60">
        <v>0.48</v>
      </c>
      <c r="J63" s="60">
        <v>2.36</v>
      </c>
      <c r="K63" s="60">
        <v>29.59</v>
      </c>
      <c r="L63" s="60">
        <v>30.93</v>
      </c>
      <c r="M63" s="60">
        <v>29.61</v>
      </c>
      <c r="N63" s="60">
        <v>807.5</v>
      </c>
      <c r="O63" s="60">
        <v>0</v>
      </c>
      <c r="P63" s="60">
        <v>0.56000000000000005</v>
      </c>
      <c r="Q63" s="60">
        <v>15.49</v>
      </c>
      <c r="R63" s="198"/>
      <c r="S63" s="198"/>
      <c r="T63" s="198"/>
      <c r="U63" s="198"/>
    </row>
    <row r="64" spans="1:21" s="12" customFormat="1" x14ac:dyDescent="0.25">
      <c r="A64" s="201" t="s">
        <v>977</v>
      </c>
      <c r="B64" s="60">
        <v>4.66</v>
      </c>
      <c r="C64" s="60">
        <v>57.61</v>
      </c>
      <c r="D64" s="60">
        <v>36.270000000000003</v>
      </c>
      <c r="E64" s="60">
        <v>1.62</v>
      </c>
      <c r="F64" s="60">
        <v>10.63</v>
      </c>
      <c r="G64" s="211" t="s">
        <v>43</v>
      </c>
      <c r="H64" s="211" t="s">
        <v>43</v>
      </c>
      <c r="I64" s="60">
        <v>0.47</v>
      </c>
      <c r="J64" s="60">
        <v>1.77</v>
      </c>
      <c r="K64" s="60">
        <v>27.31</v>
      </c>
      <c r="L64" s="60">
        <v>30.66</v>
      </c>
      <c r="M64" s="60">
        <v>29.23</v>
      </c>
      <c r="N64" s="60">
        <v>478.1</v>
      </c>
      <c r="O64" s="60">
        <v>0</v>
      </c>
      <c r="P64" s="60">
        <v>0.56999999999999995</v>
      </c>
      <c r="Q64" s="60">
        <v>21.15</v>
      </c>
      <c r="R64" s="198"/>
      <c r="S64" s="198"/>
      <c r="T64" s="198"/>
      <c r="U64" s="198"/>
    </row>
    <row r="65" spans="1:21" s="12" customFormat="1" x14ac:dyDescent="0.25">
      <c r="A65" s="201" t="s">
        <v>978</v>
      </c>
      <c r="B65" s="60">
        <v>4.21</v>
      </c>
      <c r="C65" s="60">
        <v>59.64</v>
      </c>
      <c r="D65" s="60">
        <v>37.03</v>
      </c>
      <c r="E65" s="60">
        <v>1.22</v>
      </c>
      <c r="F65" s="60">
        <v>8.08</v>
      </c>
      <c r="G65" s="211" t="s">
        <v>43</v>
      </c>
      <c r="H65" s="211" t="s">
        <v>43</v>
      </c>
      <c r="I65" s="60">
        <v>0.47</v>
      </c>
      <c r="J65" s="60">
        <v>2.59</v>
      </c>
      <c r="K65" s="60">
        <v>25.12</v>
      </c>
      <c r="L65" s="60">
        <v>30.27</v>
      </c>
      <c r="M65" s="60">
        <v>29.91</v>
      </c>
      <c r="N65" s="60">
        <v>493.7</v>
      </c>
      <c r="O65" s="60">
        <v>0</v>
      </c>
      <c r="P65" s="60">
        <v>0.56999999999999995</v>
      </c>
      <c r="Q65" s="60">
        <v>21.55</v>
      </c>
      <c r="R65" s="198"/>
      <c r="S65" s="198"/>
      <c r="T65" s="198"/>
      <c r="U65" s="198"/>
    </row>
    <row r="66" spans="1:21" s="12" customFormat="1" x14ac:dyDescent="0.25">
      <c r="A66" s="201" t="s">
        <v>979</v>
      </c>
      <c r="B66" s="60">
        <v>4.17</v>
      </c>
      <c r="C66" s="60">
        <v>57.9</v>
      </c>
      <c r="D66" s="60">
        <v>36.04</v>
      </c>
      <c r="E66" s="60">
        <v>1.76</v>
      </c>
      <c r="F66" s="60">
        <v>9.59</v>
      </c>
      <c r="G66" s="211" t="s">
        <v>43</v>
      </c>
      <c r="H66" s="211" t="s">
        <v>43</v>
      </c>
      <c r="I66" s="60">
        <v>0.48</v>
      </c>
      <c r="J66" s="60">
        <v>2.73</v>
      </c>
      <c r="K66" s="60">
        <v>24.66</v>
      </c>
      <c r="L66" s="60">
        <v>29.62</v>
      </c>
      <c r="M66" s="60">
        <v>29.32</v>
      </c>
      <c r="N66" s="60">
        <v>414.7</v>
      </c>
      <c r="O66" s="60">
        <v>0</v>
      </c>
      <c r="P66" s="60">
        <v>0.56000000000000005</v>
      </c>
      <c r="Q66" s="60">
        <v>22.44</v>
      </c>
      <c r="R66" s="198"/>
      <c r="S66" s="198"/>
      <c r="T66" s="198"/>
      <c r="U66" s="198"/>
    </row>
    <row r="67" spans="1:21" s="12" customFormat="1" x14ac:dyDescent="0.25">
      <c r="A67" s="201" t="s">
        <v>980</v>
      </c>
      <c r="B67" s="60">
        <v>4.22</v>
      </c>
      <c r="C67" s="60">
        <v>54.9</v>
      </c>
      <c r="D67" s="60">
        <v>34.43</v>
      </c>
      <c r="E67" s="60">
        <v>1.62</v>
      </c>
      <c r="F67" s="60">
        <v>8.77</v>
      </c>
      <c r="G67" s="211" t="s">
        <v>43</v>
      </c>
      <c r="H67" s="211" t="s">
        <v>43</v>
      </c>
      <c r="I67" s="60">
        <v>0.48</v>
      </c>
      <c r="J67" s="60">
        <v>2.75</v>
      </c>
      <c r="K67" s="60">
        <v>26.3</v>
      </c>
      <c r="L67" s="60">
        <v>29.11</v>
      </c>
      <c r="M67" s="60">
        <v>32.04</v>
      </c>
      <c r="N67" s="60">
        <v>304.2</v>
      </c>
      <c r="O67" s="60">
        <v>0</v>
      </c>
      <c r="P67" s="60">
        <v>0.56000000000000005</v>
      </c>
      <c r="Q67" s="60">
        <v>23.03</v>
      </c>
      <c r="R67" s="198"/>
      <c r="S67" s="198"/>
      <c r="T67" s="198"/>
      <c r="U67" s="198"/>
    </row>
    <row r="68" spans="1:21" s="12" customFormat="1" x14ac:dyDescent="0.25">
      <c r="A68" s="201" t="s">
        <v>981</v>
      </c>
      <c r="B68" s="60">
        <v>4.99</v>
      </c>
      <c r="C68" s="60">
        <v>52.17</v>
      </c>
      <c r="D68" s="60">
        <v>33.54</v>
      </c>
      <c r="E68" s="60">
        <v>1.91</v>
      </c>
      <c r="F68" s="60">
        <v>9.74</v>
      </c>
      <c r="G68" s="211" t="s">
        <v>43</v>
      </c>
      <c r="H68" s="211" t="s">
        <v>43</v>
      </c>
      <c r="I68" s="60">
        <v>0.49</v>
      </c>
      <c r="J68" s="60">
        <v>2.72</v>
      </c>
      <c r="K68" s="60">
        <v>27.19</v>
      </c>
      <c r="L68" s="60">
        <v>28.28</v>
      </c>
      <c r="M68" s="60">
        <v>32.380000000000003</v>
      </c>
      <c r="N68" s="60">
        <v>244.2</v>
      </c>
      <c r="O68" s="60">
        <v>0</v>
      </c>
      <c r="P68" s="60">
        <v>0.56000000000000005</v>
      </c>
      <c r="Q68" s="60">
        <v>23.49</v>
      </c>
      <c r="R68" s="198"/>
      <c r="S68" s="198"/>
      <c r="T68" s="198"/>
      <c r="U68" s="198"/>
    </row>
    <row r="69" spans="1:21" s="12" customFormat="1" x14ac:dyDescent="0.25">
      <c r="A69" s="201" t="s">
        <v>982</v>
      </c>
      <c r="B69" s="60">
        <v>4.07</v>
      </c>
      <c r="C69" s="60">
        <v>52.73</v>
      </c>
      <c r="D69" s="60">
        <v>33.1</v>
      </c>
      <c r="E69" s="60">
        <v>1.81</v>
      </c>
      <c r="F69" s="60">
        <v>9.0500000000000007</v>
      </c>
      <c r="G69" s="211" t="s">
        <v>43</v>
      </c>
      <c r="H69" s="211" t="s">
        <v>43</v>
      </c>
      <c r="I69" s="60">
        <v>0.48</v>
      </c>
      <c r="J69" s="60">
        <v>2.4</v>
      </c>
      <c r="K69" s="60">
        <v>31.9</v>
      </c>
      <c r="L69" s="60">
        <v>27.83</v>
      </c>
      <c r="M69" s="60">
        <v>34.19</v>
      </c>
      <c r="N69" s="60">
        <v>223.9</v>
      </c>
      <c r="O69" s="60">
        <v>0</v>
      </c>
      <c r="P69" s="60">
        <v>0.56999999999999995</v>
      </c>
      <c r="Q69" s="60">
        <v>27.07</v>
      </c>
      <c r="R69" s="198"/>
      <c r="S69" s="198"/>
      <c r="T69" s="198"/>
      <c r="U69" s="198"/>
    </row>
    <row r="70" spans="1:21" s="12" customFormat="1" x14ac:dyDescent="0.25">
      <c r="A70" s="201" t="s">
        <v>983</v>
      </c>
      <c r="B70" s="60">
        <v>3.88</v>
      </c>
      <c r="C70" s="60">
        <v>51.01</v>
      </c>
      <c r="D70" s="60">
        <v>32</v>
      </c>
      <c r="E70" s="60">
        <v>1.8</v>
      </c>
      <c r="F70" s="60">
        <v>8.39</v>
      </c>
      <c r="G70" s="211" t="s">
        <v>43</v>
      </c>
      <c r="H70" s="211" t="s">
        <v>43</v>
      </c>
      <c r="I70" s="60">
        <v>0.48</v>
      </c>
      <c r="J70" s="60">
        <v>2.5099999999999998</v>
      </c>
      <c r="K70" s="60">
        <v>23.23</v>
      </c>
      <c r="L70" s="60">
        <v>28.18</v>
      </c>
      <c r="M70" s="60">
        <v>33.71</v>
      </c>
      <c r="N70" s="60">
        <v>291.10000000000002</v>
      </c>
      <c r="O70" s="60">
        <v>0</v>
      </c>
      <c r="P70" s="60">
        <v>0.57999999999999996</v>
      </c>
      <c r="Q70" s="60">
        <v>28.77</v>
      </c>
      <c r="R70" s="198"/>
      <c r="S70" s="198"/>
      <c r="T70" s="198"/>
      <c r="U70" s="198"/>
    </row>
    <row r="71" spans="1:21" s="12" customFormat="1" x14ac:dyDescent="0.25">
      <c r="A71" s="201" t="s">
        <v>984</v>
      </c>
      <c r="B71" s="60">
        <v>3.88</v>
      </c>
      <c r="C71" s="60">
        <v>52.67</v>
      </c>
      <c r="D71" s="60">
        <v>32.92</v>
      </c>
      <c r="E71" s="60">
        <v>2.69</v>
      </c>
      <c r="F71" s="60">
        <v>9.44</v>
      </c>
      <c r="G71" s="211" t="s">
        <v>43</v>
      </c>
      <c r="H71" s="211" t="s">
        <v>43</v>
      </c>
      <c r="I71" s="60">
        <v>0.49</v>
      </c>
      <c r="J71" s="60">
        <v>1.34</v>
      </c>
      <c r="K71" s="60">
        <v>25.19</v>
      </c>
      <c r="L71" s="60">
        <v>28.32</v>
      </c>
      <c r="M71" s="60">
        <v>30.81</v>
      </c>
      <c r="N71" s="60">
        <v>207.8</v>
      </c>
      <c r="O71" s="60">
        <v>0</v>
      </c>
      <c r="P71" s="60">
        <v>0.59</v>
      </c>
      <c r="Q71" s="60">
        <v>30.22</v>
      </c>
      <c r="R71" s="198"/>
      <c r="S71" s="198"/>
      <c r="T71" s="198"/>
      <c r="U71" s="198"/>
    </row>
    <row r="72" spans="1:21" s="12" customFormat="1" x14ac:dyDescent="0.25">
      <c r="A72" s="201" t="s">
        <v>985</v>
      </c>
      <c r="B72" s="60">
        <v>3.77</v>
      </c>
      <c r="C72" s="60">
        <v>54.01</v>
      </c>
      <c r="D72" s="60">
        <v>33.57</v>
      </c>
      <c r="E72" s="60">
        <v>1.74</v>
      </c>
      <c r="F72" s="60">
        <v>10.94</v>
      </c>
      <c r="G72" s="211" t="s">
        <v>43</v>
      </c>
      <c r="H72" s="211" t="s">
        <v>43</v>
      </c>
      <c r="I72" s="60">
        <v>0.48</v>
      </c>
      <c r="J72" s="60">
        <v>1.78</v>
      </c>
      <c r="K72" s="60">
        <v>24.06</v>
      </c>
      <c r="L72" s="60">
        <v>27.65</v>
      </c>
      <c r="M72" s="60">
        <v>30.99</v>
      </c>
      <c r="N72" s="60">
        <v>147.80000000000001</v>
      </c>
      <c r="O72" s="60">
        <v>0</v>
      </c>
      <c r="P72" s="60">
        <v>0.61</v>
      </c>
      <c r="Q72" s="60">
        <v>30.55</v>
      </c>
      <c r="R72" s="198"/>
      <c r="S72" s="198"/>
      <c r="T72" s="198"/>
      <c r="U72" s="198"/>
    </row>
    <row r="73" spans="1:21" s="12" customFormat="1" x14ac:dyDescent="0.25">
      <c r="A73" s="201" t="s">
        <v>986</v>
      </c>
      <c r="B73" s="60">
        <v>4.2</v>
      </c>
      <c r="C73" s="60">
        <v>56.64</v>
      </c>
      <c r="D73" s="60">
        <v>35.369999999999997</v>
      </c>
      <c r="E73" s="60">
        <v>2.9</v>
      </c>
      <c r="F73" s="60">
        <v>9.36</v>
      </c>
      <c r="G73" s="211" t="s">
        <v>43</v>
      </c>
      <c r="H73" s="211" t="s">
        <v>43</v>
      </c>
      <c r="I73" s="60">
        <v>0.49</v>
      </c>
      <c r="J73" s="60">
        <v>1.46</v>
      </c>
      <c r="K73" s="60">
        <v>26.93</v>
      </c>
      <c r="L73" s="60">
        <v>27.5</v>
      </c>
      <c r="M73" s="60">
        <v>32.49</v>
      </c>
      <c r="N73" s="60">
        <v>156</v>
      </c>
      <c r="O73" s="60">
        <v>0</v>
      </c>
      <c r="P73" s="60">
        <v>0.64</v>
      </c>
      <c r="Q73" s="60">
        <v>30.88</v>
      </c>
      <c r="R73" s="198"/>
      <c r="S73" s="198"/>
      <c r="T73" s="198"/>
      <c r="U73" s="198"/>
    </row>
    <row r="74" spans="1:21" s="12" customFormat="1" x14ac:dyDescent="0.25">
      <c r="A74" s="201" t="s">
        <v>987</v>
      </c>
      <c r="B74" s="60">
        <v>5.12</v>
      </c>
      <c r="C74" s="60">
        <v>59.1</v>
      </c>
      <c r="D74" s="60">
        <v>37.47</v>
      </c>
      <c r="E74" s="60">
        <v>3.27</v>
      </c>
      <c r="F74" s="60">
        <v>9.68</v>
      </c>
      <c r="G74" s="60">
        <v>33.64</v>
      </c>
      <c r="H74" s="60">
        <v>18.95</v>
      </c>
      <c r="I74" s="60">
        <v>0.5</v>
      </c>
      <c r="J74" s="60">
        <v>1.57</v>
      </c>
      <c r="K74" s="60">
        <v>25.41</v>
      </c>
      <c r="L74" s="60">
        <v>27.39</v>
      </c>
      <c r="M74" s="60">
        <v>33.1</v>
      </c>
      <c r="N74" s="60">
        <v>178.3</v>
      </c>
      <c r="O74" s="60">
        <v>0</v>
      </c>
      <c r="P74" s="60">
        <v>0.7</v>
      </c>
      <c r="Q74" s="60">
        <v>30.56</v>
      </c>
      <c r="R74" s="198"/>
      <c r="S74" s="198"/>
      <c r="T74" s="198"/>
      <c r="U74" s="198"/>
    </row>
    <row r="75" spans="1:21" s="12" customFormat="1" x14ac:dyDescent="0.25">
      <c r="A75" s="201" t="s">
        <v>988</v>
      </c>
      <c r="B75" s="60">
        <v>5.67</v>
      </c>
      <c r="C75" s="60">
        <v>60.14</v>
      </c>
      <c r="D75" s="60">
        <v>38.47</v>
      </c>
      <c r="E75" s="60">
        <v>3.1</v>
      </c>
      <c r="F75" s="60">
        <v>10.11</v>
      </c>
      <c r="G75" s="60">
        <v>33.64</v>
      </c>
      <c r="H75" s="60">
        <v>18.95</v>
      </c>
      <c r="I75" s="60">
        <v>0.49</v>
      </c>
      <c r="J75" s="60">
        <v>0.77</v>
      </c>
      <c r="K75" s="60">
        <v>46.06</v>
      </c>
      <c r="L75" s="60">
        <v>27.51</v>
      </c>
      <c r="M75" s="60">
        <v>33.369999999999997</v>
      </c>
      <c r="N75" s="60">
        <v>132.1</v>
      </c>
      <c r="O75" s="60">
        <v>0</v>
      </c>
      <c r="P75" s="60">
        <v>0.73</v>
      </c>
      <c r="Q75" s="60">
        <v>29.72</v>
      </c>
      <c r="R75" s="198"/>
      <c r="S75" s="198"/>
      <c r="T75" s="198"/>
      <c r="U75" s="198"/>
    </row>
    <row r="76" spans="1:21" s="12" customFormat="1" x14ac:dyDescent="0.25">
      <c r="A76" s="201" t="s">
        <v>989</v>
      </c>
      <c r="B76" s="60">
        <v>8.06</v>
      </c>
      <c r="C76" s="60">
        <v>50.66</v>
      </c>
      <c r="D76" s="60">
        <v>35.159999999999997</v>
      </c>
      <c r="E76" s="60">
        <v>4.8499999999999996</v>
      </c>
      <c r="F76" s="60">
        <v>11.26</v>
      </c>
      <c r="G76" s="60">
        <v>33.64</v>
      </c>
      <c r="H76" s="60">
        <v>18.95</v>
      </c>
      <c r="I76" s="60">
        <v>0.49</v>
      </c>
      <c r="J76" s="60">
        <v>0.67</v>
      </c>
      <c r="K76" s="60">
        <v>63.27</v>
      </c>
      <c r="L76" s="60">
        <v>26.51</v>
      </c>
      <c r="M76" s="60">
        <v>34.42</v>
      </c>
      <c r="N76" s="60">
        <v>65.900000000000006</v>
      </c>
      <c r="O76" s="60">
        <v>0</v>
      </c>
      <c r="P76" s="60">
        <v>0.72</v>
      </c>
      <c r="Q76" s="60">
        <v>28.77</v>
      </c>
      <c r="R76" s="198"/>
      <c r="S76" s="198"/>
      <c r="T76" s="198"/>
      <c r="U76" s="198"/>
    </row>
    <row r="77" spans="1:21" s="12" customFormat="1" x14ac:dyDescent="0.25">
      <c r="A77" s="201" t="s">
        <v>990</v>
      </c>
      <c r="B77" s="60">
        <v>6.04</v>
      </c>
      <c r="C77" s="60">
        <v>52.02</v>
      </c>
      <c r="D77" s="60">
        <v>34.29</v>
      </c>
      <c r="E77" s="60">
        <v>3.46</v>
      </c>
      <c r="F77" s="60">
        <v>10.09</v>
      </c>
      <c r="G77" s="60">
        <v>33.64</v>
      </c>
      <c r="H77" s="60">
        <v>18.95</v>
      </c>
      <c r="I77" s="60">
        <v>0.5</v>
      </c>
      <c r="J77" s="60">
        <v>1.62</v>
      </c>
      <c r="K77" s="60">
        <v>109.79</v>
      </c>
      <c r="L77" s="60">
        <v>26.1</v>
      </c>
      <c r="M77" s="60">
        <v>34.21</v>
      </c>
      <c r="N77" s="60">
        <v>56.7</v>
      </c>
      <c r="O77" s="60">
        <v>0</v>
      </c>
      <c r="P77" s="60">
        <v>0.71</v>
      </c>
      <c r="Q77" s="60">
        <v>28.09</v>
      </c>
      <c r="R77" s="198"/>
      <c r="S77" s="198"/>
      <c r="T77" s="198"/>
      <c r="U77" s="198"/>
    </row>
    <row r="78" spans="1:21" s="12" customFormat="1" x14ac:dyDescent="0.25">
      <c r="A78" s="201" t="s">
        <v>991</v>
      </c>
      <c r="B78" s="60">
        <v>4.6100000000000003</v>
      </c>
      <c r="C78" s="60">
        <v>55.13</v>
      </c>
      <c r="D78" s="60">
        <v>34.86</v>
      </c>
      <c r="E78" s="60">
        <v>3.11</v>
      </c>
      <c r="F78" s="60">
        <v>10.48</v>
      </c>
      <c r="G78" s="60">
        <v>12.39</v>
      </c>
      <c r="H78" s="60">
        <v>21.01</v>
      </c>
      <c r="I78" s="60">
        <v>0.51</v>
      </c>
      <c r="J78" s="60">
        <v>1.73</v>
      </c>
      <c r="K78" s="60">
        <v>109.03</v>
      </c>
      <c r="L78" s="60">
        <v>25.92</v>
      </c>
      <c r="M78" s="60">
        <v>34.729999999999997</v>
      </c>
      <c r="N78" s="60">
        <v>75.7</v>
      </c>
      <c r="O78" s="60">
        <v>0</v>
      </c>
      <c r="P78" s="60">
        <v>0.67</v>
      </c>
      <c r="Q78" s="60">
        <v>26.38</v>
      </c>
      <c r="R78" s="198"/>
      <c r="S78" s="198"/>
      <c r="T78" s="198"/>
      <c r="U78" s="198"/>
    </row>
    <row r="79" spans="1:21" s="12" customFormat="1" x14ac:dyDescent="0.25">
      <c r="A79" s="201" t="s">
        <v>992</v>
      </c>
      <c r="B79" s="60">
        <v>4.1500000000000004</v>
      </c>
      <c r="C79" s="60">
        <v>55.56</v>
      </c>
      <c r="D79" s="60">
        <v>34.729999999999997</v>
      </c>
      <c r="E79" s="60">
        <v>4.37</v>
      </c>
      <c r="F79" s="60">
        <v>10.199999999999999</v>
      </c>
      <c r="G79" s="60">
        <v>0.67</v>
      </c>
      <c r="H79" s="60">
        <v>21.61</v>
      </c>
      <c r="I79" s="60">
        <v>0.52</v>
      </c>
      <c r="J79" s="60">
        <v>1.3</v>
      </c>
      <c r="K79" s="60">
        <v>110.02</v>
      </c>
      <c r="L79" s="60">
        <v>25.57</v>
      </c>
      <c r="M79" s="60">
        <v>35.6</v>
      </c>
      <c r="N79" s="60">
        <v>37.1</v>
      </c>
      <c r="O79" s="60">
        <v>0</v>
      </c>
      <c r="P79" s="60">
        <v>0.64</v>
      </c>
      <c r="Q79" s="60">
        <v>27.28</v>
      </c>
      <c r="R79" s="198"/>
      <c r="S79" s="198"/>
      <c r="T79" s="198"/>
      <c r="U79" s="198"/>
    </row>
    <row r="80" spans="1:21" s="12" customFormat="1" x14ac:dyDescent="0.25">
      <c r="A80" s="201" t="s">
        <v>993</v>
      </c>
      <c r="B80" s="60">
        <v>5.25</v>
      </c>
      <c r="C80" s="60">
        <v>55.47</v>
      </c>
      <c r="D80" s="60">
        <v>35.56</v>
      </c>
      <c r="E80" s="60">
        <v>4.4000000000000004</v>
      </c>
      <c r="F80" s="60">
        <v>11.52</v>
      </c>
      <c r="G80" s="60">
        <v>0.67</v>
      </c>
      <c r="H80" s="60">
        <v>21.61</v>
      </c>
      <c r="I80" s="60">
        <v>0.5</v>
      </c>
      <c r="J80" s="60">
        <v>1.02</v>
      </c>
      <c r="K80" s="60">
        <v>107.4</v>
      </c>
      <c r="L80" s="60">
        <v>25.47</v>
      </c>
      <c r="M80" s="60">
        <v>35.72</v>
      </c>
      <c r="N80" s="60">
        <v>24.1</v>
      </c>
      <c r="O80" s="60">
        <v>0</v>
      </c>
      <c r="P80" s="60">
        <v>0.63</v>
      </c>
      <c r="Q80" s="60">
        <v>28.22</v>
      </c>
      <c r="R80" s="198"/>
      <c r="S80" s="198"/>
      <c r="T80" s="198"/>
      <c r="U80" s="198"/>
    </row>
    <row r="81" spans="1:26" s="12" customFormat="1" x14ac:dyDescent="0.25">
      <c r="A81" s="201" t="s">
        <v>994</v>
      </c>
      <c r="B81" s="60">
        <v>5.21</v>
      </c>
      <c r="C81" s="60">
        <v>54.71</v>
      </c>
      <c r="D81" s="60">
        <v>35.11</v>
      </c>
      <c r="E81" s="60">
        <v>4.41</v>
      </c>
      <c r="F81" s="60">
        <v>8.9</v>
      </c>
      <c r="G81" s="60">
        <v>0.67</v>
      </c>
      <c r="H81" s="60">
        <v>21.61</v>
      </c>
      <c r="I81" s="60">
        <v>0.5</v>
      </c>
      <c r="J81" s="60">
        <v>1.18</v>
      </c>
      <c r="K81" s="60">
        <v>123.69</v>
      </c>
      <c r="L81" s="60">
        <v>25.33</v>
      </c>
      <c r="M81" s="60">
        <v>36.53</v>
      </c>
      <c r="N81" s="60">
        <v>11.8</v>
      </c>
      <c r="O81" s="60">
        <v>0</v>
      </c>
      <c r="P81" s="60">
        <v>0.62</v>
      </c>
      <c r="Q81" s="60">
        <v>28.61</v>
      </c>
      <c r="R81" s="198"/>
      <c r="S81" s="198"/>
      <c r="T81" s="198"/>
      <c r="U81" s="198"/>
    </row>
    <row r="82" spans="1:26" s="12" customFormat="1" x14ac:dyDescent="0.25">
      <c r="A82" s="201" t="s">
        <v>995</v>
      </c>
      <c r="B82" s="60">
        <v>5.44</v>
      </c>
      <c r="C82" s="60">
        <v>49.94</v>
      </c>
      <c r="D82" s="60">
        <v>32.659999999999997</v>
      </c>
      <c r="E82" s="60">
        <v>4.8099999999999996</v>
      </c>
      <c r="F82" s="60">
        <v>10.62</v>
      </c>
      <c r="G82" s="60">
        <v>44.22</v>
      </c>
      <c r="H82" s="60">
        <v>19.829999999999998</v>
      </c>
      <c r="I82" s="60">
        <v>0.52</v>
      </c>
      <c r="J82" s="60">
        <v>0.81</v>
      </c>
      <c r="K82" s="60">
        <v>107.85</v>
      </c>
      <c r="L82" s="60">
        <v>25.22</v>
      </c>
      <c r="M82" s="60">
        <v>36.26</v>
      </c>
      <c r="N82" s="60">
        <v>5.6</v>
      </c>
      <c r="O82" s="60">
        <v>0</v>
      </c>
      <c r="P82" s="60">
        <v>0.63</v>
      </c>
      <c r="Q82" s="60">
        <v>29.19</v>
      </c>
      <c r="R82" s="198"/>
      <c r="S82" s="198"/>
      <c r="T82" s="198"/>
      <c r="U82" s="198"/>
    </row>
    <row r="83" spans="1:26" s="12" customFormat="1" x14ac:dyDescent="0.25">
      <c r="A83" s="201" t="s">
        <v>996</v>
      </c>
      <c r="B83" s="60">
        <v>7.29</v>
      </c>
      <c r="C83" s="60">
        <v>50.8</v>
      </c>
      <c r="D83" s="60">
        <v>34.619999999999997</v>
      </c>
      <c r="E83" s="60">
        <v>4.82</v>
      </c>
      <c r="F83" s="60">
        <v>7.53</v>
      </c>
      <c r="G83" s="60">
        <v>68.239999999999995</v>
      </c>
      <c r="H83" s="60">
        <v>19.52</v>
      </c>
      <c r="I83" s="60">
        <v>0.51</v>
      </c>
      <c r="J83" s="60">
        <v>0.41</v>
      </c>
      <c r="K83" s="60">
        <v>48.09</v>
      </c>
      <c r="L83" s="60">
        <v>24.9</v>
      </c>
      <c r="M83" s="60">
        <v>37.97</v>
      </c>
      <c r="N83" s="60">
        <v>5.0999999999999996</v>
      </c>
      <c r="O83" s="60">
        <v>0</v>
      </c>
      <c r="P83" s="60">
        <v>0.68</v>
      </c>
      <c r="Q83" s="60">
        <v>30.65</v>
      </c>
      <c r="R83" s="198"/>
      <c r="S83" s="198"/>
      <c r="T83" s="198"/>
      <c r="U83" s="198"/>
    </row>
    <row r="84" spans="1:26" s="12" customFormat="1" x14ac:dyDescent="0.25">
      <c r="A84" s="201" t="s">
        <v>997</v>
      </c>
      <c r="B84" s="60">
        <v>8.86</v>
      </c>
      <c r="C84" s="60">
        <v>54.66</v>
      </c>
      <c r="D84" s="60">
        <v>38.01</v>
      </c>
      <c r="E84" s="60">
        <v>3.39</v>
      </c>
      <c r="F84" s="60">
        <v>4.79</v>
      </c>
      <c r="G84" s="60">
        <v>68.239999999999995</v>
      </c>
      <c r="H84" s="60">
        <v>19.52</v>
      </c>
      <c r="I84" s="60">
        <v>0.52</v>
      </c>
      <c r="J84" s="60">
        <v>0.36</v>
      </c>
      <c r="K84" s="60">
        <v>74.010000000000005</v>
      </c>
      <c r="L84" s="60">
        <v>24.63</v>
      </c>
      <c r="M84" s="60">
        <v>38.24</v>
      </c>
      <c r="N84" s="60">
        <v>4.8</v>
      </c>
      <c r="O84" s="60">
        <v>0</v>
      </c>
      <c r="P84" s="60">
        <v>0.75</v>
      </c>
      <c r="Q84" s="60">
        <v>32.29</v>
      </c>
      <c r="R84" s="198"/>
      <c r="S84" s="198"/>
      <c r="T84" s="198"/>
      <c r="U84" s="198"/>
    </row>
    <row r="85" spans="1:26" s="12" customFormat="1" x14ac:dyDescent="0.25">
      <c r="A85" s="201" t="s">
        <v>998</v>
      </c>
      <c r="B85" s="60">
        <v>11.47</v>
      </c>
      <c r="C85" s="60">
        <v>59.91</v>
      </c>
      <c r="D85" s="60">
        <v>43</v>
      </c>
      <c r="E85" s="60">
        <v>2.93</v>
      </c>
      <c r="F85" s="60">
        <v>4.08</v>
      </c>
      <c r="G85" s="60">
        <v>68.239999999999995</v>
      </c>
      <c r="H85" s="60">
        <v>19.52</v>
      </c>
      <c r="I85" s="60">
        <v>0.53</v>
      </c>
      <c r="J85" s="60">
        <v>0.4</v>
      </c>
      <c r="K85" s="60">
        <v>43.37</v>
      </c>
      <c r="L85" s="60">
        <v>24.51</v>
      </c>
      <c r="M85" s="60">
        <v>39.81</v>
      </c>
      <c r="N85" s="60">
        <v>4.9000000000000004</v>
      </c>
      <c r="O85" s="60">
        <v>0</v>
      </c>
      <c r="P85" s="60">
        <v>0.82</v>
      </c>
      <c r="Q85" s="60">
        <v>33.07</v>
      </c>
      <c r="R85" s="198"/>
      <c r="S85" s="198"/>
      <c r="T85" s="198"/>
      <c r="U85" s="198"/>
    </row>
    <row r="86" spans="1:26" s="12" customFormat="1" x14ac:dyDescent="0.25">
      <c r="A86" s="201" t="s">
        <v>999</v>
      </c>
      <c r="B86" s="60">
        <v>13.33</v>
      </c>
      <c r="C86" s="60">
        <v>64.37</v>
      </c>
      <c r="D86" s="60">
        <v>46.95</v>
      </c>
      <c r="E86" s="60">
        <v>2.75</v>
      </c>
      <c r="F86" s="60">
        <v>3.68</v>
      </c>
      <c r="G86" s="60">
        <v>64.95</v>
      </c>
      <c r="H86" s="60">
        <v>22.51</v>
      </c>
      <c r="I86" s="60">
        <v>0.55000000000000004</v>
      </c>
      <c r="J86" s="60">
        <v>0.28000000000000003</v>
      </c>
      <c r="K86" s="60">
        <v>75.03</v>
      </c>
      <c r="L86" s="60">
        <v>24.3</v>
      </c>
      <c r="M86" s="60">
        <v>39.99</v>
      </c>
      <c r="N86" s="60">
        <v>5</v>
      </c>
      <c r="O86" s="60">
        <v>0</v>
      </c>
      <c r="P86" s="60">
        <v>0.92</v>
      </c>
      <c r="Q86" s="60">
        <v>33.380000000000003</v>
      </c>
      <c r="R86" s="198"/>
      <c r="S86" s="198"/>
      <c r="T86" s="198"/>
      <c r="U86" s="198"/>
    </row>
    <row r="87" spans="1:26" s="12" customFormat="1" x14ac:dyDescent="0.25">
      <c r="A87" s="201" t="s">
        <v>1000</v>
      </c>
      <c r="B87" s="60">
        <v>14.55</v>
      </c>
      <c r="C87" s="60">
        <v>65.06</v>
      </c>
      <c r="D87" s="60">
        <v>48.31</v>
      </c>
      <c r="E87" s="60">
        <v>2.68</v>
      </c>
      <c r="F87" s="60">
        <v>3.73</v>
      </c>
      <c r="G87" s="60">
        <v>63.13</v>
      </c>
      <c r="H87" s="60">
        <v>23.04</v>
      </c>
      <c r="I87" s="60">
        <v>0.56000000000000005</v>
      </c>
      <c r="J87" s="60">
        <v>0.19</v>
      </c>
      <c r="K87" s="60">
        <v>58.41</v>
      </c>
      <c r="L87" s="60">
        <v>23.91</v>
      </c>
      <c r="M87" s="60">
        <v>43.1</v>
      </c>
      <c r="N87" s="60">
        <v>5.2</v>
      </c>
      <c r="O87" s="60">
        <v>0</v>
      </c>
      <c r="P87" s="60">
        <v>1</v>
      </c>
      <c r="Q87" s="60">
        <v>33.64</v>
      </c>
      <c r="R87" s="198"/>
      <c r="S87" s="198"/>
      <c r="T87" s="198"/>
      <c r="U87" s="198"/>
    </row>
    <row r="88" spans="1:26" s="12" customFormat="1" x14ac:dyDescent="0.25">
      <c r="A88" s="201" t="s">
        <v>1001</v>
      </c>
      <c r="B88" s="60">
        <v>18.350000000000001</v>
      </c>
      <c r="C88" s="60">
        <v>66.7</v>
      </c>
      <c r="D88" s="60">
        <v>52.27</v>
      </c>
      <c r="E88" s="60">
        <v>1.61</v>
      </c>
      <c r="F88" s="60">
        <v>3.3</v>
      </c>
      <c r="G88" s="60">
        <v>63.13</v>
      </c>
      <c r="H88" s="60">
        <v>23.04</v>
      </c>
      <c r="I88" s="60">
        <v>0.56000000000000005</v>
      </c>
      <c r="J88" s="60">
        <v>0.02</v>
      </c>
      <c r="K88" s="60">
        <v>264.10000000000002</v>
      </c>
      <c r="L88" s="60">
        <v>23.49</v>
      </c>
      <c r="M88" s="60">
        <v>43.65</v>
      </c>
      <c r="N88" s="60">
        <v>5.0999999999999996</v>
      </c>
      <c r="O88" s="60">
        <v>0</v>
      </c>
      <c r="P88" s="60">
        <v>1.1000000000000001</v>
      </c>
      <c r="Q88" s="60">
        <v>33.6</v>
      </c>
      <c r="R88" s="198"/>
      <c r="S88" s="198"/>
      <c r="T88" s="198"/>
      <c r="U88" s="198"/>
    </row>
    <row r="89" spans="1:26" s="12" customFormat="1" x14ac:dyDescent="0.25">
      <c r="A89" s="201" t="s">
        <v>1002</v>
      </c>
      <c r="B89" s="60">
        <v>24.94</v>
      </c>
      <c r="C89" s="60">
        <v>68.63</v>
      </c>
      <c r="D89" s="60">
        <v>58.62</v>
      </c>
      <c r="E89" s="60">
        <v>2.46</v>
      </c>
      <c r="F89" s="60">
        <v>3</v>
      </c>
      <c r="G89" s="60">
        <v>63.13</v>
      </c>
      <c r="H89" s="60">
        <v>23.04</v>
      </c>
      <c r="I89" s="60">
        <v>0.57999999999999996</v>
      </c>
      <c r="J89" s="60">
        <v>0.27</v>
      </c>
      <c r="K89" s="60">
        <v>32.630000000000003</v>
      </c>
      <c r="L89" s="60">
        <v>23</v>
      </c>
      <c r="M89" s="60">
        <v>47.59</v>
      </c>
      <c r="N89" s="60">
        <v>5</v>
      </c>
      <c r="O89" s="60">
        <v>0</v>
      </c>
      <c r="P89" s="60">
        <v>1.25</v>
      </c>
      <c r="Q89" s="60">
        <v>33.43</v>
      </c>
      <c r="R89" s="198"/>
      <c r="S89" s="198"/>
      <c r="T89" s="198"/>
      <c r="U89" s="198"/>
    </row>
    <row r="90" spans="1:26" s="12" customFormat="1" x14ac:dyDescent="0.25">
      <c r="A90" s="201" t="s">
        <v>1003</v>
      </c>
      <c r="B90" s="60">
        <v>37.909999999999997</v>
      </c>
      <c r="C90" s="60">
        <v>82.38</v>
      </c>
      <c r="D90" s="60">
        <v>76.61</v>
      </c>
      <c r="E90" s="60">
        <v>4.51</v>
      </c>
      <c r="F90" s="60">
        <v>3.07</v>
      </c>
      <c r="G90" s="60">
        <v>78.150000000000006</v>
      </c>
      <c r="H90" s="60">
        <v>25.26</v>
      </c>
      <c r="I90" s="60">
        <v>0.57999999999999996</v>
      </c>
      <c r="J90" s="60">
        <v>0.09</v>
      </c>
      <c r="K90" s="60">
        <v>231.49</v>
      </c>
      <c r="L90" s="60">
        <v>22.39</v>
      </c>
      <c r="M90" s="60">
        <v>48.79</v>
      </c>
      <c r="N90" s="60">
        <v>4.9000000000000004</v>
      </c>
      <c r="O90" s="60">
        <v>0</v>
      </c>
      <c r="P90" s="60">
        <v>1.63</v>
      </c>
      <c r="Q90" s="60">
        <v>32.11</v>
      </c>
      <c r="R90" s="198"/>
      <c r="S90" s="198"/>
      <c r="T90" s="198"/>
      <c r="U90" s="198"/>
    </row>
    <row r="91" spans="1:26" s="12" customFormat="1" x14ac:dyDescent="0.25">
      <c r="A91" s="201" t="s">
        <v>1004</v>
      </c>
      <c r="B91" s="60">
        <v>58.45</v>
      </c>
      <c r="C91" s="60">
        <v>80.52</v>
      </c>
      <c r="D91" s="60">
        <v>92.05</v>
      </c>
      <c r="E91" s="60">
        <v>6.76</v>
      </c>
      <c r="F91" s="60">
        <v>3.63</v>
      </c>
      <c r="G91" s="60">
        <v>86.44</v>
      </c>
      <c r="H91" s="60">
        <v>25.65</v>
      </c>
      <c r="I91" s="60">
        <v>0.59</v>
      </c>
      <c r="J91" s="60">
        <v>0.22</v>
      </c>
      <c r="K91" s="60">
        <v>49.93</v>
      </c>
      <c r="L91" s="60">
        <v>22.72</v>
      </c>
      <c r="M91" s="60">
        <v>48.3</v>
      </c>
      <c r="N91" s="60">
        <v>4.5</v>
      </c>
      <c r="O91" s="60">
        <v>0</v>
      </c>
      <c r="P91" s="60">
        <v>1.63</v>
      </c>
      <c r="Q91" s="60">
        <v>27.59</v>
      </c>
      <c r="R91" s="198"/>
      <c r="S91" s="198"/>
      <c r="T91" s="198"/>
      <c r="U91" s="198"/>
    </row>
    <row r="92" spans="1:26" s="12" customFormat="1" x14ac:dyDescent="0.25">
      <c r="A92" s="201" t="s">
        <v>1005</v>
      </c>
      <c r="B92" s="60">
        <v>42.33</v>
      </c>
      <c r="C92" s="60">
        <v>69.89</v>
      </c>
      <c r="D92" s="60">
        <v>73.260000000000005</v>
      </c>
      <c r="E92" s="60">
        <v>4.62</v>
      </c>
      <c r="F92" s="60">
        <v>3.29</v>
      </c>
      <c r="G92" s="60">
        <v>86.44</v>
      </c>
      <c r="H92" s="60">
        <v>25.65</v>
      </c>
      <c r="I92" s="60">
        <v>0.65</v>
      </c>
      <c r="J92" s="60">
        <v>0.12</v>
      </c>
      <c r="K92" s="60">
        <v>313.3</v>
      </c>
      <c r="L92" s="60">
        <v>22.25</v>
      </c>
      <c r="M92" s="60">
        <v>52.58</v>
      </c>
      <c r="N92" s="60">
        <v>4.9000000000000004</v>
      </c>
      <c r="O92" s="60">
        <v>0</v>
      </c>
      <c r="P92" s="60">
        <v>1.78</v>
      </c>
      <c r="Q92" s="60">
        <v>28.86</v>
      </c>
      <c r="R92" s="198"/>
      <c r="S92" s="198"/>
      <c r="T92" s="198"/>
      <c r="U92" s="198"/>
    </row>
    <row r="93" spans="1:26" s="12" customFormat="1" x14ac:dyDescent="0.25">
      <c r="A93" s="201" t="s">
        <v>1006</v>
      </c>
      <c r="B93" s="60">
        <v>57.31</v>
      </c>
      <c r="C93" s="60">
        <v>72.88</v>
      </c>
      <c r="D93" s="60">
        <v>86.92</v>
      </c>
      <c r="E93" s="60">
        <v>5.12</v>
      </c>
      <c r="F93" s="60">
        <v>3.18</v>
      </c>
      <c r="G93" s="60">
        <v>86.44</v>
      </c>
      <c r="H93" s="60">
        <v>25.65</v>
      </c>
      <c r="I93" s="60">
        <v>0.74</v>
      </c>
      <c r="J93" s="60">
        <v>0.14000000000000001</v>
      </c>
      <c r="K93" s="60">
        <v>49.23</v>
      </c>
      <c r="L93" s="60">
        <v>21.97</v>
      </c>
      <c r="M93" s="60">
        <v>53.35</v>
      </c>
      <c r="N93" s="60">
        <v>4.8</v>
      </c>
      <c r="O93" s="60">
        <v>0</v>
      </c>
      <c r="P93" s="60">
        <v>1.93</v>
      </c>
      <c r="Q93" s="60">
        <v>26.98</v>
      </c>
      <c r="R93" s="198"/>
      <c r="S93" s="198"/>
      <c r="T93" s="198"/>
      <c r="U93" s="198"/>
    </row>
    <row r="94" spans="1:26" s="12" customFormat="1" x14ac:dyDescent="0.25">
      <c r="A94" s="201" t="s">
        <v>1007</v>
      </c>
      <c r="B94" s="60">
        <v>43.47</v>
      </c>
      <c r="C94" s="60">
        <v>64.52</v>
      </c>
      <c r="D94" s="60">
        <v>71.209999999999994</v>
      </c>
      <c r="E94" s="60">
        <v>5.12</v>
      </c>
      <c r="F94" s="60">
        <v>3.19</v>
      </c>
      <c r="G94" s="60">
        <v>107.97</v>
      </c>
      <c r="H94" s="60">
        <v>27.88</v>
      </c>
      <c r="I94" s="60">
        <v>0.77</v>
      </c>
      <c r="J94" s="60">
        <v>0.21</v>
      </c>
      <c r="K94" s="60">
        <v>28.3</v>
      </c>
      <c r="L94" s="60">
        <v>21.71</v>
      </c>
      <c r="M94" s="60">
        <v>57.62</v>
      </c>
      <c r="N94" s="60">
        <v>4.7</v>
      </c>
      <c r="O94" s="60">
        <v>0</v>
      </c>
      <c r="P94" s="60">
        <v>1.75</v>
      </c>
      <c r="Q94" s="60">
        <v>28.79</v>
      </c>
      <c r="R94" s="198"/>
      <c r="S94" s="198"/>
      <c r="T94" s="198"/>
      <c r="U94" s="198"/>
    </row>
    <row r="95" spans="1:26" s="12" customFormat="1" x14ac:dyDescent="0.25">
      <c r="A95" s="201" t="s">
        <v>1008</v>
      </c>
      <c r="B95" s="60">
        <v>47.39</v>
      </c>
      <c r="C95" s="60">
        <v>66.7</v>
      </c>
      <c r="D95" s="60">
        <v>75.55</v>
      </c>
      <c r="E95" s="60">
        <v>7.35</v>
      </c>
      <c r="F95" s="60">
        <v>3.43</v>
      </c>
      <c r="G95" s="60">
        <v>119.84</v>
      </c>
      <c r="H95" s="60">
        <v>28.53</v>
      </c>
      <c r="I95" s="60">
        <v>0.73</v>
      </c>
      <c r="J95" s="60">
        <v>0.24</v>
      </c>
      <c r="K95" s="60">
        <v>54.89</v>
      </c>
      <c r="L95" s="60">
        <v>22.03</v>
      </c>
      <c r="M95" s="60">
        <v>56.14</v>
      </c>
      <c r="N95" s="60">
        <v>4.3</v>
      </c>
      <c r="O95" s="60">
        <v>0</v>
      </c>
      <c r="P95" s="60">
        <v>1.92</v>
      </c>
      <c r="Q95" s="60">
        <v>29.6</v>
      </c>
      <c r="R95" s="198"/>
      <c r="S95" s="198"/>
      <c r="T95" s="198"/>
      <c r="U95" s="198"/>
    </row>
    <row r="96" spans="1:26" s="12" customFormat="1" x14ac:dyDescent="0.25">
      <c r="A96" s="201" t="s">
        <v>1009</v>
      </c>
      <c r="B96" s="60">
        <v>43.66</v>
      </c>
      <c r="C96" s="60">
        <v>63.75</v>
      </c>
      <c r="D96" s="60">
        <v>70.94</v>
      </c>
      <c r="E96" s="60">
        <v>9.69</v>
      </c>
      <c r="F96" s="60">
        <v>3.34</v>
      </c>
      <c r="G96" s="60">
        <v>119.84</v>
      </c>
      <c r="H96" s="60">
        <v>28.53</v>
      </c>
      <c r="I96" s="60">
        <v>0.69</v>
      </c>
      <c r="J96" s="60">
        <v>0.23</v>
      </c>
      <c r="K96" s="60">
        <v>18.82</v>
      </c>
      <c r="L96" s="60">
        <v>22.32</v>
      </c>
      <c r="M96" s="60">
        <v>55.85</v>
      </c>
      <c r="N96" s="60">
        <v>4.5999999999999996</v>
      </c>
      <c r="O96" s="60">
        <v>0</v>
      </c>
      <c r="P96" s="60">
        <v>1.91</v>
      </c>
      <c r="Q96" s="60">
        <v>30.32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1010</v>
      </c>
      <c r="B97" s="60">
        <v>46.16</v>
      </c>
      <c r="C97" s="60">
        <v>56.99</v>
      </c>
      <c r="D97" s="60">
        <v>69.209999999999994</v>
      </c>
      <c r="E97" s="60">
        <v>8.15</v>
      </c>
      <c r="F97" s="60">
        <v>3.21</v>
      </c>
      <c r="G97" s="60">
        <v>119.84</v>
      </c>
      <c r="H97" s="60">
        <v>28.53</v>
      </c>
      <c r="I97" s="60">
        <v>0.7</v>
      </c>
      <c r="J97" s="60">
        <v>0.11</v>
      </c>
      <c r="K97" s="60">
        <v>35.14</v>
      </c>
      <c r="L97" s="60">
        <v>22.37</v>
      </c>
      <c r="M97" s="60">
        <v>56.55</v>
      </c>
      <c r="N97" s="60">
        <v>4.9000000000000004</v>
      </c>
      <c r="O97" s="60">
        <v>0</v>
      </c>
      <c r="P97" s="60">
        <v>1.9</v>
      </c>
      <c r="Q97" s="60">
        <v>31.48</v>
      </c>
      <c r="R97" s="198"/>
      <c r="S97" s="198"/>
      <c r="T97" s="198"/>
      <c r="U97" s="198"/>
    </row>
    <row r="98" spans="1:33" s="12" customFormat="1" x14ac:dyDescent="0.25">
      <c r="A98" s="201" t="s">
        <v>1011</v>
      </c>
      <c r="B98" s="60">
        <v>46.53</v>
      </c>
      <c r="C98" s="60">
        <v>53.73</v>
      </c>
      <c r="D98" s="60">
        <v>67.709999999999994</v>
      </c>
      <c r="E98" s="60">
        <v>4.78</v>
      </c>
      <c r="F98" s="60">
        <v>3.24</v>
      </c>
      <c r="G98" s="60">
        <v>91.9</v>
      </c>
      <c r="H98" s="60">
        <v>39.47</v>
      </c>
      <c r="I98" s="60">
        <v>0.72</v>
      </c>
      <c r="J98" s="60">
        <v>0.45</v>
      </c>
      <c r="K98" s="60">
        <v>23.62</v>
      </c>
      <c r="L98" s="60">
        <v>22.51</v>
      </c>
      <c r="M98" s="60">
        <v>54.54</v>
      </c>
      <c r="N98" s="60">
        <v>4.7</v>
      </c>
      <c r="O98" s="60">
        <v>0</v>
      </c>
      <c r="P98" s="60">
        <v>1.81</v>
      </c>
      <c r="Q98" s="60">
        <v>33.659999999999997</v>
      </c>
      <c r="R98" s="198"/>
      <c r="S98" s="198"/>
      <c r="T98" s="198"/>
      <c r="U98" s="198"/>
    </row>
    <row r="99" spans="1:33" s="12" customFormat="1" x14ac:dyDescent="0.25">
      <c r="A99" s="201" t="s">
        <v>1012</v>
      </c>
      <c r="B99" s="60">
        <v>46.01</v>
      </c>
      <c r="C99" s="60">
        <v>56.5</v>
      </c>
      <c r="D99" s="60">
        <v>68.81</v>
      </c>
      <c r="E99" s="60">
        <v>3.92</v>
      </c>
      <c r="F99" s="60">
        <v>3.19</v>
      </c>
      <c r="G99" s="60">
        <v>76.489999999999995</v>
      </c>
      <c r="H99" s="60">
        <v>41.2</v>
      </c>
      <c r="I99" s="60">
        <v>0.74</v>
      </c>
      <c r="J99" s="60">
        <v>0.1</v>
      </c>
      <c r="K99" s="60">
        <v>24.19</v>
      </c>
      <c r="L99" s="60">
        <v>22.43</v>
      </c>
      <c r="M99" s="60">
        <v>54.33</v>
      </c>
      <c r="N99" s="60">
        <v>5</v>
      </c>
      <c r="O99" s="60">
        <v>0</v>
      </c>
      <c r="P99" s="60">
        <v>1.84</v>
      </c>
      <c r="Q99" s="60">
        <v>34.71</v>
      </c>
      <c r="R99" s="198"/>
      <c r="S99" s="198"/>
      <c r="T99" s="198"/>
      <c r="U99" s="198"/>
    </row>
    <row r="100" spans="1:33" s="12" customFormat="1" x14ac:dyDescent="0.25">
      <c r="A100" s="201" t="s">
        <v>1013</v>
      </c>
      <c r="B100" s="60">
        <v>45.56</v>
      </c>
      <c r="C100" s="60">
        <v>58.79</v>
      </c>
      <c r="D100" s="60">
        <v>69.72</v>
      </c>
      <c r="E100" s="60">
        <v>3.62</v>
      </c>
      <c r="F100" s="60">
        <v>3.31</v>
      </c>
      <c r="G100" s="60">
        <v>76.489999999999995</v>
      </c>
      <c r="H100" s="60">
        <v>41.2</v>
      </c>
      <c r="I100" s="60">
        <v>0.74</v>
      </c>
      <c r="J100" s="60">
        <v>0.1</v>
      </c>
      <c r="K100" s="60">
        <v>157.11000000000001</v>
      </c>
      <c r="L100" s="60">
        <v>22.5</v>
      </c>
      <c r="M100" s="60">
        <v>52.52</v>
      </c>
      <c r="N100" s="60">
        <v>4.9000000000000004</v>
      </c>
      <c r="O100" s="60">
        <v>0</v>
      </c>
      <c r="P100" s="60">
        <v>1.85</v>
      </c>
      <c r="Q100" s="60">
        <v>35.4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1014</v>
      </c>
      <c r="B101" s="60">
        <v>43.9</v>
      </c>
      <c r="C101" s="60">
        <v>59.75</v>
      </c>
      <c r="D101" s="60">
        <v>68.92</v>
      </c>
      <c r="E101" s="60">
        <v>3.43</v>
      </c>
      <c r="F101" s="60">
        <v>3.1</v>
      </c>
      <c r="G101" s="60">
        <v>76.489999999999995</v>
      </c>
      <c r="H101" s="60">
        <v>41.2</v>
      </c>
      <c r="I101" s="60">
        <v>0.75</v>
      </c>
      <c r="J101" s="60">
        <v>0.45</v>
      </c>
      <c r="K101" s="60">
        <v>141.75</v>
      </c>
      <c r="L101" s="60">
        <v>22.92</v>
      </c>
      <c r="M101" s="60">
        <v>50.09</v>
      </c>
      <c r="N101" s="60">
        <v>4.4000000000000004</v>
      </c>
      <c r="O101" s="60">
        <v>0</v>
      </c>
      <c r="P101" s="60">
        <v>1.83</v>
      </c>
      <c r="Q101" s="60">
        <v>35.659999999999997</v>
      </c>
      <c r="R101" s="198"/>
      <c r="S101" s="198"/>
      <c r="T101" s="198"/>
      <c r="U101" s="198"/>
    </row>
    <row r="102" spans="1:33" s="12" customFormat="1" x14ac:dyDescent="0.25">
      <c r="A102" s="201" t="s">
        <v>1015</v>
      </c>
      <c r="B102" s="60">
        <v>41.2</v>
      </c>
      <c r="C102" s="60">
        <v>60.53</v>
      </c>
      <c r="D102" s="60">
        <v>67.180000000000007</v>
      </c>
      <c r="E102" s="60">
        <v>2.69</v>
      </c>
      <c r="F102" s="60">
        <v>2.84</v>
      </c>
      <c r="G102" s="60">
        <v>179.25</v>
      </c>
      <c r="H102" s="60">
        <v>46.63</v>
      </c>
      <c r="I102" s="60">
        <v>0.75</v>
      </c>
      <c r="J102" s="60">
        <v>0.19</v>
      </c>
      <c r="K102" s="60">
        <v>69.28</v>
      </c>
      <c r="L102" s="60">
        <v>23.11</v>
      </c>
      <c r="M102" s="60">
        <v>53.89</v>
      </c>
      <c r="N102" s="60">
        <v>5.2</v>
      </c>
      <c r="O102" s="60">
        <v>0</v>
      </c>
      <c r="P102" s="60">
        <v>1.8</v>
      </c>
      <c r="Q102" s="60">
        <v>35.299999999999997</v>
      </c>
      <c r="R102" s="198"/>
      <c r="S102" s="198"/>
      <c r="T102" s="198"/>
      <c r="U102" s="198"/>
    </row>
    <row r="103" spans="1:33" s="12" customFormat="1" x14ac:dyDescent="0.25">
      <c r="A103" s="201" t="s">
        <v>1016</v>
      </c>
      <c r="B103" s="60">
        <v>41.27</v>
      </c>
      <c r="C103" s="60">
        <v>61.82</v>
      </c>
      <c r="D103" s="60">
        <v>67.959999999999994</v>
      </c>
      <c r="E103" s="60">
        <v>2.63</v>
      </c>
      <c r="F103" s="60">
        <v>2.8</v>
      </c>
      <c r="G103" s="60">
        <v>235.94</v>
      </c>
      <c r="H103" s="60">
        <v>47.48</v>
      </c>
      <c r="I103" s="60">
        <v>0.75</v>
      </c>
      <c r="J103" s="60">
        <v>0.14000000000000001</v>
      </c>
      <c r="K103" s="60">
        <v>18.850000000000001</v>
      </c>
      <c r="L103" s="60">
        <v>22.43</v>
      </c>
      <c r="M103" s="60">
        <v>55.91</v>
      </c>
      <c r="N103" s="60">
        <v>5.4</v>
      </c>
      <c r="O103" s="60">
        <v>0</v>
      </c>
      <c r="P103" s="60">
        <v>1.8</v>
      </c>
      <c r="Q103" s="60">
        <v>35.049999999999997</v>
      </c>
      <c r="R103" s="198"/>
      <c r="S103" s="198"/>
      <c r="T103" s="198"/>
      <c r="U103" s="198"/>
    </row>
    <row r="104" spans="1:33" s="12" customFormat="1" x14ac:dyDescent="0.25">
      <c r="A104" s="201" t="s">
        <v>1017</v>
      </c>
      <c r="B104" s="60">
        <v>38.159999999999997</v>
      </c>
      <c r="C104" s="60">
        <v>66.209999999999994</v>
      </c>
      <c r="D104" s="60">
        <v>67.88</v>
      </c>
      <c r="E104" s="60">
        <v>6.22</v>
      </c>
      <c r="F104" s="60">
        <v>3.03</v>
      </c>
      <c r="G104" s="60">
        <v>235.94</v>
      </c>
      <c r="H104" s="60">
        <v>47.48</v>
      </c>
      <c r="I104" s="60">
        <v>0.75</v>
      </c>
      <c r="J104" s="60">
        <v>0.2</v>
      </c>
      <c r="K104" s="60">
        <v>225.45</v>
      </c>
      <c r="L104" s="60">
        <v>22.45</v>
      </c>
      <c r="M104" s="60">
        <v>53.71</v>
      </c>
      <c r="N104" s="60">
        <v>4.8</v>
      </c>
      <c r="O104" s="60">
        <v>0</v>
      </c>
      <c r="P104" s="60">
        <v>1.75</v>
      </c>
      <c r="Q104" s="60">
        <v>34.93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2.4900000000000002</v>
      </c>
      <c r="C106" s="67">
        <f>MIN(C9:C104)</f>
        <v>33.65</v>
      </c>
      <c r="D106" s="67">
        <f t="shared" ref="D106:Q106" si="0">MIN(D9:D104)</f>
        <v>21.46</v>
      </c>
      <c r="E106" s="67">
        <f t="shared" si="0"/>
        <v>0.2</v>
      </c>
      <c r="F106" s="67">
        <f t="shared" si="0"/>
        <v>2.8</v>
      </c>
      <c r="G106" s="67">
        <f t="shared" si="0"/>
        <v>0.67</v>
      </c>
      <c r="H106" s="67">
        <f t="shared" si="0"/>
        <v>10.82</v>
      </c>
      <c r="I106" s="67">
        <f t="shared" si="0"/>
        <v>0.46</v>
      </c>
      <c r="J106" s="67">
        <f t="shared" si="0"/>
        <v>0.02</v>
      </c>
      <c r="K106" s="67">
        <f t="shared" si="0"/>
        <v>0.75</v>
      </c>
      <c r="L106" s="67">
        <f t="shared" si="0"/>
        <v>20.27</v>
      </c>
      <c r="M106" s="67">
        <f t="shared" si="0"/>
        <v>29.23</v>
      </c>
      <c r="N106" s="67">
        <f t="shared" si="0"/>
        <v>4.3</v>
      </c>
      <c r="O106" s="67">
        <f t="shared" si="0"/>
        <v>0</v>
      </c>
      <c r="P106" s="67">
        <f t="shared" si="0"/>
        <v>0.38</v>
      </c>
      <c r="Q106" s="67">
        <f t="shared" si="0"/>
        <v>15.49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58.45</v>
      </c>
      <c r="C107" s="66">
        <f t="shared" ref="C107:Q107" si="1">MAX(C9:C104)</f>
        <v>82.38</v>
      </c>
      <c r="D107" s="66">
        <f t="shared" si="1"/>
        <v>92.05</v>
      </c>
      <c r="E107" s="66">
        <f t="shared" si="1"/>
        <v>9.69</v>
      </c>
      <c r="F107" s="66">
        <f t="shared" si="1"/>
        <v>21.34</v>
      </c>
      <c r="G107" s="66">
        <f t="shared" si="1"/>
        <v>235.94</v>
      </c>
      <c r="H107" s="66">
        <f t="shared" si="1"/>
        <v>47.48</v>
      </c>
      <c r="I107" s="66">
        <f t="shared" si="1"/>
        <v>0.77</v>
      </c>
      <c r="J107" s="66">
        <f t="shared" si="1"/>
        <v>2.75</v>
      </c>
      <c r="K107" s="66">
        <f t="shared" si="1"/>
        <v>357.76</v>
      </c>
      <c r="L107" s="66">
        <f t="shared" si="1"/>
        <v>31.17</v>
      </c>
      <c r="M107" s="66">
        <f t="shared" si="1"/>
        <v>68.3</v>
      </c>
      <c r="N107" s="66">
        <f t="shared" si="1"/>
        <v>871.8</v>
      </c>
      <c r="O107" s="66">
        <f t="shared" si="1"/>
        <v>0.2</v>
      </c>
      <c r="P107" s="66">
        <f t="shared" si="1"/>
        <v>1.93</v>
      </c>
      <c r="Q107" s="66">
        <f t="shared" si="1"/>
        <v>35.659999999999997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11.684583333333334</v>
      </c>
      <c r="C108" s="67">
        <f t="shared" ref="C108:Q108" si="2">AVERAGE(C9:C104)</f>
        <v>52.067083333333329</v>
      </c>
      <c r="D108" s="67">
        <f t="shared" si="2"/>
        <v>38.845833333333331</v>
      </c>
      <c r="E108" s="67">
        <f t="shared" si="2"/>
        <v>2.3640624999999997</v>
      </c>
      <c r="F108" s="67">
        <f t="shared" si="2"/>
        <v>6.4421874999999993</v>
      </c>
      <c r="G108" s="67">
        <f t="shared" si="2"/>
        <v>59.681428571428569</v>
      </c>
      <c r="H108" s="67">
        <f t="shared" si="2"/>
        <v>21.747959183673466</v>
      </c>
      <c r="I108" s="67">
        <f t="shared" si="2"/>
        <v>0.52937500000000015</v>
      </c>
      <c r="J108" s="67">
        <f t="shared" si="2"/>
        <v>0.82166666666666666</v>
      </c>
      <c r="K108" s="67">
        <f t="shared" si="2"/>
        <v>133.02687500000002</v>
      </c>
      <c r="L108" s="67">
        <f t="shared" si="2"/>
        <v>24.388020833333332</v>
      </c>
      <c r="M108" s="67">
        <f t="shared" si="2"/>
        <v>47.336875000000013</v>
      </c>
      <c r="N108" s="67">
        <f t="shared" si="2"/>
        <v>141.82812500000003</v>
      </c>
      <c r="O108" s="67">
        <f t="shared" si="2"/>
        <v>4.1666666666666666E-3</v>
      </c>
      <c r="P108" s="67">
        <f t="shared" si="2"/>
        <v>0.82927083333333373</v>
      </c>
      <c r="Q108" s="67">
        <f t="shared" si="2"/>
        <v>27.052291666666665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15.068270945873172</v>
      </c>
      <c r="C109" s="67">
        <f t="shared" ref="C109:Q109" si="3">STDEV(C9:C104)</f>
        <v>11.041599418530751</v>
      </c>
      <c r="D109" s="67">
        <f t="shared" si="3"/>
        <v>16.431959659322864</v>
      </c>
      <c r="E109" s="67">
        <f t="shared" si="3"/>
        <v>1.7702825097914983</v>
      </c>
      <c r="F109" s="67">
        <f t="shared" si="3"/>
        <v>3.3297150828403854</v>
      </c>
      <c r="G109" s="67">
        <f t="shared" si="3"/>
        <v>52.650273780548076</v>
      </c>
      <c r="H109" s="67">
        <f t="shared" si="3"/>
        <v>10.660606998742269</v>
      </c>
      <c r="I109" s="67">
        <f t="shared" si="3"/>
        <v>8.4427639525153295E-2</v>
      </c>
      <c r="J109" s="67">
        <f t="shared" si="3"/>
        <v>0.78679451830518488</v>
      </c>
      <c r="K109" s="67">
        <f t="shared" si="3"/>
        <v>135.59306386787983</v>
      </c>
      <c r="L109" s="67">
        <f t="shared" si="3"/>
        <v>3.0101997205262063</v>
      </c>
      <c r="M109" s="67">
        <f t="shared" si="3"/>
        <v>10.922803024913151</v>
      </c>
      <c r="N109" s="67">
        <f t="shared" si="3"/>
        <v>217.68492039890805</v>
      </c>
      <c r="O109" s="67">
        <f t="shared" si="3"/>
        <v>2.8715177232759195E-2</v>
      </c>
      <c r="P109" s="67">
        <f t="shared" si="3"/>
        <v>0.46552120148827458</v>
      </c>
      <c r="Q109" s="67">
        <f t="shared" si="3"/>
        <v>4.7725053509201372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49</v>
      </c>
      <c r="H110" s="66">
        <f>COUNT(H9:H104)</f>
        <v>49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&lt;90%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LESS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1018</v>
      </c>
      <c r="B9" s="60">
        <v>35.590000000000003</v>
      </c>
      <c r="C9" s="60">
        <v>60.33</v>
      </c>
      <c r="D9" s="60">
        <v>62.58</v>
      </c>
      <c r="E9" s="60">
        <v>6.36</v>
      </c>
      <c r="F9" s="60">
        <v>3.35</v>
      </c>
      <c r="G9" s="60">
        <v>235.94</v>
      </c>
      <c r="H9" s="60">
        <v>47.48</v>
      </c>
      <c r="I9" s="60">
        <v>0.75</v>
      </c>
      <c r="J9" s="60">
        <v>0.08</v>
      </c>
      <c r="K9" s="60">
        <v>243.9</v>
      </c>
      <c r="L9" s="60">
        <v>22.79</v>
      </c>
      <c r="M9" s="60">
        <v>55.72</v>
      </c>
      <c r="N9" s="60">
        <v>4.9000000000000004</v>
      </c>
      <c r="O9" s="60">
        <v>0</v>
      </c>
      <c r="P9" s="60">
        <v>1.78</v>
      </c>
      <c r="Q9" s="60">
        <v>34.03</v>
      </c>
      <c r="R9" s="198"/>
      <c r="S9" s="198"/>
      <c r="T9" s="198"/>
      <c r="U9" s="198"/>
    </row>
    <row r="10" spans="1:21" s="12" customFormat="1" x14ac:dyDescent="0.25">
      <c r="A10" s="201" t="s">
        <v>1019</v>
      </c>
      <c r="B10" s="60">
        <v>34.08</v>
      </c>
      <c r="C10" s="60">
        <v>61.07</v>
      </c>
      <c r="D10" s="60">
        <v>61.77</v>
      </c>
      <c r="E10" s="60">
        <v>5.15</v>
      </c>
      <c r="F10" s="60">
        <v>3.33</v>
      </c>
      <c r="G10" s="60">
        <v>198.83</v>
      </c>
      <c r="H10" s="60">
        <v>51.11</v>
      </c>
      <c r="I10" s="60">
        <v>0.74</v>
      </c>
      <c r="J10" s="60">
        <v>0.28999999999999998</v>
      </c>
      <c r="K10" s="60">
        <v>181.89</v>
      </c>
      <c r="L10" s="60">
        <v>22.54</v>
      </c>
      <c r="M10" s="60">
        <v>56.26</v>
      </c>
      <c r="N10" s="60">
        <v>5.0999999999999996</v>
      </c>
      <c r="O10" s="60">
        <v>0</v>
      </c>
      <c r="P10" s="60">
        <v>1.74</v>
      </c>
      <c r="Q10" s="60">
        <v>30.3</v>
      </c>
      <c r="R10" s="198"/>
      <c r="S10" s="198"/>
      <c r="T10" s="198"/>
      <c r="U10" s="198"/>
    </row>
    <row r="11" spans="1:21" s="12" customFormat="1" x14ac:dyDescent="0.25">
      <c r="A11" s="201" t="s">
        <v>1020</v>
      </c>
      <c r="B11" s="60">
        <v>35.39</v>
      </c>
      <c r="C11" s="60">
        <v>58.24</v>
      </c>
      <c r="D11" s="60">
        <v>61.26</v>
      </c>
      <c r="E11" s="60">
        <v>5.04</v>
      </c>
      <c r="F11" s="60">
        <v>3.01</v>
      </c>
      <c r="G11" s="60">
        <v>178.35</v>
      </c>
      <c r="H11" s="60">
        <v>51.75</v>
      </c>
      <c r="I11" s="60">
        <v>0.74</v>
      </c>
      <c r="J11" s="60">
        <v>0.22</v>
      </c>
      <c r="K11" s="60">
        <v>87.04</v>
      </c>
      <c r="L11" s="60">
        <v>22.37</v>
      </c>
      <c r="M11" s="60">
        <v>60.45</v>
      </c>
      <c r="N11" s="60">
        <v>4.9000000000000004</v>
      </c>
      <c r="O11" s="60">
        <v>0</v>
      </c>
      <c r="P11" s="60">
        <v>1.73</v>
      </c>
      <c r="Q11" s="60">
        <v>30.31</v>
      </c>
      <c r="R11" s="198"/>
      <c r="S11" s="198"/>
      <c r="T11" s="198"/>
      <c r="U11" s="198"/>
    </row>
    <row r="12" spans="1:21" s="12" customFormat="1" x14ac:dyDescent="0.25">
      <c r="A12" s="201" t="s">
        <v>1021</v>
      </c>
      <c r="B12" s="60">
        <v>37.47</v>
      </c>
      <c r="C12" s="60">
        <v>54.32</v>
      </c>
      <c r="D12" s="60">
        <v>60.77</v>
      </c>
      <c r="E12" s="60">
        <v>3.88</v>
      </c>
      <c r="F12" s="60">
        <v>2.79</v>
      </c>
      <c r="G12" s="60">
        <v>178.35</v>
      </c>
      <c r="H12" s="60">
        <v>51.75</v>
      </c>
      <c r="I12" s="60">
        <v>0.73</v>
      </c>
      <c r="J12" s="60">
        <v>0.23</v>
      </c>
      <c r="K12" s="60">
        <v>142.78</v>
      </c>
      <c r="L12" s="60">
        <v>21.89</v>
      </c>
      <c r="M12" s="60">
        <v>62.89</v>
      </c>
      <c r="N12" s="60">
        <v>4.8</v>
      </c>
      <c r="O12" s="60">
        <v>0</v>
      </c>
      <c r="P12" s="60">
        <v>1.74</v>
      </c>
      <c r="Q12" s="60">
        <v>30.44</v>
      </c>
      <c r="R12" s="198"/>
      <c r="S12" s="198"/>
      <c r="T12" s="198"/>
      <c r="U12" s="198"/>
    </row>
    <row r="13" spans="1:21" s="12" customFormat="1" x14ac:dyDescent="0.25">
      <c r="A13" s="201" t="s">
        <v>1022</v>
      </c>
      <c r="B13" s="60">
        <v>41.59</v>
      </c>
      <c r="C13" s="60">
        <v>51.52</v>
      </c>
      <c r="D13" s="60">
        <v>62.53</v>
      </c>
      <c r="E13" s="60">
        <v>3.48</v>
      </c>
      <c r="F13" s="60">
        <v>2.99</v>
      </c>
      <c r="G13" s="60">
        <v>178.35</v>
      </c>
      <c r="H13" s="60">
        <v>51.75</v>
      </c>
      <c r="I13" s="60">
        <v>0.74</v>
      </c>
      <c r="J13" s="60">
        <v>0.14000000000000001</v>
      </c>
      <c r="K13" s="60">
        <v>13.49</v>
      </c>
      <c r="L13" s="60">
        <v>21.76</v>
      </c>
      <c r="M13" s="60">
        <v>66.760000000000005</v>
      </c>
      <c r="N13" s="60">
        <v>5.4</v>
      </c>
      <c r="O13" s="60">
        <v>0</v>
      </c>
      <c r="P13" s="60">
        <v>1.6</v>
      </c>
      <c r="Q13" s="60">
        <v>30.42</v>
      </c>
      <c r="R13" s="198"/>
      <c r="S13" s="198"/>
      <c r="T13" s="198"/>
      <c r="U13" s="198"/>
    </row>
    <row r="14" spans="1:21" s="12" customFormat="1" x14ac:dyDescent="0.25">
      <c r="A14" s="201" t="s">
        <v>1023</v>
      </c>
      <c r="B14" s="60">
        <v>38.86</v>
      </c>
      <c r="C14" s="60">
        <v>52.32</v>
      </c>
      <c r="D14" s="60">
        <v>60.78</v>
      </c>
      <c r="E14" s="60">
        <v>3.52</v>
      </c>
      <c r="F14" s="60">
        <v>3.07</v>
      </c>
      <c r="G14" s="60">
        <v>95.87</v>
      </c>
      <c r="H14" s="60">
        <v>50.74</v>
      </c>
      <c r="I14" s="60">
        <v>0.76</v>
      </c>
      <c r="J14" s="60">
        <v>0.09</v>
      </c>
      <c r="K14" s="60">
        <v>129.75</v>
      </c>
      <c r="L14" s="60">
        <v>21.54</v>
      </c>
      <c r="M14" s="60">
        <v>65.25</v>
      </c>
      <c r="N14" s="60">
        <v>4.9000000000000004</v>
      </c>
      <c r="O14" s="60">
        <v>0</v>
      </c>
      <c r="P14" s="60">
        <v>1.66</v>
      </c>
      <c r="Q14" s="60">
        <v>31.27</v>
      </c>
      <c r="R14" s="198"/>
      <c r="S14" s="198"/>
      <c r="T14" s="198"/>
      <c r="U14" s="198"/>
    </row>
    <row r="15" spans="1:21" s="12" customFormat="1" x14ac:dyDescent="0.25">
      <c r="A15" s="201" t="s">
        <v>1024</v>
      </c>
      <c r="B15" s="60">
        <v>39.03</v>
      </c>
      <c r="C15" s="60">
        <v>50.27</v>
      </c>
      <c r="D15" s="60">
        <v>59.79</v>
      </c>
      <c r="E15" s="60">
        <v>3.24</v>
      </c>
      <c r="F15" s="60">
        <v>3.04</v>
      </c>
      <c r="G15" s="60">
        <v>50.36</v>
      </c>
      <c r="H15" s="60">
        <v>50.44</v>
      </c>
      <c r="I15" s="60">
        <v>0.76</v>
      </c>
      <c r="J15" s="60">
        <v>0.26</v>
      </c>
      <c r="K15" s="60">
        <v>70.180000000000007</v>
      </c>
      <c r="L15" s="60">
        <v>21.71</v>
      </c>
      <c r="M15" s="60">
        <v>65.03</v>
      </c>
      <c r="N15" s="60">
        <v>5</v>
      </c>
      <c r="O15" s="60">
        <v>0</v>
      </c>
      <c r="P15" s="60">
        <v>1.65</v>
      </c>
      <c r="Q15" s="60">
        <v>31.81</v>
      </c>
      <c r="R15" s="198"/>
      <c r="S15" s="198"/>
      <c r="T15" s="198"/>
      <c r="U15" s="198"/>
    </row>
    <row r="16" spans="1:21" s="12" customFormat="1" x14ac:dyDescent="0.25">
      <c r="A16" s="201" t="s">
        <v>1025</v>
      </c>
      <c r="B16" s="60">
        <v>40.32</v>
      </c>
      <c r="C16" s="60">
        <v>48.63</v>
      </c>
      <c r="D16" s="60">
        <v>59.91</v>
      </c>
      <c r="E16" s="60">
        <v>2.37</v>
      </c>
      <c r="F16" s="60">
        <v>3.02</v>
      </c>
      <c r="G16" s="60">
        <v>50.36</v>
      </c>
      <c r="H16" s="60">
        <v>50.44</v>
      </c>
      <c r="I16" s="60">
        <v>0.76</v>
      </c>
      <c r="J16" s="60">
        <v>0.05</v>
      </c>
      <c r="K16" s="60">
        <v>21.02</v>
      </c>
      <c r="L16" s="60">
        <v>21.89</v>
      </c>
      <c r="M16" s="60">
        <v>63.11</v>
      </c>
      <c r="N16" s="60">
        <v>4.8</v>
      </c>
      <c r="O16" s="60">
        <v>0</v>
      </c>
      <c r="P16" s="60">
        <v>1.66</v>
      </c>
      <c r="Q16" s="60">
        <v>33.340000000000003</v>
      </c>
      <c r="R16" s="198"/>
      <c r="S16" s="198"/>
      <c r="T16" s="198"/>
      <c r="U16" s="198"/>
    </row>
    <row r="17" spans="1:21" s="12" customFormat="1" x14ac:dyDescent="0.25">
      <c r="A17" s="201" t="s">
        <v>1026</v>
      </c>
      <c r="B17" s="60">
        <v>39.68</v>
      </c>
      <c r="C17" s="60">
        <v>49.21</v>
      </c>
      <c r="D17" s="60">
        <v>59.72</v>
      </c>
      <c r="E17" s="60">
        <v>2.16</v>
      </c>
      <c r="F17" s="60">
        <v>3.06</v>
      </c>
      <c r="G17" s="60">
        <v>50.36</v>
      </c>
      <c r="H17" s="60">
        <v>50.44</v>
      </c>
      <c r="I17" s="60">
        <v>0.79</v>
      </c>
      <c r="J17" s="60">
        <v>0.16</v>
      </c>
      <c r="K17" s="60">
        <v>69.87</v>
      </c>
      <c r="L17" s="60">
        <v>21.95</v>
      </c>
      <c r="M17" s="60">
        <v>61.52</v>
      </c>
      <c r="N17" s="60">
        <v>4.9000000000000004</v>
      </c>
      <c r="O17" s="60">
        <v>0</v>
      </c>
      <c r="P17" s="60">
        <v>1.66</v>
      </c>
      <c r="Q17" s="60">
        <v>34.72</v>
      </c>
      <c r="R17" s="198"/>
      <c r="S17" s="198"/>
      <c r="T17" s="198"/>
      <c r="U17" s="198"/>
    </row>
    <row r="18" spans="1:21" s="12" customFormat="1" x14ac:dyDescent="0.25">
      <c r="A18" s="201" t="s">
        <v>1027</v>
      </c>
      <c r="B18" s="60">
        <v>39.1</v>
      </c>
      <c r="C18" s="60">
        <v>51.17</v>
      </c>
      <c r="D18" s="60">
        <v>60.33</v>
      </c>
      <c r="E18" s="60">
        <v>2.1800000000000002</v>
      </c>
      <c r="F18" s="60">
        <v>3.01</v>
      </c>
      <c r="G18" s="60">
        <v>106.3</v>
      </c>
      <c r="H18" s="60">
        <v>51</v>
      </c>
      <c r="I18" s="60">
        <v>0.8</v>
      </c>
      <c r="J18" s="60">
        <v>0.12</v>
      </c>
      <c r="K18" s="60">
        <v>53.92</v>
      </c>
      <c r="L18" s="60">
        <v>22.19</v>
      </c>
      <c r="M18" s="60">
        <v>58.83</v>
      </c>
      <c r="N18" s="60">
        <v>5.2</v>
      </c>
      <c r="O18" s="60">
        <v>0</v>
      </c>
      <c r="P18" s="60">
        <v>1.71</v>
      </c>
      <c r="Q18" s="60">
        <v>35.159999999999997</v>
      </c>
      <c r="R18" s="198"/>
      <c r="S18" s="198"/>
      <c r="T18" s="198"/>
      <c r="U18" s="198"/>
    </row>
    <row r="19" spans="1:21" s="12" customFormat="1" x14ac:dyDescent="0.25">
      <c r="A19" s="201" t="s">
        <v>1028</v>
      </c>
      <c r="B19" s="60">
        <v>38.56</v>
      </c>
      <c r="C19" s="60">
        <v>51.47</v>
      </c>
      <c r="D19" s="60">
        <v>60.07</v>
      </c>
      <c r="E19" s="60">
        <v>2.04</v>
      </c>
      <c r="F19" s="60">
        <v>2.97</v>
      </c>
      <c r="G19" s="60">
        <v>137.16999999999999</v>
      </c>
      <c r="H19" s="60">
        <v>51.09</v>
      </c>
      <c r="I19" s="60">
        <v>0.79</v>
      </c>
      <c r="J19" s="60">
        <v>0.21</v>
      </c>
      <c r="K19" s="60">
        <v>19.63</v>
      </c>
      <c r="L19" s="60">
        <v>21.86</v>
      </c>
      <c r="M19" s="60">
        <v>63.9</v>
      </c>
      <c r="N19" s="60">
        <v>5.3</v>
      </c>
      <c r="O19" s="60">
        <v>0</v>
      </c>
      <c r="P19" s="60">
        <v>1.73</v>
      </c>
      <c r="Q19" s="60">
        <v>35.68</v>
      </c>
      <c r="R19" s="198"/>
      <c r="S19" s="198"/>
      <c r="T19" s="198"/>
      <c r="U19" s="198"/>
    </row>
    <row r="20" spans="1:21" s="12" customFormat="1" x14ac:dyDescent="0.25">
      <c r="A20" s="201" t="s">
        <v>1029</v>
      </c>
      <c r="B20" s="60">
        <v>37.950000000000003</v>
      </c>
      <c r="C20" s="60">
        <v>51.54</v>
      </c>
      <c r="D20" s="60">
        <v>59.62</v>
      </c>
      <c r="E20" s="60">
        <v>2.04</v>
      </c>
      <c r="F20" s="60">
        <v>3</v>
      </c>
      <c r="G20" s="60">
        <v>137.16999999999999</v>
      </c>
      <c r="H20" s="60">
        <v>51.09</v>
      </c>
      <c r="I20" s="60">
        <v>0.78</v>
      </c>
      <c r="J20" s="60">
        <v>0.57999999999999996</v>
      </c>
      <c r="K20" s="60">
        <v>19.64</v>
      </c>
      <c r="L20" s="60">
        <v>21.58</v>
      </c>
      <c r="M20" s="60">
        <v>63.78</v>
      </c>
      <c r="N20" s="60">
        <v>4.7</v>
      </c>
      <c r="O20" s="60">
        <v>0</v>
      </c>
      <c r="P20" s="60">
        <v>1.74</v>
      </c>
      <c r="Q20" s="60">
        <v>35.799999999999997</v>
      </c>
      <c r="R20" s="198"/>
      <c r="S20" s="198"/>
      <c r="T20" s="198"/>
      <c r="U20" s="198"/>
    </row>
    <row r="21" spans="1:21" s="12" customFormat="1" x14ac:dyDescent="0.25">
      <c r="A21" s="201" t="s">
        <v>1030</v>
      </c>
      <c r="B21" s="60">
        <v>36.799999999999997</v>
      </c>
      <c r="C21" s="60">
        <v>52.47</v>
      </c>
      <c r="D21" s="60">
        <v>59.21</v>
      </c>
      <c r="E21" s="60">
        <v>1.6</v>
      </c>
      <c r="F21" s="60">
        <v>2.98</v>
      </c>
      <c r="G21" s="60">
        <v>137.16999999999999</v>
      </c>
      <c r="H21" s="60">
        <v>51.09</v>
      </c>
      <c r="I21" s="60">
        <v>0.77</v>
      </c>
      <c r="J21" s="60">
        <v>0.49</v>
      </c>
      <c r="K21" s="60">
        <v>23.53</v>
      </c>
      <c r="L21" s="60">
        <v>21.92</v>
      </c>
      <c r="M21" s="60">
        <v>59.66</v>
      </c>
      <c r="N21" s="60">
        <v>4.8</v>
      </c>
      <c r="O21" s="60">
        <v>0</v>
      </c>
      <c r="P21" s="60">
        <v>1.72</v>
      </c>
      <c r="Q21" s="60">
        <v>35.799999999999997</v>
      </c>
      <c r="R21" s="198"/>
      <c r="S21" s="198"/>
      <c r="T21" s="198"/>
      <c r="U21" s="198"/>
    </row>
    <row r="22" spans="1:21" s="12" customFormat="1" x14ac:dyDescent="0.25">
      <c r="A22" s="201" t="s">
        <v>1031</v>
      </c>
      <c r="B22" s="60">
        <v>34.39</v>
      </c>
      <c r="C22" s="60">
        <v>53.28</v>
      </c>
      <c r="D22" s="60">
        <v>57.72</v>
      </c>
      <c r="E22" s="60">
        <v>2.14</v>
      </c>
      <c r="F22" s="60">
        <v>3.24</v>
      </c>
      <c r="G22" s="60">
        <v>174.06</v>
      </c>
      <c r="H22" s="60">
        <v>58.7</v>
      </c>
      <c r="I22" s="60">
        <v>0.76</v>
      </c>
      <c r="J22" s="60">
        <v>1</v>
      </c>
      <c r="K22" s="60">
        <v>21.85</v>
      </c>
      <c r="L22" s="60">
        <v>21.62</v>
      </c>
      <c r="M22" s="60">
        <v>57.97</v>
      </c>
      <c r="N22" s="60">
        <v>4.9000000000000004</v>
      </c>
      <c r="O22" s="60">
        <v>0</v>
      </c>
      <c r="P22" s="60">
        <v>1.7</v>
      </c>
      <c r="Q22" s="60">
        <v>35.53</v>
      </c>
      <c r="R22" s="198"/>
      <c r="S22" s="198"/>
      <c r="T22" s="198"/>
      <c r="U22" s="198"/>
    </row>
    <row r="23" spans="1:21" s="12" customFormat="1" x14ac:dyDescent="0.25">
      <c r="A23" s="201" t="s">
        <v>1032</v>
      </c>
      <c r="B23" s="60">
        <v>27.7</v>
      </c>
      <c r="C23" s="60">
        <v>42.17</v>
      </c>
      <c r="D23" s="60">
        <v>46.23</v>
      </c>
      <c r="E23" s="60">
        <v>5.17</v>
      </c>
      <c r="F23" s="60">
        <v>6.51</v>
      </c>
      <c r="G23" s="60">
        <v>194.41</v>
      </c>
      <c r="H23" s="60">
        <v>60.04</v>
      </c>
      <c r="I23" s="60">
        <v>0.74</v>
      </c>
      <c r="J23" s="60">
        <v>0.26</v>
      </c>
      <c r="K23" s="60">
        <v>80.08</v>
      </c>
      <c r="L23" s="60">
        <v>21.27</v>
      </c>
      <c r="M23" s="60">
        <v>56.72</v>
      </c>
      <c r="N23" s="60">
        <v>5.2</v>
      </c>
      <c r="O23" s="60">
        <v>0</v>
      </c>
      <c r="P23" s="60">
        <v>1.55</v>
      </c>
      <c r="Q23" s="60">
        <v>35.78</v>
      </c>
      <c r="R23" s="198"/>
      <c r="S23" s="198"/>
      <c r="T23" s="198"/>
      <c r="U23" s="198"/>
    </row>
    <row r="24" spans="1:21" s="12" customFormat="1" x14ac:dyDescent="0.25">
      <c r="A24" s="201" t="s">
        <v>1033</v>
      </c>
      <c r="B24" s="60">
        <v>30.04</v>
      </c>
      <c r="C24" s="60">
        <v>48.78</v>
      </c>
      <c r="D24" s="60">
        <v>51.75</v>
      </c>
      <c r="E24" s="60">
        <v>2.65</v>
      </c>
      <c r="F24" s="60">
        <v>4.8899999999999997</v>
      </c>
      <c r="G24" s="60">
        <v>194.41</v>
      </c>
      <c r="H24" s="60">
        <v>60.04</v>
      </c>
      <c r="I24" s="60">
        <v>0.7</v>
      </c>
      <c r="J24" s="60">
        <v>0.25</v>
      </c>
      <c r="K24" s="60">
        <v>42.85</v>
      </c>
      <c r="L24" s="60">
        <v>20.84</v>
      </c>
      <c r="M24" s="60">
        <v>59.52</v>
      </c>
      <c r="N24" s="60">
        <v>5</v>
      </c>
      <c r="O24" s="60">
        <v>0</v>
      </c>
      <c r="P24" s="60">
        <v>1.55</v>
      </c>
      <c r="Q24" s="60">
        <v>30.79</v>
      </c>
      <c r="R24" s="198"/>
      <c r="S24" s="198"/>
      <c r="T24" s="198"/>
      <c r="U24" s="198"/>
    </row>
    <row r="25" spans="1:21" s="12" customFormat="1" x14ac:dyDescent="0.25">
      <c r="A25" s="201" t="s">
        <v>1034</v>
      </c>
      <c r="B25" s="60">
        <v>30.28</v>
      </c>
      <c r="C25" s="60">
        <v>51.15</v>
      </c>
      <c r="D25" s="60">
        <v>53.25</v>
      </c>
      <c r="E25" s="60">
        <v>4.82</v>
      </c>
      <c r="F25" s="60">
        <v>3.62</v>
      </c>
      <c r="G25" s="60">
        <v>194.41</v>
      </c>
      <c r="H25" s="60">
        <v>60.04</v>
      </c>
      <c r="I25" s="60">
        <v>0.67</v>
      </c>
      <c r="J25" s="60">
        <v>0.34</v>
      </c>
      <c r="K25" s="60">
        <v>29.53</v>
      </c>
      <c r="L25" s="60">
        <v>20.71</v>
      </c>
      <c r="M25" s="60">
        <v>61.33</v>
      </c>
      <c r="N25" s="60">
        <v>4.8</v>
      </c>
      <c r="O25" s="60">
        <v>0</v>
      </c>
      <c r="P25" s="60">
        <v>1.55</v>
      </c>
      <c r="Q25" s="60">
        <v>30.1</v>
      </c>
      <c r="R25" s="198"/>
      <c r="S25" s="198"/>
      <c r="T25" s="198"/>
      <c r="U25" s="198"/>
    </row>
    <row r="26" spans="1:21" s="12" customFormat="1" x14ac:dyDescent="0.25">
      <c r="A26" s="201" t="s">
        <v>1035</v>
      </c>
      <c r="B26" s="60">
        <v>30.66</v>
      </c>
      <c r="C26" s="60">
        <v>48.87</v>
      </c>
      <c r="D26" s="60">
        <v>52.29</v>
      </c>
      <c r="E26" s="60">
        <v>3.48</v>
      </c>
      <c r="F26" s="60">
        <v>3.33</v>
      </c>
      <c r="G26" s="60">
        <v>155.13</v>
      </c>
      <c r="H26" s="60">
        <v>56.28</v>
      </c>
      <c r="I26" s="60">
        <v>0.67</v>
      </c>
      <c r="J26" s="60">
        <v>1.08</v>
      </c>
      <c r="K26" s="60">
        <v>28.12</v>
      </c>
      <c r="L26" s="60">
        <v>20.329999999999998</v>
      </c>
      <c r="M26" s="60">
        <v>63.83</v>
      </c>
      <c r="N26" s="60">
        <v>4.0999999999999996</v>
      </c>
      <c r="O26" s="60">
        <v>0</v>
      </c>
      <c r="P26" s="60">
        <v>1.56</v>
      </c>
      <c r="Q26" s="60">
        <v>30.06</v>
      </c>
      <c r="R26" s="198"/>
      <c r="S26" s="198"/>
      <c r="T26" s="198"/>
      <c r="U26" s="198"/>
    </row>
    <row r="27" spans="1:21" s="12" customFormat="1" x14ac:dyDescent="0.25">
      <c r="A27" s="201" t="s">
        <v>1036</v>
      </c>
      <c r="B27" s="60">
        <v>31.76</v>
      </c>
      <c r="C27" s="60">
        <v>49.84</v>
      </c>
      <c r="D27" s="60">
        <v>53.72</v>
      </c>
      <c r="E27" s="60">
        <v>3.68</v>
      </c>
      <c r="F27" s="60">
        <v>3.06</v>
      </c>
      <c r="G27" s="60">
        <v>133.46</v>
      </c>
      <c r="H27" s="60">
        <v>55.62</v>
      </c>
      <c r="I27" s="60">
        <v>0.7</v>
      </c>
      <c r="J27" s="60">
        <v>0.71</v>
      </c>
      <c r="K27" s="60">
        <v>25.34</v>
      </c>
      <c r="L27" s="60">
        <v>20.37</v>
      </c>
      <c r="M27" s="60">
        <v>63.74</v>
      </c>
      <c r="N27" s="60">
        <v>4.7</v>
      </c>
      <c r="O27" s="60">
        <v>0</v>
      </c>
      <c r="P27" s="60">
        <v>1.5</v>
      </c>
      <c r="Q27" s="60">
        <v>30.29</v>
      </c>
      <c r="R27" s="198"/>
      <c r="S27" s="198"/>
      <c r="T27" s="198"/>
      <c r="U27" s="198"/>
    </row>
    <row r="28" spans="1:21" s="12" customFormat="1" x14ac:dyDescent="0.25">
      <c r="A28" s="201" t="s">
        <v>1037</v>
      </c>
      <c r="B28" s="60">
        <v>31</v>
      </c>
      <c r="C28" s="60">
        <v>50.37</v>
      </c>
      <c r="D28" s="60">
        <v>53.4</v>
      </c>
      <c r="E28" s="60">
        <v>5.66</v>
      </c>
      <c r="F28" s="60">
        <v>3.05</v>
      </c>
      <c r="G28" s="60">
        <v>133.46</v>
      </c>
      <c r="H28" s="60">
        <v>55.62</v>
      </c>
      <c r="I28" s="60">
        <v>0.71</v>
      </c>
      <c r="J28" s="60">
        <v>0.65</v>
      </c>
      <c r="K28" s="60">
        <v>24.78</v>
      </c>
      <c r="L28" s="60">
        <v>20.399999999999999</v>
      </c>
      <c r="M28" s="60">
        <v>63.36</v>
      </c>
      <c r="N28" s="60">
        <v>4.7</v>
      </c>
      <c r="O28" s="60">
        <v>0</v>
      </c>
      <c r="P28" s="60">
        <v>1.48</v>
      </c>
      <c r="Q28" s="60">
        <v>30.59</v>
      </c>
      <c r="R28" s="198"/>
      <c r="S28" s="198"/>
      <c r="T28" s="198"/>
      <c r="U28" s="198"/>
    </row>
    <row r="29" spans="1:21" s="12" customFormat="1" x14ac:dyDescent="0.25">
      <c r="A29" s="201" t="s">
        <v>1038</v>
      </c>
      <c r="B29" s="60">
        <v>30.71</v>
      </c>
      <c r="C29" s="60">
        <v>49.73</v>
      </c>
      <c r="D29" s="60">
        <v>52.82</v>
      </c>
      <c r="E29" s="60">
        <v>5.86</v>
      </c>
      <c r="F29" s="60">
        <v>3.29</v>
      </c>
      <c r="G29" s="60">
        <v>133.46</v>
      </c>
      <c r="H29" s="60">
        <v>55.62</v>
      </c>
      <c r="I29" s="60">
        <v>0.67</v>
      </c>
      <c r="J29" s="60">
        <v>0.68</v>
      </c>
      <c r="K29" s="60">
        <v>25.58</v>
      </c>
      <c r="L29" s="60">
        <v>20.47</v>
      </c>
      <c r="M29" s="60">
        <v>61.03</v>
      </c>
      <c r="N29" s="60">
        <v>4.5</v>
      </c>
      <c r="O29" s="60">
        <v>0</v>
      </c>
      <c r="P29" s="60">
        <v>1.43</v>
      </c>
      <c r="Q29" s="60">
        <v>31.04</v>
      </c>
      <c r="R29" s="198"/>
      <c r="S29" s="198"/>
      <c r="T29" s="198"/>
      <c r="U29" s="198"/>
    </row>
    <row r="30" spans="1:21" s="12" customFormat="1" x14ac:dyDescent="0.25">
      <c r="A30" s="201" t="s">
        <v>1039</v>
      </c>
      <c r="B30" s="60">
        <v>30.57</v>
      </c>
      <c r="C30" s="60">
        <v>48.27</v>
      </c>
      <c r="D30" s="60">
        <v>51.89</v>
      </c>
      <c r="E30" s="60">
        <v>4.5</v>
      </c>
      <c r="F30" s="60">
        <v>4.33</v>
      </c>
      <c r="G30" s="60">
        <v>163.54</v>
      </c>
      <c r="H30" s="60">
        <v>56.55</v>
      </c>
      <c r="I30" s="60">
        <v>0.66</v>
      </c>
      <c r="J30" s="60">
        <v>0.19</v>
      </c>
      <c r="K30" s="60">
        <v>29.55</v>
      </c>
      <c r="L30" s="60">
        <v>20.56</v>
      </c>
      <c r="M30" s="60">
        <v>60.34</v>
      </c>
      <c r="N30" s="60">
        <v>5</v>
      </c>
      <c r="O30" s="60">
        <v>0</v>
      </c>
      <c r="P30" s="60">
        <v>1.41</v>
      </c>
      <c r="Q30" s="60">
        <v>32.270000000000003</v>
      </c>
      <c r="R30" s="198"/>
      <c r="S30" s="198"/>
      <c r="T30" s="198"/>
      <c r="U30" s="198"/>
    </row>
    <row r="31" spans="1:21" s="12" customFormat="1" x14ac:dyDescent="0.25">
      <c r="A31" s="201" t="s">
        <v>1040</v>
      </c>
      <c r="B31" s="60">
        <v>30.35</v>
      </c>
      <c r="C31" s="60">
        <v>47.23</v>
      </c>
      <c r="D31" s="60">
        <v>51.14</v>
      </c>
      <c r="E31" s="60">
        <v>3.36</v>
      </c>
      <c r="F31" s="60">
        <v>3.3</v>
      </c>
      <c r="G31" s="60">
        <v>180.14</v>
      </c>
      <c r="H31" s="60">
        <v>56.82</v>
      </c>
      <c r="I31" s="60">
        <v>0.69</v>
      </c>
      <c r="J31" s="60">
        <v>0.98</v>
      </c>
      <c r="K31" s="60">
        <v>124.36</v>
      </c>
      <c r="L31" s="60">
        <v>20.81</v>
      </c>
      <c r="M31" s="60">
        <v>58.42</v>
      </c>
      <c r="N31" s="60">
        <v>7.7</v>
      </c>
      <c r="O31" s="60">
        <v>0</v>
      </c>
      <c r="P31" s="60">
        <v>1.35</v>
      </c>
      <c r="Q31" s="60">
        <v>33.71</v>
      </c>
      <c r="R31" s="198"/>
      <c r="S31" s="198"/>
      <c r="T31" s="198"/>
      <c r="U31" s="198"/>
    </row>
    <row r="32" spans="1:21" s="12" customFormat="1" x14ac:dyDescent="0.25">
      <c r="A32" s="201" t="s">
        <v>1041</v>
      </c>
      <c r="B32" s="60">
        <v>27.48</v>
      </c>
      <c r="C32" s="60">
        <v>49.51</v>
      </c>
      <c r="D32" s="60">
        <v>50.1</v>
      </c>
      <c r="E32" s="60">
        <v>2.86</v>
      </c>
      <c r="F32" s="60">
        <v>3.19</v>
      </c>
      <c r="G32" s="60">
        <v>180.14</v>
      </c>
      <c r="H32" s="60">
        <v>56.82</v>
      </c>
      <c r="I32" s="60">
        <v>0.71</v>
      </c>
      <c r="J32" s="60">
        <v>0.06</v>
      </c>
      <c r="K32" s="60">
        <v>348.99</v>
      </c>
      <c r="L32" s="60">
        <v>20.83</v>
      </c>
      <c r="M32" s="60">
        <v>61.12</v>
      </c>
      <c r="N32" s="60">
        <v>18.8</v>
      </c>
      <c r="O32" s="60">
        <v>0</v>
      </c>
      <c r="P32" s="60">
        <v>1.26</v>
      </c>
      <c r="Q32" s="60">
        <v>34.31</v>
      </c>
      <c r="R32" s="198"/>
      <c r="S32" s="198"/>
      <c r="T32" s="198"/>
      <c r="U32" s="198"/>
    </row>
    <row r="33" spans="1:21" s="12" customFormat="1" x14ac:dyDescent="0.25">
      <c r="A33" s="201" t="s">
        <v>1042</v>
      </c>
      <c r="B33" s="60">
        <v>25.26</v>
      </c>
      <c r="C33" s="60">
        <v>51.35</v>
      </c>
      <c r="D33" s="60">
        <v>49.34</v>
      </c>
      <c r="E33" s="60">
        <v>2.52</v>
      </c>
      <c r="F33" s="60">
        <v>3.15</v>
      </c>
      <c r="G33" s="60">
        <v>180.14</v>
      </c>
      <c r="H33" s="60">
        <v>56.82</v>
      </c>
      <c r="I33" s="60">
        <v>0.69</v>
      </c>
      <c r="J33" s="60">
        <v>0.05</v>
      </c>
      <c r="K33" s="60">
        <v>94.67</v>
      </c>
      <c r="L33" s="60">
        <v>20.97</v>
      </c>
      <c r="M33" s="60">
        <v>60.99</v>
      </c>
      <c r="N33" s="60">
        <v>29</v>
      </c>
      <c r="O33" s="60">
        <v>0</v>
      </c>
      <c r="P33" s="60">
        <v>1.23</v>
      </c>
      <c r="Q33" s="60">
        <v>34.44</v>
      </c>
      <c r="R33" s="198"/>
      <c r="S33" s="198"/>
      <c r="T33" s="198"/>
      <c r="U33" s="198"/>
    </row>
    <row r="34" spans="1:21" s="12" customFormat="1" x14ac:dyDescent="0.25">
      <c r="A34" s="201" t="s">
        <v>1043</v>
      </c>
      <c r="B34" s="60">
        <v>24.74</v>
      </c>
      <c r="C34" s="60">
        <v>52.5</v>
      </c>
      <c r="D34" s="60">
        <v>49.55</v>
      </c>
      <c r="E34" s="60">
        <v>2.5099999999999998</v>
      </c>
      <c r="F34" s="60">
        <v>3.03</v>
      </c>
      <c r="G34" s="60">
        <v>111.6</v>
      </c>
      <c r="H34" s="60">
        <v>44.36</v>
      </c>
      <c r="I34" s="60">
        <v>0.66</v>
      </c>
      <c r="J34" s="60">
        <v>0.6</v>
      </c>
      <c r="K34" s="60">
        <v>187.43</v>
      </c>
      <c r="L34" s="60">
        <v>20.88</v>
      </c>
      <c r="M34" s="60">
        <v>61.66</v>
      </c>
      <c r="N34" s="60">
        <v>46.9</v>
      </c>
      <c r="O34" s="60">
        <v>0</v>
      </c>
      <c r="P34" s="60">
        <v>1.2</v>
      </c>
      <c r="Q34" s="60">
        <v>34.31</v>
      </c>
      <c r="R34" s="198"/>
      <c r="S34" s="198"/>
      <c r="T34" s="198"/>
      <c r="U34" s="198"/>
    </row>
    <row r="35" spans="1:21" s="12" customFormat="1" x14ac:dyDescent="0.25">
      <c r="A35" s="201" t="s">
        <v>1044</v>
      </c>
      <c r="B35" s="60">
        <v>25.6</v>
      </c>
      <c r="C35" s="60">
        <v>53.89</v>
      </c>
      <c r="D35" s="60">
        <v>51.01</v>
      </c>
      <c r="E35" s="60">
        <v>2.41</v>
      </c>
      <c r="F35" s="60">
        <v>2.9</v>
      </c>
      <c r="G35" s="60">
        <v>73.790000000000006</v>
      </c>
      <c r="H35" s="60">
        <v>40.86</v>
      </c>
      <c r="I35" s="60">
        <v>0.63</v>
      </c>
      <c r="J35" s="60">
        <v>0.67</v>
      </c>
      <c r="K35" s="60">
        <v>190.15</v>
      </c>
      <c r="L35" s="60">
        <v>21.41</v>
      </c>
      <c r="M35" s="60">
        <v>58.88</v>
      </c>
      <c r="N35" s="60">
        <v>72.2</v>
      </c>
      <c r="O35" s="60">
        <v>0</v>
      </c>
      <c r="P35" s="60">
        <v>1.17</v>
      </c>
      <c r="Q35" s="60">
        <v>34.32</v>
      </c>
      <c r="R35" s="198"/>
      <c r="S35" s="198"/>
      <c r="T35" s="198"/>
      <c r="U35" s="198"/>
    </row>
    <row r="36" spans="1:21" s="12" customFormat="1" x14ac:dyDescent="0.25">
      <c r="A36" s="201" t="s">
        <v>1045</v>
      </c>
      <c r="B36" s="60">
        <v>26.28</v>
      </c>
      <c r="C36" s="60">
        <v>55.11</v>
      </c>
      <c r="D36" s="60">
        <v>52.23</v>
      </c>
      <c r="E36" s="60">
        <v>2.09</v>
      </c>
      <c r="F36" s="60">
        <v>2.74</v>
      </c>
      <c r="G36" s="60">
        <v>73.790000000000006</v>
      </c>
      <c r="H36" s="60">
        <v>40.86</v>
      </c>
      <c r="I36" s="60">
        <v>0.65</v>
      </c>
      <c r="J36" s="60">
        <v>0.49</v>
      </c>
      <c r="K36" s="60">
        <v>187.69</v>
      </c>
      <c r="L36" s="60">
        <v>21.62</v>
      </c>
      <c r="M36" s="60">
        <v>58.94</v>
      </c>
      <c r="N36" s="60">
        <v>107.7</v>
      </c>
      <c r="O36" s="60">
        <v>0</v>
      </c>
      <c r="P36" s="60">
        <v>1.17</v>
      </c>
      <c r="Q36" s="60">
        <v>34.44</v>
      </c>
      <c r="R36" s="198"/>
      <c r="S36" s="198"/>
      <c r="T36" s="198"/>
      <c r="U36" s="198"/>
    </row>
    <row r="37" spans="1:21" s="12" customFormat="1" x14ac:dyDescent="0.25">
      <c r="A37" s="201" t="s">
        <v>1046</v>
      </c>
      <c r="B37" s="60">
        <v>32.47</v>
      </c>
      <c r="C37" s="60">
        <v>49.6</v>
      </c>
      <c r="D37" s="60">
        <v>54.15</v>
      </c>
      <c r="E37" s="60">
        <v>3.49</v>
      </c>
      <c r="F37" s="60">
        <v>2.93</v>
      </c>
      <c r="G37" s="60">
        <v>73.790000000000006</v>
      </c>
      <c r="H37" s="60">
        <v>40.86</v>
      </c>
      <c r="I37" s="60">
        <v>0.64</v>
      </c>
      <c r="J37" s="60">
        <v>0.28999999999999998</v>
      </c>
      <c r="K37" s="60">
        <v>10.51</v>
      </c>
      <c r="L37" s="60">
        <v>23.01</v>
      </c>
      <c r="M37" s="60">
        <v>57.79</v>
      </c>
      <c r="N37" s="60">
        <v>133.4</v>
      </c>
      <c r="O37" s="60">
        <v>0</v>
      </c>
      <c r="P37" s="60">
        <v>1.21</v>
      </c>
      <c r="Q37" s="60">
        <v>34.08</v>
      </c>
      <c r="R37" s="198"/>
      <c r="S37" s="198"/>
      <c r="T37" s="198"/>
      <c r="U37" s="198"/>
    </row>
    <row r="38" spans="1:21" s="12" customFormat="1" x14ac:dyDescent="0.25">
      <c r="A38" s="201" t="s">
        <v>1047</v>
      </c>
      <c r="B38" s="60">
        <v>30.73</v>
      </c>
      <c r="C38" s="60">
        <v>51.65</v>
      </c>
      <c r="D38" s="60">
        <v>53.89</v>
      </c>
      <c r="E38" s="60">
        <v>8.15</v>
      </c>
      <c r="F38" s="60">
        <v>3.53</v>
      </c>
      <c r="G38" s="60">
        <v>127.79</v>
      </c>
      <c r="H38" s="60">
        <v>50.28</v>
      </c>
      <c r="I38" s="60">
        <v>0.61</v>
      </c>
      <c r="J38" s="60">
        <v>0.23</v>
      </c>
      <c r="K38" s="60">
        <v>167.03</v>
      </c>
      <c r="L38" s="60">
        <v>23.69</v>
      </c>
      <c r="M38" s="60">
        <v>53.92</v>
      </c>
      <c r="N38" s="60">
        <v>182.7</v>
      </c>
      <c r="O38" s="60">
        <v>0</v>
      </c>
      <c r="P38" s="60">
        <v>1.27</v>
      </c>
      <c r="Q38" s="60">
        <v>29.9</v>
      </c>
      <c r="R38" s="198"/>
      <c r="S38" s="198"/>
      <c r="T38" s="198"/>
      <c r="U38" s="198"/>
    </row>
    <row r="39" spans="1:21" s="12" customFormat="1" x14ac:dyDescent="0.25">
      <c r="A39" s="201" t="s">
        <v>1048</v>
      </c>
      <c r="B39" s="60">
        <v>28.02</v>
      </c>
      <c r="C39" s="60">
        <v>56.76</v>
      </c>
      <c r="D39" s="60">
        <v>54.53</v>
      </c>
      <c r="E39" s="60">
        <v>7.96</v>
      </c>
      <c r="F39" s="60">
        <v>4.16</v>
      </c>
      <c r="G39" s="60">
        <v>157.58000000000001</v>
      </c>
      <c r="H39" s="60">
        <v>51.94</v>
      </c>
      <c r="I39" s="60">
        <v>0.57999999999999996</v>
      </c>
      <c r="J39" s="60">
        <v>0.59</v>
      </c>
      <c r="K39" s="60">
        <v>183.15</v>
      </c>
      <c r="L39" s="60">
        <v>23.96</v>
      </c>
      <c r="M39" s="60">
        <v>54.32</v>
      </c>
      <c r="N39" s="60">
        <v>286.3</v>
      </c>
      <c r="O39" s="60">
        <v>0</v>
      </c>
      <c r="P39" s="60">
        <v>1.26</v>
      </c>
      <c r="Q39" s="60">
        <v>29.47</v>
      </c>
      <c r="R39" s="198"/>
      <c r="S39" s="198"/>
      <c r="T39" s="198"/>
      <c r="U39" s="198"/>
    </row>
    <row r="40" spans="1:21" s="12" customFormat="1" x14ac:dyDescent="0.25">
      <c r="A40" s="201" t="s">
        <v>1049</v>
      </c>
      <c r="B40" s="60">
        <v>27.54</v>
      </c>
      <c r="C40" s="60">
        <v>53.32</v>
      </c>
      <c r="D40" s="60">
        <v>52.25</v>
      </c>
      <c r="E40" s="60">
        <v>7.25</v>
      </c>
      <c r="F40" s="60">
        <v>5.33</v>
      </c>
      <c r="G40" s="60">
        <v>157.58000000000001</v>
      </c>
      <c r="H40" s="60">
        <v>51.94</v>
      </c>
      <c r="I40" s="60">
        <v>0.6</v>
      </c>
      <c r="J40" s="60">
        <v>0.41</v>
      </c>
      <c r="K40" s="60">
        <v>199.24</v>
      </c>
      <c r="L40" s="60">
        <v>24.83</v>
      </c>
      <c r="M40" s="60">
        <v>50.29</v>
      </c>
      <c r="N40" s="60">
        <v>401.7</v>
      </c>
      <c r="O40" s="60">
        <v>0</v>
      </c>
      <c r="P40" s="60">
        <v>1.28</v>
      </c>
      <c r="Q40" s="60">
        <v>29.68</v>
      </c>
      <c r="R40" s="198"/>
      <c r="S40" s="198"/>
      <c r="T40" s="198"/>
      <c r="U40" s="198"/>
    </row>
    <row r="41" spans="1:21" s="12" customFormat="1" x14ac:dyDescent="0.25">
      <c r="A41" s="201" t="s">
        <v>1050</v>
      </c>
      <c r="B41" s="60">
        <v>31.2</v>
      </c>
      <c r="C41" s="60">
        <v>52.7</v>
      </c>
      <c r="D41" s="60">
        <v>54.84</v>
      </c>
      <c r="E41" s="60">
        <v>8.0299999999999994</v>
      </c>
      <c r="F41" s="60">
        <v>5.67</v>
      </c>
      <c r="G41" s="60">
        <v>157.58000000000001</v>
      </c>
      <c r="H41" s="60">
        <v>51.94</v>
      </c>
      <c r="I41" s="60">
        <v>0.61</v>
      </c>
      <c r="J41" s="60">
        <v>0.6</v>
      </c>
      <c r="K41" s="60">
        <v>18.82</v>
      </c>
      <c r="L41" s="60">
        <v>27.77</v>
      </c>
      <c r="M41" s="60">
        <v>43.08</v>
      </c>
      <c r="N41" s="60">
        <v>260.7</v>
      </c>
      <c r="O41" s="60">
        <v>0</v>
      </c>
      <c r="P41" s="60">
        <v>1.3</v>
      </c>
      <c r="Q41" s="60">
        <v>29</v>
      </c>
      <c r="R41" s="198"/>
      <c r="S41" s="198"/>
      <c r="T41" s="198"/>
      <c r="U41" s="198"/>
    </row>
    <row r="42" spans="1:21" s="12" customFormat="1" x14ac:dyDescent="0.25">
      <c r="A42" s="201" t="s">
        <v>1051</v>
      </c>
      <c r="B42" s="60">
        <v>28.57</v>
      </c>
      <c r="C42" s="60">
        <v>57.07</v>
      </c>
      <c r="D42" s="60">
        <v>55.15</v>
      </c>
      <c r="E42" s="60">
        <v>9.35</v>
      </c>
      <c r="F42" s="60">
        <v>7.13</v>
      </c>
      <c r="G42" s="60">
        <v>145.44999999999999</v>
      </c>
      <c r="H42" s="60">
        <v>54.34</v>
      </c>
      <c r="I42" s="60">
        <v>0.61</v>
      </c>
      <c r="J42" s="60">
        <v>0.65</v>
      </c>
      <c r="K42" s="60">
        <v>9.6300000000000008</v>
      </c>
      <c r="L42" s="60">
        <v>29.15</v>
      </c>
      <c r="M42" s="60">
        <v>38.47</v>
      </c>
      <c r="N42" s="60">
        <v>427.3</v>
      </c>
      <c r="O42" s="60">
        <v>0</v>
      </c>
      <c r="P42" s="60">
        <v>1.31</v>
      </c>
      <c r="Q42" s="60">
        <v>29.69</v>
      </c>
      <c r="R42" s="198"/>
      <c r="S42" s="198"/>
      <c r="T42" s="198"/>
      <c r="U42" s="198"/>
    </row>
    <row r="43" spans="1:21" s="12" customFormat="1" x14ac:dyDescent="0.25">
      <c r="A43" s="201" t="s">
        <v>1052</v>
      </c>
      <c r="B43" s="60">
        <v>27.77</v>
      </c>
      <c r="C43" s="60">
        <v>57.11</v>
      </c>
      <c r="D43" s="60">
        <v>54.53</v>
      </c>
      <c r="E43" s="60">
        <v>9.1199999999999992</v>
      </c>
      <c r="F43" s="60">
        <v>6.97</v>
      </c>
      <c r="G43" s="60">
        <v>138.43</v>
      </c>
      <c r="H43" s="60">
        <v>54.76</v>
      </c>
      <c r="I43" s="60">
        <v>0.62</v>
      </c>
      <c r="J43" s="60">
        <v>0.68</v>
      </c>
      <c r="K43" s="60">
        <v>14.89</v>
      </c>
      <c r="L43" s="60">
        <v>30.98</v>
      </c>
      <c r="M43" s="60">
        <v>34.479999999999997</v>
      </c>
      <c r="N43" s="60">
        <v>492.2</v>
      </c>
      <c r="O43" s="60">
        <v>0</v>
      </c>
      <c r="P43" s="60">
        <v>1.29</v>
      </c>
      <c r="Q43" s="60">
        <v>29.53</v>
      </c>
      <c r="R43" s="198"/>
      <c r="S43" s="198"/>
      <c r="T43" s="198"/>
      <c r="U43" s="198"/>
    </row>
    <row r="44" spans="1:21" s="12" customFormat="1" x14ac:dyDescent="0.25">
      <c r="A44" s="201" t="s">
        <v>1053</v>
      </c>
      <c r="B44" s="60">
        <v>26.15</v>
      </c>
      <c r="C44" s="60">
        <v>60.32</v>
      </c>
      <c r="D44" s="60">
        <v>55</v>
      </c>
      <c r="E44" s="60">
        <v>16.82</v>
      </c>
      <c r="F44" s="60">
        <v>8.3000000000000007</v>
      </c>
      <c r="G44" s="60">
        <v>138.43</v>
      </c>
      <c r="H44" s="60">
        <v>54.76</v>
      </c>
      <c r="I44" s="60">
        <v>0.61</v>
      </c>
      <c r="J44" s="60">
        <v>0.33</v>
      </c>
      <c r="K44" s="60">
        <v>26.03</v>
      </c>
      <c r="L44" s="60">
        <v>31.6</v>
      </c>
      <c r="M44" s="60">
        <v>31.26</v>
      </c>
      <c r="N44" s="60">
        <v>537.70000000000005</v>
      </c>
      <c r="O44" s="60">
        <v>0</v>
      </c>
      <c r="P44" s="60">
        <v>1.27</v>
      </c>
      <c r="Q44" s="60">
        <v>30.31</v>
      </c>
      <c r="R44" s="198"/>
      <c r="S44" s="198"/>
      <c r="T44" s="198"/>
      <c r="U44" s="198"/>
    </row>
    <row r="45" spans="1:21" s="12" customFormat="1" x14ac:dyDescent="0.25">
      <c r="A45" s="201" t="s">
        <v>1054</v>
      </c>
      <c r="B45" s="60">
        <v>24.77</v>
      </c>
      <c r="C45" s="60">
        <v>57.43</v>
      </c>
      <c r="D45" s="60">
        <v>52.3</v>
      </c>
      <c r="E45" s="60">
        <v>6.05</v>
      </c>
      <c r="F45" s="60">
        <v>4.2</v>
      </c>
      <c r="G45" s="60">
        <v>138.43</v>
      </c>
      <c r="H45" s="60">
        <v>54.76</v>
      </c>
      <c r="I45" s="60">
        <v>0.61</v>
      </c>
      <c r="J45" s="60">
        <v>0.22</v>
      </c>
      <c r="K45" s="60">
        <v>87.84</v>
      </c>
      <c r="L45" s="60">
        <v>29.89</v>
      </c>
      <c r="M45" s="60">
        <v>34.520000000000003</v>
      </c>
      <c r="N45" s="60">
        <v>593.20000000000005</v>
      </c>
      <c r="O45" s="60">
        <v>0</v>
      </c>
      <c r="P45" s="60">
        <v>1.26</v>
      </c>
      <c r="Q45" s="60">
        <v>32.54</v>
      </c>
      <c r="R45" s="198"/>
      <c r="S45" s="198"/>
      <c r="T45" s="198"/>
      <c r="U45" s="198"/>
    </row>
    <row r="46" spans="1:21" s="12" customFormat="1" x14ac:dyDescent="0.25">
      <c r="A46" s="201" t="s">
        <v>1055</v>
      </c>
      <c r="B46" s="60">
        <v>21.38</v>
      </c>
      <c r="C46" s="60">
        <v>63.52</v>
      </c>
      <c r="D46" s="60">
        <v>52.94</v>
      </c>
      <c r="E46" s="60">
        <v>5.65</v>
      </c>
      <c r="F46" s="60">
        <v>4.91</v>
      </c>
      <c r="G46" s="60">
        <v>122.44</v>
      </c>
      <c r="H46" s="60">
        <v>52.83</v>
      </c>
      <c r="I46" s="60">
        <v>0.61</v>
      </c>
      <c r="J46" s="60">
        <v>0.33</v>
      </c>
      <c r="K46" s="60">
        <v>24.96</v>
      </c>
      <c r="L46" s="60">
        <v>32.06</v>
      </c>
      <c r="M46" s="60">
        <v>30.77</v>
      </c>
      <c r="N46" s="60">
        <v>647.29999999999995</v>
      </c>
      <c r="O46" s="60">
        <v>0</v>
      </c>
      <c r="P46" s="60">
        <v>1.22</v>
      </c>
      <c r="Q46" s="60">
        <v>33.619999999999997</v>
      </c>
      <c r="R46" s="198"/>
      <c r="S46" s="198"/>
      <c r="T46" s="198"/>
      <c r="U46" s="198"/>
    </row>
    <row r="47" spans="1:21" s="12" customFormat="1" x14ac:dyDescent="0.25">
      <c r="A47" s="201" t="s">
        <v>1056</v>
      </c>
      <c r="B47" s="60">
        <v>17.73</v>
      </c>
      <c r="C47" s="60">
        <v>67.67</v>
      </c>
      <c r="D47" s="60">
        <v>52.3</v>
      </c>
      <c r="E47" s="60">
        <v>5.16</v>
      </c>
      <c r="F47" s="60">
        <v>6.05</v>
      </c>
      <c r="G47" s="60">
        <v>113.61</v>
      </c>
      <c r="H47" s="60">
        <v>52.26</v>
      </c>
      <c r="I47" s="60">
        <v>0.61</v>
      </c>
      <c r="J47" s="60">
        <v>0.57999999999999996</v>
      </c>
      <c r="K47" s="60">
        <v>20.34</v>
      </c>
      <c r="L47" s="60">
        <v>33.17</v>
      </c>
      <c r="M47" s="60">
        <v>27.75</v>
      </c>
      <c r="N47" s="60">
        <v>676.8</v>
      </c>
      <c r="O47" s="60">
        <v>0</v>
      </c>
      <c r="P47" s="60">
        <v>1.2</v>
      </c>
      <c r="Q47" s="60">
        <v>34.06</v>
      </c>
      <c r="R47" s="198"/>
      <c r="S47" s="198"/>
      <c r="T47" s="198"/>
      <c r="U47" s="198"/>
    </row>
    <row r="48" spans="1:21" s="12" customFormat="1" x14ac:dyDescent="0.25">
      <c r="A48" s="201" t="s">
        <v>1057</v>
      </c>
      <c r="B48" s="60">
        <v>14.26</v>
      </c>
      <c r="C48" s="60">
        <v>70.81</v>
      </c>
      <c r="D48" s="60">
        <v>51.26</v>
      </c>
      <c r="E48" s="60">
        <v>4.0999999999999996</v>
      </c>
      <c r="F48" s="60">
        <v>4.97</v>
      </c>
      <c r="G48" s="60">
        <v>113.61</v>
      </c>
      <c r="H48" s="60">
        <v>52.26</v>
      </c>
      <c r="I48" s="60">
        <v>0.6</v>
      </c>
      <c r="J48" s="60">
        <v>0.46</v>
      </c>
      <c r="K48" s="60">
        <v>26.38</v>
      </c>
      <c r="L48" s="60">
        <v>34.31</v>
      </c>
      <c r="M48" s="60">
        <v>26.23</v>
      </c>
      <c r="N48" s="60">
        <v>733.8</v>
      </c>
      <c r="O48" s="60">
        <v>0</v>
      </c>
      <c r="P48" s="60">
        <v>1.18</v>
      </c>
      <c r="Q48" s="60">
        <v>33.93</v>
      </c>
      <c r="R48" s="198"/>
      <c r="S48" s="198"/>
      <c r="T48" s="198"/>
      <c r="U48" s="198"/>
    </row>
    <row r="49" spans="1:21" s="12" customFormat="1" x14ac:dyDescent="0.25">
      <c r="A49" s="201" t="s">
        <v>1058</v>
      </c>
      <c r="B49" s="60">
        <v>10.44</v>
      </c>
      <c r="C49" s="60">
        <v>72.900000000000006</v>
      </c>
      <c r="D49" s="60">
        <v>49.35</v>
      </c>
      <c r="E49" s="60">
        <v>3.13</v>
      </c>
      <c r="F49" s="60">
        <v>5.41</v>
      </c>
      <c r="G49" s="60">
        <v>113.61</v>
      </c>
      <c r="H49" s="60">
        <v>52.26</v>
      </c>
      <c r="I49" s="60">
        <v>0.59</v>
      </c>
      <c r="J49" s="60">
        <v>7.0000000000000007E-2</v>
      </c>
      <c r="K49" s="60">
        <v>43.03</v>
      </c>
      <c r="L49" s="60">
        <v>33.130000000000003</v>
      </c>
      <c r="M49" s="60">
        <v>27.8</v>
      </c>
      <c r="N49" s="60">
        <v>762.4</v>
      </c>
      <c r="O49" s="60">
        <v>0</v>
      </c>
      <c r="P49" s="60">
        <v>1.1399999999999999</v>
      </c>
      <c r="Q49" s="60">
        <v>33.020000000000003</v>
      </c>
      <c r="R49" s="198"/>
      <c r="S49" s="198"/>
      <c r="T49" s="198"/>
      <c r="U49" s="198"/>
    </row>
    <row r="50" spans="1:21" s="12" customFormat="1" x14ac:dyDescent="0.25">
      <c r="A50" s="201" t="s">
        <v>1059</v>
      </c>
      <c r="B50" s="60">
        <v>6.74</v>
      </c>
      <c r="C50" s="60">
        <v>72.37</v>
      </c>
      <c r="D50" s="60">
        <v>46.09</v>
      </c>
      <c r="E50" s="60">
        <v>3.41</v>
      </c>
      <c r="F50" s="60">
        <v>8.23</v>
      </c>
      <c r="G50" s="60">
        <v>82.4</v>
      </c>
      <c r="H50" s="60">
        <v>45.79</v>
      </c>
      <c r="I50" s="60">
        <v>0.57999999999999996</v>
      </c>
      <c r="J50" s="60">
        <v>0.27</v>
      </c>
      <c r="K50" s="60">
        <v>88.5</v>
      </c>
      <c r="L50" s="60">
        <v>32.47</v>
      </c>
      <c r="M50" s="60">
        <v>28.94</v>
      </c>
      <c r="N50" s="60">
        <v>791.5</v>
      </c>
      <c r="O50" s="60">
        <v>0</v>
      </c>
      <c r="P50" s="60">
        <v>1.08</v>
      </c>
      <c r="Q50" s="60">
        <v>32.26</v>
      </c>
      <c r="R50" s="198"/>
      <c r="S50" s="198"/>
      <c r="T50" s="198"/>
      <c r="U50" s="198"/>
    </row>
    <row r="51" spans="1:21" s="12" customFormat="1" x14ac:dyDescent="0.25">
      <c r="A51" s="201" t="s">
        <v>1060</v>
      </c>
      <c r="B51" s="60">
        <v>4.29</v>
      </c>
      <c r="C51" s="60">
        <v>65.650000000000006</v>
      </c>
      <c r="D51" s="60">
        <v>40.409999999999997</v>
      </c>
      <c r="E51" s="60">
        <v>4.4400000000000004</v>
      </c>
      <c r="F51" s="60">
        <v>14.26</v>
      </c>
      <c r="G51" s="60">
        <v>65.180000000000007</v>
      </c>
      <c r="H51" s="60">
        <v>44.66</v>
      </c>
      <c r="I51" s="60">
        <v>0.57999999999999996</v>
      </c>
      <c r="J51" s="60">
        <v>1.1000000000000001</v>
      </c>
      <c r="K51" s="60">
        <v>175.62</v>
      </c>
      <c r="L51" s="60">
        <v>31.32</v>
      </c>
      <c r="M51" s="60">
        <v>30.62</v>
      </c>
      <c r="N51" s="60">
        <v>836.5</v>
      </c>
      <c r="O51" s="60">
        <v>0</v>
      </c>
      <c r="P51" s="60">
        <v>1.01</v>
      </c>
      <c r="Q51" s="60">
        <v>31.54</v>
      </c>
      <c r="R51" s="198"/>
      <c r="S51" s="198"/>
      <c r="T51" s="198"/>
      <c r="U51" s="198"/>
    </row>
    <row r="52" spans="1:21" s="12" customFormat="1" x14ac:dyDescent="0.25">
      <c r="A52" s="201" t="s">
        <v>1061</v>
      </c>
      <c r="B52" s="60">
        <v>3.66</v>
      </c>
      <c r="C52" s="60">
        <v>61.83</v>
      </c>
      <c r="D52" s="60">
        <v>37.799999999999997</v>
      </c>
      <c r="E52" s="60">
        <v>5.43</v>
      </c>
      <c r="F52" s="60">
        <v>10.01</v>
      </c>
      <c r="G52" s="60">
        <v>65.180000000000007</v>
      </c>
      <c r="H52" s="60">
        <v>44.66</v>
      </c>
      <c r="I52" s="60">
        <v>0.56999999999999995</v>
      </c>
      <c r="J52" s="60">
        <v>0.36</v>
      </c>
      <c r="K52" s="60">
        <v>208.65</v>
      </c>
      <c r="L52" s="60">
        <v>31.39</v>
      </c>
      <c r="M52" s="60">
        <v>30.6</v>
      </c>
      <c r="N52" s="60">
        <v>863.9</v>
      </c>
      <c r="O52" s="60">
        <v>0</v>
      </c>
      <c r="P52" s="60">
        <v>0.99</v>
      </c>
      <c r="Q52" s="60">
        <v>30.55</v>
      </c>
      <c r="R52" s="198"/>
      <c r="S52" s="198"/>
      <c r="T52" s="198"/>
      <c r="U52" s="198"/>
    </row>
    <row r="53" spans="1:21" s="12" customFormat="1" x14ac:dyDescent="0.25">
      <c r="A53" s="201" t="s">
        <v>1062</v>
      </c>
      <c r="B53" s="60">
        <v>3.55</v>
      </c>
      <c r="C53" s="60">
        <v>60.81</v>
      </c>
      <c r="D53" s="60">
        <v>37.15</v>
      </c>
      <c r="E53" s="60">
        <v>4.34</v>
      </c>
      <c r="F53" s="60">
        <v>12.83</v>
      </c>
      <c r="G53" s="60">
        <v>65.180000000000007</v>
      </c>
      <c r="H53" s="60">
        <v>44.66</v>
      </c>
      <c r="I53" s="60">
        <v>0.56000000000000005</v>
      </c>
      <c r="J53" s="60">
        <v>1.22</v>
      </c>
      <c r="K53" s="60">
        <v>198.33</v>
      </c>
      <c r="L53" s="60">
        <v>31.5</v>
      </c>
      <c r="M53" s="60">
        <v>29.29</v>
      </c>
      <c r="N53" s="60">
        <v>896.3</v>
      </c>
      <c r="O53" s="60">
        <v>0</v>
      </c>
      <c r="P53" s="60">
        <v>0.95</v>
      </c>
      <c r="Q53" s="60">
        <v>29.29</v>
      </c>
      <c r="R53" s="198"/>
      <c r="S53" s="198"/>
      <c r="T53" s="198"/>
      <c r="U53" s="198"/>
    </row>
    <row r="54" spans="1:21" s="12" customFormat="1" x14ac:dyDescent="0.25">
      <c r="A54" s="201" t="s">
        <v>1063</v>
      </c>
      <c r="B54" s="60">
        <v>3.34</v>
      </c>
      <c r="C54" s="60">
        <v>56.9</v>
      </c>
      <c r="D54" s="60">
        <v>34.82</v>
      </c>
      <c r="E54" s="60">
        <v>3.71</v>
      </c>
      <c r="F54" s="60">
        <v>11.35</v>
      </c>
      <c r="G54" s="60">
        <v>63.52</v>
      </c>
      <c r="H54" s="60">
        <v>37.32</v>
      </c>
      <c r="I54" s="60">
        <v>0.56000000000000005</v>
      </c>
      <c r="J54" s="60">
        <v>0.24</v>
      </c>
      <c r="K54" s="60">
        <v>255.22</v>
      </c>
      <c r="L54" s="60">
        <v>31.36</v>
      </c>
      <c r="M54" s="60">
        <v>28</v>
      </c>
      <c r="N54" s="60">
        <v>904</v>
      </c>
      <c r="O54" s="60">
        <v>0</v>
      </c>
      <c r="P54" s="60">
        <v>0.91</v>
      </c>
      <c r="Q54" s="60">
        <v>28.46</v>
      </c>
      <c r="R54" s="198"/>
      <c r="S54" s="198"/>
      <c r="T54" s="198"/>
      <c r="U54" s="198"/>
    </row>
    <row r="55" spans="1:21" s="12" customFormat="1" x14ac:dyDescent="0.25">
      <c r="A55" s="201" t="s">
        <v>1064</v>
      </c>
      <c r="B55" s="60">
        <v>3.04</v>
      </c>
      <c r="C55" s="60">
        <v>55.64</v>
      </c>
      <c r="D55" s="60">
        <v>33.89</v>
      </c>
      <c r="E55" s="60">
        <v>2.78</v>
      </c>
      <c r="F55" s="60">
        <v>9.89</v>
      </c>
      <c r="G55" s="60">
        <v>62.61</v>
      </c>
      <c r="H55" s="60">
        <v>36.03</v>
      </c>
      <c r="I55" s="60">
        <v>0.56999999999999995</v>
      </c>
      <c r="J55" s="60">
        <v>0.81</v>
      </c>
      <c r="K55" s="60">
        <v>208.68</v>
      </c>
      <c r="L55" s="60">
        <v>31.68</v>
      </c>
      <c r="M55" s="60">
        <v>28.14</v>
      </c>
      <c r="N55" s="60">
        <v>914.5</v>
      </c>
      <c r="O55" s="60">
        <v>0</v>
      </c>
      <c r="P55" s="60">
        <v>0.85</v>
      </c>
      <c r="Q55" s="60">
        <v>27.46</v>
      </c>
      <c r="R55" s="198"/>
      <c r="S55" s="198"/>
      <c r="T55" s="198"/>
      <c r="U55" s="198"/>
    </row>
    <row r="56" spans="1:21" s="12" customFormat="1" x14ac:dyDescent="0.25">
      <c r="A56" s="201" t="s">
        <v>1065</v>
      </c>
      <c r="B56" s="60">
        <v>2.72</v>
      </c>
      <c r="C56" s="60">
        <v>52.29</v>
      </c>
      <c r="D56" s="60">
        <v>31.78</v>
      </c>
      <c r="E56" s="60">
        <v>2.78</v>
      </c>
      <c r="F56" s="60">
        <v>11.81</v>
      </c>
      <c r="G56" s="60">
        <v>62.61</v>
      </c>
      <c r="H56" s="60">
        <v>36.03</v>
      </c>
      <c r="I56" s="60">
        <v>0.57999999999999996</v>
      </c>
      <c r="J56" s="60">
        <v>1.04</v>
      </c>
      <c r="K56" s="60">
        <v>210.58</v>
      </c>
      <c r="L56" s="60">
        <v>31.4</v>
      </c>
      <c r="M56" s="60">
        <v>29.71</v>
      </c>
      <c r="N56" s="60">
        <v>908.5</v>
      </c>
      <c r="O56" s="60">
        <v>0</v>
      </c>
      <c r="P56" s="60">
        <v>0.8</v>
      </c>
      <c r="Q56" s="60">
        <v>26.05</v>
      </c>
      <c r="R56" s="198"/>
      <c r="S56" s="198"/>
      <c r="T56" s="198"/>
      <c r="U56" s="198"/>
    </row>
    <row r="57" spans="1:21" s="12" customFormat="1" x14ac:dyDescent="0.25">
      <c r="A57" s="201" t="s">
        <v>1066</v>
      </c>
      <c r="B57" s="60">
        <v>2.66</v>
      </c>
      <c r="C57" s="60">
        <v>50.65</v>
      </c>
      <c r="D57" s="60">
        <v>30.83</v>
      </c>
      <c r="E57" s="60">
        <v>3.48</v>
      </c>
      <c r="F57" s="60">
        <v>12.68</v>
      </c>
      <c r="G57" s="60">
        <v>62.61</v>
      </c>
      <c r="H57" s="60">
        <v>36.03</v>
      </c>
      <c r="I57" s="60">
        <v>0.59</v>
      </c>
      <c r="J57" s="60">
        <v>0.62</v>
      </c>
      <c r="K57" s="60">
        <v>246.46</v>
      </c>
      <c r="L57" s="60">
        <v>31.87</v>
      </c>
      <c r="M57" s="60">
        <v>29.31</v>
      </c>
      <c r="N57" s="60">
        <v>899.3</v>
      </c>
      <c r="O57" s="60">
        <v>0</v>
      </c>
      <c r="P57" s="60">
        <v>0.76</v>
      </c>
      <c r="Q57" s="60">
        <v>26</v>
      </c>
      <c r="R57" s="198"/>
      <c r="S57" s="198"/>
      <c r="T57" s="198"/>
      <c r="U57" s="198"/>
    </row>
    <row r="58" spans="1:21" s="12" customFormat="1" x14ac:dyDescent="0.25">
      <c r="A58" s="201" t="s">
        <v>1067</v>
      </c>
      <c r="B58" s="60">
        <v>2.65</v>
      </c>
      <c r="C58" s="60">
        <v>48.37</v>
      </c>
      <c r="D58" s="60">
        <v>29.56</v>
      </c>
      <c r="E58" s="60">
        <v>3.37</v>
      </c>
      <c r="F58" s="60">
        <v>12.56</v>
      </c>
      <c r="G58" s="60">
        <v>48.06</v>
      </c>
      <c r="H58" s="60">
        <v>31.25</v>
      </c>
      <c r="I58" s="60">
        <v>0.55000000000000004</v>
      </c>
      <c r="J58" s="60">
        <v>1.08</v>
      </c>
      <c r="K58" s="60">
        <v>206.86</v>
      </c>
      <c r="L58" s="60">
        <v>31.99</v>
      </c>
      <c r="M58" s="60">
        <v>27.37</v>
      </c>
      <c r="N58" s="60">
        <v>910.2</v>
      </c>
      <c r="O58" s="60">
        <v>0</v>
      </c>
      <c r="P58" s="60">
        <v>0.71</v>
      </c>
      <c r="Q58" s="60">
        <v>26.24</v>
      </c>
      <c r="R58" s="198"/>
      <c r="S58" s="198"/>
      <c r="T58" s="198"/>
      <c r="U58" s="198"/>
    </row>
    <row r="59" spans="1:21" s="12" customFormat="1" x14ac:dyDescent="0.25">
      <c r="A59" s="201" t="s">
        <v>1068</v>
      </c>
      <c r="B59" s="60">
        <v>2.54</v>
      </c>
      <c r="C59" s="60">
        <v>47.38</v>
      </c>
      <c r="D59" s="60">
        <v>28.93</v>
      </c>
      <c r="E59" s="60">
        <v>2.62</v>
      </c>
      <c r="F59" s="60">
        <v>10.27</v>
      </c>
      <c r="G59" s="60">
        <v>40.03</v>
      </c>
      <c r="H59" s="60">
        <v>30.41</v>
      </c>
      <c r="I59" s="60">
        <v>0.56999999999999995</v>
      </c>
      <c r="J59" s="60">
        <v>1.26</v>
      </c>
      <c r="K59" s="60">
        <v>192.59</v>
      </c>
      <c r="L59" s="60">
        <v>31.91</v>
      </c>
      <c r="M59" s="60">
        <v>26.37</v>
      </c>
      <c r="N59" s="60">
        <v>878.7</v>
      </c>
      <c r="O59" s="60">
        <v>0</v>
      </c>
      <c r="P59" s="60">
        <v>0.68</v>
      </c>
      <c r="Q59" s="60">
        <v>26.76</v>
      </c>
      <c r="R59" s="198"/>
      <c r="S59" s="198"/>
      <c r="T59" s="198"/>
      <c r="U59" s="198"/>
    </row>
    <row r="60" spans="1:21" s="12" customFormat="1" x14ac:dyDescent="0.25">
      <c r="A60" s="201" t="s">
        <v>1069</v>
      </c>
      <c r="B60" s="60">
        <v>2.92</v>
      </c>
      <c r="C60" s="60">
        <v>45.83</v>
      </c>
      <c r="D60" s="60">
        <v>28.37</v>
      </c>
      <c r="E60" s="60">
        <v>2.59</v>
      </c>
      <c r="F60" s="60">
        <v>11.36</v>
      </c>
      <c r="G60" s="60">
        <v>40.03</v>
      </c>
      <c r="H60" s="60">
        <v>30.41</v>
      </c>
      <c r="I60" s="60">
        <v>0.6</v>
      </c>
      <c r="J60" s="60">
        <v>0.4</v>
      </c>
      <c r="K60" s="60">
        <v>192.88</v>
      </c>
      <c r="L60" s="60">
        <v>33</v>
      </c>
      <c r="M60" s="60">
        <v>25.32</v>
      </c>
      <c r="N60" s="60">
        <v>862.8</v>
      </c>
      <c r="O60" s="60">
        <v>0</v>
      </c>
      <c r="P60" s="60">
        <v>0.62</v>
      </c>
      <c r="Q60" s="60">
        <v>26.41</v>
      </c>
      <c r="R60" s="198"/>
      <c r="S60" s="198"/>
      <c r="T60" s="198"/>
      <c r="U60" s="198"/>
    </row>
    <row r="61" spans="1:21" s="12" customFormat="1" x14ac:dyDescent="0.25">
      <c r="A61" s="201" t="s">
        <v>1070</v>
      </c>
      <c r="B61" s="60">
        <v>2.64</v>
      </c>
      <c r="C61" s="60">
        <v>44.84</v>
      </c>
      <c r="D61" s="60">
        <v>27.6</v>
      </c>
      <c r="E61" s="60">
        <v>2.72</v>
      </c>
      <c r="F61" s="60">
        <v>11.92</v>
      </c>
      <c r="G61" s="60">
        <v>40.03</v>
      </c>
      <c r="H61" s="60">
        <v>30.41</v>
      </c>
      <c r="I61" s="60">
        <v>0.59</v>
      </c>
      <c r="J61" s="60">
        <v>0.98</v>
      </c>
      <c r="K61" s="60">
        <v>196.2</v>
      </c>
      <c r="L61" s="60">
        <v>33.1</v>
      </c>
      <c r="M61" s="60">
        <v>25.64</v>
      </c>
      <c r="N61" s="60">
        <v>846.7</v>
      </c>
      <c r="O61" s="60">
        <v>0</v>
      </c>
      <c r="P61" s="60">
        <v>0.55000000000000004</v>
      </c>
      <c r="Q61" s="60">
        <v>25.62</v>
      </c>
      <c r="R61" s="198"/>
      <c r="S61" s="198"/>
      <c r="T61" s="198"/>
      <c r="U61" s="198"/>
    </row>
    <row r="62" spans="1:21" s="12" customFormat="1" x14ac:dyDescent="0.25">
      <c r="A62" s="201" t="s">
        <v>1071</v>
      </c>
      <c r="B62" s="60">
        <v>2.39</v>
      </c>
      <c r="C62" s="60">
        <v>44.09</v>
      </c>
      <c r="D62" s="60">
        <v>26.99</v>
      </c>
      <c r="E62" s="60">
        <v>2.5499999999999998</v>
      </c>
      <c r="F62" s="60">
        <v>17.38</v>
      </c>
      <c r="G62" s="60">
        <v>28.92</v>
      </c>
      <c r="H62" s="60">
        <v>26.67</v>
      </c>
      <c r="I62" s="60">
        <v>0.57999999999999996</v>
      </c>
      <c r="J62" s="60">
        <v>1.07</v>
      </c>
      <c r="K62" s="60">
        <v>193.43</v>
      </c>
      <c r="L62" s="60">
        <v>32.799999999999997</v>
      </c>
      <c r="M62" s="60">
        <v>27.08</v>
      </c>
      <c r="N62" s="60">
        <v>812.6</v>
      </c>
      <c r="O62" s="60">
        <v>0</v>
      </c>
      <c r="P62" s="60">
        <v>0.54</v>
      </c>
      <c r="Q62" s="60">
        <v>25.33</v>
      </c>
      <c r="R62" s="198"/>
      <c r="S62" s="198"/>
      <c r="T62" s="198"/>
      <c r="U62" s="198"/>
    </row>
    <row r="63" spans="1:21" s="12" customFormat="1" x14ac:dyDescent="0.25">
      <c r="A63" s="201" t="s">
        <v>1072</v>
      </c>
      <c r="B63" s="60">
        <v>2.9</v>
      </c>
      <c r="C63" s="60">
        <v>45.14</v>
      </c>
      <c r="D63" s="60">
        <v>27.98</v>
      </c>
      <c r="E63" s="60">
        <v>3.02</v>
      </c>
      <c r="F63" s="60">
        <v>11.92</v>
      </c>
      <c r="G63" s="211" t="s">
        <v>43</v>
      </c>
      <c r="H63" s="211" t="s">
        <v>43</v>
      </c>
      <c r="I63" s="60">
        <v>0.56999999999999995</v>
      </c>
      <c r="J63" s="60">
        <v>0.28000000000000003</v>
      </c>
      <c r="K63" s="60">
        <v>276.14</v>
      </c>
      <c r="L63" s="60">
        <v>33.74</v>
      </c>
      <c r="M63" s="60">
        <v>26.35</v>
      </c>
      <c r="N63" s="60">
        <v>725.5</v>
      </c>
      <c r="O63" s="60">
        <v>0</v>
      </c>
      <c r="P63" s="60">
        <v>0.52</v>
      </c>
      <c r="Q63" s="60">
        <v>24.55</v>
      </c>
      <c r="R63" s="198"/>
      <c r="S63" s="198"/>
      <c r="T63" s="198"/>
      <c r="U63" s="198"/>
    </row>
    <row r="64" spans="1:21" s="12" customFormat="1" x14ac:dyDescent="0.25">
      <c r="A64" s="201" t="s">
        <v>1073</v>
      </c>
      <c r="B64" s="60">
        <v>2.91</v>
      </c>
      <c r="C64" s="60">
        <v>46.05</v>
      </c>
      <c r="D64" s="60">
        <v>28.48</v>
      </c>
      <c r="E64" s="60">
        <v>2.2400000000000002</v>
      </c>
      <c r="F64" s="60">
        <v>10.96</v>
      </c>
      <c r="G64" s="211" t="s">
        <v>43</v>
      </c>
      <c r="H64" s="211" t="s">
        <v>43</v>
      </c>
      <c r="I64" s="60">
        <v>0.53</v>
      </c>
      <c r="J64" s="60">
        <v>0.85</v>
      </c>
      <c r="K64" s="60">
        <v>195.95</v>
      </c>
      <c r="L64" s="60">
        <v>33.47</v>
      </c>
      <c r="M64" s="60">
        <v>26.39</v>
      </c>
      <c r="N64" s="60">
        <v>693.7</v>
      </c>
      <c r="O64" s="60">
        <v>0</v>
      </c>
      <c r="P64" s="60">
        <v>0.51</v>
      </c>
      <c r="Q64" s="60">
        <v>24.44</v>
      </c>
      <c r="R64" s="198"/>
      <c r="S64" s="198"/>
      <c r="T64" s="198"/>
      <c r="U64" s="198"/>
    </row>
    <row r="65" spans="1:21" s="12" customFormat="1" x14ac:dyDescent="0.25">
      <c r="A65" s="201" t="s">
        <v>1074</v>
      </c>
      <c r="B65" s="60">
        <v>2.98</v>
      </c>
      <c r="C65" s="60">
        <v>44.36</v>
      </c>
      <c r="D65" s="60">
        <v>27.61</v>
      </c>
      <c r="E65" s="60">
        <v>2.4300000000000002</v>
      </c>
      <c r="F65" s="60">
        <v>17.46</v>
      </c>
      <c r="G65" s="211" t="s">
        <v>43</v>
      </c>
      <c r="H65" s="211" t="s">
        <v>43</v>
      </c>
      <c r="I65" s="60">
        <v>0.52</v>
      </c>
      <c r="J65" s="60">
        <v>7.0000000000000007E-2</v>
      </c>
      <c r="K65" s="60">
        <v>134.38</v>
      </c>
      <c r="L65" s="60">
        <v>34.19</v>
      </c>
      <c r="M65" s="60">
        <v>25.33</v>
      </c>
      <c r="N65" s="60">
        <v>683.4</v>
      </c>
      <c r="O65" s="60">
        <v>0</v>
      </c>
      <c r="P65" s="60">
        <v>0.52</v>
      </c>
      <c r="Q65" s="60">
        <v>24.31</v>
      </c>
      <c r="R65" s="198"/>
      <c r="S65" s="198"/>
      <c r="T65" s="198"/>
      <c r="U65" s="198"/>
    </row>
    <row r="66" spans="1:21" s="12" customFormat="1" x14ac:dyDescent="0.25">
      <c r="A66" s="201" t="s">
        <v>1075</v>
      </c>
      <c r="B66" s="60">
        <v>3.38</v>
      </c>
      <c r="C66" s="60">
        <v>35.630000000000003</v>
      </c>
      <c r="D66" s="60">
        <v>23.11</v>
      </c>
      <c r="E66" s="60">
        <v>4.82</v>
      </c>
      <c r="F66" s="60">
        <v>22.94</v>
      </c>
      <c r="G66" s="60">
        <v>46.22</v>
      </c>
      <c r="H66" s="60">
        <v>24.07</v>
      </c>
      <c r="I66" s="60">
        <v>0.51</v>
      </c>
      <c r="J66" s="60">
        <v>0.3</v>
      </c>
      <c r="K66" s="60">
        <v>200.27</v>
      </c>
      <c r="L66" s="60">
        <v>34.46</v>
      </c>
      <c r="M66" s="60">
        <v>24.64</v>
      </c>
      <c r="N66" s="60">
        <v>632.79999999999995</v>
      </c>
      <c r="O66" s="60">
        <v>0</v>
      </c>
      <c r="P66" s="60">
        <v>0.52</v>
      </c>
      <c r="Q66" s="60">
        <v>22.36</v>
      </c>
      <c r="R66" s="198"/>
      <c r="S66" s="198"/>
      <c r="T66" s="198"/>
      <c r="U66" s="198"/>
    </row>
    <row r="67" spans="1:21" s="12" customFormat="1" x14ac:dyDescent="0.25">
      <c r="A67" s="201" t="s">
        <v>1076</v>
      </c>
      <c r="B67" s="60">
        <v>3.16</v>
      </c>
      <c r="C67" s="60">
        <v>42.33</v>
      </c>
      <c r="D67" s="60">
        <v>26.64</v>
      </c>
      <c r="E67" s="60">
        <v>5.2</v>
      </c>
      <c r="F67" s="60">
        <v>22.36</v>
      </c>
      <c r="G67" s="60">
        <v>59.15</v>
      </c>
      <c r="H67" s="60">
        <v>23.76</v>
      </c>
      <c r="I67" s="60">
        <v>0.5</v>
      </c>
      <c r="J67" s="60">
        <v>0.11</v>
      </c>
      <c r="K67" s="60">
        <v>201.09</v>
      </c>
      <c r="L67" s="60">
        <v>33.799999999999997</v>
      </c>
      <c r="M67" s="60">
        <v>25.44</v>
      </c>
      <c r="N67" s="60">
        <v>461.9</v>
      </c>
      <c r="O67" s="60">
        <v>0</v>
      </c>
      <c r="P67" s="60">
        <v>0.52</v>
      </c>
      <c r="Q67" s="60">
        <v>21.88</v>
      </c>
      <c r="R67" s="198"/>
      <c r="S67" s="198"/>
      <c r="T67" s="198"/>
      <c r="U67" s="198"/>
    </row>
    <row r="68" spans="1:21" s="12" customFormat="1" x14ac:dyDescent="0.25">
      <c r="A68" s="201" t="s">
        <v>1077</v>
      </c>
      <c r="B68" s="60">
        <v>3.53</v>
      </c>
      <c r="C68" s="60">
        <v>45.05</v>
      </c>
      <c r="D68" s="60">
        <v>28.43</v>
      </c>
      <c r="E68" s="60">
        <v>4.54</v>
      </c>
      <c r="F68" s="60">
        <v>14.41</v>
      </c>
      <c r="G68" s="60">
        <v>59.15</v>
      </c>
      <c r="H68" s="60">
        <v>23.76</v>
      </c>
      <c r="I68" s="60">
        <v>0.52</v>
      </c>
      <c r="J68" s="60">
        <v>0.36</v>
      </c>
      <c r="K68" s="60">
        <v>23.09</v>
      </c>
      <c r="L68" s="60">
        <v>35.159999999999997</v>
      </c>
      <c r="M68" s="60">
        <v>22.57</v>
      </c>
      <c r="N68" s="60">
        <v>504.6</v>
      </c>
      <c r="O68" s="60">
        <v>0</v>
      </c>
      <c r="P68" s="60">
        <v>0.54</v>
      </c>
      <c r="Q68" s="60">
        <v>21.77</v>
      </c>
      <c r="R68" s="198"/>
      <c r="S68" s="198"/>
      <c r="T68" s="198"/>
      <c r="U68" s="198"/>
    </row>
    <row r="69" spans="1:21" s="12" customFormat="1" x14ac:dyDescent="0.25">
      <c r="A69" s="201" t="s">
        <v>1078</v>
      </c>
      <c r="B69" s="60">
        <v>3.27</v>
      </c>
      <c r="C69" s="60">
        <v>44.88</v>
      </c>
      <c r="D69" s="60">
        <v>28.13</v>
      </c>
      <c r="E69" s="60">
        <v>2.93</v>
      </c>
      <c r="F69" s="60">
        <v>15.45</v>
      </c>
      <c r="G69" s="60">
        <v>59.15</v>
      </c>
      <c r="H69" s="60">
        <v>23.76</v>
      </c>
      <c r="I69" s="60">
        <v>0.55000000000000004</v>
      </c>
      <c r="J69" s="60">
        <v>0.38</v>
      </c>
      <c r="K69" s="60">
        <v>20.399999999999999</v>
      </c>
      <c r="L69" s="60">
        <v>34.49</v>
      </c>
      <c r="M69" s="60">
        <v>23.36</v>
      </c>
      <c r="N69" s="60">
        <v>340</v>
      </c>
      <c r="O69" s="60">
        <v>0</v>
      </c>
      <c r="P69" s="60">
        <v>0.54</v>
      </c>
      <c r="Q69" s="60">
        <v>20.89</v>
      </c>
      <c r="R69" s="198"/>
      <c r="S69" s="198"/>
      <c r="T69" s="198"/>
      <c r="U69" s="198"/>
    </row>
    <row r="70" spans="1:21" s="12" customFormat="1" x14ac:dyDescent="0.25">
      <c r="A70" s="201" t="s">
        <v>1079</v>
      </c>
      <c r="B70" s="60">
        <v>3.39</v>
      </c>
      <c r="C70" s="60">
        <v>45.67</v>
      </c>
      <c r="D70" s="60">
        <v>28.66</v>
      </c>
      <c r="E70" s="60">
        <v>3.52</v>
      </c>
      <c r="F70" s="60">
        <v>13.02</v>
      </c>
      <c r="G70" s="60">
        <v>27.5</v>
      </c>
      <c r="H70" s="60">
        <v>22.63</v>
      </c>
      <c r="I70" s="60">
        <v>0.56000000000000005</v>
      </c>
      <c r="J70" s="60">
        <v>0.41</v>
      </c>
      <c r="K70" s="60">
        <v>14.86</v>
      </c>
      <c r="L70" s="60">
        <v>34.840000000000003</v>
      </c>
      <c r="M70" s="60">
        <v>22.97</v>
      </c>
      <c r="N70" s="60">
        <v>371.4</v>
      </c>
      <c r="O70" s="60">
        <v>0</v>
      </c>
      <c r="P70" s="60">
        <v>0.54</v>
      </c>
      <c r="Q70" s="60">
        <v>20.78</v>
      </c>
      <c r="R70" s="198"/>
      <c r="S70" s="198"/>
      <c r="T70" s="198"/>
      <c r="U70" s="198"/>
    </row>
    <row r="71" spans="1:21" s="12" customFormat="1" x14ac:dyDescent="0.25">
      <c r="A71" s="201" t="s">
        <v>1080</v>
      </c>
      <c r="B71" s="60">
        <v>4.55</v>
      </c>
      <c r="C71" s="60">
        <v>44.19</v>
      </c>
      <c r="D71" s="60">
        <v>28.78</v>
      </c>
      <c r="E71" s="60">
        <v>5.59</v>
      </c>
      <c r="F71" s="60">
        <v>30.62</v>
      </c>
      <c r="G71" s="60">
        <v>10.029999999999999</v>
      </c>
      <c r="H71" s="60">
        <v>21.97</v>
      </c>
      <c r="I71" s="60">
        <v>0.56999999999999995</v>
      </c>
      <c r="J71" s="60">
        <v>0.42</v>
      </c>
      <c r="K71" s="60">
        <v>9.19</v>
      </c>
      <c r="L71" s="60">
        <v>34.81</v>
      </c>
      <c r="M71" s="60">
        <v>22.43</v>
      </c>
      <c r="N71" s="60">
        <v>240.4</v>
      </c>
      <c r="O71" s="60">
        <v>0</v>
      </c>
      <c r="P71" s="60">
        <v>0.63</v>
      </c>
      <c r="Q71" s="60">
        <v>20.76</v>
      </c>
      <c r="R71" s="198"/>
      <c r="S71" s="198"/>
      <c r="T71" s="198"/>
      <c r="U71" s="198"/>
    </row>
    <row r="72" spans="1:21" s="12" customFormat="1" x14ac:dyDescent="0.25">
      <c r="A72" s="201" t="s">
        <v>1081</v>
      </c>
      <c r="B72" s="60">
        <v>4.0599999999999996</v>
      </c>
      <c r="C72" s="60">
        <v>42.82</v>
      </c>
      <c r="D72" s="60">
        <v>27.63</v>
      </c>
      <c r="E72" s="60">
        <v>1.84</v>
      </c>
      <c r="F72" s="60">
        <v>17.600000000000001</v>
      </c>
      <c r="G72" s="60">
        <v>10.029999999999999</v>
      </c>
      <c r="H72" s="60">
        <v>21.97</v>
      </c>
      <c r="I72" s="60">
        <v>0.53</v>
      </c>
      <c r="J72" s="60">
        <v>0.35</v>
      </c>
      <c r="K72" s="60">
        <v>356.8</v>
      </c>
      <c r="L72" s="60">
        <v>34.619999999999997</v>
      </c>
      <c r="M72" s="60">
        <v>22.83</v>
      </c>
      <c r="N72" s="60">
        <v>170</v>
      </c>
      <c r="O72" s="60">
        <v>0</v>
      </c>
      <c r="P72" s="60">
        <v>0.56999999999999995</v>
      </c>
      <c r="Q72" s="60">
        <v>20.92</v>
      </c>
      <c r="R72" s="198"/>
      <c r="S72" s="198"/>
      <c r="T72" s="198"/>
      <c r="U72" s="198"/>
    </row>
    <row r="73" spans="1:21" s="12" customFormat="1" x14ac:dyDescent="0.25">
      <c r="A73" s="201" t="s">
        <v>1082</v>
      </c>
      <c r="B73" s="60">
        <v>4.45</v>
      </c>
      <c r="C73" s="60">
        <v>45.78</v>
      </c>
      <c r="D73" s="60">
        <v>29.57</v>
      </c>
      <c r="E73" s="60">
        <v>2.63</v>
      </c>
      <c r="F73" s="60">
        <v>12.76</v>
      </c>
      <c r="G73" s="60">
        <v>10.029999999999999</v>
      </c>
      <c r="H73" s="60">
        <v>21.97</v>
      </c>
      <c r="I73" s="60">
        <v>0.52</v>
      </c>
      <c r="J73" s="60">
        <v>0.22</v>
      </c>
      <c r="K73" s="60">
        <v>316.81</v>
      </c>
      <c r="L73" s="60">
        <v>33.58</v>
      </c>
      <c r="M73" s="60">
        <v>23.31</v>
      </c>
      <c r="N73" s="60">
        <v>133.1</v>
      </c>
      <c r="O73" s="60">
        <v>0</v>
      </c>
      <c r="P73" s="60">
        <v>0.56000000000000005</v>
      </c>
      <c r="Q73" s="60">
        <v>21.52</v>
      </c>
      <c r="R73" s="198"/>
      <c r="S73" s="198"/>
      <c r="T73" s="198"/>
      <c r="U73" s="198"/>
    </row>
    <row r="74" spans="1:21" s="12" customFormat="1" x14ac:dyDescent="0.25">
      <c r="A74" s="201" t="s">
        <v>1083</v>
      </c>
      <c r="B74" s="60">
        <v>3.58</v>
      </c>
      <c r="C74" s="60">
        <v>46.29</v>
      </c>
      <c r="D74" s="60">
        <v>29.16</v>
      </c>
      <c r="E74" s="60">
        <v>2.35</v>
      </c>
      <c r="F74" s="60">
        <v>11.46</v>
      </c>
      <c r="G74" s="60">
        <v>79.319999999999993</v>
      </c>
      <c r="H74" s="60">
        <v>21.36</v>
      </c>
      <c r="I74" s="60">
        <v>0.56000000000000005</v>
      </c>
      <c r="J74" s="60">
        <v>0.18</v>
      </c>
      <c r="K74" s="60">
        <v>351.63</v>
      </c>
      <c r="L74" s="60">
        <v>32.81</v>
      </c>
      <c r="M74" s="60">
        <v>24.36</v>
      </c>
      <c r="N74" s="60">
        <v>125.8</v>
      </c>
      <c r="O74" s="60">
        <v>0</v>
      </c>
      <c r="P74" s="60">
        <v>0.56999999999999995</v>
      </c>
      <c r="Q74" s="60">
        <v>22.07</v>
      </c>
      <c r="R74" s="198"/>
      <c r="S74" s="198"/>
      <c r="T74" s="198"/>
      <c r="U74" s="198"/>
    </row>
    <row r="75" spans="1:21" s="12" customFormat="1" x14ac:dyDescent="0.25">
      <c r="A75" s="201" t="s">
        <v>1084</v>
      </c>
      <c r="B75" s="60">
        <v>5.73</v>
      </c>
      <c r="C75" s="60">
        <v>47.4</v>
      </c>
      <c r="D75" s="60">
        <v>31.49</v>
      </c>
      <c r="E75" s="60">
        <v>3.17</v>
      </c>
      <c r="F75" s="60">
        <v>26.85</v>
      </c>
      <c r="G75" s="60">
        <v>117.55</v>
      </c>
      <c r="H75" s="60">
        <v>21.01</v>
      </c>
      <c r="I75" s="60">
        <v>0.56000000000000005</v>
      </c>
      <c r="J75" s="60">
        <v>0.43</v>
      </c>
      <c r="K75" s="60">
        <v>11.31</v>
      </c>
      <c r="L75" s="60">
        <v>33.1</v>
      </c>
      <c r="M75" s="60">
        <v>23.34</v>
      </c>
      <c r="N75" s="60">
        <v>111.8</v>
      </c>
      <c r="O75" s="60">
        <v>0</v>
      </c>
      <c r="P75" s="60">
        <v>0.57999999999999996</v>
      </c>
      <c r="Q75" s="60">
        <v>22.06</v>
      </c>
      <c r="R75" s="198"/>
      <c r="S75" s="198"/>
      <c r="T75" s="198"/>
      <c r="U75" s="198"/>
    </row>
    <row r="76" spans="1:21" s="12" customFormat="1" x14ac:dyDescent="0.25">
      <c r="A76" s="201" t="s">
        <v>1085</v>
      </c>
      <c r="B76" s="60">
        <v>4.4000000000000004</v>
      </c>
      <c r="C76" s="60">
        <v>46.47</v>
      </c>
      <c r="D76" s="60">
        <v>29.92</v>
      </c>
      <c r="E76" s="60">
        <v>4.46</v>
      </c>
      <c r="F76" s="60">
        <v>19.78</v>
      </c>
      <c r="G76" s="60">
        <v>117.55</v>
      </c>
      <c r="H76" s="60">
        <v>21.01</v>
      </c>
      <c r="I76" s="60">
        <v>0.55000000000000004</v>
      </c>
      <c r="J76" s="60">
        <v>0.28999999999999998</v>
      </c>
      <c r="K76" s="60">
        <v>350.54</v>
      </c>
      <c r="L76" s="60">
        <v>32.979999999999997</v>
      </c>
      <c r="M76" s="60">
        <v>24.52</v>
      </c>
      <c r="N76" s="60">
        <v>88.8</v>
      </c>
      <c r="O76" s="60">
        <v>0</v>
      </c>
      <c r="P76" s="60">
        <v>0.61</v>
      </c>
      <c r="Q76" s="60">
        <v>21.98</v>
      </c>
      <c r="R76" s="198"/>
      <c r="S76" s="198"/>
      <c r="T76" s="198"/>
      <c r="U76" s="198"/>
    </row>
    <row r="77" spans="1:21" s="12" customFormat="1" x14ac:dyDescent="0.25">
      <c r="A77" s="201" t="s">
        <v>1086</v>
      </c>
      <c r="B77" s="60">
        <v>4.17</v>
      </c>
      <c r="C77" s="60">
        <v>53.41</v>
      </c>
      <c r="D77" s="60">
        <v>33.56</v>
      </c>
      <c r="E77" s="60">
        <v>2.85</v>
      </c>
      <c r="F77" s="60">
        <v>12.31</v>
      </c>
      <c r="G77" s="60">
        <v>117.55</v>
      </c>
      <c r="H77" s="60">
        <v>21.01</v>
      </c>
      <c r="I77" s="60">
        <v>0.54</v>
      </c>
      <c r="J77" s="60">
        <v>0.26</v>
      </c>
      <c r="K77" s="60">
        <v>336.76</v>
      </c>
      <c r="L77" s="60">
        <v>32.51</v>
      </c>
      <c r="M77" s="60">
        <v>25.33</v>
      </c>
      <c r="N77" s="60">
        <v>67</v>
      </c>
      <c r="O77" s="60">
        <v>0</v>
      </c>
      <c r="P77" s="60">
        <v>0.63</v>
      </c>
      <c r="Q77" s="60">
        <v>22.36</v>
      </c>
      <c r="R77" s="198"/>
      <c r="S77" s="198"/>
      <c r="T77" s="198"/>
      <c r="U77" s="198"/>
    </row>
    <row r="78" spans="1:21" s="12" customFormat="1" x14ac:dyDescent="0.25">
      <c r="A78" s="201" t="s">
        <v>1087</v>
      </c>
      <c r="B78" s="60">
        <v>3.51</v>
      </c>
      <c r="C78" s="60">
        <v>50.97</v>
      </c>
      <c r="D78" s="60">
        <v>31.68</v>
      </c>
      <c r="E78" s="60">
        <v>4.1399999999999997</v>
      </c>
      <c r="F78" s="60">
        <v>26.01</v>
      </c>
      <c r="G78" s="60">
        <v>41.8</v>
      </c>
      <c r="H78" s="60">
        <v>20.21</v>
      </c>
      <c r="I78" s="60">
        <v>0.54</v>
      </c>
      <c r="J78" s="60">
        <v>0.25</v>
      </c>
      <c r="K78" s="60">
        <v>258.58</v>
      </c>
      <c r="L78" s="60">
        <v>31.86</v>
      </c>
      <c r="M78" s="60">
        <v>25.53</v>
      </c>
      <c r="N78" s="60">
        <v>55.2</v>
      </c>
      <c r="O78" s="60">
        <v>0</v>
      </c>
      <c r="P78" s="60">
        <v>0.6</v>
      </c>
      <c r="Q78" s="60">
        <v>22.04</v>
      </c>
      <c r="R78" s="198"/>
      <c r="S78" s="198"/>
      <c r="T78" s="198"/>
      <c r="U78" s="198"/>
    </row>
    <row r="79" spans="1:21" s="12" customFormat="1" x14ac:dyDescent="0.25">
      <c r="A79" s="201" t="s">
        <v>1088</v>
      </c>
      <c r="B79" s="60">
        <v>2.9</v>
      </c>
      <c r="C79" s="60">
        <v>50.52</v>
      </c>
      <c r="D79" s="60">
        <v>30.95</v>
      </c>
      <c r="E79" s="60">
        <v>3.75</v>
      </c>
      <c r="F79" s="60">
        <v>19.61</v>
      </c>
      <c r="G79" s="210" t="s">
        <v>36</v>
      </c>
      <c r="H79" s="210" t="s">
        <v>36</v>
      </c>
      <c r="I79" s="60">
        <v>0.53</v>
      </c>
      <c r="J79" s="60">
        <v>0.54</v>
      </c>
      <c r="K79" s="60">
        <v>219.46</v>
      </c>
      <c r="L79" s="60">
        <v>31.65</v>
      </c>
      <c r="M79" s="60">
        <v>26.64</v>
      </c>
      <c r="N79" s="60">
        <v>42.9</v>
      </c>
      <c r="O79" s="60">
        <v>0</v>
      </c>
      <c r="P79" s="60">
        <v>0.6</v>
      </c>
      <c r="Q79" s="60">
        <v>21.13</v>
      </c>
      <c r="R79" s="198"/>
      <c r="S79" s="198"/>
      <c r="T79" s="198"/>
      <c r="U79" s="198"/>
    </row>
    <row r="80" spans="1:21" s="12" customFormat="1" x14ac:dyDescent="0.25">
      <c r="A80" s="201" t="s">
        <v>1089</v>
      </c>
      <c r="B80" s="60">
        <v>2.5099999999999998</v>
      </c>
      <c r="C80" s="60">
        <v>48.3</v>
      </c>
      <c r="D80" s="60">
        <v>29.41</v>
      </c>
      <c r="E80" s="60">
        <v>6.71</v>
      </c>
      <c r="F80" s="60">
        <v>40.99</v>
      </c>
      <c r="G80" s="210" t="s">
        <v>36</v>
      </c>
      <c r="H80" s="210" t="s">
        <v>36</v>
      </c>
      <c r="I80" s="60">
        <v>0.5</v>
      </c>
      <c r="J80" s="60">
        <v>0.41</v>
      </c>
      <c r="K80" s="60">
        <v>223.3</v>
      </c>
      <c r="L80" s="60">
        <v>31.17</v>
      </c>
      <c r="M80" s="60">
        <v>28.28</v>
      </c>
      <c r="N80" s="60">
        <v>22.9</v>
      </c>
      <c r="O80" s="60">
        <v>0</v>
      </c>
      <c r="P80" s="60">
        <v>0.56000000000000005</v>
      </c>
      <c r="Q80" s="60">
        <v>20.51</v>
      </c>
      <c r="R80" s="198"/>
      <c r="S80" s="198"/>
      <c r="T80" s="198"/>
      <c r="U80" s="198"/>
    </row>
    <row r="81" spans="1:26" s="12" customFormat="1" x14ac:dyDescent="0.25">
      <c r="A81" s="201" t="s">
        <v>1090</v>
      </c>
      <c r="B81" s="60">
        <v>2.39</v>
      </c>
      <c r="C81" s="60">
        <v>42.57</v>
      </c>
      <c r="D81" s="60">
        <v>26.15</v>
      </c>
      <c r="E81" s="60">
        <v>7.84</v>
      </c>
      <c r="F81" s="60">
        <v>44.68</v>
      </c>
      <c r="G81" s="210" t="s">
        <v>36</v>
      </c>
      <c r="H81" s="210" t="s">
        <v>36</v>
      </c>
      <c r="I81" s="60">
        <v>0.5</v>
      </c>
      <c r="J81" s="60">
        <v>0.31</v>
      </c>
      <c r="K81" s="60">
        <v>254.45</v>
      </c>
      <c r="L81" s="60">
        <v>30.78</v>
      </c>
      <c r="M81" s="60">
        <v>28.64</v>
      </c>
      <c r="N81" s="60">
        <v>10.199999999999999</v>
      </c>
      <c r="O81" s="60">
        <v>0</v>
      </c>
      <c r="P81" s="60">
        <v>0.54</v>
      </c>
      <c r="Q81" s="60">
        <v>20.11</v>
      </c>
      <c r="R81" s="198"/>
      <c r="S81" s="198"/>
      <c r="T81" s="198"/>
      <c r="U81" s="198"/>
    </row>
    <row r="82" spans="1:26" s="12" customFormat="1" x14ac:dyDescent="0.25">
      <c r="A82" s="201" t="s">
        <v>1091</v>
      </c>
      <c r="B82" s="60">
        <v>2.85</v>
      </c>
      <c r="C82" s="60">
        <v>54.47</v>
      </c>
      <c r="D82" s="60">
        <v>33.090000000000003</v>
      </c>
      <c r="E82" s="60">
        <v>8.15</v>
      </c>
      <c r="F82" s="60">
        <v>33.94</v>
      </c>
      <c r="G82" s="60">
        <v>39.22</v>
      </c>
      <c r="H82" s="60">
        <v>20.58</v>
      </c>
      <c r="I82" s="60">
        <v>0.49</v>
      </c>
      <c r="J82" s="60">
        <v>0.25</v>
      </c>
      <c r="K82" s="60">
        <v>192.58</v>
      </c>
      <c r="L82" s="60">
        <v>30.44</v>
      </c>
      <c r="M82" s="60">
        <v>30.05</v>
      </c>
      <c r="N82" s="60">
        <v>5.6</v>
      </c>
      <c r="O82" s="60">
        <v>0</v>
      </c>
      <c r="P82" s="60">
        <v>0.63</v>
      </c>
      <c r="Q82" s="60">
        <v>19.64</v>
      </c>
      <c r="R82" s="198"/>
      <c r="S82" s="198"/>
      <c r="T82" s="198"/>
      <c r="U82" s="198"/>
    </row>
    <row r="83" spans="1:26" s="12" customFormat="1" x14ac:dyDescent="0.25">
      <c r="A83" s="201" t="s">
        <v>1092</v>
      </c>
      <c r="B83" s="60">
        <v>3.09</v>
      </c>
      <c r="C83" s="60">
        <v>60.64</v>
      </c>
      <c r="D83" s="60">
        <v>36.69</v>
      </c>
      <c r="E83" s="60">
        <v>7.59</v>
      </c>
      <c r="F83" s="60">
        <v>32.36</v>
      </c>
      <c r="G83" s="60">
        <v>60.86</v>
      </c>
      <c r="H83" s="60">
        <v>20.69</v>
      </c>
      <c r="I83" s="60">
        <v>0.49</v>
      </c>
      <c r="J83" s="60">
        <v>0.02</v>
      </c>
      <c r="K83" s="60">
        <v>253.52</v>
      </c>
      <c r="L83" s="60">
        <v>29.86</v>
      </c>
      <c r="M83" s="60">
        <v>30.88</v>
      </c>
      <c r="N83" s="60">
        <v>5.2</v>
      </c>
      <c r="O83" s="60">
        <v>0</v>
      </c>
      <c r="P83" s="60">
        <v>0.68</v>
      </c>
      <c r="Q83" s="60">
        <v>20.3</v>
      </c>
      <c r="R83" s="198"/>
      <c r="S83" s="198"/>
      <c r="T83" s="198"/>
      <c r="U83" s="198"/>
    </row>
    <row r="84" spans="1:26" s="12" customFormat="1" x14ac:dyDescent="0.25">
      <c r="A84" s="201" t="s">
        <v>1093</v>
      </c>
      <c r="B84" s="60">
        <v>4.59</v>
      </c>
      <c r="C84" s="60">
        <v>64.47</v>
      </c>
      <c r="D84" s="60">
        <v>39.99</v>
      </c>
      <c r="E84" s="60">
        <v>7.12</v>
      </c>
      <c r="F84" s="60">
        <v>25.03</v>
      </c>
      <c r="G84" s="60">
        <v>60.86</v>
      </c>
      <c r="H84" s="60">
        <v>20.69</v>
      </c>
      <c r="I84" s="60">
        <v>0.5</v>
      </c>
      <c r="J84" s="60">
        <v>0.06</v>
      </c>
      <c r="K84" s="60">
        <v>290.35000000000002</v>
      </c>
      <c r="L84" s="60">
        <v>29.41</v>
      </c>
      <c r="M84" s="60">
        <v>32.07</v>
      </c>
      <c r="N84" s="60">
        <v>4.9000000000000004</v>
      </c>
      <c r="O84" s="60">
        <v>0</v>
      </c>
      <c r="P84" s="60">
        <v>0.77</v>
      </c>
      <c r="Q84" s="60">
        <v>20.71</v>
      </c>
      <c r="R84" s="198"/>
      <c r="S84" s="198"/>
      <c r="T84" s="198"/>
      <c r="U84" s="198"/>
    </row>
    <row r="85" spans="1:26" s="12" customFormat="1" x14ac:dyDescent="0.25">
      <c r="A85" s="201" t="s">
        <v>1094</v>
      </c>
      <c r="B85" s="60">
        <v>10.41</v>
      </c>
      <c r="C85" s="60">
        <v>75.97</v>
      </c>
      <c r="D85" s="60">
        <v>51.02</v>
      </c>
      <c r="E85" s="60">
        <v>6.92</v>
      </c>
      <c r="F85" s="60">
        <v>21.87</v>
      </c>
      <c r="G85" s="60">
        <v>60.86</v>
      </c>
      <c r="H85" s="60">
        <v>20.69</v>
      </c>
      <c r="I85" s="60">
        <v>0.53</v>
      </c>
      <c r="J85" s="60">
        <v>0.09</v>
      </c>
      <c r="K85" s="60">
        <v>333.6</v>
      </c>
      <c r="L85" s="60">
        <v>28.84</v>
      </c>
      <c r="M85" s="60">
        <v>33.08</v>
      </c>
      <c r="N85" s="60">
        <v>5.0999999999999996</v>
      </c>
      <c r="O85" s="60">
        <v>0</v>
      </c>
      <c r="P85" s="60">
        <v>0.81</v>
      </c>
      <c r="Q85" s="60">
        <v>20.98</v>
      </c>
      <c r="R85" s="198"/>
      <c r="S85" s="198"/>
      <c r="T85" s="198"/>
      <c r="U85" s="198"/>
    </row>
    <row r="86" spans="1:26" s="12" customFormat="1" x14ac:dyDescent="0.25">
      <c r="A86" s="201" t="s">
        <v>1095</v>
      </c>
      <c r="B86" s="60">
        <v>43.02</v>
      </c>
      <c r="C86" s="60">
        <v>98.8</v>
      </c>
      <c r="D86" s="60">
        <v>89.77</v>
      </c>
      <c r="E86" s="60">
        <v>7.01</v>
      </c>
      <c r="F86" s="60">
        <v>6.66</v>
      </c>
      <c r="G86" s="60">
        <v>131.07</v>
      </c>
      <c r="H86" s="60">
        <v>23.57</v>
      </c>
      <c r="I86" s="60">
        <v>0.56999999999999995</v>
      </c>
      <c r="J86" s="60">
        <v>0.1</v>
      </c>
      <c r="K86" s="60">
        <v>60.98</v>
      </c>
      <c r="L86" s="60">
        <v>28.37</v>
      </c>
      <c r="M86" s="60">
        <v>35.56</v>
      </c>
      <c r="N86" s="60">
        <v>5</v>
      </c>
      <c r="O86" s="60">
        <v>0</v>
      </c>
      <c r="P86" s="60">
        <v>1.6</v>
      </c>
      <c r="Q86" s="60">
        <v>18.920000000000002</v>
      </c>
      <c r="R86" s="198"/>
      <c r="S86" s="198"/>
      <c r="T86" s="198"/>
      <c r="U86" s="198"/>
    </row>
    <row r="87" spans="1:26" s="12" customFormat="1" x14ac:dyDescent="0.25">
      <c r="A87" s="201" t="s">
        <v>1096</v>
      </c>
      <c r="B87" s="60">
        <v>34.020000000000003</v>
      </c>
      <c r="C87" s="60">
        <v>88.62</v>
      </c>
      <c r="D87" s="60">
        <v>76.930000000000007</v>
      </c>
      <c r="E87" s="60">
        <v>7.02</v>
      </c>
      <c r="F87" s="60">
        <v>5.44</v>
      </c>
      <c r="G87" s="60">
        <v>169.8</v>
      </c>
      <c r="H87" s="60">
        <v>24.07</v>
      </c>
      <c r="I87" s="60">
        <v>0.63</v>
      </c>
      <c r="J87" s="60">
        <v>0.12</v>
      </c>
      <c r="K87" s="60">
        <v>74.66</v>
      </c>
      <c r="L87" s="60">
        <v>28.16</v>
      </c>
      <c r="M87" s="60">
        <v>37.31</v>
      </c>
      <c r="N87" s="60">
        <v>4.7</v>
      </c>
      <c r="O87" s="60">
        <v>0</v>
      </c>
      <c r="P87" s="60">
        <v>1.17</v>
      </c>
      <c r="Q87" s="60">
        <v>21.71</v>
      </c>
      <c r="R87" s="198"/>
      <c r="S87" s="198"/>
      <c r="T87" s="198"/>
      <c r="U87" s="198"/>
    </row>
    <row r="88" spans="1:26" s="12" customFormat="1" x14ac:dyDescent="0.25">
      <c r="A88" s="201" t="s">
        <v>1097</v>
      </c>
      <c r="B88" s="60">
        <v>38.03</v>
      </c>
      <c r="C88" s="60">
        <v>69.790000000000006</v>
      </c>
      <c r="D88" s="60">
        <v>69.760000000000005</v>
      </c>
      <c r="E88" s="60">
        <v>2.2799999999999998</v>
      </c>
      <c r="F88" s="60">
        <v>4</v>
      </c>
      <c r="G88" s="60">
        <v>169.8</v>
      </c>
      <c r="H88" s="60">
        <v>24.07</v>
      </c>
      <c r="I88" s="60">
        <v>0.69</v>
      </c>
      <c r="J88" s="60">
        <v>0.23</v>
      </c>
      <c r="K88" s="60">
        <v>15.77</v>
      </c>
      <c r="L88" s="60">
        <v>27.78</v>
      </c>
      <c r="M88" s="60">
        <v>40.57</v>
      </c>
      <c r="N88" s="60">
        <v>5.0999999999999996</v>
      </c>
      <c r="O88" s="60">
        <v>0</v>
      </c>
      <c r="P88" s="60">
        <v>1.51</v>
      </c>
      <c r="Q88" s="60">
        <v>24.57</v>
      </c>
      <c r="R88" s="198"/>
      <c r="S88" s="198"/>
      <c r="T88" s="198"/>
      <c r="U88" s="198"/>
    </row>
    <row r="89" spans="1:26" s="12" customFormat="1" x14ac:dyDescent="0.25">
      <c r="A89" s="201" t="s">
        <v>1098</v>
      </c>
      <c r="B89" s="60">
        <v>47.94</v>
      </c>
      <c r="C89" s="60">
        <v>84.76</v>
      </c>
      <c r="D89" s="60">
        <v>85.96</v>
      </c>
      <c r="E89" s="60">
        <v>3.97</v>
      </c>
      <c r="F89" s="60">
        <v>3.77</v>
      </c>
      <c r="G89" s="60">
        <v>169.8</v>
      </c>
      <c r="H89" s="60">
        <v>24.07</v>
      </c>
      <c r="I89" s="60">
        <v>0.71</v>
      </c>
      <c r="J89" s="60">
        <v>0.14000000000000001</v>
      </c>
      <c r="K89" s="60">
        <v>22.26</v>
      </c>
      <c r="L89" s="60">
        <v>27.62</v>
      </c>
      <c r="M89" s="60">
        <v>39.75</v>
      </c>
      <c r="N89" s="60">
        <v>5</v>
      </c>
      <c r="O89" s="60">
        <v>0</v>
      </c>
      <c r="P89" s="60">
        <v>1.82</v>
      </c>
      <c r="Q89" s="60">
        <v>28.47</v>
      </c>
      <c r="R89" s="198"/>
      <c r="S89" s="198"/>
      <c r="T89" s="198"/>
      <c r="U89" s="198"/>
    </row>
    <row r="90" spans="1:26" s="12" customFormat="1" x14ac:dyDescent="0.25">
      <c r="A90" s="201" t="s">
        <v>1099</v>
      </c>
      <c r="B90" s="60">
        <v>51.4</v>
      </c>
      <c r="C90" s="60">
        <v>84.02</v>
      </c>
      <c r="D90" s="60">
        <v>88.33</v>
      </c>
      <c r="E90" s="60">
        <v>4.71</v>
      </c>
      <c r="F90" s="60">
        <v>3.65</v>
      </c>
      <c r="G90" s="60">
        <v>128.13999999999999</v>
      </c>
      <c r="H90" s="60">
        <v>26.67</v>
      </c>
      <c r="I90" s="60">
        <v>0.73</v>
      </c>
      <c r="J90" s="60">
        <v>0.48</v>
      </c>
      <c r="K90" s="60">
        <v>23.86</v>
      </c>
      <c r="L90" s="60">
        <v>27.59</v>
      </c>
      <c r="M90" s="60">
        <v>39.979999999999997</v>
      </c>
      <c r="N90" s="60">
        <v>5</v>
      </c>
      <c r="O90" s="60">
        <v>0</v>
      </c>
      <c r="P90" s="60">
        <v>1.88</v>
      </c>
      <c r="Q90" s="60">
        <v>29.96</v>
      </c>
      <c r="R90" s="198"/>
      <c r="S90" s="198"/>
      <c r="T90" s="198"/>
      <c r="U90" s="198"/>
    </row>
    <row r="91" spans="1:26" s="12" customFormat="1" x14ac:dyDescent="0.25">
      <c r="A91" s="201" t="s">
        <v>1100</v>
      </c>
      <c r="B91" s="60">
        <v>35.119999999999997</v>
      </c>
      <c r="C91" s="60">
        <v>67.61</v>
      </c>
      <c r="D91" s="60">
        <v>66.22</v>
      </c>
      <c r="E91" s="60">
        <v>3.26</v>
      </c>
      <c r="F91" s="60">
        <v>4.95</v>
      </c>
      <c r="G91" s="60">
        <v>105.16</v>
      </c>
      <c r="H91" s="60">
        <v>27.12</v>
      </c>
      <c r="I91" s="60">
        <v>0.74</v>
      </c>
      <c r="J91" s="60">
        <v>3.02</v>
      </c>
      <c r="K91" s="60">
        <v>15.76</v>
      </c>
      <c r="L91" s="60">
        <v>27.08</v>
      </c>
      <c r="M91" s="60">
        <v>38.64</v>
      </c>
      <c r="N91" s="60">
        <v>5.3</v>
      </c>
      <c r="O91" s="60">
        <v>0</v>
      </c>
      <c r="P91" s="60">
        <v>1.51</v>
      </c>
      <c r="Q91" s="60">
        <v>32.04</v>
      </c>
      <c r="R91" s="198"/>
      <c r="S91" s="198"/>
      <c r="T91" s="198"/>
      <c r="U91" s="198"/>
    </row>
    <row r="92" spans="1:26" s="12" customFormat="1" x14ac:dyDescent="0.25">
      <c r="A92" s="201" t="s">
        <v>1101</v>
      </c>
      <c r="B92" s="60">
        <v>29.18</v>
      </c>
      <c r="C92" s="60">
        <v>67.52</v>
      </c>
      <c r="D92" s="60">
        <v>61.4</v>
      </c>
      <c r="E92" s="60">
        <v>1.98</v>
      </c>
      <c r="F92" s="60">
        <v>4.8600000000000003</v>
      </c>
      <c r="G92" s="60">
        <v>105.16</v>
      </c>
      <c r="H92" s="60">
        <v>27.12</v>
      </c>
      <c r="I92" s="60">
        <v>0.74</v>
      </c>
      <c r="J92" s="60">
        <v>2.2000000000000002</v>
      </c>
      <c r="K92" s="60">
        <v>20.53</v>
      </c>
      <c r="L92" s="60">
        <v>26.3</v>
      </c>
      <c r="M92" s="60">
        <v>39.700000000000003</v>
      </c>
      <c r="N92" s="60">
        <v>5.6</v>
      </c>
      <c r="O92" s="60">
        <v>0</v>
      </c>
      <c r="P92" s="60">
        <v>1.39</v>
      </c>
      <c r="Q92" s="60">
        <v>32.869999999999997</v>
      </c>
      <c r="R92" s="198"/>
      <c r="S92" s="198"/>
      <c r="T92" s="198"/>
      <c r="U92" s="198"/>
    </row>
    <row r="93" spans="1:26" s="12" customFormat="1" x14ac:dyDescent="0.25">
      <c r="A93" s="201" t="s">
        <v>1102</v>
      </c>
      <c r="B93" s="60">
        <v>22.27</v>
      </c>
      <c r="C93" s="60">
        <v>68.95</v>
      </c>
      <c r="D93" s="60">
        <v>56.65</v>
      </c>
      <c r="E93" s="60">
        <v>1.97</v>
      </c>
      <c r="F93" s="60">
        <v>4.8099999999999996</v>
      </c>
      <c r="G93" s="60">
        <v>105.16</v>
      </c>
      <c r="H93" s="60">
        <v>27.12</v>
      </c>
      <c r="I93" s="60">
        <v>0.72</v>
      </c>
      <c r="J93" s="60">
        <v>2.04</v>
      </c>
      <c r="K93" s="60">
        <v>14.53</v>
      </c>
      <c r="L93" s="60">
        <v>26.02</v>
      </c>
      <c r="M93" s="60">
        <v>40.049999999999997</v>
      </c>
      <c r="N93" s="60">
        <v>5</v>
      </c>
      <c r="O93" s="60">
        <v>0</v>
      </c>
      <c r="P93" s="60">
        <v>1.28</v>
      </c>
      <c r="Q93" s="60">
        <v>32.69</v>
      </c>
      <c r="R93" s="198"/>
      <c r="S93" s="198"/>
      <c r="T93" s="198"/>
      <c r="U93" s="198"/>
    </row>
    <row r="94" spans="1:26" s="12" customFormat="1" x14ac:dyDescent="0.25">
      <c r="A94" s="201" t="s">
        <v>1103</v>
      </c>
      <c r="B94" s="60">
        <v>16.940000000000001</v>
      </c>
      <c r="C94" s="60">
        <v>65.11</v>
      </c>
      <c r="D94" s="60">
        <v>50.26</v>
      </c>
      <c r="E94" s="60">
        <v>3.99</v>
      </c>
      <c r="F94" s="60">
        <v>7.24</v>
      </c>
      <c r="G94" s="60">
        <v>76.7</v>
      </c>
      <c r="H94" s="60">
        <v>24.71</v>
      </c>
      <c r="I94" s="60">
        <v>0.68</v>
      </c>
      <c r="J94" s="60">
        <v>2.09</v>
      </c>
      <c r="K94" s="60">
        <v>18.739999999999998</v>
      </c>
      <c r="L94" s="60">
        <v>25.67</v>
      </c>
      <c r="M94" s="60">
        <v>41.44</v>
      </c>
      <c r="N94" s="60">
        <v>5.0999999999999996</v>
      </c>
      <c r="O94" s="60">
        <v>0</v>
      </c>
      <c r="P94" s="60">
        <v>1.1599999999999999</v>
      </c>
      <c r="Q94" s="60">
        <v>31.95</v>
      </c>
      <c r="R94" s="198"/>
      <c r="S94" s="198"/>
      <c r="T94" s="198"/>
      <c r="U94" s="198"/>
    </row>
    <row r="95" spans="1:26" s="12" customFormat="1" x14ac:dyDescent="0.25">
      <c r="A95" s="201" t="s">
        <v>1104</v>
      </c>
      <c r="B95" s="60">
        <v>13.69</v>
      </c>
      <c r="C95" s="60">
        <v>58</v>
      </c>
      <c r="D95" s="60">
        <v>43.73</v>
      </c>
      <c r="E95" s="60">
        <v>3.4</v>
      </c>
      <c r="F95" s="60">
        <v>7.84</v>
      </c>
      <c r="G95" s="60">
        <v>61</v>
      </c>
      <c r="H95" s="60">
        <v>24</v>
      </c>
      <c r="I95" s="60">
        <v>0.64</v>
      </c>
      <c r="J95" s="60">
        <v>2.29</v>
      </c>
      <c r="K95" s="60">
        <v>15.47</v>
      </c>
      <c r="L95" s="60">
        <v>25.12</v>
      </c>
      <c r="M95" s="60">
        <v>43.61</v>
      </c>
      <c r="N95" s="60">
        <v>5.5</v>
      </c>
      <c r="O95" s="60">
        <v>0</v>
      </c>
      <c r="P95" s="60">
        <v>1.0900000000000001</v>
      </c>
      <c r="Q95" s="60">
        <v>29.6</v>
      </c>
      <c r="R95" s="198"/>
      <c r="S95" s="198"/>
      <c r="T95" s="198"/>
      <c r="U95" s="198"/>
    </row>
    <row r="96" spans="1:26" s="12" customFormat="1" x14ac:dyDescent="0.25">
      <c r="A96" s="201" t="s">
        <v>1105</v>
      </c>
      <c r="B96" s="60">
        <v>10.63</v>
      </c>
      <c r="C96" s="60">
        <v>59.28</v>
      </c>
      <c r="D96" s="60">
        <v>41.98</v>
      </c>
      <c r="E96" s="60">
        <v>3.12</v>
      </c>
      <c r="F96" s="60">
        <v>9.5399999999999991</v>
      </c>
      <c r="G96" s="60">
        <v>61</v>
      </c>
      <c r="H96" s="60">
        <v>24</v>
      </c>
      <c r="I96" s="60">
        <v>0.6</v>
      </c>
      <c r="J96" s="60">
        <v>1.57</v>
      </c>
      <c r="K96" s="60">
        <v>14.93</v>
      </c>
      <c r="L96" s="60">
        <v>24.76</v>
      </c>
      <c r="M96" s="60">
        <v>43.71</v>
      </c>
      <c r="N96" s="60">
        <v>4.8</v>
      </c>
      <c r="O96" s="60">
        <v>0</v>
      </c>
      <c r="P96" s="60">
        <v>0.99</v>
      </c>
      <c r="Q96" s="60">
        <v>27.36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1106</v>
      </c>
      <c r="B97" s="60">
        <v>10.97</v>
      </c>
      <c r="C97" s="60">
        <v>59.54</v>
      </c>
      <c r="D97" s="60">
        <v>42.4</v>
      </c>
      <c r="E97" s="60">
        <v>5.29</v>
      </c>
      <c r="F97" s="60">
        <v>8.2200000000000006</v>
      </c>
      <c r="G97" s="60">
        <v>61</v>
      </c>
      <c r="H97" s="60">
        <v>24</v>
      </c>
      <c r="I97" s="60">
        <v>0.57999999999999996</v>
      </c>
      <c r="J97" s="60">
        <v>1.69</v>
      </c>
      <c r="K97" s="60">
        <v>18.190000000000001</v>
      </c>
      <c r="L97" s="60">
        <v>24.65</v>
      </c>
      <c r="M97" s="60">
        <v>43.32</v>
      </c>
      <c r="N97" s="60">
        <v>4.5</v>
      </c>
      <c r="O97" s="60">
        <v>0</v>
      </c>
      <c r="P97" s="60">
        <v>0.97</v>
      </c>
      <c r="Q97" s="60">
        <v>27.37</v>
      </c>
      <c r="R97" s="198"/>
      <c r="S97" s="198"/>
      <c r="T97" s="198"/>
      <c r="U97" s="198"/>
    </row>
    <row r="98" spans="1:33" s="12" customFormat="1" x14ac:dyDescent="0.25">
      <c r="A98" s="201" t="s">
        <v>1107</v>
      </c>
      <c r="B98" s="60">
        <v>11.3</v>
      </c>
      <c r="C98" s="60">
        <v>61.35</v>
      </c>
      <c r="D98" s="60">
        <v>43.66</v>
      </c>
      <c r="E98" s="60">
        <v>10</v>
      </c>
      <c r="F98" s="60">
        <v>8.08</v>
      </c>
      <c r="G98" s="60">
        <v>88.61</v>
      </c>
      <c r="H98" s="60">
        <v>21.35</v>
      </c>
      <c r="I98" s="60">
        <v>0.56999999999999995</v>
      </c>
      <c r="J98" s="60">
        <v>1.32</v>
      </c>
      <c r="K98" s="60">
        <v>20.3</v>
      </c>
      <c r="L98" s="60">
        <v>24.53</v>
      </c>
      <c r="M98" s="60">
        <v>43.92</v>
      </c>
      <c r="N98" s="60">
        <v>4.5</v>
      </c>
      <c r="O98" s="60">
        <v>0</v>
      </c>
      <c r="P98" s="60">
        <v>0.95</v>
      </c>
      <c r="Q98" s="60">
        <v>27.24</v>
      </c>
      <c r="R98" s="198"/>
      <c r="S98" s="198"/>
      <c r="T98" s="198"/>
      <c r="U98" s="198"/>
    </row>
    <row r="99" spans="1:33" s="12" customFormat="1" x14ac:dyDescent="0.25">
      <c r="A99" s="201" t="s">
        <v>1108</v>
      </c>
      <c r="B99" s="60">
        <v>9.4700000000000006</v>
      </c>
      <c r="C99" s="60">
        <v>60.27</v>
      </c>
      <c r="D99" s="60">
        <v>41.6</v>
      </c>
      <c r="E99" s="60">
        <v>5.23</v>
      </c>
      <c r="F99" s="60">
        <v>8.8699999999999992</v>
      </c>
      <c r="G99" s="60">
        <v>103.85</v>
      </c>
      <c r="H99" s="60">
        <v>20.88</v>
      </c>
      <c r="I99" s="60">
        <v>0.56000000000000005</v>
      </c>
      <c r="J99" s="60">
        <v>1.43</v>
      </c>
      <c r="K99" s="60">
        <v>23.87</v>
      </c>
      <c r="L99" s="60">
        <v>24.52</v>
      </c>
      <c r="M99" s="60">
        <v>42.88</v>
      </c>
      <c r="N99" s="60">
        <v>4.5</v>
      </c>
      <c r="O99" s="60">
        <v>0</v>
      </c>
      <c r="P99" s="60">
        <v>0.91</v>
      </c>
      <c r="Q99" s="60">
        <v>27.73</v>
      </c>
      <c r="R99" s="198"/>
      <c r="S99" s="198"/>
      <c r="T99" s="198"/>
      <c r="U99" s="198"/>
    </row>
    <row r="100" spans="1:33" s="12" customFormat="1" x14ac:dyDescent="0.25">
      <c r="A100" s="201" t="s">
        <v>1109</v>
      </c>
      <c r="B100" s="60">
        <v>8.93</v>
      </c>
      <c r="C100" s="60">
        <v>58.06</v>
      </c>
      <c r="D100" s="60">
        <v>39.94</v>
      </c>
      <c r="E100" s="60">
        <v>12.2</v>
      </c>
      <c r="F100" s="60">
        <v>9.77</v>
      </c>
      <c r="G100" s="60">
        <v>103.85</v>
      </c>
      <c r="H100" s="60">
        <v>20.88</v>
      </c>
      <c r="I100" s="60">
        <v>0.57999999999999996</v>
      </c>
      <c r="J100" s="60">
        <v>0.5</v>
      </c>
      <c r="K100" s="60">
        <v>19.399999999999999</v>
      </c>
      <c r="L100" s="60">
        <v>24.35</v>
      </c>
      <c r="M100" s="60">
        <v>43.94</v>
      </c>
      <c r="N100" s="60">
        <v>5</v>
      </c>
      <c r="O100" s="60">
        <v>0</v>
      </c>
      <c r="P100" s="60">
        <v>0.87</v>
      </c>
      <c r="Q100" s="60">
        <v>27.98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1110</v>
      </c>
      <c r="B101" s="60">
        <v>10.58</v>
      </c>
      <c r="C101" s="60">
        <v>57.95</v>
      </c>
      <c r="D101" s="60">
        <v>41.2</v>
      </c>
      <c r="E101" s="60">
        <v>17.57</v>
      </c>
      <c r="F101" s="60">
        <v>9.93</v>
      </c>
      <c r="G101" s="60">
        <v>103.85</v>
      </c>
      <c r="H101" s="60">
        <v>20.88</v>
      </c>
      <c r="I101" s="60">
        <v>0.6</v>
      </c>
      <c r="J101" s="60">
        <v>0.37</v>
      </c>
      <c r="K101" s="60">
        <v>33.21</v>
      </c>
      <c r="L101" s="60">
        <v>23.98</v>
      </c>
      <c r="M101" s="60">
        <v>45.25</v>
      </c>
      <c r="N101" s="60">
        <v>4.8</v>
      </c>
      <c r="O101" s="60">
        <v>0</v>
      </c>
      <c r="P101" s="60">
        <v>0.87</v>
      </c>
      <c r="Q101" s="60">
        <v>27.95</v>
      </c>
      <c r="R101" s="198"/>
      <c r="S101" s="198"/>
      <c r="T101" s="198"/>
      <c r="U101" s="198"/>
    </row>
    <row r="102" spans="1:33" s="12" customFormat="1" x14ac:dyDescent="0.25">
      <c r="A102" s="201" t="s">
        <v>1111</v>
      </c>
      <c r="B102" s="60">
        <v>9.35</v>
      </c>
      <c r="C102" s="60">
        <v>57.09</v>
      </c>
      <c r="D102" s="60">
        <v>39.75</v>
      </c>
      <c r="E102" s="60">
        <v>6.6</v>
      </c>
      <c r="F102" s="60">
        <v>4.57</v>
      </c>
      <c r="G102" s="60">
        <v>87.65</v>
      </c>
      <c r="H102" s="60">
        <v>20.170000000000002</v>
      </c>
      <c r="I102" s="60">
        <v>0.57999999999999996</v>
      </c>
      <c r="J102" s="60">
        <v>0.34</v>
      </c>
      <c r="K102" s="60">
        <v>87.88</v>
      </c>
      <c r="L102" s="60">
        <v>23.88</v>
      </c>
      <c r="M102" s="60">
        <v>44.69</v>
      </c>
      <c r="N102" s="60">
        <v>4.5999999999999996</v>
      </c>
      <c r="O102" s="60">
        <v>0</v>
      </c>
      <c r="P102" s="60">
        <v>0.92</v>
      </c>
      <c r="Q102" s="60">
        <v>29.27</v>
      </c>
      <c r="R102" s="198"/>
      <c r="S102" s="198"/>
      <c r="T102" s="198"/>
      <c r="U102" s="198"/>
    </row>
    <row r="103" spans="1:33" s="12" customFormat="1" x14ac:dyDescent="0.25">
      <c r="A103" s="201" t="s">
        <v>1112</v>
      </c>
      <c r="B103" s="60">
        <v>8.99</v>
      </c>
      <c r="C103" s="60">
        <v>58.24</v>
      </c>
      <c r="D103" s="60">
        <v>40.090000000000003</v>
      </c>
      <c r="E103" s="60">
        <v>5.19</v>
      </c>
      <c r="F103" s="60">
        <v>4.21</v>
      </c>
      <c r="G103" s="60">
        <v>78.709999999999994</v>
      </c>
      <c r="H103" s="60">
        <v>20.04</v>
      </c>
      <c r="I103" s="60">
        <v>0.59</v>
      </c>
      <c r="J103" s="60">
        <v>0.27</v>
      </c>
      <c r="K103" s="60">
        <v>112.94</v>
      </c>
      <c r="L103" s="60">
        <v>23.85</v>
      </c>
      <c r="M103" s="60">
        <v>44.94</v>
      </c>
      <c r="N103" s="60">
        <v>4.5999999999999996</v>
      </c>
      <c r="O103" s="60">
        <v>0</v>
      </c>
      <c r="P103" s="60">
        <v>0.92</v>
      </c>
      <c r="Q103" s="60">
        <v>30.62</v>
      </c>
      <c r="R103" s="198"/>
      <c r="S103" s="198"/>
      <c r="T103" s="198"/>
      <c r="U103" s="198"/>
    </row>
    <row r="104" spans="1:33" s="12" customFormat="1" x14ac:dyDescent="0.25">
      <c r="A104" s="201" t="s">
        <v>1113</v>
      </c>
      <c r="B104" s="60">
        <v>8.4700000000000006</v>
      </c>
      <c r="C104" s="60">
        <v>59.38</v>
      </c>
      <c r="D104" s="60">
        <v>40.299999999999997</v>
      </c>
      <c r="E104" s="60">
        <v>2.5099999999999998</v>
      </c>
      <c r="F104" s="60">
        <v>4.16</v>
      </c>
      <c r="G104" s="60">
        <v>78.709999999999994</v>
      </c>
      <c r="H104" s="60">
        <v>20.04</v>
      </c>
      <c r="I104" s="60">
        <v>0.6</v>
      </c>
      <c r="J104" s="60">
        <v>0.2</v>
      </c>
      <c r="K104" s="60">
        <v>119.61</v>
      </c>
      <c r="L104" s="60">
        <v>23.63</v>
      </c>
      <c r="M104" s="60">
        <v>46.45</v>
      </c>
      <c r="N104" s="60">
        <v>4.5999999999999996</v>
      </c>
      <c r="O104" s="60">
        <v>0</v>
      </c>
      <c r="P104" s="60">
        <v>0.93</v>
      </c>
      <c r="Q104" s="60">
        <v>31.47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2.39</v>
      </c>
      <c r="C106" s="67">
        <f>MIN(C9:C104)</f>
        <v>35.630000000000003</v>
      </c>
      <c r="D106" s="67">
        <f t="shared" ref="D106:Q106" si="0">MIN(D9:D104)</f>
        <v>23.11</v>
      </c>
      <c r="E106" s="67">
        <f t="shared" si="0"/>
        <v>1.6</v>
      </c>
      <c r="F106" s="67">
        <f t="shared" si="0"/>
        <v>2.74</v>
      </c>
      <c r="G106" s="67">
        <f t="shared" si="0"/>
        <v>10.029999999999999</v>
      </c>
      <c r="H106" s="67">
        <f t="shared" si="0"/>
        <v>20.04</v>
      </c>
      <c r="I106" s="67">
        <f t="shared" si="0"/>
        <v>0.49</v>
      </c>
      <c r="J106" s="67">
        <f t="shared" si="0"/>
        <v>0.02</v>
      </c>
      <c r="K106" s="67">
        <f t="shared" si="0"/>
        <v>9.19</v>
      </c>
      <c r="L106" s="67">
        <f t="shared" si="0"/>
        <v>20.329999999999998</v>
      </c>
      <c r="M106" s="67">
        <f t="shared" si="0"/>
        <v>22.43</v>
      </c>
      <c r="N106" s="67">
        <f t="shared" si="0"/>
        <v>4.0999999999999996</v>
      </c>
      <c r="O106" s="67">
        <f t="shared" si="0"/>
        <v>0</v>
      </c>
      <c r="P106" s="67">
        <f t="shared" si="0"/>
        <v>0.51</v>
      </c>
      <c r="Q106" s="67">
        <f t="shared" si="0"/>
        <v>18.920000000000002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51.4</v>
      </c>
      <c r="C107" s="66">
        <f t="shared" ref="C107:Q107" si="1">MAX(C9:C104)</f>
        <v>98.8</v>
      </c>
      <c r="D107" s="66">
        <f t="shared" si="1"/>
        <v>89.77</v>
      </c>
      <c r="E107" s="66">
        <f t="shared" si="1"/>
        <v>17.57</v>
      </c>
      <c r="F107" s="66">
        <f t="shared" si="1"/>
        <v>44.68</v>
      </c>
      <c r="G107" s="66">
        <f t="shared" si="1"/>
        <v>235.94</v>
      </c>
      <c r="H107" s="66">
        <f t="shared" si="1"/>
        <v>60.04</v>
      </c>
      <c r="I107" s="66">
        <f t="shared" si="1"/>
        <v>0.8</v>
      </c>
      <c r="J107" s="66">
        <f t="shared" si="1"/>
        <v>3.02</v>
      </c>
      <c r="K107" s="66">
        <f t="shared" si="1"/>
        <v>356.8</v>
      </c>
      <c r="L107" s="66">
        <f t="shared" si="1"/>
        <v>35.159999999999997</v>
      </c>
      <c r="M107" s="66">
        <f t="shared" si="1"/>
        <v>66.760000000000005</v>
      </c>
      <c r="N107" s="66">
        <f t="shared" si="1"/>
        <v>914.5</v>
      </c>
      <c r="O107" s="66">
        <f t="shared" si="1"/>
        <v>0</v>
      </c>
      <c r="P107" s="66">
        <f t="shared" si="1"/>
        <v>1.88</v>
      </c>
      <c r="Q107" s="66">
        <f t="shared" si="1"/>
        <v>35.799999999999997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18.796041666666682</v>
      </c>
      <c r="C108" s="67">
        <f t="shared" ref="C108:Q108" si="2">AVERAGE(C9:C104)</f>
        <v>55.519166666666671</v>
      </c>
      <c r="D108" s="67">
        <f t="shared" si="2"/>
        <v>46.453645833333333</v>
      </c>
      <c r="E108" s="67">
        <f t="shared" si="2"/>
        <v>4.6495833333333323</v>
      </c>
      <c r="F108" s="67">
        <f t="shared" si="2"/>
        <v>9.8158333333333339</v>
      </c>
      <c r="G108" s="67">
        <f t="shared" si="2"/>
        <v>104.45622222222219</v>
      </c>
      <c r="H108" s="67">
        <f t="shared" si="2"/>
        <v>38.229333333333344</v>
      </c>
      <c r="I108" s="67">
        <f t="shared" si="2"/>
        <v>0.62375000000000014</v>
      </c>
      <c r="J108" s="67">
        <f t="shared" si="2"/>
        <v>0.56312500000000021</v>
      </c>
      <c r="K108" s="67">
        <f t="shared" si="2"/>
        <v>119.59802083333336</v>
      </c>
      <c r="L108" s="67">
        <f t="shared" si="2"/>
        <v>27.425520833333337</v>
      </c>
      <c r="M108" s="67">
        <f t="shared" si="2"/>
        <v>41.480520833333337</v>
      </c>
      <c r="N108" s="67">
        <f t="shared" si="2"/>
        <v>244.23229166666658</v>
      </c>
      <c r="O108" s="67">
        <f t="shared" si="2"/>
        <v>0</v>
      </c>
      <c r="P108" s="67">
        <f t="shared" si="2"/>
        <v>1.1058333333333332</v>
      </c>
      <c r="Q108" s="67">
        <f t="shared" si="2"/>
        <v>28.434374999999989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14.563087257942783</v>
      </c>
      <c r="C109" s="67">
        <f t="shared" ref="C109:Q109" si="3">STDEV(C9:C104)</f>
        <v>10.653407823115309</v>
      </c>
      <c r="D109" s="67">
        <f t="shared" si="3"/>
        <v>14.653676393012791</v>
      </c>
      <c r="E109" s="67">
        <f t="shared" si="3"/>
        <v>2.8049185809242378</v>
      </c>
      <c r="F109" s="67">
        <f t="shared" si="3"/>
        <v>8.7577567022691589</v>
      </c>
      <c r="G109" s="67">
        <f t="shared" si="3"/>
        <v>51.943992798159442</v>
      </c>
      <c r="H109" s="67">
        <f t="shared" si="3"/>
        <v>14.46113519096048</v>
      </c>
      <c r="I109" s="67">
        <f t="shared" si="3"/>
        <v>8.4158372007465551E-2</v>
      </c>
      <c r="J109" s="67">
        <f t="shared" si="3"/>
        <v>0.55934042454154476</v>
      </c>
      <c r="K109" s="67">
        <f t="shared" si="3"/>
        <v>105.91431125027721</v>
      </c>
      <c r="L109" s="67">
        <f t="shared" si="3"/>
        <v>4.9853365762512603</v>
      </c>
      <c r="M109" s="67">
        <f t="shared" si="3"/>
        <v>14.800994089643712</v>
      </c>
      <c r="N109" s="67">
        <f t="shared" si="3"/>
        <v>330.12006252742958</v>
      </c>
      <c r="O109" s="67">
        <f t="shared" si="3"/>
        <v>0</v>
      </c>
      <c r="P109" s="67">
        <f t="shared" si="3"/>
        <v>0.41844490718716731</v>
      </c>
      <c r="Q109" s="67">
        <f t="shared" si="3"/>
        <v>4.8751468129041085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93</v>
      </c>
      <c r="H110" s="66">
        <f>COUNT(H9:H104)+3</f>
        <v>93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1114</v>
      </c>
      <c r="B9" s="60">
        <v>8.5</v>
      </c>
      <c r="C9" s="60">
        <v>60.12</v>
      </c>
      <c r="D9" s="60">
        <v>40.74</v>
      </c>
      <c r="E9" s="60">
        <v>4.16</v>
      </c>
      <c r="F9" s="60">
        <v>3.78</v>
      </c>
      <c r="G9" s="60">
        <v>78.709999999999994</v>
      </c>
      <c r="H9" s="60">
        <v>20.04</v>
      </c>
      <c r="I9" s="60">
        <v>0.6</v>
      </c>
      <c r="J9" s="60">
        <v>0.15</v>
      </c>
      <c r="K9" s="60">
        <v>64.209999999999994</v>
      </c>
      <c r="L9" s="60">
        <v>23.62</v>
      </c>
      <c r="M9" s="60">
        <v>46.73</v>
      </c>
      <c r="N9" s="60">
        <v>4.7</v>
      </c>
      <c r="O9" s="60">
        <v>0</v>
      </c>
      <c r="P9" s="60">
        <v>0.98</v>
      </c>
      <c r="Q9" s="60">
        <v>32.03</v>
      </c>
      <c r="R9" s="198"/>
      <c r="S9" s="198"/>
      <c r="T9" s="198"/>
      <c r="U9" s="198"/>
    </row>
    <row r="10" spans="1:21" s="12" customFormat="1" x14ac:dyDescent="0.25">
      <c r="A10" s="201" t="s">
        <v>1115</v>
      </c>
      <c r="B10" s="60">
        <v>8.48</v>
      </c>
      <c r="C10" s="60">
        <v>59.7</v>
      </c>
      <c r="D10" s="60">
        <v>40.49</v>
      </c>
      <c r="E10" s="60">
        <v>3.04</v>
      </c>
      <c r="F10" s="60">
        <v>3.52</v>
      </c>
      <c r="G10" s="60">
        <v>93.16</v>
      </c>
      <c r="H10" s="60">
        <v>20.95</v>
      </c>
      <c r="I10" s="60">
        <v>0.59</v>
      </c>
      <c r="J10" s="60">
        <v>0.12</v>
      </c>
      <c r="K10" s="60">
        <v>340.65</v>
      </c>
      <c r="L10" s="60">
        <v>23.04</v>
      </c>
      <c r="M10" s="60">
        <v>53.06</v>
      </c>
      <c r="N10" s="60">
        <v>5.3</v>
      </c>
      <c r="O10" s="60">
        <v>0</v>
      </c>
      <c r="P10" s="60">
        <v>1.01</v>
      </c>
      <c r="Q10" s="60">
        <v>31.66</v>
      </c>
      <c r="R10" s="198"/>
      <c r="S10" s="198"/>
      <c r="T10" s="198"/>
      <c r="U10" s="198"/>
    </row>
    <row r="11" spans="1:21" s="12" customFormat="1" x14ac:dyDescent="0.25">
      <c r="A11" s="201" t="s">
        <v>1116</v>
      </c>
      <c r="B11" s="60">
        <v>8.25</v>
      </c>
      <c r="C11" s="60">
        <v>58.33</v>
      </c>
      <c r="D11" s="60">
        <v>39.549999999999997</v>
      </c>
      <c r="E11" s="60">
        <v>3.02</v>
      </c>
      <c r="F11" s="60">
        <v>4.1500000000000004</v>
      </c>
      <c r="G11" s="60">
        <v>101.13</v>
      </c>
      <c r="H11" s="60">
        <v>21.11</v>
      </c>
      <c r="I11" s="60">
        <v>0.57999999999999996</v>
      </c>
      <c r="J11" s="60">
        <v>0.31</v>
      </c>
      <c r="K11" s="60">
        <v>105.04</v>
      </c>
      <c r="L11" s="60">
        <v>22.91</v>
      </c>
      <c r="M11" s="60">
        <v>49.99</v>
      </c>
      <c r="N11" s="60">
        <v>4.0999999999999996</v>
      </c>
      <c r="O11" s="60">
        <v>0</v>
      </c>
      <c r="P11" s="60">
        <v>1.03</v>
      </c>
      <c r="Q11" s="60">
        <v>31.34</v>
      </c>
      <c r="R11" s="198"/>
      <c r="S11" s="198"/>
      <c r="T11" s="198"/>
      <c r="U11" s="198"/>
    </row>
    <row r="12" spans="1:21" s="12" customFormat="1" x14ac:dyDescent="0.25">
      <c r="A12" s="201" t="s">
        <v>1117</v>
      </c>
      <c r="B12" s="60">
        <v>7.44</v>
      </c>
      <c r="C12" s="60">
        <v>57.17</v>
      </c>
      <c r="D12" s="60">
        <v>38.25</v>
      </c>
      <c r="E12" s="60">
        <v>2.54</v>
      </c>
      <c r="F12" s="60">
        <v>5.07</v>
      </c>
      <c r="G12" s="60">
        <v>101.13</v>
      </c>
      <c r="H12" s="60">
        <v>21.11</v>
      </c>
      <c r="I12" s="60">
        <v>0.56999999999999995</v>
      </c>
      <c r="J12" s="60">
        <v>0.27</v>
      </c>
      <c r="K12" s="60">
        <v>134.69</v>
      </c>
      <c r="L12" s="60">
        <v>23.23</v>
      </c>
      <c r="M12" s="60">
        <v>50.17</v>
      </c>
      <c r="N12" s="60">
        <v>4.5999999999999996</v>
      </c>
      <c r="O12" s="60">
        <v>0</v>
      </c>
      <c r="P12" s="60">
        <v>1</v>
      </c>
      <c r="Q12" s="60">
        <v>30.88</v>
      </c>
      <c r="R12" s="198"/>
      <c r="S12" s="198"/>
      <c r="T12" s="198"/>
      <c r="U12" s="198"/>
    </row>
    <row r="13" spans="1:21" s="12" customFormat="1" x14ac:dyDescent="0.25">
      <c r="A13" s="201" t="s">
        <v>1118</v>
      </c>
      <c r="B13" s="60">
        <v>10.55</v>
      </c>
      <c r="C13" s="60">
        <v>57</v>
      </c>
      <c r="D13" s="60">
        <v>40.659999999999997</v>
      </c>
      <c r="E13" s="60">
        <v>8.3800000000000008</v>
      </c>
      <c r="F13" s="60">
        <v>7.17</v>
      </c>
      <c r="G13" s="60">
        <v>101.13</v>
      </c>
      <c r="H13" s="60">
        <v>21.11</v>
      </c>
      <c r="I13" s="60">
        <v>0.56999999999999995</v>
      </c>
      <c r="J13" s="60">
        <v>0.17</v>
      </c>
      <c r="K13" s="60">
        <v>353.8</v>
      </c>
      <c r="L13" s="60">
        <v>22.65</v>
      </c>
      <c r="M13" s="60">
        <v>54.37</v>
      </c>
      <c r="N13" s="60">
        <v>5</v>
      </c>
      <c r="O13" s="60">
        <v>0</v>
      </c>
      <c r="P13" s="60">
        <v>0.97</v>
      </c>
      <c r="Q13" s="60">
        <v>27.58</v>
      </c>
      <c r="R13" s="198"/>
      <c r="S13" s="198"/>
      <c r="T13" s="198"/>
      <c r="U13" s="198"/>
    </row>
    <row r="14" spans="1:21" s="12" customFormat="1" x14ac:dyDescent="0.25">
      <c r="A14" s="201" t="s">
        <v>1119</v>
      </c>
      <c r="B14" s="60">
        <v>7.38</v>
      </c>
      <c r="C14" s="60">
        <v>50.52</v>
      </c>
      <c r="D14" s="60">
        <v>34.54</v>
      </c>
      <c r="E14" s="60">
        <v>6.5</v>
      </c>
      <c r="F14" s="60">
        <v>6.75</v>
      </c>
      <c r="G14" s="60">
        <v>81.12</v>
      </c>
      <c r="H14" s="60">
        <v>20.48</v>
      </c>
      <c r="I14" s="60">
        <v>0.55000000000000004</v>
      </c>
      <c r="J14" s="60">
        <v>0.21</v>
      </c>
      <c r="K14" s="60">
        <v>72.61</v>
      </c>
      <c r="L14" s="60">
        <v>22.09</v>
      </c>
      <c r="M14" s="60">
        <v>56.55</v>
      </c>
      <c r="N14" s="60">
        <v>5</v>
      </c>
      <c r="O14" s="60">
        <v>0</v>
      </c>
      <c r="P14" s="60">
        <v>0.98</v>
      </c>
      <c r="Q14" s="60">
        <v>25.97</v>
      </c>
      <c r="R14" s="198"/>
      <c r="S14" s="198"/>
      <c r="T14" s="198"/>
      <c r="U14" s="198"/>
    </row>
    <row r="15" spans="1:21" s="12" customFormat="1" x14ac:dyDescent="0.25">
      <c r="A15" s="201" t="s">
        <v>1120</v>
      </c>
      <c r="B15" s="60">
        <v>7.22</v>
      </c>
      <c r="C15" s="60">
        <v>48.2</v>
      </c>
      <c r="D15" s="60">
        <v>33.130000000000003</v>
      </c>
      <c r="E15" s="60">
        <v>5.96</v>
      </c>
      <c r="F15" s="60">
        <v>7.91</v>
      </c>
      <c r="G15" s="60">
        <v>70.08</v>
      </c>
      <c r="H15" s="60">
        <v>20.3</v>
      </c>
      <c r="I15" s="60">
        <v>0.51</v>
      </c>
      <c r="J15" s="60">
        <v>0.2</v>
      </c>
      <c r="K15" s="60">
        <v>356.86</v>
      </c>
      <c r="L15" s="60">
        <v>22.18</v>
      </c>
      <c r="M15" s="60">
        <v>56.29</v>
      </c>
      <c r="N15" s="60">
        <v>4.7</v>
      </c>
      <c r="O15" s="60">
        <v>0</v>
      </c>
      <c r="P15" s="60">
        <v>0.96</v>
      </c>
      <c r="Q15" s="60">
        <v>25.78</v>
      </c>
      <c r="R15" s="198"/>
      <c r="S15" s="198"/>
      <c r="T15" s="198"/>
      <c r="U15" s="198"/>
    </row>
    <row r="16" spans="1:21" s="12" customFormat="1" x14ac:dyDescent="0.25">
      <c r="A16" s="201" t="s">
        <v>1121</v>
      </c>
      <c r="B16" s="60">
        <v>7.26</v>
      </c>
      <c r="C16" s="60">
        <v>46.06</v>
      </c>
      <c r="D16" s="60">
        <v>31.98</v>
      </c>
      <c r="E16" s="60">
        <v>6.73</v>
      </c>
      <c r="F16" s="60">
        <v>9.19</v>
      </c>
      <c r="G16" s="60">
        <v>70.08</v>
      </c>
      <c r="H16" s="60">
        <v>20.3</v>
      </c>
      <c r="I16" s="60">
        <v>0.53</v>
      </c>
      <c r="J16" s="60">
        <v>0.46</v>
      </c>
      <c r="K16" s="60">
        <v>31.67</v>
      </c>
      <c r="L16" s="60">
        <v>22.35</v>
      </c>
      <c r="M16" s="60">
        <v>54.63</v>
      </c>
      <c r="N16" s="60">
        <v>4</v>
      </c>
      <c r="O16" s="60">
        <v>0</v>
      </c>
      <c r="P16" s="60">
        <v>0.92</v>
      </c>
      <c r="Q16" s="60">
        <v>25.97</v>
      </c>
      <c r="R16" s="198"/>
      <c r="S16" s="198"/>
      <c r="T16" s="198"/>
      <c r="U16" s="198"/>
    </row>
    <row r="17" spans="1:21" s="12" customFormat="1" x14ac:dyDescent="0.25">
      <c r="A17" s="201" t="s">
        <v>1122</v>
      </c>
      <c r="B17" s="60">
        <v>8.16</v>
      </c>
      <c r="C17" s="60">
        <v>45.14</v>
      </c>
      <c r="D17" s="60">
        <v>32.19</v>
      </c>
      <c r="E17" s="60">
        <v>4.83</v>
      </c>
      <c r="F17" s="60">
        <v>6.59</v>
      </c>
      <c r="G17" s="60">
        <v>70.08</v>
      </c>
      <c r="H17" s="60">
        <v>20.3</v>
      </c>
      <c r="I17" s="60">
        <v>0.56000000000000005</v>
      </c>
      <c r="J17" s="60">
        <v>0.74</v>
      </c>
      <c r="K17" s="60">
        <v>18.12</v>
      </c>
      <c r="L17" s="60">
        <v>22.62</v>
      </c>
      <c r="M17" s="60">
        <v>51.9</v>
      </c>
      <c r="N17" s="60">
        <v>4.0999999999999996</v>
      </c>
      <c r="O17" s="60">
        <v>0</v>
      </c>
      <c r="P17" s="60">
        <v>0.97</v>
      </c>
      <c r="Q17" s="60">
        <v>25.9</v>
      </c>
      <c r="R17" s="198"/>
      <c r="S17" s="198"/>
      <c r="T17" s="198"/>
      <c r="U17" s="198"/>
    </row>
    <row r="18" spans="1:21" s="12" customFormat="1" x14ac:dyDescent="0.25">
      <c r="A18" s="201" t="s">
        <v>1123</v>
      </c>
      <c r="B18" s="60">
        <v>7.9</v>
      </c>
      <c r="C18" s="60">
        <v>48.63</v>
      </c>
      <c r="D18" s="60">
        <v>33.909999999999997</v>
      </c>
      <c r="E18" s="60">
        <v>11.59</v>
      </c>
      <c r="F18" s="60">
        <v>6.05</v>
      </c>
      <c r="G18" s="60">
        <v>41.07</v>
      </c>
      <c r="H18" s="60">
        <v>17.829999999999998</v>
      </c>
      <c r="I18" s="60">
        <v>0.56000000000000005</v>
      </c>
      <c r="J18" s="60">
        <v>0.23</v>
      </c>
      <c r="K18" s="60">
        <v>22.34</v>
      </c>
      <c r="L18" s="60">
        <v>22.54</v>
      </c>
      <c r="M18" s="60">
        <v>52</v>
      </c>
      <c r="N18" s="60">
        <v>4.9000000000000004</v>
      </c>
      <c r="O18" s="60">
        <v>0</v>
      </c>
      <c r="P18" s="60">
        <v>1.01</v>
      </c>
      <c r="Q18" s="60">
        <v>26.45</v>
      </c>
      <c r="R18" s="198"/>
      <c r="S18" s="198"/>
      <c r="T18" s="198"/>
      <c r="U18" s="198"/>
    </row>
    <row r="19" spans="1:21" s="12" customFormat="1" x14ac:dyDescent="0.25">
      <c r="A19" s="201" t="s">
        <v>1124</v>
      </c>
      <c r="B19" s="60">
        <v>8.5299999999999994</v>
      </c>
      <c r="C19" s="60">
        <v>47.57</v>
      </c>
      <c r="D19" s="60">
        <v>33.83</v>
      </c>
      <c r="E19" s="60">
        <v>9.9499999999999993</v>
      </c>
      <c r="F19" s="60">
        <v>5.89</v>
      </c>
      <c r="G19" s="60">
        <v>25.07</v>
      </c>
      <c r="H19" s="60">
        <v>17.39</v>
      </c>
      <c r="I19" s="60">
        <v>0.56000000000000005</v>
      </c>
      <c r="J19" s="60">
        <v>0.56999999999999995</v>
      </c>
      <c r="K19" s="60">
        <v>13.91</v>
      </c>
      <c r="L19" s="60">
        <v>22.29</v>
      </c>
      <c r="M19" s="60">
        <v>53.6</v>
      </c>
      <c r="N19" s="60">
        <v>4.7</v>
      </c>
      <c r="O19" s="60">
        <v>0</v>
      </c>
      <c r="P19" s="60">
        <v>0.99</v>
      </c>
      <c r="Q19" s="60">
        <v>27.46</v>
      </c>
      <c r="R19" s="198"/>
      <c r="S19" s="198"/>
      <c r="T19" s="198"/>
      <c r="U19" s="198"/>
    </row>
    <row r="20" spans="1:21" s="12" customFormat="1" x14ac:dyDescent="0.25">
      <c r="A20" s="201" t="s">
        <v>1125</v>
      </c>
      <c r="B20" s="60">
        <v>9.09</v>
      </c>
      <c r="C20" s="60">
        <v>43.85</v>
      </c>
      <c r="D20" s="60">
        <v>32.229999999999997</v>
      </c>
      <c r="E20" s="60">
        <v>7.28</v>
      </c>
      <c r="F20" s="60">
        <v>5.38</v>
      </c>
      <c r="G20" s="60">
        <v>25.07</v>
      </c>
      <c r="H20" s="60">
        <v>17.39</v>
      </c>
      <c r="I20" s="60">
        <v>0.56999999999999995</v>
      </c>
      <c r="J20" s="60">
        <v>0.27</v>
      </c>
      <c r="K20" s="60">
        <v>355.09</v>
      </c>
      <c r="L20" s="60">
        <v>22.14</v>
      </c>
      <c r="M20" s="60">
        <v>53.11</v>
      </c>
      <c r="N20" s="60">
        <v>4.8</v>
      </c>
      <c r="O20" s="60">
        <v>0</v>
      </c>
      <c r="P20" s="60">
        <v>0.97</v>
      </c>
      <c r="Q20" s="60">
        <v>27.45</v>
      </c>
      <c r="R20" s="198"/>
      <c r="S20" s="198"/>
      <c r="T20" s="198"/>
      <c r="U20" s="198"/>
    </row>
    <row r="21" spans="1:21" s="12" customFormat="1" x14ac:dyDescent="0.25">
      <c r="A21" s="201" t="s">
        <v>1126</v>
      </c>
      <c r="B21" s="60">
        <v>8.61</v>
      </c>
      <c r="C21" s="60">
        <v>45.96</v>
      </c>
      <c r="D21" s="60">
        <v>33.01</v>
      </c>
      <c r="E21" s="60">
        <v>4.16</v>
      </c>
      <c r="F21" s="60">
        <v>4.05</v>
      </c>
      <c r="G21" s="60">
        <v>25.07</v>
      </c>
      <c r="H21" s="60">
        <v>17.39</v>
      </c>
      <c r="I21" s="60">
        <v>0.59</v>
      </c>
      <c r="J21" s="60">
        <v>7.0000000000000007E-2</v>
      </c>
      <c r="K21" s="60">
        <v>278.44</v>
      </c>
      <c r="L21" s="60">
        <v>22.16</v>
      </c>
      <c r="M21" s="60">
        <v>52.49</v>
      </c>
      <c r="N21" s="60">
        <v>4.7</v>
      </c>
      <c r="O21" s="60">
        <v>0</v>
      </c>
      <c r="P21" s="60">
        <v>0.94</v>
      </c>
      <c r="Q21" s="60">
        <v>28.8</v>
      </c>
      <c r="R21" s="198"/>
      <c r="S21" s="198"/>
      <c r="T21" s="198"/>
      <c r="U21" s="198"/>
    </row>
    <row r="22" spans="1:21" s="12" customFormat="1" x14ac:dyDescent="0.25">
      <c r="A22" s="201" t="s">
        <v>1127</v>
      </c>
      <c r="B22" s="60">
        <v>7.31</v>
      </c>
      <c r="C22" s="60">
        <v>47.91</v>
      </c>
      <c r="D22" s="60">
        <v>33.04</v>
      </c>
      <c r="E22" s="60">
        <v>3.42</v>
      </c>
      <c r="F22" s="60">
        <v>4.4800000000000004</v>
      </c>
      <c r="G22" s="60">
        <v>90.68</v>
      </c>
      <c r="H22" s="60">
        <v>20.85</v>
      </c>
      <c r="I22" s="60">
        <v>0.59</v>
      </c>
      <c r="J22" s="60">
        <v>0.11</v>
      </c>
      <c r="K22" s="60">
        <v>252.17</v>
      </c>
      <c r="L22" s="60">
        <v>22.37</v>
      </c>
      <c r="M22" s="60">
        <v>51.73</v>
      </c>
      <c r="N22" s="60">
        <v>4.7</v>
      </c>
      <c r="O22" s="60">
        <v>0</v>
      </c>
      <c r="P22" s="60">
        <v>0.88</v>
      </c>
      <c r="Q22" s="60">
        <v>29.37</v>
      </c>
      <c r="R22" s="198"/>
      <c r="S22" s="198"/>
      <c r="T22" s="198"/>
      <c r="U22" s="198"/>
    </row>
    <row r="23" spans="1:21" s="12" customFormat="1" x14ac:dyDescent="0.25">
      <c r="A23" s="201" t="s">
        <v>1128</v>
      </c>
      <c r="B23" s="60">
        <v>6.35</v>
      </c>
      <c r="C23" s="60">
        <v>48.66</v>
      </c>
      <c r="D23" s="60">
        <v>32.69</v>
      </c>
      <c r="E23" s="60">
        <v>3.37</v>
      </c>
      <c r="F23" s="60">
        <v>3.81</v>
      </c>
      <c r="G23" s="60">
        <v>126.88</v>
      </c>
      <c r="H23" s="60">
        <v>21.45</v>
      </c>
      <c r="I23" s="60">
        <v>0.59</v>
      </c>
      <c r="J23" s="60">
        <v>0.72</v>
      </c>
      <c r="K23" s="60">
        <v>204.78</v>
      </c>
      <c r="L23" s="60">
        <v>22.14</v>
      </c>
      <c r="M23" s="60">
        <v>58.35</v>
      </c>
      <c r="N23" s="60">
        <v>5</v>
      </c>
      <c r="O23" s="60">
        <v>0</v>
      </c>
      <c r="P23" s="60">
        <v>0.85</v>
      </c>
      <c r="Q23" s="60">
        <v>29.58</v>
      </c>
      <c r="R23" s="198"/>
      <c r="S23" s="198"/>
      <c r="T23" s="198"/>
      <c r="U23" s="198"/>
    </row>
    <row r="24" spans="1:21" s="12" customFormat="1" x14ac:dyDescent="0.25">
      <c r="A24" s="201" t="s">
        <v>1129</v>
      </c>
      <c r="B24" s="60">
        <v>6.17</v>
      </c>
      <c r="C24" s="60">
        <v>48.67</v>
      </c>
      <c r="D24" s="60">
        <v>32.54</v>
      </c>
      <c r="E24" s="60">
        <v>1.79</v>
      </c>
      <c r="F24" s="60">
        <v>3.11</v>
      </c>
      <c r="G24" s="60">
        <v>126.88</v>
      </c>
      <c r="H24" s="60">
        <v>21.45</v>
      </c>
      <c r="I24" s="60">
        <v>0.57999999999999996</v>
      </c>
      <c r="J24" s="60">
        <v>0.21</v>
      </c>
      <c r="K24" s="60">
        <v>240.07</v>
      </c>
      <c r="L24" s="60">
        <v>21.66</v>
      </c>
      <c r="M24" s="60">
        <v>58.73</v>
      </c>
      <c r="N24" s="60">
        <v>5.3</v>
      </c>
      <c r="O24" s="60">
        <v>0</v>
      </c>
      <c r="P24" s="60">
        <v>0.81</v>
      </c>
      <c r="Q24" s="60">
        <v>29.63</v>
      </c>
      <c r="R24" s="198"/>
      <c r="S24" s="198"/>
      <c r="T24" s="198"/>
      <c r="U24" s="198"/>
    </row>
    <row r="25" spans="1:21" s="12" customFormat="1" x14ac:dyDescent="0.25">
      <c r="A25" s="201" t="s">
        <v>1130</v>
      </c>
      <c r="B25" s="60">
        <v>6.27</v>
      </c>
      <c r="C25" s="60">
        <v>48.37</v>
      </c>
      <c r="D25" s="60">
        <v>32.46</v>
      </c>
      <c r="E25" s="60">
        <v>2.46</v>
      </c>
      <c r="F25" s="60">
        <v>2.92</v>
      </c>
      <c r="G25" s="60">
        <v>126.88</v>
      </c>
      <c r="H25" s="60">
        <v>21.45</v>
      </c>
      <c r="I25" s="60">
        <v>0.56999999999999995</v>
      </c>
      <c r="J25" s="60">
        <v>0.06</v>
      </c>
      <c r="K25" s="60">
        <v>300.85000000000002</v>
      </c>
      <c r="L25" s="60">
        <v>21.55</v>
      </c>
      <c r="M25" s="60">
        <v>59.47</v>
      </c>
      <c r="N25" s="60">
        <v>5.2</v>
      </c>
      <c r="O25" s="60">
        <v>0</v>
      </c>
      <c r="P25" s="60">
        <v>0.77</v>
      </c>
      <c r="Q25" s="60">
        <v>29.4</v>
      </c>
      <c r="R25" s="198"/>
      <c r="S25" s="198"/>
      <c r="T25" s="198"/>
      <c r="U25" s="198"/>
    </row>
    <row r="26" spans="1:21" s="12" customFormat="1" x14ac:dyDescent="0.25">
      <c r="A26" s="201" t="s">
        <v>1131</v>
      </c>
      <c r="B26" s="60">
        <v>6.61</v>
      </c>
      <c r="C26" s="60">
        <v>48.02</v>
      </c>
      <c r="D26" s="60">
        <v>32.54</v>
      </c>
      <c r="E26" s="60">
        <v>2.46</v>
      </c>
      <c r="F26" s="60">
        <v>3.08</v>
      </c>
      <c r="G26" s="60">
        <v>78.38</v>
      </c>
      <c r="H26" s="60">
        <v>22.26</v>
      </c>
      <c r="I26" s="60">
        <v>0.56000000000000005</v>
      </c>
      <c r="J26" s="60">
        <v>0.52</v>
      </c>
      <c r="K26" s="60">
        <v>252.43</v>
      </c>
      <c r="L26" s="60">
        <v>21.71</v>
      </c>
      <c r="M26" s="60">
        <v>58.69</v>
      </c>
      <c r="N26" s="60">
        <v>4.5999999999999996</v>
      </c>
      <c r="O26" s="60">
        <v>0</v>
      </c>
      <c r="P26" s="60">
        <v>0.75</v>
      </c>
      <c r="Q26" s="60">
        <v>29.12</v>
      </c>
      <c r="R26" s="198"/>
      <c r="S26" s="198"/>
      <c r="T26" s="198"/>
      <c r="U26" s="198"/>
    </row>
    <row r="27" spans="1:21" s="12" customFormat="1" x14ac:dyDescent="0.25">
      <c r="A27" s="201" t="s">
        <v>1132</v>
      </c>
      <c r="B27" s="60">
        <v>6.63</v>
      </c>
      <c r="C27" s="60">
        <v>43.42</v>
      </c>
      <c r="D27" s="60">
        <v>30.02</v>
      </c>
      <c r="E27" s="60">
        <v>2.17</v>
      </c>
      <c r="F27" s="60">
        <v>3.34</v>
      </c>
      <c r="G27" s="60">
        <v>50.3</v>
      </c>
      <c r="H27" s="60">
        <v>22.4</v>
      </c>
      <c r="I27" s="60">
        <v>0.55000000000000004</v>
      </c>
      <c r="J27" s="60">
        <v>0.47</v>
      </c>
      <c r="K27" s="60">
        <v>247.49</v>
      </c>
      <c r="L27" s="60">
        <v>21.39</v>
      </c>
      <c r="M27" s="60">
        <v>60.95</v>
      </c>
      <c r="N27" s="60">
        <v>5.2</v>
      </c>
      <c r="O27" s="60">
        <v>0</v>
      </c>
      <c r="P27" s="60">
        <v>0.72</v>
      </c>
      <c r="Q27" s="60">
        <v>25.64</v>
      </c>
      <c r="R27" s="198"/>
      <c r="S27" s="198"/>
      <c r="T27" s="198"/>
      <c r="U27" s="198"/>
    </row>
    <row r="28" spans="1:21" s="12" customFormat="1" x14ac:dyDescent="0.25">
      <c r="A28" s="201" t="s">
        <v>1133</v>
      </c>
      <c r="B28" s="60">
        <v>6.6</v>
      </c>
      <c r="C28" s="60">
        <v>38.92</v>
      </c>
      <c r="D28" s="60">
        <v>27.52</v>
      </c>
      <c r="E28" s="60">
        <v>2.44</v>
      </c>
      <c r="F28" s="60">
        <v>3.85</v>
      </c>
      <c r="G28" s="60">
        <v>50.3</v>
      </c>
      <c r="H28" s="60">
        <v>22.4</v>
      </c>
      <c r="I28" s="60">
        <v>0.53</v>
      </c>
      <c r="J28" s="60">
        <v>0.08</v>
      </c>
      <c r="K28" s="60">
        <v>259.89</v>
      </c>
      <c r="L28" s="60">
        <v>21.31</v>
      </c>
      <c r="M28" s="60">
        <v>60.91</v>
      </c>
      <c r="N28" s="60">
        <v>5</v>
      </c>
      <c r="O28" s="60">
        <v>0</v>
      </c>
      <c r="P28" s="60">
        <v>0.69</v>
      </c>
      <c r="Q28" s="60">
        <v>21.56</v>
      </c>
      <c r="R28" s="198"/>
      <c r="S28" s="198"/>
      <c r="T28" s="198"/>
      <c r="U28" s="198"/>
    </row>
    <row r="29" spans="1:21" s="12" customFormat="1" x14ac:dyDescent="0.25">
      <c r="A29" s="201" t="s">
        <v>1134</v>
      </c>
      <c r="B29" s="60">
        <v>6.84</v>
      </c>
      <c r="C29" s="60">
        <v>43.91</v>
      </c>
      <c r="D29" s="60">
        <v>30.46</v>
      </c>
      <c r="E29" s="60">
        <v>3.17</v>
      </c>
      <c r="F29" s="60">
        <v>4.6399999999999997</v>
      </c>
      <c r="G29" s="60">
        <v>50.3</v>
      </c>
      <c r="H29" s="60">
        <v>22.4</v>
      </c>
      <c r="I29" s="60">
        <v>0.53</v>
      </c>
      <c r="J29" s="60">
        <v>0.18</v>
      </c>
      <c r="K29" s="60">
        <v>263.64</v>
      </c>
      <c r="L29" s="60">
        <v>21.46</v>
      </c>
      <c r="M29" s="60">
        <v>59.47</v>
      </c>
      <c r="N29" s="60">
        <v>4.9000000000000004</v>
      </c>
      <c r="O29" s="60">
        <v>0</v>
      </c>
      <c r="P29" s="60">
        <v>0.67</v>
      </c>
      <c r="Q29" s="60">
        <v>22.49</v>
      </c>
      <c r="R29" s="198"/>
      <c r="S29" s="198"/>
      <c r="T29" s="198"/>
      <c r="U29" s="198"/>
    </row>
    <row r="30" spans="1:21" s="12" customFormat="1" x14ac:dyDescent="0.25">
      <c r="A30" s="201" t="s">
        <v>1135</v>
      </c>
      <c r="B30" s="60">
        <v>7.12</v>
      </c>
      <c r="C30" s="60">
        <v>42.54</v>
      </c>
      <c r="D30" s="60">
        <v>29.92</v>
      </c>
      <c r="E30" s="60">
        <v>3.25</v>
      </c>
      <c r="F30" s="60">
        <v>5.03</v>
      </c>
      <c r="G30" s="60">
        <v>79.3</v>
      </c>
      <c r="H30" s="60">
        <v>21.73</v>
      </c>
      <c r="I30" s="60">
        <v>0.53</v>
      </c>
      <c r="J30" s="60">
        <v>0.06</v>
      </c>
      <c r="K30" s="60">
        <v>229.71</v>
      </c>
      <c r="L30" s="60">
        <v>21.58</v>
      </c>
      <c r="M30" s="60">
        <v>58.88</v>
      </c>
      <c r="N30" s="60">
        <v>4.9000000000000004</v>
      </c>
      <c r="O30" s="60">
        <v>0</v>
      </c>
      <c r="P30" s="60">
        <v>0.67</v>
      </c>
      <c r="Q30" s="60">
        <v>22.8</v>
      </c>
      <c r="R30" s="198"/>
      <c r="S30" s="198"/>
      <c r="T30" s="198"/>
      <c r="U30" s="198"/>
    </row>
    <row r="31" spans="1:21" s="12" customFormat="1" x14ac:dyDescent="0.25">
      <c r="A31" s="201" t="s">
        <v>1136</v>
      </c>
      <c r="B31" s="60">
        <v>9.2200000000000006</v>
      </c>
      <c r="C31" s="60">
        <v>42.57</v>
      </c>
      <c r="D31" s="60">
        <v>31.62</v>
      </c>
      <c r="E31" s="60">
        <v>4.42</v>
      </c>
      <c r="F31" s="60">
        <v>6.82</v>
      </c>
      <c r="G31" s="60">
        <v>95.3</v>
      </c>
      <c r="H31" s="60">
        <v>21.53</v>
      </c>
      <c r="I31" s="60">
        <v>0.53</v>
      </c>
      <c r="J31" s="60">
        <v>0.02</v>
      </c>
      <c r="K31" s="60">
        <v>79.22</v>
      </c>
      <c r="L31" s="60">
        <v>21.62</v>
      </c>
      <c r="M31" s="60">
        <v>59.08</v>
      </c>
      <c r="N31" s="60">
        <v>5.7</v>
      </c>
      <c r="O31" s="60">
        <v>0</v>
      </c>
      <c r="P31" s="60">
        <v>0.68</v>
      </c>
      <c r="Q31" s="60">
        <v>23.74</v>
      </c>
      <c r="R31" s="198"/>
      <c r="S31" s="198"/>
      <c r="T31" s="198"/>
      <c r="U31" s="198"/>
    </row>
    <row r="32" spans="1:21" s="12" customFormat="1" x14ac:dyDescent="0.25">
      <c r="A32" s="201" t="s">
        <v>1137</v>
      </c>
      <c r="B32" s="60">
        <v>11.64</v>
      </c>
      <c r="C32" s="60">
        <v>44.57</v>
      </c>
      <c r="D32" s="60">
        <v>34.67</v>
      </c>
      <c r="E32" s="60">
        <v>4.4400000000000004</v>
      </c>
      <c r="F32" s="60">
        <v>4.3099999999999996</v>
      </c>
      <c r="G32" s="60">
        <v>95.3</v>
      </c>
      <c r="H32" s="60">
        <v>21.53</v>
      </c>
      <c r="I32" s="60">
        <v>0.54</v>
      </c>
      <c r="J32" s="60">
        <v>7.0000000000000007E-2</v>
      </c>
      <c r="K32" s="60">
        <v>275.18</v>
      </c>
      <c r="L32" s="60">
        <v>21.71</v>
      </c>
      <c r="M32" s="60">
        <v>59.34</v>
      </c>
      <c r="N32" s="60">
        <v>13.2</v>
      </c>
      <c r="O32" s="60">
        <v>0</v>
      </c>
      <c r="P32" s="60">
        <v>0.73</v>
      </c>
      <c r="Q32" s="60">
        <v>24.49</v>
      </c>
      <c r="R32" s="198"/>
      <c r="S32" s="198"/>
      <c r="T32" s="198"/>
      <c r="U32" s="198"/>
    </row>
    <row r="33" spans="1:21" s="12" customFormat="1" x14ac:dyDescent="0.25">
      <c r="A33" s="201" t="s">
        <v>1138</v>
      </c>
      <c r="B33" s="60">
        <v>11.17</v>
      </c>
      <c r="C33" s="60">
        <v>43.84</v>
      </c>
      <c r="D33" s="60">
        <v>33.89</v>
      </c>
      <c r="E33" s="60">
        <v>4</v>
      </c>
      <c r="F33" s="60">
        <v>3.83</v>
      </c>
      <c r="G33" s="60">
        <v>95.3</v>
      </c>
      <c r="H33" s="60">
        <v>21.53</v>
      </c>
      <c r="I33" s="60">
        <v>0.53</v>
      </c>
      <c r="J33" s="60">
        <v>0.12</v>
      </c>
      <c r="K33" s="60">
        <v>235.51</v>
      </c>
      <c r="L33" s="60">
        <v>22.1</v>
      </c>
      <c r="M33" s="60">
        <v>56.15</v>
      </c>
      <c r="N33" s="60">
        <v>34.1</v>
      </c>
      <c r="O33" s="60">
        <v>0</v>
      </c>
      <c r="P33" s="60">
        <v>0.69</v>
      </c>
      <c r="Q33" s="60">
        <v>25.42</v>
      </c>
      <c r="R33" s="198"/>
      <c r="S33" s="198"/>
      <c r="T33" s="198"/>
      <c r="U33" s="198"/>
    </row>
    <row r="34" spans="1:21" s="12" customFormat="1" x14ac:dyDescent="0.25">
      <c r="A34" s="201" t="s">
        <v>1139</v>
      </c>
      <c r="B34" s="60">
        <v>11.05</v>
      </c>
      <c r="C34" s="60">
        <v>44.11</v>
      </c>
      <c r="D34" s="60">
        <v>33.94</v>
      </c>
      <c r="E34" s="60">
        <v>3.51</v>
      </c>
      <c r="F34" s="60">
        <v>3.86</v>
      </c>
      <c r="G34" s="60">
        <v>90.11</v>
      </c>
      <c r="H34" s="60">
        <v>22.42</v>
      </c>
      <c r="I34" s="60">
        <v>0.55000000000000004</v>
      </c>
      <c r="J34" s="60">
        <v>0.04</v>
      </c>
      <c r="K34" s="60">
        <v>317.56</v>
      </c>
      <c r="L34" s="60">
        <v>22.34</v>
      </c>
      <c r="M34" s="60">
        <v>55.78</v>
      </c>
      <c r="N34" s="60">
        <v>37</v>
      </c>
      <c r="O34" s="60">
        <v>0</v>
      </c>
      <c r="P34" s="60">
        <v>0.7</v>
      </c>
      <c r="Q34" s="60">
        <v>26.94</v>
      </c>
      <c r="R34" s="198"/>
      <c r="S34" s="198"/>
      <c r="T34" s="198"/>
      <c r="U34" s="198"/>
    </row>
    <row r="35" spans="1:21" s="12" customFormat="1" x14ac:dyDescent="0.25">
      <c r="A35" s="201" t="s">
        <v>1140</v>
      </c>
      <c r="B35" s="60">
        <v>10.93</v>
      </c>
      <c r="C35" s="60">
        <v>44.56</v>
      </c>
      <c r="D35" s="60">
        <v>34.1</v>
      </c>
      <c r="E35" s="60">
        <v>2.37</v>
      </c>
      <c r="F35" s="60">
        <v>3.27</v>
      </c>
      <c r="G35" s="60">
        <v>87.25</v>
      </c>
      <c r="H35" s="60">
        <v>22.58</v>
      </c>
      <c r="I35" s="60">
        <v>0.56000000000000005</v>
      </c>
      <c r="J35" s="60">
        <v>0.14000000000000001</v>
      </c>
      <c r="K35" s="60">
        <v>219.29</v>
      </c>
      <c r="L35" s="60">
        <v>22.43</v>
      </c>
      <c r="M35" s="60">
        <v>54.52</v>
      </c>
      <c r="N35" s="60">
        <v>29.5</v>
      </c>
      <c r="O35" s="60">
        <v>0</v>
      </c>
      <c r="P35" s="60">
        <v>0.71</v>
      </c>
      <c r="Q35" s="60">
        <v>28.97</v>
      </c>
      <c r="R35" s="198"/>
      <c r="S35" s="198"/>
      <c r="T35" s="198"/>
      <c r="U35" s="198"/>
    </row>
    <row r="36" spans="1:21" s="12" customFormat="1" x14ac:dyDescent="0.25">
      <c r="A36" s="201" t="s">
        <v>1141</v>
      </c>
      <c r="B36" s="60">
        <v>9.99</v>
      </c>
      <c r="C36" s="60">
        <v>45.72</v>
      </c>
      <c r="D36" s="60">
        <v>33.99</v>
      </c>
      <c r="E36" s="60">
        <v>2.37</v>
      </c>
      <c r="F36" s="60">
        <v>3.38</v>
      </c>
      <c r="G36" s="60">
        <v>87.25</v>
      </c>
      <c r="H36" s="60">
        <v>22.58</v>
      </c>
      <c r="I36" s="60">
        <v>0.56999999999999995</v>
      </c>
      <c r="J36" s="60">
        <v>0.17</v>
      </c>
      <c r="K36" s="60">
        <v>213.13</v>
      </c>
      <c r="L36" s="60">
        <v>22.61</v>
      </c>
      <c r="M36" s="60">
        <v>54.23</v>
      </c>
      <c r="N36" s="60">
        <v>33.1</v>
      </c>
      <c r="O36" s="60">
        <v>0</v>
      </c>
      <c r="P36" s="60">
        <v>0.7</v>
      </c>
      <c r="Q36" s="60">
        <v>29.66</v>
      </c>
      <c r="R36" s="198"/>
      <c r="S36" s="198"/>
      <c r="T36" s="198"/>
      <c r="U36" s="198"/>
    </row>
    <row r="37" spans="1:21" s="12" customFormat="1" x14ac:dyDescent="0.25">
      <c r="A37" s="201" t="s">
        <v>1142</v>
      </c>
      <c r="B37" s="60">
        <v>9.59</v>
      </c>
      <c r="C37" s="60">
        <v>47.27</v>
      </c>
      <c r="D37" s="60">
        <v>34.520000000000003</v>
      </c>
      <c r="E37" s="60">
        <v>2.5</v>
      </c>
      <c r="F37" s="60">
        <v>3.39</v>
      </c>
      <c r="G37" s="60">
        <v>87.25</v>
      </c>
      <c r="H37" s="60">
        <v>22.58</v>
      </c>
      <c r="I37" s="60">
        <v>0.56000000000000005</v>
      </c>
      <c r="J37" s="60">
        <v>0.12</v>
      </c>
      <c r="K37" s="60">
        <v>15.71</v>
      </c>
      <c r="L37" s="60">
        <v>23.08</v>
      </c>
      <c r="M37" s="60">
        <v>54.19</v>
      </c>
      <c r="N37" s="60">
        <v>99.1</v>
      </c>
      <c r="O37" s="60">
        <v>0</v>
      </c>
      <c r="P37" s="60">
        <v>0.68</v>
      </c>
      <c r="Q37" s="60">
        <v>30.08</v>
      </c>
      <c r="R37" s="198"/>
      <c r="S37" s="198"/>
      <c r="T37" s="198"/>
      <c r="U37" s="198"/>
    </row>
    <row r="38" spans="1:21" s="12" customFormat="1" x14ac:dyDescent="0.25">
      <c r="A38" s="201" t="s">
        <v>1143</v>
      </c>
      <c r="B38" s="60">
        <v>10.050000000000001</v>
      </c>
      <c r="C38" s="60">
        <v>48.74</v>
      </c>
      <c r="D38" s="60">
        <v>35.700000000000003</v>
      </c>
      <c r="E38" s="60">
        <v>2.61</v>
      </c>
      <c r="F38" s="60">
        <v>3.32</v>
      </c>
      <c r="G38" s="60">
        <v>50.71</v>
      </c>
      <c r="H38" s="60">
        <v>22.85</v>
      </c>
      <c r="I38" s="60">
        <v>0.54</v>
      </c>
      <c r="J38" s="60">
        <v>0.23</v>
      </c>
      <c r="K38" s="60">
        <v>15.12</v>
      </c>
      <c r="L38" s="60">
        <v>24.04</v>
      </c>
      <c r="M38" s="60">
        <v>52.8</v>
      </c>
      <c r="N38" s="60">
        <v>137.1</v>
      </c>
      <c r="O38" s="60">
        <v>0</v>
      </c>
      <c r="P38" s="60">
        <v>0.76</v>
      </c>
      <c r="Q38" s="60">
        <v>30.45</v>
      </c>
      <c r="R38" s="198"/>
      <c r="S38" s="198"/>
      <c r="T38" s="198"/>
      <c r="U38" s="198"/>
    </row>
    <row r="39" spans="1:21" s="12" customFormat="1" x14ac:dyDescent="0.25">
      <c r="A39" s="201" t="s">
        <v>1144</v>
      </c>
      <c r="B39" s="60">
        <v>9.85</v>
      </c>
      <c r="C39" s="60">
        <v>49.55</v>
      </c>
      <c r="D39" s="60">
        <v>35.979999999999997</v>
      </c>
      <c r="E39" s="60">
        <v>2.2999999999999998</v>
      </c>
      <c r="F39" s="60">
        <v>3.42</v>
      </c>
      <c r="G39" s="60">
        <v>30.55</v>
      </c>
      <c r="H39" s="60">
        <v>22.9</v>
      </c>
      <c r="I39" s="60">
        <v>0.55000000000000004</v>
      </c>
      <c r="J39" s="60">
        <v>0.4</v>
      </c>
      <c r="K39" s="60">
        <v>18.940000000000001</v>
      </c>
      <c r="L39" s="60">
        <v>24.86</v>
      </c>
      <c r="M39" s="60">
        <v>48.99</v>
      </c>
      <c r="N39" s="60">
        <v>250.3</v>
      </c>
      <c r="O39" s="60">
        <v>0</v>
      </c>
      <c r="P39" s="60">
        <v>0.79</v>
      </c>
      <c r="Q39" s="60">
        <v>30.06</v>
      </c>
      <c r="R39" s="198"/>
      <c r="S39" s="198"/>
      <c r="T39" s="198"/>
      <c r="U39" s="198"/>
    </row>
    <row r="40" spans="1:21" s="12" customFormat="1" x14ac:dyDescent="0.25">
      <c r="A40" s="201" t="s">
        <v>1145</v>
      </c>
      <c r="B40" s="60">
        <v>7.94</v>
      </c>
      <c r="C40" s="60">
        <v>50.49</v>
      </c>
      <c r="D40" s="60">
        <v>34.979999999999997</v>
      </c>
      <c r="E40" s="60">
        <v>1.18</v>
      </c>
      <c r="F40" s="60">
        <v>3.81</v>
      </c>
      <c r="G40" s="60">
        <v>30.55</v>
      </c>
      <c r="H40" s="60">
        <v>22.9</v>
      </c>
      <c r="I40" s="60">
        <v>0.56000000000000005</v>
      </c>
      <c r="J40" s="60">
        <v>0.2</v>
      </c>
      <c r="K40" s="60">
        <v>36.94</v>
      </c>
      <c r="L40" s="60">
        <v>25.8</v>
      </c>
      <c r="M40" s="60">
        <v>45.64</v>
      </c>
      <c r="N40" s="60">
        <v>193.4</v>
      </c>
      <c r="O40" s="60">
        <v>0</v>
      </c>
      <c r="P40" s="60">
        <v>0.77</v>
      </c>
      <c r="Q40" s="60">
        <v>28.87</v>
      </c>
      <c r="R40" s="198"/>
      <c r="S40" s="198"/>
      <c r="T40" s="198"/>
      <c r="U40" s="198"/>
    </row>
    <row r="41" spans="1:21" s="12" customFormat="1" x14ac:dyDescent="0.25">
      <c r="A41" s="201" t="s">
        <v>1146</v>
      </c>
      <c r="B41" s="60">
        <v>6.01</v>
      </c>
      <c r="C41" s="60">
        <v>50.2</v>
      </c>
      <c r="D41" s="60">
        <v>33.270000000000003</v>
      </c>
      <c r="E41" s="60">
        <v>2.39</v>
      </c>
      <c r="F41" s="60">
        <v>4.53</v>
      </c>
      <c r="G41" s="60">
        <v>30.55</v>
      </c>
      <c r="H41" s="60">
        <v>22.9</v>
      </c>
      <c r="I41" s="60">
        <v>0.56000000000000005</v>
      </c>
      <c r="J41" s="60">
        <v>0.18</v>
      </c>
      <c r="K41" s="60">
        <v>10.94</v>
      </c>
      <c r="L41" s="60">
        <v>25.39</v>
      </c>
      <c r="M41" s="60">
        <v>45.58</v>
      </c>
      <c r="N41" s="60">
        <v>115.3</v>
      </c>
      <c r="O41" s="60">
        <v>0</v>
      </c>
      <c r="P41" s="60">
        <v>0.8</v>
      </c>
      <c r="Q41" s="60">
        <v>26.6</v>
      </c>
      <c r="R41" s="198"/>
      <c r="S41" s="198"/>
      <c r="T41" s="198"/>
      <c r="U41" s="198"/>
    </row>
    <row r="42" spans="1:21" s="12" customFormat="1" x14ac:dyDescent="0.25">
      <c r="A42" s="201" t="s">
        <v>1147</v>
      </c>
      <c r="B42" s="60">
        <v>5.1100000000000003</v>
      </c>
      <c r="C42" s="60">
        <v>45.14</v>
      </c>
      <c r="D42" s="60">
        <v>29.75</v>
      </c>
      <c r="E42" s="60">
        <v>3.17</v>
      </c>
      <c r="F42" s="60">
        <v>5.89</v>
      </c>
      <c r="G42" s="60">
        <v>71.02</v>
      </c>
      <c r="H42" s="60">
        <v>20.62</v>
      </c>
      <c r="I42" s="60">
        <v>0.55000000000000004</v>
      </c>
      <c r="J42" s="60">
        <v>0.14000000000000001</v>
      </c>
      <c r="K42" s="60">
        <v>20.25</v>
      </c>
      <c r="L42" s="60">
        <v>25.23</v>
      </c>
      <c r="M42" s="60">
        <v>44.96</v>
      </c>
      <c r="N42" s="60">
        <v>78.900000000000006</v>
      </c>
      <c r="O42" s="60">
        <v>0</v>
      </c>
      <c r="P42" s="60">
        <v>0.8</v>
      </c>
      <c r="Q42" s="60">
        <v>21.92</v>
      </c>
      <c r="R42" s="198"/>
      <c r="S42" s="198"/>
      <c r="T42" s="198"/>
      <c r="U42" s="198"/>
    </row>
    <row r="43" spans="1:21" s="12" customFormat="1" x14ac:dyDescent="0.25">
      <c r="A43" s="201" t="s">
        <v>1148</v>
      </c>
      <c r="B43" s="60">
        <v>6.11</v>
      </c>
      <c r="C43" s="60">
        <v>46.01</v>
      </c>
      <c r="D43" s="60">
        <v>31.03</v>
      </c>
      <c r="E43" s="60">
        <v>4.6100000000000003</v>
      </c>
      <c r="F43" s="60">
        <v>8.75</v>
      </c>
      <c r="G43" s="60">
        <v>93.35</v>
      </c>
      <c r="H43" s="60">
        <v>20.23</v>
      </c>
      <c r="I43" s="60">
        <v>0.53</v>
      </c>
      <c r="J43" s="60">
        <v>0.21</v>
      </c>
      <c r="K43" s="60">
        <v>350.98</v>
      </c>
      <c r="L43" s="60">
        <v>25.76</v>
      </c>
      <c r="M43" s="60">
        <v>45.32</v>
      </c>
      <c r="N43" s="60">
        <v>136.1</v>
      </c>
      <c r="O43" s="60">
        <v>0</v>
      </c>
      <c r="P43" s="60">
        <v>0.85</v>
      </c>
      <c r="Q43" s="60">
        <v>20.170000000000002</v>
      </c>
      <c r="R43" s="198"/>
      <c r="S43" s="198"/>
      <c r="T43" s="198"/>
      <c r="U43" s="198"/>
    </row>
    <row r="44" spans="1:21" s="12" customFormat="1" x14ac:dyDescent="0.25">
      <c r="A44" s="201" t="s">
        <v>1149</v>
      </c>
      <c r="B44" s="60">
        <v>6.74</v>
      </c>
      <c r="C44" s="60">
        <v>46.82</v>
      </c>
      <c r="D44" s="60">
        <v>31.98</v>
      </c>
      <c r="E44" s="60">
        <v>2.78</v>
      </c>
      <c r="F44" s="60">
        <v>5.33</v>
      </c>
      <c r="G44" s="60">
        <v>93.35</v>
      </c>
      <c r="H44" s="60">
        <v>20.23</v>
      </c>
      <c r="I44" s="60">
        <v>0.52</v>
      </c>
      <c r="J44" s="60">
        <v>0.71</v>
      </c>
      <c r="K44" s="60">
        <v>353.79</v>
      </c>
      <c r="L44" s="60">
        <v>26.64</v>
      </c>
      <c r="M44" s="60">
        <v>44.79</v>
      </c>
      <c r="N44" s="60">
        <v>208.2</v>
      </c>
      <c r="O44" s="60">
        <v>0</v>
      </c>
      <c r="P44" s="60">
        <v>0.82</v>
      </c>
      <c r="Q44" s="60">
        <v>20.2</v>
      </c>
      <c r="R44" s="198"/>
      <c r="S44" s="198"/>
      <c r="T44" s="198"/>
      <c r="U44" s="198"/>
    </row>
    <row r="45" spans="1:21" s="12" customFormat="1" x14ac:dyDescent="0.25">
      <c r="A45" s="201" t="s">
        <v>1150</v>
      </c>
      <c r="B45" s="60">
        <v>6.73</v>
      </c>
      <c r="C45" s="60">
        <v>47.35</v>
      </c>
      <c r="D45" s="60">
        <v>32.270000000000003</v>
      </c>
      <c r="E45" s="60">
        <v>2.36</v>
      </c>
      <c r="F45" s="60">
        <v>5.61</v>
      </c>
      <c r="G45" s="60">
        <v>93.35</v>
      </c>
      <c r="H45" s="60">
        <v>20.23</v>
      </c>
      <c r="I45" s="60">
        <v>0.54</v>
      </c>
      <c r="J45" s="60">
        <v>0.64</v>
      </c>
      <c r="K45" s="60">
        <v>4.87</v>
      </c>
      <c r="L45" s="60">
        <v>26.84</v>
      </c>
      <c r="M45" s="60">
        <v>44.73</v>
      </c>
      <c r="N45" s="60">
        <v>203.4</v>
      </c>
      <c r="O45" s="60">
        <v>0</v>
      </c>
      <c r="P45" s="60">
        <v>0.94</v>
      </c>
      <c r="Q45" s="60">
        <v>19.739999999999998</v>
      </c>
      <c r="R45" s="198"/>
      <c r="S45" s="198"/>
      <c r="T45" s="198"/>
      <c r="U45" s="198"/>
    </row>
    <row r="46" spans="1:21" s="12" customFormat="1" x14ac:dyDescent="0.25">
      <c r="A46" s="201" t="s">
        <v>1151</v>
      </c>
      <c r="B46" s="60">
        <v>8.6999999999999993</v>
      </c>
      <c r="C46" s="60">
        <v>51.2</v>
      </c>
      <c r="D46" s="60">
        <v>35.97</v>
      </c>
      <c r="E46" s="60">
        <v>6.27</v>
      </c>
      <c r="F46" s="60">
        <v>12.21</v>
      </c>
      <c r="G46" s="60">
        <v>71.959999999999994</v>
      </c>
      <c r="H46" s="60">
        <v>21.31</v>
      </c>
      <c r="I46" s="60">
        <v>0.54</v>
      </c>
      <c r="J46" s="60">
        <v>0.23</v>
      </c>
      <c r="K46" s="60">
        <v>200.17</v>
      </c>
      <c r="L46" s="60">
        <v>27.11</v>
      </c>
      <c r="M46" s="60">
        <v>43.22</v>
      </c>
      <c r="N46" s="60">
        <v>245.4</v>
      </c>
      <c r="O46" s="60">
        <v>0</v>
      </c>
      <c r="P46" s="60">
        <v>1.06</v>
      </c>
      <c r="Q46" s="60">
        <v>20.22</v>
      </c>
      <c r="R46" s="198"/>
      <c r="S46" s="198"/>
      <c r="T46" s="198"/>
      <c r="U46" s="198"/>
    </row>
    <row r="47" spans="1:21" s="12" customFormat="1" x14ac:dyDescent="0.25">
      <c r="A47" s="201" t="s">
        <v>1152</v>
      </c>
      <c r="B47" s="60">
        <v>7.19</v>
      </c>
      <c r="C47" s="60">
        <v>48.18</v>
      </c>
      <c r="D47" s="60">
        <v>33.090000000000003</v>
      </c>
      <c r="E47" s="60">
        <v>5.29</v>
      </c>
      <c r="F47" s="60">
        <v>5.58</v>
      </c>
      <c r="G47" s="60">
        <v>60.16</v>
      </c>
      <c r="H47" s="60">
        <v>21.64</v>
      </c>
      <c r="I47" s="60">
        <v>0.52</v>
      </c>
      <c r="J47" s="60">
        <v>0.28000000000000003</v>
      </c>
      <c r="K47" s="60">
        <v>0.53</v>
      </c>
      <c r="L47" s="60">
        <v>28.25</v>
      </c>
      <c r="M47" s="60">
        <v>41.85</v>
      </c>
      <c r="N47" s="60">
        <v>547.29999999999995</v>
      </c>
      <c r="O47" s="60">
        <v>0</v>
      </c>
      <c r="P47" s="60">
        <v>0.97</v>
      </c>
      <c r="Q47" s="60">
        <v>21.28</v>
      </c>
      <c r="R47" s="198"/>
      <c r="S47" s="198"/>
      <c r="T47" s="198"/>
      <c r="U47" s="198"/>
    </row>
    <row r="48" spans="1:21" s="12" customFormat="1" x14ac:dyDescent="0.25">
      <c r="A48" s="201" t="s">
        <v>1153</v>
      </c>
      <c r="B48" s="60">
        <v>7.29</v>
      </c>
      <c r="C48" s="60">
        <v>48.92</v>
      </c>
      <c r="D48" s="60">
        <v>33.590000000000003</v>
      </c>
      <c r="E48" s="60">
        <v>4.96</v>
      </c>
      <c r="F48" s="60">
        <v>6.77</v>
      </c>
      <c r="G48" s="60">
        <v>60.16</v>
      </c>
      <c r="H48" s="60">
        <v>21.64</v>
      </c>
      <c r="I48" s="60">
        <v>0.54</v>
      </c>
      <c r="J48" s="60">
        <v>0.19</v>
      </c>
      <c r="K48" s="60">
        <v>283.86</v>
      </c>
      <c r="L48" s="60">
        <v>28.95</v>
      </c>
      <c r="M48" s="60">
        <v>40.14</v>
      </c>
      <c r="N48" s="60">
        <v>484.2</v>
      </c>
      <c r="O48" s="60">
        <v>0</v>
      </c>
      <c r="P48" s="60">
        <v>1.03</v>
      </c>
      <c r="Q48" s="60">
        <v>21.76</v>
      </c>
      <c r="R48" s="198"/>
      <c r="S48" s="198"/>
      <c r="T48" s="198"/>
      <c r="U48" s="198"/>
    </row>
    <row r="49" spans="1:21" s="12" customFormat="1" x14ac:dyDescent="0.25">
      <c r="A49" s="201" t="s">
        <v>1154</v>
      </c>
      <c r="B49" s="60">
        <v>6.64</v>
      </c>
      <c r="C49" s="60">
        <v>49.18</v>
      </c>
      <c r="D49" s="60">
        <v>33.21</v>
      </c>
      <c r="E49" s="60">
        <v>3.25</v>
      </c>
      <c r="F49" s="60">
        <v>5.4</v>
      </c>
      <c r="G49" s="60">
        <v>60.16</v>
      </c>
      <c r="H49" s="60">
        <v>21.64</v>
      </c>
      <c r="I49" s="60">
        <v>0.56999999999999995</v>
      </c>
      <c r="J49" s="60">
        <v>0.53</v>
      </c>
      <c r="K49" s="60">
        <v>9.94</v>
      </c>
      <c r="L49" s="60">
        <v>30.18</v>
      </c>
      <c r="M49" s="60">
        <v>38.729999999999997</v>
      </c>
      <c r="N49" s="60">
        <v>302.89999999999998</v>
      </c>
      <c r="O49" s="60">
        <v>0</v>
      </c>
      <c r="P49" s="60">
        <v>1.0900000000000001</v>
      </c>
      <c r="Q49" s="60">
        <v>23.43</v>
      </c>
      <c r="R49" s="198"/>
      <c r="S49" s="198"/>
      <c r="T49" s="198"/>
      <c r="U49" s="198"/>
    </row>
    <row r="50" spans="1:21" s="12" customFormat="1" x14ac:dyDescent="0.25">
      <c r="A50" s="201" t="s">
        <v>1155</v>
      </c>
      <c r="B50" s="60">
        <v>6.25</v>
      </c>
      <c r="C50" s="60">
        <v>53.04</v>
      </c>
      <c r="D50" s="60">
        <v>35.03</v>
      </c>
      <c r="E50" s="60">
        <v>3.04</v>
      </c>
      <c r="F50" s="60">
        <v>4.8499999999999996</v>
      </c>
      <c r="G50" s="60">
        <v>65.97</v>
      </c>
      <c r="H50" s="60">
        <v>23.28</v>
      </c>
      <c r="I50" s="60">
        <v>0.56999999999999995</v>
      </c>
      <c r="J50" s="60">
        <v>0.23</v>
      </c>
      <c r="K50" s="60">
        <v>359.69</v>
      </c>
      <c r="L50" s="60">
        <v>30.67</v>
      </c>
      <c r="M50" s="60">
        <v>36.86</v>
      </c>
      <c r="N50" s="60">
        <v>263.60000000000002</v>
      </c>
      <c r="O50" s="60">
        <v>0</v>
      </c>
      <c r="P50" s="60">
        <v>1.1499999999999999</v>
      </c>
      <c r="Q50" s="60">
        <v>25.54</v>
      </c>
      <c r="R50" s="198"/>
      <c r="S50" s="198"/>
      <c r="T50" s="198"/>
      <c r="U50" s="198"/>
    </row>
    <row r="51" spans="1:21" s="12" customFormat="1" x14ac:dyDescent="0.25">
      <c r="A51" s="201" t="s">
        <v>1156</v>
      </c>
      <c r="B51" s="60">
        <v>5.32</v>
      </c>
      <c r="C51" s="60">
        <v>56.49</v>
      </c>
      <c r="D51" s="60">
        <v>36.18</v>
      </c>
      <c r="E51" s="60">
        <v>2.4500000000000002</v>
      </c>
      <c r="F51" s="60">
        <v>16.149999999999999</v>
      </c>
      <c r="G51" s="60">
        <v>69.180000000000007</v>
      </c>
      <c r="H51" s="60">
        <v>23.57</v>
      </c>
      <c r="I51" s="60">
        <v>0.56999999999999995</v>
      </c>
      <c r="J51" s="60">
        <v>0.3</v>
      </c>
      <c r="K51" s="60">
        <v>18.670000000000002</v>
      </c>
      <c r="L51" s="60">
        <v>30.65</v>
      </c>
      <c r="M51" s="60">
        <v>36.520000000000003</v>
      </c>
      <c r="N51" s="60">
        <v>418.8</v>
      </c>
      <c r="O51" s="60">
        <v>0</v>
      </c>
      <c r="P51" s="60">
        <v>1.1599999999999999</v>
      </c>
      <c r="Q51" s="60">
        <v>26.01</v>
      </c>
      <c r="R51" s="198"/>
      <c r="S51" s="198"/>
      <c r="T51" s="198"/>
      <c r="U51" s="198"/>
    </row>
    <row r="52" spans="1:21" s="12" customFormat="1" x14ac:dyDescent="0.25">
      <c r="A52" s="201" t="s">
        <v>1157</v>
      </c>
      <c r="B52" s="60">
        <v>3.24</v>
      </c>
      <c r="C52" s="60">
        <v>58.94</v>
      </c>
      <c r="D52" s="60">
        <v>35.86</v>
      </c>
      <c r="E52" s="60">
        <v>46.46</v>
      </c>
      <c r="F52" s="60">
        <v>46.5</v>
      </c>
      <c r="G52" s="60">
        <v>69.180000000000007</v>
      </c>
      <c r="H52" s="60">
        <v>23.57</v>
      </c>
      <c r="I52" s="60">
        <v>0.57999999999999996</v>
      </c>
      <c r="J52" s="60">
        <v>0.35</v>
      </c>
      <c r="K52" s="60">
        <v>7.58</v>
      </c>
      <c r="L52" s="60">
        <v>30.94</v>
      </c>
      <c r="M52" s="60">
        <v>35.46</v>
      </c>
      <c r="N52" s="60">
        <v>350.1</v>
      </c>
      <c r="O52" s="60">
        <v>0</v>
      </c>
      <c r="P52" s="60">
        <v>0.96</v>
      </c>
      <c r="Q52" s="60">
        <v>21.83</v>
      </c>
      <c r="R52" s="198"/>
      <c r="S52" s="198"/>
      <c r="T52" s="198"/>
      <c r="U52" s="198"/>
    </row>
    <row r="53" spans="1:21" s="12" customFormat="1" x14ac:dyDescent="0.25">
      <c r="A53" s="201" t="s">
        <v>1158</v>
      </c>
      <c r="B53" s="60">
        <v>2.91</v>
      </c>
      <c r="C53" s="60">
        <v>60.74</v>
      </c>
      <c r="D53" s="60">
        <v>36.590000000000003</v>
      </c>
      <c r="E53" s="60">
        <v>206.62</v>
      </c>
      <c r="F53" s="60">
        <v>49.23</v>
      </c>
      <c r="G53" s="60">
        <v>69.180000000000007</v>
      </c>
      <c r="H53" s="60">
        <v>23.57</v>
      </c>
      <c r="I53" s="60">
        <v>0.54</v>
      </c>
      <c r="J53" s="60">
        <v>0.72</v>
      </c>
      <c r="K53" s="60">
        <v>1.26</v>
      </c>
      <c r="L53" s="60">
        <v>30.96</v>
      </c>
      <c r="M53" s="60">
        <v>36.14</v>
      </c>
      <c r="N53" s="60">
        <v>445</v>
      </c>
      <c r="O53" s="60">
        <v>0</v>
      </c>
      <c r="P53" s="60">
        <v>1.28</v>
      </c>
      <c r="Q53" s="60">
        <v>20.55</v>
      </c>
      <c r="R53" s="198"/>
      <c r="S53" s="198"/>
      <c r="T53" s="198"/>
      <c r="U53" s="198"/>
    </row>
    <row r="54" spans="1:21" s="12" customFormat="1" x14ac:dyDescent="0.25">
      <c r="A54" s="201" t="s">
        <v>1159</v>
      </c>
      <c r="B54" s="60">
        <v>2.15</v>
      </c>
      <c r="C54" s="60">
        <v>63.35</v>
      </c>
      <c r="D54" s="60">
        <v>37.43</v>
      </c>
      <c r="E54" s="60">
        <v>12.09</v>
      </c>
      <c r="F54" s="60">
        <v>29.22</v>
      </c>
      <c r="G54" s="60">
        <v>69.180000000000007</v>
      </c>
      <c r="H54" s="60">
        <v>23.57</v>
      </c>
      <c r="I54" s="60">
        <v>0.49</v>
      </c>
      <c r="J54" s="60">
        <v>0.75</v>
      </c>
      <c r="K54" s="60">
        <v>353.09</v>
      </c>
      <c r="L54" s="60">
        <v>32.229999999999997</v>
      </c>
      <c r="M54" s="60">
        <v>33.630000000000003</v>
      </c>
      <c r="N54" s="60">
        <v>688.7</v>
      </c>
      <c r="O54" s="60">
        <v>0</v>
      </c>
      <c r="P54" s="60">
        <v>1.44</v>
      </c>
      <c r="Q54" s="60">
        <v>22.32</v>
      </c>
      <c r="R54" s="198"/>
      <c r="S54" s="198"/>
      <c r="T54" s="198"/>
      <c r="U54" s="198"/>
    </row>
    <row r="55" spans="1:21" s="12" customFormat="1" x14ac:dyDescent="0.25">
      <c r="A55" s="201" t="s">
        <v>1160</v>
      </c>
      <c r="B55" s="60">
        <v>2</v>
      </c>
      <c r="C55" s="60">
        <v>61.8</v>
      </c>
      <c r="D55" s="60">
        <v>36.450000000000003</v>
      </c>
      <c r="E55" s="60">
        <v>5.18</v>
      </c>
      <c r="F55" s="60">
        <v>15.59</v>
      </c>
      <c r="G55" s="60">
        <v>69.180000000000007</v>
      </c>
      <c r="H55" s="60">
        <v>23.57</v>
      </c>
      <c r="I55" s="60">
        <v>0.49</v>
      </c>
      <c r="J55" s="60">
        <v>0.79</v>
      </c>
      <c r="K55" s="60">
        <v>359.03</v>
      </c>
      <c r="L55" s="60">
        <v>34.06</v>
      </c>
      <c r="M55" s="60">
        <v>29.93</v>
      </c>
      <c r="N55" s="60">
        <v>827</v>
      </c>
      <c r="O55" s="60">
        <v>0</v>
      </c>
      <c r="P55" s="60">
        <v>4.13</v>
      </c>
      <c r="Q55" s="60">
        <v>22.87</v>
      </c>
      <c r="R55" s="198"/>
      <c r="S55" s="198"/>
      <c r="T55" s="198"/>
      <c r="U55" s="198"/>
    </row>
    <row r="56" spans="1:21" s="12" customFormat="1" x14ac:dyDescent="0.25">
      <c r="A56" s="201" t="s">
        <v>1161</v>
      </c>
      <c r="B56" s="60">
        <v>76.45</v>
      </c>
      <c r="C56" s="60">
        <v>5.76</v>
      </c>
      <c r="D56" s="60">
        <v>80.81</v>
      </c>
      <c r="E56" s="60">
        <v>6.64</v>
      </c>
      <c r="F56" s="60">
        <v>28.59</v>
      </c>
      <c r="G56" s="60">
        <v>69.180000000000007</v>
      </c>
      <c r="H56" s="60">
        <v>23.57</v>
      </c>
      <c r="I56" s="60">
        <v>0.48</v>
      </c>
      <c r="J56" s="60">
        <v>0.65</v>
      </c>
      <c r="K56" s="60">
        <v>25.59</v>
      </c>
      <c r="L56" s="60">
        <v>34.36</v>
      </c>
      <c r="M56" s="60">
        <v>29.38</v>
      </c>
      <c r="N56" s="60">
        <v>831.9</v>
      </c>
      <c r="O56" s="60">
        <v>0</v>
      </c>
      <c r="P56" s="60">
        <v>1.17</v>
      </c>
      <c r="Q56" s="60">
        <v>21.48</v>
      </c>
      <c r="R56" s="198"/>
      <c r="S56" s="198"/>
      <c r="T56" s="198"/>
      <c r="U56" s="198"/>
    </row>
    <row r="57" spans="1:21" s="12" customFormat="1" x14ac:dyDescent="0.25">
      <c r="A57" s="201" t="s">
        <v>1162</v>
      </c>
      <c r="B57" s="60">
        <v>152.05000000000001</v>
      </c>
      <c r="C57" s="60">
        <v>6.91</v>
      </c>
      <c r="D57" s="60">
        <v>158.96</v>
      </c>
      <c r="E57" s="60">
        <v>10.34</v>
      </c>
      <c r="F57" s="60">
        <v>36.4</v>
      </c>
      <c r="G57" s="60">
        <v>59.95</v>
      </c>
      <c r="H57" s="60">
        <v>20.420000000000002</v>
      </c>
      <c r="I57" s="60">
        <v>0.48</v>
      </c>
      <c r="J57" s="60">
        <v>0.42</v>
      </c>
      <c r="K57" s="60">
        <v>40.26</v>
      </c>
      <c r="L57" s="60">
        <v>34.1</v>
      </c>
      <c r="M57" s="60">
        <v>29.06</v>
      </c>
      <c r="N57" s="60">
        <v>773.3</v>
      </c>
      <c r="O57" s="60">
        <v>0</v>
      </c>
      <c r="P57" s="60">
        <v>0.98</v>
      </c>
      <c r="Q57" s="60">
        <v>18.37</v>
      </c>
      <c r="R57" s="198"/>
      <c r="S57" s="198"/>
      <c r="T57" s="198"/>
      <c r="U57" s="198"/>
    </row>
    <row r="58" spans="1:21" s="12" customFormat="1" x14ac:dyDescent="0.25">
      <c r="A58" s="201" t="s">
        <v>1163</v>
      </c>
      <c r="B58" s="60">
        <v>163.72999999999999</v>
      </c>
      <c r="C58" s="60">
        <v>7.89</v>
      </c>
      <c r="D58" s="60">
        <v>171.63</v>
      </c>
      <c r="E58" s="60">
        <v>4.91</v>
      </c>
      <c r="F58" s="60">
        <v>11.84</v>
      </c>
      <c r="G58" s="214" t="s">
        <v>40</v>
      </c>
      <c r="H58" s="214" t="s">
        <v>40</v>
      </c>
      <c r="I58" s="60">
        <v>0.48</v>
      </c>
      <c r="J58" s="60">
        <v>0.14000000000000001</v>
      </c>
      <c r="K58" s="60">
        <v>16.559999999999999</v>
      </c>
      <c r="L58" s="60">
        <v>34.380000000000003</v>
      </c>
      <c r="M58" s="60">
        <v>28.03</v>
      </c>
      <c r="N58" s="60">
        <v>858.9</v>
      </c>
      <c r="O58" s="60">
        <v>0</v>
      </c>
      <c r="P58" s="60">
        <v>1.21</v>
      </c>
      <c r="Q58" s="60">
        <v>16.809999999999999</v>
      </c>
      <c r="R58" s="198"/>
      <c r="S58" s="198"/>
      <c r="T58" s="198"/>
      <c r="U58" s="198"/>
    </row>
    <row r="59" spans="1:21" s="12" customFormat="1" x14ac:dyDescent="0.25">
      <c r="A59" s="201" t="s">
        <v>1164</v>
      </c>
      <c r="B59" s="60">
        <v>177.4</v>
      </c>
      <c r="C59" s="60">
        <v>9.0500000000000007</v>
      </c>
      <c r="D59" s="60">
        <v>186.45</v>
      </c>
      <c r="E59" s="60">
        <v>3.81</v>
      </c>
      <c r="F59" s="60">
        <v>24.36</v>
      </c>
      <c r="G59" s="214" t="s">
        <v>40</v>
      </c>
      <c r="H59" s="214" t="s">
        <v>40</v>
      </c>
      <c r="I59" s="60">
        <v>0.49</v>
      </c>
      <c r="J59" s="60">
        <v>0.2</v>
      </c>
      <c r="K59" s="60">
        <v>24.54</v>
      </c>
      <c r="L59" s="60">
        <v>34.590000000000003</v>
      </c>
      <c r="M59" s="60">
        <v>28.1</v>
      </c>
      <c r="N59" s="60">
        <v>735.9</v>
      </c>
      <c r="O59" s="60">
        <v>0</v>
      </c>
      <c r="P59" s="60">
        <v>1.04</v>
      </c>
      <c r="Q59" s="60">
        <v>16.53</v>
      </c>
      <c r="R59" s="198"/>
      <c r="S59" s="198"/>
      <c r="T59" s="198"/>
      <c r="U59" s="198"/>
    </row>
    <row r="60" spans="1:21" s="12" customFormat="1" x14ac:dyDescent="0.25">
      <c r="A60" s="201" t="s">
        <v>1165</v>
      </c>
      <c r="B60" s="60">
        <v>183.99</v>
      </c>
      <c r="C60" s="60">
        <v>9.64</v>
      </c>
      <c r="D60" s="60">
        <v>193.62</v>
      </c>
      <c r="E60" s="60">
        <v>4.5</v>
      </c>
      <c r="F60" s="60">
        <v>15.39</v>
      </c>
      <c r="G60" s="214" t="s">
        <v>40</v>
      </c>
      <c r="H60" s="214" t="s">
        <v>40</v>
      </c>
      <c r="I60" s="60">
        <v>0.52</v>
      </c>
      <c r="J60" s="60">
        <v>0.32</v>
      </c>
      <c r="K60" s="60">
        <v>4.37</v>
      </c>
      <c r="L60" s="60">
        <v>34.65</v>
      </c>
      <c r="M60" s="60">
        <v>27.59</v>
      </c>
      <c r="N60" s="60">
        <v>794.7</v>
      </c>
      <c r="O60" s="60">
        <v>0</v>
      </c>
      <c r="P60" s="60">
        <v>0.96</v>
      </c>
      <c r="Q60" s="60">
        <v>16.12</v>
      </c>
      <c r="R60" s="198"/>
      <c r="S60" s="198"/>
      <c r="T60" s="198"/>
      <c r="U60" s="198"/>
    </row>
    <row r="61" spans="1:21" s="12" customFormat="1" x14ac:dyDescent="0.25">
      <c r="A61" s="201" t="s">
        <v>1166</v>
      </c>
      <c r="B61" s="60">
        <v>186.76</v>
      </c>
      <c r="C61" s="60">
        <v>9.75</v>
      </c>
      <c r="D61" s="60">
        <v>196.51</v>
      </c>
      <c r="E61" s="60">
        <v>3.92</v>
      </c>
      <c r="F61" s="60">
        <v>18.36</v>
      </c>
      <c r="G61" s="60">
        <v>14.38</v>
      </c>
      <c r="H61" s="60">
        <v>2.0099999999999998</v>
      </c>
      <c r="I61" s="60">
        <v>0.51</v>
      </c>
      <c r="J61" s="60">
        <v>0.27</v>
      </c>
      <c r="K61" s="60">
        <v>19.89</v>
      </c>
      <c r="L61" s="60">
        <v>35.29</v>
      </c>
      <c r="M61" s="60">
        <v>25.93</v>
      </c>
      <c r="N61" s="60">
        <v>751.1</v>
      </c>
      <c r="O61" s="60">
        <v>0</v>
      </c>
      <c r="P61" s="60">
        <v>0.84</v>
      </c>
      <c r="Q61" s="60">
        <v>17.05</v>
      </c>
      <c r="R61" s="198"/>
      <c r="S61" s="198"/>
      <c r="T61" s="198"/>
      <c r="U61" s="198"/>
    </row>
    <row r="62" spans="1:21" s="12" customFormat="1" x14ac:dyDescent="0.25">
      <c r="A62" s="201" t="s">
        <v>1167</v>
      </c>
      <c r="B62" s="60">
        <v>187.8</v>
      </c>
      <c r="C62" s="60">
        <v>9.9600000000000009</v>
      </c>
      <c r="D62" s="60">
        <v>197.76</v>
      </c>
      <c r="E62" s="60">
        <v>4.2699999999999996</v>
      </c>
      <c r="F62" s="60">
        <v>24.3</v>
      </c>
      <c r="G62" s="60">
        <v>99.55</v>
      </c>
      <c r="H62" s="60">
        <v>13.9</v>
      </c>
      <c r="I62" s="60">
        <v>0.49</v>
      </c>
      <c r="J62" s="60">
        <v>0.53</v>
      </c>
      <c r="K62" s="60">
        <v>20.440000000000001</v>
      </c>
      <c r="L62" s="60">
        <v>36.520000000000003</v>
      </c>
      <c r="M62" s="60">
        <v>24.66</v>
      </c>
      <c r="N62" s="60">
        <v>821</v>
      </c>
      <c r="O62" s="60">
        <v>0</v>
      </c>
      <c r="P62" s="60">
        <v>0.89</v>
      </c>
      <c r="Q62" s="60">
        <v>17.75</v>
      </c>
      <c r="R62" s="198"/>
      <c r="S62" s="198"/>
      <c r="T62" s="198"/>
      <c r="U62" s="198"/>
    </row>
    <row r="63" spans="1:21" s="12" customFormat="1" x14ac:dyDescent="0.25">
      <c r="A63" s="201" t="s">
        <v>1168</v>
      </c>
      <c r="B63" s="60">
        <v>2</v>
      </c>
      <c r="C63" s="60">
        <v>39.130000000000003</v>
      </c>
      <c r="D63" s="60">
        <v>23.94</v>
      </c>
      <c r="E63" s="60">
        <v>7.3</v>
      </c>
      <c r="F63" s="60">
        <v>29.27</v>
      </c>
      <c r="G63" s="60">
        <v>99.55</v>
      </c>
      <c r="H63" s="60">
        <v>13.9</v>
      </c>
      <c r="I63" s="60">
        <v>0.49</v>
      </c>
      <c r="J63" s="60">
        <v>0.28000000000000003</v>
      </c>
      <c r="K63" s="60">
        <v>12.61</v>
      </c>
      <c r="L63" s="60">
        <v>36.909999999999997</v>
      </c>
      <c r="M63" s="60">
        <v>24.71</v>
      </c>
      <c r="N63" s="60">
        <v>777.7</v>
      </c>
      <c r="O63" s="60">
        <v>0</v>
      </c>
      <c r="P63" s="60">
        <v>1.04</v>
      </c>
      <c r="Q63" s="60">
        <v>18.309999999999999</v>
      </c>
      <c r="R63" s="198"/>
      <c r="S63" s="198"/>
      <c r="T63" s="198"/>
      <c r="U63" s="198"/>
    </row>
    <row r="64" spans="1:21" s="12" customFormat="1" x14ac:dyDescent="0.25">
      <c r="A64" s="201" t="s">
        <v>1169</v>
      </c>
      <c r="B64" s="60">
        <v>2</v>
      </c>
      <c r="C64" s="60">
        <v>42.76</v>
      </c>
      <c r="D64" s="60">
        <v>25.94</v>
      </c>
      <c r="E64" s="60">
        <v>3.6</v>
      </c>
      <c r="F64" s="60">
        <v>16.239999999999998</v>
      </c>
      <c r="G64" s="60">
        <v>99.55</v>
      </c>
      <c r="H64" s="60">
        <v>13.9</v>
      </c>
      <c r="I64" s="60">
        <v>0.49</v>
      </c>
      <c r="J64" s="60">
        <v>0.2</v>
      </c>
      <c r="K64" s="60">
        <v>321.99</v>
      </c>
      <c r="L64" s="60">
        <v>35.94</v>
      </c>
      <c r="M64" s="60">
        <v>24.83</v>
      </c>
      <c r="N64" s="60">
        <v>751.1</v>
      </c>
      <c r="O64" s="60">
        <v>0</v>
      </c>
      <c r="P64" s="60">
        <v>1.08</v>
      </c>
      <c r="Q64" s="60">
        <v>20.74</v>
      </c>
      <c r="R64" s="198"/>
      <c r="S64" s="198"/>
      <c r="T64" s="198"/>
      <c r="U64" s="198"/>
    </row>
    <row r="65" spans="1:21" s="12" customFormat="1" x14ac:dyDescent="0.25">
      <c r="A65" s="201" t="s">
        <v>1170</v>
      </c>
      <c r="B65" s="60">
        <v>2</v>
      </c>
      <c r="C65" s="60">
        <v>42.27</v>
      </c>
      <c r="D65" s="60">
        <v>25.67</v>
      </c>
      <c r="E65" s="60">
        <v>3.57</v>
      </c>
      <c r="F65" s="60">
        <v>14.67</v>
      </c>
      <c r="G65" s="60">
        <v>97.23</v>
      </c>
      <c r="H65" s="60">
        <v>14.56</v>
      </c>
      <c r="I65" s="60">
        <v>0.5</v>
      </c>
      <c r="J65" s="60">
        <v>0.22</v>
      </c>
      <c r="K65" s="60">
        <v>7.09</v>
      </c>
      <c r="L65" s="60">
        <v>34.950000000000003</v>
      </c>
      <c r="M65" s="60">
        <v>26.04</v>
      </c>
      <c r="N65" s="60">
        <v>690.7</v>
      </c>
      <c r="O65" s="60">
        <v>0</v>
      </c>
      <c r="P65" s="60">
        <v>1.04</v>
      </c>
      <c r="Q65" s="60">
        <v>22.18</v>
      </c>
      <c r="R65" s="198"/>
      <c r="S65" s="198"/>
      <c r="T65" s="198"/>
      <c r="U65" s="198"/>
    </row>
    <row r="66" spans="1:21" s="12" customFormat="1" x14ac:dyDescent="0.25">
      <c r="A66" s="201" t="s">
        <v>1171</v>
      </c>
      <c r="B66" s="60">
        <v>2</v>
      </c>
      <c r="C66" s="60">
        <v>41.93</v>
      </c>
      <c r="D66" s="60">
        <v>25.48</v>
      </c>
      <c r="E66" s="60">
        <v>4.4000000000000004</v>
      </c>
      <c r="F66" s="60">
        <v>14.91</v>
      </c>
      <c r="G66" s="60">
        <v>84.65</v>
      </c>
      <c r="H66" s="60">
        <v>17.309999999999999</v>
      </c>
      <c r="I66" s="60">
        <v>0.49</v>
      </c>
      <c r="J66" s="60">
        <v>0.32</v>
      </c>
      <c r="K66" s="60">
        <v>357.81</v>
      </c>
      <c r="L66" s="60">
        <v>35.35</v>
      </c>
      <c r="M66" s="60">
        <v>26.39</v>
      </c>
      <c r="N66" s="60">
        <v>638.6</v>
      </c>
      <c r="O66" s="60">
        <v>0</v>
      </c>
      <c r="P66" s="60">
        <v>1.05</v>
      </c>
      <c r="Q66" s="60">
        <v>23.84</v>
      </c>
      <c r="R66" s="198"/>
      <c r="S66" s="198"/>
      <c r="T66" s="198"/>
      <c r="U66" s="198"/>
    </row>
    <row r="67" spans="1:21" s="12" customFormat="1" x14ac:dyDescent="0.25">
      <c r="A67" s="201" t="s">
        <v>1172</v>
      </c>
      <c r="B67" s="60">
        <v>2.06</v>
      </c>
      <c r="C67" s="60">
        <v>40.78</v>
      </c>
      <c r="D67" s="60">
        <v>24.89</v>
      </c>
      <c r="E67" s="60">
        <v>8.09</v>
      </c>
      <c r="F67" s="60">
        <v>31.65</v>
      </c>
      <c r="G67" s="60">
        <v>84.65</v>
      </c>
      <c r="H67" s="60">
        <v>17.309999999999999</v>
      </c>
      <c r="I67" s="60">
        <v>0.49</v>
      </c>
      <c r="J67" s="60">
        <v>0.46</v>
      </c>
      <c r="K67" s="60">
        <v>21.03</v>
      </c>
      <c r="L67" s="60">
        <v>36.22</v>
      </c>
      <c r="M67" s="60">
        <v>24.61</v>
      </c>
      <c r="N67" s="60">
        <v>495.7</v>
      </c>
      <c r="O67" s="60">
        <v>0</v>
      </c>
      <c r="P67" s="60">
        <v>1.04</v>
      </c>
      <c r="Q67" s="60">
        <v>24.66</v>
      </c>
      <c r="R67" s="198"/>
      <c r="S67" s="198"/>
      <c r="T67" s="198"/>
      <c r="U67" s="198"/>
    </row>
    <row r="68" spans="1:21" s="12" customFormat="1" x14ac:dyDescent="0.25">
      <c r="A68" s="201" t="s">
        <v>1173</v>
      </c>
      <c r="B68" s="60">
        <v>2</v>
      </c>
      <c r="C68" s="60">
        <v>41.92</v>
      </c>
      <c r="D68" s="60">
        <v>25.48</v>
      </c>
      <c r="E68" s="60">
        <v>3.88</v>
      </c>
      <c r="F68" s="60">
        <v>11.46</v>
      </c>
      <c r="G68" s="60">
        <v>84.65</v>
      </c>
      <c r="H68" s="60">
        <v>17.309999999999999</v>
      </c>
      <c r="I68" s="60">
        <v>0.48</v>
      </c>
      <c r="J68" s="60">
        <v>0.53</v>
      </c>
      <c r="K68" s="60">
        <v>17.920000000000002</v>
      </c>
      <c r="L68" s="60">
        <v>35.32</v>
      </c>
      <c r="M68" s="60">
        <v>24.43</v>
      </c>
      <c r="N68" s="60">
        <v>530.4</v>
      </c>
      <c r="O68" s="60">
        <v>0</v>
      </c>
      <c r="P68" s="60">
        <v>1.03</v>
      </c>
      <c r="Q68" s="60">
        <v>25.41</v>
      </c>
      <c r="R68" s="198"/>
      <c r="S68" s="198"/>
      <c r="T68" s="198"/>
      <c r="U68" s="198"/>
    </row>
    <row r="69" spans="1:21" s="12" customFormat="1" x14ac:dyDescent="0.25">
      <c r="A69" s="201" t="s">
        <v>1174</v>
      </c>
      <c r="B69" s="60">
        <v>2.65</v>
      </c>
      <c r="C69" s="60">
        <v>44.92</v>
      </c>
      <c r="D69" s="60">
        <v>27.65</v>
      </c>
      <c r="E69" s="60">
        <v>3.56</v>
      </c>
      <c r="F69" s="60">
        <v>20.93</v>
      </c>
      <c r="G69" s="60">
        <v>81.5</v>
      </c>
      <c r="H69" s="60">
        <v>17.09</v>
      </c>
      <c r="I69" s="60">
        <v>0.48</v>
      </c>
      <c r="J69" s="60">
        <v>0.56000000000000005</v>
      </c>
      <c r="K69" s="60">
        <v>28.2</v>
      </c>
      <c r="L69" s="60">
        <v>35.36</v>
      </c>
      <c r="M69" s="60">
        <v>23.86</v>
      </c>
      <c r="N69" s="60">
        <v>360.4</v>
      </c>
      <c r="O69" s="60">
        <v>0</v>
      </c>
      <c r="P69" s="60">
        <v>0.94</v>
      </c>
      <c r="Q69" s="60">
        <v>26.47</v>
      </c>
      <c r="R69" s="198"/>
      <c r="S69" s="198"/>
      <c r="T69" s="198"/>
      <c r="U69" s="198"/>
    </row>
    <row r="70" spans="1:21" s="12" customFormat="1" x14ac:dyDescent="0.25">
      <c r="A70" s="201" t="s">
        <v>1175</v>
      </c>
      <c r="B70" s="60">
        <v>2.17</v>
      </c>
      <c r="C70" s="60">
        <v>39.090000000000003</v>
      </c>
      <c r="D70" s="60">
        <v>24.05</v>
      </c>
      <c r="E70" s="60">
        <v>5.0999999999999996</v>
      </c>
      <c r="F70" s="60">
        <v>32.33</v>
      </c>
      <c r="G70" s="60">
        <v>64.42</v>
      </c>
      <c r="H70" s="60">
        <v>16.14</v>
      </c>
      <c r="I70" s="60">
        <v>0.49</v>
      </c>
      <c r="J70" s="60">
        <v>0.4</v>
      </c>
      <c r="K70" s="60">
        <v>3.66</v>
      </c>
      <c r="L70" s="60">
        <v>34.79</v>
      </c>
      <c r="M70" s="60">
        <v>24.2</v>
      </c>
      <c r="N70" s="60">
        <v>371.4</v>
      </c>
      <c r="O70" s="60">
        <v>0</v>
      </c>
      <c r="P70" s="60">
        <v>0.81</v>
      </c>
      <c r="Q70" s="60">
        <v>23.81</v>
      </c>
      <c r="R70" s="198"/>
      <c r="S70" s="198"/>
      <c r="T70" s="198"/>
      <c r="U70" s="198"/>
    </row>
    <row r="71" spans="1:21" s="12" customFormat="1" x14ac:dyDescent="0.25">
      <c r="A71" s="201" t="s">
        <v>1176</v>
      </c>
      <c r="B71" s="60">
        <v>2.5499999999999998</v>
      </c>
      <c r="C71" s="60">
        <v>32.369999999999997</v>
      </c>
      <c r="D71" s="60">
        <v>20.65</v>
      </c>
      <c r="E71" s="60">
        <v>9.52</v>
      </c>
      <c r="F71" s="60">
        <v>49.24</v>
      </c>
      <c r="G71" s="60">
        <v>64.42</v>
      </c>
      <c r="H71" s="60">
        <v>16.14</v>
      </c>
      <c r="I71" s="60">
        <v>0.48</v>
      </c>
      <c r="J71" s="60">
        <v>0.26</v>
      </c>
      <c r="K71" s="60">
        <v>42.94</v>
      </c>
      <c r="L71" s="60">
        <v>33.94</v>
      </c>
      <c r="M71" s="60">
        <v>25.2</v>
      </c>
      <c r="N71" s="60">
        <v>194.8</v>
      </c>
      <c r="O71" s="60">
        <v>0</v>
      </c>
      <c r="P71" s="60">
        <v>0.83</v>
      </c>
      <c r="Q71" s="60">
        <v>17.13</v>
      </c>
      <c r="R71" s="198"/>
      <c r="S71" s="198"/>
      <c r="T71" s="198"/>
      <c r="U71" s="198"/>
    </row>
    <row r="72" spans="1:21" s="12" customFormat="1" x14ac:dyDescent="0.25">
      <c r="A72" s="201" t="s">
        <v>1177</v>
      </c>
      <c r="B72" s="60">
        <v>2.39</v>
      </c>
      <c r="C72" s="60">
        <v>35.99</v>
      </c>
      <c r="D72" s="60">
        <v>22.52</v>
      </c>
      <c r="E72" s="60">
        <v>3</v>
      </c>
      <c r="F72" s="60">
        <v>30.34</v>
      </c>
      <c r="G72" s="60">
        <v>64.42</v>
      </c>
      <c r="H72" s="60">
        <v>16.14</v>
      </c>
      <c r="I72" s="60">
        <v>0.47</v>
      </c>
      <c r="J72" s="60">
        <v>0.87</v>
      </c>
      <c r="K72" s="60">
        <v>198.69</v>
      </c>
      <c r="L72" s="60">
        <v>33.11</v>
      </c>
      <c r="M72" s="60">
        <v>26.88</v>
      </c>
      <c r="N72" s="60">
        <v>172.4</v>
      </c>
      <c r="O72" s="60">
        <v>0</v>
      </c>
      <c r="P72" s="60">
        <v>0.85</v>
      </c>
      <c r="Q72" s="60">
        <v>18.5</v>
      </c>
      <c r="R72" s="198"/>
      <c r="S72" s="198"/>
      <c r="T72" s="198"/>
      <c r="U72" s="198"/>
    </row>
    <row r="73" spans="1:21" s="12" customFormat="1" x14ac:dyDescent="0.25">
      <c r="A73" s="201" t="s">
        <v>1178</v>
      </c>
      <c r="B73" s="60">
        <v>2.21</v>
      </c>
      <c r="C73" s="60">
        <v>38.86</v>
      </c>
      <c r="D73" s="60">
        <v>23.96</v>
      </c>
      <c r="E73" s="60">
        <v>8.5399999999999991</v>
      </c>
      <c r="F73" s="60">
        <v>40.9</v>
      </c>
      <c r="G73" s="60">
        <v>59.95</v>
      </c>
      <c r="H73" s="60">
        <v>16.239999999999998</v>
      </c>
      <c r="I73" s="60">
        <v>0.47</v>
      </c>
      <c r="J73" s="60">
        <v>0.75</v>
      </c>
      <c r="K73" s="60">
        <v>200.81</v>
      </c>
      <c r="L73" s="60">
        <v>32.43</v>
      </c>
      <c r="M73" s="60">
        <v>28.23</v>
      </c>
      <c r="N73" s="60">
        <v>127.6</v>
      </c>
      <c r="O73" s="60">
        <v>0</v>
      </c>
      <c r="P73" s="60">
        <v>0.85</v>
      </c>
      <c r="Q73" s="60">
        <v>20.74</v>
      </c>
      <c r="R73" s="198"/>
      <c r="S73" s="198"/>
      <c r="T73" s="198"/>
      <c r="U73" s="198"/>
    </row>
    <row r="74" spans="1:21" s="12" customFormat="1" x14ac:dyDescent="0.25">
      <c r="A74" s="201" t="s">
        <v>1179</v>
      </c>
      <c r="B74" s="60">
        <v>2.2000000000000002</v>
      </c>
      <c r="C74" s="60">
        <v>37.82</v>
      </c>
      <c r="D74" s="60">
        <v>23.37</v>
      </c>
      <c r="E74" s="60">
        <v>12.57</v>
      </c>
      <c r="F74" s="60">
        <v>34.590000000000003</v>
      </c>
      <c r="G74" s="60">
        <v>35.68</v>
      </c>
      <c r="H74" s="60">
        <v>16.75</v>
      </c>
      <c r="I74" s="60">
        <v>0.48</v>
      </c>
      <c r="J74" s="60">
        <v>0.55000000000000004</v>
      </c>
      <c r="K74" s="60">
        <v>240.56</v>
      </c>
      <c r="L74" s="60">
        <v>32.33</v>
      </c>
      <c r="M74" s="60">
        <v>28.38</v>
      </c>
      <c r="N74" s="60">
        <v>112</v>
      </c>
      <c r="O74" s="60">
        <v>0</v>
      </c>
      <c r="P74" s="60">
        <v>0.86</v>
      </c>
      <c r="Q74" s="60">
        <v>20.68</v>
      </c>
      <c r="R74" s="198"/>
      <c r="S74" s="198"/>
      <c r="T74" s="198"/>
      <c r="U74" s="198"/>
    </row>
    <row r="75" spans="1:21" s="12" customFormat="1" x14ac:dyDescent="0.25">
      <c r="A75" s="201" t="s">
        <v>1180</v>
      </c>
      <c r="B75" s="60">
        <v>2.25</v>
      </c>
      <c r="C75" s="60">
        <v>42.13</v>
      </c>
      <c r="D75" s="60">
        <v>25.8</v>
      </c>
      <c r="E75" s="60">
        <v>9.65</v>
      </c>
      <c r="F75" s="60">
        <v>42.87</v>
      </c>
      <c r="G75" s="60">
        <v>35.68</v>
      </c>
      <c r="H75" s="60">
        <v>16.75</v>
      </c>
      <c r="I75" s="60">
        <v>0.48</v>
      </c>
      <c r="J75" s="60">
        <v>0.45</v>
      </c>
      <c r="K75" s="60">
        <v>227.97</v>
      </c>
      <c r="L75" s="60">
        <v>32.229999999999997</v>
      </c>
      <c r="M75" s="60">
        <v>28.2</v>
      </c>
      <c r="N75" s="60">
        <v>99.9</v>
      </c>
      <c r="O75" s="60">
        <v>0</v>
      </c>
      <c r="P75" s="60">
        <v>0.82</v>
      </c>
      <c r="Q75" s="60">
        <v>23.88</v>
      </c>
      <c r="R75" s="198"/>
      <c r="S75" s="198"/>
      <c r="T75" s="198"/>
      <c r="U75" s="198"/>
    </row>
    <row r="76" spans="1:21" s="12" customFormat="1" x14ac:dyDescent="0.25">
      <c r="A76" s="201" t="s">
        <v>1181</v>
      </c>
      <c r="B76" s="60">
        <v>2.37</v>
      </c>
      <c r="C76" s="60">
        <v>40.369999999999997</v>
      </c>
      <c r="D76" s="60">
        <v>24.92</v>
      </c>
      <c r="E76" s="60">
        <v>9.1999999999999993</v>
      </c>
      <c r="F76" s="60">
        <v>34.42</v>
      </c>
      <c r="G76" s="60">
        <v>35.68</v>
      </c>
      <c r="H76" s="60">
        <v>16.75</v>
      </c>
      <c r="I76" s="60">
        <v>0.48</v>
      </c>
      <c r="J76" s="60">
        <v>0.2</v>
      </c>
      <c r="K76" s="60">
        <v>279.51</v>
      </c>
      <c r="L76" s="60">
        <v>32.07</v>
      </c>
      <c r="M76" s="60">
        <v>28.67</v>
      </c>
      <c r="N76" s="60">
        <v>79.8</v>
      </c>
      <c r="O76" s="60">
        <v>0</v>
      </c>
      <c r="P76" s="60">
        <v>0.78</v>
      </c>
      <c r="Q76" s="60">
        <v>22.75</v>
      </c>
      <c r="R76" s="198"/>
      <c r="S76" s="198"/>
      <c r="T76" s="198"/>
      <c r="U76" s="198"/>
    </row>
    <row r="77" spans="1:21" s="12" customFormat="1" x14ac:dyDescent="0.25">
      <c r="A77" s="201" t="s">
        <v>1182</v>
      </c>
      <c r="B77" s="60">
        <v>2.33</v>
      </c>
      <c r="C77" s="60">
        <v>40.57</v>
      </c>
      <c r="D77" s="60">
        <v>25</v>
      </c>
      <c r="E77" s="60">
        <v>4.1500000000000004</v>
      </c>
      <c r="F77" s="60">
        <v>17.63</v>
      </c>
      <c r="G77" s="60">
        <v>33.1</v>
      </c>
      <c r="H77" s="60">
        <v>17.39</v>
      </c>
      <c r="I77" s="60">
        <v>0.48</v>
      </c>
      <c r="J77" s="60">
        <v>0.79</v>
      </c>
      <c r="K77" s="60">
        <v>220.79</v>
      </c>
      <c r="L77" s="60">
        <v>31.8</v>
      </c>
      <c r="M77" s="60">
        <v>29.61</v>
      </c>
      <c r="N77" s="60">
        <v>65.3</v>
      </c>
      <c r="O77" s="60">
        <v>0</v>
      </c>
      <c r="P77" s="60">
        <v>0.75</v>
      </c>
      <c r="Q77" s="60">
        <v>23.68</v>
      </c>
      <c r="R77" s="198"/>
      <c r="S77" s="198"/>
      <c r="T77" s="198"/>
      <c r="U77" s="198"/>
    </row>
    <row r="78" spans="1:21" s="12" customFormat="1" x14ac:dyDescent="0.25">
      <c r="A78" s="201" t="s">
        <v>1183</v>
      </c>
      <c r="B78" s="60">
        <v>2.33</v>
      </c>
      <c r="C78" s="60">
        <v>41.43</v>
      </c>
      <c r="D78" s="60">
        <v>25.48</v>
      </c>
      <c r="E78" s="60">
        <v>3.39</v>
      </c>
      <c r="F78" s="60">
        <v>14.04</v>
      </c>
      <c r="G78" s="60">
        <v>17.84</v>
      </c>
      <c r="H78" s="60">
        <v>20.03</v>
      </c>
      <c r="I78" s="60">
        <v>0.49</v>
      </c>
      <c r="J78" s="60">
        <v>0.45</v>
      </c>
      <c r="K78" s="60">
        <v>236.97</v>
      </c>
      <c r="L78" s="60">
        <v>31.6</v>
      </c>
      <c r="M78" s="60">
        <v>30.13</v>
      </c>
      <c r="N78" s="60">
        <v>50.6</v>
      </c>
      <c r="O78" s="60">
        <v>0</v>
      </c>
      <c r="P78" s="60">
        <v>0.74</v>
      </c>
      <c r="Q78" s="60">
        <v>24.79</v>
      </c>
      <c r="R78" s="198"/>
      <c r="S78" s="198"/>
      <c r="T78" s="198"/>
      <c r="U78" s="198"/>
    </row>
    <row r="79" spans="1:21" s="12" customFormat="1" x14ac:dyDescent="0.25">
      <c r="A79" s="201" t="s">
        <v>1184</v>
      </c>
      <c r="B79" s="60">
        <v>2.2799999999999998</v>
      </c>
      <c r="C79" s="60">
        <v>43.3</v>
      </c>
      <c r="D79" s="60">
        <v>26.47</v>
      </c>
      <c r="E79" s="60">
        <v>2.63</v>
      </c>
      <c r="F79" s="60">
        <v>12.25</v>
      </c>
      <c r="G79" s="60">
        <v>17.84</v>
      </c>
      <c r="H79" s="60">
        <v>20.03</v>
      </c>
      <c r="I79" s="60">
        <v>0.5</v>
      </c>
      <c r="J79" s="60">
        <v>0.56000000000000005</v>
      </c>
      <c r="K79" s="60">
        <v>252.81</v>
      </c>
      <c r="L79" s="60">
        <v>31.36</v>
      </c>
      <c r="M79" s="60">
        <v>30</v>
      </c>
      <c r="N79" s="60">
        <v>35.299999999999997</v>
      </c>
      <c r="O79" s="60">
        <v>0</v>
      </c>
      <c r="P79" s="60">
        <v>0.71</v>
      </c>
      <c r="Q79" s="60">
        <v>25.08</v>
      </c>
      <c r="R79" s="198"/>
      <c r="S79" s="198"/>
      <c r="T79" s="198"/>
      <c r="U79" s="198"/>
    </row>
    <row r="80" spans="1:21" s="12" customFormat="1" x14ac:dyDescent="0.25">
      <c r="A80" s="201" t="s">
        <v>1185</v>
      </c>
      <c r="B80" s="60">
        <v>2.17</v>
      </c>
      <c r="C80" s="60">
        <v>41.5</v>
      </c>
      <c r="D80" s="60">
        <v>25.38</v>
      </c>
      <c r="E80" s="60">
        <v>2.85</v>
      </c>
      <c r="F80" s="60">
        <v>18.47</v>
      </c>
      <c r="G80" s="60">
        <v>17.84</v>
      </c>
      <c r="H80" s="60">
        <v>20.03</v>
      </c>
      <c r="I80" s="60">
        <v>0.53</v>
      </c>
      <c r="J80" s="60">
        <v>0.41</v>
      </c>
      <c r="K80" s="60">
        <v>253.62</v>
      </c>
      <c r="L80" s="60">
        <v>31</v>
      </c>
      <c r="M80" s="60">
        <v>30.82</v>
      </c>
      <c r="N80" s="60">
        <v>20.399999999999999</v>
      </c>
      <c r="O80" s="60">
        <v>0</v>
      </c>
      <c r="P80" s="60">
        <v>0.65</v>
      </c>
      <c r="Q80" s="60">
        <v>24.57</v>
      </c>
      <c r="R80" s="198"/>
      <c r="S80" s="198"/>
      <c r="T80" s="198"/>
      <c r="U80" s="198"/>
    </row>
    <row r="81" spans="1:26" s="12" customFormat="1" x14ac:dyDescent="0.25">
      <c r="A81" s="201" t="s">
        <v>1186</v>
      </c>
      <c r="B81" s="60">
        <v>2.14</v>
      </c>
      <c r="C81" s="60">
        <v>40.32</v>
      </c>
      <c r="D81" s="60">
        <v>24.71</v>
      </c>
      <c r="E81" s="60">
        <v>3.1</v>
      </c>
      <c r="F81" s="60">
        <v>20.9</v>
      </c>
      <c r="G81" s="60">
        <v>22.42</v>
      </c>
      <c r="H81" s="60">
        <v>19.239999999999998</v>
      </c>
      <c r="I81" s="60">
        <v>0.53</v>
      </c>
      <c r="J81" s="60">
        <v>0.26</v>
      </c>
      <c r="K81" s="60">
        <v>272.02</v>
      </c>
      <c r="L81" s="60">
        <v>30.57</v>
      </c>
      <c r="M81" s="60">
        <v>32.409999999999997</v>
      </c>
      <c r="N81" s="60">
        <v>10.1</v>
      </c>
      <c r="O81" s="60">
        <v>0</v>
      </c>
      <c r="P81" s="60">
        <v>0.62</v>
      </c>
      <c r="Q81" s="60">
        <v>24.18</v>
      </c>
      <c r="R81" s="198"/>
      <c r="S81" s="198"/>
      <c r="T81" s="198"/>
      <c r="U81" s="198"/>
    </row>
    <row r="82" spans="1:26" s="12" customFormat="1" x14ac:dyDescent="0.25">
      <c r="A82" s="201" t="s">
        <v>1187</v>
      </c>
      <c r="B82" s="60">
        <v>2.13</v>
      </c>
      <c r="C82" s="60">
        <v>41.36</v>
      </c>
      <c r="D82" s="60">
        <v>25.28</v>
      </c>
      <c r="E82" s="60">
        <v>3.07</v>
      </c>
      <c r="F82" s="60">
        <v>21.51</v>
      </c>
      <c r="G82" s="60">
        <v>47.31</v>
      </c>
      <c r="H82" s="60">
        <v>15.95</v>
      </c>
      <c r="I82" s="60">
        <v>0.5</v>
      </c>
      <c r="J82" s="60">
        <v>0.19</v>
      </c>
      <c r="K82" s="60">
        <v>258.83</v>
      </c>
      <c r="L82" s="60">
        <v>30.13</v>
      </c>
      <c r="M82" s="60">
        <v>33.71</v>
      </c>
      <c r="N82" s="60">
        <v>5.6</v>
      </c>
      <c r="O82" s="60">
        <v>0</v>
      </c>
      <c r="P82" s="60">
        <v>0.62</v>
      </c>
      <c r="Q82" s="60">
        <v>23.66</v>
      </c>
      <c r="R82" s="198"/>
      <c r="S82" s="198"/>
      <c r="T82" s="198"/>
      <c r="U82" s="198"/>
    </row>
    <row r="83" spans="1:26" s="12" customFormat="1" x14ac:dyDescent="0.25">
      <c r="A83" s="201" t="s">
        <v>1188</v>
      </c>
      <c r="B83" s="60">
        <v>2.2200000000000002</v>
      </c>
      <c r="C83" s="60">
        <v>46.35</v>
      </c>
      <c r="D83" s="60">
        <v>28.1</v>
      </c>
      <c r="E83" s="60">
        <v>3.32</v>
      </c>
      <c r="F83" s="60">
        <v>17.29</v>
      </c>
      <c r="G83" s="60">
        <v>47.31</v>
      </c>
      <c r="H83" s="60">
        <v>15.95</v>
      </c>
      <c r="I83" s="60">
        <v>0.5</v>
      </c>
      <c r="J83" s="60">
        <v>0.27</v>
      </c>
      <c r="K83" s="60">
        <v>271.14999999999998</v>
      </c>
      <c r="L83" s="60">
        <v>29.85</v>
      </c>
      <c r="M83" s="60">
        <v>34.200000000000003</v>
      </c>
      <c r="N83" s="60">
        <v>4.7</v>
      </c>
      <c r="O83" s="60">
        <v>0</v>
      </c>
      <c r="P83" s="60">
        <v>0.66</v>
      </c>
      <c r="Q83" s="60">
        <v>23.51</v>
      </c>
      <c r="R83" s="198"/>
      <c r="S83" s="198"/>
      <c r="T83" s="198"/>
      <c r="U83" s="198"/>
    </row>
    <row r="84" spans="1:26" s="12" customFormat="1" x14ac:dyDescent="0.25">
      <c r="A84" s="201" t="s">
        <v>1189</v>
      </c>
      <c r="B84" s="60">
        <v>2.33</v>
      </c>
      <c r="C84" s="60">
        <v>53.87</v>
      </c>
      <c r="D84" s="60">
        <v>32.340000000000003</v>
      </c>
      <c r="E84" s="60">
        <v>3.68</v>
      </c>
      <c r="F84" s="60">
        <v>23.23</v>
      </c>
      <c r="G84" s="60">
        <v>47.31</v>
      </c>
      <c r="H84" s="60">
        <v>15.95</v>
      </c>
      <c r="I84" s="60">
        <v>0.5</v>
      </c>
      <c r="J84" s="60">
        <v>0.15</v>
      </c>
      <c r="K84" s="60">
        <v>211.57</v>
      </c>
      <c r="L84" s="60">
        <v>29.36</v>
      </c>
      <c r="M84" s="60">
        <v>35.17</v>
      </c>
      <c r="N84" s="60">
        <v>4.9000000000000004</v>
      </c>
      <c r="O84" s="60">
        <v>0</v>
      </c>
      <c r="P84" s="60">
        <v>0.71</v>
      </c>
      <c r="Q84" s="60">
        <v>23.52</v>
      </c>
      <c r="R84" s="198"/>
      <c r="S84" s="198"/>
      <c r="T84" s="198"/>
      <c r="U84" s="198"/>
    </row>
    <row r="85" spans="1:26" s="12" customFormat="1" x14ac:dyDescent="0.25">
      <c r="A85" s="201" t="s">
        <v>1190</v>
      </c>
      <c r="B85" s="60">
        <v>4.9400000000000004</v>
      </c>
      <c r="C85" s="60">
        <v>74.08</v>
      </c>
      <c r="D85" s="60">
        <v>45.59</v>
      </c>
      <c r="E85" s="60">
        <v>4.46</v>
      </c>
      <c r="F85" s="60">
        <v>19.079999999999998</v>
      </c>
      <c r="G85" s="60">
        <v>49.68</v>
      </c>
      <c r="H85" s="60">
        <v>16.55</v>
      </c>
      <c r="I85" s="60">
        <v>0.5</v>
      </c>
      <c r="J85" s="60">
        <v>0.11</v>
      </c>
      <c r="K85" s="60">
        <v>256.42</v>
      </c>
      <c r="L85" s="60">
        <v>28.89</v>
      </c>
      <c r="M85" s="60">
        <v>36.46</v>
      </c>
      <c r="N85" s="60">
        <v>4.8</v>
      </c>
      <c r="O85" s="60">
        <v>0</v>
      </c>
      <c r="P85" s="60">
        <v>0.83</v>
      </c>
      <c r="Q85" s="60">
        <v>20.91</v>
      </c>
      <c r="R85" s="198"/>
      <c r="S85" s="198"/>
      <c r="T85" s="198"/>
      <c r="U85" s="198"/>
    </row>
    <row r="86" spans="1:26" s="12" customFormat="1" x14ac:dyDescent="0.25">
      <c r="A86" s="201" t="s">
        <v>1191</v>
      </c>
      <c r="B86" s="60">
        <v>4.67</v>
      </c>
      <c r="C86" s="60">
        <v>76.900000000000006</v>
      </c>
      <c r="D86" s="60">
        <v>46.93</v>
      </c>
      <c r="E86" s="60">
        <v>5.15</v>
      </c>
      <c r="F86" s="60">
        <v>18.21</v>
      </c>
      <c r="G86" s="60">
        <v>62.52</v>
      </c>
      <c r="H86" s="60">
        <v>19.05</v>
      </c>
      <c r="I86" s="60">
        <v>0.53</v>
      </c>
      <c r="J86" s="60">
        <v>7.0000000000000007E-2</v>
      </c>
      <c r="K86" s="60">
        <v>354.32</v>
      </c>
      <c r="L86" s="60">
        <v>28.38</v>
      </c>
      <c r="M86" s="60">
        <v>37.659999999999997</v>
      </c>
      <c r="N86" s="60">
        <v>5</v>
      </c>
      <c r="O86" s="60">
        <v>0</v>
      </c>
      <c r="P86" s="60">
        <v>0.93</v>
      </c>
      <c r="Q86" s="60">
        <v>21.53</v>
      </c>
      <c r="R86" s="198"/>
      <c r="S86" s="198"/>
      <c r="T86" s="198"/>
      <c r="U86" s="198"/>
    </row>
    <row r="87" spans="1:26" s="12" customFormat="1" x14ac:dyDescent="0.25">
      <c r="A87" s="201" t="s">
        <v>1192</v>
      </c>
      <c r="B87" s="60">
        <v>3.33</v>
      </c>
      <c r="C87" s="60">
        <v>53.12</v>
      </c>
      <c r="D87" s="60">
        <v>32.72</v>
      </c>
      <c r="E87" s="60">
        <v>4.99</v>
      </c>
      <c r="F87" s="60">
        <v>32.200000000000003</v>
      </c>
      <c r="G87" s="60">
        <v>62.52</v>
      </c>
      <c r="H87" s="60">
        <v>19.05</v>
      </c>
      <c r="I87" s="60">
        <v>0.56999999999999995</v>
      </c>
      <c r="J87" s="60">
        <v>0.09</v>
      </c>
      <c r="K87" s="60">
        <v>299.91000000000003</v>
      </c>
      <c r="L87" s="60">
        <v>28.36</v>
      </c>
      <c r="M87" s="60">
        <v>35.51</v>
      </c>
      <c r="N87" s="60">
        <v>4.7</v>
      </c>
      <c r="O87" s="60">
        <v>0</v>
      </c>
      <c r="P87" s="60">
        <v>0.82</v>
      </c>
      <c r="Q87" s="60">
        <v>22.34</v>
      </c>
      <c r="R87" s="198"/>
      <c r="S87" s="198"/>
      <c r="T87" s="198"/>
      <c r="U87" s="198"/>
    </row>
    <row r="88" spans="1:26" s="12" customFormat="1" x14ac:dyDescent="0.25">
      <c r="A88" s="201" t="s">
        <v>1193</v>
      </c>
      <c r="B88" s="60">
        <v>5.28</v>
      </c>
      <c r="C88" s="60">
        <v>65.17</v>
      </c>
      <c r="D88" s="60">
        <v>40.94</v>
      </c>
      <c r="E88" s="60">
        <v>3.03</v>
      </c>
      <c r="F88" s="60">
        <v>21.1</v>
      </c>
      <c r="G88" s="60">
        <v>62.52</v>
      </c>
      <c r="H88" s="60">
        <v>19.05</v>
      </c>
      <c r="I88" s="60">
        <v>0.56000000000000005</v>
      </c>
      <c r="J88" s="60">
        <v>0.34</v>
      </c>
      <c r="K88" s="60">
        <v>196.77</v>
      </c>
      <c r="L88" s="60">
        <v>28.53</v>
      </c>
      <c r="M88" s="60">
        <v>35.36</v>
      </c>
      <c r="N88" s="60">
        <v>3.8</v>
      </c>
      <c r="O88" s="60">
        <v>0</v>
      </c>
      <c r="P88" s="60">
        <v>0.83</v>
      </c>
      <c r="Q88" s="60">
        <v>22.45</v>
      </c>
      <c r="R88" s="198"/>
      <c r="S88" s="198"/>
      <c r="T88" s="198"/>
      <c r="U88" s="198"/>
    </row>
    <row r="89" spans="1:26" s="12" customFormat="1" x14ac:dyDescent="0.25">
      <c r="A89" s="201" t="s">
        <v>1194</v>
      </c>
      <c r="B89" s="60">
        <v>4.68</v>
      </c>
      <c r="C89" s="60">
        <v>63.22</v>
      </c>
      <c r="D89" s="60">
        <v>39.39</v>
      </c>
      <c r="E89" s="60">
        <v>5.17</v>
      </c>
      <c r="F89" s="60">
        <v>23.96</v>
      </c>
      <c r="G89" s="60">
        <v>62</v>
      </c>
      <c r="H89" s="60">
        <v>19.36</v>
      </c>
      <c r="I89" s="60">
        <v>0.56000000000000005</v>
      </c>
      <c r="J89" s="60">
        <v>0.27</v>
      </c>
      <c r="K89" s="60">
        <v>200.9</v>
      </c>
      <c r="L89" s="60">
        <v>28.28</v>
      </c>
      <c r="M89" s="60">
        <v>36.340000000000003</v>
      </c>
      <c r="N89" s="60">
        <v>4.5</v>
      </c>
      <c r="O89" s="60">
        <v>0</v>
      </c>
      <c r="P89" s="60">
        <v>0.8</v>
      </c>
      <c r="Q89" s="60">
        <v>22.6</v>
      </c>
      <c r="R89" s="198"/>
      <c r="S89" s="198"/>
      <c r="T89" s="198"/>
      <c r="U89" s="198"/>
    </row>
    <row r="90" spans="1:26" s="12" customFormat="1" x14ac:dyDescent="0.25">
      <c r="A90" s="201" t="s">
        <v>1195</v>
      </c>
      <c r="B90" s="60">
        <v>58.07</v>
      </c>
      <c r="C90" s="60">
        <v>97.3</v>
      </c>
      <c r="D90" s="60">
        <v>101</v>
      </c>
      <c r="E90" s="60">
        <v>5.5</v>
      </c>
      <c r="F90" s="60">
        <v>5.08</v>
      </c>
      <c r="G90" s="60">
        <v>59.15</v>
      </c>
      <c r="H90" s="60">
        <v>21.04</v>
      </c>
      <c r="I90" s="60">
        <v>0.56000000000000005</v>
      </c>
      <c r="J90" s="60">
        <v>0.09</v>
      </c>
      <c r="K90" s="60">
        <v>86.36</v>
      </c>
      <c r="L90" s="60">
        <v>27.48</v>
      </c>
      <c r="M90" s="60">
        <v>40</v>
      </c>
      <c r="N90" s="60">
        <v>5.5</v>
      </c>
      <c r="O90" s="60">
        <v>0</v>
      </c>
      <c r="P90" s="60">
        <v>1.04</v>
      </c>
      <c r="Q90" s="60">
        <v>19.5</v>
      </c>
      <c r="R90" s="198"/>
      <c r="S90" s="198"/>
      <c r="T90" s="198"/>
      <c r="U90" s="198"/>
    </row>
    <row r="91" spans="1:26" s="12" customFormat="1" x14ac:dyDescent="0.25">
      <c r="A91" s="201" t="s">
        <v>1196</v>
      </c>
      <c r="B91" s="60">
        <v>83.93</v>
      </c>
      <c r="C91" s="60">
        <v>94.69</v>
      </c>
      <c r="D91" s="60">
        <v>120.3</v>
      </c>
      <c r="E91" s="60">
        <v>4.75</v>
      </c>
      <c r="F91" s="60">
        <v>3.7</v>
      </c>
      <c r="G91" s="60">
        <v>59.15</v>
      </c>
      <c r="H91" s="60">
        <v>21.04</v>
      </c>
      <c r="I91" s="60">
        <v>0.56000000000000005</v>
      </c>
      <c r="J91" s="60">
        <v>7.0000000000000007E-2</v>
      </c>
      <c r="K91" s="60">
        <v>61.45</v>
      </c>
      <c r="L91" s="60">
        <v>26.82</v>
      </c>
      <c r="M91" s="60">
        <v>43.48</v>
      </c>
      <c r="N91" s="60">
        <v>5</v>
      </c>
      <c r="O91" s="60">
        <v>0</v>
      </c>
      <c r="P91" s="60">
        <v>1.46</v>
      </c>
      <c r="Q91" s="60">
        <v>18.190000000000001</v>
      </c>
      <c r="R91" s="198"/>
      <c r="S91" s="198"/>
      <c r="T91" s="198"/>
      <c r="U91" s="198"/>
    </row>
    <row r="92" spans="1:26" s="12" customFormat="1" x14ac:dyDescent="0.25">
      <c r="A92" s="201" t="s">
        <v>1197</v>
      </c>
      <c r="B92" s="60">
        <v>57.98</v>
      </c>
      <c r="C92" s="60">
        <v>67.209999999999994</v>
      </c>
      <c r="D92" s="60">
        <v>84.33</v>
      </c>
      <c r="E92" s="60">
        <v>4.57</v>
      </c>
      <c r="F92" s="60">
        <v>3.96</v>
      </c>
      <c r="G92" s="60">
        <v>59.15</v>
      </c>
      <c r="H92" s="60">
        <v>21.04</v>
      </c>
      <c r="I92" s="60">
        <v>0.65</v>
      </c>
      <c r="J92" s="60">
        <v>0.12</v>
      </c>
      <c r="K92" s="60">
        <v>32.130000000000003</v>
      </c>
      <c r="L92" s="60">
        <v>26.42</v>
      </c>
      <c r="M92" s="60">
        <v>47.32</v>
      </c>
      <c r="N92" s="60">
        <v>5.2</v>
      </c>
      <c r="O92" s="60">
        <v>0</v>
      </c>
      <c r="P92" s="60">
        <v>1.75</v>
      </c>
      <c r="Q92" s="60">
        <v>22.86</v>
      </c>
      <c r="R92" s="198"/>
      <c r="S92" s="198"/>
      <c r="T92" s="198"/>
      <c r="U92" s="198"/>
    </row>
    <row r="93" spans="1:26" s="12" customFormat="1" x14ac:dyDescent="0.25">
      <c r="A93" s="201" t="s">
        <v>1198</v>
      </c>
      <c r="B93" s="60">
        <v>50.91</v>
      </c>
      <c r="C93" s="60">
        <v>72.05</v>
      </c>
      <c r="D93" s="60">
        <v>81.33</v>
      </c>
      <c r="E93" s="60">
        <v>3.79</v>
      </c>
      <c r="F93" s="60">
        <v>3.79</v>
      </c>
      <c r="G93" s="60">
        <v>63.35</v>
      </c>
      <c r="H93" s="60">
        <v>21.7</v>
      </c>
      <c r="I93" s="60">
        <v>0.73</v>
      </c>
      <c r="J93" s="60">
        <v>0.11</v>
      </c>
      <c r="K93" s="60">
        <v>74.819999999999993</v>
      </c>
      <c r="L93" s="60">
        <v>26.17</v>
      </c>
      <c r="M93" s="60">
        <v>47.19</v>
      </c>
      <c r="N93" s="60">
        <v>4.9000000000000004</v>
      </c>
      <c r="O93" s="60">
        <v>0</v>
      </c>
      <c r="P93" s="60">
        <v>1.58</v>
      </c>
      <c r="Q93" s="60">
        <v>28.64</v>
      </c>
      <c r="R93" s="198"/>
      <c r="S93" s="198"/>
      <c r="T93" s="198"/>
      <c r="U93" s="198"/>
    </row>
    <row r="94" spans="1:26" s="12" customFormat="1" x14ac:dyDescent="0.25">
      <c r="A94" s="201" t="s">
        <v>1199</v>
      </c>
      <c r="B94" s="60">
        <v>63.88</v>
      </c>
      <c r="C94" s="60">
        <v>74.150000000000006</v>
      </c>
      <c r="D94" s="60">
        <v>92.9</v>
      </c>
      <c r="E94" s="60">
        <v>3.41</v>
      </c>
      <c r="F94" s="60">
        <v>3.28</v>
      </c>
      <c r="G94" s="60">
        <v>86.17</v>
      </c>
      <c r="H94" s="60">
        <v>24.48</v>
      </c>
      <c r="I94" s="60">
        <v>0.74</v>
      </c>
      <c r="J94" s="60">
        <v>0.15</v>
      </c>
      <c r="K94" s="60">
        <v>45.52</v>
      </c>
      <c r="L94" s="60">
        <v>25.77</v>
      </c>
      <c r="M94" s="60">
        <v>49.72</v>
      </c>
      <c r="N94" s="60">
        <v>5</v>
      </c>
      <c r="O94" s="60">
        <v>0</v>
      </c>
      <c r="P94" s="60">
        <v>1.94</v>
      </c>
      <c r="Q94" s="60">
        <v>29.98</v>
      </c>
      <c r="R94" s="198"/>
      <c r="S94" s="198"/>
      <c r="T94" s="198"/>
      <c r="U94" s="198"/>
    </row>
    <row r="95" spans="1:26" s="12" customFormat="1" x14ac:dyDescent="0.25">
      <c r="A95" s="201" t="s">
        <v>1200</v>
      </c>
      <c r="B95" s="60">
        <v>63.97</v>
      </c>
      <c r="C95" s="60">
        <v>74.94</v>
      </c>
      <c r="D95" s="60">
        <v>93.4</v>
      </c>
      <c r="E95" s="60">
        <v>3.28</v>
      </c>
      <c r="F95" s="60">
        <v>4.79</v>
      </c>
      <c r="G95" s="60">
        <v>86.17</v>
      </c>
      <c r="H95" s="60">
        <v>24.48</v>
      </c>
      <c r="I95" s="60">
        <v>0.76</v>
      </c>
      <c r="J95" s="60">
        <v>0.12</v>
      </c>
      <c r="K95" s="60">
        <v>74.53</v>
      </c>
      <c r="L95" s="60">
        <v>25.71</v>
      </c>
      <c r="M95" s="60">
        <v>50.3</v>
      </c>
      <c r="N95" s="60">
        <v>4.8</v>
      </c>
      <c r="O95" s="60">
        <v>0</v>
      </c>
      <c r="P95" s="60">
        <v>1.68</v>
      </c>
      <c r="Q95" s="60">
        <v>32.299999999999997</v>
      </c>
      <c r="R95" s="198"/>
      <c r="S95" s="198"/>
      <c r="T95" s="198"/>
      <c r="U95" s="198"/>
    </row>
    <row r="96" spans="1:26" s="12" customFormat="1" x14ac:dyDescent="0.25">
      <c r="A96" s="201" t="s">
        <v>1201</v>
      </c>
      <c r="B96" s="60">
        <v>76.81</v>
      </c>
      <c r="C96" s="60">
        <v>74.31</v>
      </c>
      <c r="D96" s="60">
        <v>103.35</v>
      </c>
      <c r="E96" s="60">
        <v>3.11</v>
      </c>
      <c r="F96" s="60">
        <v>4</v>
      </c>
      <c r="G96" s="60">
        <v>86.17</v>
      </c>
      <c r="H96" s="60">
        <v>24.48</v>
      </c>
      <c r="I96" s="60">
        <v>0.79</v>
      </c>
      <c r="J96" s="60">
        <v>7.0000000000000007E-2</v>
      </c>
      <c r="K96" s="60">
        <v>294.92</v>
      </c>
      <c r="L96" s="60">
        <v>25.33</v>
      </c>
      <c r="M96" s="60">
        <v>52.39</v>
      </c>
      <c r="N96" s="60">
        <v>4.9000000000000004</v>
      </c>
      <c r="O96" s="60">
        <v>0</v>
      </c>
      <c r="P96" s="60">
        <v>1.88</v>
      </c>
      <c r="Q96" s="60">
        <v>34.01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1202</v>
      </c>
      <c r="B97" s="60">
        <v>89.72</v>
      </c>
      <c r="C97" s="60">
        <v>74.41</v>
      </c>
      <c r="D97" s="60">
        <v>113.75</v>
      </c>
      <c r="E97" s="60">
        <v>3.39</v>
      </c>
      <c r="F97" s="60">
        <v>2.99</v>
      </c>
      <c r="G97" s="60">
        <v>87.79</v>
      </c>
      <c r="H97" s="60">
        <v>25.21</v>
      </c>
      <c r="I97" s="60">
        <v>0.79</v>
      </c>
      <c r="J97" s="60">
        <v>0.14000000000000001</v>
      </c>
      <c r="K97" s="60">
        <v>18.53</v>
      </c>
      <c r="L97" s="60">
        <v>25.15</v>
      </c>
      <c r="M97" s="60">
        <v>54.17</v>
      </c>
      <c r="N97" s="60">
        <v>5</v>
      </c>
      <c r="O97" s="60">
        <v>0</v>
      </c>
      <c r="P97" s="60">
        <v>2.16</v>
      </c>
      <c r="Q97" s="60">
        <v>32.93</v>
      </c>
      <c r="R97" s="198"/>
      <c r="S97" s="198"/>
      <c r="T97" s="198"/>
      <c r="U97" s="198"/>
    </row>
    <row r="98" spans="1:33" s="12" customFormat="1" x14ac:dyDescent="0.25">
      <c r="A98" s="201" t="s">
        <v>1203</v>
      </c>
      <c r="B98" s="60">
        <v>87.74</v>
      </c>
      <c r="C98" s="60">
        <v>74.31</v>
      </c>
      <c r="D98" s="60">
        <v>112.11</v>
      </c>
      <c r="E98" s="60">
        <v>3.61</v>
      </c>
      <c r="F98" s="60">
        <v>2.92</v>
      </c>
      <c r="G98" s="60">
        <v>96.61</v>
      </c>
      <c r="H98" s="60">
        <v>28.22</v>
      </c>
      <c r="I98" s="60">
        <v>0.82</v>
      </c>
      <c r="J98" s="60">
        <v>0.11</v>
      </c>
      <c r="K98" s="60">
        <v>347.62</v>
      </c>
      <c r="L98" s="60">
        <v>24.85</v>
      </c>
      <c r="M98" s="60">
        <v>54.27</v>
      </c>
      <c r="N98" s="60">
        <v>5</v>
      </c>
      <c r="O98" s="60">
        <v>0</v>
      </c>
      <c r="P98" s="60">
        <v>2.2400000000000002</v>
      </c>
      <c r="Q98" s="60">
        <v>33.409999999999997</v>
      </c>
      <c r="R98" s="198"/>
      <c r="S98" s="198"/>
      <c r="T98" s="198"/>
      <c r="U98" s="198"/>
    </row>
    <row r="99" spans="1:33" s="12" customFormat="1" x14ac:dyDescent="0.25">
      <c r="A99" s="201" t="s">
        <v>1204</v>
      </c>
      <c r="B99" s="60">
        <v>72.48</v>
      </c>
      <c r="C99" s="60">
        <v>69.37</v>
      </c>
      <c r="D99" s="60">
        <v>97.15</v>
      </c>
      <c r="E99" s="60">
        <v>4.26</v>
      </c>
      <c r="F99" s="60">
        <v>6.64</v>
      </c>
      <c r="G99" s="60">
        <v>96.61</v>
      </c>
      <c r="H99" s="60">
        <v>28.22</v>
      </c>
      <c r="I99" s="60">
        <v>0.86</v>
      </c>
      <c r="J99" s="60">
        <v>0.3</v>
      </c>
      <c r="K99" s="60">
        <v>256.52</v>
      </c>
      <c r="L99" s="60">
        <v>25.65</v>
      </c>
      <c r="M99" s="60">
        <v>45.8</v>
      </c>
      <c r="N99" s="60">
        <v>3.4</v>
      </c>
      <c r="O99" s="60">
        <v>0</v>
      </c>
      <c r="P99" s="60">
        <v>2.06</v>
      </c>
      <c r="Q99" s="60">
        <v>34.840000000000003</v>
      </c>
      <c r="R99" s="198"/>
      <c r="S99" s="198"/>
      <c r="T99" s="198"/>
      <c r="U99" s="198"/>
    </row>
    <row r="100" spans="1:33" s="12" customFormat="1" x14ac:dyDescent="0.25">
      <c r="A100" s="201" t="s">
        <v>1205</v>
      </c>
      <c r="B100" s="60">
        <v>46.1</v>
      </c>
      <c r="C100" s="60">
        <v>55.45</v>
      </c>
      <c r="D100" s="60">
        <v>68.31</v>
      </c>
      <c r="E100" s="60">
        <v>4.63</v>
      </c>
      <c r="F100" s="60">
        <v>12.04</v>
      </c>
      <c r="G100" s="60">
        <v>96.61</v>
      </c>
      <c r="H100" s="60">
        <v>28.22</v>
      </c>
      <c r="I100" s="60">
        <v>0.9</v>
      </c>
      <c r="J100" s="60">
        <v>0.15</v>
      </c>
      <c r="K100" s="60">
        <v>7.67</v>
      </c>
      <c r="L100" s="60">
        <v>25.59</v>
      </c>
      <c r="M100" s="60">
        <v>46.13</v>
      </c>
      <c r="N100" s="60">
        <v>5</v>
      </c>
      <c r="O100" s="60">
        <v>0</v>
      </c>
      <c r="P100" s="60">
        <v>1.63</v>
      </c>
      <c r="Q100" s="60">
        <v>35.03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1206</v>
      </c>
      <c r="B101" s="60">
        <v>79.819999999999993</v>
      </c>
      <c r="C101" s="60">
        <v>71.05</v>
      </c>
      <c r="D101" s="60">
        <v>103.96</v>
      </c>
      <c r="E101" s="60">
        <v>3.92</v>
      </c>
      <c r="F101" s="60">
        <v>8.08</v>
      </c>
      <c r="G101" s="60">
        <v>93.45</v>
      </c>
      <c r="H101" s="60">
        <v>28.89</v>
      </c>
      <c r="I101" s="60">
        <v>0.88</v>
      </c>
      <c r="J101" s="60">
        <v>0.12</v>
      </c>
      <c r="K101" s="60">
        <v>51.15</v>
      </c>
      <c r="L101" s="60">
        <v>24.84</v>
      </c>
      <c r="M101" s="60">
        <v>49.13</v>
      </c>
      <c r="N101" s="60">
        <v>5</v>
      </c>
      <c r="O101" s="60">
        <v>0</v>
      </c>
      <c r="P101" s="60">
        <v>1.8</v>
      </c>
      <c r="Q101" s="60">
        <v>31.24</v>
      </c>
      <c r="R101" s="198"/>
      <c r="S101" s="198"/>
      <c r="T101" s="198"/>
      <c r="U101" s="198"/>
    </row>
    <row r="102" spans="1:33" s="12" customFormat="1" x14ac:dyDescent="0.25">
      <c r="A102" s="201" t="s">
        <v>1207</v>
      </c>
      <c r="B102" s="60">
        <v>66.69</v>
      </c>
      <c r="C102" s="60">
        <v>68.900000000000006</v>
      </c>
      <c r="D102" s="60">
        <v>92.24</v>
      </c>
      <c r="E102" s="60">
        <v>4</v>
      </c>
      <c r="F102" s="60">
        <v>4.66</v>
      </c>
      <c r="G102" s="60">
        <v>76.25</v>
      </c>
      <c r="H102" s="60">
        <v>31.68</v>
      </c>
      <c r="I102" s="60">
        <v>0.82</v>
      </c>
      <c r="J102" s="60">
        <v>7.0000000000000007E-2</v>
      </c>
      <c r="K102" s="60">
        <v>59.81</v>
      </c>
      <c r="L102" s="60">
        <v>24.56</v>
      </c>
      <c r="M102" s="60">
        <v>51.22</v>
      </c>
      <c r="N102" s="60">
        <v>4.9000000000000004</v>
      </c>
      <c r="O102" s="60">
        <v>0</v>
      </c>
      <c r="P102" s="60">
        <v>1.77</v>
      </c>
      <c r="Q102" s="60">
        <v>30.41</v>
      </c>
      <c r="R102" s="198"/>
      <c r="S102" s="198"/>
      <c r="T102" s="198"/>
      <c r="U102" s="198"/>
    </row>
    <row r="103" spans="1:33" s="12" customFormat="1" x14ac:dyDescent="0.25">
      <c r="A103" s="201" t="s">
        <v>1208</v>
      </c>
      <c r="B103" s="60">
        <v>63.54</v>
      </c>
      <c r="C103" s="60">
        <v>67.58</v>
      </c>
      <c r="D103" s="60">
        <v>88.99</v>
      </c>
      <c r="E103" s="60">
        <v>3.55</v>
      </c>
      <c r="F103" s="60">
        <v>4.0199999999999996</v>
      </c>
      <c r="G103" s="60">
        <v>76.25</v>
      </c>
      <c r="H103" s="60">
        <v>31.68</v>
      </c>
      <c r="I103" s="60">
        <v>0.8</v>
      </c>
      <c r="J103" s="60">
        <v>0.14000000000000001</v>
      </c>
      <c r="K103" s="60">
        <v>10.71</v>
      </c>
      <c r="L103" s="60">
        <v>24.02</v>
      </c>
      <c r="M103" s="60">
        <v>54.81</v>
      </c>
      <c r="N103" s="60">
        <v>5</v>
      </c>
      <c r="O103" s="60">
        <v>0</v>
      </c>
      <c r="P103" s="60">
        <v>1.75</v>
      </c>
      <c r="Q103" s="60">
        <v>31.64</v>
      </c>
      <c r="R103" s="198"/>
      <c r="S103" s="198"/>
      <c r="T103" s="198"/>
      <c r="U103" s="198"/>
    </row>
    <row r="104" spans="1:33" s="12" customFormat="1" x14ac:dyDescent="0.25">
      <c r="A104" s="201" t="s">
        <v>1209</v>
      </c>
      <c r="B104" s="60">
        <v>48.61</v>
      </c>
      <c r="C104" s="60">
        <v>67.03</v>
      </c>
      <c r="D104" s="60">
        <v>76.72</v>
      </c>
      <c r="E104" s="60">
        <v>2.94</v>
      </c>
      <c r="F104" s="60">
        <v>5.48</v>
      </c>
      <c r="G104" s="60">
        <v>76.25</v>
      </c>
      <c r="H104" s="60">
        <v>31.68</v>
      </c>
      <c r="I104" s="60">
        <v>0.77</v>
      </c>
      <c r="J104" s="60">
        <v>0.05</v>
      </c>
      <c r="K104" s="60">
        <v>12.52</v>
      </c>
      <c r="L104" s="60">
        <v>23.89</v>
      </c>
      <c r="M104" s="60">
        <v>52.65</v>
      </c>
      <c r="N104" s="60">
        <v>4.8</v>
      </c>
      <c r="O104" s="60">
        <v>0</v>
      </c>
      <c r="P104" s="60">
        <v>1.56</v>
      </c>
      <c r="Q104" s="60">
        <v>32.31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5.76</v>
      </c>
      <c r="D106" s="67">
        <f t="shared" ref="D106:Q106" si="0">MIN(D9:D104)</f>
        <v>20.65</v>
      </c>
      <c r="E106" s="67">
        <f t="shared" si="0"/>
        <v>1.18</v>
      </c>
      <c r="F106" s="67">
        <f t="shared" si="0"/>
        <v>2.92</v>
      </c>
      <c r="G106" s="67">
        <f t="shared" si="0"/>
        <v>14.38</v>
      </c>
      <c r="H106" s="67">
        <f t="shared" si="0"/>
        <v>2.0099999999999998</v>
      </c>
      <c r="I106" s="67">
        <f t="shared" si="0"/>
        <v>0.47</v>
      </c>
      <c r="J106" s="67">
        <f t="shared" si="0"/>
        <v>0.02</v>
      </c>
      <c r="K106" s="67">
        <f t="shared" si="0"/>
        <v>0.53</v>
      </c>
      <c r="L106" s="67">
        <f t="shared" si="0"/>
        <v>21.31</v>
      </c>
      <c r="M106" s="67">
        <f t="shared" si="0"/>
        <v>23.86</v>
      </c>
      <c r="N106" s="67">
        <f t="shared" si="0"/>
        <v>3.4</v>
      </c>
      <c r="O106" s="67">
        <f t="shared" si="0"/>
        <v>0</v>
      </c>
      <c r="P106" s="67">
        <f t="shared" si="0"/>
        <v>0.62</v>
      </c>
      <c r="Q106" s="67">
        <f t="shared" si="0"/>
        <v>16.12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187.8</v>
      </c>
      <c r="C107" s="66">
        <f t="shared" ref="C107:Q107" si="1">MAX(C9:C104)</f>
        <v>97.3</v>
      </c>
      <c r="D107" s="66">
        <f t="shared" si="1"/>
        <v>197.76</v>
      </c>
      <c r="E107" s="66">
        <f t="shared" si="1"/>
        <v>206.62</v>
      </c>
      <c r="F107" s="66">
        <f t="shared" si="1"/>
        <v>49.24</v>
      </c>
      <c r="G107" s="66">
        <f t="shared" si="1"/>
        <v>126.88</v>
      </c>
      <c r="H107" s="66">
        <f t="shared" si="1"/>
        <v>31.68</v>
      </c>
      <c r="I107" s="66">
        <f t="shared" si="1"/>
        <v>0.9</v>
      </c>
      <c r="J107" s="66">
        <f t="shared" si="1"/>
        <v>0.87</v>
      </c>
      <c r="K107" s="66">
        <f t="shared" si="1"/>
        <v>359.69</v>
      </c>
      <c r="L107" s="66">
        <f t="shared" si="1"/>
        <v>36.909999999999997</v>
      </c>
      <c r="M107" s="66">
        <f t="shared" si="1"/>
        <v>60.95</v>
      </c>
      <c r="N107" s="66">
        <f t="shared" si="1"/>
        <v>858.9</v>
      </c>
      <c r="O107" s="66">
        <f t="shared" si="1"/>
        <v>0</v>
      </c>
      <c r="P107" s="66">
        <f t="shared" si="1"/>
        <v>4.13</v>
      </c>
      <c r="Q107" s="66">
        <f t="shared" si="1"/>
        <v>35.03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26.679166666666671</v>
      </c>
      <c r="C108" s="67">
        <f t="shared" ref="C108:Q108" si="2">AVERAGE(C9:C104)</f>
        <v>49.278020833333336</v>
      </c>
      <c r="D108" s="67">
        <f t="shared" si="2"/>
        <v>51.864791666666669</v>
      </c>
      <c r="E108" s="67">
        <f t="shared" si="2"/>
        <v>7.0974999999999993</v>
      </c>
      <c r="F108" s="67">
        <f t="shared" si="2"/>
        <v>13.220208333333332</v>
      </c>
      <c r="G108" s="67">
        <f t="shared" si="2"/>
        <v>69.276666666666685</v>
      </c>
      <c r="H108" s="67">
        <f t="shared" si="2"/>
        <v>20.676774193548393</v>
      </c>
      <c r="I108" s="67">
        <f t="shared" si="2"/>
        <v>0.56635416666666638</v>
      </c>
      <c r="J108" s="67">
        <f t="shared" si="2"/>
        <v>0.29468750000000005</v>
      </c>
      <c r="K108" s="67">
        <f t="shared" si="2"/>
        <v>156.17177083333334</v>
      </c>
      <c r="L108" s="67">
        <f t="shared" si="2"/>
        <v>27.590000000000003</v>
      </c>
      <c r="M108" s="67">
        <f t="shared" si="2"/>
        <v>42.541562500000005</v>
      </c>
      <c r="N108" s="67">
        <f t="shared" si="2"/>
        <v>182.45000000000005</v>
      </c>
      <c r="O108" s="67">
        <f t="shared" si="2"/>
        <v>0</v>
      </c>
      <c r="P108" s="67">
        <f t="shared" si="2"/>
        <v>1.0553124999999997</v>
      </c>
      <c r="Q108" s="67">
        <f t="shared" si="2"/>
        <v>25.034374999999994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45.510194431500523</v>
      </c>
      <c r="C109" s="67">
        <f t="shared" ref="C109:Q109" si="3">STDEV(C9:C104)</f>
        <v>16.913337472619663</v>
      </c>
      <c r="D109" s="67">
        <f t="shared" si="3"/>
        <v>42.283940238125901</v>
      </c>
      <c r="E109" s="67">
        <f t="shared" si="3"/>
        <v>21.147786446315074</v>
      </c>
      <c r="F109" s="67">
        <f t="shared" si="3"/>
        <v>12.056652671465283</v>
      </c>
      <c r="G109" s="67">
        <f t="shared" si="3"/>
        <v>25.850330850348087</v>
      </c>
      <c r="H109" s="67">
        <f t="shared" si="3"/>
        <v>4.2036105498700271</v>
      </c>
      <c r="I109" s="67">
        <f t="shared" si="3"/>
        <v>9.9261693376296659E-2</v>
      </c>
      <c r="J109" s="67">
        <f t="shared" si="3"/>
        <v>0.21384673865078938</v>
      </c>
      <c r="K109" s="67">
        <f t="shared" si="3"/>
        <v>129.47885214029347</v>
      </c>
      <c r="L109" s="67">
        <f t="shared" si="3"/>
        <v>4.8220131196747635</v>
      </c>
      <c r="M109" s="67">
        <f t="shared" si="3"/>
        <v>11.800413759750798</v>
      </c>
      <c r="N109" s="67">
        <f t="shared" si="3"/>
        <v>269.11943660370321</v>
      </c>
      <c r="O109" s="67">
        <f t="shared" si="3"/>
        <v>0</v>
      </c>
      <c r="P109" s="67">
        <f t="shared" si="3"/>
        <v>0.48574187020853415</v>
      </c>
      <c r="Q109" s="67">
        <f t="shared" si="3"/>
        <v>4.6643128477950055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1210</v>
      </c>
      <c r="B9" s="60">
        <v>49.48</v>
      </c>
      <c r="C9" s="60">
        <v>62.83</v>
      </c>
      <c r="D9" s="60">
        <v>75.09</v>
      </c>
      <c r="E9" s="60">
        <v>3.48</v>
      </c>
      <c r="F9" s="60">
        <v>5.75</v>
      </c>
      <c r="G9" s="60">
        <v>81.02</v>
      </c>
      <c r="H9" s="60">
        <v>31.18</v>
      </c>
      <c r="I9" s="60">
        <v>0.74</v>
      </c>
      <c r="J9" s="60">
        <v>0.15</v>
      </c>
      <c r="K9" s="60">
        <v>11.24</v>
      </c>
      <c r="L9" s="60">
        <v>23.86</v>
      </c>
      <c r="M9" s="60">
        <v>54.66</v>
      </c>
      <c r="N9" s="60">
        <v>4.9000000000000004</v>
      </c>
      <c r="O9" s="60">
        <v>0</v>
      </c>
      <c r="P9" s="60">
        <v>1.63</v>
      </c>
      <c r="Q9" s="60">
        <v>32.69</v>
      </c>
      <c r="R9" s="198"/>
      <c r="S9" s="198"/>
      <c r="T9" s="198"/>
      <c r="U9" s="198"/>
    </row>
    <row r="10" spans="1:21" s="12" customFormat="1" x14ac:dyDescent="0.25">
      <c r="A10" s="201" t="s">
        <v>1211</v>
      </c>
      <c r="B10" s="60">
        <v>56.73</v>
      </c>
      <c r="C10" s="60">
        <v>58.03</v>
      </c>
      <c r="D10" s="60">
        <v>78.260000000000005</v>
      </c>
      <c r="E10" s="60">
        <v>3.82</v>
      </c>
      <c r="F10" s="60">
        <v>6.16</v>
      </c>
      <c r="G10" s="60">
        <v>106.94</v>
      </c>
      <c r="H10" s="60">
        <v>28.42</v>
      </c>
      <c r="I10" s="60">
        <v>0.73</v>
      </c>
      <c r="J10" s="60">
        <v>0.09</v>
      </c>
      <c r="K10" s="60">
        <v>24.86</v>
      </c>
      <c r="L10" s="60">
        <v>23.69</v>
      </c>
      <c r="M10" s="60">
        <v>52.86</v>
      </c>
      <c r="N10" s="60">
        <v>4.7</v>
      </c>
      <c r="O10" s="60">
        <v>0</v>
      </c>
      <c r="P10" s="60">
        <v>1.68</v>
      </c>
      <c r="Q10" s="60">
        <v>34.08</v>
      </c>
      <c r="R10" s="198"/>
      <c r="S10" s="198"/>
      <c r="T10" s="198"/>
      <c r="U10" s="198"/>
    </row>
    <row r="11" spans="1:21" s="12" customFormat="1" x14ac:dyDescent="0.25">
      <c r="A11" s="201" t="s">
        <v>1212</v>
      </c>
      <c r="B11" s="60">
        <v>52.55</v>
      </c>
      <c r="C11" s="60">
        <v>55.94</v>
      </c>
      <c r="D11" s="60">
        <v>73.75</v>
      </c>
      <c r="E11" s="60">
        <v>2.93</v>
      </c>
      <c r="F11" s="60">
        <v>4.63</v>
      </c>
      <c r="G11" s="60">
        <v>106.94</v>
      </c>
      <c r="H11" s="60">
        <v>28.42</v>
      </c>
      <c r="I11" s="60">
        <v>0.73</v>
      </c>
      <c r="J11" s="60">
        <v>0.11</v>
      </c>
      <c r="K11" s="60">
        <v>263.45</v>
      </c>
      <c r="L11" s="60">
        <v>23.85</v>
      </c>
      <c r="M11" s="60">
        <v>53.35</v>
      </c>
      <c r="N11" s="60">
        <v>4.5999999999999996</v>
      </c>
      <c r="O11" s="60">
        <v>0</v>
      </c>
      <c r="P11" s="60">
        <v>1.67</v>
      </c>
      <c r="Q11" s="60">
        <v>35.369999999999997</v>
      </c>
      <c r="R11" s="198"/>
      <c r="S11" s="198"/>
      <c r="T11" s="198"/>
      <c r="U11" s="198"/>
    </row>
    <row r="12" spans="1:21" s="12" customFormat="1" x14ac:dyDescent="0.25">
      <c r="A12" s="201" t="s">
        <v>1213</v>
      </c>
      <c r="B12" s="60">
        <v>49.22</v>
      </c>
      <c r="C12" s="60">
        <v>54.7</v>
      </c>
      <c r="D12" s="60">
        <v>70.400000000000006</v>
      </c>
      <c r="E12" s="60">
        <v>2.95</v>
      </c>
      <c r="F12" s="60">
        <v>4.53</v>
      </c>
      <c r="G12" s="60">
        <v>106.94</v>
      </c>
      <c r="H12" s="60">
        <v>28.42</v>
      </c>
      <c r="I12" s="60">
        <v>0.76</v>
      </c>
      <c r="J12" s="60">
        <v>0.09</v>
      </c>
      <c r="K12" s="60">
        <v>344</v>
      </c>
      <c r="L12" s="60">
        <v>24.08</v>
      </c>
      <c r="M12" s="60">
        <v>53.52</v>
      </c>
      <c r="N12" s="60">
        <v>4.7</v>
      </c>
      <c r="O12" s="60">
        <v>0</v>
      </c>
      <c r="P12" s="60">
        <v>1.61</v>
      </c>
      <c r="Q12" s="60">
        <v>35.94</v>
      </c>
      <c r="R12" s="198"/>
      <c r="S12" s="198"/>
      <c r="T12" s="198"/>
      <c r="U12" s="198"/>
    </row>
    <row r="13" spans="1:21" s="12" customFormat="1" x14ac:dyDescent="0.25">
      <c r="A13" s="201" t="s">
        <v>1214</v>
      </c>
      <c r="B13" s="60">
        <v>44.93</v>
      </c>
      <c r="C13" s="60">
        <v>55</v>
      </c>
      <c r="D13" s="60">
        <v>67.12</v>
      </c>
      <c r="E13" s="60">
        <v>2.46</v>
      </c>
      <c r="F13" s="60">
        <v>4.13</v>
      </c>
      <c r="G13" s="60">
        <v>107.62</v>
      </c>
      <c r="H13" s="60">
        <v>28.17</v>
      </c>
      <c r="I13" s="60">
        <v>0.79</v>
      </c>
      <c r="J13" s="60">
        <v>7.0000000000000007E-2</v>
      </c>
      <c r="K13" s="60">
        <v>278.20999999999998</v>
      </c>
      <c r="L13" s="60">
        <v>23.65</v>
      </c>
      <c r="M13" s="60">
        <v>53.62</v>
      </c>
      <c r="N13" s="60">
        <v>4.8</v>
      </c>
      <c r="O13" s="60">
        <v>0</v>
      </c>
      <c r="P13" s="60">
        <v>1.38</v>
      </c>
      <c r="Q13" s="60">
        <v>35.96</v>
      </c>
      <c r="R13" s="198"/>
      <c r="S13" s="198"/>
      <c r="T13" s="198"/>
      <c r="U13" s="198"/>
    </row>
    <row r="14" spans="1:21" s="12" customFormat="1" x14ac:dyDescent="0.25">
      <c r="A14" s="201" t="s">
        <v>1215</v>
      </c>
      <c r="B14" s="60">
        <v>39.99</v>
      </c>
      <c r="C14" s="60">
        <v>53.81</v>
      </c>
      <c r="D14" s="60">
        <v>62.51</v>
      </c>
      <c r="E14" s="60">
        <v>2.16</v>
      </c>
      <c r="F14" s="60">
        <v>3.88</v>
      </c>
      <c r="G14" s="60">
        <v>111.7</v>
      </c>
      <c r="H14" s="60">
        <v>27.09</v>
      </c>
      <c r="I14" s="60">
        <v>0.77</v>
      </c>
      <c r="J14" s="60">
        <v>0.25</v>
      </c>
      <c r="K14" s="60">
        <v>17.88</v>
      </c>
      <c r="L14" s="60">
        <v>23.38</v>
      </c>
      <c r="M14" s="60">
        <v>58.22</v>
      </c>
      <c r="N14" s="60">
        <v>5</v>
      </c>
      <c r="O14" s="60">
        <v>0</v>
      </c>
      <c r="P14" s="60">
        <v>1.37</v>
      </c>
      <c r="Q14" s="60">
        <v>35.520000000000003</v>
      </c>
      <c r="R14" s="198"/>
      <c r="S14" s="198"/>
      <c r="T14" s="198"/>
      <c r="U14" s="198"/>
    </row>
    <row r="15" spans="1:21" s="12" customFormat="1" x14ac:dyDescent="0.25">
      <c r="A15" s="201" t="s">
        <v>1216</v>
      </c>
      <c r="B15" s="60">
        <v>36.39</v>
      </c>
      <c r="C15" s="60">
        <v>53.11</v>
      </c>
      <c r="D15" s="60">
        <v>59.23</v>
      </c>
      <c r="E15" s="60">
        <v>2.4</v>
      </c>
      <c r="F15" s="60">
        <v>3.76</v>
      </c>
      <c r="G15" s="60">
        <v>111.7</v>
      </c>
      <c r="H15" s="60">
        <v>27.09</v>
      </c>
      <c r="I15" s="60">
        <v>0.75</v>
      </c>
      <c r="J15" s="60">
        <v>0.01</v>
      </c>
      <c r="K15" s="60">
        <v>269.17</v>
      </c>
      <c r="L15" s="60">
        <v>23</v>
      </c>
      <c r="M15" s="60">
        <v>56.57</v>
      </c>
      <c r="N15" s="60">
        <v>5</v>
      </c>
      <c r="O15" s="60">
        <v>0</v>
      </c>
      <c r="P15" s="60">
        <v>1.28</v>
      </c>
      <c r="Q15" s="60">
        <v>35.07</v>
      </c>
      <c r="R15" s="198"/>
      <c r="S15" s="198"/>
      <c r="T15" s="198"/>
      <c r="U15" s="198"/>
    </row>
    <row r="16" spans="1:21" s="12" customFormat="1" x14ac:dyDescent="0.25">
      <c r="A16" s="201" t="s">
        <v>1217</v>
      </c>
      <c r="B16" s="60">
        <v>33.44</v>
      </c>
      <c r="C16" s="60">
        <v>53.47</v>
      </c>
      <c r="D16" s="60">
        <v>57.07</v>
      </c>
      <c r="E16" s="60">
        <v>1.97</v>
      </c>
      <c r="F16" s="60">
        <v>3.47</v>
      </c>
      <c r="G16" s="60">
        <v>111.7</v>
      </c>
      <c r="H16" s="60">
        <v>27.09</v>
      </c>
      <c r="I16" s="60">
        <v>0.72</v>
      </c>
      <c r="J16" s="60">
        <v>0.23</v>
      </c>
      <c r="K16" s="60">
        <v>15.5</v>
      </c>
      <c r="L16" s="60">
        <v>23.02</v>
      </c>
      <c r="M16" s="60">
        <v>58.71</v>
      </c>
      <c r="N16" s="60">
        <v>4.9000000000000004</v>
      </c>
      <c r="O16" s="60">
        <v>0</v>
      </c>
      <c r="P16" s="60">
        <v>1.21</v>
      </c>
      <c r="Q16" s="60">
        <v>34.46</v>
      </c>
      <c r="R16" s="198"/>
      <c r="S16" s="198"/>
      <c r="T16" s="198"/>
      <c r="U16" s="198"/>
    </row>
    <row r="17" spans="1:21" s="12" customFormat="1" x14ac:dyDescent="0.25">
      <c r="A17" s="201" t="s">
        <v>1218</v>
      </c>
      <c r="B17" s="60">
        <v>21.65</v>
      </c>
      <c r="C17" s="60">
        <v>46.39</v>
      </c>
      <c r="D17" s="60">
        <v>43.7</v>
      </c>
      <c r="E17" s="60">
        <v>2.78</v>
      </c>
      <c r="F17" s="60">
        <v>13.02</v>
      </c>
      <c r="G17" s="60">
        <v>107.68</v>
      </c>
      <c r="H17" s="60">
        <v>26.85</v>
      </c>
      <c r="I17" s="60">
        <v>0.69</v>
      </c>
      <c r="J17" s="60">
        <v>0.06</v>
      </c>
      <c r="K17" s="60">
        <v>330.84</v>
      </c>
      <c r="L17" s="60">
        <v>22.85</v>
      </c>
      <c r="M17" s="60">
        <v>57.87</v>
      </c>
      <c r="N17" s="60">
        <v>4.8</v>
      </c>
      <c r="O17" s="60">
        <v>0</v>
      </c>
      <c r="P17" s="60">
        <v>0.92</v>
      </c>
      <c r="Q17" s="60">
        <v>34.86</v>
      </c>
      <c r="R17" s="198"/>
      <c r="S17" s="198"/>
      <c r="T17" s="198"/>
      <c r="U17" s="198"/>
    </row>
    <row r="18" spans="1:21" s="12" customFormat="1" x14ac:dyDescent="0.25">
      <c r="A18" s="201" t="s">
        <v>1219</v>
      </c>
      <c r="B18" s="60">
        <v>23.01</v>
      </c>
      <c r="C18" s="60">
        <v>45.71</v>
      </c>
      <c r="D18" s="60">
        <v>44.42</v>
      </c>
      <c r="E18" s="60">
        <v>2.44</v>
      </c>
      <c r="F18" s="60">
        <v>6.22</v>
      </c>
      <c r="G18" s="60">
        <v>83.85</v>
      </c>
      <c r="H18" s="60">
        <v>25.85</v>
      </c>
      <c r="I18" s="60">
        <v>0.65</v>
      </c>
      <c r="J18" s="60">
        <v>0.13</v>
      </c>
      <c r="K18" s="60">
        <v>229.16</v>
      </c>
      <c r="L18" s="60">
        <v>23.07</v>
      </c>
      <c r="M18" s="60">
        <v>57.45</v>
      </c>
      <c r="N18" s="60">
        <v>4.4000000000000004</v>
      </c>
      <c r="O18" s="60">
        <v>0</v>
      </c>
      <c r="P18" s="60">
        <v>0.89</v>
      </c>
      <c r="Q18" s="60">
        <v>31.23</v>
      </c>
      <c r="R18" s="198"/>
      <c r="S18" s="198"/>
      <c r="T18" s="198"/>
      <c r="U18" s="198"/>
    </row>
    <row r="19" spans="1:21" s="12" customFormat="1" x14ac:dyDescent="0.25">
      <c r="A19" s="201" t="s">
        <v>1220</v>
      </c>
      <c r="B19" s="60">
        <v>21.14</v>
      </c>
      <c r="C19" s="60">
        <v>49.63</v>
      </c>
      <c r="D19" s="60">
        <v>45.08</v>
      </c>
      <c r="E19" s="60">
        <v>2.4700000000000002</v>
      </c>
      <c r="F19" s="60">
        <v>8.3699999999999992</v>
      </c>
      <c r="G19" s="60">
        <v>83.85</v>
      </c>
      <c r="H19" s="60">
        <v>25.85</v>
      </c>
      <c r="I19" s="60">
        <v>0.6</v>
      </c>
      <c r="J19" s="60">
        <v>7.0000000000000007E-2</v>
      </c>
      <c r="K19" s="60">
        <v>271.27</v>
      </c>
      <c r="L19" s="60">
        <v>23.48</v>
      </c>
      <c r="M19" s="60">
        <v>55.55</v>
      </c>
      <c r="N19" s="60">
        <v>4.4000000000000004</v>
      </c>
      <c r="O19" s="60">
        <v>0</v>
      </c>
      <c r="P19" s="60">
        <v>0.88</v>
      </c>
      <c r="Q19" s="60">
        <v>28.08</v>
      </c>
      <c r="R19" s="198"/>
      <c r="S19" s="198"/>
      <c r="T19" s="198"/>
      <c r="U19" s="198"/>
    </row>
    <row r="20" spans="1:21" s="12" customFormat="1" x14ac:dyDescent="0.25">
      <c r="A20" s="201" t="s">
        <v>1221</v>
      </c>
      <c r="B20" s="60">
        <v>20.81</v>
      </c>
      <c r="C20" s="60">
        <v>49.91</v>
      </c>
      <c r="D20" s="60">
        <v>44.97</v>
      </c>
      <c r="E20" s="60">
        <v>2.56</v>
      </c>
      <c r="F20" s="60">
        <v>10.43</v>
      </c>
      <c r="G20" s="60">
        <v>83.85</v>
      </c>
      <c r="H20" s="60">
        <v>25.85</v>
      </c>
      <c r="I20" s="60">
        <v>0.57999999999999996</v>
      </c>
      <c r="J20" s="60">
        <v>0.02</v>
      </c>
      <c r="K20" s="60">
        <v>192.38</v>
      </c>
      <c r="L20" s="60">
        <v>23.01</v>
      </c>
      <c r="M20" s="60">
        <v>57.05</v>
      </c>
      <c r="N20" s="60">
        <v>5</v>
      </c>
      <c r="O20" s="60">
        <v>0</v>
      </c>
      <c r="P20" s="60">
        <v>0.9</v>
      </c>
      <c r="Q20" s="60">
        <v>28.63</v>
      </c>
      <c r="R20" s="198"/>
      <c r="S20" s="198"/>
      <c r="T20" s="198"/>
      <c r="U20" s="198"/>
    </row>
    <row r="21" spans="1:21" s="12" customFormat="1" x14ac:dyDescent="0.25">
      <c r="A21" s="201" t="s">
        <v>1222</v>
      </c>
      <c r="B21" s="60">
        <v>25.09</v>
      </c>
      <c r="C21" s="60">
        <v>51.05</v>
      </c>
      <c r="D21" s="60">
        <v>49.03</v>
      </c>
      <c r="E21" s="60">
        <v>2.62</v>
      </c>
      <c r="F21" s="60">
        <v>6.52</v>
      </c>
      <c r="G21" s="60">
        <v>80.34</v>
      </c>
      <c r="H21" s="60">
        <v>25.73</v>
      </c>
      <c r="I21" s="60">
        <v>0.59</v>
      </c>
      <c r="J21" s="60">
        <v>0.17</v>
      </c>
      <c r="K21" s="60">
        <v>2</v>
      </c>
      <c r="L21" s="60">
        <v>22.46</v>
      </c>
      <c r="M21" s="60">
        <v>62.59</v>
      </c>
      <c r="N21" s="60">
        <v>5.0999999999999996</v>
      </c>
      <c r="O21" s="60">
        <v>0</v>
      </c>
      <c r="P21" s="60">
        <v>0.94</v>
      </c>
      <c r="Q21" s="60">
        <v>29.02</v>
      </c>
      <c r="R21" s="198"/>
      <c r="S21" s="198"/>
      <c r="T21" s="198"/>
      <c r="U21" s="198"/>
    </row>
    <row r="22" spans="1:21" s="12" customFormat="1" x14ac:dyDescent="0.25">
      <c r="A22" s="201" t="s">
        <v>1223</v>
      </c>
      <c r="B22" s="60">
        <v>21.85</v>
      </c>
      <c r="C22" s="60">
        <v>44.97</v>
      </c>
      <c r="D22" s="60">
        <v>43.08</v>
      </c>
      <c r="E22" s="60">
        <v>2.37</v>
      </c>
      <c r="F22" s="60">
        <v>5.77</v>
      </c>
      <c r="G22" s="60">
        <v>59.57</v>
      </c>
      <c r="H22" s="60">
        <v>25.22</v>
      </c>
      <c r="I22" s="60">
        <v>0.6</v>
      </c>
      <c r="J22" s="60">
        <v>0.06</v>
      </c>
      <c r="K22" s="60">
        <v>344.6</v>
      </c>
      <c r="L22" s="60">
        <v>22.03</v>
      </c>
      <c r="M22" s="60">
        <v>65.58</v>
      </c>
      <c r="N22" s="60">
        <v>4.9000000000000004</v>
      </c>
      <c r="O22" s="60">
        <v>0</v>
      </c>
      <c r="P22" s="60">
        <v>0.94</v>
      </c>
      <c r="Q22" s="60">
        <v>29.42</v>
      </c>
      <c r="R22" s="198"/>
      <c r="S22" s="198"/>
      <c r="T22" s="198"/>
      <c r="U22" s="198"/>
    </row>
    <row r="23" spans="1:21" s="12" customFormat="1" x14ac:dyDescent="0.25">
      <c r="A23" s="201" t="s">
        <v>1224</v>
      </c>
      <c r="B23" s="60">
        <v>26.94</v>
      </c>
      <c r="C23" s="60">
        <v>44.22</v>
      </c>
      <c r="D23" s="60">
        <v>46.75</v>
      </c>
      <c r="E23" s="60">
        <v>2.5299999999999998</v>
      </c>
      <c r="F23" s="60">
        <v>6.28</v>
      </c>
      <c r="G23" s="60">
        <v>59.57</v>
      </c>
      <c r="H23" s="60">
        <v>25.22</v>
      </c>
      <c r="I23" s="60">
        <v>0.61</v>
      </c>
      <c r="J23" s="60">
        <v>0.11</v>
      </c>
      <c r="K23" s="60">
        <v>2.31</v>
      </c>
      <c r="L23" s="60">
        <v>22.19</v>
      </c>
      <c r="M23" s="60">
        <v>63.39</v>
      </c>
      <c r="N23" s="60">
        <v>4.8</v>
      </c>
      <c r="O23" s="60">
        <v>0</v>
      </c>
      <c r="P23" s="60">
        <v>0.9</v>
      </c>
      <c r="Q23" s="60">
        <v>29.26</v>
      </c>
      <c r="R23" s="198"/>
      <c r="S23" s="198"/>
      <c r="T23" s="198"/>
      <c r="U23" s="198"/>
    </row>
    <row r="24" spans="1:21" s="12" customFormat="1" x14ac:dyDescent="0.25">
      <c r="A24" s="201" t="s">
        <v>1225</v>
      </c>
      <c r="B24" s="60">
        <v>24.27</v>
      </c>
      <c r="C24" s="60">
        <v>44.3</v>
      </c>
      <c r="D24" s="60">
        <v>44.66</v>
      </c>
      <c r="E24" s="60">
        <v>2.21</v>
      </c>
      <c r="F24" s="60">
        <v>4.75</v>
      </c>
      <c r="G24" s="60">
        <v>59.57</v>
      </c>
      <c r="H24" s="60">
        <v>25.22</v>
      </c>
      <c r="I24" s="60">
        <v>0.59</v>
      </c>
      <c r="J24" s="60">
        <v>0.2</v>
      </c>
      <c r="K24" s="60">
        <v>280.33999999999997</v>
      </c>
      <c r="L24" s="60">
        <v>22.34</v>
      </c>
      <c r="M24" s="60">
        <v>60.98</v>
      </c>
      <c r="N24" s="60">
        <v>4.5</v>
      </c>
      <c r="O24" s="60">
        <v>0</v>
      </c>
      <c r="P24" s="60">
        <v>0.93</v>
      </c>
      <c r="Q24" s="60">
        <v>29.84</v>
      </c>
      <c r="R24" s="198"/>
      <c r="S24" s="198"/>
      <c r="T24" s="198"/>
      <c r="U24" s="198"/>
    </row>
    <row r="25" spans="1:21" s="12" customFormat="1" x14ac:dyDescent="0.25">
      <c r="A25" s="201" t="s">
        <v>1226</v>
      </c>
      <c r="B25" s="60">
        <v>26.3</v>
      </c>
      <c r="C25" s="60">
        <v>39.39</v>
      </c>
      <c r="D25" s="60">
        <v>43.57</v>
      </c>
      <c r="E25" s="60">
        <v>2.77</v>
      </c>
      <c r="F25" s="60">
        <v>3.7</v>
      </c>
      <c r="G25" s="60">
        <v>59.47</v>
      </c>
      <c r="H25" s="60">
        <v>24.55</v>
      </c>
      <c r="I25" s="60">
        <v>0.61</v>
      </c>
      <c r="J25" s="60">
        <v>0.11</v>
      </c>
      <c r="K25" s="60">
        <v>272.64</v>
      </c>
      <c r="L25" s="60">
        <v>22.25</v>
      </c>
      <c r="M25" s="60">
        <v>61.71</v>
      </c>
      <c r="N25" s="60">
        <v>4.7</v>
      </c>
      <c r="O25" s="60">
        <v>0</v>
      </c>
      <c r="P25" s="60">
        <v>0.97</v>
      </c>
      <c r="Q25" s="60">
        <v>31.94</v>
      </c>
      <c r="R25" s="198"/>
      <c r="S25" s="198"/>
      <c r="T25" s="198"/>
      <c r="U25" s="198"/>
    </row>
    <row r="26" spans="1:21" s="12" customFormat="1" x14ac:dyDescent="0.25">
      <c r="A26" s="201" t="s">
        <v>1227</v>
      </c>
      <c r="B26" s="60">
        <v>29.19</v>
      </c>
      <c r="C26" s="60">
        <v>43.93</v>
      </c>
      <c r="D26" s="60">
        <v>48.39</v>
      </c>
      <c r="E26" s="60">
        <v>2.41</v>
      </c>
      <c r="F26" s="60">
        <v>3.12</v>
      </c>
      <c r="G26" s="60">
        <v>58.87</v>
      </c>
      <c r="H26" s="60">
        <v>21.23</v>
      </c>
      <c r="I26" s="60">
        <v>0.66</v>
      </c>
      <c r="J26" s="60">
        <v>0.02</v>
      </c>
      <c r="K26" s="60">
        <v>323.02</v>
      </c>
      <c r="L26" s="60">
        <v>22.02</v>
      </c>
      <c r="M26" s="60">
        <v>64.33</v>
      </c>
      <c r="N26" s="60">
        <v>5.0999999999999996</v>
      </c>
      <c r="O26" s="60">
        <v>0</v>
      </c>
      <c r="P26" s="60">
        <v>0.95</v>
      </c>
      <c r="Q26" s="60">
        <v>32.51</v>
      </c>
      <c r="R26" s="198"/>
      <c r="S26" s="198"/>
      <c r="T26" s="198"/>
      <c r="U26" s="198"/>
    </row>
    <row r="27" spans="1:21" s="12" customFormat="1" x14ac:dyDescent="0.25">
      <c r="A27" s="201" t="s">
        <v>1228</v>
      </c>
      <c r="B27" s="60">
        <v>31.26</v>
      </c>
      <c r="C27" s="60">
        <v>45.66</v>
      </c>
      <c r="D27" s="60">
        <v>51.01</v>
      </c>
      <c r="E27" s="60">
        <v>2.76</v>
      </c>
      <c r="F27" s="60">
        <v>3.18</v>
      </c>
      <c r="G27" s="60">
        <v>58.87</v>
      </c>
      <c r="H27" s="60">
        <v>21.23</v>
      </c>
      <c r="I27" s="60">
        <v>0.73</v>
      </c>
      <c r="J27" s="60">
        <v>0.16</v>
      </c>
      <c r="K27" s="60">
        <v>288.8</v>
      </c>
      <c r="L27" s="60">
        <v>22.15</v>
      </c>
      <c r="M27" s="60">
        <v>63.87</v>
      </c>
      <c r="N27" s="60">
        <v>4.3</v>
      </c>
      <c r="O27" s="60">
        <v>0</v>
      </c>
      <c r="P27" s="60">
        <v>0.93</v>
      </c>
      <c r="Q27" s="60">
        <v>33.44</v>
      </c>
      <c r="R27" s="198"/>
      <c r="S27" s="198"/>
      <c r="T27" s="198"/>
      <c r="U27" s="198"/>
    </row>
    <row r="28" spans="1:21" s="12" customFormat="1" x14ac:dyDescent="0.25">
      <c r="A28" s="201" t="s">
        <v>1229</v>
      </c>
      <c r="B28" s="60">
        <v>33.99</v>
      </c>
      <c r="C28" s="60">
        <v>48.17</v>
      </c>
      <c r="D28" s="60">
        <v>54.58</v>
      </c>
      <c r="E28" s="60">
        <v>3.08</v>
      </c>
      <c r="F28" s="60">
        <v>3.12</v>
      </c>
      <c r="G28" s="60">
        <v>58.87</v>
      </c>
      <c r="H28" s="60">
        <v>21.23</v>
      </c>
      <c r="I28" s="60">
        <v>0.7</v>
      </c>
      <c r="J28" s="60">
        <v>0.36</v>
      </c>
      <c r="K28" s="60">
        <v>24.77</v>
      </c>
      <c r="L28" s="60">
        <v>21.86</v>
      </c>
      <c r="M28" s="60">
        <v>67.069999999999993</v>
      </c>
      <c r="N28" s="60">
        <v>5</v>
      </c>
      <c r="O28" s="60">
        <v>0</v>
      </c>
      <c r="P28" s="60">
        <v>0.91</v>
      </c>
      <c r="Q28" s="60">
        <v>34.31</v>
      </c>
      <c r="R28" s="198"/>
      <c r="S28" s="198"/>
      <c r="T28" s="198"/>
      <c r="U28" s="198"/>
    </row>
    <row r="29" spans="1:21" s="12" customFormat="1" x14ac:dyDescent="0.25">
      <c r="A29" s="201" t="s">
        <v>1230</v>
      </c>
      <c r="B29" s="60">
        <v>35.79</v>
      </c>
      <c r="C29" s="60">
        <v>49.69</v>
      </c>
      <c r="D29" s="60">
        <v>56.87</v>
      </c>
      <c r="E29" s="60">
        <v>2.93</v>
      </c>
      <c r="F29" s="60">
        <v>2.84</v>
      </c>
      <c r="G29" s="60">
        <v>60.56</v>
      </c>
      <c r="H29" s="60">
        <v>21.44</v>
      </c>
      <c r="I29" s="60">
        <v>0.65</v>
      </c>
      <c r="J29" s="60">
        <v>0</v>
      </c>
      <c r="K29" s="60">
        <v>79.430000000000007</v>
      </c>
      <c r="L29" s="60">
        <v>21.61</v>
      </c>
      <c r="M29" s="60">
        <v>64.599999999999994</v>
      </c>
      <c r="N29" s="60">
        <v>4.8</v>
      </c>
      <c r="O29" s="60">
        <v>0</v>
      </c>
      <c r="P29" s="60">
        <v>0.89</v>
      </c>
      <c r="Q29" s="60">
        <v>34.659999999999997</v>
      </c>
      <c r="R29" s="198"/>
      <c r="S29" s="198"/>
      <c r="T29" s="198"/>
      <c r="U29" s="198"/>
    </row>
    <row r="30" spans="1:21" s="12" customFormat="1" x14ac:dyDescent="0.25">
      <c r="A30" s="201" t="s">
        <v>1231</v>
      </c>
      <c r="B30" s="60">
        <v>35.33</v>
      </c>
      <c r="C30" s="60">
        <v>50.22</v>
      </c>
      <c r="D30" s="60">
        <v>56.79</v>
      </c>
      <c r="E30" s="60">
        <v>2.5</v>
      </c>
      <c r="F30" s="60">
        <v>2.84</v>
      </c>
      <c r="G30" s="60">
        <v>70.58</v>
      </c>
      <c r="H30" s="60">
        <v>22.33</v>
      </c>
      <c r="I30" s="60">
        <v>0.63</v>
      </c>
      <c r="J30" s="60">
        <v>0</v>
      </c>
      <c r="K30" s="60">
        <v>30.28</v>
      </c>
      <c r="L30" s="60">
        <v>22.23</v>
      </c>
      <c r="M30" s="60">
        <v>61.82</v>
      </c>
      <c r="N30" s="60">
        <v>4.4000000000000004</v>
      </c>
      <c r="O30" s="60">
        <v>0</v>
      </c>
      <c r="P30" s="60">
        <v>0.88</v>
      </c>
      <c r="Q30" s="60">
        <v>34.549999999999997</v>
      </c>
      <c r="R30" s="198"/>
      <c r="S30" s="198"/>
      <c r="T30" s="198"/>
      <c r="U30" s="198"/>
    </row>
    <row r="31" spans="1:21" s="12" customFormat="1" x14ac:dyDescent="0.25">
      <c r="A31" s="201" t="s">
        <v>1232</v>
      </c>
      <c r="B31" s="60">
        <v>37.5</v>
      </c>
      <c r="C31" s="60">
        <v>53.88</v>
      </c>
      <c r="D31" s="60">
        <v>60.55</v>
      </c>
      <c r="E31" s="60">
        <v>3.33</v>
      </c>
      <c r="F31" s="60">
        <v>2.76</v>
      </c>
      <c r="G31" s="60">
        <v>70.58</v>
      </c>
      <c r="H31" s="60">
        <v>22.33</v>
      </c>
      <c r="I31" s="60">
        <v>0.63</v>
      </c>
      <c r="J31" s="60">
        <v>0.12</v>
      </c>
      <c r="K31" s="60">
        <v>309.89999999999998</v>
      </c>
      <c r="L31" s="60">
        <v>22.24</v>
      </c>
      <c r="M31" s="60">
        <v>60.91</v>
      </c>
      <c r="N31" s="60">
        <v>6.9</v>
      </c>
      <c r="O31" s="60">
        <v>0</v>
      </c>
      <c r="P31" s="60">
        <v>0.9</v>
      </c>
      <c r="Q31" s="60">
        <v>33.93</v>
      </c>
      <c r="R31" s="198"/>
      <c r="S31" s="198"/>
      <c r="T31" s="198"/>
      <c r="U31" s="198"/>
    </row>
    <row r="32" spans="1:21" s="12" customFormat="1" x14ac:dyDescent="0.25">
      <c r="A32" s="201" t="s">
        <v>1233</v>
      </c>
      <c r="B32" s="60">
        <v>48.61</v>
      </c>
      <c r="C32" s="60">
        <v>47.42</v>
      </c>
      <c r="D32" s="60">
        <v>65.900000000000006</v>
      </c>
      <c r="E32" s="60">
        <v>5.37</v>
      </c>
      <c r="F32" s="60">
        <v>2.86</v>
      </c>
      <c r="G32" s="60">
        <v>70.58</v>
      </c>
      <c r="H32" s="60">
        <v>22.33</v>
      </c>
      <c r="I32" s="60">
        <v>0.62</v>
      </c>
      <c r="J32" s="60">
        <v>0.12</v>
      </c>
      <c r="K32" s="60">
        <v>307.92</v>
      </c>
      <c r="L32" s="60">
        <v>21.99</v>
      </c>
      <c r="M32" s="60">
        <v>63.6</v>
      </c>
      <c r="N32" s="60">
        <v>15.9</v>
      </c>
      <c r="O32" s="60">
        <v>0</v>
      </c>
      <c r="P32" s="60">
        <v>0.98</v>
      </c>
      <c r="Q32" s="60">
        <v>32.049999999999997</v>
      </c>
      <c r="R32" s="198"/>
      <c r="S32" s="198"/>
      <c r="T32" s="198"/>
      <c r="U32" s="198"/>
    </row>
    <row r="33" spans="1:21" s="12" customFormat="1" x14ac:dyDescent="0.25">
      <c r="A33" s="201" t="s">
        <v>1234</v>
      </c>
      <c r="B33" s="60">
        <v>54.52</v>
      </c>
      <c r="C33" s="60">
        <v>58.49</v>
      </c>
      <c r="D33" s="60">
        <v>76.739999999999995</v>
      </c>
      <c r="E33" s="60">
        <v>6.43</v>
      </c>
      <c r="F33" s="60">
        <v>3.07</v>
      </c>
      <c r="G33" s="60">
        <v>72.41</v>
      </c>
      <c r="H33" s="60">
        <v>23.68</v>
      </c>
      <c r="I33" s="60">
        <v>0.61</v>
      </c>
      <c r="J33" s="60">
        <v>0.3</v>
      </c>
      <c r="K33" s="60">
        <v>258.42</v>
      </c>
      <c r="L33" s="60">
        <v>22.73</v>
      </c>
      <c r="M33" s="60">
        <v>60.62</v>
      </c>
      <c r="N33" s="60">
        <v>34</v>
      </c>
      <c r="O33" s="60">
        <v>0</v>
      </c>
      <c r="P33" s="60">
        <v>0.95</v>
      </c>
      <c r="Q33" s="60">
        <v>27.27</v>
      </c>
      <c r="R33" s="198"/>
      <c r="S33" s="198"/>
      <c r="T33" s="198"/>
      <c r="U33" s="198"/>
    </row>
    <row r="34" spans="1:21" s="12" customFormat="1" x14ac:dyDescent="0.25">
      <c r="A34" s="201" t="s">
        <v>1235</v>
      </c>
      <c r="B34" s="60">
        <v>57.82</v>
      </c>
      <c r="C34" s="60">
        <v>54.11</v>
      </c>
      <c r="D34" s="60">
        <v>76.97</v>
      </c>
      <c r="E34" s="60">
        <v>5.76</v>
      </c>
      <c r="F34" s="60">
        <v>3.15</v>
      </c>
      <c r="G34" s="60">
        <v>83.27</v>
      </c>
      <c r="H34" s="60">
        <v>29.32</v>
      </c>
      <c r="I34" s="60">
        <v>0.62</v>
      </c>
      <c r="J34" s="60">
        <v>0.13</v>
      </c>
      <c r="K34" s="60">
        <v>352.52</v>
      </c>
      <c r="L34" s="60">
        <v>23.28</v>
      </c>
      <c r="M34" s="60">
        <v>61.49</v>
      </c>
      <c r="N34" s="60">
        <v>60.8</v>
      </c>
      <c r="O34" s="60">
        <v>0</v>
      </c>
      <c r="P34" s="60">
        <v>1.1599999999999999</v>
      </c>
      <c r="Q34" s="60">
        <v>27.18</v>
      </c>
      <c r="R34" s="198"/>
      <c r="S34" s="198"/>
      <c r="T34" s="198"/>
      <c r="U34" s="198"/>
    </row>
    <row r="35" spans="1:21" s="12" customFormat="1" x14ac:dyDescent="0.25">
      <c r="A35" s="201" t="s">
        <v>1236</v>
      </c>
      <c r="B35" s="60">
        <v>40.74</v>
      </c>
      <c r="C35" s="60">
        <v>50.13</v>
      </c>
      <c r="D35" s="60">
        <v>61.08</v>
      </c>
      <c r="E35" s="60">
        <v>4.8899999999999997</v>
      </c>
      <c r="F35" s="60">
        <v>3.44</v>
      </c>
      <c r="G35" s="60">
        <v>83.27</v>
      </c>
      <c r="H35" s="60">
        <v>29.32</v>
      </c>
      <c r="I35" s="60">
        <v>0.64</v>
      </c>
      <c r="J35" s="60">
        <v>0.28999999999999998</v>
      </c>
      <c r="K35" s="60">
        <v>218.4</v>
      </c>
      <c r="L35" s="60">
        <v>23.63</v>
      </c>
      <c r="M35" s="60">
        <v>58.04</v>
      </c>
      <c r="N35" s="60">
        <v>101.1</v>
      </c>
      <c r="O35" s="60">
        <v>0</v>
      </c>
      <c r="P35" s="60">
        <v>0.94</v>
      </c>
      <c r="Q35" s="60">
        <v>29.1</v>
      </c>
      <c r="R35" s="198"/>
      <c r="S35" s="198"/>
      <c r="T35" s="198"/>
      <c r="U35" s="198"/>
    </row>
    <row r="36" spans="1:21" s="12" customFormat="1" x14ac:dyDescent="0.25">
      <c r="A36" s="201" t="s">
        <v>1237</v>
      </c>
      <c r="B36" s="60">
        <v>38.869999999999997</v>
      </c>
      <c r="C36" s="60">
        <v>54</v>
      </c>
      <c r="D36" s="60">
        <v>61.71</v>
      </c>
      <c r="E36" s="60">
        <v>5.39</v>
      </c>
      <c r="F36" s="60">
        <v>3.98</v>
      </c>
      <c r="G36" s="60">
        <v>83.27</v>
      </c>
      <c r="H36" s="60">
        <v>29.32</v>
      </c>
      <c r="I36" s="60">
        <v>0.65</v>
      </c>
      <c r="J36" s="60">
        <v>0.12</v>
      </c>
      <c r="K36" s="60">
        <v>156.86000000000001</v>
      </c>
      <c r="L36" s="60">
        <v>25.28</v>
      </c>
      <c r="M36" s="60">
        <v>53.06</v>
      </c>
      <c r="N36" s="60">
        <v>148.5</v>
      </c>
      <c r="O36" s="60">
        <v>0</v>
      </c>
      <c r="P36" s="60">
        <v>0.97</v>
      </c>
      <c r="Q36" s="60">
        <v>29.18</v>
      </c>
      <c r="R36" s="198"/>
      <c r="S36" s="198"/>
      <c r="T36" s="198"/>
      <c r="U36" s="198"/>
    </row>
    <row r="37" spans="1:21" s="12" customFormat="1" x14ac:dyDescent="0.25">
      <c r="A37" s="201" t="s">
        <v>1238</v>
      </c>
      <c r="B37" s="60">
        <v>43.44</v>
      </c>
      <c r="C37" s="60">
        <v>61.22</v>
      </c>
      <c r="D37" s="60">
        <v>69.36</v>
      </c>
      <c r="E37" s="60">
        <v>6.73</v>
      </c>
      <c r="F37" s="60">
        <v>4.3899999999999997</v>
      </c>
      <c r="G37" s="60">
        <v>87.89</v>
      </c>
      <c r="H37" s="60">
        <v>29.86</v>
      </c>
      <c r="I37" s="60">
        <v>0.64</v>
      </c>
      <c r="J37" s="60">
        <v>0.09</v>
      </c>
      <c r="K37" s="60">
        <v>141.53</v>
      </c>
      <c r="L37" s="60">
        <v>27.26</v>
      </c>
      <c r="M37" s="60">
        <v>48.69</v>
      </c>
      <c r="N37" s="60">
        <v>197.1</v>
      </c>
      <c r="O37" s="60">
        <v>0</v>
      </c>
      <c r="P37" s="60">
        <v>1.1100000000000001</v>
      </c>
      <c r="Q37" s="60">
        <v>29.05</v>
      </c>
      <c r="R37" s="198"/>
      <c r="S37" s="198"/>
      <c r="T37" s="198"/>
      <c r="U37" s="198"/>
    </row>
    <row r="38" spans="1:21" s="12" customFormat="1" x14ac:dyDescent="0.25">
      <c r="A38" s="201" t="s">
        <v>1239</v>
      </c>
      <c r="B38" s="60">
        <v>37.65</v>
      </c>
      <c r="C38" s="60">
        <v>57.26</v>
      </c>
      <c r="D38" s="60">
        <v>62.54</v>
      </c>
      <c r="E38" s="60">
        <v>11.23</v>
      </c>
      <c r="F38" s="60">
        <v>7.03</v>
      </c>
      <c r="G38" s="60">
        <v>115.28</v>
      </c>
      <c r="H38" s="60">
        <v>32.14</v>
      </c>
      <c r="I38" s="60">
        <v>0.63</v>
      </c>
      <c r="J38" s="60">
        <v>0.46</v>
      </c>
      <c r="K38" s="60">
        <v>181.84</v>
      </c>
      <c r="L38" s="60">
        <v>27.51</v>
      </c>
      <c r="M38" s="60">
        <v>46.63</v>
      </c>
      <c r="N38" s="60">
        <v>246.5</v>
      </c>
      <c r="O38" s="60">
        <v>0</v>
      </c>
      <c r="P38" s="60">
        <v>1.1599999999999999</v>
      </c>
      <c r="Q38" s="60">
        <v>30.38</v>
      </c>
      <c r="R38" s="198"/>
      <c r="S38" s="198"/>
      <c r="T38" s="198"/>
      <c r="U38" s="198"/>
    </row>
    <row r="39" spans="1:21" s="12" customFormat="1" x14ac:dyDescent="0.25">
      <c r="A39" s="201" t="s">
        <v>1240</v>
      </c>
      <c r="B39" s="60">
        <v>39.130000000000003</v>
      </c>
      <c r="C39" s="60">
        <v>44.84</v>
      </c>
      <c r="D39" s="60">
        <v>56.87</v>
      </c>
      <c r="E39" s="60">
        <v>7.49</v>
      </c>
      <c r="F39" s="60">
        <v>4.1100000000000003</v>
      </c>
      <c r="G39" s="60">
        <v>115.28</v>
      </c>
      <c r="H39" s="60">
        <v>32.14</v>
      </c>
      <c r="I39" s="60">
        <v>0.66</v>
      </c>
      <c r="J39" s="60">
        <v>0.69</v>
      </c>
      <c r="K39" s="60">
        <v>202.85</v>
      </c>
      <c r="L39" s="60">
        <v>25.53</v>
      </c>
      <c r="M39" s="60">
        <v>54.83</v>
      </c>
      <c r="N39" s="60">
        <v>301.2</v>
      </c>
      <c r="O39" s="60">
        <v>0</v>
      </c>
      <c r="P39" s="60">
        <v>0.99</v>
      </c>
      <c r="Q39" s="60">
        <v>32.96</v>
      </c>
      <c r="R39" s="198"/>
      <c r="S39" s="198"/>
      <c r="T39" s="198"/>
      <c r="U39" s="198"/>
    </row>
    <row r="40" spans="1:21" s="12" customFormat="1" x14ac:dyDescent="0.25">
      <c r="A40" s="201" t="s">
        <v>1241</v>
      </c>
      <c r="B40" s="60">
        <v>35.130000000000003</v>
      </c>
      <c r="C40" s="60">
        <v>44.95</v>
      </c>
      <c r="D40" s="60">
        <v>53.71</v>
      </c>
      <c r="E40" s="60">
        <v>2.06</v>
      </c>
      <c r="F40" s="60">
        <v>3.49</v>
      </c>
      <c r="G40" s="60">
        <v>115.28</v>
      </c>
      <c r="H40" s="60">
        <v>32.14</v>
      </c>
      <c r="I40" s="60">
        <v>0.67</v>
      </c>
      <c r="J40" s="60">
        <v>0.46</v>
      </c>
      <c r="K40" s="60">
        <v>229.2</v>
      </c>
      <c r="L40" s="60">
        <v>25.85</v>
      </c>
      <c r="M40" s="60">
        <v>53.82</v>
      </c>
      <c r="N40" s="60">
        <v>352.7</v>
      </c>
      <c r="O40" s="60">
        <v>0</v>
      </c>
      <c r="P40" s="60">
        <v>0.96</v>
      </c>
      <c r="Q40" s="60">
        <v>33.79</v>
      </c>
      <c r="R40" s="198"/>
      <c r="S40" s="198"/>
      <c r="T40" s="198"/>
      <c r="U40" s="198"/>
    </row>
    <row r="41" spans="1:21" s="12" customFormat="1" x14ac:dyDescent="0.25">
      <c r="A41" s="201" t="s">
        <v>1242</v>
      </c>
      <c r="B41" s="60">
        <v>28.46</v>
      </c>
      <c r="C41" s="60">
        <v>49.18</v>
      </c>
      <c r="D41" s="60">
        <v>50.71</v>
      </c>
      <c r="E41" s="60">
        <v>2.82</v>
      </c>
      <c r="F41" s="60">
        <v>3.48</v>
      </c>
      <c r="G41" s="60">
        <v>112.37</v>
      </c>
      <c r="H41" s="60">
        <v>32.520000000000003</v>
      </c>
      <c r="I41" s="60">
        <v>0.67</v>
      </c>
      <c r="J41" s="60">
        <v>0.64</v>
      </c>
      <c r="K41" s="60">
        <v>199.19</v>
      </c>
      <c r="L41" s="60">
        <v>26.32</v>
      </c>
      <c r="M41" s="60">
        <v>50.62</v>
      </c>
      <c r="N41" s="60">
        <v>413.1</v>
      </c>
      <c r="O41" s="60">
        <v>0</v>
      </c>
      <c r="P41" s="60">
        <v>0.93</v>
      </c>
      <c r="Q41" s="60">
        <v>34.26</v>
      </c>
      <c r="R41" s="198"/>
      <c r="S41" s="198"/>
      <c r="T41" s="198"/>
      <c r="U41" s="198"/>
    </row>
    <row r="42" spans="1:21" s="12" customFormat="1" x14ac:dyDescent="0.25">
      <c r="A42" s="201" t="s">
        <v>1243</v>
      </c>
      <c r="B42" s="60">
        <v>22.18</v>
      </c>
      <c r="C42" s="60">
        <v>53.03</v>
      </c>
      <c r="D42" s="60">
        <v>47.79</v>
      </c>
      <c r="E42" s="60">
        <v>3.08</v>
      </c>
      <c r="F42" s="60">
        <v>3.66</v>
      </c>
      <c r="G42" s="60">
        <v>95.11</v>
      </c>
      <c r="H42" s="60">
        <v>34.75</v>
      </c>
      <c r="I42" s="60">
        <v>0.65</v>
      </c>
      <c r="J42" s="60">
        <v>0.72</v>
      </c>
      <c r="K42" s="60">
        <v>210.35</v>
      </c>
      <c r="L42" s="60">
        <v>27.22</v>
      </c>
      <c r="M42" s="60">
        <v>48.74</v>
      </c>
      <c r="N42" s="60">
        <v>469.8</v>
      </c>
      <c r="O42" s="60">
        <v>0</v>
      </c>
      <c r="P42" s="60">
        <v>0.91</v>
      </c>
      <c r="Q42" s="60">
        <v>34.22</v>
      </c>
      <c r="R42" s="198"/>
      <c r="S42" s="198"/>
      <c r="T42" s="198"/>
      <c r="U42" s="198"/>
    </row>
    <row r="43" spans="1:21" s="12" customFormat="1" x14ac:dyDescent="0.25">
      <c r="A43" s="201" t="s">
        <v>1244</v>
      </c>
      <c r="B43" s="60">
        <v>16.829999999999998</v>
      </c>
      <c r="C43" s="60">
        <v>55.27</v>
      </c>
      <c r="D43" s="60">
        <v>44.73</v>
      </c>
      <c r="E43" s="60">
        <v>2.9</v>
      </c>
      <c r="F43" s="60">
        <v>4.07</v>
      </c>
      <c r="G43" s="60">
        <v>95.11</v>
      </c>
      <c r="H43" s="60">
        <v>34.75</v>
      </c>
      <c r="I43" s="60">
        <v>0.63</v>
      </c>
      <c r="J43" s="60">
        <v>0.3</v>
      </c>
      <c r="K43" s="60">
        <v>186.38</v>
      </c>
      <c r="L43" s="60">
        <v>28.54</v>
      </c>
      <c r="M43" s="60">
        <v>44.68</v>
      </c>
      <c r="N43" s="60">
        <v>517.70000000000005</v>
      </c>
      <c r="O43" s="60">
        <v>0</v>
      </c>
      <c r="P43" s="60">
        <v>0.89</v>
      </c>
      <c r="Q43" s="60">
        <v>33.56</v>
      </c>
      <c r="R43" s="198"/>
      <c r="S43" s="198"/>
      <c r="T43" s="198"/>
      <c r="U43" s="198"/>
    </row>
    <row r="44" spans="1:21" s="12" customFormat="1" x14ac:dyDescent="0.25">
      <c r="A44" s="201" t="s">
        <v>1245</v>
      </c>
      <c r="B44" s="60">
        <v>12.63</v>
      </c>
      <c r="C44" s="60">
        <v>57.4</v>
      </c>
      <c r="D44" s="60">
        <v>42.55</v>
      </c>
      <c r="E44" s="60">
        <v>3.42</v>
      </c>
      <c r="F44" s="60">
        <v>5.83</v>
      </c>
      <c r="G44" s="60">
        <v>95.11</v>
      </c>
      <c r="H44" s="60">
        <v>34.75</v>
      </c>
      <c r="I44" s="60">
        <v>0.61</v>
      </c>
      <c r="J44" s="60">
        <v>0.17</v>
      </c>
      <c r="K44" s="60">
        <v>49.46</v>
      </c>
      <c r="L44" s="60">
        <v>31.19</v>
      </c>
      <c r="M44" s="60">
        <v>38</v>
      </c>
      <c r="N44" s="60">
        <v>567.6</v>
      </c>
      <c r="O44" s="60">
        <v>0</v>
      </c>
      <c r="P44" s="60">
        <v>0.89</v>
      </c>
      <c r="Q44" s="60">
        <v>32.869999999999997</v>
      </c>
      <c r="R44" s="198"/>
      <c r="S44" s="198"/>
      <c r="T44" s="198"/>
      <c r="U44" s="198"/>
    </row>
    <row r="45" spans="1:21" s="12" customFormat="1" x14ac:dyDescent="0.25">
      <c r="A45" s="201" t="s">
        <v>1246</v>
      </c>
      <c r="B45" s="60">
        <v>10.83</v>
      </c>
      <c r="C45" s="60">
        <v>61.42</v>
      </c>
      <c r="D45" s="60">
        <v>43.32</v>
      </c>
      <c r="E45" s="60">
        <v>2.74</v>
      </c>
      <c r="F45" s="60">
        <v>7.63</v>
      </c>
      <c r="G45" s="60">
        <v>93.01</v>
      </c>
      <c r="H45" s="60">
        <v>34.57</v>
      </c>
      <c r="I45" s="60">
        <v>0.6</v>
      </c>
      <c r="J45" s="60">
        <v>0.49</v>
      </c>
      <c r="K45" s="60">
        <v>15.98</v>
      </c>
      <c r="L45" s="60">
        <v>33.69</v>
      </c>
      <c r="M45" s="60">
        <v>33.14</v>
      </c>
      <c r="N45" s="60">
        <v>616.29999999999995</v>
      </c>
      <c r="O45" s="60">
        <v>0</v>
      </c>
      <c r="P45" s="60">
        <v>0.93</v>
      </c>
      <c r="Q45" s="60">
        <v>32.049999999999997</v>
      </c>
      <c r="R45" s="198"/>
      <c r="S45" s="198"/>
      <c r="T45" s="198"/>
      <c r="U45" s="198"/>
    </row>
    <row r="46" spans="1:21" s="12" customFormat="1" x14ac:dyDescent="0.25">
      <c r="A46" s="201" t="s">
        <v>1247</v>
      </c>
      <c r="B46" s="60">
        <v>11.28</v>
      </c>
      <c r="C46" s="60">
        <v>58</v>
      </c>
      <c r="D46" s="60">
        <v>41.8</v>
      </c>
      <c r="E46" s="60">
        <v>19.18</v>
      </c>
      <c r="F46" s="60">
        <v>20.68</v>
      </c>
      <c r="G46" s="60">
        <v>80.58</v>
      </c>
      <c r="H46" s="60">
        <v>33.85</v>
      </c>
      <c r="I46" s="60">
        <v>0.59</v>
      </c>
      <c r="J46" s="60">
        <v>0.32</v>
      </c>
      <c r="K46" s="60">
        <v>37.56</v>
      </c>
      <c r="L46" s="60">
        <v>34.229999999999997</v>
      </c>
      <c r="M46" s="60">
        <v>30.09</v>
      </c>
      <c r="N46" s="60">
        <v>657.9</v>
      </c>
      <c r="O46" s="60">
        <v>0</v>
      </c>
      <c r="P46" s="60">
        <v>1.02</v>
      </c>
      <c r="Q46" s="60">
        <v>29.9</v>
      </c>
      <c r="R46" s="198"/>
      <c r="S46" s="198"/>
      <c r="T46" s="198"/>
      <c r="U46" s="198"/>
    </row>
    <row r="47" spans="1:21" s="12" customFormat="1" x14ac:dyDescent="0.25">
      <c r="A47" s="201" t="s">
        <v>1248</v>
      </c>
      <c r="B47" s="60">
        <v>8.6</v>
      </c>
      <c r="C47" s="60">
        <v>50.11</v>
      </c>
      <c r="D47" s="60">
        <v>35.29</v>
      </c>
      <c r="E47" s="60">
        <v>16.36</v>
      </c>
      <c r="F47" s="60">
        <v>26.76</v>
      </c>
      <c r="G47" s="60">
        <v>80.58</v>
      </c>
      <c r="H47" s="60">
        <v>33.85</v>
      </c>
      <c r="I47" s="60">
        <v>0.57999999999999996</v>
      </c>
      <c r="J47" s="60">
        <v>0.36</v>
      </c>
      <c r="K47" s="60">
        <v>91.48</v>
      </c>
      <c r="L47" s="60">
        <v>32.700000000000003</v>
      </c>
      <c r="M47" s="60">
        <v>31.82</v>
      </c>
      <c r="N47" s="60">
        <v>705.5</v>
      </c>
      <c r="O47" s="60">
        <v>0</v>
      </c>
      <c r="P47" s="60">
        <v>0.95</v>
      </c>
      <c r="Q47" s="60">
        <v>26.32</v>
      </c>
      <c r="R47" s="198"/>
      <c r="S47" s="198"/>
      <c r="T47" s="198"/>
      <c r="U47" s="198"/>
    </row>
    <row r="48" spans="1:21" s="12" customFormat="1" x14ac:dyDescent="0.25">
      <c r="A48" s="201" t="s">
        <v>1249</v>
      </c>
      <c r="B48" s="60">
        <v>8.67</v>
      </c>
      <c r="C48" s="60">
        <v>54.91</v>
      </c>
      <c r="D48" s="60">
        <v>38</v>
      </c>
      <c r="E48" s="60">
        <v>14.91</v>
      </c>
      <c r="F48" s="60">
        <v>25.34</v>
      </c>
      <c r="G48" s="60">
        <v>80.58</v>
      </c>
      <c r="H48" s="60">
        <v>33.85</v>
      </c>
      <c r="I48" s="60">
        <v>0.56000000000000005</v>
      </c>
      <c r="J48" s="60">
        <v>0.35</v>
      </c>
      <c r="K48" s="60">
        <v>29.59</v>
      </c>
      <c r="L48" s="60">
        <v>34.36</v>
      </c>
      <c r="M48" s="60">
        <v>28.27</v>
      </c>
      <c r="N48" s="60">
        <v>733.7</v>
      </c>
      <c r="O48" s="60">
        <v>0</v>
      </c>
      <c r="P48" s="60">
        <v>1</v>
      </c>
      <c r="Q48" s="60">
        <v>25.04</v>
      </c>
      <c r="R48" s="198"/>
      <c r="S48" s="198"/>
      <c r="T48" s="198"/>
      <c r="U48" s="198"/>
    </row>
    <row r="49" spans="1:21" s="12" customFormat="1" x14ac:dyDescent="0.25">
      <c r="A49" s="201" t="s">
        <v>1250</v>
      </c>
      <c r="B49" s="60">
        <v>7.19</v>
      </c>
      <c r="C49" s="60">
        <v>66.319999999999993</v>
      </c>
      <c r="D49" s="60">
        <v>43.11</v>
      </c>
      <c r="E49" s="60">
        <v>14.51</v>
      </c>
      <c r="F49" s="60">
        <v>29.69</v>
      </c>
      <c r="G49" s="60">
        <v>81.28</v>
      </c>
      <c r="H49" s="60">
        <v>34.020000000000003</v>
      </c>
      <c r="I49" s="60">
        <v>0.56999999999999995</v>
      </c>
      <c r="J49" s="60">
        <v>0.18</v>
      </c>
      <c r="K49" s="60">
        <v>27.1</v>
      </c>
      <c r="L49" s="60">
        <v>34.46</v>
      </c>
      <c r="M49" s="60">
        <v>29.19</v>
      </c>
      <c r="N49" s="60">
        <v>745.2</v>
      </c>
      <c r="O49" s="60">
        <v>0</v>
      </c>
      <c r="P49" s="60">
        <v>1.06</v>
      </c>
      <c r="Q49" s="60">
        <v>27.46</v>
      </c>
      <c r="R49" s="198"/>
      <c r="S49" s="198"/>
      <c r="T49" s="198"/>
      <c r="U49" s="198"/>
    </row>
    <row r="50" spans="1:21" s="12" customFormat="1" x14ac:dyDescent="0.25">
      <c r="A50" s="201" t="s">
        <v>1251</v>
      </c>
      <c r="B50" s="60">
        <v>7.01</v>
      </c>
      <c r="C50" s="60">
        <v>67.86</v>
      </c>
      <c r="D50" s="60">
        <v>43.81</v>
      </c>
      <c r="E50" s="60">
        <v>12.86</v>
      </c>
      <c r="F50" s="60">
        <v>28.32</v>
      </c>
      <c r="G50" s="60">
        <v>85.41</v>
      </c>
      <c r="H50" s="60">
        <v>34.729999999999997</v>
      </c>
      <c r="I50" s="60">
        <v>0.59</v>
      </c>
      <c r="J50" s="60">
        <v>0.3</v>
      </c>
      <c r="K50" s="60">
        <v>15.31</v>
      </c>
      <c r="L50" s="60">
        <v>36.06</v>
      </c>
      <c r="M50" s="60">
        <v>26.53</v>
      </c>
      <c r="N50" s="60">
        <v>761.1</v>
      </c>
      <c r="O50" s="60">
        <v>0</v>
      </c>
      <c r="P50" s="60">
        <v>1.06</v>
      </c>
      <c r="Q50" s="60">
        <v>28.06</v>
      </c>
      <c r="R50" s="198"/>
      <c r="S50" s="198"/>
      <c r="T50" s="198"/>
      <c r="U50" s="198"/>
    </row>
    <row r="51" spans="1:21" s="12" customFormat="1" x14ac:dyDescent="0.25">
      <c r="A51" s="201" t="s">
        <v>1252</v>
      </c>
      <c r="B51" s="60">
        <v>4.74</v>
      </c>
      <c r="C51" s="60">
        <v>64.739999999999995</v>
      </c>
      <c r="D51" s="60">
        <v>40.270000000000003</v>
      </c>
      <c r="E51" s="60">
        <v>18.850000000000001</v>
      </c>
      <c r="F51" s="60">
        <v>46.79</v>
      </c>
      <c r="G51" s="60">
        <v>85.41</v>
      </c>
      <c r="H51" s="60">
        <v>34.729999999999997</v>
      </c>
      <c r="I51" s="60">
        <v>0.61</v>
      </c>
      <c r="J51" s="60">
        <v>0.43</v>
      </c>
      <c r="K51" s="60">
        <v>150.65</v>
      </c>
      <c r="L51" s="60">
        <v>35.17</v>
      </c>
      <c r="M51" s="60">
        <v>26.79</v>
      </c>
      <c r="N51" s="60">
        <v>778.6</v>
      </c>
      <c r="O51" s="60">
        <v>0</v>
      </c>
      <c r="P51" s="60">
        <v>1.05</v>
      </c>
      <c r="Q51" s="60">
        <v>28.07</v>
      </c>
      <c r="R51" s="198"/>
      <c r="S51" s="198"/>
      <c r="T51" s="198"/>
      <c r="U51" s="198"/>
    </row>
    <row r="52" spans="1:21" s="12" customFormat="1" x14ac:dyDescent="0.25">
      <c r="A52" s="201" t="s">
        <v>1253</v>
      </c>
      <c r="B52" s="60">
        <v>3.51</v>
      </c>
      <c r="C52" s="60">
        <v>61.57</v>
      </c>
      <c r="D52" s="60">
        <v>37.54</v>
      </c>
      <c r="E52" s="60">
        <v>21.54</v>
      </c>
      <c r="F52" s="60">
        <v>55.85</v>
      </c>
      <c r="G52" s="60">
        <v>85.41</v>
      </c>
      <c r="H52" s="60">
        <v>34.729999999999997</v>
      </c>
      <c r="I52" s="60">
        <v>0.62</v>
      </c>
      <c r="J52" s="60">
        <v>0.38</v>
      </c>
      <c r="K52" s="60">
        <v>127.91</v>
      </c>
      <c r="L52" s="60">
        <v>34.090000000000003</v>
      </c>
      <c r="M52" s="60">
        <v>28.36</v>
      </c>
      <c r="N52" s="60">
        <v>773</v>
      </c>
      <c r="O52" s="60">
        <v>0</v>
      </c>
      <c r="P52" s="60">
        <v>1.02</v>
      </c>
      <c r="Q52" s="60">
        <v>29.21</v>
      </c>
      <c r="R52" s="198"/>
      <c r="S52" s="198"/>
      <c r="T52" s="198"/>
      <c r="U52" s="198"/>
    </row>
    <row r="53" spans="1:21" s="12" customFormat="1" x14ac:dyDescent="0.25">
      <c r="A53" s="201" t="s">
        <v>1254</v>
      </c>
      <c r="B53" s="60">
        <v>3.57</v>
      </c>
      <c r="C53" s="60">
        <v>63.74</v>
      </c>
      <c r="D53" s="60">
        <v>38.78</v>
      </c>
      <c r="E53" s="60">
        <v>14.04</v>
      </c>
      <c r="F53" s="60">
        <v>18.28</v>
      </c>
      <c r="G53" s="60">
        <v>86.97</v>
      </c>
      <c r="H53" s="60">
        <v>35.36</v>
      </c>
      <c r="I53" s="60">
        <v>0.62</v>
      </c>
      <c r="J53" s="60">
        <v>0.85</v>
      </c>
      <c r="K53" s="60">
        <v>131.88</v>
      </c>
      <c r="L53" s="60">
        <v>33.5</v>
      </c>
      <c r="M53" s="60">
        <v>28.59</v>
      </c>
      <c r="N53" s="60">
        <v>772.9</v>
      </c>
      <c r="O53" s="60">
        <v>0</v>
      </c>
      <c r="P53" s="60">
        <v>1.04</v>
      </c>
      <c r="Q53" s="60">
        <v>29.82</v>
      </c>
      <c r="R53" s="198"/>
      <c r="S53" s="198"/>
      <c r="T53" s="198"/>
      <c r="U53" s="198"/>
    </row>
    <row r="54" spans="1:21" s="12" customFormat="1" x14ac:dyDescent="0.25">
      <c r="A54" s="201" t="s">
        <v>1255</v>
      </c>
      <c r="B54" s="60">
        <v>2.38</v>
      </c>
      <c r="C54" s="60">
        <v>62.6</v>
      </c>
      <c r="D54" s="60">
        <v>37.200000000000003</v>
      </c>
      <c r="E54" s="60">
        <v>8.43</v>
      </c>
      <c r="F54" s="60">
        <v>20.99</v>
      </c>
      <c r="G54" s="60">
        <v>96.25</v>
      </c>
      <c r="H54" s="60">
        <v>38.14</v>
      </c>
      <c r="I54" s="60">
        <v>0.66</v>
      </c>
      <c r="J54" s="60">
        <v>1.04</v>
      </c>
      <c r="K54" s="60">
        <v>124.54</v>
      </c>
      <c r="L54" s="60">
        <v>33.119999999999997</v>
      </c>
      <c r="M54" s="60">
        <v>28.56</v>
      </c>
      <c r="N54" s="60">
        <v>774.6</v>
      </c>
      <c r="O54" s="60">
        <v>0</v>
      </c>
      <c r="P54" s="60">
        <v>1.05</v>
      </c>
      <c r="Q54" s="60">
        <v>32.08</v>
      </c>
      <c r="R54" s="198"/>
      <c r="S54" s="198"/>
      <c r="T54" s="198"/>
      <c r="U54" s="198"/>
    </row>
    <row r="55" spans="1:21" s="12" customFormat="1" x14ac:dyDescent="0.25">
      <c r="A55" s="201" t="s">
        <v>1256</v>
      </c>
      <c r="B55" s="60">
        <v>2.09</v>
      </c>
      <c r="C55" s="60">
        <v>60.95</v>
      </c>
      <c r="D55" s="60">
        <v>36.049999999999997</v>
      </c>
      <c r="E55" s="60">
        <v>10.02</v>
      </c>
      <c r="F55" s="60">
        <v>32.9</v>
      </c>
      <c r="G55" s="60">
        <v>96.25</v>
      </c>
      <c r="H55" s="60">
        <v>38.14</v>
      </c>
      <c r="I55" s="60">
        <v>0.72</v>
      </c>
      <c r="J55" s="60">
        <v>0.77</v>
      </c>
      <c r="K55" s="60">
        <v>101.72</v>
      </c>
      <c r="L55" s="60">
        <v>33.9</v>
      </c>
      <c r="M55" s="60">
        <v>26.25</v>
      </c>
      <c r="N55" s="60">
        <v>770.7</v>
      </c>
      <c r="O55" s="60">
        <v>0</v>
      </c>
      <c r="P55" s="60">
        <v>1.05</v>
      </c>
      <c r="Q55" s="60">
        <v>33.25</v>
      </c>
      <c r="R55" s="198"/>
      <c r="S55" s="198"/>
      <c r="T55" s="198"/>
      <c r="U55" s="198"/>
    </row>
    <row r="56" spans="1:21" s="12" customFormat="1" x14ac:dyDescent="0.25">
      <c r="A56" s="201" t="s">
        <v>1257</v>
      </c>
      <c r="B56" s="60">
        <v>2.02</v>
      </c>
      <c r="C56" s="60">
        <v>59.25</v>
      </c>
      <c r="D56" s="60">
        <v>35.06</v>
      </c>
      <c r="E56" s="60">
        <v>4.6500000000000004</v>
      </c>
      <c r="F56" s="60">
        <v>23.34</v>
      </c>
      <c r="G56" s="60">
        <v>96.25</v>
      </c>
      <c r="H56" s="60">
        <v>38.14</v>
      </c>
      <c r="I56" s="60">
        <v>0.73</v>
      </c>
      <c r="J56" s="60">
        <v>0.86</v>
      </c>
      <c r="K56" s="60">
        <v>118.83</v>
      </c>
      <c r="L56" s="60">
        <v>34.090000000000003</v>
      </c>
      <c r="M56" s="60">
        <v>25.01</v>
      </c>
      <c r="N56" s="60">
        <v>732.9</v>
      </c>
      <c r="O56" s="60">
        <v>0</v>
      </c>
      <c r="P56" s="60">
        <v>1.04</v>
      </c>
      <c r="Q56" s="60">
        <v>33.49</v>
      </c>
      <c r="R56" s="198"/>
      <c r="S56" s="198"/>
      <c r="T56" s="198"/>
      <c r="U56" s="198"/>
    </row>
    <row r="57" spans="1:21" s="12" customFormat="1" x14ac:dyDescent="0.25">
      <c r="A57" s="201" t="s">
        <v>1258</v>
      </c>
      <c r="B57" s="60">
        <v>2</v>
      </c>
      <c r="C57" s="60">
        <v>57.49</v>
      </c>
      <c r="D57" s="60">
        <v>34.07</v>
      </c>
      <c r="E57" s="60">
        <v>9.0399999999999991</v>
      </c>
      <c r="F57" s="60">
        <v>19.21</v>
      </c>
      <c r="G57" s="60">
        <v>98.84</v>
      </c>
      <c r="H57" s="60">
        <v>38.72</v>
      </c>
      <c r="I57" s="60">
        <v>0.7</v>
      </c>
      <c r="J57" s="60">
        <v>1.06</v>
      </c>
      <c r="K57" s="60">
        <v>123.29</v>
      </c>
      <c r="L57" s="60">
        <v>34.03</v>
      </c>
      <c r="M57" s="60">
        <v>23.4</v>
      </c>
      <c r="N57" s="60">
        <v>729.5</v>
      </c>
      <c r="O57" s="60">
        <v>0</v>
      </c>
      <c r="P57" s="60">
        <v>1.01</v>
      </c>
      <c r="Q57" s="60">
        <v>33.909999999999997</v>
      </c>
      <c r="R57" s="198"/>
      <c r="S57" s="198"/>
      <c r="T57" s="198"/>
      <c r="U57" s="198"/>
    </row>
    <row r="58" spans="1:21" s="12" customFormat="1" x14ac:dyDescent="0.25">
      <c r="A58" s="201" t="s">
        <v>1259</v>
      </c>
      <c r="B58" s="60">
        <v>2.2200000000000002</v>
      </c>
      <c r="C58" s="60">
        <v>57</v>
      </c>
      <c r="D58" s="60">
        <v>33.979999999999997</v>
      </c>
      <c r="E58" s="60">
        <v>7.15</v>
      </c>
      <c r="F58" s="60">
        <v>21.37</v>
      </c>
      <c r="G58" s="60">
        <v>114.17</v>
      </c>
      <c r="H58" s="60">
        <v>41.88</v>
      </c>
      <c r="I58" s="60">
        <v>0.69</v>
      </c>
      <c r="J58" s="60">
        <v>0.48</v>
      </c>
      <c r="K58" s="60">
        <v>168.04</v>
      </c>
      <c r="L58" s="60">
        <v>34.6</v>
      </c>
      <c r="M58" s="60">
        <v>22.75</v>
      </c>
      <c r="N58" s="60">
        <v>665</v>
      </c>
      <c r="O58" s="60">
        <v>0</v>
      </c>
      <c r="P58" s="60">
        <v>0.98</v>
      </c>
      <c r="Q58" s="60">
        <v>33.619999999999997</v>
      </c>
      <c r="R58" s="198"/>
      <c r="S58" s="198"/>
      <c r="T58" s="198"/>
      <c r="U58" s="198"/>
    </row>
    <row r="59" spans="1:21" s="12" customFormat="1" x14ac:dyDescent="0.25">
      <c r="A59" s="201" t="s">
        <v>1260</v>
      </c>
      <c r="B59" s="60">
        <v>2.0499999999999998</v>
      </c>
      <c r="C59" s="60">
        <v>56.12</v>
      </c>
      <c r="D59" s="60">
        <v>33.36</v>
      </c>
      <c r="E59" s="60">
        <v>5.54</v>
      </c>
      <c r="F59" s="60">
        <v>13.28</v>
      </c>
      <c r="G59" s="60">
        <v>114.17</v>
      </c>
      <c r="H59" s="60">
        <v>41.88</v>
      </c>
      <c r="I59" s="60">
        <v>0.68</v>
      </c>
      <c r="J59" s="60">
        <v>0.55000000000000004</v>
      </c>
      <c r="K59" s="60">
        <v>191.92</v>
      </c>
      <c r="L59" s="60">
        <v>34.950000000000003</v>
      </c>
      <c r="M59" s="60">
        <v>20.72</v>
      </c>
      <c r="N59" s="60">
        <v>627.70000000000005</v>
      </c>
      <c r="O59" s="60">
        <v>0</v>
      </c>
      <c r="P59" s="60">
        <v>0.93</v>
      </c>
      <c r="Q59" s="60">
        <v>33.340000000000003</v>
      </c>
      <c r="R59" s="198"/>
      <c r="S59" s="198"/>
      <c r="T59" s="198"/>
      <c r="U59" s="198"/>
    </row>
    <row r="60" spans="1:21" s="12" customFormat="1" x14ac:dyDescent="0.25">
      <c r="A60" s="201" t="s">
        <v>1261</v>
      </c>
      <c r="B60" s="60">
        <v>3.25</v>
      </c>
      <c r="C60" s="60">
        <v>50.13</v>
      </c>
      <c r="D60" s="60">
        <v>31.01</v>
      </c>
      <c r="E60" s="60">
        <v>15.32</v>
      </c>
      <c r="F60" s="60">
        <v>41.05</v>
      </c>
      <c r="G60" s="60">
        <v>114.17</v>
      </c>
      <c r="H60" s="60">
        <v>41.88</v>
      </c>
      <c r="I60" s="60">
        <v>0.67</v>
      </c>
      <c r="J60" s="60">
        <v>0.27</v>
      </c>
      <c r="K60" s="60">
        <v>144.27000000000001</v>
      </c>
      <c r="L60" s="60">
        <v>36.42</v>
      </c>
      <c r="M60" s="60">
        <v>19.5</v>
      </c>
      <c r="N60" s="60">
        <v>676.1</v>
      </c>
      <c r="O60" s="60">
        <v>0</v>
      </c>
      <c r="P60" s="60">
        <v>0.85</v>
      </c>
      <c r="Q60" s="60">
        <v>31.34</v>
      </c>
      <c r="R60" s="198"/>
      <c r="S60" s="198"/>
      <c r="T60" s="198"/>
      <c r="U60" s="198"/>
    </row>
    <row r="61" spans="1:21" s="12" customFormat="1" x14ac:dyDescent="0.25">
      <c r="A61" s="201" t="s">
        <v>1262</v>
      </c>
      <c r="B61" s="60">
        <v>3.66</v>
      </c>
      <c r="C61" s="60">
        <v>47.63</v>
      </c>
      <c r="D61" s="60">
        <v>29.97</v>
      </c>
      <c r="E61" s="60">
        <v>14.69</v>
      </c>
      <c r="F61" s="60">
        <v>40.049999999999997</v>
      </c>
      <c r="G61" s="60">
        <v>109.13</v>
      </c>
      <c r="H61" s="60">
        <v>41.33</v>
      </c>
      <c r="I61" s="60">
        <v>0.64</v>
      </c>
      <c r="J61" s="60">
        <v>0.17</v>
      </c>
      <c r="K61" s="60">
        <v>87</v>
      </c>
      <c r="L61" s="60">
        <v>36.049999999999997</v>
      </c>
      <c r="M61" s="60">
        <v>19.760000000000002</v>
      </c>
      <c r="N61" s="60">
        <v>725.3</v>
      </c>
      <c r="O61" s="60">
        <v>0</v>
      </c>
      <c r="P61" s="60">
        <v>0.78</v>
      </c>
      <c r="Q61" s="60">
        <v>29.67</v>
      </c>
      <c r="R61" s="198"/>
      <c r="S61" s="198"/>
      <c r="T61" s="198"/>
      <c r="U61" s="198"/>
    </row>
    <row r="62" spans="1:21" s="12" customFormat="1" x14ac:dyDescent="0.25">
      <c r="A62" s="201" t="s">
        <v>1263</v>
      </c>
      <c r="B62" s="60">
        <v>3.64</v>
      </c>
      <c r="C62" s="60">
        <v>49.72</v>
      </c>
      <c r="D62" s="60">
        <v>31.1</v>
      </c>
      <c r="E62" s="60">
        <v>13.66</v>
      </c>
      <c r="F62" s="60">
        <v>18.89</v>
      </c>
      <c r="G62" s="60">
        <v>79.319999999999993</v>
      </c>
      <c r="H62" s="60">
        <v>38.03</v>
      </c>
      <c r="I62" s="60">
        <v>0.6</v>
      </c>
      <c r="J62" s="60">
        <v>0.53</v>
      </c>
      <c r="K62" s="60">
        <v>352.22</v>
      </c>
      <c r="L62" s="60">
        <v>38.4</v>
      </c>
      <c r="M62" s="60">
        <v>17.41</v>
      </c>
      <c r="N62" s="60">
        <v>718.4</v>
      </c>
      <c r="O62" s="60">
        <v>0</v>
      </c>
      <c r="P62" s="60">
        <v>0.88</v>
      </c>
      <c r="Q62" s="60">
        <v>29.14</v>
      </c>
      <c r="R62" s="198"/>
      <c r="S62" s="198"/>
      <c r="T62" s="198"/>
      <c r="U62" s="198"/>
    </row>
    <row r="63" spans="1:21" s="12" customFormat="1" x14ac:dyDescent="0.25">
      <c r="A63" s="201" t="s">
        <v>1264</v>
      </c>
      <c r="B63" s="60">
        <v>3.09</v>
      </c>
      <c r="C63" s="60">
        <v>49.29</v>
      </c>
      <c r="D63" s="60">
        <v>30.42</v>
      </c>
      <c r="E63" s="60">
        <v>4.7</v>
      </c>
      <c r="F63" s="60">
        <v>31.47</v>
      </c>
      <c r="G63" s="60">
        <v>79.319999999999993</v>
      </c>
      <c r="H63" s="60">
        <v>38.03</v>
      </c>
      <c r="I63" s="60">
        <v>0.61</v>
      </c>
      <c r="J63" s="60">
        <v>0.28000000000000003</v>
      </c>
      <c r="K63" s="60">
        <v>354.7</v>
      </c>
      <c r="L63" s="60">
        <v>38.06</v>
      </c>
      <c r="M63" s="60">
        <v>17.36</v>
      </c>
      <c r="N63" s="60">
        <v>712</v>
      </c>
      <c r="O63" s="60">
        <v>0</v>
      </c>
      <c r="P63" s="60">
        <v>0.85</v>
      </c>
      <c r="Q63" s="60">
        <v>27.56</v>
      </c>
      <c r="R63" s="198"/>
      <c r="S63" s="198"/>
      <c r="T63" s="198"/>
      <c r="U63" s="198"/>
    </row>
    <row r="64" spans="1:21" s="12" customFormat="1" x14ac:dyDescent="0.25">
      <c r="A64" s="201" t="s">
        <v>1265</v>
      </c>
      <c r="B64" s="60">
        <v>4.08</v>
      </c>
      <c r="C64" s="60">
        <v>50.31</v>
      </c>
      <c r="D64" s="60">
        <v>31.78</v>
      </c>
      <c r="E64" s="60">
        <v>6.23</v>
      </c>
      <c r="F64" s="60">
        <v>16.59</v>
      </c>
      <c r="G64" s="60">
        <v>79.319999999999993</v>
      </c>
      <c r="H64" s="60">
        <v>38.03</v>
      </c>
      <c r="I64" s="60">
        <v>0.64</v>
      </c>
      <c r="J64" s="60">
        <v>0.84</v>
      </c>
      <c r="K64" s="60">
        <v>357.62</v>
      </c>
      <c r="L64" s="60">
        <v>38.85</v>
      </c>
      <c r="M64" s="60">
        <v>16.989999999999998</v>
      </c>
      <c r="N64" s="60">
        <v>702</v>
      </c>
      <c r="O64" s="60">
        <v>0</v>
      </c>
      <c r="P64" s="60">
        <v>0.86</v>
      </c>
      <c r="Q64" s="60">
        <v>26.36</v>
      </c>
      <c r="R64" s="198"/>
      <c r="S64" s="198"/>
      <c r="T64" s="198"/>
      <c r="U64" s="198"/>
    </row>
    <row r="65" spans="1:21" s="12" customFormat="1" x14ac:dyDescent="0.25">
      <c r="A65" s="201" t="s">
        <v>1266</v>
      </c>
      <c r="B65" s="60">
        <v>3.71</v>
      </c>
      <c r="C65" s="60">
        <v>45</v>
      </c>
      <c r="D65" s="60">
        <v>28.55</v>
      </c>
      <c r="E65" s="60">
        <v>9.4700000000000006</v>
      </c>
      <c r="F65" s="60">
        <v>41.46</v>
      </c>
      <c r="G65" s="60">
        <v>76.2</v>
      </c>
      <c r="H65" s="60">
        <v>36.71</v>
      </c>
      <c r="I65" s="60">
        <v>0.66</v>
      </c>
      <c r="J65" s="60">
        <v>0.14000000000000001</v>
      </c>
      <c r="K65" s="60">
        <v>236.54</v>
      </c>
      <c r="L65" s="60">
        <v>38.47</v>
      </c>
      <c r="M65" s="60">
        <v>15.44</v>
      </c>
      <c r="N65" s="60">
        <v>676.6</v>
      </c>
      <c r="O65" s="60">
        <v>0</v>
      </c>
      <c r="P65" s="60">
        <v>0.75</v>
      </c>
      <c r="Q65" s="60">
        <v>25.72</v>
      </c>
      <c r="R65" s="198"/>
      <c r="S65" s="198"/>
      <c r="T65" s="198"/>
      <c r="U65" s="198"/>
    </row>
    <row r="66" spans="1:21" s="12" customFormat="1" x14ac:dyDescent="0.25">
      <c r="A66" s="201" t="s">
        <v>1267</v>
      </c>
      <c r="B66" s="60">
        <v>4.38</v>
      </c>
      <c r="C66" s="60">
        <v>49.28</v>
      </c>
      <c r="D66" s="60">
        <v>31.45</v>
      </c>
      <c r="E66" s="60">
        <v>7.08</v>
      </c>
      <c r="F66" s="60">
        <v>31.88</v>
      </c>
      <c r="G66" s="60">
        <v>57.7</v>
      </c>
      <c r="H66" s="60">
        <v>31.21</v>
      </c>
      <c r="I66" s="60">
        <v>0.68</v>
      </c>
      <c r="J66" s="60">
        <v>1.05</v>
      </c>
      <c r="K66" s="60">
        <v>7.1</v>
      </c>
      <c r="L66" s="60">
        <v>37.89</v>
      </c>
      <c r="M66" s="60">
        <v>16.2</v>
      </c>
      <c r="N66" s="60">
        <v>644.9</v>
      </c>
      <c r="O66" s="60">
        <v>0</v>
      </c>
      <c r="P66" s="60">
        <v>0.78</v>
      </c>
      <c r="Q66" s="60">
        <v>25.85</v>
      </c>
      <c r="R66" s="198"/>
      <c r="S66" s="198"/>
      <c r="T66" s="198"/>
      <c r="U66" s="198"/>
    </row>
    <row r="67" spans="1:21" s="12" customFormat="1" x14ac:dyDescent="0.25">
      <c r="A67" s="201" t="s">
        <v>1268</v>
      </c>
      <c r="B67" s="60">
        <v>5.53</v>
      </c>
      <c r="C67" s="60">
        <v>49.55</v>
      </c>
      <c r="D67" s="60">
        <v>32.520000000000003</v>
      </c>
      <c r="E67" s="60">
        <v>5.37</v>
      </c>
      <c r="F67" s="60">
        <v>13.01</v>
      </c>
      <c r="G67" s="60">
        <v>57.7</v>
      </c>
      <c r="H67" s="60">
        <v>31.21</v>
      </c>
      <c r="I67" s="60">
        <v>0.67</v>
      </c>
      <c r="J67" s="60">
        <v>0.64</v>
      </c>
      <c r="K67" s="60">
        <v>351.25</v>
      </c>
      <c r="L67" s="60">
        <v>39.119999999999997</v>
      </c>
      <c r="M67" s="60">
        <v>15.65</v>
      </c>
      <c r="N67" s="60">
        <v>516.70000000000005</v>
      </c>
      <c r="O67" s="60">
        <v>0</v>
      </c>
      <c r="P67" s="60">
        <v>0.82</v>
      </c>
      <c r="Q67" s="60">
        <v>26.17</v>
      </c>
      <c r="R67" s="198"/>
      <c r="S67" s="198"/>
      <c r="T67" s="198"/>
      <c r="U67" s="198"/>
    </row>
    <row r="68" spans="1:21" s="12" customFormat="1" x14ac:dyDescent="0.25">
      <c r="A68" s="201" t="s">
        <v>1269</v>
      </c>
      <c r="B68" s="60">
        <v>4.5</v>
      </c>
      <c r="C68" s="60">
        <v>49.86</v>
      </c>
      <c r="D68" s="60">
        <v>31.87</v>
      </c>
      <c r="E68" s="60">
        <v>3.09</v>
      </c>
      <c r="F68" s="60">
        <v>10.53</v>
      </c>
      <c r="G68" s="60">
        <v>57.7</v>
      </c>
      <c r="H68" s="60">
        <v>31.21</v>
      </c>
      <c r="I68" s="60">
        <v>0.71</v>
      </c>
      <c r="J68" s="60">
        <v>0.74</v>
      </c>
      <c r="K68" s="60">
        <v>356.6</v>
      </c>
      <c r="L68" s="60">
        <v>38.409999999999997</v>
      </c>
      <c r="M68" s="60">
        <v>15.92</v>
      </c>
      <c r="N68" s="60">
        <v>529.6</v>
      </c>
      <c r="O68" s="60">
        <v>0</v>
      </c>
      <c r="P68" s="60">
        <v>0.79</v>
      </c>
      <c r="Q68" s="60">
        <v>26.9</v>
      </c>
      <c r="R68" s="198"/>
      <c r="S68" s="198"/>
      <c r="T68" s="198"/>
      <c r="U68" s="198"/>
    </row>
    <row r="69" spans="1:21" s="12" customFormat="1" x14ac:dyDescent="0.25">
      <c r="A69" s="201" t="s">
        <v>1270</v>
      </c>
      <c r="B69" s="60">
        <v>3.48</v>
      </c>
      <c r="C69" s="60">
        <v>50.17</v>
      </c>
      <c r="D69" s="60">
        <v>31.21</v>
      </c>
      <c r="E69" s="60">
        <v>3.41</v>
      </c>
      <c r="F69" s="60">
        <v>15.34</v>
      </c>
      <c r="G69" s="60">
        <v>54.67</v>
      </c>
      <c r="H69" s="60">
        <v>30.41</v>
      </c>
      <c r="I69" s="60">
        <v>0.75</v>
      </c>
      <c r="J69" s="60">
        <v>0.12</v>
      </c>
      <c r="K69" s="60">
        <v>310.51</v>
      </c>
      <c r="L69" s="60">
        <v>37.42</v>
      </c>
      <c r="M69" s="60">
        <v>15.74</v>
      </c>
      <c r="N69" s="60">
        <v>370.2</v>
      </c>
      <c r="O69" s="60">
        <v>0</v>
      </c>
      <c r="P69" s="60">
        <v>0.74</v>
      </c>
      <c r="Q69" s="60">
        <v>26.45</v>
      </c>
      <c r="R69" s="198"/>
      <c r="S69" s="198"/>
      <c r="T69" s="198"/>
      <c r="U69" s="198"/>
    </row>
    <row r="70" spans="1:21" s="12" customFormat="1" x14ac:dyDescent="0.25">
      <c r="A70" s="201" t="s">
        <v>1271</v>
      </c>
      <c r="B70" s="60">
        <v>3.33</v>
      </c>
      <c r="C70" s="60">
        <v>45.85</v>
      </c>
      <c r="D70" s="60">
        <v>28.72</v>
      </c>
      <c r="E70" s="60">
        <v>4.03</v>
      </c>
      <c r="F70" s="60">
        <v>21.84</v>
      </c>
      <c r="G70" s="60">
        <v>38.17</v>
      </c>
      <c r="H70" s="60">
        <v>27.15</v>
      </c>
      <c r="I70" s="60">
        <v>0.74</v>
      </c>
      <c r="J70" s="60">
        <v>0.71</v>
      </c>
      <c r="K70" s="60">
        <v>22.53</v>
      </c>
      <c r="L70" s="60">
        <v>36.32</v>
      </c>
      <c r="M70" s="60">
        <v>17.22</v>
      </c>
      <c r="N70" s="60">
        <v>265.3</v>
      </c>
      <c r="O70" s="60">
        <v>0</v>
      </c>
      <c r="P70" s="60">
        <v>0.67</v>
      </c>
      <c r="Q70" s="60">
        <v>25.58</v>
      </c>
      <c r="R70" s="198"/>
      <c r="S70" s="198"/>
      <c r="T70" s="198"/>
      <c r="U70" s="198"/>
    </row>
    <row r="71" spans="1:21" s="12" customFormat="1" x14ac:dyDescent="0.25">
      <c r="A71" s="201" t="s">
        <v>1272</v>
      </c>
      <c r="B71" s="60">
        <v>3.95</v>
      </c>
      <c r="C71" s="60">
        <v>52.94</v>
      </c>
      <c r="D71" s="60">
        <v>33.119999999999997</v>
      </c>
      <c r="E71" s="60">
        <v>4.25</v>
      </c>
      <c r="F71" s="60">
        <v>20.28</v>
      </c>
      <c r="G71" s="60">
        <v>38.17</v>
      </c>
      <c r="H71" s="60">
        <v>27.15</v>
      </c>
      <c r="I71" s="60">
        <v>0.67</v>
      </c>
      <c r="J71" s="60">
        <v>0.36</v>
      </c>
      <c r="K71" s="60">
        <v>5.5</v>
      </c>
      <c r="L71" s="60">
        <v>36.46</v>
      </c>
      <c r="M71" s="60">
        <v>16.739999999999998</v>
      </c>
      <c r="N71" s="60">
        <v>181.5</v>
      </c>
      <c r="O71" s="60">
        <v>0</v>
      </c>
      <c r="P71" s="60">
        <v>0.69</v>
      </c>
      <c r="Q71" s="60">
        <v>25.36</v>
      </c>
      <c r="R71" s="198"/>
      <c r="S71" s="198"/>
      <c r="T71" s="198"/>
      <c r="U71" s="198"/>
    </row>
    <row r="72" spans="1:21" s="12" customFormat="1" x14ac:dyDescent="0.25">
      <c r="A72" s="201" t="s">
        <v>1273</v>
      </c>
      <c r="B72" s="60">
        <v>4.08</v>
      </c>
      <c r="C72" s="60">
        <v>52.12</v>
      </c>
      <c r="D72" s="60">
        <v>32.78</v>
      </c>
      <c r="E72" s="60">
        <v>2.17</v>
      </c>
      <c r="F72" s="60">
        <v>21.13</v>
      </c>
      <c r="G72" s="60">
        <v>38.17</v>
      </c>
      <c r="H72" s="60">
        <v>27.15</v>
      </c>
      <c r="I72" s="60">
        <v>0.64</v>
      </c>
      <c r="J72" s="60">
        <v>0.62</v>
      </c>
      <c r="K72" s="60">
        <v>20.09</v>
      </c>
      <c r="L72" s="60">
        <v>36.19</v>
      </c>
      <c r="M72" s="60">
        <v>17.579999999999998</v>
      </c>
      <c r="N72" s="60">
        <v>158.4</v>
      </c>
      <c r="O72" s="60">
        <v>0</v>
      </c>
      <c r="P72" s="60">
        <v>0.67</v>
      </c>
      <c r="Q72" s="60">
        <v>24.81</v>
      </c>
      <c r="R72" s="198"/>
      <c r="S72" s="198"/>
      <c r="T72" s="198"/>
      <c r="U72" s="198"/>
    </row>
    <row r="73" spans="1:21" s="12" customFormat="1" x14ac:dyDescent="0.25">
      <c r="A73" s="201" t="s">
        <v>1274</v>
      </c>
      <c r="B73" s="60">
        <v>4.7699999999999996</v>
      </c>
      <c r="C73" s="60">
        <v>53.53</v>
      </c>
      <c r="D73" s="60">
        <v>34.11</v>
      </c>
      <c r="E73" s="60">
        <v>4.53</v>
      </c>
      <c r="F73" s="60">
        <v>29.23</v>
      </c>
      <c r="G73" s="60">
        <v>41.79</v>
      </c>
      <c r="H73" s="60">
        <v>27.11</v>
      </c>
      <c r="I73" s="60">
        <v>0.62</v>
      </c>
      <c r="J73" s="60">
        <v>0.26</v>
      </c>
      <c r="K73" s="60">
        <v>14.27</v>
      </c>
      <c r="L73" s="60">
        <v>35.85</v>
      </c>
      <c r="M73" s="60">
        <v>17.16</v>
      </c>
      <c r="N73" s="60">
        <v>129.6</v>
      </c>
      <c r="O73" s="60">
        <v>0</v>
      </c>
      <c r="P73" s="60">
        <v>0.69</v>
      </c>
      <c r="Q73" s="60">
        <v>24.2</v>
      </c>
      <c r="R73" s="198"/>
      <c r="S73" s="198"/>
      <c r="T73" s="198"/>
      <c r="U73" s="198"/>
    </row>
    <row r="74" spans="1:21" s="12" customFormat="1" x14ac:dyDescent="0.25">
      <c r="A74" s="201" t="s">
        <v>1275</v>
      </c>
      <c r="B74" s="60">
        <v>4.1100000000000003</v>
      </c>
      <c r="C74" s="60">
        <v>43.13</v>
      </c>
      <c r="D74" s="60">
        <v>27.84</v>
      </c>
      <c r="E74" s="60">
        <v>7.53</v>
      </c>
      <c r="F74" s="60">
        <v>62.52</v>
      </c>
      <c r="G74" s="60">
        <v>63.23</v>
      </c>
      <c r="H74" s="60">
        <v>26.94</v>
      </c>
      <c r="I74" s="60">
        <v>0.59</v>
      </c>
      <c r="J74" s="60">
        <v>0.2</v>
      </c>
      <c r="K74" s="60">
        <v>60.47</v>
      </c>
      <c r="L74" s="60">
        <v>34.99</v>
      </c>
      <c r="M74" s="60">
        <v>17.48</v>
      </c>
      <c r="N74" s="60">
        <v>106.8</v>
      </c>
      <c r="O74" s="60">
        <v>0</v>
      </c>
      <c r="P74" s="60">
        <v>0.54</v>
      </c>
      <c r="Q74" s="60">
        <v>22.92</v>
      </c>
      <c r="R74" s="198"/>
      <c r="S74" s="198"/>
      <c r="T74" s="198"/>
      <c r="U74" s="198"/>
    </row>
    <row r="75" spans="1:21" s="12" customFormat="1" x14ac:dyDescent="0.25">
      <c r="A75" s="201" t="s">
        <v>1276</v>
      </c>
      <c r="B75" s="60">
        <v>7.14</v>
      </c>
      <c r="C75" s="60">
        <v>49.47</v>
      </c>
      <c r="D75" s="60">
        <v>33.76</v>
      </c>
      <c r="E75" s="60">
        <v>7.43</v>
      </c>
      <c r="F75" s="60">
        <v>44.88</v>
      </c>
      <c r="G75" s="60">
        <v>63.23</v>
      </c>
      <c r="H75" s="60">
        <v>26.94</v>
      </c>
      <c r="I75" s="60">
        <v>0.56000000000000005</v>
      </c>
      <c r="J75" s="60">
        <v>0.67</v>
      </c>
      <c r="K75" s="60">
        <v>27.62</v>
      </c>
      <c r="L75" s="60">
        <v>34.619999999999997</v>
      </c>
      <c r="M75" s="60">
        <v>18.86</v>
      </c>
      <c r="N75" s="60">
        <v>85</v>
      </c>
      <c r="O75" s="60">
        <v>0</v>
      </c>
      <c r="P75" s="60">
        <v>0.63</v>
      </c>
      <c r="Q75" s="60">
        <v>21.68</v>
      </c>
      <c r="R75" s="198"/>
      <c r="S75" s="198"/>
      <c r="T75" s="198"/>
      <c r="U75" s="198"/>
    </row>
    <row r="76" spans="1:21" s="12" customFormat="1" x14ac:dyDescent="0.25">
      <c r="A76" s="201" t="s">
        <v>1277</v>
      </c>
      <c r="B76" s="60">
        <v>9.32</v>
      </c>
      <c r="C76" s="60">
        <v>48.46</v>
      </c>
      <c r="D76" s="60">
        <v>34.96</v>
      </c>
      <c r="E76" s="60">
        <v>5.57</v>
      </c>
      <c r="F76" s="60">
        <v>40.950000000000003</v>
      </c>
      <c r="G76" s="60">
        <v>63.23</v>
      </c>
      <c r="H76" s="60">
        <v>26.94</v>
      </c>
      <c r="I76" s="60">
        <v>0.51</v>
      </c>
      <c r="J76" s="60">
        <v>0.7</v>
      </c>
      <c r="K76" s="60">
        <v>12.03</v>
      </c>
      <c r="L76" s="60">
        <v>34.29</v>
      </c>
      <c r="M76" s="60">
        <v>20.03</v>
      </c>
      <c r="N76" s="60">
        <v>75.3</v>
      </c>
      <c r="O76" s="60">
        <v>0</v>
      </c>
      <c r="P76" s="60">
        <v>0.78</v>
      </c>
      <c r="Q76" s="60">
        <v>20.89</v>
      </c>
      <c r="R76" s="198"/>
      <c r="S76" s="198"/>
      <c r="T76" s="198"/>
      <c r="U76" s="198"/>
    </row>
    <row r="77" spans="1:21" s="12" customFormat="1" x14ac:dyDescent="0.25">
      <c r="A77" s="201" t="s">
        <v>1278</v>
      </c>
      <c r="B77" s="60">
        <v>15.66</v>
      </c>
      <c r="C77" s="60">
        <v>78.930000000000007</v>
      </c>
      <c r="D77" s="60">
        <v>56.86</v>
      </c>
      <c r="E77" s="60">
        <v>6.4</v>
      </c>
      <c r="F77" s="60">
        <v>37.909999999999997</v>
      </c>
      <c r="G77" s="211" t="s">
        <v>43</v>
      </c>
      <c r="H77" s="211" t="s">
        <v>43</v>
      </c>
      <c r="I77" s="60">
        <v>0.51</v>
      </c>
      <c r="J77" s="60">
        <v>0.21</v>
      </c>
      <c r="K77" s="60">
        <v>353.65</v>
      </c>
      <c r="L77" s="60">
        <v>33.950000000000003</v>
      </c>
      <c r="M77" s="60">
        <v>20.05</v>
      </c>
      <c r="N77" s="60">
        <v>57.8</v>
      </c>
      <c r="O77" s="60">
        <v>0</v>
      </c>
      <c r="P77" s="60">
        <v>0.96</v>
      </c>
      <c r="Q77" s="60">
        <v>20.88</v>
      </c>
      <c r="R77" s="198"/>
      <c r="S77" s="198"/>
      <c r="T77" s="198"/>
      <c r="U77" s="198"/>
    </row>
    <row r="78" spans="1:21" s="12" customFormat="1" x14ac:dyDescent="0.25">
      <c r="A78" s="201" t="s">
        <v>1279</v>
      </c>
      <c r="B78" s="60">
        <v>17.87</v>
      </c>
      <c r="C78" s="60">
        <v>86.25</v>
      </c>
      <c r="D78" s="60">
        <v>62.67</v>
      </c>
      <c r="E78" s="60">
        <v>7.11</v>
      </c>
      <c r="F78" s="60">
        <v>36.82</v>
      </c>
      <c r="G78" s="211" t="s">
        <v>43</v>
      </c>
      <c r="H78" s="211" t="s">
        <v>43</v>
      </c>
      <c r="I78" s="60">
        <v>0.54</v>
      </c>
      <c r="J78" s="60">
        <v>0.09</v>
      </c>
      <c r="K78" s="60">
        <v>341.01</v>
      </c>
      <c r="L78" s="60">
        <v>33.65</v>
      </c>
      <c r="M78" s="60">
        <v>19.760000000000002</v>
      </c>
      <c r="N78" s="60">
        <v>46</v>
      </c>
      <c r="O78" s="60">
        <v>0</v>
      </c>
      <c r="P78" s="60">
        <v>1.08</v>
      </c>
      <c r="Q78" s="60">
        <v>21.75</v>
      </c>
      <c r="R78" s="198"/>
      <c r="S78" s="198"/>
      <c r="T78" s="198"/>
      <c r="U78" s="198"/>
    </row>
    <row r="79" spans="1:21" s="12" customFormat="1" x14ac:dyDescent="0.25">
      <c r="A79" s="201" t="s">
        <v>1280</v>
      </c>
      <c r="B79" s="60">
        <v>11.95</v>
      </c>
      <c r="C79" s="60">
        <v>97.56</v>
      </c>
      <c r="D79" s="60">
        <v>64.16</v>
      </c>
      <c r="E79" s="60">
        <v>7.01</v>
      </c>
      <c r="F79" s="60">
        <v>28.67</v>
      </c>
      <c r="G79" s="211" t="s">
        <v>43</v>
      </c>
      <c r="H79" s="211" t="s">
        <v>43</v>
      </c>
      <c r="I79" s="60">
        <v>0.57999999999999996</v>
      </c>
      <c r="J79" s="60">
        <v>0.25</v>
      </c>
      <c r="K79" s="60">
        <v>89.23</v>
      </c>
      <c r="L79" s="60">
        <v>33.119999999999997</v>
      </c>
      <c r="M79" s="60">
        <v>22.87</v>
      </c>
      <c r="N79" s="60">
        <v>31.7</v>
      </c>
      <c r="O79" s="60">
        <v>0</v>
      </c>
      <c r="P79" s="60">
        <v>1.31</v>
      </c>
      <c r="Q79" s="60">
        <v>22.61</v>
      </c>
      <c r="R79" s="198"/>
      <c r="S79" s="198"/>
      <c r="T79" s="198"/>
      <c r="U79" s="198"/>
    </row>
    <row r="80" spans="1:21" s="12" customFormat="1" x14ac:dyDescent="0.25">
      <c r="A80" s="201" t="s">
        <v>1281</v>
      </c>
      <c r="B80" s="60">
        <v>9.4700000000000006</v>
      </c>
      <c r="C80" s="60">
        <v>106.34</v>
      </c>
      <c r="D80" s="60">
        <v>67.02</v>
      </c>
      <c r="E80" s="60">
        <v>6.86</v>
      </c>
      <c r="F80" s="60">
        <v>20.3</v>
      </c>
      <c r="G80" s="211" t="s">
        <v>43</v>
      </c>
      <c r="H80" s="211" t="s">
        <v>43</v>
      </c>
      <c r="I80" s="60">
        <v>0.65</v>
      </c>
      <c r="J80" s="60">
        <v>0.16</v>
      </c>
      <c r="K80" s="60">
        <v>93.14</v>
      </c>
      <c r="L80" s="60">
        <v>32.200000000000003</v>
      </c>
      <c r="M80" s="60">
        <v>26.21</v>
      </c>
      <c r="N80" s="60">
        <v>19</v>
      </c>
      <c r="O80" s="60">
        <v>0</v>
      </c>
      <c r="P80" s="60">
        <v>0.93</v>
      </c>
      <c r="Q80" s="60">
        <v>23.88</v>
      </c>
      <c r="R80" s="198"/>
      <c r="S80" s="198"/>
      <c r="T80" s="198"/>
      <c r="U80" s="198"/>
    </row>
    <row r="81" spans="1:26" s="12" customFormat="1" x14ac:dyDescent="0.25">
      <c r="A81" s="201" t="s">
        <v>1282</v>
      </c>
      <c r="B81" s="60">
        <v>44.04</v>
      </c>
      <c r="C81" s="60">
        <v>137.72999999999999</v>
      </c>
      <c r="D81" s="60">
        <v>112.07</v>
      </c>
      <c r="E81" s="60">
        <v>6.57</v>
      </c>
      <c r="F81" s="60">
        <v>5.93</v>
      </c>
      <c r="G81" s="211" t="s">
        <v>43</v>
      </c>
      <c r="H81" s="211" t="s">
        <v>43</v>
      </c>
      <c r="I81" s="60">
        <v>0.72</v>
      </c>
      <c r="J81" s="60">
        <v>0.01</v>
      </c>
      <c r="K81" s="60">
        <v>116.05</v>
      </c>
      <c r="L81" s="60">
        <v>31.25</v>
      </c>
      <c r="M81" s="60">
        <v>28.63</v>
      </c>
      <c r="N81" s="60">
        <v>9.9</v>
      </c>
      <c r="O81" s="60">
        <v>0</v>
      </c>
      <c r="P81" s="60">
        <v>1.18</v>
      </c>
      <c r="Q81" s="60">
        <v>20.93</v>
      </c>
      <c r="R81" s="198"/>
      <c r="S81" s="198"/>
      <c r="T81" s="198"/>
      <c r="U81" s="198"/>
    </row>
    <row r="82" spans="1:26" s="12" customFormat="1" x14ac:dyDescent="0.25">
      <c r="A82" s="201" t="s">
        <v>1283</v>
      </c>
      <c r="B82" s="60">
        <v>24.79</v>
      </c>
      <c r="C82" s="60">
        <v>103.72</v>
      </c>
      <c r="D82" s="60">
        <v>77.86</v>
      </c>
      <c r="E82" s="60">
        <v>5.61</v>
      </c>
      <c r="F82" s="60">
        <v>6.42</v>
      </c>
      <c r="G82" s="60">
        <v>142.44</v>
      </c>
      <c r="H82" s="60">
        <v>26.38</v>
      </c>
      <c r="I82" s="60">
        <v>0.77</v>
      </c>
      <c r="J82" s="60">
        <v>0.04</v>
      </c>
      <c r="K82" s="60">
        <v>59.27</v>
      </c>
      <c r="L82" s="60">
        <v>30.61</v>
      </c>
      <c r="M82" s="60">
        <v>28.95</v>
      </c>
      <c r="N82" s="60">
        <v>5.9</v>
      </c>
      <c r="O82" s="60">
        <v>0</v>
      </c>
      <c r="P82" s="60">
        <v>1.31</v>
      </c>
      <c r="Q82" s="60">
        <v>24.67</v>
      </c>
      <c r="R82" s="198"/>
      <c r="S82" s="198"/>
      <c r="T82" s="198"/>
      <c r="U82" s="198"/>
    </row>
    <row r="83" spans="1:26" s="12" customFormat="1" x14ac:dyDescent="0.25">
      <c r="A83" s="201" t="s">
        <v>1284</v>
      </c>
      <c r="B83" s="60">
        <v>38.71</v>
      </c>
      <c r="C83" s="60">
        <v>113.77</v>
      </c>
      <c r="D83" s="60">
        <v>94.57</v>
      </c>
      <c r="E83" s="60">
        <v>5.24</v>
      </c>
      <c r="F83" s="60">
        <v>5.16</v>
      </c>
      <c r="G83" s="60">
        <v>142.44</v>
      </c>
      <c r="H83" s="60">
        <v>26.38</v>
      </c>
      <c r="I83" s="60">
        <v>0.79</v>
      </c>
      <c r="J83" s="60">
        <v>0.32</v>
      </c>
      <c r="K83" s="60">
        <v>98.1</v>
      </c>
      <c r="L83" s="60">
        <v>30.07</v>
      </c>
      <c r="M83" s="60">
        <v>33.83</v>
      </c>
      <c r="N83" s="60">
        <v>5.0999999999999996</v>
      </c>
      <c r="O83" s="60">
        <v>0</v>
      </c>
      <c r="P83" s="60">
        <v>1.1499999999999999</v>
      </c>
      <c r="Q83" s="60">
        <v>26.62</v>
      </c>
      <c r="R83" s="198"/>
      <c r="S83" s="198"/>
      <c r="T83" s="198"/>
      <c r="U83" s="198"/>
    </row>
    <row r="84" spans="1:26" s="12" customFormat="1" x14ac:dyDescent="0.25">
      <c r="A84" s="201" t="s">
        <v>1285</v>
      </c>
      <c r="B84" s="60">
        <v>47.76</v>
      </c>
      <c r="C84" s="60">
        <v>108.15</v>
      </c>
      <c r="D84" s="60">
        <v>98.72</v>
      </c>
      <c r="E84" s="60">
        <v>5.12</v>
      </c>
      <c r="F84" s="60">
        <v>4.67</v>
      </c>
      <c r="G84" s="60">
        <v>142.44</v>
      </c>
      <c r="H84" s="60">
        <v>26.38</v>
      </c>
      <c r="I84" s="60">
        <v>0.78</v>
      </c>
      <c r="J84" s="60">
        <v>7.0000000000000007E-2</v>
      </c>
      <c r="K84" s="60">
        <v>352.97</v>
      </c>
      <c r="L84" s="60">
        <v>29.74</v>
      </c>
      <c r="M84" s="60">
        <v>32.369999999999997</v>
      </c>
      <c r="N84" s="60">
        <v>4.7</v>
      </c>
      <c r="O84" s="60">
        <v>0</v>
      </c>
      <c r="P84" s="60">
        <v>1.24</v>
      </c>
      <c r="Q84" s="60">
        <v>26.75</v>
      </c>
      <c r="R84" s="198"/>
      <c r="S84" s="198"/>
      <c r="T84" s="198"/>
      <c r="U84" s="198"/>
    </row>
    <row r="85" spans="1:26" s="12" customFormat="1" x14ac:dyDescent="0.25">
      <c r="A85" s="201" t="s">
        <v>1286</v>
      </c>
      <c r="B85" s="60">
        <v>42.53</v>
      </c>
      <c r="C85" s="60">
        <v>105.74</v>
      </c>
      <c r="D85" s="60">
        <v>93.2</v>
      </c>
      <c r="E85" s="60">
        <v>4.7300000000000004</v>
      </c>
      <c r="F85" s="60">
        <v>5.74</v>
      </c>
      <c r="G85" s="60">
        <v>142.66</v>
      </c>
      <c r="H85" s="60">
        <v>27.22</v>
      </c>
      <c r="I85" s="60">
        <v>0.81</v>
      </c>
      <c r="J85" s="60">
        <v>0.08</v>
      </c>
      <c r="K85" s="60">
        <v>28.94</v>
      </c>
      <c r="L85" s="60">
        <v>29.35</v>
      </c>
      <c r="M85" s="60">
        <v>36.270000000000003</v>
      </c>
      <c r="N85" s="60">
        <v>4.8</v>
      </c>
      <c r="O85" s="60">
        <v>0</v>
      </c>
      <c r="P85" s="60">
        <v>1.92</v>
      </c>
      <c r="Q85" s="60">
        <v>28.45</v>
      </c>
      <c r="R85" s="198"/>
      <c r="S85" s="198"/>
      <c r="T85" s="198"/>
      <c r="U85" s="198"/>
    </row>
    <row r="86" spans="1:26" s="12" customFormat="1" x14ac:dyDescent="0.25">
      <c r="A86" s="201" t="s">
        <v>1287</v>
      </c>
      <c r="B86" s="60">
        <v>50.3</v>
      </c>
      <c r="C86" s="60">
        <v>109.81</v>
      </c>
      <c r="D86" s="60">
        <v>101.68</v>
      </c>
      <c r="E86" s="60">
        <v>5.12</v>
      </c>
      <c r="F86" s="60">
        <v>4.53</v>
      </c>
      <c r="G86" s="60">
        <v>143.94</v>
      </c>
      <c r="H86" s="60">
        <v>30.66</v>
      </c>
      <c r="I86" s="60">
        <v>0.82</v>
      </c>
      <c r="J86" s="60">
        <v>0.02</v>
      </c>
      <c r="K86" s="60">
        <v>5.33</v>
      </c>
      <c r="L86" s="60">
        <v>28.88</v>
      </c>
      <c r="M86" s="60">
        <v>36.659999999999997</v>
      </c>
      <c r="N86" s="60">
        <v>5</v>
      </c>
      <c r="O86" s="60">
        <v>0</v>
      </c>
      <c r="P86" s="60">
        <v>2.17</v>
      </c>
      <c r="Q86" s="60">
        <v>29.4</v>
      </c>
      <c r="R86" s="198"/>
      <c r="S86" s="198"/>
      <c r="T86" s="198"/>
      <c r="U86" s="198"/>
    </row>
    <row r="87" spans="1:26" s="12" customFormat="1" x14ac:dyDescent="0.25">
      <c r="A87" s="201" t="s">
        <v>1288</v>
      </c>
      <c r="B87" s="60">
        <v>65.87</v>
      </c>
      <c r="C87" s="60">
        <v>114.47</v>
      </c>
      <c r="D87" s="60">
        <v>116.74</v>
      </c>
      <c r="E87" s="60">
        <v>5.37</v>
      </c>
      <c r="F87" s="60">
        <v>3.65</v>
      </c>
      <c r="G87" s="60">
        <v>143.94</v>
      </c>
      <c r="H87" s="60">
        <v>30.66</v>
      </c>
      <c r="I87" s="60">
        <v>0.88</v>
      </c>
      <c r="J87" s="60">
        <v>0.19</v>
      </c>
      <c r="K87" s="60">
        <v>113.48</v>
      </c>
      <c r="L87" s="60">
        <v>28.5</v>
      </c>
      <c r="M87" s="60">
        <v>35.979999999999997</v>
      </c>
      <c r="N87" s="60">
        <v>4.5999999999999996</v>
      </c>
      <c r="O87" s="60">
        <v>0</v>
      </c>
      <c r="P87" s="60">
        <v>2.17</v>
      </c>
      <c r="Q87" s="60">
        <v>28.81</v>
      </c>
      <c r="R87" s="198"/>
      <c r="S87" s="198"/>
      <c r="T87" s="198"/>
      <c r="U87" s="198"/>
    </row>
    <row r="88" spans="1:26" s="12" customFormat="1" x14ac:dyDescent="0.25">
      <c r="A88" s="201" t="s">
        <v>1289</v>
      </c>
      <c r="B88" s="60">
        <v>76.150000000000006</v>
      </c>
      <c r="C88" s="60">
        <v>112.67</v>
      </c>
      <c r="D88" s="60">
        <v>123.99</v>
      </c>
      <c r="E88" s="60">
        <v>3.35</v>
      </c>
      <c r="F88" s="60">
        <v>5.18</v>
      </c>
      <c r="G88" s="60">
        <v>143.94</v>
      </c>
      <c r="H88" s="60">
        <v>30.66</v>
      </c>
      <c r="I88" s="60">
        <v>0.99</v>
      </c>
      <c r="J88" s="60">
        <v>0.09</v>
      </c>
      <c r="K88" s="60">
        <v>11.66</v>
      </c>
      <c r="L88" s="60">
        <v>28.72</v>
      </c>
      <c r="M88" s="60">
        <v>35.31</v>
      </c>
      <c r="N88" s="60">
        <v>4.5</v>
      </c>
      <c r="O88" s="60">
        <v>0</v>
      </c>
      <c r="P88" s="60">
        <v>2.31</v>
      </c>
      <c r="Q88" s="60">
        <v>29.69</v>
      </c>
      <c r="R88" s="198"/>
      <c r="S88" s="198"/>
      <c r="T88" s="198"/>
      <c r="U88" s="198"/>
    </row>
    <row r="89" spans="1:26" s="12" customFormat="1" x14ac:dyDescent="0.25">
      <c r="A89" s="201" t="s">
        <v>1290</v>
      </c>
      <c r="B89" s="60">
        <v>70.92</v>
      </c>
      <c r="C89" s="60">
        <v>124.73</v>
      </c>
      <c r="D89" s="60">
        <v>126.45</v>
      </c>
      <c r="E89" s="60">
        <v>6.55</v>
      </c>
      <c r="F89" s="60">
        <v>4.22</v>
      </c>
      <c r="G89" s="60">
        <v>143.37</v>
      </c>
      <c r="H89" s="60">
        <v>31.63</v>
      </c>
      <c r="I89" s="60">
        <v>0.97</v>
      </c>
      <c r="J89" s="60">
        <v>7.0000000000000007E-2</v>
      </c>
      <c r="K89" s="60">
        <v>343.25</v>
      </c>
      <c r="L89" s="60">
        <v>27.89</v>
      </c>
      <c r="M89" s="60">
        <v>39.36</v>
      </c>
      <c r="N89" s="60">
        <v>5.2</v>
      </c>
      <c r="O89" s="60">
        <v>0</v>
      </c>
      <c r="P89" s="60">
        <v>2.98</v>
      </c>
      <c r="Q89" s="60">
        <v>27.48</v>
      </c>
      <c r="R89" s="198"/>
      <c r="S89" s="198"/>
      <c r="T89" s="198"/>
      <c r="U89" s="198"/>
    </row>
    <row r="90" spans="1:26" s="12" customFormat="1" x14ac:dyDescent="0.25">
      <c r="A90" s="201" t="s">
        <v>1291</v>
      </c>
      <c r="B90" s="60">
        <v>167.36</v>
      </c>
      <c r="C90" s="60">
        <v>126.29</v>
      </c>
      <c r="D90" s="60">
        <v>204.65</v>
      </c>
      <c r="E90" s="60">
        <v>7.63</v>
      </c>
      <c r="F90" s="60">
        <v>4.1500000000000004</v>
      </c>
      <c r="G90" s="60">
        <v>140.24</v>
      </c>
      <c r="H90" s="60">
        <v>36.79</v>
      </c>
      <c r="I90" s="60">
        <v>1.05</v>
      </c>
      <c r="J90" s="60">
        <v>0.15</v>
      </c>
      <c r="K90" s="60">
        <v>30.3</v>
      </c>
      <c r="L90" s="60">
        <v>27.72</v>
      </c>
      <c r="M90" s="60">
        <v>40.65</v>
      </c>
      <c r="N90" s="60">
        <v>4.7</v>
      </c>
      <c r="O90" s="60">
        <v>0</v>
      </c>
      <c r="P90" s="60">
        <v>3.96</v>
      </c>
      <c r="Q90" s="60">
        <v>22.33</v>
      </c>
      <c r="R90" s="198"/>
      <c r="S90" s="198"/>
      <c r="T90" s="198"/>
      <c r="U90" s="198"/>
    </row>
    <row r="91" spans="1:26" s="12" customFormat="1" x14ac:dyDescent="0.25">
      <c r="A91" s="201" t="s">
        <v>1292</v>
      </c>
      <c r="B91" s="60">
        <v>128.38</v>
      </c>
      <c r="C91" s="60">
        <v>116.71</v>
      </c>
      <c r="D91" s="60">
        <v>168.1</v>
      </c>
      <c r="E91" s="60">
        <v>6.61</v>
      </c>
      <c r="F91" s="60">
        <v>3.91</v>
      </c>
      <c r="G91" s="60">
        <v>140.24</v>
      </c>
      <c r="H91" s="60">
        <v>36.79</v>
      </c>
      <c r="I91" s="60">
        <v>1.31</v>
      </c>
      <c r="J91" s="60">
        <v>0.27</v>
      </c>
      <c r="K91" s="60">
        <v>121.94</v>
      </c>
      <c r="L91" s="60">
        <v>27.6</v>
      </c>
      <c r="M91" s="60">
        <v>40.72</v>
      </c>
      <c r="N91" s="60">
        <v>4.4000000000000004</v>
      </c>
      <c r="O91" s="60">
        <v>0</v>
      </c>
      <c r="P91" s="60">
        <v>3.6</v>
      </c>
      <c r="Q91" s="60">
        <v>21.85</v>
      </c>
      <c r="R91" s="198"/>
      <c r="S91" s="198"/>
      <c r="T91" s="198"/>
      <c r="U91" s="198"/>
    </row>
    <row r="92" spans="1:26" s="12" customFormat="1" x14ac:dyDescent="0.25">
      <c r="A92" s="201" t="s">
        <v>1293</v>
      </c>
      <c r="B92" s="60">
        <v>117.89</v>
      </c>
      <c r="C92" s="60">
        <v>125.15</v>
      </c>
      <c r="D92" s="60">
        <v>164.35</v>
      </c>
      <c r="E92" s="60">
        <v>6.54</v>
      </c>
      <c r="F92" s="60">
        <v>4.2699999999999996</v>
      </c>
      <c r="G92" s="60">
        <v>140.24</v>
      </c>
      <c r="H92" s="60">
        <v>36.79</v>
      </c>
      <c r="I92" s="60">
        <v>1.51</v>
      </c>
      <c r="J92" s="60">
        <v>7.0000000000000007E-2</v>
      </c>
      <c r="K92" s="60">
        <v>63.68</v>
      </c>
      <c r="L92" s="60">
        <v>27.47</v>
      </c>
      <c r="M92" s="60">
        <v>40.61</v>
      </c>
      <c r="N92" s="60">
        <v>4.7</v>
      </c>
      <c r="O92" s="60">
        <v>0</v>
      </c>
      <c r="P92" s="60">
        <v>2.77</v>
      </c>
      <c r="Q92" s="60">
        <v>25.92</v>
      </c>
      <c r="R92" s="198"/>
      <c r="S92" s="198"/>
      <c r="T92" s="198"/>
      <c r="U92" s="198"/>
    </row>
    <row r="93" spans="1:26" s="12" customFormat="1" x14ac:dyDescent="0.25">
      <c r="A93" s="201" t="s">
        <v>1294</v>
      </c>
      <c r="B93" s="60">
        <v>187.76</v>
      </c>
      <c r="C93" s="60">
        <v>118.14</v>
      </c>
      <c r="D93" s="60">
        <v>216.51</v>
      </c>
      <c r="E93" s="60">
        <v>6.63</v>
      </c>
      <c r="F93" s="60">
        <v>3.98</v>
      </c>
      <c r="G93" s="60">
        <v>145.88999999999999</v>
      </c>
      <c r="H93" s="60">
        <v>37.39</v>
      </c>
      <c r="I93" s="60">
        <v>1.58</v>
      </c>
      <c r="J93" s="60">
        <v>0.13</v>
      </c>
      <c r="K93" s="60">
        <v>25.09</v>
      </c>
      <c r="L93" s="60">
        <v>26.96</v>
      </c>
      <c r="M93" s="60">
        <v>45.79</v>
      </c>
      <c r="N93" s="60">
        <v>4.9000000000000004</v>
      </c>
      <c r="O93" s="60">
        <v>0</v>
      </c>
      <c r="P93" s="60">
        <v>4.43</v>
      </c>
      <c r="Q93" s="60">
        <v>19.87</v>
      </c>
      <c r="R93" s="198"/>
      <c r="S93" s="198"/>
      <c r="T93" s="198"/>
      <c r="U93" s="198"/>
    </row>
    <row r="94" spans="1:26" s="12" customFormat="1" x14ac:dyDescent="0.25">
      <c r="A94" s="201" t="s">
        <v>1295</v>
      </c>
      <c r="B94" s="60">
        <v>160.80000000000001</v>
      </c>
      <c r="C94" s="60">
        <v>117.91</v>
      </c>
      <c r="D94" s="60">
        <v>194.76</v>
      </c>
      <c r="E94" s="60">
        <v>6.92</v>
      </c>
      <c r="F94" s="60">
        <v>3.9</v>
      </c>
      <c r="G94" s="60">
        <v>179.4</v>
      </c>
      <c r="H94" s="60">
        <v>40.07</v>
      </c>
      <c r="I94" s="60">
        <v>1.39</v>
      </c>
      <c r="J94" s="60">
        <v>0.05</v>
      </c>
      <c r="K94" s="60">
        <v>359.19</v>
      </c>
      <c r="L94" s="60">
        <v>26.68</v>
      </c>
      <c r="M94" s="60">
        <v>45</v>
      </c>
      <c r="N94" s="60">
        <v>4.9000000000000004</v>
      </c>
      <c r="O94" s="60">
        <v>0</v>
      </c>
      <c r="P94" s="60">
        <v>3.96</v>
      </c>
      <c r="Q94" s="60">
        <v>21.94</v>
      </c>
      <c r="R94" s="198"/>
      <c r="S94" s="198"/>
      <c r="T94" s="198"/>
      <c r="U94" s="198"/>
    </row>
    <row r="95" spans="1:26" s="12" customFormat="1" x14ac:dyDescent="0.25">
      <c r="A95" s="201" t="s">
        <v>1296</v>
      </c>
      <c r="B95" s="60">
        <v>156.18</v>
      </c>
      <c r="C95" s="60">
        <v>118.6</v>
      </c>
      <c r="D95" s="60">
        <v>191.43</v>
      </c>
      <c r="E95" s="60">
        <v>6.86</v>
      </c>
      <c r="F95" s="60">
        <v>3.72</v>
      </c>
      <c r="G95" s="60">
        <v>179.4</v>
      </c>
      <c r="H95" s="60">
        <v>40.07</v>
      </c>
      <c r="I95" s="60">
        <v>1.52</v>
      </c>
      <c r="J95" s="60">
        <v>0.04</v>
      </c>
      <c r="K95" s="60">
        <v>193.67</v>
      </c>
      <c r="L95" s="60">
        <v>26.51</v>
      </c>
      <c r="M95" s="60">
        <v>45.65</v>
      </c>
      <c r="N95" s="60">
        <v>4.7</v>
      </c>
      <c r="O95" s="60">
        <v>0</v>
      </c>
      <c r="P95" s="60">
        <v>3.48</v>
      </c>
      <c r="Q95" s="60">
        <v>25.11</v>
      </c>
      <c r="R95" s="198"/>
      <c r="S95" s="198"/>
      <c r="T95" s="198"/>
      <c r="U95" s="198"/>
    </row>
    <row r="96" spans="1:26" s="12" customFormat="1" x14ac:dyDescent="0.25">
      <c r="A96" s="201" t="s">
        <v>1297</v>
      </c>
      <c r="B96" s="60">
        <v>126.66</v>
      </c>
      <c r="C96" s="60">
        <v>98.64</v>
      </c>
      <c r="D96" s="60">
        <v>156.75</v>
      </c>
      <c r="E96" s="60">
        <v>6.51</v>
      </c>
      <c r="F96" s="60">
        <v>3.68</v>
      </c>
      <c r="G96" s="60">
        <v>179.4</v>
      </c>
      <c r="H96" s="60">
        <v>40.07</v>
      </c>
      <c r="I96" s="60">
        <v>1.49</v>
      </c>
      <c r="J96" s="60">
        <v>0.02</v>
      </c>
      <c r="K96" s="60">
        <v>80.59</v>
      </c>
      <c r="L96" s="60">
        <v>26.46</v>
      </c>
      <c r="M96" s="60">
        <v>44.12</v>
      </c>
      <c r="N96" s="60">
        <v>4.7</v>
      </c>
      <c r="O96" s="60">
        <v>0</v>
      </c>
      <c r="P96" s="60">
        <v>2.79</v>
      </c>
      <c r="Q96" s="60">
        <v>29.37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1298</v>
      </c>
      <c r="B97" s="60">
        <v>124.45</v>
      </c>
      <c r="C97" s="60">
        <v>95.48</v>
      </c>
      <c r="D97" s="60">
        <v>153.22999999999999</v>
      </c>
      <c r="E97" s="60">
        <v>5.0199999999999996</v>
      </c>
      <c r="F97" s="60">
        <v>3.66</v>
      </c>
      <c r="G97" s="60">
        <v>176.41</v>
      </c>
      <c r="H97" s="60">
        <v>40.72</v>
      </c>
      <c r="I97" s="60">
        <v>1.45</v>
      </c>
      <c r="J97" s="60">
        <v>0.06</v>
      </c>
      <c r="K97" s="60">
        <v>2.11</v>
      </c>
      <c r="L97" s="60">
        <v>26</v>
      </c>
      <c r="M97" s="60">
        <v>45.78</v>
      </c>
      <c r="N97" s="60">
        <v>5</v>
      </c>
      <c r="O97" s="60">
        <v>0</v>
      </c>
      <c r="P97" s="60">
        <v>2.67</v>
      </c>
      <c r="Q97" s="60">
        <v>33.54</v>
      </c>
      <c r="R97" s="198"/>
      <c r="S97" s="198"/>
      <c r="T97" s="198"/>
      <c r="U97" s="198"/>
    </row>
    <row r="98" spans="1:33" s="12" customFormat="1" x14ac:dyDescent="0.25">
      <c r="A98" s="201" t="s">
        <v>1299</v>
      </c>
      <c r="B98" s="60">
        <v>123.63</v>
      </c>
      <c r="C98" s="60">
        <v>89.51</v>
      </c>
      <c r="D98" s="60">
        <v>149.28</v>
      </c>
      <c r="E98" s="60">
        <v>4.3600000000000003</v>
      </c>
      <c r="F98" s="60">
        <v>3.42</v>
      </c>
      <c r="G98" s="60">
        <v>160.15</v>
      </c>
      <c r="H98" s="60">
        <v>44.1</v>
      </c>
      <c r="I98" s="60">
        <v>1.33</v>
      </c>
      <c r="J98" s="60">
        <v>0.15</v>
      </c>
      <c r="K98" s="60">
        <v>18.170000000000002</v>
      </c>
      <c r="L98" s="60">
        <v>25.73</v>
      </c>
      <c r="M98" s="60">
        <v>49.53</v>
      </c>
      <c r="N98" s="60">
        <v>4.8</v>
      </c>
      <c r="O98" s="60">
        <v>0</v>
      </c>
      <c r="P98" s="60">
        <v>2.87</v>
      </c>
      <c r="Q98" s="60">
        <v>36.590000000000003</v>
      </c>
      <c r="R98" s="198"/>
      <c r="S98" s="198"/>
      <c r="T98" s="198"/>
      <c r="U98" s="198"/>
    </row>
    <row r="99" spans="1:33" s="12" customFormat="1" x14ac:dyDescent="0.25">
      <c r="A99" s="201" t="s">
        <v>1300</v>
      </c>
      <c r="B99" s="60">
        <v>108.58</v>
      </c>
      <c r="C99" s="60">
        <v>87.13</v>
      </c>
      <c r="D99" s="60">
        <v>135.9</v>
      </c>
      <c r="E99" s="60">
        <v>4.1399999999999997</v>
      </c>
      <c r="F99" s="60">
        <v>3.5</v>
      </c>
      <c r="G99" s="60">
        <v>160.15</v>
      </c>
      <c r="H99" s="60">
        <v>44.1</v>
      </c>
      <c r="I99" s="60">
        <v>1.1399999999999999</v>
      </c>
      <c r="J99" s="60">
        <v>0.11</v>
      </c>
      <c r="K99" s="60">
        <v>15.42</v>
      </c>
      <c r="L99" s="60">
        <v>25.5</v>
      </c>
      <c r="M99" s="60">
        <v>49.09</v>
      </c>
      <c r="N99" s="60">
        <v>4.9000000000000004</v>
      </c>
      <c r="O99" s="60">
        <v>0</v>
      </c>
      <c r="P99" s="60">
        <v>2.76</v>
      </c>
      <c r="Q99" s="60">
        <v>38.9</v>
      </c>
      <c r="R99" s="198"/>
      <c r="S99" s="198"/>
      <c r="T99" s="198"/>
      <c r="U99" s="198"/>
    </row>
    <row r="100" spans="1:33" s="12" customFormat="1" x14ac:dyDescent="0.25">
      <c r="A100" s="201" t="s">
        <v>1301</v>
      </c>
      <c r="B100" s="60">
        <v>114.47</v>
      </c>
      <c r="C100" s="60">
        <v>91.13</v>
      </c>
      <c r="D100" s="60">
        <v>142.83000000000001</v>
      </c>
      <c r="E100" s="60">
        <v>3.77</v>
      </c>
      <c r="F100" s="60">
        <v>3.37</v>
      </c>
      <c r="G100" s="60">
        <v>160.15</v>
      </c>
      <c r="H100" s="60">
        <v>44.1</v>
      </c>
      <c r="I100" s="60">
        <v>1.1100000000000001</v>
      </c>
      <c r="J100" s="60">
        <v>0.25</v>
      </c>
      <c r="K100" s="60">
        <v>26.95</v>
      </c>
      <c r="L100" s="60">
        <v>25.36</v>
      </c>
      <c r="M100" s="60">
        <v>53.06</v>
      </c>
      <c r="N100" s="60">
        <v>4.8</v>
      </c>
      <c r="O100" s="60">
        <v>0</v>
      </c>
      <c r="P100" s="60">
        <v>2.98</v>
      </c>
      <c r="Q100" s="60">
        <v>37.17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1302</v>
      </c>
      <c r="B101" s="60">
        <v>97.47</v>
      </c>
      <c r="C101" s="60">
        <v>88.63</v>
      </c>
      <c r="D101" s="60">
        <v>127.81</v>
      </c>
      <c r="E101" s="60">
        <v>4.13</v>
      </c>
      <c r="F101" s="60">
        <v>3.26</v>
      </c>
      <c r="G101" s="60">
        <v>158.52000000000001</v>
      </c>
      <c r="H101" s="60">
        <v>44.36</v>
      </c>
      <c r="I101" s="60">
        <v>1.1000000000000001</v>
      </c>
      <c r="J101" s="60">
        <v>0.17</v>
      </c>
      <c r="K101" s="60">
        <v>35.549999999999997</v>
      </c>
      <c r="L101" s="60">
        <v>25.15</v>
      </c>
      <c r="M101" s="60">
        <v>50.96</v>
      </c>
      <c r="N101" s="60">
        <v>4.8</v>
      </c>
      <c r="O101" s="60">
        <v>0</v>
      </c>
      <c r="P101" s="60">
        <v>2.73</v>
      </c>
      <c r="Q101" s="60">
        <v>38.869999999999997</v>
      </c>
      <c r="R101" s="198"/>
      <c r="S101" s="198"/>
      <c r="T101" s="198"/>
      <c r="U101" s="198"/>
    </row>
    <row r="102" spans="1:33" s="12" customFormat="1" x14ac:dyDescent="0.25">
      <c r="A102" s="201" t="s">
        <v>1303</v>
      </c>
      <c r="B102" s="60">
        <v>90.23</v>
      </c>
      <c r="C102" s="60">
        <v>89.72</v>
      </c>
      <c r="D102" s="60">
        <v>122.61</v>
      </c>
      <c r="E102" s="60">
        <v>3.28</v>
      </c>
      <c r="F102" s="60">
        <v>3.62</v>
      </c>
      <c r="G102" s="60">
        <v>149.65</v>
      </c>
      <c r="H102" s="60">
        <v>45.68</v>
      </c>
      <c r="I102" s="60">
        <v>1.1000000000000001</v>
      </c>
      <c r="J102" s="60">
        <v>0.16</v>
      </c>
      <c r="K102" s="60">
        <v>75</v>
      </c>
      <c r="L102" s="60">
        <v>25.17</v>
      </c>
      <c r="M102" s="60">
        <v>48.9</v>
      </c>
      <c r="N102" s="60">
        <v>4.5</v>
      </c>
      <c r="O102" s="60">
        <v>0</v>
      </c>
      <c r="P102" s="60">
        <v>2.5499999999999998</v>
      </c>
      <c r="Q102" s="60">
        <v>38.950000000000003</v>
      </c>
      <c r="R102" s="198"/>
      <c r="S102" s="198"/>
      <c r="T102" s="198"/>
      <c r="U102" s="198"/>
    </row>
    <row r="103" spans="1:33" s="12" customFormat="1" x14ac:dyDescent="0.25">
      <c r="A103" s="201" t="s">
        <v>1304</v>
      </c>
      <c r="B103" s="60">
        <v>85.93</v>
      </c>
      <c r="C103" s="60">
        <v>84.54</v>
      </c>
      <c r="D103" s="60">
        <v>116.31</v>
      </c>
      <c r="E103" s="60">
        <v>4.0999999999999996</v>
      </c>
      <c r="F103" s="60">
        <v>5.37</v>
      </c>
      <c r="G103" s="60">
        <v>149.65</v>
      </c>
      <c r="H103" s="60">
        <v>45.68</v>
      </c>
      <c r="I103" s="60">
        <v>1.06</v>
      </c>
      <c r="J103" s="60">
        <v>0.47</v>
      </c>
      <c r="K103" s="60">
        <v>32.520000000000003</v>
      </c>
      <c r="L103" s="60">
        <v>25.23</v>
      </c>
      <c r="M103" s="60">
        <v>49.92</v>
      </c>
      <c r="N103" s="60">
        <v>4.0999999999999996</v>
      </c>
      <c r="O103" s="60">
        <v>0</v>
      </c>
      <c r="P103" s="60">
        <v>2.2999999999999998</v>
      </c>
      <c r="Q103" s="60">
        <v>38.090000000000003</v>
      </c>
      <c r="R103" s="198"/>
      <c r="S103" s="198"/>
      <c r="T103" s="198"/>
      <c r="U103" s="198"/>
    </row>
    <row r="104" spans="1:33" s="12" customFormat="1" x14ac:dyDescent="0.25">
      <c r="A104" s="201" t="s">
        <v>1305</v>
      </c>
      <c r="B104" s="60">
        <v>64.5</v>
      </c>
      <c r="C104" s="60">
        <v>77.05</v>
      </c>
      <c r="D104" s="60">
        <v>94.99</v>
      </c>
      <c r="E104" s="60">
        <v>4.92</v>
      </c>
      <c r="F104" s="60">
        <v>8.3699999999999992</v>
      </c>
      <c r="G104" s="60">
        <v>149.65</v>
      </c>
      <c r="H104" s="60">
        <v>45.68</v>
      </c>
      <c r="I104" s="60">
        <v>0.98</v>
      </c>
      <c r="J104" s="60">
        <v>0.8</v>
      </c>
      <c r="K104" s="60">
        <v>31.95</v>
      </c>
      <c r="L104" s="60">
        <v>25.84</v>
      </c>
      <c r="M104" s="60">
        <v>45.36</v>
      </c>
      <c r="N104" s="60">
        <v>3.3</v>
      </c>
      <c r="O104" s="60">
        <v>0</v>
      </c>
      <c r="P104" s="60">
        <v>2.4</v>
      </c>
      <c r="Q104" s="60">
        <v>37.619999999999997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39.39</v>
      </c>
      <c r="D106" s="67">
        <f t="shared" ref="D106:Q106" si="0">MIN(D9:D104)</f>
        <v>27.84</v>
      </c>
      <c r="E106" s="67">
        <f t="shared" si="0"/>
        <v>1.97</v>
      </c>
      <c r="F106" s="67">
        <f t="shared" si="0"/>
        <v>2.76</v>
      </c>
      <c r="G106" s="67">
        <f t="shared" si="0"/>
        <v>38.17</v>
      </c>
      <c r="H106" s="67">
        <f t="shared" si="0"/>
        <v>21.23</v>
      </c>
      <c r="I106" s="67">
        <f t="shared" si="0"/>
        <v>0.51</v>
      </c>
      <c r="J106" s="67">
        <f t="shared" si="0"/>
        <v>0</v>
      </c>
      <c r="K106" s="67">
        <f t="shared" si="0"/>
        <v>2</v>
      </c>
      <c r="L106" s="67">
        <f t="shared" si="0"/>
        <v>21.61</v>
      </c>
      <c r="M106" s="67">
        <f t="shared" si="0"/>
        <v>15.44</v>
      </c>
      <c r="N106" s="67">
        <f t="shared" si="0"/>
        <v>3.3</v>
      </c>
      <c r="O106" s="67">
        <f t="shared" si="0"/>
        <v>0</v>
      </c>
      <c r="P106" s="67">
        <f t="shared" si="0"/>
        <v>0.54</v>
      </c>
      <c r="Q106" s="67">
        <f t="shared" si="0"/>
        <v>19.87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187.76</v>
      </c>
      <c r="C107" s="66">
        <f t="shared" ref="C107:Q107" si="1">MAX(C9:C104)</f>
        <v>137.72999999999999</v>
      </c>
      <c r="D107" s="66">
        <f t="shared" si="1"/>
        <v>216.51</v>
      </c>
      <c r="E107" s="66">
        <f t="shared" si="1"/>
        <v>21.54</v>
      </c>
      <c r="F107" s="66">
        <f t="shared" si="1"/>
        <v>62.52</v>
      </c>
      <c r="G107" s="66">
        <f t="shared" si="1"/>
        <v>179.4</v>
      </c>
      <c r="H107" s="66">
        <f t="shared" si="1"/>
        <v>45.68</v>
      </c>
      <c r="I107" s="66">
        <f t="shared" si="1"/>
        <v>1.58</v>
      </c>
      <c r="J107" s="66">
        <f t="shared" si="1"/>
        <v>1.06</v>
      </c>
      <c r="K107" s="66">
        <f t="shared" si="1"/>
        <v>359.19</v>
      </c>
      <c r="L107" s="66">
        <f t="shared" si="1"/>
        <v>39.119999999999997</v>
      </c>
      <c r="M107" s="66">
        <f t="shared" si="1"/>
        <v>67.069999999999993</v>
      </c>
      <c r="N107" s="66">
        <f t="shared" si="1"/>
        <v>778.6</v>
      </c>
      <c r="O107" s="66">
        <f t="shared" si="1"/>
        <v>0</v>
      </c>
      <c r="P107" s="66">
        <f t="shared" si="1"/>
        <v>4.43</v>
      </c>
      <c r="Q107" s="66">
        <f t="shared" si="1"/>
        <v>38.950000000000003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39.34739583333333</v>
      </c>
      <c r="C108" s="67">
        <f t="shared" ref="C108:Q108" si="2">AVERAGE(C9:C104)</f>
        <v>67.753437500000004</v>
      </c>
      <c r="D108" s="67">
        <f t="shared" si="2"/>
        <v>69.685937500000009</v>
      </c>
      <c r="E108" s="67">
        <f t="shared" si="2"/>
        <v>6.0865624999999985</v>
      </c>
      <c r="F108" s="67">
        <f t="shared" si="2"/>
        <v>13.486458333333339</v>
      </c>
      <c r="G108" s="67">
        <f t="shared" si="2"/>
        <v>100.28087912087904</v>
      </c>
      <c r="H108" s="67">
        <f t="shared" si="2"/>
        <v>32.191318681318684</v>
      </c>
      <c r="I108" s="67">
        <f t="shared" si="2"/>
        <v>0.76270833333333332</v>
      </c>
      <c r="J108" s="67">
        <f t="shared" si="2"/>
        <v>0.29479166666666673</v>
      </c>
      <c r="K108" s="67">
        <f t="shared" si="2"/>
        <v>147.86770833333338</v>
      </c>
      <c r="L108" s="67">
        <f t="shared" si="2"/>
        <v>29.090833333333325</v>
      </c>
      <c r="M108" s="67">
        <f t="shared" si="2"/>
        <v>40.052083333333336</v>
      </c>
      <c r="N108" s="67">
        <f t="shared" si="2"/>
        <v>228.43125000000006</v>
      </c>
      <c r="O108" s="67">
        <f t="shared" si="2"/>
        <v>0</v>
      </c>
      <c r="P108" s="67">
        <f t="shared" si="2"/>
        <v>1.3887500000000006</v>
      </c>
      <c r="Q108" s="67">
        <f t="shared" si="2"/>
        <v>29.738541666666659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42.57859892987485</v>
      </c>
      <c r="C109" s="67">
        <f t="shared" ref="C109:Q109" si="3">STDEV(C9:C104)</f>
        <v>25.6945576391137</v>
      </c>
      <c r="D109" s="67">
        <f t="shared" si="3"/>
        <v>44.999997767909306</v>
      </c>
      <c r="E109" s="67">
        <f t="shared" si="3"/>
        <v>4.18348201184385</v>
      </c>
      <c r="F109" s="67">
        <f t="shared" si="3"/>
        <v>13.866383505986255</v>
      </c>
      <c r="G109" s="67">
        <f t="shared" si="3"/>
        <v>36.542227617081281</v>
      </c>
      <c r="H109" s="67">
        <f t="shared" si="3"/>
        <v>6.5823307605861174</v>
      </c>
      <c r="I109" s="67">
        <f t="shared" si="3"/>
        <v>0.24867005900512856</v>
      </c>
      <c r="J109" s="67">
        <f t="shared" si="3"/>
        <v>0.26955315525656887</v>
      </c>
      <c r="K109" s="67">
        <f t="shared" si="3"/>
        <v>123.53710191874521</v>
      </c>
      <c r="L109" s="67">
        <f t="shared" si="3"/>
        <v>5.4625923413448891</v>
      </c>
      <c r="M109" s="67">
        <f t="shared" si="3"/>
        <v>16.417064736468678</v>
      </c>
      <c r="N109" s="67">
        <f t="shared" si="3"/>
        <v>298.11608382341683</v>
      </c>
      <c r="O109" s="67">
        <f t="shared" si="3"/>
        <v>0</v>
      </c>
      <c r="P109" s="67">
        <f t="shared" si="3"/>
        <v>0.85499923053212434</v>
      </c>
      <c r="Q109" s="67">
        <f t="shared" si="3"/>
        <v>4.743006148484544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91</v>
      </c>
      <c r="H110" s="66">
        <f>COUNT(H9:H104)</f>
        <v>91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1306</v>
      </c>
      <c r="B9" s="60">
        <v>55.26</v>
      </c>
      <c r="C9" s="60">
        <v>85.43</v>
      </c>
      <c r="D9" s="60">
        <v>92.2</v>
      </c>
      <c r="E9" s="60">
        <v>9.15</v>
      </c>
      <c r="F9" s="60">
        <v>6.46</v>
      </c>
      <c r="G9" s="60">
        <v>141.97999999999999</v>
      </c>
      <c r="H9" s="60">
        <v>45.74</v>
      </c>
      <c r="I9" s="60">
        <v>0.95</v>
      </c>
      <c r="J9" s="60">
        <v>0.15</v>
      </c>
      <c r="K9" s="60">
        <v>29.65</v>
      </c>
      <c r="L9" s="60">
        <v>25.72</v>
      </c>
      <c r="M9" s="60">
        <v>45.55</v>
      </c>
      <c r="N9" s="60">
        <v>5</v>
      </c>
      <c r="O9" s="60">
        <v>0</v>
      </c>
      <c r="P9" s="60">
        <v>2.2999999999999998</v>
      </c>
      <c r="Q9" s="60">
        <v>35.01</v>
      </c>
      <c r="R9" s="198"/>
      <c r="S9" s="198"/>
      <c r="T9" s="198"/>
      <c r="U9" s="198"/>
    </row>
    <row r="10" spans="1:21" s="12" customFormat="1" x14ac:dyDescent="0.25">
      <c r="A10" s="201" t="s">
        <v>1307</v>
      </c>
      <c r="B10" s="60">
        <v>51.03</v>
      </c>
      <c r="C10" s="60">
        <v>85.31</v>
      </c>
      <c r="D10" s="60">
        <v>88.74</v>
      </c>
      <c r="E10" s="60">
        <v>10.47</v>
      </c>
      <c r="F10" s="60">
        <v>6.9</v>
      </c>
      <c r="G10" s="60">
        <v>100.35</v>
      </c>
      <c r="H10" s="60">
        <v>46.07</v>
      </c>
      <c r="I10" s="60">
        <v>1.03</v>
      </c>
      <c r="J10" s="60">
        <v>0.02</v>
      </c>
      <c r="K10" s="60">
        <v>190.43</v>
      </c>
      <c r="L10" s="60">
        <v>25.56</v>
      </c>
      <c r="M10" s="60">
        <v>46.18</v>
      </c>
      <c r="N10" s="60">
        <v>4.9000000000000004</v>
      </c>
      <c r="O10" s="60">
        <v>0</v>
      </c>
      <c r="P10" s="60">
        <v>2.17</v>
      </c>
      <c r="Q10" s="60">
        <v>34.78</v>
      </c>
      <c r="R10" s="198"/>
      <c r="S10" s="198"/>
      <c r="T10" s="198"/>
      <c r="U10" s="198"/>
    </row>
    <row r="11" spans="1:21" s="12" customFormat="1" x14ac:dyDescent="0.25">
      <c r="A11" s="201" t="s">
        <v>1308</v>
      </c>
      <c r="B11" s="60">
        <v>48.34</v>
      </c>
      <c r="C11" s="60">
        <v>80.92</v>
      </c>
      <c r="D11" s="60">
        <v>84.17</v>
      </c>
      <c r="E11" s="60">
        <v>10.45</v>
      </c>
      <c r="F11" s="60">
        <v>7.09</v>
      </c>
      <c r="G11" s="60">
        <v>100.35</v>
      </c>
      <c r="H11" s="60">
        <v>46.07</v>
      </c>
      <c r="I11" s="60">
        <v>1.08</v>
      </c>
      <c r="J11" s="60">
        <v>0.05</v>
      </c>
      <c r="K11" s="60">
        <v>244.98</v>
      </c>
      <c r="L11" s="60">
        <v>25.4</v>
      </c>
      <c r="M11" s="60">
        <v>47.18</v>
      </c>
      <c r="N11" s="60">
        <v>4.9000000000000004</v>
      </c>
      <c r="O11" s="60">
        <v>0</v>
      </c>
      <c r="P11" s="60">
        <v>2.1800000000000002</v>
      </c>
      <c r="Q11" s="60">
        <v>34.9</v>
      </c>
      <c r="R11" s="198"/>
      <c r="S11" s="198"/>
      <c r="T11" s="198"/>
      <c r="U11" s="198"/>
    </row>
    <row r="12" spans="1:21" s="12" customFormat="1" x14ac:dyDescent="0.25">
      <c r="A12" s="201" t="s">
        <v>1309</v>
      </c>
      <c r="B12" s="60">
        <v>46.09</v>
      </c>
      <c r="C12" s="60">
        <v>74</v>
      </c>
      <c r="D12" s="60">
        <v>78.540000000000006</v>
      </c>
      <c r="E12" s="60">
        <v>10.38</v>
      </c>
      <c r="F12" s="60">
        <v>7.56</v>
      </c>
      <c r="G12" s="60">
        <v>100.35</v>
      </c>
      <c r="H12" s="60">
        <v>46.07</v>
      </c>
      <c r="I12" s="60">
        <v>1.03</v>
      </c>
      <c r="J12" s="60">
        <v>0.06</v>
      </c>
      <c r="K12" s="60">
        <v>261.33</v>
      </c>
      <c r="L12" s="60">
        <v>25.09</v>
      </c>
      <c r="M12" s="60">
        <v>48.27</v>
      </c>
      <c r="N12" s="60">
        <v>4.7</v>
      </c>
      <c r="O12" s="60">
        <v>0</v>
      </c>
      <c r="P12" s="60">
        <v>2.0699999999999998</v>
      </c>
      <c r="Q12" s="60">
        <v>34.99</v>
      </c>
      <c r="R12" s="198"/>
      <c r="S12" s="198"/>
      <c r="T12" s="198"/>
      <c r="U12" s="198"/>
    </row>
    <row r="13" spans="1:21" s="12" customFormat="1" x14ac:dyDescent="0.25">
      <c r="A13" s="201" t="s">
        <v>1310</v>
      </c>
      <c r="B13" s="60">
        <v>45.27</v>
      </c>
      <c r="C13" s="60">
        <v>71.88</v>
      </c>
      <c r="D13" s="60">
        <v>76.709999999999994</v>
      </c>
      <c r="E13" s="60">
        <v>9.4499999999999993</v>
      </c>
      <c r="F13" s="60">
        <v>6.57</v>
      </c>
      <c r="G13" s="60">
        <v>115.97</v>
      </c>
      <c r="H13" s="60">
        <v>46.17</v>
      </c>
      <c r="I13" s="60">
        <v>1.01</v>
      </c>
      <c r="J13" s="60">
        <v>0.11</v>
      </c>
      <c r="K13" s="60">
        <v>28.11</v>
      </c>
      <c r="L13" s="60">
        <v>24.63</v>
      </c>
      <c r="M13" s="60">
        <v>51.97</v>
      </c>
      <c r="N13" s="60">
        <v>5</v>
      </c>
      <c r="O13" s="60">
        <v>0</v>
      </c>
      <c r="P13" s="60">
        <v>1.79</v>
      </c>
      <c r="Q13" s="60">
        <v>34.869999999999997</v>
      </c>
      <c r="R13" s="198"/>
      <c r="S13" s="198"/>
      <c r="T13" s="198"/>
      <c r="U13" s="198"/>
    </row>
    <row r="14" spans="1:21" s="12" customFormat="1" x14ac:dyDescent="0.25">
      <c r="A14" s="201" t="s">
        <v>1311</v>
      </c>
      <c r="B14" s="60">
        <v>61.68</v>
      </c>
      <c r="C14" s="60">
        <v>63.31</v>
      </c>
      <c r="D14" s="60">
        <v>85.15</v>
      </c>
      <c r="E14" s="60">
        <v>8.1199999999999992</v>
      </c>
      <c r="F14" s="60">
        <v>5.05</v>
      </c>
      <c r="G14" s="60">
        <v>208.51</v>
      </c>
      <c r="H14" s="60">
        <v>46.58</v>
      </c>
      <c r="I14" s="60">
        <v>0.96</v>
      </c>
      <c r="J14" s="60">
        <v>7.0000000000000007E-2</v>
      </c>
      <c r="K14" s="60">
        <v>351.99</v>
      </c>
      <c r="L14" s="60">
        <v>24.04</v>
      </c>
      <c r="M14" s="60">
        <v>55.63</v>
      </c>
      <c r="N14" s="60">
        <v>5.0999999999999996</v>
      </c>
      <c r="O14" s="60">
        <v>0</v>
      </c>
      <c r="P14" s="60">
        <v>2.1</v>
      </c>
      <c r="Q14" s="60">
        <v>34.619999999999997</v>
      </c>
      <c r="R14" s="198"/>
      <c r="S14" s="198"/>
      <c r="T14" s="198"/>
      <c r="U14" s="198"/>
    </row>
    <row r="15" spans="1:21" s="12" customFormat="1" x14ac:dyDescent="0.25">
      <c r="A15" s="201" t="s">
        <v>1312</v>
      </c>
      <c r="B15" s="60">
        <v>69.55</v>
      </c>
      <c r="C15" s="60">
        <v>63.64</v>
      </c>
      <c r="D15" s="60">
        <v>91.63</v>
      </c>
      <c r="E15" s="60">
        <v>5.79</v>
      </c>
      <c r="F15" s="60">
        <v>3.74</v>
      </c>
      <c r="G15" s="60">
        <v>208.51</v>
      </c>
      <c r="H15" s="60">
        <v>46.58</v>
      </c>
      <c r="I15" s="60">
        <v>0.94</v>
      </c>
      <c r="J15" s="60">
        <v>0.14000000000000001</v>
      </c>
      <c r="K15" s="60">
        <v>5.08</v>
      </c>
      <c r="L15" s="60">
        <v>23.8</v>
      </c>
      <c r="M15" s="60">
        <v>57.53</v>
      </c>
      <c r="N15" s="60">
        <v>5.0999999999999996</v>
      </c>
      <c r="O15" s="60">
        <v>0</v>
      </c>
      <c r="P15" s="60">
        <v>2.21</v>
      </c>
      <c r="Q15" s="60">
        <v>35.57</v>
      </c>
      <c r="R15" s="198"/>
      <c r="S15" s="198"/>
      <c r="T15" s="198"/>
      <c r="U15" s="198"/>
    </row>
    <row r="16" spans="1:21" s="12" customFormat="1" x14ac:dyDescent="0.25">
      <c r="A16" s="201" t="s">
        <v>1313</v>
      </c>
      <c r="B16" s="60">
        <v>65.05</v>
      </c>
      <c r="C16" s="60">
        <v>62.81</v>
      </c>
      <c r="D16" s="60">
        <v>87.57</v>
      </c>
      <c r="E16" s="60">
        <v>4.84</v>
      </c>
      <c r="F16" s="60">
        <v>3.58</v>
      </c>
      <c r="G16" s="60">
        <v>208.51</v>
      </c>
      <c r="H16" s="60">
        <v>46.58</v>
      </c>
      <c r="I16" s="60">
        <v>1</v>
      </c>
      <c r="J16" s="60">
        <v>0.44</v>
      </c>
      <c r="K16" s="60">
        <v>35.19</v>
      </c>
      <c r="L16" s="60">
        <v>23.96</v>
      </c>
      <c r="M16" s="60">
        <v>54.95</v>
      </c>
      <c r="N16" s="60">
        <v>3.7</v>
      </c>
      <c r="O16" s="60">
        <v>0</v>
      </c>
      <c r="P16" s="60">
        <v>2.12</v>
      </c>
      <c r="Q16" s="60">
        <v>36.43</v>
      </c>
      <c r="R16" s="198"/>
      <c r="S16" s="198"/>
      <c r="T16" s="198"/>
      <c r="U16" s="198"/>
    </row>
    <row r="17" spans="1:21" s="12" customFormat="1" x14ac:dyDescent="0.25">
      <c r="A17" s="201" t="s">
        <v>1314</v>
      </c>
      <c r="B17" s="60">
        <v>52.56</v>
      </c>
      <c r="C17" s="60">
        <v>63.11</v>
      </c>
      <c r="D17" s="60">
        <v>77.72</v>
      </c>
      <c r="E17" s="60">
        <v>5.52</v>
      </c>
      <c r="F17" s="60">
        <v>3.99</v>
      </c>
      <c r="G17" s="60">
        <v>202.47</v>
      </c>
      <c r="H17" s="60">
        <v>46.76</v>
      </c>
      <c r="I17" s="60">
        <v>1.01</v>
      </c>
      <c r="J17" s="60">
        <v>0.22</v>
      </c>
      <c r="K17" s="60">
        <v>63.71</v>
      </c>
      <c r="L17" s="60">
        <v>24.71</v>
      </c>
      <c r="M17" s="60">
        <v>49.17</v>
      </c>
      <c r="N17" s="60">
        <v>4.4000000000000004</v>
      </c>
      <c r="O17" s="60">
        <v>0</v>
      </c>
      <c r="P17" s="60">
        <v>1.95</v>
      </c>
      <c r="Q17" s="60">
        <v>36.9</v>
      </c>
      <c r="R17" s="198"/>
      <c r="S17" s="198"/>
      <c r="T17" s="198"/>
      <c r="U17" s="198"/>
    </row>
    <row r="18" spans="1:21" s="12" customFormat="1" x14ac:dyDescent="0.25">
      <c r="A18" s="201" t="s">
        <v>1315</v>
      </c>
      <c r="B18" s="60">
        <v>45.52</v>
      </c>
      <c r="C18" s="60">
        <v>63.25</v>
      </c>
      <c r="D18" s="60">
        <v>72.150000000000006</v>
      </c>
      <c r="E18" s="60">
        <v>5.05</v>
      </c>
      <c r="F18" s="60">
        <v>4.84</v>
      </c>
      <c r="G18" s="60">
        <v>166.7</v>
      </c>
      <c r="H18" s="60">
        <v>47.51</v>
      </c>
      <c r="I18" s="60">
        <v>0.98</v>
      </c>
      <c r="J18" s="60">
        <v>7.0000000000000007E-2</v>
      </c>
      <c r="K18" s="60">
        <v>54.21</v>
      </c>
      <c r="L18" s="60">
        <v>24.51</v>
      </c>
      <c r="M18" s="60">
        <v>49.64</v>
      </c>
      <c r="N18" s="60">
        <v>5</v>
      </c>
      <c r="O18" s="60">
        <v>0</v>
      </c>
      <c r="P18" s="60">
        <v>1.86</v>
      </c>
      <c r="Q18" s="60">
        <v>36.619999999999997</v>
      </c>
      <c r="R18" s="198"/>
      <c r="S18" s="198"/>
      <c r="T18" s="198"/>
      <c r="U18" s="198"/>
    </row>
    <row r="19" spans="1:21" s="12" customFormat="1" x14ac:dyDescent="0.25">
      <c r="A19" s="201" t="s">
        <v>1316</v>
      </c>
      <c r="B19" s="60">
        <v>45.87</v>
      </c>
      <c r="C19" s="60">
        <v>63.63</v>
      </c>
      <c r="D19" s="60">
        <v>72.64</v>
      </c>
      <c r="E19" s="60">
        <v>4.16</v>
      </c>
      <c r="F19" s="60">
        <v>3.56</v>
      </c>
      <c r="G19" s="60">
        <v>166.7</v>
      </c>
      <c r="H19" s="60">
        <v>47.51</v>
      </c>
      <c r="I19" s="60">
        <v>0.93</v>
      </c>
      <c r="J19" s="60">
        <v>0.13</v>
      </c>
      <c r="K19" s="60">
        <v>27.21</v>
      </c>
      <c r="L19" s="60">
        <v>23.81</v>
      </c>
      <c r="M19" s="60">
        <v>55.33</v>
      </c>
      <c r="N19" s="60">
        <v>5.3</v>
      </c>
      <c r="O19" s="60">
        <v>0</v>
      </c>
      <c r="P19" s="60">
        <v>1.83</v>
      </c>
      <c r="Q19" s="60">
        <v>35.75</v>
      </c>
      <c r="R19" s="198"/>
      <c r="S19" s="198"/>
      <c r="T19" s="198"/>
      <c r="U19" s="198"/>
    </row>
    <row r="20" spans="1:21" s="12" customFormat="1" x14ac:dyDescent="0.25">
      <c r="A20" s="201" t="s">
        <v>1317</v>
      </c>
      <c r="B20" s="60">
        <v>42.05</v>
      </c>
      <c r="C20" s="60">
        <v>63.13</v>
      </c>
      <c r="D20" s="60">
        <v>69.3</v>
      </c>
      <c r="E20" s="60">
        <v>3.91</v>
      </c>
      <c r="F20" s="60">
        <v>3.2</v>
      </c>
      <c r="G20" s="60">
        <v>166.7</v>
      </c>
      <c r="H20" s="60">
        <v>47.51</v>
      </c>
      <c r="I20" s="60">
        <v>0.9</v>
      </c>
      <c r="J20" s="60">
        <v>0.19</v>
      </c>
      <c r="K20" s="60">
        <v>23.13</v>
      </c>
      <c r="L20" s="60">
        <v>23.14</v>
      </c>
      <c r="M20" s="60">
        <v>59.27</v>
      </c>
      <c r="N20" s="60">
        <v>5.0999999999999996</v>
      </c>
      <c r="O20" s="60">
        <v>0</v>
      </c>
      <c r="P20" s="60">
        <v>1.77</v>
      </c>
      <c r="Q20" s="60">
        <v>35.049999999999997</v>
      </c>
      <c r="R20" s="198"/>
      <c r="S20" s="198"/>
      <c r="T20" s="198"/>
      <c r="U20" s="198"/>
    </row>
    <row r="21" spans="1:21" s="12" customFormat="1" x14ac:dyDescent="0.25">
      <c r="A21" s="201" t="s">
        <v>1318</v>
      </c>
      <c r="B21" s="60">
        <v>30.26</v>
      </c>
      <c r="C21" s="60">
        <v>59.88</v>
      </c>
      <c r="D21" s="60">
        <v>58.05</v>
      </c>
      <c r="E21" s="60">
        <v>4.21</v>
      </c>
      <c r="F21" s="60">
        <v>7.24</v>
      </c>
      <c r="G21" s="60">
        <v>155.77000000000001</v>
      </c>
      <c r="H21" s="60">
        <v>47.48</v>
      </c>
      <c r="I21" s="60">
        <v>0.9</v>
      </c>
      <c r="J21" s="60">
        <v>0.13</v>
      </c>
      <c r="K21" s="60">
        <v>14.2</v>
      </c>
      <c r="L21" s="60">
        <v>22.78</v>
      </c>
      <c r="M21" s="60">
        <v>58.51</v>
      </c>
      <c r="N21" s="60">
        <v>4.9000000000000004</v>
      </c>
      <c r="O21" s="60">
        <v>0</v>
      </c>
      <c r="P21" s="60">
        <v>1.5</v>
      </c>
      <c r="Q21" s="60">
        <v>34.75</v>
      </c>
      <c r="R21" s="198"/>
      <c r="S21" s="198"/>
      <c r="T21" s="198"/>
      <c r="U21" s="198"/>
    </row>
    <row r="22" spans="1:21" s="12" customFormat="1" x14ac:dyDescent="0.25">
      <c r="A22" s="201" t="s">
        <v>1319</v>
      </c>
      <c r="B22" s="60">
        <v>19.98</v>
      </c>
      <c r="C22" s="60">
        <v>50.85</v>
      </c>
      <c r="D22" s="60">
        <v>44.83</v>
      </c>
      <c r="E22" s="60">
        <v>8.27</v>
      </c>
      <c r="F22" s="60">
        <v>11.57</v>
      </c>
      <c r="G22" s="60">
        <v>91.02</v>
      </c>
      <c r="H22" s="60">
        <v>47.33</v>
      </c>
      <c r="I22" s="60">
        <v>0.88</v>
      </c>
      <c r="J22" s="60">
        <v>0.1</v>
      </c>
      <c r="K22" s="60">
        <v>10.06</v>
      </c>
      <c r="L22" s="60">
        <v>23.11</v>
      </c>
      <c r="M22" s="60">
        <v>56.22</v>
      </c>
      <c r="N22" s="60">
        <v>4.5</v>
      </c>
      <c r="O22" s="60">
        <v>0</v>
      </c>
      <c r="P22" s="60">
        <v>1.31</v>
      </c>
      <c r="Q22" s="60">
        <v>34.700000000000003</v>
      </c>
      <c r="R22" s="198"/>
      <c r="S22" s="198"/>
      <c r="T22" s="198"/>
      <c r="U22" s="198"/>
    </row>
    <row r="23" spans="1:21" s="12" customFormat="1" x14ac:dyDescent="0.25">
      <c r="A23" s="201" t="s">
        <v>1320</v>
      </c>
      <c r="B23" s="60">
        <v>24.23</v>
      </c>
      <c r="C23" s="60">
        <v>49.18</v>
      </c>
      <c r="D23" s="60">
        <v>47.32</v>
      </c>
      <c r="E23" s="60">
        <v>7.34</v>
      </c>
      <c r="F23" s="60">
        <v>9.7100000000000009</v>
      </c>
      <c r="G23" s="60">
        <v>91.02</v>
      </c>
      <c r="H23" s="60">
        <v>47.33</v>
      </c>
      <c r="I23" s="60">
        <v>0.8</v>
      </c>
      <c r="J23" s="60">
        <v>0.12</v>
      </c>
      <c r="K23" s="60">
        <v>250.31</v>
      </c>
      <c r="L23" s="60">
        <v>23.08</v>
      </c>
      <c r="M23" s="60">
        <v>55.86</v>
      </c>
      <c r="N23" s="60">
        <v>4.4000000000000004</v>
      </c>
      <c r="O23" s="60">
        <v>0</v>
      </c>
      <c r="P23" s="60">
        <v>1.32</v>
      </c>
      <c r="Q23" s="60">
        <v>31.2</v>
      </c>
      <c r="R23" s="198"/>
      <c r="S23" s="198"/>
      <c r="T23" s="198"/>
      <c r="U23" s="198"/>
    </row>
    <row r="24" spans="1:21" s="12" customFormat="1" x14ac:dyDescent="0.25">
      <c r="A24" s="201" t="s">
        <v>1321</v>
      </c>
      <c r="B24" s="60">
        <v>22.51</v>
      </c>
      <c r="C24" s="60">
        <v>52.47</v>
      </c>
      <c r="D24" s="60">
        <v>47.75</v>
      </c>
      <c r="E24" s="60">
        <v>4.24</v>
      </c>
      <c r="F24" s="60">
        <v>14.59</v>
      </c>
      <c r="G24" s="60">
        <v>91.02</v>
      </c>
      <c r="H24" s="60">
        <v>47.33</v>
      </c>
      <c r="I24" s="60">
        <v>0.73</v>
      </c>
      <c r="J24" s="60">
        <v>0.06</v>
      </c>
      <c r="K24" s="60">
        <v>291.75</v>
      </c>
      <c r="L24" s="60">
        <v>23.82</v>
      </c>
      <c r="M24" s="60">
        <v>46.3</v>
      </c>
      <c r="N24" s="60">
        <v>4.2</v>
      </c>
      <c r="O24" s="60">
        <v>0</v>
      </c>
      <c r="P24" s="60">
        <v>1.1599999999999999</v>
      </c>
      <c r="Q24" s="60">
        <v>30</v>
      </c>
      <c r="R24" s="198"/>
      <c r="S24" s="198"/>
      <c r="T24" s="198"/>
      <c r="U24" s="198"/>
    </row>
    <row r="25" spans="1:21" s="12" customFormat="1" x14ac:dyDescent="0.25">
      <c r="A25" s="201" t="s">
        <v>1322</v>
      </c>
      <c r="B25" s="60">
        <v>31.61</v>
      </c>
      <c r="C25" s="60">
        <v>63.71</v>
      </c>
      <c r="D25" s="60">
        <v>61.25</v>
      </c>
      <c r="E25" s="60">
        <v>5.83</v>
      </c>
      <c r="F25" s="60">
        <v>4.42</v>
      </c>
      <c r="G25" s="60">
        <v>89.06</v>
      </c>
      <c r="H25" s="60">
        <v>46.28</v>
      </c>
      <c r="I25" s="60">
        <v>0.72</v>
      </c>
      <c r="J25" s="60">
        <v>0.18</v>
      </c>
      <c r="K25" s="60">
        <v>2.29</v>
      </c>
      <c r="L25" s="60">
        <v>23.03</v>
      </c>
      <c r="M25" s="60">
        <v>55.53</v>
      </c>
      <c r="N25" s="60">
        <v>5.2</v>
      </c>
      <c r="O25" s="60">
        <v>0</v>
      </c>
      <c r="P25" s="60">
        <v>1.37</v>
      </c>
      <c r="Q25" s="60">
        <v>28.2</v>
      </c>
      <c r="R25" s="198"/>
      <c r="S25" s="198"/>
      <c r="T25" s="198"/>
      <c r="U25" s="198"/>
    </row>
    <row r="26" spans="1:21" s="12" customFormat="1" x14ac:dyDescent="0.25">
      <c r="A26" s="201" t="s">
        <v>1323</v>
      </c>
      <c r="B26" s="60">
        <v>42.57</v>
      </c>
      <c r="C26" s="60">
        <v>66.5</v>
      </c>
      <c r="D26" s="60">
        <v>71.58</v>
      </c>
      <c r="E26" s="60">
        <v>5.86</v>
      </c>
      <c r="F26" s="60">
        <v>3.5</v>
      </c>
      <c r="G26" s="60">
        <v>77.45</v>
      </c>
      <c r="H26" s="60">
        <v>40.619999999999997</v>
      </c>
      <c r="I26" s="60">
        <v>0.72</v>
      </c>
      <c r="J26" s="60">
        <v>7.0000000000000007E-2</v>
      </c>
      <c r="K26" s="60">
        <v>355.59</v>
      </c>
      <c r="L26" s="60">
        <v>22.38</v>
      </c>
      <c r="M26" s="60">
        <v>55.04</v>
      </c>
      <c r="N26" s="60">
        <v>5.0999999999999996</v>
      </c>
      <c r="O26" s="60">
        <v>0</v>
      </c>
      <c r="P26" s="60">
        <v>1.36</v>
      </c>
      <c r="Q26" s="60">
        <v>28.11</v>
      </c>
      <c r="R26" s="198"/>
      <c r="S26" s="198"/>
      <c r="T26" s="198"/>
      <c r="U26" s="198"/>
    </row>
    <row r="27" spans="1:21" s="12" customFormat="1" x14ac:dyDescent="0.25">
      <c r="A27" s="201" t="s">
        <v>1324</v>
      </c>
      <c r="B27" s="60">
        <v>43.98</v>
      </c>
      <c r="C27" s="60">
        <v>56.87</v>
      </c>
      <c r="D27" s="60">
        <v>67.400000000000006</v>
      </c>
      <c r="E27" s="60">
        <v>5.52</v>
      </c>
      <c r="F27" s="60">
        <v>3.91</v>
      </c>
      <c r="G27" s="60">
        <v>77.45</v>
      </c>
      <c r="H27" s="60">
        <v>40.619999999999997</v>
      </c>
      <c r="I27" s="60">
        <v>0.74</v>
      </c>
      <c r="J27" s="60">
        <v>0.16</v>
      </c>
      <c r="K27" s="60">
        <v>0.46</v>
      </c>
      <c r="L27" s="60">
        <v>22.16</v>
      </c>
      <c r="M27" s="60">
        <v>56.7</v>
      </c>
      <c r="N27" s="60">
        <v>4.9000000000000004</v>
      </c>
      <c r="O27" s="60">
        <v>0</v>
      </c>
      <c r="P27" s="60">
        <v>1.41</v>
      </c>
      <c r="Q27" s="60">
        <v>29.63</v>
      </c>
      <c r="R27" s="198"/>
      <c r="S27" s="198"/>
      <c r="T27" s="198"/>
      <c r="U27" s="198"/>
    </row>
    <row r="28" spans="1:21" s="12" customFormat="1" x14ac:dyDescent="0.25">
      <c r="A28" s="201" t="s">
        <v>1325</v>
      </c>
      <c r="B28" s="60">
        <v>35.71</v>
      </c>
      <c r="C28" s="60">
        <v>63.08</v>
      </c>
      <c r="D28" s="60">
        <v>64.19</v>
      </c>
      <c r="E28" s="60">
        <v>5.97</v>
      </c>
      <c r="F28" s="60">
        <v>4.0199999999999996</v>
      </c>
      <c r="G28" s="60">
        <v>77.45</v>
      </c>
      <c r="H28" s="60">
        <v>40.619999999999997</v>
      </c>
      <c r="I28" s="60">
        <v>0.75</v>
      </c>
      <c r="J28" s="60">
        <v>0.18</v>
      </c>
      <c r="K28" s="60">
        <v>277.95999999999998</v>
      </c>
      <c r="L28" s="60">
        <v>22.31</v>
      </c>
      <c r="M28" s="60">
        <v>53.27</v>
      </c>
      <c r="N28" s="60">
        <v>4.5999999999999996</v>
      </c>
      <c r="O28" s="60">
        <v>0</v>
      </c>
      <c r="P28" s="60">
        <v>1.3</v>
      </c>
      <c r="Q28" s="60">
        <v>29.48</v>
      </c>
      <c r="R28" s="198"/>
      <c r="S28" s="198"/>
      <c r="T28" s="198"/>
      <c r="U28" s="198"/>
    </row>
    <row r="29" spans="1:21" s="12" customFormat="1" x14ac:dyDescent="0.25">
      <c r="A29" s="201" t="s">
        <v>1326</v>
      </c>
      <c r="B29" s="60">
        <v>35.78</v>
      </c>
      <c r="C29" s="60">
        <v>54.49</v>
      </c>
      <c r="D29" s="60">
        <v>59.51</v>
      </c>
      <c r="E29" s="60">
        <v>4.3600000000000003</v>
      </c>
      <c r="F29" s="60">
        <v>3.77</v>
      </c>
      <c r="G29" s="60">
        <v>80.88</v>
      </c>
      <c r="H29" s="60">
        <v>40.409999999999997</v>
      </c>
      <c r="I29" s="60">
        <v>0.76</v>
      </c>
      <c r="J29" s="60">
        <v>0.2</v>
      </c>
      <c r="K29" s="60">
        <v>277.95</v>
      </c>
      <c r="L29" s="60">
        <v>22.69</v>
      </c>
      <c r="M29" s="60">
        <v>49.67</v>
      </c>
      <c r="N29" s="60">
        <v>4.4000000000000004</v>
      </c>
      <c r="O29" s="60">
        <v>0</v>
      </c>
      <c r="P29" s="60">
        <v>1.47</v>
      </c>
      <c r="Q29" s="60">
        <v>31.39</v>
      </c>
      <c r="R29" s="198"/>
      <c r="S29" s="198"/>
      <c r="T29" s="198"/>
      <c r="U29" s="198"/>
    </row>
    <row r="30" spans="1:21" s="12" customFormat="1" x14ac:dyDescent="0.25">
      <c r="A30" s="201" t="s">
        <v>1327</v>
      </c>
      <c r="B30" s="60">
        <v>39.5</v>
      </c>
      <c r="C30" s="60">
        <v>57.15</v>
      </c>
      <c r="D30" s="60">
        <v>63.96</v>
      </c>
      <c r="E30" s="60">
        <v>3.36</v>
      </c>
      <c r="F30" s="60">
        <v>3.21</v>
      </c>
      <c r="G30" s="60">
        <v>101.17</v>
      </c>
      <c r="H30" s="60">
        <v>39.409999999999997</v>
      </c>
      <c r="I30" s="60">
        <v>0.77</v>
      </c>
      <c r="J30" s="60">
        <v>0.14000000000000001</v>
      </c>
      <c r="K30" s="60">
        <v>293.11</v>
      </c>
      <c r="L30" s="60">
        <v>22.47</v>
      </c>
      <c r="M30" s="60">
        <v>53.12</v>
      </c>
      <c r="N30" s="60">
        <v>5</v>
      </c>
      <c r="O30" s="60">
        <v>0</v>
      </c>
      <c r="P30" s="60">
        <v>1.41</v>
      </c>
      <c r="Q30" s="60">
        <v>32.83</v>
      </c>
      <c r="R30" s="198"/>
      <c r="S30" s="198"/>
      <c r="T30" s="198"/>
      <c r="U30" s="198"/>
    </row>
    <row r="31" spans="1:21" s="12" customFormat="1" x14ac:dyDescent="0.25">
      <c r="A31" s="201" t="s">
        <v>1328</v>
      </c>
      <c r="B31" s="60">
        <v>43.3</v>
      </c>
      <c r="C31" s="60">
        <v>57.19</v>
      </c>
      <c r="D31" s="60">
        <v>67.03</v>
      </c>
      <c r="E31" s="60">
        <v>3.27</v>
      </c>
      <c r="F31" s="60">
        <v>3.19</v>
      </c>
      <c r="G31" s="60">
        <v>101.17</v>
      </c>
      <c r="H31" s="60">
        <v>39.409999999999997</v>
      </c>
      <c r="I31" s="60">
        <v>0.82</v>
      </c>
      <c r="J31" s="60">
        <v>0.22</v>
      </c>
      <c r="K31" s="60">
        <v>269</v>
      </c>
      <c r="L31" s="60">
        <v>22.28</v>
      </c>
      <c r="M31" s="60">
        <v>56.16</v>
      </c>
      <c r="N31" s="60">
        <v>6.9</v>
      </c>
      <c r="O31" s="60">
        <v>0</v>
      </c>
      <c r="P31" s="60">
        <v>1.4</v>
      </c>
      <c r="Q31" s="60">
        <v>33.79</v>
      </c>
      <c r="R31" s="198"/>
      <c r="S31" s="198"/>
      <c r="T31" s="198"/>
      <c r="U31" s="198"/>
    </row>
    <row r="32" spans="1:21" s="12" customFormat="1" x14ac:dyDescent="0.25">
      <c r="A32" s="201" t="s">
        <v>1329</v>
      </c>
      <c r="B32" s="60">
        <v>48.13</v>
      </c>
      <c r="C32" s="60">
        <v>61.16</v>
      </c>
      <c r="D32" s="60">
        <v>73.09</v>
      </c>
      <c r="E32" s="60">
        <v>3.21</v>
      </c>
      <c r="F32" s="60">
        <v>3.14</v>
      </c>
      <c r="G32" s="60">
        <v>101.17</v>
      </c>
      <c r="H32" s="60">
        <v>39.409999999999997</v>
      </c>
      <c r="I32" s="60">
        <v>0.83</v>
      </c>
      <c r="J32" s="60">
        <v>0.16</v>
      </c>
      <c r="K32" s="60">
        <v>344.86</v>
      </c>
      <c r="L32" s="60">
        <v>22.53</v>
      </c>
      <c r="M32" s="60">
        <v>57.55</v>
      </c>
      <c r="N32" s="60">
        <v>16.600000000000001</v>
      </c>
      <c r="O32" s="60">
        <v>0</v>
      </c>
      <c r="P32" s="60">
        <v>1.38</v>
      </c>
      <c r="Q32" s="60">
        <v>34.47</v>
      </c>
      <c r="R32" s="198"/>
      <c r="S32" s="198"/>
      <c r="T32" s="198"/>
      <c r="U32" s="198"/>
    </row>
    <row r="33" spans="1:21" s="12" customFormat="1" x14ac:dyDescent="0.25">
      <c r="A33" s="201" t="s">
        <v>1330</v>
      </c>
      <c r="B33" s="60">
        <v>59.05</v>
      </c>
      <c r="C33" s="60">
        <v>60.49</v>
      </c>
      <c r="D33" s="60">
        <v>81.47</v>
      </c>
      <c r="E33" s="60">
        <v>3.47</v>
      </c>
      <c r="F33" s="60">
        <v>3.05</v>
      </c>
      <c r="G33" s="60">
        <v>116.04</v>
      </c>
      <c r="H33" s="60">
        <v>39.880000000000003</v>
      </c>
      <c r="I33" s="60">
        <v>0.83</v>
      </c>
      <c r="J33" s="60">
        <v>0.19</v>
      </c>
      <c r="K33" s="60">
        <v>355.45</v>
      </c>
      <c r="L33" s="60">
        <v>22.27</v>
      </c>
      <c r="M33" s="60">
        <v>60.19</v>
      </c>
      <c r="N33" s="60">
        <v>36.299999999999997</v>
      </c>
      <c r="O33" s="60">
        <v>0</v>
      </c>
      <c r="P33" s="60">
        <v>1.42</v>
      </c>
      <c r="Q33" s="60">
        <v>35.049999999999997</v>
      </c>
      <c r="R33" s="198"/>
      <c r="S33" s="198"/>
      <c r="T33" s="198"/>
      <c r="U33" s="198"/>
    </row>
    <row r="34" spans="1:21" s="12" customFormat="1" x14ac:dyDescent="0.25">
      <c r="A34" s="201" t="s">
        <v>1331</v>
      </c>
      <c r="B34" s="60">
        <v>63.17</v>
      </c>
      <c r="C34" s="60">
        <v>59.83</v>
      </c>
      <c r="D34" s="60">
        <v>84.41</v>
      </c>
      <c r="E34" s="60">
        <v>2.66</v>
      </c>
      <c r="F34" s="60">
        <v>3</v>
      </c>
      <c r="G34" s="60">
        <v>204.17</v>
      </c>
      <c r="H34" s="60">
        <v>42.2</v>
      </c>
      <c r="I34" s="60">
        <v>0.83</v>
      </c>
      <c r="J34" s="60">
        <v>0.13</v>
      </c>
      <c r="K34" s="60">
        <v>55.6</v>
      </c>
      <c r="L34" s="60">
        <v>22.64</v>
      </c>
      <c r="M34" s="60">
        <v>58.12</v>
      </c>
      <c r="N34" s="60">
        <v>59</v>
      </c>
      <c r="O34" s="60">
        <v>0</v>
      </c>
      <c r="P34" s="60">
        <v>1.42</v>
      </c>
      <c r="Q34" s="60">
        <v>35.44</v>
      </c>
      <c r="R34" s="198"/>
      <c r="S34" s="198"/>
      <c r="T34" s="198"/>
      <c r="U34" s="198"/>
    </row>
    <row r="35" spans="1:21" s="12" customFormat="1" x14ac:dyDescent="0.25">
      <c r="A35" s="201" t="s">
        <v>1332</v>
      </c>
      <c r="B35" s="60">
        <v>71.72</v>
      </c>
      <c r="C35" s="60">
        <v>64.239999999999995</v>
      </c>
      <c r="D35" s="60">
        <v>93.71</v>
      </c>
      <c r="E35" s="60">
        <v>2.76</v>
      </c>
      <c r="F35" s="60">
        <v>3.04</v>
      </c>
      <c r="G35" s="60">
        <v>204.17</v>
      </c>
      <c r="H35" s="60">
        <v>42.2</v>
      </c>
      <c r="I35" s="60">
        <v>0.83</v>
      </c>
      <c r="J35" s="60">
        <v>7.0000000000000007E-2</v>
      </c>
      <c r="K35" s="60">
        <v>48.95</v>
      </c>
      <c r="L35" s="60">
        <v>23.98</v>
      </c>
      <c r="M35" s="60">
        <v>52.64</v>
      </c>
      <c r="N35" s="60">
        <v>90.9</v>
      </c>
      <c r="O35" s="60">
        <v>0</v>
      </c>
      <c r="P35" s="60">
        <v>1.42</v>
      </c>
      <c r="Q35" s="60">
        <v>35.630000000000003</v>
      </c>
      <c r="R35" s="198"/>
      <c r="S35" s="198"/>
      <c r="T35" s="198"/>
      <c r="U35" s="198"/>
    </row>
    <row r="36" spans="1:21" s="12" customFormat="1" x14ac:dyDescent="0.25">
      <c r="A36" s="201" t="s">
        <v>1333</v>
      </c>
      <c r="B36" s="60">
        <v>66.5</v>
      </c>
      <c r="C36" s="60">
        <v>69.239999999999995</v>
      </c>
      <c r="D36" s="60">
        <v>92.28</v>
      </c>
      <c r="E36" s="60">
        <v>4.28</v>
      </c>
      <c r="F36" s="60">
        <v>4.07</v>
      </c>
      <c r="G36" s="60">
        <v>204.17</v>
      </c>
      <c r="H36" s="60">
        <v>42.2</v>
      </c>
      <c r="I36" s="60">
        <v>0.82</v>
      </c>
      <c r="J36" s="60">
        <v>0.03</v>
      </c>
      <c r="K36" s="60">
        <v>146.69999999999999</v>
      </c>
      <c r="L36" s="60">
        <v>25.77</v>
      </c>
      <c r="M36" s="60">
        <v>48.17</v>
      </c>
      <c r="N36" s="60">
        <v>149.4</v>
      </c>
      <c r="O36" s="60">
        <v>0</v>
      </c>
      <c r="P36" s="60">
        <v>1.46</v>
      </c>
      <c r="Q36" s="60">
        <v>35.15</v>
      </c>
      <c r="R36" s="198"/>
      <c r="S36" s="198"/>
      <c r="T36" s="198"/>
      <c r="U36" s="198"/>
    </row>
    <row r="37" spans="1:21" s="12" customFormat="1" x14ac:dyDescent="0.25">
      <c r="A37" s="201" t="s">
        <v>1334</v>
      </c>
      <c r="B37" s="60">
        <v>70.97</v>
      </c>
      <c r="C37" s="60">
        <v>74.36</v>
      </c>
      <c r="D37" s="60">
        <v>98.69</v>
      </c>
      <c r="E37" s="60">
        <v>5.55</v>
      </c>
      <c r="F37" s="60">
        <v>6.25</v>
      </c>
      <c r="G37" s="60">
        <v>197.12</v>
      </c>
      <c r="H37" s="60">
        <v>42.38</v>
      </c>
      <c r="I37" s="60">
        <v>0.8</v>
      </c>
      <c r="J37" s="60">
        <v>0.14000000000000001</v>
      </c>
      <c r="K37" s="60">
        <v>28.4</v>
      </c>
      <c r="L37" s="60">
        <v>27.77</v>
      </c>
      <c r="M37" s="60">
        <v>45.87</v>
      </c>
      <c r="N37" s="60">
        <v>198</v>
      </c>
      <c r="O37" s="60">
        <v>0</v>
      </c>
      <c r="P37" s="60">
        <v>1.62</v>
      </c>
      <c r="Q37" s="60">
        <v>32.5</v>
      </c>
      <c r="R37" s="198"/>
      <c r="S37" s="198"/>
      <c r="T37" s="198"/>
      <c r="U37" s="198"/>
    </row>
    <row r="38" spans="1:21" s="12" customFormat="1" x14ac:dyDescent="0.25">
      <c r="A38" s="201" t="s">
        <v>1335</v>
      </c>
      <c r="B38" s="60">
        <v>57.45</v>
      </c>
      <c r="C38" s="60">
        <v>75.64</v>
      </c>
      <c r="D38" s="60">
        <v>88.55</v>
      </c>
      <c r="E38" s="60">
        <v>6.21</v>
      </c>
      <c r="F38" s="60">
        <v>10.83</v>
      </c>
      <c r="G38" s="60">
        <v>155.37</v>
      </c>
      <c r="H38" s="60">
        <v>43.33</v>
      </c>
      <c r="I38" s="60">
        <v>0.79</v>
      </c>
      <c r="J38" s="60">
        <v>0.28000000000000003</v>
      </c>
      <c r="K38" s="60">
        <v>17.14</v>
      </c>
      <c r="L38" s="60">
        <v>29.43</v>
      </c>
      <c r="M38" s="60">
        <v>36.61</v>
      </c>
      <c r="N38" s="60">
        <v>249.9</v>
      </c>
      <c r="O38" s="60">
        <v>0</v>
      </c>
      <c r="P38" s="60">
        <v>1.57</v>
      </c>
      <c r="Q38" s="60">
        <v>31.18</v>
      </c>
      <c r="R38" s="198"/>
      <c r="S38" s="198"/>
      <c r="T38" s="198"/>
      <c r="U38" s="198"/>
    </row>
    <row r="39" spans="1:21" s="12" customFormat="1" x14ac:dyDescent="0.25">
      <c r="A39" s="201" t="s">
        <v>1336</v>
      </c>
      <c r="B39" s="60">
        <v>54.89</v>
      </c>
      <c r="C39" s="60">
        <v>67.95</v>
      </c>
      <c r="D39" s="60">
        <v>82.26</v>
      </c>
      <c r="E39" s="60">
        <v>6.77</v>
      </c>
      <c r="F39" s="60">
        <v>12.88</v>
      </c>
      <c r="G39" s="60">
        <v>155.37</v>
      </c>
      <c r="H39" s="60">
        <v>43.33</v>
      </c>
      <c r="I39" s="60">
        <v>0.8</v>
      </c>
      <c r="J39" s="60">
        <v>0.24</v>
      </c>
      <c r="K39" s="60">
        <v>0.53</v>
      </c>
      <c r="L39" s="60">
        <v>31.61</v>
      </c>
      <c r="M39" s="60">
        <v>30.13</v>
      </c>
      <c r="N39" s="60">
        <v>301.8</v>
      </c>
      <c r="O39" s="60">
        <v>0</v>
      </c>
      <c r="P39" s="60">
        <v>1.49</v>
      </c>
      <c r="Q39" s="60">
        <v>31.55</v>
      </c>
      <c r="R39" s="198"/>
      <c r="S39" s="198"/>
      <c r="T39" s="198"/>
      <c r="U39" s="198"/>
    </row>
    <row r="40" spans="1:21" s="12" customFormat="1" x14ac:dyDescent="0.25">
      <c r="A40" s="201" t="s">
        <v>1337</v>
      </c>
      <c r="B40" s="60">
        <v>56.46</v>
      </c>
      <c r="C40" s="60">
        <v>72.819999999999993</v>
      </c>
      <c r="D40" s="60">
        <v>86.21</v>
      </c>
      <c r="E40" s="60">
        <v>2.98</v>
      </c>
      <c r="F40" s="60">
        <v>13.37</v>
      </c>
      <c r="G40" s="60">
        <v>155.37</v>
      </c>
      <c r="H40" s="60">
        <v>43.33</v>
      </c>
      <c r="I40" s="60">
        <v>0.78</v>
      </c>
      <c r="J40" s="60">
        <v>0.24</v>
      </c>
      <c r="K40" s="60">
        <v>3.38</v>
      </c>
      <c r="L40" s="60">
        <v>32.92</v>
      </c>
      <c r="M40" s="60">
        <v>28.38</v>
      </c>
      <c r="N40" s="60">
        <v>348.8</v>
      </c>
      <c r="O40" s="60">
        <v>0</v>
      </c>
      <c r="P40" s="60">
        <v>1.49</v>
      </c>
      <c r="Q40" s="60">
        <v>31.94</v>
      </c>
      <c r="R40" s="198"/>
      <c r="S40" s="198"/>
      <c r="T40" s="198"/>
      <c r="U40" s="198"/>
    </row>
    <row r="41" spans="1:21" s="12" customFormat="1" x14ac:dyDescent="0.25">
      <c r="A41" s="201" t="s">
        <v>1338</v>
      </c>
      <c r="B41" s="60">
        <v>53.06</v>
      </c>
      <c r="C41" s="60">
        <v>75.81</v>
      </c>
      <c r="D41" s="60">
        <v>85.13</v>
      </c>
      <c r="E41" s="60">
        <v>5.62</v>
      </c>
      <c r="F41" s="60">
        <v>15.66</v>
      </c>
      <c r="G41" s="60">
        <v>142.53</v>
      </c>
      <c r="H41" s="60">
        <v>43.8</v>
      </c>
      <c r="I41" s="60">
        <v>0.76</v>
      </c>
      <c r="J41" s="60">
        <v>0.3</v>
      </c>
      <c r="K41" s="60">
        <v>11.95</v>
      </c>
      <c r="L41" s="60">
        <v>33.479999999999997</v>
      </c>
      <c r="M41" s="60">
        <v>33.200000000000003</v>
      </c>
      <c r="N41" s="60">
        <v>392.5</v>
      </c>
      <c r="O41" s="60">
        <v>0</v>
      </c>
      <c r="P41" s="60">
        <v>1.63</v>
      </c>
      <c r="Q41" s="60">
        <v>31.08</v>
      </c>
      <c r="R41" s="198"/>
      <c r="S41" s="198"/>
      <c r="T41" s="198"/>
      <c r="U41" s="198"/>
    </row>
    <row r="42" spans="1:21" s="12" customFormat="1" x14ac:dyDescent="0.25">
      <c r="A42" s="201" t="s">
        <v>1339</v>
      </c>
      <c r="B42" s="60">
        <v>50.48</v>
      </c>
      <c r="C42" s="60">
        <v>74.06</v>
      </c>
      <c r="D42" s="60">
        <v>82.1</v>
      </c>
      <c r="E42" s="60">
        <v>5.8</v>
      </c>
      <c r="F42" s="60">
        <v>14.79</v>
      </c>
      <c r="G42" s="60">
        <v>66.48</v>
      </c>
      <c r="H42" s="60">
        <v>45.75</v>
      </c>
      <c r="I42" s="60">
        <v>0.77</v>
      </c>
      <c r="J42" s="60">
        <v>0.25</v>
      </c>
      <c r="K42" s="60">
        <v>10.64</v>
      </c>
      <c r="L42" s="60">
        <v>33.07</v>
      </c>
      <c r="M42" s="60">
        <v>33.89</v>
      </c>
      <c r="N42" s="60">
        <v>437.4</v>
      </c>
      <c r="O42" s="60">
        <v>0</v>
      </c>
      <c r="P42" s="60">
        <v>1.66</v>
      </c>
      <c r="Q42" s="60">
        <v>31.47</v>
      </c>
      <c r="R42" s="198"/>
      <c r="S42" s="198"/>
      <c r="T42" s="198"/>
      <c r="U42" s="198"/>
    </row>
    <row r="43" spans="1:21" s="12" customFormat="1" x14ac:dyDescent="0.25">
      <c r="A43" s="201" t="s">
        <v>1340</v>
      </c>
      <c r="B43" s="60">
        <v>53.6</v>
      </c>
      <c r="C43" s="60">
        <v>66.44</v>
      </c>
      <c r="D43" s="60">
        <v>80.39</v>
      </c>
      <c r="E43" s="60">
        <v>5.12</v>
      </c>
      <c r="F43" s="60">
        <v>7.29</v>
      </c>
      <c r="G43" s="60">
        <v>66.48</v>
      </c>
      <c r="H43" s="60">
        <v>45.75</v>
      </c>
      <c r="I43" s="60">
        <v>0.8</v>
      </c>
      <c r="J43" s="60">
        <v>0.16</v>
      </c>
      <c r="K43" s="60">
        <v>21.75</v>
      </c>
      <c r="L43" s="60">
        <v>33.69</v>
      </c>
      <c r="M43" s="60">
        <v>29.64</v>
      </c>
      <c r="N43" s="60">
        <v>484.2</v>
      </c>
      <c r="O43" s="60">
        <v>0</v>
      </c>
      <c r="P43" s="60">
        <v>1.6</v>
      </c>
      <c r="Q43" s="60">
        <v>32.35</v>
      </c>
      <c r="R43" s="198"/>
      <c r="S43" s="198"/>
      <c r="T43" s="198"/>
      <c r="U43" s="198"/>
    </row>
    <row r="44" spans="1:21" s="12" customFormat="1" x14ac:dyDescent="0.25">
      <c r="A44" s="201" t="s">
        <v>1341</v>
      </c>
      <c r="B44" s="60">
        <v>47.72</v>
      </c>
      <c r="C44" s="60">
        <v>71.66</v>
      </c>
      <c r="D44" s="60">
        <v>78.55</v>
      </c>
      <c r="E44" s="60">
        <v>4.0999999999999996</v>
      </c>
      <c r="F44" s="60">
        <v>4.54</v>
      </c>
      <c r="G44" s="60">
        <v>66.48</v>
      </c>
      <c r="H44" s="60">
        <v>45.75</v>
      </c>
      <c r="I44" s="60">
        <v>0.82</v>
      </c>
      <c r="J44" s="60">
        <v>0.12</v>
      </c>
      <c r="K44" s="60">
        <v>216.64</v>
      </c>
      <c r="L44" s="60">
        <v>32.01</v>
      </c>
      <c r="M44" s="60">
        <v>29.55</v>
      </c>
      <c r="N44" s="60">
        <v>549.5</v>
      </c>
      <c r="O44" s="60">
        <v>0</v>
      </c>
      <c r="P44" s="60">
        <v>1.53</v>
      </c>
      <c r="Q44" s="60">
        <v>33.42</v>
      </c>
      <c r="R44" s="198"/>
      <c r="S44" s="198"/>
      <c r="T44" s="198"/>
      <c r="U44" s="198"/>
    </row>
    <row r="45" spans="1:21" s="12" customFormat="1" x14ac:dyDescent="0.25">
      <c r="A45" s="201" t="s">
        <v>1342</v>
      </c>
      <c r="B45" s="60">
        <v>35.64</v>
      </c>
      <c r="C45" s="60">
        <v>77.510000000000005</v>
      </c>
      <c r="D45" s="60">
        <v>72.099999999999994</v>
      </c>
      <c r="E45" s="60">
        <v>3.38</v>
      </c>
      <c r="F45" s="60">
        <v>4.34</v>
      </c>
      <c r="G45" s="60">
        <v>80.47</v>
      </c>
      <c r="H45" s="60">
        <v>45.04</v>
      </c>
      <c r="I45" s="60">
        <v>0.82</v>
      </c>
      <c r="J45" s="60">
        <v>0.15</v>
      </c>
      <c r="K45" s="60">
        <v>230.58</v>
      </c>
      <c r="L45" s="60">
        <v>31.64</v>
      </c>
      <c r="M45" s="60">
        <v>28.4</v>
      </c>
      <c r="N45" s="60">
        <v>596.29999999999995</v>
      </c>
      <c r="O45" s="60">
        <v>0</v>
      </c>
      <c r="P45" s="60">
        <v>1.45</v>
      </c>
      <c r="Q45" s="60">
        <v>33.729999999999997</v>
      </c>
      <c r="R45" s="198"/>
      <c r="S45" s="198"/>
      <c r="T45" s="198"/>
      <c r="U45" s="198"/>
    </row>
    <row r="46" spans="1:21" s="12" customFormat="1" x14ac:dyDescent="0.25">
      <c r="A46" s="201" t="s">
        <v>1343</v>
      </c>
      <c r="B46" s="60">
        <v>25.71</v>
      </c>
      <c r="C46" s="60">
        <v>79.12</v>
      </c>
      <c r="D46" s="60">
        <v>65.02</v>
      </c>
      <c r="E46" s="60">
        <v>3.18</v>
      </c>
      <c r="F46" s="60">
        <v>7.09</v>
      </c>
      <c r="G46" s="60">
        <v>156.46</v>
      </c>
      <c r="H46" s="60">
        <v>41.83</v>
      </c>
      <c r="I46" s="60">
        <v>0.82</v>
      </c>
      <c r="J46" s="60">
        <v>0.27</v>
      </c>
      <c r="K46" s="60">
        <v>193.4</v>
      </c>
      <c r="L46" s="60">
        <v>31.73</v>
      </c>
      <c r="M46" s="60">
        <v>28.03</v>
      </c>
      <c r="N46" s="60">
        <v>639</v>
      </c>
      <c r="O46" s="60">
        <v>0</v>
      </c>
      <c r="P46" s="60">
        <v>1.37</v>
      </c>
      <c r="Q46" s="60">
        <v>32.93</v>
      </c>
      <c r="R46" s="198"/>
      <c r="S46" s="198"/>
      <c r="T46" s="198"/>
      <c r="U46" s="198"/>
    </row>
    <row r="47" spans="1:21" s="12" customFormat="1" x14ac:dyDescent="0.25">
      <c r="A47" s="201" t="s">
        <v>1344</v>
      </c>
      <c r="B47" s="60">
        <v>16.57</v>
      </c>
      <c r="C47" s="60">
        <v>81.459999999999994</v>
      </c>
      <c r="D47" s="60">
        <v>58.98</v>
      </c>
      <c r="E47" s="60">
        <v>3.6</v>
      </c>
      <c r="F47" s="60">
        <v>7.99</v>
      </c>
      <c r="G47" s="60">
        <v>156.46</v>
      </c>
      <c r="H47" s="60">
        <v>41.83</v>
      </c>
      <c r="I47" s="60">
        <v>0.78</v>
      </c>
      <c r="J47" s="60">
        <v>0.15</v>
      </c>
      <c r="K47" s="60">
        <v>38.75</v>
      </c>
      <c r="L47" s="60">
        <v>34.08</v>
      </c>
      <c r="M47" s="60">
        <v>26.91</v>
      </c>
      <c r="N47" s="60">
        <v>671.7</v>
      </c>
      <c r="O47" s="60">
        <v>0</v>
      </c>
      <c r="P47" s="60">
        <v>1.34</v>
      </c>
      <c r="Q47" s="60">
        <v>31.89</v>
      </c>
      <c r="R47" s="198"/>
      <c r="S47" s="198"/>
      <c r="T47" s="198"/>
      <c r="U47" s="198"/>
    </row>
    <row r="48" spans="1:21" s="12" customFormat="1" x14ac:dyDescent="0.25">
      <c r="A48" s="201" t="s">
        <v>1345</v>
      </c>
      <c r="B48" s="60">
        <v>11.51</v>
      </c>
      <c r="C48" s="60">
        <v>84.45</v>
      </c>
      <c r="D48" s="60">
        <v>56.58</v>
      </c>
      <c r="E48" s="60">
        <v>3.25</v>
      </c>
      <c r="F48" s="60">
        <v>8.3699999999999992</v>
      </c>
      <c r="G48" s="60">
        <v>156.46</v>
      </c>
      <c r="H48" s="60">
        <v>41.83</v>
      </c>
      <c r="I48" s="60">
        <v>0.75</v>
      </c>
      <c r="J48" s="60">
        <v>0.82</v>
      </c>
      <c r="K48" s="60">
        <v>191.93</v>
      </c>
      <c r="L48" s="60">
        <v>32.96</v>
      </c>
      <c r="M48" s="60">
        <v>25.32</v>
      </c>
      <c r="N48" s="60">
        <v>712.6</v>
      </c>
      <c r="O48" s="60">
        <v>0</v>
      </c>
      <c r="P48" s="60">
        <v>1.31</v>
      </c>
      <c r="Q48" s="60">
        <v>31.28</v>
      </c>
      <c r="R48" s="198"/>
      <c r="S48" s="198"/>
      <c r="T48" s="198"/>
      <c r="U48" s="198"/>
    </row>
    <row r="49" spans="1:21" s="12" customFormat="1" x14ac:dyDescent="0.25">
      <c r="A49" s="201" t="s">
        <v>1346</v>
      </c>
      <c r="B49" s="60">
        <v>6.59</v>
      </c>
      <c r="C49" s="60">
        <v>79.92</v>
      </c>
      <c r="D49" s="60">
        <v>50.13</v>
      </c>
      <c r="E49" s="60">
        <v>4.46</v>
      </c>
      <c r="F49" s="60">
        <v>14.45</v>
      </c>
      <c r="G49" s="60">
        <v>153.57</v>
      </c>
      <c r="H49" s="60">
        <v>41.66</v>
      </c>
      <c r="I49" s="60">
        <v>0.72</v>
      </c>
      <c r="J49" s="60">
        <v>0.18</v>
      </c>
      <c r="K49" s="60">
        <v>143.44999999999999</v>
      </c>
      <c r="L49" s="60">
        <v>33.36</v>
      </c>
      <c r="M49" s="60">
        <v>23.76</v>
      </c>
      <c r="N49" s="60">
        <v>747.6</v>
      </c>
      <c r="O49" s="60">
        <v>0</v>
      </c>
      <c r="P49" s="60">
        <v>1.21</v>
      </c>
      <c r="Q49" s="60">
        <v>30.46</v>
      </c>
      <c r="R49" s="198"/>
      <c r="S49" s="198"/>
      <c r="T49" s="198"/>
      <c r="U49" s="198"/>
    </row>
    <row r="50" spans="1:21" s="12" customFormat="1" x14ac:dyDescent="0.25">
      <c r="A50" s="201" t="s">
        <v>1347</v>
      </c>
      <c r="B50" s="60">
        <v>5.34</v>
      </c>
      <c r="C50" s="60">
        <v>77.06</v>
      </c>
      <c r="D50" s="60">
        <v>47.55</v>
      </c>
      <c r="E50" s="60">
        <v>7.95</v>
      </c>
      <c r="F50" s="60">
        <v>23.85</v>
      </c>
      <c r="G50" s="60">
        <v>136.43</v>
      </c>
      <c r="H50" s="60">
        <v>40.89</v>
      </c>
      <c r="I50" s="60">
        <v>0.71</v>
      </c>
      <c r="J50" s="60">
        <v>0.26</v>
      </c>
      <c r="K50" s="60">
        <v>27.88</v>
      </c>
      <c r="L50" s="60">
        <v>36.36</v>
      </c>
      <c r="M50" s="60">
        <v>19.93</v>
      </c>
      <c r="N50" s="60">
        <v>764.2</v>
      </c>
      <c r="O50" s="60">
        <v>0</v>
      </c>
      <c r="P50" s="60">
        <v>1.21</v>
      </c>
      <c r="Q50" s="60">
        <v>29.34</v>
      </c>
      <c r="R50" s="198"/>
      <c r="S50" s="198"/>
      <c r="T50" s="198"/>
      <c r="U50" s="198"/>
    </row>
    <row r="51" spans="1:21" s="12" customFormat="1" x14ac:dyDescent="0.25">
      <c r="A51" s="201" t="s">
        <v>1348</v>
      </c>
      <c r="B51" s="60">
        <v>3.23</v>
      </c>
      <c r="C51" s="60">
        <v>67.040000000000006</v>
      </c>
      <c r="D51" s="60">
        <v>40.33</v>
      </c>
      <c r="E51" s="60">
        <v>7.48</v>
      </c>
      <c r="F51" s="60">
        <v>23.42</v>
      </c>
      <c r="G51" s="60">
        <v>136.43</v>
      </c>
      <c r="H51" s="60">
        <v>40.89</v>
      </c>
      <c r="I51" s="60">
        <v>0.67</v>
      </c>
      <c r="J51" s="60">
        <v>0.71</v>
      </c>
      <c r="K51" s="60">
        <v>195.06</v>
      </c>
      <c r="L51" s="60">
        <v>34.72</v>
      </c>
      <c r="M51" s="60">
        <v>19.48</v>
      </c>
      <c r="N51" s="60">
        <v>796.2</v>
      </c>
      <c r="O51" s="60">
        <v>0</v>
      </c>
      <c r="P51" s="60">
        <v>1.1200000000000001</v>
      </c>
      <c r="Q51" s="60">
        <v>28.53</v>
      </c>
      <c r="R51" s="198"/>
      <c r="S51" s="198"/>
      <c r="T51" s="198"/>
      <c r="U51" s="198"/>
    </row>
    <row r="52" spans="1:21" s="12" customFormat="1" x14ac:dyDescent="0.25">
      <c r="A52" s="201" t="s">
        <v>1349</v>
      </c>
      <c r="B52" s="60">
        <v>3.34</v>
      </c>
      <c r="C52" s="60">
        <v>61.35</v>
      </c>
      <c r="D52" s="60">
        <v>37.270000000000003</v>
      </c>
      <c r="E52" s="60">
        <v>15.09</v>
      </c>
      <c r="F52" s="60">
        <v>34.97</v>
      </c>
      <c r="G52" s="60">
        <v>136.43</v>
      </c>
      <c r="H52" s="60">
        <v>40.89</v>
      </c>
      <c r="I52" s="60">
        <v>0.65</v>
      </c>
      <c r="J52" s="60">
        <v>0.36</v>
      </c>
      <c r="K52" s="60">
        <v>219.97</v>
      </c>
      <c r="L52" s="60">
        <v>34.450000000000003</v>
      </c>
      <c r="M52" s="60">
        <v>17.940000000000001</v>
      </c>
      <c r="N52" s="60">
        <v>810.7</v>
      </c>
      <c r="O52" s="60">
        <v>0</v>
      </c>
      <c r="P52" s="60">
        <v>1</v>
      </c>
      <c r="Q52" s="60">
        <v>28.11</v>
      </c>
      <c r="R52" s="198"/>
      <c r="S52" s="198"/>
      <c r="T52" s="198"/>
      <c r="U52" s="198"/>
    </row>
    <row r="53" spans="1:21" s="12" customFormat="1" x14ac:dyDescent="0.25">
      <c r="A53" s="201" t="s">
        <v>1350</v>
      </c>
      <c r="B53" s="60">
        <v>3.01</v>
      </c>
      <c r="C53" s="60">
        <v>61.76</v>
      </c>
      <c r="D53" s="60">
        <v>37.24</v>
      </c>
      <c r="E53" s="60">
        <v>12.93</v>
      </c>
      <c r="F53" s="60">
        <v>28.43</v>
      </c>
      <c r="G53" s="60">
        <v>116.72</v>
      </c>
      <c r="H53" s="60">
        <v>39.729999999999997</v>
      </c>
      <c r="I53" s="60">
        <v>0.65</v>
      </c>
      <c r="J53" s="60">
        <v>0.27</v>
      </c>
      <c r="K53" s="60">
        <v>188.24</v>
      </c>
      <c r="L53" s="60">
        <v>34.950000000000003</v>
      </c>
      <c r="M53" s="60">
        <v>17.77</v>
      </c>
      <c r="N53" s="60">
        <v>827.1</v>
      </c>
      <c r="O53" s="60">
        <v>0</v>
      </c>
      <c r="P53" s="60">
        <v>1.05</v>
      </c>
      <c r="Q53" s="60">
        <v>27.53</v>
      </c>
      <c r="R53" s="198"/>
      <c r="S53" s="198"/>
      <c r="T53" s="198"/>
      <c r="U53" s="198"/>
    </row>
    <row r="54" spans="1:21" s="12" customFormat="1" x14ac:dyDescent="0.25">
      <c r="A54" s="201" t="s">
        <v>1351</v>
      </c>
      <c r="B54" s="60">
        <v>3.05</v>
      </c>
      <c r="C54" s="60">
        <v>57.87</v>
      </c>
      <c r="D54" s="60">
        <v>35.130000000000003</v>
      </c>
      <c r="E54" s="60">
        <v>12.79</v>
      </c>
      <c r="F54" s="60">
        <v>31.5</v>
      </c>
      <c r="G54" s="211" t="s">
        <v>43</v>
      </c>
      <c r="H54" s="211" t="s">
        <v>43</v>
      </c>
      <c r="I54" s="60">
        <v>0.65</v>
      </c>
      <c r="J54" s="60">
        <v>0.33</v>
      </c>
      <c r="K54" s="60">
        <v>216.51</v>
      </c>
      <c r="L54" s="60">
        <v>35.61</v>
      </c>
      <c r="M54" s="60">
        <v>15.68</v>
      </c>
      <c r="N54" s="60">
        <v>835.4</v>
      </c>
      <c r="O54" s="60">
        <v>0</v>
      </c>
      <c r="P54" s="60">
        <v>0.98</v>
      </c>
      <c r="Q54" s="60">
        <v>27.65</v>
      </c>
      <c r="R54" s="198"/>
      <c r="S54" s="198"/>
      <c r="T54" s="198"/>
      <c r="U54" s="198"/>
    </row>
    <row r="55" spans="1:21" s="12" customFormat="1" x14ac:dyDescent="0.25">
      <c r="A55" s="201" t="s">
        <v>1352</v>
      </c>
      <c r="B55" s="60">
        <v>2.92</v>
      </c>
      <c r="C55" s="60">
        <v>54.32</v>
      </c>
      <c r="D55" s="60">
        <v>33.049999999999997</v>
      </c>
      <c r="E55" s="60">
        <v>13.27</v>
      </c>
      <c r="F55" s="60">
        <v>36.81</v>
      </c>
      <c r="G55" s="211" t="s">
        <v>43</v>
      </c>
      <c r="H55" s="211" t="s">
        <v>43</v>
      </c>
      <c r="I55" s="60">
        <v>0.68</v>
      </c>
      <c r="J55" s="60">
        <v>0.43</v>
      </c>
      <c r="K55" s="60">
        <v>178.91</v>
      </c>
      <c r="L55" s="60">
        <v>35.6</v>
      </c>
      <c r="M55" s="60">
        <v>15.85</v>
      </c>
      <c r="N55" s="60">
        <v>831.9</v>
      </c>
      <c r="O55" s="60">
        <v>0</v>
      </c>
      <c r="P55" s="60">
        <v>0.91</v>
      </c>
      <c r="Q55" s="60">
        <v>27.62</v>
      </c>
      <c r="R55" s="198"/>
      <c r="S55" s="198"/>
      <c r="T55" s="198"/>
      <c r="U55" s="198"/>
    </row>
    <row r="56" spans="1:21" s="12" customFormat="1" x14ac:dyDescent="0.25">
      <c r="A56" s="201" t="s">
        <v>1353</v>
      </c>
      <c r="B56" s="60">
        <v>2.69</v>
      </c>
      <c r="C56" s="60">
        <v>52.39</v>
      </c>
      <c r="D56" s="60">
        <v>31.81</v>
      </c>
      <c r="E56" s="60">
        <v>7.38</v>
      </c>
      <c r="F56" s="60">
        <v>32.770000000000003</v>
      </c>
      <c r="G56" s="211" t="s">
        <v>43</v>
      </c>
      <c r="H56" s="211" t="s">
        <v>43</v>
      </c>
      <c r="I56" s="60">
        <v>0.69</v>
      </c>
      <c r="J56" s="60">
        <v>0.78</v>
      </c>
      <c r="K56" s="60">
        <v>190.76</v>
      </c>
      <c r="L56" s="60">
        <v>35.700000000000003</v>
      </c>
      <c r="M56" s="60">
        <v>15.37</v>
      </c>
      <c r="N56" s="60">
        <v>847.9</v>
      </c>
      <c r="O56" s="60">
        <v>0</v>
      </c>
      <c r="P56" s="60">
        <v>0.92</v>
      </c>
      <c r="Q56" s="60">
        <v>27.78</v>
      </c>
      <c r="R56" s="198"/>
      <c r="S56" s="198"/>
      <c r="T56" s="198"/>
      <c r="U56" s="198"/>
    </row>
    <row r="57" spans="1:21" s="12" customFormat="1" x14ac:dyDescent="0.25">
      <c r="A57" s="201" t="s">
        <v>1354</v>
      </c>
      <c r="B57" s="60">
        <v>2.62</v>
      </c>
      <c r="C57" s="60">
        <v>50.47</v>
      </c>
      <c r="D57" s="60">
        <v>30.69</v>
      </c>
      <c r="E57" s="60">
        <v>8.14</v>
      </c>
      <c r="F57" s="60">
        <v>35.49</v>
      </c>
      <c r="G57" s="211" t="s">
        <v>43</v>
      </c>
      <c r="H57" s="211" t="s">
        <v>43</v>
      </c>
      <c r="I57" s="60">
        <v>0.72</v>
      </c>
      <c r="J57" s="60">
        <v>0.33</v>
      </c>
      <c r="K57" s="60">
        <v>190.46</v>
      </c>
      <c r="L57" s="60">
        <v>35.96</v>
      </c>
      <c r="M57" s="60">
        <v>14.77</v>
      </c>
      <c r="N57" s="60">
        <v>849.1</v>
      </c>
      <c r="O57" s="60">
        <v>0</v>
      </c>
      <c r="P57" s="60">
        <v>0.9</v>
      </c>
      <c r="Q57" s="60">
        <v>27.96</v>
      </c>
      <c r="R57" s="198"/>
      <c r="S57" s="198"/>
      <c r="T57" s="198"/>
      <c r="U57" s="198"/>
    </row>
    <row r="58" spans="1:21" s="12" customFormat="1" x14ac:dyDescent="0.25">
      <c r="A58" s="201" t="s">
        <v>1355</v>
      </c>
      <c r="B58" s="60">
        <v>4.3</v>
      </c>
      <c r="C58" s="60">
        <v>53.38</v>
      </c>
      <c r="D58" s="60">
        <v>33.65</v>
      </c>
      <c r="E58" s="60">
        <v>7.4</v>
      </c>
      <c r="F58" s="60">
        <v>19.690000000000001</v>
      </c>
      <c r="G58" s="60">
        <v>55.53</v>
      </c>
      <c r="H58" s="60">
        <v>32.9</v>
      </c>
      <c r="I58" s="60">
        <v>0.77</v>
      </c>
      <c r="J58" s="60">
        <v>0.38</v>
      </c>
      <c r="K58" s="60">
        <v>14.08</v>
      </c>
      <c r="L58" s="60">
        <v>37.06</v>
      </c>
      <c r="M58" s="60">
        <v>15.63</v>
      </c>
      <c r="N58" s="60">
        <v>834.9</v>
      </c>
      <c r="O58" s="60">
        <v>0</v>
      </c>
      <c r="P58" s="60">
        <v>0.94</v>
      </c>
      <c r="Q58" s="60">
        <v>28.39</v>
      </c>
      <c r="R58" s="198"/>
      <c r="S58" s="198"/>
      <c r="T58" s="198"/>
      <c r="U58" s="198"/>
    </row>
    <row r="59" spans="1:21" s="12" customFormat="1" x14ac:dyDescent="0.25">
      <c r="A59" s="201" t="s">
        <v>1356</v>
      </c>
      <c r="B59" s="60">
        <v>2.85</v>
      </c>
      <c r="C59" s="60">
        <v>54.46</v>
      </c>
      <c r="D59" s="60">
        <v>33.08</v>
      </c>
      <c r="E59" s="60">
        <v>4.6100000000000003</v>
      </c>
      <c r="F59" s="60">
        <v>17.95</v>
      </c>
      <c r="G59" s="60">
        <v>55.53</v>
      </c>
      <c r="H59" s="60">
        <v>32.9</v>
      </c>
      <c r="I59" s="60">
        <v>0.8</v>
      </c>
      <c r="J59" s="60">
        <v>0.38</v>
      </c>
      <c r="K59" s="60">
        <v>1.8</v>
      </c>
      <c r="L59" s="60">
        <v>38.97</v>
      </c>
      <c r="M59" s="60">
        <v>14.87</v>
      </c>
      <c r="N59" s="60">
        <v>820</v>
      </c>
      <c r="O59" s="60">
        <v>0</v>
      </c>
      <c r="P59" s="60">
        <v>0.92</v>
      </c>
      <c r="Q59" s="60">
        <v>27.64</v>
      </c>
      <c r="R59" s="198"/>
      <c r="S59" s="198"/>
      <c r="T59" s="198"/>
      <c r="U59" s="198"/>
    </row>
    <row r="60" spans="1:21" s="12" customFormat="1" x14ac:dyDescent="0.25">
      <c r="A60" s="201" t="s">
        <v>1357</v>
      </c>
      <c r="B60" s="60">
        <v>2.58</v>
      </c>
      <c r="C60" s="60">
        <v>56.11</v>
      </c>
      <c r="D60" s="60">
        <v>33.78</v>
      </c>
      <c r="E60" s="60">
        <v>4.05</v>
      </c>
      <c r="F60" s="60">
        <v>15.87</v>
      </c>
      <c r="G60" s="60">
        <v>55.53</v>
      </c>
      <c r="H60" s="60">
        <v>32.9</v>
      </c>
      <c r="I60" s="60">
        <v>0.8</v>
      </c>
      <c r="J60" s="60">
        <v>0.42</v>
      </c>
      <c r="K60" s="60">
        <v>12.53</v>
      </c>
      <c r="L60" s="60">
        <v>39.33</v>
      </c>
      <c r="M60" s="60">
        <v>14.11</v>
      </c>
      <c r="N60" s="60">
        <v>816.2</v>
      </c>
      <c r="O60" s="60">
        <v>0</v>
      </c>
      <c r="P60" s="60">
        <v>0.89</v>
      </c>
      <c r="Q60" s="60">
        <v>26.28</v>
      </c>
      <c r="R60" s="198"/>
      <c r="S60" s="198"/>
      <c r="T60" s="198"/>
      <c r="U60" s="198"/>
    </row>
    <row r="61" spans="1:21" s="12" customFormat="1" x14ac:dyDescent="0.25">
      <c r="A61" s="201" t="s">
        <v>1358</v>
      </c>
      <c r="B61" s="60">
        <v>3.15</v>
      </c>
      <c r="C61" s="60">
        <v>56.4</v>
      </c>
      <c r="D61" s="60">
        <v>34.39</v>
      </c>
      <c r="E61" s="60">
        <v>5.52</v>
      </c>
      <c r="F61" s="60">
        <v>25.17</v>
      </c>
      <c r="G61" s="60">
        <v>47.83</v>
      </c>
      <c r="H61" s="60">
        <v>32.42</v>
      </c>
      <c r="I61" s="60">
        <v>0.8</v>
      </c>
      <c r="J61" s="60">
        <v>0.35</v>
      </c>
      <c r="K61" s="60">
        <v>21.61</v>
      </c>
      <c r="L61" s="60">
        <v>39.11</v>
      </c>
      <c r="M61" s="60">
        <v>14.21</v>
      </c>
      <c r="N61" s="60">
        <v>788.1</v>
      </c>
      <c r="O61" s="60">
        <v>0</v>
      </c>
      <c r="P61" s="60">
        <v>0.78</v>
      </c>
      <c r="Q61" s="60">
        <v>25</v>
      </c>
      <c r="R61" s="198"/>
      <c r="S61" s="198"/>
      <c r="T61" s="198"/>
      <c r="U61" s="198"/>
    </row>
    <row r="62" spans="1:21" s="12" customFormat="1" x14ac:dyDescent="0.25">
      <c r="A62" s="201" t="s">
        <v>1359</v>
      </c>
      <c r="B62" s="60">
        <v>2.71</v>
      </c>
      <c r="C62" s="60">
        <v>55.44</v>
      </c>
      <c r="D62" s="60">
        <v>33.51</v>
      </c>
      <c r="E62" s="60">
        <v>6.71</v>
      </c>
      <c r="F62" s="60">
        <v>17.87</v>
      </c>
      <c r="G62" s="211" t="s">
        <v>43</v>
      </c>
      <c r="H62" s="211" t="s">
        <v>43</v>
      </c>
      <c r="I62" s="60">
        <v>0.75</v>
      </c>
      <c r="J62" s="60">
        <v>0.14000000000000001</v>
      </c>
      <c r="K62" s="60">
        <v>66.86</v>
      </c>
      <c r="L62" s="60">
        <v>38.799999999999997</v>
      </c>
      <c r="M62" s="60">
        <v>14.25</v>
      </c>
      <c r="N62" s="60">
        <v>766.7</v>
      </c>
      <c r="O62" s="60">
        <v>0</v>
      </c>
      <c r="P62" s="60">
        <v>0.82</v>
      </c>
      <c r="Q62" s="60">
        <v>23.62</v>
      </c>
      <c r="R62" s="198"/>
      <c r="S62" s="198"/>
      <c r="T62" s="198"/>
      <c r="U62" s="198"/>
    </row>
    <row r="63" spans="1:21" s="12" customFormat="1" x14ac:dyDescent="0.25">
      <c r="A63" s="201" t="s">
        <v>1360</v>
      </c>
      <c r="B63" s="60">
        <v>2.65</v>
      </c>
      <c r="C63" s="60">
        <v>50</v>
      </c>
      <c r="D63" s="60">
        <v>30.46</v>
      </c>
      <c r="E63" s="60">
        <v>3.46</v>
      </c>
      <c r="F63" s="60">
        <v>28.68</v>
      </c>
      <c r="G63" s="211" t="s">
        <v>43</v>
      </c>
      <c r="H63" s="211" t="s">
        <v>43</v>
      </c>
      <c r="I63" s="60">
        <v>0.72</v>
      </c>
      <c r="J63" s="60">
        <v>0.17</v>
      </c>
      <c r="K63" s="60">
        <v>4.74</v>
      </c>
      <c r="L63" s="60">
        <v>38.97</v>
      </c>
      <c r="M63" s="60">
        <v>13.37</v>
      </c>
      <c r="N63" s="60">
        <v>737.7</v>
      </c>
      <c r="O63" s="60">
        <v>0</v>
      </c>
      <c r="P63" s="60">
        <v>0.78</v>
      </c>
      <c r="Q63" s="60">
        <v>22.48</v>
      </c>
      <c r="R63" s="198"/>
      <c r="S63" s="198"/>
      <c r="T63" s="198"/>
      <c r="U63" s="198"/>
    </row>
    <row r="64" spans="1:21" s="12" customFormat="1" x14ac:dyDescent="0.25">
      <c r="A64" s="201" t="s">
        <v>1361</v>
      </c>
      <c r="B64" s="60">
        <v>2.66</v>
      </c>
      <c r="C64" s="60">
        <v>54.06</v>
      </c>
      <c r="D64" s="60">
        <v>32.71</v>
      </c>
      <c r="E64" s="60">
        <v>3.28</v>
      </c>
      <c r="F64" s="60">
        <v>16.72</v>
      </c>
      <c r="G64" s="211" t="s">
        <v>43</v>
      </c>
      <c r="H64" s="211" t="s">
        <v>43</v>
      </c>
      <c r="I64" s="60">
        <v>0.7</v>
      </c>
      <c r="J64" s="60">
        <v>0.86</v>
      </c>
      <c r="K64" s="60">
        <v>355.32</v>
      </c>
      <c r="L64" s="60">
        <v>39.65</v>
      </c>
      <c r="M64" s="60">
        <v>14.77</v>
      </c>
      <c r="N64" s="60">
        <v>711.8</v>
      </c>
      <c r="O64" s="60">
        <v>0</v>
      </c>
      <c r="P64" s="60">
        <v>0.78</v>
      </c>
      <c r="Q64" s="60">
        <v>21.43</v>
      </c>
      <c r="R64" s="198"/>
      <c r="S64" s="198"/>
      <c r="T64" s="198"/>
      <c r="U64" s="198"/>
    </row>
    <row r="65" spans="1:21" s="12" customFormat="1" x14ac:dyDescent="0.25">
      <c r="A65" s="201" t="s">
        <v>1362</v>
      </c>
      <c r="B65" s="60">
        <v>3.87</v>
      </c>
      <c r="C65" s="60">
        <v>52.3</v>
      </c>
      <c r="D65" s="60">
        <v>32.700000000000003</v>
      </c>
      <c r="E65" s="60">
        <v>4.68</v>
      </c>
      <c r="F65" s="60">
        <v>31.96</v>
      </c>
      <c r="G65" s="211" t="s">
        <v>43</v>
      </c>
      <c r="H65" s="211" t="s">
        <v>43</v>
      </c>
      <c r="I65" s="60">
        <v>0.68</v>
      </c>
      <c r="J65" s="60">
        <v>0.44</v>
      </c>
      <c r="K65" s="60">
        <v>359.97</v>
      </c>
      <c r="L65" s="60">
        <v>40.4</v>
      </c>
      <c r="M65" s="60">
        <v>12.85</v>
      </c>
      <c r="N65" s="60">
        <v>668.6</v>
      </c>
      <c r="O65" s="60">
        <v>0</v>
      </c>
      <c r="P65" s="60">
        <v>0.74</v>
      </c>
      <c r="Q65" s="60">
        <v>20.41</v>
      </c>
      <c r="R65" s="198"/>
      <c r="S65" s="198"/>
      <c r="T65" s="198"/>
      <c r="U65" s="198"/>
    </row>
    <row r="66" spans="1:21" s="12" customFormat="1" x14ac:dyDescent="0.25">
      <c r="A66" s="201" t="s">
        <v>1363</v>
      </c>
      <c r="B66" s="60">
        <v>2.82</v>
      </c>
      <c r="C66" s="60">
        <v>46.68</v>
      </c>
      <c r="D66" s="60">
        <v>28.76</v>
      </c>
      <c r="E66" s="60">
        <v>4.67</v>
      </c>
      <c r="F66" s="60">
        <v>23</v>
      </c>
      <c r="G66" s="60">
        <v>130.85</v>
      </c>
      <c r="H66" s="60">
        <v>27.49</v>
      </c>
      <c r="I66" s="60">
        <v>0.67</v>
      </c>
      <c r="J66" s="60">
        <v>0.2</v>
      </c>
      <c r="K66" s="60">
        <v>339.09</v>
      </c>
      <c r="L66" s="60">
        <v>38.64</v>
      </c>
      <c r="M66" s="60">
        <v>13.88</v>
      </c>
      <c r="N66" s="60">
        <v>632.9</v>
      </c>
      <c r="O66" s="60">
        <v>0</v>
      </c>
      <c r="P66" s="60">
        <v>0.75</v>
      </c>
      <c r="Q66" s="60">
        <v>19.63</v>
      </c>
      <c r="R66" s="198"/>
      <c r="S66" s="198"/>
      <c r="T66" s="198"/>
      <c r="U66" s="198"/>
    </row>
    <row r="67" spans="1:21" s="12" customFormat="1" x14ac:dyDescent="0.25">
      <c r="A67" s="201" t="s">
        <v>1364</v>
      </c>
      <c r="B67" s="60">
        <v>2.5099999999999998</v>
      </c>
      <c r="C67" s="60">
        <v>49.33</v>
      </c>
      <c r="D67" s="60">
        <v>29.98</v>
      </c>
      <c r="E67" s="60">
        <v>2.61</v>
      </c>
      <c r="F67" s="60">
        <v>10.26</v>
      </c>
      <c r="G67" s="60">
        <v>65.599999999999994</v>
      </c>
      <c r="H67" s="60">
        <v>27.49</v>
      </c>
      <c r="I67" s="60">
        <v>0.65</v>
      </c>
      <c r="J67" s="60">
        <v>0.83</v>
      </c>
      <c r="K67" s="60">
        <v>355.84</v>
      </c>
      <c r="L67" s="60">
        <v>38.01</v>
      </c>
      <c r="M67" s="60">
        <v>14.43</v>
      </c>
      <c r="N67" s="60">
        <v>608.9</v>
      </c>
      <c r="O67" s="60">
        <v>0</v>
      </c>
      <c r="P67" s="60">
        <v>0.76</v>
      </c>
      <c r="Q67" s="6" t="s">
        <v>42</v>
      </c>
      <c r="R67" s="198"/>
      <c r="S67" s="198"/>
      <c r="T67" s="198"/>
      <c r="U67" s="198"/>
    </row>
    <row r="68" spans="1:21" s="12" customFormat="1" x14ac:dyDescent="0.25">
      <c r="A68" s="201" t="s">
        <v>1365</v>
      </c>
      <c r="B68" s="212" t="s">
        <v>32</v>
      </c>
      <c r="C68" s="212" t="s">
        <v>32</v>
      </c>
      <c r="D68" s="212" t="s">
        <v>32</v>
      </c>
      <c r="E68" s="212" t="s">
        <v>32</v>
      </c>
      <c r="F68" s="212" t="s">
        <v>32</v>
      </c>
      <c r="G68" s="212" t="s">
        <v>32</v>
      </c>
      <c r="H68" s="212" t="s">
        <v>32</v>
      </c>
      <c r="I68" s="212" t="s">
        <v>32</v>
      </c>
      <c r="J68" s="212" t="s">
        <v>32</v>
      </c>
      <c r="K68" s="212" t="s">
        <v>32</v>
      </c>
      <c r="L68" s="212" t="s">
        <v>32</v>
      </c>
      <c r="M68" s="212" t="s">
        <v>32</v>
      </c>
      <c r="N68" s="212" t="s">
        <v>32</v>
      </c>
      <c r="O68" s="212" t="s">
        <v>32</v>
      </c>
      <c r="P68" s="212" t="s">
        <v>32</v>
      </c>
      <c r="Q68" s="212" t="s">
        <v>32</v>
      </c>
      <c r="R68" s="198"/>
      <c r="S68" s="198"/>
      <c r="T68" s="198"/>
      <c r="U68" s="198"/>
    </row>
    <row r="69" spans="1:21" s="12" customFormat="1" x14ac:dyDescent="0.25">
      <c r="A69" s="201" t="s">
        <v>1366</v>
      </c>
      <c r="B69" s="212" t="s">
        <v>32</v>
      </c>
      <c r="C69" s="212" t="s">
        <v>32</v>
      </c>
      <c r="D69" s="212" t="s">
        <v>32</v>
      </c>
      <c r="E69" s="212" t="s">
        <v>32</v>
      </c>
      <c r="F69" s="212" t="s">
        <v>32</v>
      </c>
      <c r="G69" s="212" t="s">
        <v>32</v>
      </c>
      <c r="H69" s="212" t="s">
        <v>32</v>
      </c>
      <c r="I69" s="212" t="s">
        <v>32</v>
      </c>
      <c r="J69" s="212" t="s">
        <v>32</v>
      </c>
      <c r="K69" s="212" t="s">
        <v>32</v>
      </c>
      <c r="L69" s="212" t="s">
        <v>32</v>
      </c>
      <c r="M69" s="212" t="s">
        <v>32</v>
      </c>
      <c r="N69" s="212" t="s">
        <v>32</v>
      </c>
      <c r="O69" s="212" t="s">
        <v>32</v>
      </c>
      <c r="P69" s="212" t="s">
        <v>32</v>
      </c>
      <c r="Q69" s="212" t="s">
        <v>32</v>
      </c>
      <c r="R69" s="198"/>
      <c r="S69" s="198"/>
      <c r="T69" s="198"/>
      <c r="U69" s="198"/>
    </row>
    <row r="70" spans="1:21" s="12" customFormat="1" x14ac:dyDescent="0.25">
      <c r="A70" s="201" t="s">
        <v>1367</v>
      </c>
      <c r="B70" s="212" t="s">
        <v>32</v>
      </c>
      <c r="C70" s="212" t="s">
        <v>32</v>
      </c>
      <c r="D70" s="212" t="s">
        <v>32</v>
      </c>
      <c r="E70" s="212" t="s">
        <v>32</v>
      </c>
      <c r="F70" s="212" t="s">
        <v>32</v>
      </c>
      <c r="G70" s="212" t="s">
        <v>32</v>
      </c>
      <c r="H70" s="212" t="s">
        <v>32</v>
      </c>
      <c r="I70" s="212" t="s">
        <v>32</v>
      </c>
      <c r="J70" s="212" t="s">
        <v>32</v>
      </c>
      <c r="K70" s="212" t="s">
        <v>32</v>
      </c>
      <c r="L70" s="212" t="s">
        <v>32</v>
      </c>
      <c r="M70" s="212" t="s">
        <v>32</v>
      </c>
      <c r="N70" s="212" t="s">
        <v>32</v>
      </c>
      <c r="O70" s="212" t="s">
        <v>32</v>
      </c>
      <c r="P70" s="212" t="s">
        <v>32</v>
      </c>
      <c r="Q70" s="212" t="s">
        <v>32</v>
      </c>
      <c r="R70" s="198"/>
      <c r="S70" s="198"/>
      <c r="T70" s="198"/>
      <c r="U70" s="198"/>
    </row>
    <row r="71" spans="1:21" s="12" customFormat="1" x14ac:dyDescent="0.25">
      <c r="A71" s="201" t="s">
        <v>1368</v>
      </c>
      <c r="B71" s="212" t="s">
        <v>32</v>
      </c>
      <c r="C71" s="212" t="s">
        <v>32</v>
      </c>
      <c r="D71" s="212" t="s">
        <v>32</v>
      </c>
      <c r="E71" s="212" t="s">
        <v>32</v>
      </c>
      <c r="F71" s="212" t="s">
        <v>32</v>
      </c>
      <c r="G71" s="212" t="s">
        <v>32</v>
      </c>
      <c r="H71" s="212" t="s">
        <v>32</v>
      </c>
      <c r="I71" s="212" t="s">
        <v>32</v>
      </c>
      <c r="J71" s="212" t="s">
        <v>32</v>
      </c>
      <c r="K71" s="212" t="s">
        <v>32</v>
      </c>
      <c r="L71" s="212" t="s">
        <v>32</v>
      </c>
      <c r="M71" s="212" t="s">
        <v>32</v>
      </c>
      <c r="N71" s="212" t="s">
        <v>32</v>
      </c>
      <c r="O71" s="212" t="s">
        <v>32</v>
      </c>
      <c r="P71" s="212" t="s">
        <v>32</v>
      </c>
      <c r="Q71" s="212" t="s">
        <v>32</v>
      </c>
      <c r="R71" s="198"/>
      <c r="S71" s="198"/>
      <c r="T71" s="198"/>
      <c r="U71" s="198"/>
    </row>
    <row r="72" spans="1:21" s="12" customFormat="1" x14ac:dyDescent="0.25">
      <c r="A72" s="201" t="s">
        <v>1369</v>
      </c>
      <c r="B72" s="212" t="s">
        <v>32</v>
      </c>
      <c r="C72" s="212" t="s">
        <v>32</v>
      </c>
      <c r="D72" s="212" t="s">
        <v>32</v>
      </c>
      <c r="E72" s="212" t="s">
        <v>32</v>
      </c>
      <c r="F72" s="212" t="s">
        <v>32</v>
      </c>
      <c r="G72" s="212" t="s">
        <v>32</v>
      </c>
      <c r="H72" s="212" t="s">
        <v>32</v>
      </c>
      <c r="I72" s="212" t="s">
        <v>32</v>
      </c>
      <c r="J72" s="212" t="s">
        <v>32</v>
      </c>
      <c r="K72" s="212" t="s">
        <v>32</v>
      </c>
      <c r="L72" s="212" t="s">
        <v>32</v>
      </c>
      <c r="M72" s="212" t="s">
        <v>32</v>
      </c>
      <c r="N72" s="212" t="s">
        <v>32</v>
      </c>
      <c r="O72" s="212" t="s">
        <v>32</v>
      </c>
      <c r="P72" s="212" t="s">
        <v>32</v>
      </c>
      <c r="Q72" s="212" t="s">
        <v>32</v>
      </c>
      <c r="R72" s="198"/>
      <c r="S72" s="198"/>
      <c r="T72" s="198"/>
      <c r="U72" s="198"/>
    </row>
    <row r="73" spans="1:21" s="12" customFormat="1" x14ac:dyDescent="0.25">
      <c r="A73" s="201" t="s">
        <v>1370</v>
      </c>
      <c r="B73" s="212" t="s">
        <v>32</v>
      </c>
      <c r="C73" s="212" t="s">
        <v>32</v>
      </c>
      <c r="D73" s="212" t="s">
        <v>32</v>
      </c>
      <c r="E73" s="212" t="s">
        <v>32</v>
      </c>
      <c r="F73" s="212" t="s">
        <v>32</v>
      </c>
      <c r="G73" s="212" t="s">
        <v>32</v>
      </c>
      <c r="H73" s="212" t="s">
        <v>32</v>
      </c>
      <c r="I73" s="212" t="s">
        <v>32</v>
      </c>
      <c r="J73" s="212" t="s">
        <v>32</v>
      </c>
      <c r="K73" s="212" t="s">
        <v>32</v>
      </c>
      <c r="L73" s="212" t="s">
        <v>32</v>
      </c>
      <c r="M73" s="212" t="s">
        <v>32</v>
      </c>
      <c r="N73" s="212" t="s">
        <v>32</v>
      </c>
      <c r="O73" s="212" t="s">
        <v>32</v>
      </c>
      <c r="P73" s="212" t="s">
        <v>32</v>
      </c>
      <c r="Q73" s="212" t="s">
        <v>32</v>
      </c>
      <c r="R73" s="198"/>
      <c r="S73" s="198"/>
      <c r="T73" s="198"/>
      <c r="U73" s="198"/>
    </row>
    <row r="74" spans="1:21" s="12" customFormat="1" x14ac:dyDescent="0.25">
      <c r="A74" s="201" t="s">
        <v>1371</v>
      </c>
      <c r="B74" s="212" t="s">
        <v>32</v>
      </c>
      <c r="C74" s="212" t="s">
        <v>32</v>
      </c>
      <c r="D74" s="212" t="s">
        <v>32</v>
      </c>
      <c r="E74" s="212" t="s">
        <v>32</v>
      </c>
      <c r="F74" s="212" t="s">
        <v>32</v>
      </c>
      <c r="G74" s="212" t="s">
        <v>32</v>
      </c>
      <c r="H74" s="212" t="s">
        <v>32</v>
      </c>
      <c r="I74" s="212" t="s">
        <v>32</v>
      </c>
      <c r="J74" s="212" t="s">
        <v>32</v>
      </c>
      <c r="K74" s="212" t="s">
        <v>32</v>
      </c>
      <c r="L74" s="212" t="s">
        <v>32</v>
      </c>
      <c r="M74" s="212" t="s">
        <v>32</v>
      </c>
      <c r="N74" s="212" t="s">
        <v>32</v>
      </c>
      <c r="O74" s="212" t="s">
        <v>32</v>
      </c>
      <c r="P74" s="212" t="s">
        <v>32</v>
      </c>
      <c r="Q74" s="212" t="s">
        <v>32</v>
      </c>
      <c r="R74" s="198"/>
      <c r="S74" s="198"/>
      <c r="T74" s="198"/>
      <c r="U74" s="198"/>
    </row>
    <row r="75" spans="1:21" s="12" customFormat="1" x14ac:dyDescent="0.25">
      <c r="A75" s="201" t="s">
        <v>1372</v>
      </c>
      <c r="B75" s="212" t="s">
        <v>32</v>
      </c>
      <c r="C75" s="212" t="s">
        <v>32</v>
      </c>
      <c r="D75" s="212" t="s">
        <v>32</v>
      </c>
      <c r="E75" s="212" t="s">
        <v>32</v>
      </c>
      <c r="F75" s="212" t="s">
        <v>32</v>
      </c>
      <c r="G75" s="212" t="s">
        <v>32</v>
      </c>
      <c r="H75" s="212" t="s">
        <v>32</v>
      </c>
      <c r="I75" s="212" t="s">
        <v>32</v>
      </c>
      <c r="J75" s="212" t="s">
        <v>32</v>
      </c>
      <c r="K75" s="212" t="s">
        <v>32</v>
      </c>
      <c r="L75" s="212" t="s">
        <v>32</v>
      </c>
      <c r="M75" s="212" t="s">
        <v>32</v>
      </c>
      <c r="N75" s="212" t="s">
        <v>32</v>
      </c>
      <c r="O75" s="212" t="s">
        <v>32</v>
      </c>
      <c r="P75" s="212" t="s">
        <v>32</v>
      </c>
      <c r="Q75" s="212" t="s">
        <v>32</v>
      </c>
      <c r="R75" s="198"/>
      <c r="S75" s="198"/>
      <c r="T75" s="198"/>
      <c r="U75" s="198"/>
    </row>
    <row r="76" spans="1:21" s="12" customFormat="1" x14ac:dyDescent="0.25">
      <c r="A76" s="201" t="s">
        <v>1373</v>
      </c>
      <c r="B76" s="212" t="s">
        <v>32</v>
      </c>
      <c r="C76" s="212" t="s">
        <v>32</v>
      </c>
      <c r="D76" s="212" t="s">
        <v>32</v>
      </c>
      <c r="E76" s="212" t="s">
        <v>32</v>
      </c>
      <c r="F76" s="212" t="s">
        <v>32</v>
      </c>
      <c r="G76" s="212" t="s">
        <v>32</v>
      </c>
      <c r="H76" s="212" t="s">
        <v>32</v>
      </c>
      <c r="I76" s="212" t="s">
        <v>32</v>
      </c>
      <c r="J76" s="212" t="s">
        <v>32</v>
      </c>
      <c r="K76" s="212" t="s">
        <v>32</v>
      </c>
      <c r="L76" s="212" t="s">
        <v>32</v>
      </c>
      <c r="M76" s="212" t="s">
        <v>32</v>
      </c>
      <c r="N76" s="212" t="s">
        <v>32</v>
      </c>
      <c r="O76" s="212" t="s">
        <v>32</v>
      </c>
      <c r="P76" s="212" t="s">
        <v>32</v>
      </c>
      <c r="Q76" s="212" t="s">
        <v>32</v>
      </c>
      <c r="R76" s="198"/>
      <c r="S76" s="198"/>
      <c r="T76" s="198"/>
      <c r="U76" s="198"/>
    </row>
    <row r="77" spans="1:21" s="12" customFormat="1" x14ac:dyDescent="0.25">
      <c r="A77" s="201" t="s">
        <v>1374</v>
      </c>
      <c r="B77" s="212" t="s">
        <v>32</v>
      </c>
      <c r="C77" s="212" t="s">
        <v>32</v>
      </c>
      <c r="D77" s="212" t="s">
        <v>32</v>
      </c>
      <c r="E77" s="212" t="s">
        <v>32</v>
      </c>
      <c r="F77" s="212" t="s">
        <v>32</v>
      </c>
      <c r="G77" s="212" t="s">
        <v>32</v>
      </c>
      <c r="H77" s="212" t="s">
        <v>32</v>
      </c>
      <c r="I77" s="212" t="s">
        <v>32</v>
      </c>
      <c r="J77" s="212" t="s">
        <v>32</v>
      </c>
      <c r="K77" s="212" t="s">
        <v>32</v>
      </c>
      <c r="L77" s="212" t="s">
        <v>32</v>
      </c>
      <c r="M77" s="212" t="s">
        <v>32</v>
      </c>
      <c r="N77" s="212" t="s">
        <v>32</v>
      </c>
      <c r="O77" s="212" t="s">
        <v>32</v>
      </c>
      <c r="P77" s="212" t="s">
        <v>32</v>
      </c>
      <c r="Q77" s="212" t="s">
        <v>32</v>
      </c>
      <c r="R77" s="198"/>
      <c r="S77" s="198"/>
      <c r="T77" s="198"/>
      <c r="U77" s="198"/>
    </row>
    <row r="78" spans="1:21" s="12" customFormat="1" x14ac:dyDescent="0.25">
      <c r="A78" s="201" t="s">
        <v>1375</v>
      </c>
      <c r="B78" s="212" t="s">
        <v>32</v>
      </c>
      <c r="C78" s="212" t="s">
        <v>32</v>
      </c>
      <c r="D78" s="212" t="s">
        <v>32</v>
      </c>
      <c r="E78" s="212" t="s">
        <v>32</v>
      </c>
      <c r="F78" s="212" t="s">
        <v>32</v>
      </c>
      <c r="G78" s="212" t="s">
        <v>32</v>
      </c>
      <c r="H78" s="212" t="s">
        <v>32</v>
      </c>
      <c r="I78" s="212" t="s">
        <v>32</v>
      </c>
      <c r="J78" s="212" t="s">
        <v>32</v>
      </c>
      <c r="K78" s="212" t="s">
        <v>32</v>
      </c>
      <c r="L78" s="212" t="s">
        <v>32</v>
      </c>
      <c r="M78" s="212" t="s">
        <v>32</v>
      </c>
      <c r="N78" s="212" t="s">
        <v>32</v>
      </c>
      <c r="O78" s="212" t="s">
        <v>32</v>
      </c>
      <c r="P78" s="212" t="s">
        <v>32</v>
      </c>
      <c r="Q78" s="212" t="s">
        <v>32</v>
      </c>
      <c r="R78" s="198"/>
      <c r="S78" s="198"/>
      <c r="T78" s="198"/>
      <c r="U78" s="198"/>
    </row>
    <row r="79" spans="1:21" s="12" customFormat="1" x14ac:dyDescent="0.25">
      <c r="A79" s="201" t="s">
        <v>1376</v>
      </c>
      <c r="B79" s="212" t="s">
        <v>32</v>
      </c>
      <c r="C79" s="212" t="s">
        <v>32</v>
      </c>
      <c r="D79" s="212" t="s">
        <v>32</v>
      </c>
      <c r="E79" s="212" t="s">
        <v>32</v>
      </c>
      <c r="F79" s="212" t="s">
        <v>32</v>
      </c>
      <c r="G79" s="212" t="s">
        <v>32</v>
      </c>
      <c r="H79" s="212" t="s">
        <v>32</v>
      </c>
      <c r="I79" s="212" t="s">
        <v>32</v>
      </c>
      <c r="J79" s="212" t="s">
        <v>32</v>
      </c>
      <c r="K79" s="212" t="s">
        <v>32</v>
      </c>
      <c r="L79" s="212" t="s">
        <v>32</v>
      </c>
      <c r="M79" s="212" t="s">
        <v>32</v>
      </c>
      <c r="N79" s="212" t="s">
        <v>32</v>
      </c>
      <c r="O79" s="212" t="s">
        <v>32</v>
      </c>
      <c r="P79" s="212" t="s">
        <v>32</v>
      </c>
      <c r="Q79" s="212" t="s">
        <v>32</v>
      </c>
      <c r="R79" s="198"/>
      <c r="S79" s="198"/>
      <c r="T79" s="198"/>
      <c r="U79" s="198"/>
    </row>
    <row r="80" spans="1:21" s="12" customFormat="1" x14ac:dyDescent="0.25">
      <c r="A80" s="201" t="s">
        <v>1377</v>
      </c>
      <c r="B80" s="213" t="s">
        <v>49</v>
      </c>
      <c r="C80" s="213" t="s">
        <v>49</v>
      </c>
      <c r="D80" s="213" t="s">
        <v>49</v>
      </c>
      <c r="E80" s="213" t="s">
        <v>49</v>
      </c>
      <c r="F80" s="60">
        <v>40.25</v>
      </c>
      <c r="G80" s="60">
        <v>36.44</v>
      </c>
      <c r="H80" s="60">
        <v>21.07</v>
      </c>
      <c r="I80" s="7" t="s">
        <v>49</v>
      </c>
      <c r="J80" s="60">
        <v>0.22</v>
      </c>
      <c r="K80" s="60">
        <v>272.64999999999998</v>
      </c>
      <c r="L80" s="60">
        <v>33.78</v>
      </c>
      <c r="M80" s="60">
        <v>16.48</v>
      </c>
      <c r="N80" s="60">
        <v>19.399999999999999</v>
      </c>
      <c r="O80" s="60">
        <v>0</v>
      </c>
      <c r="P80" s="60">
        <v>0.55000000000000004</v>
      </c>
      <c r="Q80" s="213" t="s">
        <v>49</v>
      </c>
      <c r="R80" s="198"/>
      <c r="S80" s="198"/>
      <c r="T80" s="198"/>
      <c r="U80" s="198"/>
    </row>
    <row r="81" spans="1:26" s="12" customFormat="1" x14ac:dyDescent="0.25">
      <c r="A81" s="201" t="s">
        <v>1378</v>
      </c>
      <c r="B81" s="60">
        <v>11.31</v>
      </c>
      <c r="C81" s="60">
        <v>110.13</v>
      </c>
      <c r="D81" s="60">
        <v>70.569999999999993</v>
      </c>
      <c r="E81" s="60">
        <v>3.28</v>
      </c>
      <c r="F81" s="60">
        <v>22.81</v>
      </c>
      <c r="G81" s="210" t="s">
        <v>36</v>
      </c>
      <c r="H81" s="60">
        <v>21.76</v>
      </c>
      <c r="I81" s="7" t="s">
        <v>49</v>
      </c>
      <c r="J81" s="60">
        <v>0.04</v>
      </c>
      <c r="K81" s="60">
        <v>287.14</v>
      </c>
      <c r="L81" s="60">
        <v>32.82</v>
      </c>
      <c r="M81" s="60">
        <v>19.78</v>
      </c>
      <c r="N81" s="60">
        <v>10.5</v>
      </c>
      <c r="O81" s="60">
        <v>0</v>
      </c>
      <c r="P81" s="60">
        <v>0.75</v>
      </c>
      <c r="Q81" s="213" t="s">
        <v>49</v>
      </c>
      <c r="R81" s="198"/>
      <c r="S81" s="198"/>
      <c r="T81" s="198"/>
      <c r="U81" s="198"/>
    </row>
    <row r="82" spans="1:26" s="12" customFormat="1" x14ac:dyDescent="0.25">
      <c r="A82" s="201" t="s">
        <v>1379</v>
      </c>
      <c r="B82" s="60">
        <v>22.4</v>
      </c>
      <c r="C82" s="60">
        <v>106.83</v>
      </c>
      <c r="D82" s="60">
        <v>77.66</v>
      </c>
      <c r="E82" s="60">
        <v>0.76</v>
      </c>
      <c r="F82" s="60">
        <v>13.28</v>
      </c>
      <c r="G82" s="210" t="s">
        <v>36</v>
      </c>
      <c r="H82" s="60">
        <v>41.82</v>
      </c>
      <c r="I82" s="215" t="s">
        <v>42</v>
      </c>
      <c r="J82" s="60">
        <v>0.17</v>
      </c>
      <c r="K82" s="60">
        <v>345.96</v>
      </c>
      <c r="L82" s="60">
        <v>31.54</v>
      </c>
      <c r="M82" s="60">
        <v>23.35</v>
      </c>
      <c r="N82" s="60">
        <v>6</v>
      </c>
      <c r="O82" s="60">
        <v>0</v>
      </c>
      <c r="P82" s="60">
        <v>1.25</v>
      </c>
      <c r="Q82" s="60">
        <v>52.49</v>
      </c>
      <c r="R82" s="198"/>
      <c r="S82" s="198"/>
      <c r="T82" s="198"/>
      <c r="U82" s="198"/>
    </row>
    <row r="83" spans="1:26" s="12" customFormat="1" x14ac:dyDescent="0.25">
      <c r="A83" s="201" t="s">
        <v>1380</v>
      </c>
      <c r="B83" s="60">
        <v>63.86</v>
      </c>
      <c r="C83" s="60">
        <v>116.58</v>
      </c>
      <c r="D83" s="60">
        <v>116.29</v>
      </c>
      <c r="E83" s="215" t="s">
        <v>42</v>
      </c>
      <c r="F83" s="60">
        <v>10.63</v>
      </c>
      <c r="G83" s="210" t="s">
        <v>36</v>
      </c>
      <c r="H83" s="60">
        <v>41.82</v>
      </c>
      <c r="I83" s="215" t="s">
        <v>42</v>
      </c>
      <c r="J83" s="60">
        <v>0.05</v>
      </c>
      <c r="K83" s="60">
        <v>283.57</v>
      </c>
      <c r="L83" s="60">
        <v>30.86</v>
      </c>
      <c r="M83" s="60">
        <v>26.39</v>
      </c>
      <c r="N83" s="60">
        <v>4.8</v>
      </c>
      <c r="O83" s="60">
        <v>0</v>
      </c>
      <c r="P83" s="60">
        <v>1.32</v>
      </c>
      <c r="Q83" s="60">
        <v>50.74</v>
      </c>
      <c r="R83" s="198"/>
      <c r="S83" s="198"/>
      <c r="T83" s="198"/>
      <c r="U83" s="198"/>
    </row>
    <row r="84" spans="1:26" s="12" customFormat="1" x14ac:dyDescent="0.25">
      <c r="A84" s="201" t="s">
        <v>1381</v>
      </c>
      <c r="B84" s="60">
        <v>9.4</v>
      </c>
      <c r="C84" s="60">
        <v>92.35</v>
      </c>
      <c r="D84" s="60">
        <v>59.24</v>
      </c>
      <c r="E84" s="215" t="s">
        <v>42</v>
      </c>
      <c r="F84" s="60">
        <v>20.37</v>
      </c>
      <c r="G84" s="210" t="s">
        <v>36</v>
      </c>
      <c r="H84" s="60">
        <v>41.82</v>
      </c>
      <c r="I84" s="215" t="s">
        <v>42</v>
      </c>
      <c r="J84" s="60">
        <v>0.16</v>
      </c>
      <c r="K84" s="60">
        <v>287.55</v>
      </c>
      <c r="L84" s="60">
        <v>31.05</v>
      </c>
      <c r="M84" s="60">
        <v>23.54</v>
      </c>
      <c r="N84" s="60">
        <v>4.5</v>
      </c>
      <c r="O84" s="60">
        <v>0</v>
      </c>
      <c r="P84" s="60">
        <v>0.75</v>
      </c>
      <c r="Q84" s="60">
        <v>44.76</v>
      </c>
      <c r="R84" s="198"/>
      <c r="S84" s="198"/>
      <c r="T84" s="198"/>
      <c r="U84" s="198"/>
    </row>
    <row r="85" spans="1:26" s="12" customFormat="1" x14ac:dyDescent="0.25">
      <c r="A85" s="201" t="s">
        <v>1382</v>
      </c>
      <c r="B85" s="60">
        <v>10.75</v>
      </c>
      <c r="C85" s="60">
        <v>104.68</v>
      </c>
      <c r="D85" s="60">
        <v>67.13</v>
      </c>
      <c r="E85" s="215" t="s">
        <v>42</v>
      </c>
      <c r="F85" s="60">
        <v>12.37</v>
      </c>
      <c r="G85" s="210" t="s">
        <v>36</v>
      </c>
      <c r="H85" s="60">
        <v>41.59</v>
      </c>
      <c r="I85" s="215" t="s">
        <v>42</v>
      </c>
      <c r="J85" s="60">
        <v>0.19</v>
      </c>
      <c r="K85" s="60">
        <v>263.36</v>
      </c>
      <c r="L85" s="60">
        <v>30.91</v>
      </c>
      <c r="M85" s="60">
        <v>24.72</v>
      </c>
      <c r="N85" s="60">
        <v>4.3</v>
      </c>
      <c r="O85" s="60">
        <v>0</v>
      </c>
      <c r="P85" s="60">
        <v>1.1000000000000001</v>
      </c>
      <c r="Q85" s="60">
        <v>37.21</v>
      </c>
      <c r="R85" s="198"/>
      <c r="S85" s="198"/>
      <c r="T85" s="198"/>
      <c r="U85" s="198"/>
    </row>
    <row r="86" spans="1:26" s="12" customFormat="1" x14ac:dyDescent="0.25">
      <c r="A86" s="201" t="s">
        <v>1383</v>
      </c>
      <c r="B86" s="60">
        <v>11.22</v>
      </c>
      <c r="C86" s="60">
        <v>95.87</v>
      </c>
      <c r="D86" s="60">
        <v>62.65</v>
      </c>
      <c r="E86" s="215" t="s">
        <v>42</v>
      </c>
      <c r="F86" s="60">
        <v>19.75</v>
      </c>
      <c r="G86" s="60">
        <v>121.22</v>
      </c>
      <c r="H86" s="60">
        <v>40.21</v>
      </c>
      <c r="I86" s="215" t="s">
        <v>42</v>
      </c>
      <c r="J86" s="60">
        <v>0.13</v>
      </c>
      <c r="K86" s="60">
        <v>288.61</v>
      </c>
      <c r="L86" s="60">
        <v>30.63</v>
      </c>
      <c r="M86" s="60">
        <v>24.91</v>
      </c>
      <c r="N86" s="60">
        <v>4.5999999999999996</v>
      </c>
      <c r="O86" s="60">
        <v>0</v>
      </c>
      <c r="P86" s="60">
        <v>1.19</v>
      </c>
      <c r="Q86" s="60">
        <v>32.299999999999997</v>
      </c>
      <c r="R86" s="198"/>
      <c r="S86" s="198"/>
      <c r="T86" s="198"/>
      <c r="U86" s="198"/>
    </row>
    <row r="87" spans="1:26" s="12" customFormat="1" x14ac:dyDescent="0.25">
      <c r="A87" s="201" t="s">
        <v>1384</v>
      </c>
      <c r="B87" s="60">
        <v>22.45</v>
      </c>
      <c r="C87" s="60">
        <v>138.02000000000001</v>
      </c>
      <c r="D87" s="60">
        <v>94.91</v>
      </c>
      <c r="E87" s="215" t="s">
        <v>42</v>
      </c>
      <c r="F87" s="60">
        <v>11.28</v>
      </c>
      <c r="G87" s="60">
        <v>121.22</v>
      </c>
      <c r="H87" s="60">
        <v>40.21</v>
      </c>
      <c r="I87" s="215" t="s">
        <v>42</v>
      </c>
      <c r="J87" s="60">
        <v>0.1</v>
      </c>
      <c r="K87" s="60">
        <v>263.75</v>
      </c>
      <c r="L87" s="60">
        <v>30.41</v>
      </c>
      <c r="M87" s="60">
        <v>25.64</v>
      </c>
      <c r="N87" s="60">
        <v>4.4000000000000004</v>
      </c>
      <c r="O87" s="60">
        <v>0</v>
      </c>
      <c r="P87" s="60">
        <v>1.26</v>
      </c>
      <c r="Q87" s="60">
        <v>27.76</v>
      </c>
      <c r="R87" s="198"/>
      <c r="S87" s="198"/>
      <c r="T87" s="198"/>
      <c r="U87" s="198"/>
    </row>
    <row r="88" spans="1:26" s="12" customFormat="1" x14ac:dyDescent="0.25">
      <c r="A88" s="201" t="s">
        <v>1385</v>
      </c>
      <c r="B88" s="60">
        <v>40.35</v>
      </c>
      <c r="C88" s="60">
        <v>141.32</v>
      </c>
      <c r="D88" s="60">
        <v>111.09</v>
      </c>
      <c r="E88" s="60">
        <v>3.1</v>
      </c>
      <c r="F88" s="60">
        <v>4.6100000000000003</v>
      </c>
      <c r="G88" s="60">
        <v>121.22</v>
      </c>
      <c r="H88" s="60">
        <v>40.21</v>
      </c>
      <c r="I88" s="215" t="s">
        <v>42</v>
      </c>
      <c r="J88" s="60">
        <v>0.22</v>
      </c>
      <c r="K88" s="60">
        <v>112.93</v>
      </c>
      <c r="L88" s="60">
        <v>29.69</v>
      </c>
      <c r="M88" s="60">
        <v>30.02</v>
      </c>
      <c r="N88" s="60">
        <v>4.7</v>
      </c>
      <c r="O88" s="60">
        <v>0</v>
      </c>
      <c r="P88" s="60">
        <v>1.34</v>
      </c>
      <c r="Q88" s="60">
        <v>25.27</v>
      </c>
      <c r="R88" s="198"/>
      <c r="S88" s="198"/>
      <c r="T88" s="198"/>
      <c r="U88" s="198"/>
    </row>
    <row r="89" spans="1:26" s="12" customFormat="1" x14ac:dyDescent="0.25">
      <c r="A89" s="201" t="s">
        <v>1386</v>
      </c>
      <c r="B89" s="60">
        <v>18.739999999999998</v>
      </c>
      <c r="C89" s="60">
        <v>97.36</v>
      </c>
      <c r="D89" s="60">
        <v>69.489999999999995</v>
      </c>
      <c r="E89" s="60">
        <v>6.15</v>
      </c>
      <c r="F89" s="60">
        <v>17.68</v>
      </c>
      <c r="G89" s="60">
        <v>114.71</v>
      </c>
      <c r="H89" s="60">
        <v>40.19</v>
      </c>
      <c r="I89" s="60">
        <v>0.57999999999999996</v>
      </c>
      <c r="J89" s="60">
        <v>0.33</v>
      </c>
      <c r="K89" s="60">
        <v>200.71</v>
      </c>
      <c r="L89" s="60">
        <v>29.65</v>
      </c>
      <c r="M89" s="60">
        <v>28.34</v>
      </c>
      <c r="N89" s="60">
        <v>3.3</v>
      </c>
      <c r="O89" s="60">
        <v>0</v>
      </c>
      <c r="P89" s="60">
        <v>1.22</v>
      </c>
      <c r="Q89" s="60">
        <v>24.95</v>
      </c>
      <c r="R89" s="198"/>
      <c r="S89" s="198"/>
      <c r="T89" s="198"/>
      <c r="U89" s="198"/>
    </row>
    <row r="90" spans="1:26" s="12" customFormat="1" x14ac:dyDescent="0.25">
      <c r="A90" s="201" t="s">
        <v>1387</v>
      </c>
      <c r="B90" s="60">
        <v>14.5</v>
      </c>
      <c r="C90" s="60">
        <v>97.85</v>
      </c>
      <c r="D90" s="60">
        <v>66.37</v>
      </c>
      <c r="E90" s="60">
        <v>6.9</v>
      </c>
      <c r="F90" s="60">
        <v>17.489999999999998</v>
      </c>
      <c r="G90" s="60">
        <v>76.16</v>
      </c>
      <c r="H90" s="60">
        <v>40.119999999999997</v>
      </c>
      <c r="I90" s="60">
        <v>0.93</v>
      </c>
      <c r="J90" s="60">
        <v>0.36</v>
      </c>
      <c r="K90" s="60">
        <v>206.26</v>
      </c>
      <c r="L90" s="60">
        <v>29.83</v>
      </c>
      <c r="M90" s="60">
        <v>27.71</v>
      </c>
      <c r="N90" s="60">
        <v>4</v>
      </c>
      <c r="O90" s="60">
        <v>0</v>
      </c>
      <c r="P90" s="60">
        <v>1.19</v>
      </c>
      <c r="Q90" s="60">
        <v>24.74</v>
      </c>
      <c r="R90" s="198"/>
      <c r="S90" s="198"/>
      <c r="T90" s="198"/>
      <c r="U90" s="198"/>
    </row>
    <row r="91" spans="1:26" s="12" customFormat="1" x14ac:dyDescent="0.25">
      <c r="A91" s="201" t="s">
        <v>1388</v>
      </c>
      <c r="B91" s="60">
        <v>34.21</v>
      </c>
      <c r="C91" s="60">
        <v>123.44</v>
      </c>
      <c r="D91" s="60">
        <v>96.3</v>
      </c>
      <c r="E91" s="60">
        <v>7.2</v>
      </c>
      <c r="F91" s="60">
        <v>8.81</v>
      </c>
      <c r="G91" s="60">
        <v>76.16</v>
      </c>
      <c r="H91" s="60">
        <v>40.119999999999997</v>
      </c>
      <c r="I91" s="60">
        <v>0.79</v>
      </c>
      <c r="J91" s="60">
        <v>0.13</v>
      </c>
      <c r="K91" s="60">
        <v>318.91000000000003</v>
      </c>
      <c r="L91" s="60">
        <v>29.16</v>
      </c>
      <c r="M91" s="60">
        <v>29.46</v>
      </c>
      <c r="N91" s="60">
        <v>5.0999999999999996</v>
      </c>
      <c r="O91" s="60">
        <v>0</v>
      </c>
      <c r="P91" s="60">
        <v>1.53</v>
      </c>
      <c r="Q91" s="60">
        <v>24.89</v>
      </c>
      <c r="R91" s="198"/>
      <c r="S91" s="198"/>
      <c r="T91" s="198"/>
      <c r="U91" s="198"/>
    </row>
    <row r="92" spans="1:26" s="12" customFormat="1" x14ac:dyDescent="0.25">
      <c r="A92" s="201" t="s">
        <v>1389</v>
      </c>
      <c r="B92" s="60">
        <v>100.22</v>
      </c>
      <c r="C92" s="60">
        <v>125.88</v>
      </c>
      <c r="D92" s="60">
        <v>150.58000000000001</v>
      </c>
      <c r="E92" s="60">
        <v>6.53</v>
      </c>
      <c r="F92" s="60">
        <v>5.37</v>
      </c>
      <c r="G92" s="60">
        <v>76.16</v>
      </c>
      <c r="H92" s="60">
        <v>40.119999999999997</v>
      </c>
      <c r="I92" s="60">
        <v>0.76</v>
      </c>
      <c r="J92" s="60">
        <v>0.19</v>
      </c>
      <c r="K92" s="60">
        <v>23.03</v>
      </c>
      <c r="L92" s="60">
        <v>28.37</v>
      </c>
      <c r="M92" s="60">
        <v>34.549999999999997</v>
      </c>
      <c r="N92" s="60">
        <v>5.3</v>
      </c>
      <c r="O92" s="60">
        <v>0</v>
      </c>
      <c r="P92" s="60">
        <v>3.35</v>
      </c>
      <c r="Q92" s="60">
        <v>23.14</v>
      </c>
      <c r="R92" s="198"/>
      <c r="S92" s="198"/>
      <c r="T92" s="198"/>
      <c r="U92" s="198"/>
    </row>
    <row r="93" spans="1:26" s="12" customFormat="1" x14ac:dyDescent="0.25">
      <c r="A93" s="201" t="s">
        <v>1390</v>
      </c>
      <c r="B93" s="60">
        <v>132.46</v>
      </c>
      <c r="C93" s="60">
        <v>136.72999999999999</v>
      </c>
      <c r="D93" s="60">
        <v>182.42</v>
      </c>
      <c r="E93" s="60">
        <v>6.51</v>
      </c>
      <c r="F93" s="60">
        <v>3.92</v>
      </c>
      <c r="G93" s="60">
        <v>79.5</v>
      </c>
      <c r="H93" s="60">
        <v>40.75</v>
      </c>
      <c r="I93" s="60">
        <v>0.93</v>
      </c>
      <c r="J93" s="60">
        <v>0.04</v>
      </c>
      <c r="K93" s="60">
        <v>359.34</v>
      </c>
      <c r="L93" s="60">
        <v>27.7</v>
      </c>
      <c r="M93" s="60">
        <v>36.44</v>
      </c>
      <c r="N93" s="60">
        <v>5.0999999999999996</v>
      </c>
      <c r="O93" s="60">
        <v>0</v>
      </c>
      <c r="P93" s="60">
        <v>3.5</v>
      </c>
      <c r="Q93" s="60">
        <v>20.87</v>
      </c>
      <c r="R93" s="198"/>
      <c r="S93" s="198"/>
      <c r="T93" s="198"/>
      <c r="U93" s="198"/>
    </row>
    <row r="94" spans="1:26" s="12" customFormat="1" x14ac:dyDescent="0.25">
      <c r="A94" s="201" t="s">
        <v>1391</v>
      </c>
      <c r="B94" s="60">
        <v>109.29</v>
      </c>
      <c r="C94" s="60">
        <v>106.49</v>
      </c>
      <c r="D94" s="60">
        <v>147.15</v>
      </c>
      <c r="E94" s="60">
        <v>5.33</v>
      </c>
      <c r="F94" s="60">
        <v>3.66</v>
      </c>
      <c r="G94" s="60">
        <v>99.3</v>
      </c>
      <c r="H94" s="60">
        <v>44.29</v>
      </c>
      <c r="I94" s="60">
        <v>1.22</v>
      </c>
      <c r="J94" s="60">
        <v>0.19</v>
      </c>
      <c r="K94" s="60">
        <v>95.97</v>
      </c>
      <c r="L94" s="60">
        <v>27.44</v>
      </c>
      <c r="M94" s="60">
        <v>36.94</v>
      </c>
      <c r="N94" s="60">
        <v>4.5</v>
      </c>
      <c r="O94" s="60">
        <v>0</v>
      </c>
      <c r="P94" s="60">
        <v>2.68</v>
      </c>
      <c r="Q94" s="60">
        <v>25.08</v>
      </c>
      <c r="R94" s="198"/>
      <c r="S94" s="198"/>
      <c r="T94" s="198"/>
      <c r="U94" s="198"/>
    </row>
    <row r="95" spans="1:26" s="12" customFormat="1" x14ac:dyDescent="0.25">
      <c r="A95" s="201" t="s">
        <v>1392</v>
      </c>
      <c r="B95" s="60">
        <v>56.61</v>
      </c>
      <c r="C95" s="60">
        <v>95.43</v>
      </c>
      <c r="D95" s="60">
        <v>98.8</v>
      </c>
      <c r="E95" s="60">
        <v>3.66</v>
      </c>
      <c r="F95" s="60">
        <v>6.18</v>
      </c>
      <c r="G95" s="60">
        <v>99.3</v>
      </c>
      <c r="H95" s="60">
        <v>44.29</v>
      </c>
      <c r="I95" s="60">
        <v>1.39</v>
      </c>
      <c r="J95" s="60">
        <v>0.05</v>
      </c>
      <c r="K95" s="60">
        <v>27.45</v>
      </c>
      <c r="L95" s="60">
        <v>27.53</v>
      </c>
      <c r="M95" s="60">
        <v>34.520000000000003</v>
      </c>
      <c r="N95" s="60">
        <v>4.5</v>
      </c>
      <c r="O95" s="60">
        <v>0</v>
      </c>
      <c r="P95" s="60">
        <v>1.78</v>
      </c>
      <c r="Q95" s="60">
        <v>34.299999999999997</v>
      </c>
      <c r="R95" s="198"/>
      <c r="S95" s="198"/>
      <c r="T95" s="198"/>
      <c r="U95" s="198"/>
    </row>
    <row r="96" spans="1:26" s="12" customFormat="1" x14ac:dyDescent="0.25">
      <c r="A96" s="201" t="s">
        <v>1393</v>
      </c>
      <c r="B96" s="60">
        <v>93.54</v>
      </c>
      <c r="C96" s="60">
        <v>108.44</v>
      </c>
      <c r="D96" s="60">
        <v>135.6</v>
      </c>
      <c r="E96" s="60">
        <v>4.1100000000000003</v>
      </c>
      <c r="F96" s="60">
        <v>4.09</v>
      </c>
      <c r="G96" s="60">
        <v>99.3</v>
      </c>
      <c r="H96" s="60">
        <v>44.29</v>
      </c>
      <c r="I96" s="60">
        <v>1.32</v>
      </c>
      <c r="J96" s="60">
        <v>0.23</v>
      </c>
      <c r="K96" s="60">
        <v>24.02</v>
      </c>
      <c r="L96" s="60">
        <v>27.01</v>
      </c>
      <c r="M96" s="60">
        <v>39.090000000000003</v>
      </c>
      <c r="N96" s="60">
        <v>4.7</v>
      </c>
      <c r="O96" s="60">
        <v>0</v>
      </c>
      <c r="P96" s="60">
        <v>2.3199999999999998</v>
      </c>
      <c r="Q96" s="60">
        <v>31.83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1394</v>
      </c>
      <c r="B97" s="60">
        <v>86.33</v>
      </c>
      <c r="C97" s="60">
        <v>100.58</v>
      </c>
      <c r="D97" s="60">
        <v>125.48</v>
      </c>
      <c r="E97" s="60">
        <v>3.12</v>
      </c>
      <c r="F97" s="60">
        <v>3.61</v>
      </c>
      <c r="G97" s="60">
        <v>99.3</v>
      </c>
      <c r="H97" s="60">
        <v>44.48</v>
      </c>
      <c r="I97" s="60">
        <v>1.06</v>
      </c>
      <c r="J97" s="60">
        <v>0.16</v>
      </c>
      <c r="K97" s="60">
        <v>22.69</v>
      </c>
      <c r="L97" s="60">
        <v>26.61</v>
      </c>
      <c r="M97" s="60">
        <v>42.76</v>
      </c>
      <c r="N97" s="60">
        <v>5</v>
      </c>
      <c r="O97" s="60">
        <v>0</v>
      </c>
      <c r="P97" s="60">
        <v>2.2400000000000002</v>
      </c>
      <c r="Q97" s="60">
        <v>33.43</v>
      </c>
      <c r="R97" s="198"/>
      <c r="S97" s="198"/>
      <c r="T97" s="198"/>
      <c r="U97" s="198"/>
    </row>
    <row r="98" spans="1:33" s="12" customFormat="1" x14ac:dyDescent="0.25">
      <c r="A98" s="201" t="s">
        <v>1395</v>
      </c>
      <c r="B98" s="60">
        <v>88.99</v>
      </c>
      <c r="C98" s="60">
        <v>104.36</v>
      </c>
      <c r="D98" s="60">
        <v>129.69999999999999</v>
      </c>
      <c r="E98" s="60">
        <v>2.83</v>
      </c>
      <c r="F98" s="60">
        <v>3.43</v>
      </c>
      <c r="G98" s="60">
        <v>258.91000000000003</v>
      </c>
      <c r="H98" s="60">
        <v>45.37</v>
      </c>
      <c r="I98" s="60">
        <v>1.01</v>
      </c>
      <c r="J98" s="60">
        <v>0.18</v>
      </c>
      <c r="K98" s="60">
        <v>29.49</v>
      </c>
      <c r="L98" s="60">
        <v>26.36</v>
      </c>
      <c r="M98" s="60">
        <v>41.32</v>
      </c>
      <c r="N98" s="60">
        <v>4.8</v>
      </c>
      <c r="O98" s="60">
        <v>0</v>
      </c>
      <c r="P98" s="60">
        <v>2.2799999999999998</v>
      </c>
      <c r="Q98" s="60">
        <v>32.979999999999997</v>
      </c>
      <c r="R98" s="198"/>
      <c r="S98" s="198"/>
      <c r="T98" s="198"/>
      <c r="U98" s="198"/>
    </row>
    <row r="99" spans="1:33" s="12" customFormat="1" x14ac:dyDescent="0.25">
      <c r="A99" s="201" t="s">
        <v>1396</v>
      </c>
      <c r="B99" s="60">
        <v>91.63</v>
      </c>
      <c r="C99" s="60">
        <v>105.49</v>
      </c>
      <c r="D99" s="60">
        <v>132.44</v>
      </c>
      <c r="E99" s="60">
        <v>2.41</v>
      </c>
      <c r="F99" s="60">
        <v>3.36</v>
      </c>
      <c r="G99" s="60">
        <v>258.91000000000003</v>
      </c>
      <c r="H99" s="60">
        <v>45.37</v>
      </c>
      <c r="I99" s="60">
        <v>1.03</v>
      </c>
      <c r="J99" s="60">
        <v>0.18</v>
      </c>
      <c r="K99" s="60">
        <v>30.45</v>
      </c>
      <c r="L99" s="60">
        <v>25.96</v>
      </c>
      <c r="M99" s="60">
        <v>43.09</v>
      </c>
      <c r="N99" s="60">
        <v>4.9000000000000004</v>
      </c>
      <c r="O99" s="60">
        <v>0</v>
      </c>
      <c r="P99" s="60">
        <v>2.44</v>
      </c>
      <c r="Q99" s="60">
        <v>34.96</v>
      </c>
      <c r="R99" s="198"/>
      <c r="S99" s="198"/>
      <c r="T99" s="198"/>
      <c r="U99" s="198"/>
    </row>
    <row r="100" spans="1:33" s="12" customFormat="1" x14ac:dyDescent="0.25">
      <c r="A100" s="201" t="s">
        <v>1397</v>
      </c>
      <c r="B100" s="60">
        <v>97.52</v>
      </c>
      <c r="C100" s="60">
        <v>103.9</v>
      </c>
      <c r="D100" s="60">
        <v>136.28</v>
      </c>
      <c r="E100" s="60">
        <v>1.74</v>
      </c>
      <c r="F100" s="60">
        <v>3.4</v>
      </c>
      <c r="G100" s="60">
        <v>258.91000000000003</v>
      </c>
      <c r="H100" s="60">
        <v>45.37</v>
      </c>
      <c r="I100" s="60">
        <v>1.1499999999999999</v>
      </c>
      <c r="J100" s="60">
        <v>0.06</v>
      </c>
      <c r="K100" s="60">
        <v>78.650000000000006</v>
      </c>
      <c r="L100" s="60">
        <v>25.89</v>
      </c>
      <c r="M100" s="60">
        <v>42.18</v>
      </c>
      <c r="N100" s="60">
        <v>4.7</v>
      </c>
      <c r="O100" s="60">
        <v>0</v>
      </c>
      <c r="P100" s="60">
        <v>2.39</v>
      </c>
      <c r="Q100" s="60">
        <v>34.61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1398</v>
      </c>
      <c r="B101" s="60">
        <v>102.74</v>
      </c>
      <c r="C101" s="60">
        <v>113.54</v>
      </c>
      <c r="D101" s="60">
        <v>145.79</v>
      </c>
      <c r="E101" s="60">
        <v>2.99</v>
      </c>
      <c r="F101" s="60">
        <v>3.41</v>
      </c>
      <c r="G101" s="60">
        <v>107.32</v>
      </c>
      <c r="H101" s="60">
        <v>45.41</v>
      </c>
      <c r="I101" s="60">
        <v>1.1299999999999999</v>
      </c>
      <c r="J101" s="60">
        <v>0.08</v>
      </c>
      <c r="K101" s="60">
        <v>106.2</v>
      </c>
      <c r="L101" s="60">
        <v>25.95</v>
      </c>
      <c r="M101" s="60">
        <v>41.24</v>
      </c>
      <c r="N101" s="60">
        <v>4.5999999999999996</v>
      </c>
      <c r="O101" s="60">
        <v>0</v>
      </c>
      <c r="P101" s="60">
        <v>2.2999999999999998</v>
      </c>
      <c r="Q101" s="60">
        <v>33.15</v>
      </c>
      <c r="R101" s="198"/>
      <c r="S101" s="198"/>
      <c r="T101" s="198"/>
      <c r="U101" s="198"/>
    </row>
    <row r="102" spans="1:33" s="12" customFormat="1" x14ac:dyDescent="0.25">
      <c r="A102" s="201" t="s">
        <v>1399</v>
      </c>
      <c r="B102" s="60">
        <v>106.71</v>
      </c>
      <c r="C102" s="60">
        <v>113.9</v>
      </c>
      <c r="D102" s="60">
        <v>149.16999999999999</v>
      </c>
      <c r="E102" s="60">
        <v>3.52</v>
      </c>
      <c r="F102" s="60">
        <v>3.35</v>
      </c>
      <c r="G102" s="60">
        <v>107.32</v>
      </c>
      <c r="H102" s="60">
        <v>45.64</v>
      </c>
      <c r="I102" s="60">
        <v>1.05</v>
      </c>
      <c r="J102" s="60">
        <v>0.12</v>
      </c>
      <c r="K102" s="60">
        <v>37.69</v>
      </c>
      <c r="L102" s="60">
        <v>25.72</v>
      </c>
      <c r="M102" s="60">
        <v>42.06</v>
      </c>
      <c r="N102" s="60">
        <v>4.8</v>
      </c>
      <c r="O102" s="60">
        <v>0</v>
      </c>
      <c r="P102" s="60">
        <v>2.2000000000000002</v>
      </c>
      <c r="Q102" s="60">
        <v>32.049999999999997</v>
      </c>
      <c r="R102" s="198"/>
      <c r="S102" s="198"/>
      <c r="T102" s="198"/>
      <c r="U102" s="198"/>
    </row>
    <row r="103" spans="1:33" s="12" customFormat="1" x14ac:dyDescent="0.25">
      <c r="A103" s="201" t="s">
        <v>1400</v>
      </c>
      <c r="B103" s="60">
        <v>93.78</v>
      </c>
      <c r="C103" s="60">
        <v>106.87</v>
      </c>
      <c r="D103" s="60">
        <v>134.91999999999999</v>
      </c>
      <c r="E103" s="60">
        <v>3.22</v>
      </c>
      <c r="F103" s="60">
        <v>3.28</v>
      </c>
      <c r="G103" s="60">
        <v>107.32</v>
      </c>
      <c r="H103" s="60">
        <v>45.64</v>
      </c>
      <c r="I103" s="60">
        <v>1.1599999999999999</v>
      </c>
      <c r="J103" s="60">
        <v>0.16</v>
      </c>
      <c r="K103" s="60">
        <v>125.39</v>
      </c>
      <c r="L103" s="60">
        <v>25.92</v>
      </c>
      <c r="M103" s="60">
        <v>42.37</v>
      </c>
      <c r="N103" s="60">
        <v>4.3</v>
      </c>
      <c r="O103" s="60">
        <v>0</v>
      </c>
      <c r="P103" s="60">
        <v>2.1</v>
      </c>
      <c r="Q103" s="60">
        <v>31.12</v>
      </c>
      <c r="R103" s="198"/>
      <c r="S103" s="198"/>
      <c r="T103" s="198"/>
      <c r="U103" s="198"/>
    </row>
    <row r="104" spans="1:33" s="12" customFormat="1" x14ac:dyDescent="0.25">
      <c r="A104" s="201" t="s">
        <v>1401</v>
      </c>
      <c r="B104" s="60">
        <v>98.13</v>
      </c>
      <c r="C104" s="60">
        <v>100.86</v>
      </c>
      <c r="D104" s="60">
        <v>135.1</v>
      </c>
      <c r="E104" s="60">
        <v>2.79</v>
      </c>
      <c r="F104" s="60">
        <v>3.21</v>
      </c>
      <c r="G104" s="60">
        <v>107.32</v>
      </c>
      <c r="H104" s="60">
        <v>45.64</v>
      </c>
      <c r="I104" s="60">
        <v>1.08</v>
      </c>
      <c r="J104" s="60">
        <v>0.04</v>
      </c>
      <c r="K104" s="60">
        <v>31.71</v>
      </c>
      <c r="L104" s="60">
        <v>25.56</v>
      </c>
      <c r="M104" s="60">
        <v>44.27</v>
      </c>
      <c r="N104" s="60">
        <v>4.9000000000000004</v>
      </c>
      <c r="O104" s="60">
        <v>0</v>
      </c>
      <c r="P104" s="60">
        <v>2.12</v>
      </c>
      <c r="Q104" s="60">
        <v>30.91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2.5099999999999998</v>
      </c>
      <c r="C106" s="67">
        <f>MIN(C9:C104)</f>
        <v>46.68</v>
      </c>
      <c r="D106" s="67">
        <f t="shared" ref="D106:Q106" si="0">MIN(D9:D104)</f>
        <v>28.76</v>
      </c>
      <c r="E106" s="67">
        <f t="shared" si="0"/>
        <v>0.76</v>
      </c>
      <c r="F106" s="67">
        <f t="shared" si="0"/>
        <v>3</v>
      </c>
      <c r="G106" s="67">
        <f t="shared" si="0"/>
        <v>36.44</v>
      </c>
      <c r="H106" s="67">
        <f t="shared" si="0"/>
        <v>21.07</v>
      </c>
      <c r="I106" s="67">
        <f t="shared" si="0"/>
        <v>0.57999999999999996</v>
      </c>
      <c r="J106" s="67">
        <f t="shared" si="0"/>
        <v>0.02</v>
      </c>
      <c r="K106" s="67">
        <f t="shared" si="0"/>
        <v>0.46</v>
      </c>
      <c r="L106" s="67">
        <f t="shared" si="0"/>
        <v>22.16</v>
      </c>
      <c r="M106" s="67">
        <f t="shared" si="0"/>
        <v>12.85</v>
      </c>
      <c r="N106" s="67">
        <f t="shared" si="0"/>
        <v>3.3</v>
      </c>
      <c r="O106" s="67">
        <f t="shared" si="0"/>
        <v>0</v>
      </c>
      <c r="P106" s="67">
        <f t="shared" si="0"/>
        <v>0.55000000000000004</v>
      </c>
      <c r="Q106" s="67">
        <f t="shared" si="0"/>
        <v>19.63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132.46</v>
      </c>
      <c r="C107" s="66">
        <f t="shared" ref="C107:Q107" si="1">MAX(C9:C104)</f>
        <v>141.32</v>
      </c>
      <c r="D107" s="66">
        <f t="shared" si="1"/>
        <v>182.42</v>
      </c>
      <c r="E107" s="66">
        <f t="shared" si="1"/>
        <v>15.09</v>
      </c>
      <c r="F107" s="66">
        <f t="shared" si="1"/>
        <v>40.25</v>
      </c>
      <c r="G107" s="66">
        <f t="shared" si="1"/>
        <v>258.91000000000003</v>
      </c>
      <c r="H107" s="66">
        <f t="shared" si="1"/>
        <v>47.51</v>
      </c>
      <c r="I107" s="66">
        <f t="shared" si="1"/>
        <v>1.39</v>
      </c>
      <c r="J107" s="66">
        <f t="shared" si="1"/>
        <v>0.86</v>
      </c>
      <c r="K107" s="66">
        <f t="shared" si="1"/>
        <v>359.97</v>
      </c>
      <c r="L107" s="66">
        <f t="shared" si="1"/>
        <v>40.4</v>
      </c>
      <c r="M107" s="66">
        <f t="shared" si="1"/>
        <v>60.19</v>
      </c>
      <c r="N107" s="66">
        <f t="shared" si="1"/>
        <v>849.1</v>
      </c>
      <c r="O107" s="66">
        <f t="shared" si="1"/>
        <v>0</v>
      </c>
      <c r="P107" s="66">
        <f t="shared" si="1"/>
        <v>3.5</v>
      </c>
      <c r="Q107" s="66">
        <f t="shared" si="1"/>
        <v>52.49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41.209156626506022</v>
      </c>
      <c r="C108" s="67">
        <f t="shared" ref="C108:Q108" si="2">AVERAGE(C9:C104)</f>
        <v>77.412891566265031</v>
      </c>
      <c r="D108" s="67">
        <f t="shared" si="2"/>
        <v>76.509156626506027</v>
      </c>
      <c r="E108" s="67">
        <f t="shared" si="2"/>
        <v>5.5139743589743579</v>
      </c>
      <c r="F108" s="67">
        <f t="shared" si="2"/>
        <v>11.664642857142853</v>
      </c>
      <c r="G108" s="67">
        <f t="shared" si="2"/>
        <v>124.25042253521126</v>
      </c>
      <c r="H108" s="67">
        <f t="shared" si="2"/>
        <v>41.889342105263161</v>
      </c>
      <c r="I108" s="67">
        <f t="shared" si="2"/>
        <v>0.85479999999999978</v>
      </c>
      <c r="J108" s="67">
        <f t="shared" si="2"/>
        <v>0.22035714285714283</v>
      </c>
      <c r="K108" s="67">
        <f t="shared" si="2"/>
        <v>148.58226190476191</v>
      </c>
      <c r="L108" s="67">
        <f t="shared" si="2"/>
        <v>29.381666666666661</v>
      </c>
      <c r="M108" s="67">
        <f t="shared" si="2"/>
        <v>35.639761904761912</v>
      </c>
      <c r="N108" s="67">
        <f t="shared" si="2"/>
        <v>248.56904761904761</v>
      </c>
      <c r="O108" s="67">
        <f t="shared" si="2"/>
        <v>0</v>
      </c>
      <c r="P108" s="67">
        <f t="shared" si="2"/>
        <v>1.5134523809523805</v>
      </c>
      <c r="Q108" s="67">
        <f t="shared" si="2"/>
        <v>31.407777777777774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32.564365875751434</v>
      </c>
      <c r="C109" s="67">
        <f t="shared" ref="C109:Q109" si="3">STDEV(C9:C104)</f>
        <v>23.955261427783828</v>
      </c>
      <c r="D109" s="67">
        <f t="shared" si="3"/>
        <v>34.820105287130794</v>
      </c>
      <c r="E109" s="67">
        <f t="shared" si="3"/>
        <v>2.8127355726998968</v>
      </c>
      <c r="F109" s="67">
        <f t="shared" si="3"/>
        <v>9.7923950632994536</v>
      </c>
      <c r="G109" s="67">
        <f t="shared" si="3"/>
        <v>52.507486634536768</v>
      </c>
      <c r="H109" s="67">
        <f t="shared" si="3"/>
        <v>5.4579528116993741</v>
      </c>
      <c r="I109" s="67">
        <f t="shared" si="3"/>
        <v>0.16518098182526056</v>
      </c>
      <c r="J109" s="67">
        <f t="shared" si="3"/>
        <v>0.17956739466137314</v>
      </c>
      <c r="K109" s="67">
        <f t="shared" si="3"/>
        <v>125.9776565420797</v>
      </c>
      <c r="L109" s="67">
        <f t="shared" si="3"/>
        <v>5.4464136167886119</v>
      </c>
      <c r="M109" s="67">
        <f t="shared" si="3"/>
        <v>15.240632673218535</v>
      </c>
      <c r="N109" s="67">
        <f t="shared" si="3"/>
        <v>333.4375955328743</v>
      </c>
      <c r="O109" s="67">
        <f t="shared" si="3"/>
        <v>0</v>
      </c>
      <c r="P109" s="67">
        <f t="shared" si="3"/>
        <v>0.57978702788619507</v>
      </c>
      <c r="Q109" s="67">
        <f t="shared" si="3"/>
        <v>5.5942155392869877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COUNT(B9:B104)+13</f>
        <v>96</v>
      </c>
      <c r="C110" s="66">
        <f>COUNT(C9:C104)+13</f>
        <v>96</v>
      </c>
      <c r="D110" s="66">
        <f>COUNT(D9:D104)+13</f>
        <v>96</v>
      </c>
      <c r="E110" s="66">
        <f>COUNT(E9:E104)+18</f>
        <v>96</v>
      </c>
      <c r="F110" s="66">
        <f>COUNT(F9:F104)+12</f>
        <v>96</v>
      </c>
      <c r="G110" s="66">
        <f>COUNT(G9:G104)+17</f>
        <v>88</v>
      </c>
      <c r="H110" s="66">
        <f>COUNT(H9:H104)+12</f>
        <v>88</v>
      </c>
      <c r="I110" s="66">
        <f>COUNT(I9:I104)+21</f>
        <v>96</v>
      </c>
      <c r="J110" s="66">
        <f>COUNT(J9:J104)+12</f>
        <v>96</v>
      </c>
      <c r="K110" s="66">
        <f t="shared" ref="K110:P110" si="4">COUNT(K9:K104)+12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1402</v>
      </c>
      <c r="B9" s="60">
        <v>75.73</v>
      </c>
      <c r="C9" s="60">
        <v>94.65</v>
      </c>
      <c r="D9" s="60">
        <v>113.7</v>
      </c>
      <c r="E9" s="60">
        <v>5.68</v>
      </c>
      <c r="F9" s="60">
        <v>3.31</v>
      </c>
      <c r="G9" s="60">
        <v>113.53</v>
      </c>
      <c r="H9" s="60">
        <v>45.69</v>
      </c>
      <c r="I9" s="60">
        <v>1.1100000000000001</v>
      </c>
      <c r="J9" s="60">
        <v>0.09</v>
      </c>
      <c r="K9" s="60">
        <v>89.45</v>
      </c>
      <c r="L9" s="60">
        <v>25.25</v>
      </c>
      <c r="M9" s="60">
        <v>43.86</v>
      </c>
      <c r="N9" s="60">
        <v>4.5</v>
      </c>
      <c r="O9" s="60">
        <v>0</v>
      </c>
      <c r="P9" s="60">
        <v>1.84</v>
      </c>
      <c r="Q9" s="60">
        <v>32.06</v>
      </c>
      <c r="R9" s="198"/>
      <c r="S9" s="198"/>
      <c r="T9" s="198"/>
      <c r="U9" s="198"/>
    </row>
    <row r="10" spans="1:21" s="12" customFormat="1" x14ac:dyDescent="0.25">
      <c r="A10" s="201" t="s">
        <v>1403</v>
      </c>
      <c r="B10" s="60">
        <v>61.58</v>
      </c>
      <c r="C10" s="60">
        <v>82.5</v>
      </c>
      <c r="D10" s="60">
        <v>95.65</v>
      </c>
      <c r="E10" s="60">
        <v>5.08</v>
      </c>
      <c r="F10" s="60">
        <v>3.93</v>
      </c>
      <c r="G10" s="60">
        <v>150.30000000000001</v>
      </c>
      <c r="H10" s="60">
        <v>46.02</v>
      </c>
      <c r="I10" s="60">
        <v>1.1299999999999999</v>
      </c>
      <c r="J10" s="60">
        <v>0.17</v>
      </c>
      <c r="K10" s="60">
        <v>9.44</v>
      </c>
      <c r="L10" s="60">
        <v>24.85</v>
      </c>
      <c r="M10" s="60">
        <v>49.11</v>
      </c>
      <c r="N10" s="60">
        <v>5</v>
      </c>
      <c r="O10" s="60">
        <v>0</v>
      </c>
      <c r="P10" s="60">
        <v>1.89</v>
      </c>
      <c r="Q10" s="60">
        <v>33.83</v>
      </c>
      <c r="R10" s="198"/>
      <c r="S10" s="198"/>
      <c r="T10" s="198"/>
      <c r="U10" s="198"/>
    </row>
    <row r="11" spans="1:21" s="12" customFormat="1" x14ac:dyDescent="0.25">
      <c r="A11" s="201" t="s">
        <v>1404</v>
      </c>
      <c r="B11" s="60">
        <v>50.49</v>
      </c>
      <c r="C11" s="60">
        <v>62.85</v>
      </c>
      <c r="D11" s="60">
        <v>75.92</v>
      </c>
      <c r="E11" s="60">
        <v>5.41</v>
      </c>
      <c r="F11" s="60">
        <v>17.2</v>
      </c>
      <c r="G11" s="60">
        <v>150.30000000000001</v>
      </c>
      <c r="H11" s="60">
        <v>46.02</v>
      </c>
      <c r="I11" s="60">
        <v>1.04</v>
      </c>
      <c r="J11" s="60">
        <v>0.11</v>
      </c>
      <c r="K11" s="60">
        <v>262.55</v>
      </c>
      <c r="L11" s="60">
        <v>25.27</v>
      </c>
      <c r="M11" s="60">
        <v>39.81</v>
      </c>
      <c r="N11" s="60">
        <v>3.1</v>
      </c>
      <c r="O11" s="60">
        <v>0</v>
      </c>
      <c r="P11" s="60">
        <v>1.59</v>
      </c>
      <c r="Q11" s="60">
        <v>35.630000000000003</v>
      </c>
      <c r="R11" s="198"/>
      <c r="S11" s="198"/>
      <c r="T11" s="198"/>
      <c r="U11" s="198"/>
    </row>
    <row r="12" spans="1:21" s="12" customFormat="1" x14ac:dyDescent="0.25">
      <c r="A12" s="201" t="s">
        <v>1405</v>
      </c>
      <c r="B12" s="60">
        <v>57.2</v>
      </c>
      <c r="C12" s="60">
        <v>60.92</v>
      </c>
      <c r="D12" s="60">
        <v>80.23</v>
      </c>
      <c r="E12" s="60">
        <v>5.61</v>
      </c>
      <c r="F12" s="60">
        <v>16.79</v>
      </c>
      <c r="G12" s="60">
        <v>150.30000000000001</v>
      </c>
      <c r="H12" s="60">
        <v>46.02</v>
      </c>
      <c r="I12" s="60">
        <v>0.99</v>
      </c>
      <c r="J12" s="60">
        <v>0.16</v>
      </c>
      <c r="K12" s="60">
        <v>12.59</v>
      </c>
      <c r="L12" s="60">
        <v>26.2</v>
      </c>
      <c r="M12" s="60">
        <v>36.39</v>
      </c>
      <c r="N12" s="60">
        <v>4.4000000000000004</v>
      </c>
      <c r="O12" s="60">
        <v>0</v>
      </c>
      <c r="P12" s="60">
        <v>1.63</v>
      </c>
      <c r="Q12" s="60">
        <v>35.89</v>
      </c>
      <c r="R12" s="198"/>
      <c r="S12" s="198"/>
      <c r="T12" s="198"/>
      <c r="U12" s="198"/>
    </row>
    <row r="13" spans="1:21" s="12" customFormat="1" x14ac:dyDescent="0.25">
      <c r="A13" s="201" t="s">
        <v>1406</v>
      </c>
      <c r="B13" s="60">
        <v>64.680000000000007</v>
      </c>
      <c r="C13" s="60">
        <v>62.95</v>
      </c>
      <c r="D13" s="60">
        <v>87.35</v>
      </c>
      <c r="E13" s="60">
        <v>4.26</v>
      </c>
      <c r="F13" s="60">
        <v>9.61</v>
      </c>
      <c r="G13" s="60">
        <v>148.9</v>
      </c>
      <c r="H13" s="60">
        <v>44.74</v>
      </c>
      <c r="I13" s="60">
        <v>0.9</v>
      </c>
      <c r="J13" s="60">
        <v>0.06</v>
      </c>
      <c r="K13" s="60">
        <v>68.3</v>
      </c>
      <c r="L13" s="60">
        <v>25.43</v>
      </c>
      <c r="M13" s="60">
        <v>38.700000000000003</v>
      </c>
      <c r="N13" s="60">
        <v>4.7</v>
      </c>
      <c r="O13" s="60">
        <v>0</v>
      </c>
      <c r="P13" s="60">
        <v>1.72</v>
      </c>
      <c r="Q13" s="60">
        <v>35.44</v>
      </c>
      <c r="R13" s="198"/>
      <c r="S13" s="198"/>
      <c r="T13" s="198"/>
      <c r="U13" s="198"/>
    </row>
    <row r="14" spans="1:21" s="12" customFormat="1" x14ac:dyDescent="0.25">
      <c r="A14" s="201" t="s">
        <v>1407</v>
      </c>
      <c r="B14" s="60">
        <v>61.5</v>
      </c>
      <c r="C14" s="60">
        <v>64.47</v>
      </c>
      <c r="D14" s="60">
        <v>85.64</v>
      </c>
      <c r="E14" s="60">
        <v>3.72</v>
      </c>
      <c r="F14" s="60">
        <v>5.6</v>
      </c>
      <c r="G14" s="60">
        <v>140.56</v>
      </c>
      <c r="H14" s="60">
        <v>38.950000000000003</v>
      </c>
      <c r="I14" s="60">
        <v>0.85</v>
      </c>
      <c r="J14" s="60">
        <v>0.09</v>
      </c>
      <c r="K14" s="60">
        <v>331.53</v>
      </c>
      <c r="L14" s="60">
        <v>24.7</v>
      </c>
      <c r="M14" s="60">
        <v>44.56</v>
      </c>
      <c r="N14" s="60">
        <v>5.2</v>
      </c>
      <c r="O14" s="60">
        <v>0</v>
      </c>
      <c r="P14" s="60">
        <v>1.8</v>
      </c>
      <c r="Q14" s="60">
        <v>35.03</v>
      </c>
      <c r="R14" s="198"/>
      <c r="S14" s="198"/>
      <c r="T14" s="198"/>
      <c r="U14" s="198"/>
    </row>
    <row r="15" spans="1:21" s="12" customFormat="1" x14ac:dyDescent="0.25">
      <c r="A15" s="201" t="s">
        <v>1408</v>
      </c>
      <c r="B15" s="60">
        <v>50.63</v>
      </c>
      <c r="C15" s="60">
        <v>62.02</v>
      </c>
      <c r="D15" s="60">
        <v>75.569999999999993</v>
      </c>
      <c r="E15" s="60">
        <v>3.73</v>
      </c>
      <c r="F15" s="60">
        <v>7.76</v>
      </c>
      <c r="G15" s="60">
        <v>140.56</v>
      </c>
      <c r="H15" s="60">
        <v>38.950000000000003</v>
      </c>
      <c r="I15" s="60">
        <v>1.06</v>
      </c>
      <c r="J15" s="60">
        <v>0.18</v>
      </c>
      <c r="K15" s="60">
        <v>6.68</v>
      </c>
      <c r="L15" s="60">
        <v>24.55</v>
      </c>
      <c r="M15" s="60">
        <v>41.28</v>
      </c>
      <c r="N15" s="60">
        <v>5</v>
      </c>
      <c r="O15" s="60">
        <v>0</v>
      </c>
      <c r="P15" s="60">
        <v>1.62</v>
      </c>
      <c r="Q15" s="60">
        <v>35</v>
      </c>
      <c r="R15" s="198"/>
      <c r="S15" s="198"/>
      <c r="T15" s="198"/>
      <c r="U15" s="198"/>
    </row>
    <row r="16" spans="1:21" s="12" customFormat="1" x14ac:dyDescent="0.25">
      <c r="A16" s="201" t="s">
        <v>1409</v>
      </c>
      <c r="B16" s="60">
        <v>45.68</v>
      </c>
      <c r="C16" s="60">
        <v>63.68</v>
      </c>
      <c r="D16" s="60">
        <v>72.52</v>
      </c>
      <c r="E16" s="60">
        <v>3.14</v>
      </c>
      <c r="F16" s="60">
        <v>5.67</v>
      </c>
      <c r="G16" s="60">
        <v>140.56</v>
      </c>
      <c r="H16" s="60">
        <v>38.950000000000003</v>
      </c>
      <c r="I16" s="60">
        <v>1.02</v>
      </c>
      <c r="J16" s="60">
        <v>0.1</v>
      </c>
      <c r="K16" s="60">
        <v>317.7</v>
      </c>
      <c r="L16" s="60">
        <v>24.13</v>
      </c>
      <c r="M16" s="60">
        <v>43.14</v>
      </c>
      <c r="N16" s="60">
        <v>4.7</v>
      </c>
      <c r="O16" s="60">
        <v>0</v>
      </c>
      <c r="P16" s="60">
        <v>1.56</v>
      </c>
      <c r="Q16" s="60">
        <v>32.81</v>
      </c>
      <c r="R16" s="198"/>
      <c r="S16" s="198"/>
      <c r="T16" s="198"/>
      <c r="U16" s="198"/>
    </row>
    <row r="17" spans="1:21" s="12" customFormat="1" x14ac:dyDescent="0.25">
      <c r="A17" s="201" t="s">
        <v>1410</v>
      </c>
      <c r="B17" s="60">
        <v>39.89</v>
      </c>
      <c r="C17" s="60">
        <v>64.650000000000006</v>
      </c>
      <c r="D17" s="60">
        <v>68.41</v>
      </c>
      <c r="E17" s="60">
        <v>3.09</v>
      </c>
      <c r="F17" s="60">
        <v>4.7300000000000004</v>
      </c>
      <c r="G17" s="60">
        <v>128.33000000000001</v>
      </c>
      <c r="H17" s="60">
        <v>38.159999999999997</v>
      </c>
      <c r="I17" s="60">
        <v>0.87</v>
      </c>
      <c r="J17" s="60">
        <v>0.12</v>
      </c>
      <c r="K17" s="60">
        <v>346.18</v>
      </c>
      <c r="L17" s="60">
        <v>23.98</v>
      </c>
      <c r="M17" s="60">
        <v>47.21</v>
      </c>
      <c r="N17" s="60">
        <v>5</v>
      </c>
      <c r="O17" s="60">
        <v>0</v>
      </c>
      <c r="P17" s="60">
        <v>1.43</v>
      </c>
      <c r="Q17" s="60">
        <v>29.29</v>
      </c>
      <c r="R17" s="198"/>
      <c r="S17" s="198"/>
      <c r="T17" s="198"/>
      <c r="U17" s="198"/>
    </row>
    <row r="18" spans="1:21" s="12" customFormat="1" x14ac:dyDescent="0.25">
      <c r="A18" s="201" t="s">
        <v>1411</v>
      </c>
      <c r="B18" s="60">
        <v>35.450000000000003</v>
      </c>
      <c r="C18" s="60">
        <v>62.82</v>
      </c>
      <c r="D18" s="60">
        <v>63.83</v>
      </c>
      <c r="E18" s="60">
        <v>2.85</v>
      </c>
      <c r="F18" s="60">
        <v>4.2</v>
      </c>
      <c r="G18" s="60">
        <v>55.86</v>
      </c>
      <c r="H18" s="60">
        <v>34.86</v>
      </c>
      <c r="I18" s="60">
        <v>0.85</v>
      </c>
      <c r="J18" s="60">
        <v>0.05</v>
      </c>
      <c r="K18" s="60">
        <v>16.18</v>
      </c>
      <c r="L18" s="60">
        <v>23.53</v>
      </c>
      <c r="M18" s="60">
        <v>48.51</v>
      </c>
      <c r="N18" s="60">
        <v>5</v>
      </c>
      <c r="O18" s="60">
        <v>0</v>
      </c>
      <c r="P18" s="60">
        <v>1.38</v>
      </c>
      <c r="Q18" s="60">
        <v>26.5</v>
      </c>
      <c r="R18" s="198"/>
      <c r="S18" s="198"/>
      <c r="T18" s="198"/>
      <c r="U18" s="198"/>
    </row>
    <row r="19" spans="1:21" s="12" customFormat="1" x14ac:dyDescent="0.25">
      <c r="A19" s="201" t="s">
        <v>1412</v>
      </c>
      <c r="B19" s="60">
        <v>29.16</v>
      </c>
      <c r="C19" s="60">
        <v>64.61</v>
      </c>
      <c r="D19" s="60">
        <v>59.78</v>
      </c>
      <c r="E19" s="60">
        <v>2.97</v>
      </c>
      <c r="F19" s="60">
        <v>3.83</v>
      </c>
      <c r="G19" s="60">
        <v>55.86</v>
      </c>
      <c r="H19" s="60">
        <v>34.86</v>
      </c>
      <c r="I19" s="60">
        <v>0.8</v>
      </c>
      <c r="J19" s="60">
        <v>0.06</v>
      </c>
      <c r="K19" s="60">
        <v>304.3</v>
      </c>
      <c r="L19" s="60">
        <v>23.47</v>
      </c>
      <c r="M19" s="60">
        <v>50.25</v>
      </c>
      <c r="N19" s="60">
        <v>4.8</v>
      </c>
      <c r="O19" s="60">
        <v>0</v>
      </c>
      <c r="P19" s="60">
        <v>1.21</v>
      </c>
      <c r="Q19" s="60">
        <v>23.66</v>
      </c>
      <c r="R19" s="198"/>
      <c r="S19" s="198"/>
      <c r="T19" s="198"/>
      <c r="U19" s="198"/>
    </row>
    <row r="20" spans="1:21" s="12" customFormat="1" x14ac:dyDescent="0.25">
      <c r="A20" s="201" t="s">
        <v>1413</v>
      </c>
      <c r="B20" s="60">
        <v>22.43</v>
      </c>
      <c r="C20" s="60">
        <v>65.73</v>
      </c>
      <c r="D20" s="60">
        <v>55</v>
      </c>
      <c r="E20" s="60">
        <v>4.09</v>
      </c>
      <c r="F20" s="60">
        <v>3.84</v>
      </c>
      <c r="G20" s="60">
        <v>55.86</v>
      </c>
      <c r="H20" s="60">
        <v>34.86</v>
      </c>
      <c r="I20" s="60">
        <v>0.77</v>
      </c>
      <c r="J20" s="60">
        <v>0.14000000000000001</v>
      </c>
      <c r="K20" s="60">
        <v>16.77</v>
      </c>
      <c r="L20" s="60">
        <v>23.32</v>
      </c>
      <c r="M20" s="60">
        <v>52.59</v>
      </c>
      <c r="N20" s="60">
        <v>4.7</v>
      </c>
      <c r="O20" s="60">
        <v>0</v>
      </c>
      <c r="P20" s="60">
        <v>1.0900000000000001</v>
      </c>
      <c r="Q20" s="60">
        <v>20.16</v>
      </c>
      <c r="R20" s="198"/>
      <c r="S20" s="198"/>
      <c r="T20" s="198"/>
      <c r="U20" s="198"/>
    </row>
    <row r="21" spans="1:21" s="12" customFormat="1" x14ac:dyDescent="0.25">
      <c r="A21" s="201" t="s">
        <v>1414</v>
      </c>
      <c r="B21" s="60">
        <v>23.69</v>
      </c>
      <c r="C21" s="60">
        <v>66.930000000000007</v>
      </c>
      <c r="D21" s="60">
        <v>56.68</v>
      </c>
      <c r="E21" s="60">
        <v>4.7699999999999996</v>
      </c>
      <c r="F21" s="60">
        <v>3.48</v>
      </c>
      <c r="G21" s="60">
        <v>67.650000000000006</v>
      </c>
      <c r="H21" s="60">
        <v>35.54</v>
      </c>
      <c r="I21" s="60">
        <v>0.73</v>
      </c>
      <c r="J21" s="60">
        <v>0.03</v>
      </c>
      <c r="K21" s="60">
        <v>331.28</v>
      </c>
      <c r="L21" s="60">
        <v>23.23</v>
      </c>
      <c r="M21" s="60">
        <v>52.14</v>
      </c>
      <c r="N21" s="60">
        <v>4.5999999999999996</v>
      </c>
      <c r="O21" s="60">
        <v>0</v>
      </c>
      <c r="P21" s="60">
        <v>1.1299999999999999</v>
      </c>
      <c r="Q21" s="60">
        <v>18.38</v>
      </c>
      <c r="R21" s="198"/>
      <c r="S21" s="198"/>
      <c r="T21" s="198"/>
      <c r="U21" s="198"/>
    </row>
    <row r="22" spans="1:21" s="12" customFormat="1" x14ac:dyDescent="0.25">
      <c r="A22" s="201" t="s">
        <v>1415</v>
      </c>
      <c r="B22" s="60">
        <v>24.99</v>
      </c>
      <c r="C22" s="60">
        <v>66.28</v>
      </c>
      <c r="D22" s="60">
        <v>57.36</v>
      </c>
      <c r="E22" s="60">
        <v>5.66</v>
      </c>
      <c r="F22" s="60">
        <v>3.7</v>
      </c>
      <c r="G22" s="60">
        <v>137.49</v>
      </c>
      <c r="H22" s="60">
        <v>38.630000000000003</v>
      </c>
      <c r="I22" s="60">
        <v>0.76</v>
      </c>
      <c r="J22" s="60">
        <v>0.06</v>
      </c>
      <c r="K22" s="60">
        <v>341.57</v>
      </c>
      <c r="L22" s="60">
        <v>23.02</v>
      </c>
      <c r="M22" s="60">
        <v>53.95</v>
      </c>
      <c r="N22" s="60">
        <v>4.8</v>
      </c>
      <c r="O22" s="60">
        <v>0</v>
      </c>
      <c r="P22" s="60">
        <v>1.23</v>
      </c>
      <c r="Q22" s="60">
        <v>17.690000000000001</v>
      </c>
      <c r="R22" s="198"/>
      <c r="S22" s="198"/>
      <c r="T22" s="198"/>
      <c r="U22" s="198"/>
    </row>
    <row r="23" spans="1:21" s="12" customFormat="1" x14ac:dyDescent="0.25">
      <c r="A23" s="201" t="s">
        <v>1416</v>
      </c>
      <c r="B23" s="60">
        <v>24.14</v>
      </c>
      <c r="C23" s="60">
        <v>65.72</v>
      </c>
      <c r="D23" s="60">
        <v>56.37</v>
      </c>
      <c r="E23" s="60">
        <v>9.17</v>
      </c>
      <c r="F23" s="60">
        <v>4.58</v>
      </c>
      <c r="G23" s="60">
        <v>137.49</v>
      </c>
      <c r="H23" s="60">
        <v>38.630000000000003</v>
      </c>
      <c r="I23" s="60">
        <v>0.78</v>
      </c>
      <c r="J23" s="60">
        <v>0.05</v>
      </c>
      <c r="K23" s="60">
        <v>126.13</v>
      </c>
      <c r="L23" s="60">
        <v>23.08</v>
      </c>
      <c r="M23" s="60">
        <v>51.49</v>
      </c>
      <c r="N23" s="60">
        <v>4.7</v>
      </c>
      <c r="O23" s="60">
        <v>0</v>
      </c>
      <c r="P23" s="60">
        <v>1.31</v>
      </c>
      <c r="Q23" s="60">
        <v>17.75</v>
      </c>
      <c r="R23" s="198"/>
      <c r="S23" s="198"/>
      <c r="T23" s="198"/>
      <c r="U23" s="198"/>
    </row>
    <row r="24" spans="1:21" s="12" customFormat="1" x14ac:dyDescent="0.25">
      <c r="A24" s="201" t="s">
        <v>1417</v>
      </c>
      <c r="B24" s="60">
        <v>29.43</v>
      </c>
      <c r="C24" s="60">
        <v>66</v>
      </c>
      <c r="D24" s="60">
        <v>60.77</v>
      </c>
      <c r="E24" s="60">
        <v>3.54</v>
      </c>
      <c r="F24" s="60">
        <v>4.96</v>
      </c>
      <c r="G24" s="60">
        <v>137.49</v>
      </c>
      <c r="H24" s="60">
        <v>38.630000000000003</v>
      </c>
      <c r="I24" s="60">
        <v>0.73</v>
      </c>
      <c r="J24" s="60">
        <v>0.09</v>
      </c>
      <c r="K24" s="60">
        <v>301.42</v>
      </c>
      <c r="L24" s="60">
        <v>23.22</v>
      </c>
      <c r="M24" s="60">
        <v>50.52</v>
      </c>
      <c r="N24" s="60">
        <v>4.5999999999999996</v>
      </c>
      <c r="O24" s="60">
        <v>0</v>
      </c>
      <c r="P24" s="60">
        <v>1.31</v>
      </c>
      <c r="Q24" s="60">
        <v>18.36</v>
      </c>
      <c r="R24" s="198"/>
      <c r="S24" s="198"/>
      <c r="T24" s="198"/>
      <c r="U24" s="198"/>
    </row>
    <row r="25" spans="1:21" s="12" customFormat="1" x14ac:dyDescent="0.25">
      <c r="A25" s="201" t="s">
        <v>1418</v>
      </c>
      <c r="B25" s="60">
        <v>43.34</v>
      </c>
      <c r="C25" s="60">
        <v>68.739999999999995</v>
      </c>
      <c r="D25" s="60">
        <v>73.430000000000007</v>
      </c>
      <c r="E25" s="60">
        <v>7.04</v>
      </c>
      <c r="F25" s="60">
        <v>4.17</v>
      </c>
      <c r="G25" s="60">
        <v>136.5</v>
      </c>
      <c r="H25" s="60">
        <v>39.26</v>
      </c>
      <c r="I25" s="60">
        <v>0.72</v>
      </c>
      <c r="J25" s="60">
        <v>0.14000000000000001</v>
      </c>
      <c r="K25" s="60">
        <v>297.45</v>
      </c>
      <c r="L25" s="60">
        <v>23.66</v>
      </c>
      <c r="M25" s="60">
        <v>49.83</v>
      </c>
      <c r="N25" s="60">
        <v>4.2</v>
      </c>
      <c r="O25" s="60">
        <v>0</v>
      </c>
      <c r="P25" s="60">
        <v>1.27</v>
      </c>
      <c r="Q25" s="60">
        <v>18.82</v>
      </c>
      <c r="R25" s="198"/>
      <c r="S25" s="198"/>
      <c r="T25" s="198"/>
      <c r="U25" s="198"/>
    </row>
    <row r="26" spans="1:21" s="12" customFormat="1" x14ac:dyDescent="0.25">
      <c r="A26" s="201" t="s">
        <v>1419</v>
      </c>
      <c r="B26" s="60">
        <v>42.6</v>
      </c>
      <c r="C26" s="60">
        <v>67.430000000000007</v>
      </c>
      <c r="D26" s="60">
        <v>72.11</v>
      </c>
      <c r="E26" s="60">
        <v>6.29</v>
      </c>
      <c r="F26" s="60">
        <v>3.82</v>
      </c>
      <c r="G26" s="60">
        <v>130.68</v>
      </c>
      <c r="H26" s="60">
        <v>42.92</v>
      </c>
      <c r="I26" s="60">
        <v>0.73</v>
      </c>
      <c r="J26" s="60">
        <v>0.09</v>
      </c>
      <c r="K26" s="60">
        <v>106.39</v>
      </c>
      <c r="L26" s="60">
        <v>23.24</v>
      </c>
      <c r="M26" s="60">
        <v>50.67</v>
      </c>
      <c r="N26" s="60">
        <v>4.8</v>
      </c>
      <c r="O26" s="60">
        <v>0</v>
      </c>
      <c r="P26" s="60">
        <v>1.3</v>
      </c>
      <c r="Q26" s="60">
        <v>20.03</v>
      </c>
      <c r="R26" s="198"/>
      <c r="S26" s="198"/>
      <c r="T26" s="198"/>
      <c r="U26" s="198"/>
    </row>
    <row r="27" spans="1:21" s="12" customFormat="1" x14ac:dyDescent="0.25">
      <c r="A27" s="201" t="s">
        <v>1420</v>
      </c>
      <c r="B27" s="60">
        <v>34.659999999999997</v>
      </c>
      <c r="C27" s="60">
        <v>59.6</v>
      </c>
      <c r="D27" s="60">
        <v>61.43</v>
      </c>
      <c r="E27" s="60">
        <v>4.04</v>
      </c>
      <c r="F27" s="60">
        <v>3.57</v>
      </c>
      <c r="G27" s="60">
        <v>130.68</v>
      </c>
      <c r="H27" s="60">
        <v>42.92</v>
      </c>
      <c r="I27" s="60">
        <v>0.74</v>
      </c>
      <c r="J27" s="60">
        <v>0.27</v>
      </c>
      <c r="K27" s="60">
        <v>256.98</v>
      </c>
      <c r="L27" s="60">
        <v>23.63</v>
      </c>
      <c r="M27" s="60">
        <v>49.46</v>
      </c>
      <c r="N27" s="60">
        <v>3.9</v>
      </c>
      <c r="O27" s="60">
        <v>0</v>
      </c>
      <c r="P27" s="60">
        <v>1.29</v>
      </c>
      <c r="Q27" s="60">
        <v>21.72</v>
      </c>
      <c r="R27" s="198"/>
      <c r="S27" s="198"/>
      <c r="T27" s="198"/>
      <c r="U27" s="198"/>
    </row>
    <row r="28" spans="1:21" s="12" customFormat="1" x14ac:dyDescent="0.25">
      <c r="A28" s="201" t="s">
        <v>1421</v>
      </c>
      <c r="B28" s="60">
        <v>41.37</v>
      </c>
      <c r="C28" s="60">
        <v>58.39</v>
      </c>
      <c r="D28" s="60">
        <v>66.14</v>
      </c>
      <c r="E28" s="60">
        <v>2.93</v>
      </c>
      <c r="F28" s="60">
        <v>3.24</v>
      </c>
      <c r="G28" s="60">
        <v>130.68</v>
      </c>
      <c r="H28" s="60">
        <v>42.92</v>
      </c>
      <c r="I28" s="60">
        <v>0.8</v>
      </c>
      <c r="J28" s="60">
        <v>0.01</v>
      </c>
      <c r="K28" s="60">
        <v>79.97</v>
      </c>
      <c r="L28" s="60">
        <v>23.3</v>
      </c>
      <c r="M28" s="60">
        <v>52.91</v>
      </c>
      <c r="N28" s="60">
        <v>5</v>
      </c>
      <c r="O28" s="60">
        <v>0</v>
      </c>
      <c r="P28" s="60">
        <v>1.3</v>
      </c>
      <c r="Q28" s="60">
        <v>23.78</v>
      </c>
      <c r="R28" s="198"/>
      <c r="S28" s="198"/>
      <c r="T28" s="198"/>
      <c r="U28" s="198"/>
    </row>
    <row r="29" spans="1:21" s="12" customFormat="1" x14ac:dyDescent="0.25">
      <c r="A29" s="201" t="s">
        <v>1422</v>
      </c>
      <c r="B29" s="60">
        <v>45.39</v>
      </c>
      <c r="C29" s="60">
        <v>61.67</v>
      </c>
      <c r="D29" s="60">
        <v>71.180000000000007</v>
      </c>
      <c r="E29" s="60">
        <v>2.63</v>
      </c>
      <c r="F29" s="60">
        <v>3.24</v>
      </c>
      <c r="G29" s="60">
        <v>141.75</v>
      </c>
      <c r="H29" s="60">
        <v>44.13</v>
      </c>
      <c r="I29" s="60">
        <v>0.91</v>
      </c>
      <c r="J29" s="60">
        <v>0.05</v>
      </c>
      <c r="K29" s="60">
        <v>84.69</v>
      </c>
      <c r="L29" s="60">
        <v>23.03</v>
      </c>
      <c r="M29" s="60">
        <v>55.19</v>
      </c>
      <c r="N29" s="60">
        <v>4.8</v>
      </c>
      <c r="O29" s="60">
        <v>0</v>
      </c>
      <c r="P29" s="60">
        <v>1.32</v>
      </c>
      <c r="Q29" s="60">
        <v>26.22</v>
      </c>
      <c r="R29" s="198"/>
      <c r="S29" s="198"/>
      <c r="T29" s="198"/>
      <c r="U29" s="198"/>
    </row>
    <row r="30" spans="1:21" s="12" customFormat="1" x14ac:dyDescent="0.25">
      <c r="A30" s="201" t="s">
        <v>1423</v>
      </c>
      <c r="B30" s="60">
        <v>52.15</v>
      </c>
      <c r="C30" s="60">
        <v>62.27</v>
      </c>
      <c r="D30" s="60">
        <v>76.930000000000007</v>
      </c>
      <c r="E30" s="60">
        <v>2.71</v>
      </c>
      <c r="F30" s="60">
        <v>2.99</v>
      </c>
      <c r="G30" s="60">
        <v>207.32</v>
      </c>
      <c r="H30" s="60">
        <v>49.12</v>
      </c>
      <c r="I30" s="60">
        <v>0.89</v>
      </c>
      <c r="J30" s="60">
        <v>0.03</v>
      </c>
      <c r="K30" s="60">
        <v>17.37</v>
      </c>
      <c r="L30" s="60">
        <v>23</v>
      </c>
      <c r="M30" s="60">
        <v>57.24</v>
      </c>
      <c r="N30" s="60">
        <v>4.8</v>
      </c>
      <c r="O30" s="60">
        <v>0</v>
      </c>
      <c r="P30" s="60">
        <v>1.32</v>
      </c>
      <c r="Q30" s="60">
        <v>27.81</v>
      </c>
      <c r="R30" s="198"/>
      <c r="S30" s="198"/>
      <c r="T30" s="198"/>
      <c r="U30" s="198"/>
    </row>
    <row r="31" spans="1:21" s="12" customFormat="1" x14ac:dyDescent="0.25">
      <c r="A31" s="201" t="s">
        <v>1424</v>
      </c>
      <c r="B31" s="60">
        <v>61.22</v>
      </c>
      <c r="C31" s="60">
        <v>64.44</v>
      </c>
      <c r="D31" s="60">
        <v>85.4</v>
      </c>
      <c r="E31" s="60">
        <v>2.25</v>
      </c>
      <c r="F31" s="60">
        <v>2.88</v>
      </c>
      <c r="G31" s="60">
        <v>207.32</v>
      </c>
      <c r="H31" s="60">
        <v>49.12</v>
      </c>
      <c r="I31" s="60">
        <v>0.81</v>
      </c>
      <c r="J31" s="60">
        <v>0.13</v>
      </c>
      <c r="K31" s="60">
        <v>22.88</v>
      </c>
      <c r="L31" s="60">
        <v>22.67</v>
      </c>
      <c r="M31" s="60">
        <v>59.74</v>
      </c>
      <c r="N31" s="60">
        <v>7.5</v>
      </c>
      <c r="O31" s="60">
        <v>0</v>
      </c>
      <c r="P31" s="60">
        <v>1.37</v>
      </c>
      <c r="Q31" s="60">
        <v>30.57</v>
      </c>
      <c r="R31" s="198"/>
      <c r="S31" s="198"/>
      <c r="T31" s="198"/>
      <c r="U31" s="198"/>
    </row>
    <row r="32" spans="1:21" s="12" customFormat="1" x14ac:dyDescent="0.25">
      <c r="A32" s="201" t="s">
        <v>1425</v>
      </c>
      <c r="B32" s="60">
        <v>71.959999999999994</v>
      </c>
      <c r="C32" s="60">
        <v>66.11</v>
      </c>
      <c r="D32" s="60">
        <v>94.93</v>
      </c>
      <c r="E32" s="60">
        <v>1.98</v>
      </c>
      <c r="F32" s="60">
        <v>3</v>
      </c>
      <c r="G32" s="60">
        <v>207.32</v>
      </c>
      <c r="H32" s="60">
        <v>49.12</v>
      </c>
      <c r="I32" s="60">
        <v>0.82</v>
      </c>
      <c r="J32" s="60">
        <v>0.11</v>
      </c>
      <c r="K32" s="60">
        <v>334.67</v>
      </c>
      <c r="L32" s="60">
        <v>22.58</v>
      </c>
      <c r="M32" s="60">
        <v>60.43</v>
      </c>
      <c r="N32" s="60">
        <v>16.5</v>
      </c>
      <c r="O32" s="60">
        <v>0</v>
      </c>
      <c r="P32" s="60">
        <v>1.46</v>
      </c>
      <c r="Q32" s="60">
        <v>32.549999999999997</v>
      </c>
      <c r="R32" s="198"/>
      <c r="S32" s="198"/>
      <c r="T32" s="198"/>
      <c r="U32" s="198"/>
    </row>
    <row r="33" spans="1:21" s="12" customFormat="1" x14ac:dyDescent="0.25">
      <c r="A33" s="201" t="s">
        <v>1426</v>
      </c>
      <c r="B33" s="60">
        <v>83.73</v>
      </c>
      <c r="C33" s="60">
        <v>70.650000000000006</v>
      </c>
      <c r="D33" s="60">
        <v>106.88</v>
      </c>
      <c r="E33" s="60">
        <v>1.99</v>
      </c>
      <c r="F33" s="60">
        <v>3.03</v>
      </c>
      <c r="G33" s="60">
        <v>204.9</v>
      </c>
      <c r="H33" s="60">
        <v>50.8</v>
      </c>
      <c r="I33" s="60">
        <v>0.83</v>
      </c>
      <c r="J33" s="60">
        <v>0.04</v>
      </c>
      <c r="K33" s="60">
        <v>334.49</v>
      </c>
      <c r="L33" s="60">
        <v>23.08</v>
      </c>
      <c r="M33" s="60">
        <v>56.69</v>
      </c>
      <c r="N33" s="60">
        <v>34.9</v>
      </c>
      <c r="O33" s="60">
        <v>0</v>
      </c>
      <c r="P33" s="60">
        <v>1.52</v>
      </c>
      <c r="Q33" s="60">
        <v>32.450000000000003</v>
      </c>
      <c r="R33" s="198"/>
      <c r="S33" s="198"/>
      <c r="T33" s="198"/>
      <c r="U33" s="198"/>
    </row>
    <row r="34" spans="1:21" s="12" customFormat="1" x14ac:dyDescent="0.25">
      <c r="A34" s="201" t="s">
        <v>1427</v>
      </c>
      <c r="B34" s="60">
        <v>116.04</v>
      </c>
      <c r="C34" s="60">
        <v>77.37</v>
      </c>
      <c r="D34" s="60">
        <v>136.49</v>
      </c>
      <c r="E34" s="60">
        <v>3.78</v>
      </c>
      <c r="F34" s="60">
        <v>2.95</v>
      </c>
      <c r="G34" s="60">
        <v>190.59</v>
      </c>
      <c r="H34" s="60">
        <v>57.81</v>
      </c>
      <c r="I34" s="60">
        <v>0.85</v>
      </c>
      <c r="J34" s="60">
        <v>0.05</v>
      </c>
      <c r="K34" s="60">
        <v>324.3</v>
      </c>
      <c r="L34" s="60">
        <v>23.92</v>
      </c>
      <c r="M34" s="60">
        <v>56.03</v>
      </c>
      <c r="N34" s="60">
        <v>61.9</v>
      </c>
      <c r="O34" s="60">
        <v>0</v>
      </c>
      <c r="P34" s="60">
        <v>1.73</v>
      </c>
      <c r="Q34" s="60">
        <v>30.17</v>
      </c>
      <c r="R34" s="198"/>
      <c r="S34" s="198"/>
      <c r="T34" s="198"/>
      <c r="U34" s="198"/>
    </row>
    <row r="35" spans="1:21" s="12" customFormat="1" x14ac:dyDescent="0.25">
      <c r="A35" s="201" t="s">
        <v>1428</v>
      </c>
      <c r="B35" s="60">
        <v>124.67</v>
      </c>
      <c r="C35" s="60">
        <v>90.37</v>
      </c>
      <c r="D35" s="60">
        <v>150.59</v>
      </c>
      <c r="E35" s="60">
        <v>5.31</v>
      </c>
      <c r="F35" s="60">
        <v>2.06</v>
      </c>
      <c r="G35" s="60">
        <v>190.59</v>
      </c>
      <c r="H35" s="60">
        <v>57.81</v>
      </c>
      <c r="I35" s="60">
        <v>0.87</v>
      </c>
      <c r="J35" s="60">
        <v>0.12</v>
      </c>
      <c r="K35" s="60">
        <v>278.81</v>
      </c>
      <c r="L35" s="60">
        <v>24.61</v>
      </c>
      <c r="M35" s="60">
        <v>54.04</v>
      </c>
      <c r="N35" s="60">
        <v>83.8</v>
      </c>
      <c r="O35" s="60">
        <v>0</v>
      </c>
      <c r="P35" s="60">
        <v>1.71</v>
      </c>
      <c r="Q35" s="60">
        <v>26.63</v>
      </c>
      <c r="R35" s="198"/>
      <c r="S35" s="198"/>
      <c r="T35" s="198"/>
      <c r="U35" s="198"/>
    </row>
    <row r="36" spans="1:21" s="12" customFormat="1" x14ac:dyDescent="0.25">
      <c r="A36" s="201" t="s">
        <v>1429</v>
      </c>
      <c r="B36" s="60">
        <v>82.12</v>
      </c>
      <c r="C36" s="60">
        <v>86.54</v>
      </c>
      <c r="D36" s="60">
        <v>114.36</v>
      </c>
      <c r="E36" s="60">
        <v>10.16</v>
      </c>
      <c r="F36" s="60">
        <v>2.91</v>
      </c>
      <c r="G36" s="60">
        <v>190.59</v>
      </c>
      <c r="H36" s="60">
        <v>57.81</v>
      </c>
      <c r="I36" s="60">
        <v>0.92</v>
      </c>
      <c r="J36" s="60">
        <v>0.31</v>
      </c>
      <c r="K36" s="60">
        <v>166.85</v>
      </c>
      <c r="L36" s="60">
        <v>25.98</v>
      </c>
      <c r="M36" s="60">
        <v>44.9</v>
      </c>
      <c r="N36" s="60">
        <v>133.80000000000001</v>
      </c>
      <c r="O36" s="60">
        <v>0</v>
      </c>
      <c r="P36" s="60">
        <v>1.67</v>
      </c>
      <c r="Q36" s="60">
        <v>27.65</v>
      </c>
      <c r="R36" s="198"/>
      <c r="S36" s="198"/>
      <c r="T36" s="198"/>
      <c r="U36" s="198"/>
    </row>
    <row r="37" spans="1:21" s="12" customFormat="1" x14ac:dyDescent="0.25">
      <c r="A37" s="201" t="s">
        <v>1430</v>
      </c>
      <c r="B37" s="60">
        <v>61.86</v>
      </c>
      <c r="C37" s="60">
        <v>85.05</v>
      </c>
      <c r="D37" s="60">
        <v>97.28</v>
      </c>
      <c r="E37" s="60">
        <v>14.17</v>
      </c>
      <c r="F37" s="60">
        <v>6.54</v>
      </c>
      <c r="G37" s="60">
        <v>190.96</v>
      </c>
      <c r="H37" s="60">
        <v>59.65</v>
      </c>
      <c r="I37" s="60">
        <v>1.02</v>
      </c>
      <c r="J37" s="60">
        <v>0.33</v>
      </c>
      <c r="K37" s="60">
        <v>154.65</v>
      </c>
      <c r="L37" s="60">
        <v>27.27</v>
      </c>
      <c r="M37" s="60">
        <v>38.9</v>
      </c>
      <c r="N37" s="60">
        <v>183</v>
      </c>
      <c r="O37" s="60">
        <v>0</v>
      </c>
      <c r="P37" s="60">
        <v>1.59</v>
      </c>
      <c r="Q37" s="60">
        <v>29.43</v>
      </c>
      <c r="R37" s="198"/>
      <c r="S37" s="198"/>
      <c r="T37" s="198"/>
      <c r="U37" s="198"/>
    </row>
    <row r="38" spans="1:21" s="12" customFormat="1" x14ac:dyDescent="0.25">
      <c r="A38" s="201" t="s">
        <v>1431</v>
      </c>
      <c r="B38" s="60">
        <v>69.239999999999995</v>
      </c>
      <c r="C38" s="60">
        <v>71.77</v>
      </c>
      <c r="D38" s="60">
        <v>95.88</v>
      </c>
      <c r="E38" s="60">
        <v>10.81</v>
      </c>
      <c r="F38" s="60">
        <v>8.32</v>
      </c>
      <c r="G38" s="60">
        <v>193.17</v>
      </c>
      <c r="H38" s="60">
        <v>67.3</v>
      </c>
      <c r="I38" s="60">
        <v>0.86</v>
      </c>
      <c r="J38" s="60">
        <v>0.86</v>
      </c>
      <c r="K38" s="60">
        <v>173.73</v>
      </c>
      <c r="L38" s="60">
        <v>27.72</v>
      </c>
      <c r="M38" s="60">
        <v>38.03</v>
      </c>
      <c r="N38" s="60">
        <v>234.3</v>
      </c>
      <c r="O38" s="60">
        <v>0</v>
      </c>
      <c r="P38" s="60">
        <v>1.57</v>
      </c>
      <c r="Q38" s="60">
        <v>30.47</v>
      </c>
      <c r="R38" s="198"/>
      <c r="S38" s="198"/>
      <c r="T38" s="198"/>
      <c r="U38" s="198"/>
    </row>
    <row r="39" spans="1:21" s="12" customFormat="1" x14ac:dyDescent="0.25">
      <c r="A39" s="201" t="s">
        <v>1432</v>
      </c>
      <c r="B39" s="60">
        <v>60.04</v>
      </c>
      <c r="C39" s="60">
        <v>70.73</v>
      </c>
      <c r="D39" s="60">
        <v>87.92</v>
      </c>
      <c r="E39" s="60">
        <v>8.6199999999999992</v>
      </c>
      <c r="F39" s="60">
        <v>13.57</v>
      </c>
      <c r="G39" s="60">
        <v>193.17</v>
      </c>
      <c r="H39" s="60">
        <v>67.3</v>
      </c>
      <c r="I39" s="60">
        <v>0.83</v>
      </c>
      <c r="J39" s="60">
        <v>0.79</v>
      </c>
      <c r="K39" s="60">
        <v>179.62</v>
      </c>
      <c r="L39" s="60">
        <v>28.26</v>
      </c>
      <c r="M39" s="60">
        <v>37.39</v>
      </c>
      <c r="N39" s="60">
        <v>283.89999999999998</v>
      </c>
      <c r="O39" s="60">
        <v>0</v>
      </c>
      <c r="P39" s="60">
        <v>1.47</v>
      </c>
      <c r="Q39" s="60">
        <v>31.17</v>
      </c>
      <c r="R39" s="198"/>
      <c r="S39" s="198"/>
      <c r="T39" s="198"/>
      <c r="U39" s="198"/>
    </row>
    <row r="40" spans="1:21" s="12" customFormat="1" x14ac:dyDescent="0.25">
      <c r="A40" s="201" t="s">
        <v>1433</v>
      </c>
      <c r="B40" s="60">
        <v>52.93</v>
      </c>
      <c r="C40" s="60">
        <v>63.23</v>
      </c>
      <c r="D40" s="60">
        <v>78.08</v>
      </c>
      <c r="E40" s="60">
        <v>3.74</v>
      </c>
      <c r="F40" s="60">
        <v>18.600000000000001</v>
      </c>
      <c r="G40" s="60">
        <v>193.17</v>
      </c>
      <c r="H40" s="60">
        <v>67.3</v>
      </c>
      <c r="I40" s="60">
        <v>0.84</v>
      </c>
      <c r="J40" s="60">
        <v>0.61</v>
      </c>
      <c r="K40" s="60">
        <v>175.54</v>
      </c>
      <c r="L40" s="60">
        <v>28.9</v>
      </c>
      <c r="M40" s="60">
        <v>36.479999999999997</v>
      </c>
      <c r="N40" s="60">
        <v>332</v>
      </c>
      <c r="O40" s="60">
        <v>0</v>
      </c>
      <c r="P40" s="60">
        <v>1.36</v>
      </c>
      <c r="Q40" s="60">
        <v>31.48</v>
      </c>
      <c r="R40" s="198"/>
      <c r="S40" s="198"/>
      <c r="T40" s="198"/>
      <c r="U40" s="198"/>
    </row>
    <row r="41" spans="1:21" s="12" customFormat="1" x14ac:dyDescent="0.25">
      <c r="A41" s="201" t="s">
        <v>1434</v>
      </c>
      <c r="B41" s="60">
        <v>63.9</v>
      </c>
      <c r="C41" s="60">
        <v>61.59</v>
      </c>
      <c r="D41" s="60">
        <v>85.98</v>
      </c>
      <c r="E41" s="60">
        <v>5.14</v>
      </c>
      <c r="F41" s="60">
        <v>10.87</v>
      </c>
      <c r="G41" s="60">
        <v>183.09</v>
      </c>
      <c r="H41" s="60">
        <v>65.989999999999995</v>
      </c>
      <c r="I41" s="60">
        <v>0.79</v>
      </c>
      <c r="J41" s="60">
        <v>0.57999999999999996</v>
      </c>
      <c r="K41" s="60">
        <v>187.06</v>
      </c>
      <c r="L41" s="60">
        <v>29.69</v>
      </c>
      <c r="M41" s="60">
        <v>33.479999999999997</v>
      </c>
      <c r="N41" s="60">
        <v>386.3</v>
      </c>
      <c r="O41" s="60">
        <v>0</v>
      </c>
      <c r="P41" s="60">
        <v>1.39</v>
      </c>
      <c r="Q41" s="60">
        <v>31.71</v>
      </c>
      <c r="R41" s="198"/>
      <c r="S41" s="198"/>
      <c r="T41" s="198"/>
      <c r="U41" s="198"/>
    </row>
    <row r="42" spans="1:21" s="12" customFormat="1" x14ac:dyDescent="0.25">
      <c r="A42" s="201" t="s">
        <v>1435</v>
      </c>
      <c r="B42" s="60">
        <v>52.62</v>
      </c>
      <c r="C42" s="60">
        <v>64.63</v>
      </c>
      <c r="D42" s="60">
        <v>78.61</v>
      </c>
      <c r="E42" s="60">
        <v>3.78</v>
      </c>
      <c r="F42" s="60">
        <v>9.83</v>
      </c>
      <c r="G42" s="60">
        <v>123.39</v>
      </c>
      <c r="H42" s="60">
        <v>58.9</v>
      </c>
      <c r="I42" s="60">
        <v>0.8</v>
      </c>
      <c r="J42" s="60">
        <v>0.42</v>
      </c>
      <c r="K42" s="60">
        <v>172.71</v>
      </c>
      <c r="L42" s="60">
        <v>30.65</v>
      </c>
      <c r="M42" s="60">
        <v>32.93</v>
      </c>
      <c r="N42" s="60">
        <v>433.5</v>
      </c>
      <c r="O42" s="60">
        <v>0</v>
      </c>
      <c r="P42" s="60">
        <v>1.33</v>
      </c>
      <c r="Q42" s="60">
        <v>31.99</v>
      </c>
      <c r="R42" s="198"/>
      <c r="S42" s="198"/>
      <c r="T42" s="198"/>
      <c r="U42" s="198"/>
    </row>
    <row r="43" spans="1:21" s="12" customFormat="1" x14ac:dyDescent="0.25">
      <c r="A43" s="201" t="s">
        <v>1436</v>
      </c>
      <c r="B43" s="60">
        <v>47.69</v>
      </c>
      <c r="C43" s="60">
        <v>69.739999999999995</v>
      </c>
      <c r="D43" s="60">
        <v>77.48</v>
      </c>
      <c r="E43" s="60">
        <v>3.16</v>
      </c>
      <c r="F43" s="60">
        <v>6.33</v>
      </c>
      <c r="G43" s="60">
        <v>123.39</v>
      </c>
      <c r="H43" s="60">
        <v>58.9</v>
      </c>
      <c r="I43" s="60">
        <v>0.83</v>
      </c>
      <c r="J43" s="60">
        <v>0.17</v>
      </c>
      <c r="K43" s="60">
        <v>182.73</v>
      </c>
      <c r="L43" s="60">
        <v>32.880000000000003</v>
      </c>
      <c r="M43" s="60">
        <v>29.13</v>
      </c>
      <c r="N43" s="60">
        <v>478.6</v>
      </c>
      <c r="O43" s="60">
        <v>0</v>
      </c>
      <c r="P43" s="60">
        <v>1.33</v>
      </c>
      <c r="Q43" s="60">
        <v>32.1</v>
      </c>
      <c r="R43" s="198"/>
      <c r="S43" s="198"/>
      <c r="T43" s="198"/>
      <c r="U43" s="198"/>
    </row>
    <row r="44" spans="1:21" s="12" customFormat="1" x14ac:dyDescent="0.25">
      <c r="A44" s="201" t="s">
        <v>1437</v>
      </c>
      <c r="B44" s="60">
        <v>39.83</v>
      </c>
      <c r="C44" s="60">
        <v>70.41</v>
      </c>
      <c r="D44" s="60">
        <v>71.540000000000006</v>
      </c>
      <c r="E44" s="60">
        <v>2.75</v>
      </c>
      <c r="F44" s="60">
        <v>5.52</v>
      </c>
      <c r="G44" s="60">
        <v>123.39</v>
      </c>
      <c r="H44" s="60">
        <v>58.9</v>
      </c>
      <c r="I44" s="60">
        <v>0.81</v>
      </c>
      <c r="J44" s="60">
        <v>0.7</v>
      </c>
      <c r="K44" s="60">
        <v>203.02</v>
      </c>
      <c r="L44" s="60">
        <v>30.8</v>
      </c>
      <c r="M44" s="60">
        <v>32.85</v>
      </c>
      <c r="N44" s="60">
        <v>527.4</v>
      </c>
      <c r="O44" s="60">
        <v>0</v>
      </c>
      <c r="P44" s="60">
        <v>1.27</v>
      </c>
      <c r="Q44" s="60">
        <v>29.92</v>
      </c>
      <c r="R44" s="198"/>
      <c r="S44" s="198"/>
      <c r="T44" s="198"/>
      <c r="U44" s="198"/>
    </row>
    <row r="45" spans="1:21" s="12" customFormat="1" x14ac:dyDescent="0.25">
      <c r="A45" s="201" t="s">
        <v>1438</v>
      </c>
      <c r="B45" s="60">
        <v>25.56</v>
      </c>
      <c r="C45" s="60">
        <v>69.89</v>
      </c>
      <c r="D45" s="60">
        <v>59.71</v>
      </c>
      <c r="E45" s="60">
        <v>2.89</v>
      </c>
      <c r="F45" s="60">
        <v>7.84</v>
      </c>
      <c r="G45" s="60">
        <v>119.59</v>
      </c>
      <c r="H45" s="60">
        <v>56.22</v>
      </c>
      <c r="I45" s="60">
        <v>0.81</v>
      </c>
      <c r="J45" s="60">
        <v>0.24</v>
      </c>
      <c r="K45" s="60">
        <v>186.28</v>
      </c>
      <c r="L45" s="60">
        <v>31.42</v>
      </c>
      <c r="M45" s="60">
        <v>33.799999999999997</v>
      </c>
      <c r="N45" s="60">
        <v>560.1</v>
      </c>
      <c r="O45" s="60">
        <v>0</v>
      </c>
      <c r="P45" s="60">
        <v>1.1599999999999999</v>
      </c>
      <c r="Q45" s="60">
        <v>25.26</v>
      </c>
      <c r="R45" s="198"/>
      <c r="S45" s="198"/>
      <c r="T45" s="198"/>
      <c r="U45" s="198"/>
    </row>
    <row r="46" spans="1:21" s="12" customFormat="1" x14ac:dyDescent="0.25">
      <c r="A46" s="201" t="s">
        <v>1439</v>
      </c>
      <c r="B46" s="60">
        <v>20.79</v>
      </c>
      <c r="C46" s="60">
        <v>73.89</v>
      </c>
      <c r="D46" s="60">
        <v>58.1</v>
      </c>
      <c r="E46" s="60">
        <v>2.4500000000000002</v>
      </c>
      <c r="F46" s="60">
        <v>6.86</v>
      </c>
      <c r="G46" s="60">
        <v>98.97</v>
      </c>
      <c r="H46" s="60">
        <v>45.06</v>
      </c>
      <c r="I46" s="60">
        <v>0.77</v>
      </c>
      <c r="J46" s="60">
        <v>0.12</v>
      </c>
      <c r="K46" s="60">
        <v>223.96</v>
      </c>
      <c r="L46" s="60">
        <v>32.270000000000003</v>
      </c>
      <c r="M46" s="60">
        <v>33.31</v>
      </c>
      <c r="N46" s="60">
        <v>599</v>
      </c>
      <c r="O46" s="60">
        <v>0</v>
      </c>
      <c r="P46" s="60">
        <v>1.1200000000000001</v>
      </c>
      <c r="Q46" s="60">
        <v>21.6</v>
      </c>
      <c r="R46" s="198"/>
      <c r="S46" s="198"/>
      <c r="T46" s="198"/>
      <c r="U46" s="198"/>
    </row>
    <row r="47" spans="1:21" s="12" customFormat="1" x14ac:dyDescent="0.25">
      <c r="A47" s="201" t="s">
        <v>1440</v>
      </c>
      <c r="B47" s="60">
        <v>15.37</v>
      </c>
      <c r="C47" s="60">
        <v>75.13</v>
      </c>
      <c r="D47" s="60">
        <v>54.44</v>
      </c>
      <c r="E47" s="60">
        <v>2.25</v>
      </c>
      <c r="F47" s="60">
        <v>4.8099999999999996</v>
      </c>
      <c r="G47" s="60">
        <v>98.97</v>
      </c>
      <c r="H47" s="60">
        <v>45.06</v>
      </c>
      <c r="I47" s="60">
        <v>0.72</v>
      </c>
      <c r="J47" s="60">
        <v>0.12</v>
      </c>
      <c r="K47" s="60">
        <v>351.19</v>
      </c>
      <c r="L47" s="60">
        <v>33.39</v>
      </c>
      <c r="M47" s="60">
        <v>31.8</v>
      </c>
      <c r="N47" s="60">
        <v>635.9</v>
      </c>
      <c r="O47" s="60">
        <v>0</v>
      </c>
      <c r="P47" s="60">
        <v>1.1000000000000001</v>
      </c>
      <c r="Q47" s="60">
        <v>18.5</v>
      </c>
      <c r="R47" s="198"/>
      <c r="S47" s="198"/>
      <c r="T47" s="198"/>
      <c r="U47" s="198"/>
    </row>
    <row r="48" spans="1:21" s="12" customFormat="1" x14ac:dyDescent="0.25">
      <c r="A48" s="201" t="s">
        <v>1441</v>
      </c>
      <c r="B48" s="60">
        <v>9.27</v>
      </c>
      <c r="C48" s="60">
        <v>71.44</v>
      </c>
      <c r="D48" s="60">
        <v>47.5</v>
      </c>
      <c r="E48" s="60">
        <v>2.2400000000000002</v>
      </c>
      <c r="F48" s="60">
        <v>6.66</v>
      </c>
      <c r="G48" s="60">
        <v>98.97</v>
      </c>
      <c r="H48" s="60">
        <v>45.06</v>
      </c>
      <c r="I48" s="60">
        <v>0.7</v>
      </c>
      <c r="J48" s="60">
        <v>0.25</v>
      </c>
      <c r="K48" s="60">
        <v>23.92</v>
      </c>
      <c r="L48" s="60">
        <v>34.08</v>
      </c>
      <c r="M48" s="60">
        <v>29.13</v>
      </c>
      <c r="N48" s="60">
        <v>668.4</v>
      </c>
      <c r="O48" s="60">
        <v>0</v>
      </c>
      <c r="P48" s="60">
        <v>1.06</v>
      </c>
      <c r="Q48" s="60">
        <v>14.03</v>
      </c>
      <c r="R48" s="198"/>
      <c r="S48" s="198"/>
      <c r="T48" s="198"/>
      <c r="U48" s="198"/>
    </row>
    <row r="49" spans="1:21" s="12" customFormat="1" x14ac:dyDescent="0.25">
      <c r="A49" s="201" t="s">
        <v>1442</v>
      </c>
      <c r="B49" s="60">
        <v>6.76</v>
      </c>
      <c r="C49" s="60">
        <v>72.08</v>
      </c>
      <c r="D49" s="60">
        <v>45.85</v>
      </c>
      <c r="E49" s="60">
        <v>2.5099999999999998</v>
      </c>
      <c r="F49" s="60">
        <v>10.17</v>
      </c>
      <c r="G49" s="60">
        <v>100.97</v>
      </c>
      <c r="H49" s="60">
        <v>43.42</v>
      </c>
      <c r="I49" s="60">
        <v>0.69</v>
      </c>
      <c r="J49" s="60">
        <v>0.32</v>
      </c>
      <c r="K49" s="60">
        <v>17.600000000000001</v>
      </c>
      <c r="L49" s="60">
        <v>35.82</v>
      </c>
      <c r="M49" s="60">
        <v>26.06</v>
      </c>
      <c r="N49" s="60">
        <v>699.2</v>
      </c>
      <c r="O49" s="60">
        <v>0</v>
      </c>
      <c r="P49" s="60">
        <v>1.04</v>
      </c>
      <c r="Q49" s="60">
        <v>10.66</v>
      </c>
      <c r="R49" s="198"/>
      <c r="S49" s="198"/>
      <c r="T49" s="198"/>
      <c r="U49" s="198"/>
    </row>
    <row r="50" spans="1:21" s="12" customFormat="1" x14ac:dyDescent="0.25">
      <c r="A50" s="201" t="s">
        <v>1443</v>
      </c>
      <c r="B50" s="60">
        <v>5.98</v>
      </c>
      <c r="C50" s="60">
        <v>73.47</v>
      </c>
      <c r="D50" s="60">
        <v>45.99</v>
      </c>
      <c r="E50" s="60">
        <v>2.72</v>
      </c>
      <c r="F50" s="60">
        <v>8.48</v>
      </c>
      <c r="G50" s="60">
        <v>111.82</v>
      </c>
      <c r="H50" s="60">
        <v>36.729999999999997</v>
      </c>
      <c r="I50" s="60">
        <v>0.65</v>
      </c>
      <c r="J50" s="60">
        <v>0.21</v>
      </c>
      <c r="K50" s="60">
        <v>26.83</v>
      </c>
      <c r="L50" s="60">
        <v>36.020000000000003</v>
      </c>
      <c r="M50" s="60">
        <v>25.33</v>
      </c>
      <c r="N50" s="60">
        <v>724.4</v>
      </c>
      <c r="O50" s="60">
        <v>0</v>
      </c>
      <c r="P50" s="60">
        <v>1.06</v>
      </c>
      <c r="Q50" s="60">
        <v>8.7899999999999991</v>
      </c>
      <c r="R50" s="198"/>
      <c r="S50" s="198"/>
      <c r="T50" s="198"/>
      <c r="U50" s="198"/>
    </row>
    <row r="51" spans="1:21" s="12" customFormat="1" x14ac:dyDescent="0.25">
      <c r="A51" s="201" t="s">
        <v>1444</v>
      </c>
      <c r="B51" s="60">
        <v>3.44</v>
      </c>
      <c r="C51" s="60">
        <v>70.650000000000006</v>
      </c>
      <c r="D51" s="60">
        <v>42.39</v>
      </c>
      <c r="E51" s="60">
        <v>3.94</v>
      </c>
      <c r="F51" s="60">
        <v>12.36</v>
      </c>
      <c r="G51" s="60">
        <v>111.82</v>
      </c>
      <c r="H51" s="60">
        <v>36.729999999999997</v>
      </c>
      <c r="I51" s="60">
        <v>0.64</v>
      </c>
      <c r="J51" s="60">
        <v>0.22</v>
      </c>
      <c r="K51" s="60">
        <v>269.62</v>
      </c>
      <c r="L51" s="60">
        <v>35.049999999999997</v>
      </c>
      <c r="M51" s="60">
        <v>26.7</v>
      </c>
      <c r="N51" s="60">
        <v>731.9</v>
      </c>
      <c r="O51" s="60">
        <v>0</v>
      </c>
      <c r="P51" s="60">
        <v>1.0900000000000001</v>
      </c>
      <c r="Q51" s="60">
        <v>7.08</v>
      </c>
      <c r="R51" s="198"/>
      <c r="S51" s="198"/>
      <c r="T51" s="198"/>
      <c r="U51" s="198"/>
    </row>
    <row r="52" spans="1:21" s="12" customFormat="1" x14ac:dyDescent="0.25">
      <c r="A52" s="201" t="s">
        <v>1445</v>
      </c>
      <c r="B52" s="60">
        <v>2.64</v>
      </c>
      <c r="C52" s="60">
        <v>70.41</v>
      </c>
      <c r="D52" s="60">
        <v>41.62</v>
      </c>
      <c r="E52" s="60">
        <v>7.48</v>
      </c>
      <c r="F52" s="60">
        <v>17.510000000000002</v>
      </c>
      <c r="G52" s="60">
        <v>111.82</v>
      </c>
      <c r="H52" s="60">
        <v>36.729999999999997</v>
      </c>
      <c r="I52" s="60">
        <v>0.64</v>
      </c>
      <c r="J52" s="60">
        <v>0.18</v>
      </c>
      <c r="K52" s="60">
        <v>324.20999999999998</v>
      </c>
      <c r="L52" s="60">
        <v>35.54</v>
      </c>
      <c r="M52" s="60">
        <v>26.71</v>
      </c>
      <c r="N52" s="60">
        <v>733.1</v>
      </c>
      <c r="O52" s="60">
        <v>0</v>
      </c>
      <c r="P52" s="60">
        <v>1.1499999999999999</v>
      </c>
      <c r="Q52" s="60">
        <v>6.03</v>
      </c>
      <c r="R52" s="198"/>
      <c r="S52" s="198"/>
      <c r="T52" s="198"/>
      <c r="U52" s="198"/>
    </row>
    <row r="53" spans="1:21" s="12" customFormat="1" x14ac:dyDescent="0.25">
      <c r="A53" s="201" t="s">
        <v>1446</v>
      </c>
      <c r="B53" s="60">
        <v>2.46</v>
      </c>
      <c r="C53" s="60">
        <v>62.39</v>
      </c>
      <c r="D53" s="60">
        <v>37.049999999999997</v>
      </c>
      <c r="E53" s="60">
        <v>14.6</v>
      </c>
      <c r="F53" s="60">
        <v>27.76</v>
      </c>
      <c r="G53" s="60">
        <v>108.82</v>
      </c>
      <c r="H53" s="60">
        <v>37.61</v>
      </c>
      <c r="I53" s="60">
        <v>0.63</v>
      </c>
      <c r="J53" s="60">
        <v>0.11</v>
      </c>
      <c r="K53" s="60">
        <v>296.64999999999998</v>
      </c>
      <c r="L53" s="60">
        <v>36.14</v>
      </c>
      <c r="M53" s="60">
        <v>26.16</v>
      </c>
      <c r="N53" s="60">
        <v>728.9</v>
      </c>
      <c r="O53" s="60">
        <v>0</v>
      </c>
      <c r="P53" s="60">
        <v>1.26</v>
      </c>
      <c r="Q53" s="60">
        <v>5.74</v>
      </c>
      <c r="R53" s="198"/>
      <c r="S53" s="198"/>
      <c r="T53" s="198"/>
      <c r="U53" s="198"/>
    </row>
    <row r="54" spans="1:21" s="12" customFormat="1" x14ac:dyDescent="0.25">
      <c r="A54" s="201" t="s">
        <v>1447</v>
      </c>
      <c r="B54" s="60">
        <v>1.94</v>
      </c>
      <c r="C54" s="60">
        <v>63.93</v>
      </c>
      <c r="D54" s="60">
        <v>37.49</v>
      </c>
      <c r="E54" s="60">
        <v>12.46</v>
      </c>
      <c r="F54" s="60">
        <v>24.23</v>
      </c>
      <c r="G54" s="60">
        <v>91.04</v>
      </c>
      <c r="H54" s="60">
        <v>41.26</v>
      </c>
      <c r="I54" s="60">
        <v>0.61</v>
      </c>
      <c r="J54" s="60">
        <v>0.4</v>
      </c>
      <c r="K54" s="60">
        <v>353.73</v>
      </c>
      <c r="L54" s="60">
        <v>36.79</v>
      </c>
      <c r="M54" s="60">
        <v>26.46</v>
      </c>
      <c r="N54" s="60">
        <v>746.8</v>
      </c>
      <c r="O54" s="60">
        <v>0</v>
      </c>
      <c r="P54" s="60">
        <v>1.32</v>
      </c>
      <c r="Q54" s="60">
        <v>5.52</v>
      </c>
      <c r="R54" s="198"/>
      <c r="S54" s="198"/>
      <c r="T54" s="198"/>
      <c r="U54" s="198"/>
    </row>
    <row r="55" spans="1:21" s="12" customFormat="1" x14ac:dyDescent="0.25">
      <c r="A55" s="201" t="s">
        <v>1448</v>
      </c>
      <c r="B55" s="60">
        <v>2.5299999999999998</v>
      </c>
      <c r="C55" s="60">
        <v>65.27</v>
      </c>
      <c r="D55" s="60">
        <v>38.700000000000003</v>
      </c>
      <c r="E55" s="60">
        <v>12.75</v>
      </c>
      <c r="F55" s="60">
        <v>17.93</v>
      </c>
      <c r="G55" s="60">
        <v>91.04</v>
      </c>
      <c r="H55" s="60">
        <v>41.26</v>
      </c>
      <c r="I55" s="60">
        <v>0.6</v>
      </c>
      <c r="J55" s="60">
        <v>0.46</v>
      </c>
      <c r="K55" s="60">
        <v>3.34</v>
      </c>
      <c r="L55" s="60">
        <v>39.47</v>
      </c>
      <c r="M55" s="60">
        <v>22.6</v>
      </c>
      <c r="N55" s="60">
        <v>765</v>
      </c>
      <c r="O55" s="60">
        <v>0</v>
      </c>
      <c r="P55" s="60">
        <v>1.33</v>
      </c>
      <c r="Q55" s="60">
        <v>5.62</v>
      </c>
      <c r="R55" s="198"/>
      <c r="S55" s="198"/>
      <c r="T55" s="198"/>
      <c r="U55" s="198"/>
    </row>
    <row r="56" spans="1:21" s="12" customFormat="1" x14ac:dyDescent="0.25">
      <c r="A56" s="201" t="s">
        <v>1449</v>
      </c>
      <c r="B56" s="60">
        <v>2.1</v>
      </c>
      <c r="C56" s="60">
        <v>65.510000000000005</v>
      </c>
      <c r="D56" s="60">
        <v>38.49</v>
      </c>
      <c r="E56" s="60">
        <v>3.06</v>
      </c>
      <c r="F56" s="60">
        <v>16.38</v>
      </c>
      <c r="G56" s="60">
        <v>91.04</v>
      </c>
      <c r="H56" s="60">
        <v>41.26</v>
      </c>
      <c r="I56" s="60">
        <v>0.61</v>
      </c>
      <c r="J56" s="60">
        <v>0.43</v>
      </c>
      <c r="K56" s="60">
        <v>358.24</v>
      </c>
      <c r="L56" s="60">
        <v>39.26</v>
      </c>
      <c r="M56" s="60">
        <v>22.58</v>
      </c>
      <c r="N56" s="60">
        <v>782.8</v>
      </c>
      <c r="O56" s="60">
        <v>0</v>
      </c>
      <c r="P56" s="60">
        <v>1.36</v>
      </c>
      <c r="Q56" s="60">
        <v>7.32</v>
      </c>
      <c r="R56" s="198"/>
      <c r="S56" s="198"/>
      <c r="T56" s="198"/>
      <c r="U56" s="198"/>
    </row>
    <row r="57" spans="1:21" s="12" customFormat="1" x14ac:dyDescent="0.25">
      <c r="A57" s="201" t="s">
        <v>1450</v>
      </c>
      <c r="B57" s="60">
        <v>2.02</v>
      </c>
      <c r="C57" s="60">
        <v>67.55</v>
      </c>
      <c r="D57" s="60">
        <v>39.549999999999997</v>
      </c>
      <c r="E57" s="60">
        <v>5.35</v>
      </c>
      <c r="F57" s="60">
        <v>17.05</v>
      </c>
      <c r="G57" s="60">
        <v>92.62</v>
      </c>
      <c r="H57" s="60">
        <v>41.89</v>
      </c>
      <c r="I57" s="60">
        <v>0.62</v>
      </c>
      <c r="J57" s="60">
        <v>0.08</v>
      </c>
      <c r="K57" s="60">
        <v>290.37</v>
      </c>
      <c r="L57" s="60">
        <v>37.99</v>
      </c>
      <c r="M57" s="60">
        <v>22.21</v>
      </c>
      <c r="N57" s="60">
        <v>786.5</v>
      </c>
      <c r="O57" s="60">
        <v>0</v>
      </c>
      <c r="P57" s="60">
        <v>1.36</v>
      </c>
      <c r="Q57" s="60">
        <v>8.5399999999999991</v>
      </c>
      <c r="R57" s="198"/>
      <c r="S57" s="198"/>
      <c r="T57" s="198"/>
      <c r="U57" s="198"/>
    </row>
    <row r="58" spans="1:21" s="12" customFormat="1" x14ac:dyDescent="0.25">
      <c r="A58" s="201" t="s">
        <v>1451</v>
      </c>
      <c r="B58" s="60">
        <v>1.63</v>
      </c>
      <c r="C58" s="60">
        <v>67.930000000000007</v>
      </c>
      <c r="D58" s="60">
        <v>39.44</v>
      </c>
      <c r="E58" s="60">
        <v>5.13</v>
      </c>
      <c r="F58" s="60">
        <v>19.16</v>
      </c>
      <c r="G58" s="60">
        <v>101.18</v>
      </c>
      <c r="H58" s="60">
        <v>45.28</v>
      </c>
      <c r="I58" s="60">
        <v>0.62</v>
      </c>
      <c r="J58" s="60">
        <v>0.43</v>
      </c>
      <c r="K58" s="60">
        <v>9.7100000000000009</v>
      </c>
      <c r="L58" s="60">
        <v>38.15</v>
      </c>
      <c r="M58" s="60">
        <v>22.15</v>
      </c>
      <c r="N58" s="60">
        <v>761.3</v>
      </c>
      <c r="O58" s="60">
        <v>0</v>
      </c>
      <c r="P58" s="60">
        <v>1.35</v>
      </c>
      <c r="Q58" s="60">
        <v>8.52</v>
      </c>
      <c r="R58" s="198"/>
      <c r="S58" s="198"/>
      <c r="T58" s="198"/>
      <c r="U58" s="198"/>
    </row>
    <row r="59" spans="1:21" s="12" customFormat="1" x14ac:dyDescent="0.25">
      <c r="A59" s="201" t="s">
        <v>1452</v>
      </c>
      <c r="B59" s="60">
        <v>1.56</v>
      </c>
      <c r="C59" s="60">
        <v>65.650000000000006</v>
      </c>
      <c r="D59" s="60">
        <v>38.130000000000003</v>
      </c>
      <c r="E59" s="60">
        <v>6.79</v>
      </c>
      <c r="F59" s="60">
        <v>21.83</v>
      </c>
      <c r="G59" s="60">
        <v>101.18</v>
      </c>
      <c r="H59" s="60">
        <v>45.28</v>
      </c>
      <c r="I59" s="60">
        <v>0.61</v>
      </c>
      <c r="J59" s="60">
        <v>0.41</v>
      </c>
      <c r="K59" s="60">
        <v>8.83</v>
      </c>
      <c r="L59" s="60">
        <v>38.909999999999997</v>
      </c>
      <c r="M59" s="60">
        <v>20.58</v>
      </c>
      <c r="N59" s="60">
        <v>704.5</v>
      </c>
      <c r="O59" s="60">
        <v>0</v>
      </c>
      <c r="P59" s="60">
        <v>1.33</v>
      </c>
      <c r="Q59" s="60">
        <v>8.23</v>
      </c>
      <c r="R59" s="198"/>
      <c r="S59" s="198"/>
      <c r="T59" s="198"/>
      <c r="U59" s="198"/>
    </row>
    <row r="60" spans="1:21" s="12" customFormat="1" x14ac:dyDescent="0.25">
      <c r="A60" s="201" t="s">
        <v>1453</v>
      </c>
      <c r="B60" s="60">
        <v>1.73</v>
      </c>
      <c r="C60" s="60">
        <v>64.13</v>
      </c>
      <c r="D60" s="60">
        <v>37.43</v>
      </c>
      <c r="E60" s="60">
        <v>4.2300000000000004</v>
      </c>
      <c r="F60" s="60">
        <v>16.96</v>
      </c>
      <c r="G60" s="60">
        <v>101.18</v>
      </c>
      <c r="H60" s="60">
        <v>45.28</v>
      </c>
      <c r="I60" s="60">
        <v>0.6</v>
      </c>
      <c r="J60" s="60">
        <v>0.18</v>
      </c>
      <c r="K60" s="60">
        <v>355.79</v>
      </c>
      <c r="L60" s="60">
        <v>38.49</v>
      </c>
      <c r="M60" s="60">
        <v>20.66</v>
      </c>
      <c r="N60" s="60">
        <v>728.4</v>
      </c>
      <c r="O60" s="60">
        <v>0</v>
      </c>
      <c r="P60" s="60">
        <v>1.3</v>
      </c>
      <c r="Q60" s="60">
        <v>7.58</v>
      </c>
      <c r="R60" s="198"/>
      <c r="S60" s="198"/>
      <c r="T60" s="198"/>
      <c r="U60" s="198"/>
    </row>
    <row r="61" spans="1:21" s="12" customFormat="1" x14ac:dyDescent="0.25">
      <c r="A61" s="201" t="s">
        <v>1454</v>
      </c>
      <c r="B61" s="60">
        <v>1.95</v>
      </c>
      <c r="C61" s="60">
        <v>60.36</v>
      </c>
      <c r="D61" s="60">
        <v>35.520000000000003</v>
      </c>
      <c r="E61" s="60">
        <v>4.03</v>
      </c>
      <c r="F61" s="60">
        <v>16.97</v>
      </c>
      <c r="G61" s="60">
        <v>103.76</v>
      </c>
      <c r="H61" s="60">
        <v>45.35</v>
      </c>
      <c r="I61" s="60">
        <v>0.59</v>
      </c>
      <c r="J61" s="60">
        <v>0.84</v>
      </c>
      <c r="K61" s="60">
        <v>189.24</v>
      </c>
      <c r="L61" s="60">
        <v>37.1</v>
      </c>
      <c r="M61" s="60">
        <v>20.49</v>
      </c>
      <c r="N61" s="60">
        <v>674.5</v>
      </c>
      <c r="O61" s="60">
        <v>0</v>
      </c>
      <c r="P61" s="60">
        <v>1.22</v>
      </c>
      <c r="Q61" s="60">
        <v>6.78</v>
      </c>
      <c r="R61" s="198"/>
      <c r="S61" s="198"/>
      <c r="T61" s="198"/>
      <c r="U61" s="198"/>
    </row>
    <row r="62" spans="1:21" s="12" customFormat="1" x14ac:dyDescent="0.25">
      <c r="A62" s="201" t="s">
        <v>1455</v>
      </c>
      <c r="B62" s="60">
        <v>2.48</v>
      </c>
      <c r="C62" s="60">
        <v>58.45</v>
      </c>
      <c r="D62" s="60">
        <v>34.9</v>
      </c>
      <c r="E62" s="60">
        <v>4.03</v>
      </c>
      <c r="F62" s="60">
        <v>28.85</v>
      </c>
      <c r="G62" s="60">
        <v>119</v>
      </c>
      <c r="H62" s="60">
        <v>45.66</v>
      </c>
      <c r="I62" s="60">
        <v>0.57999999999999996</v>
      </c>
      <c r="J62" s="60">
        <v>0.15</v>
      </c>
      <c r="K62" s="60">
        <v>341.04</v>
      </c>
      <c r="L62" s="60">
        <v>37.85</v>
      </c>
      <c r="M62" s="60">
        <v>20.18</v>
      </c>
      <c r="N62" s="60">
        <v>664.7</v>
      </c>
      <c r="O62" s="60">
        <v>0</v>
      </c>
      <c r="P62" s="60">
        <v>1.19</v>
      </c>
      <c r="Q62" s="60">
        <v>5.42</v>
      </c>
      <c r="R62" s="198"/>
      <c r="S62" s="198"/>
      <c r="T62" s="198"/>
      <c r="U62" s="198"/>
    </row>
    <row r="63" spans="1:21" s="12" customFormat="1" x14ac:dyDescent="0.25">
      <c r="A63" s="201" t="s">
        <v>1456</v>
      </c>
      <c r="B63" s="60">
        <v>2.87</v>
      </c>
      <c r="C63" s="60">
        <v>54.15</v>
      </c>
      <c r="D63" s="60">
        <v>32.83</v>
      </c>
      <c r="E63" s="60">
        <v>4.6100000000000003</v>
      </c>
      <c r="F63" s="60">
        <v>24.18</v>
      </c>
      <c r="G63" s="60">
        <v>119</v>
      </c>
      <c r="H63" s="60">
        <v>45.66</v>
      </c>
      <c r="I63" s="60">
        <v>0.56999999999999995</v>
      </c>
      <c r="J63" s="60">
        <v>0.57999999999999996</v>
      </c>
      <c r="K63" s="60">
        <v>212.37</v>
      </c>
      <c r="L63" s="60">
        <v>37.9</v>
      </c>
      <c r="M63" s="60">
        <v>18.96</v>
      </c>
      <c r="N63" s="60">
        <v>663.3</v>
      </c>
      <c r="O63" s="60">
        <v>0</v>
      </c>
      <c r="P63" s="60">
        <v>1.1299999999999999</v>
      </c>
      <c r="Q63" s="60">
        <v>4.55</v>
      </c>
      <c r="R63" s="198"/>
      <c r="S63" s="198"/>
      <c r="T63" s="198"/>
      <c r="U63" s="198"/>
    </row>
    <row r="64" spans="1:21" s="12" customFormat="1" x14ac:dyDescent="0.25">
      <c r="A64" s="201" t="s">
        <v>1457</v>
      </c>
      <c r="B64" s="60">
        <v>1.75</v>
      </c>
      <c r="C64" s="60">
        <v>45.47</v>
      </c>
      <c r="D64" s="60">
        <v>27.14</v>
      </c>
      <c r="E64" s="60">
        <v>8.6199999999999992</v>
      </c>
      <c r="F64" s="60">
        <v>32.630000000000003</v>
      </c>
      <c r="G64" s="60">
        <v>119</v>
      </c>
      <c r="H64" s="60">
        <v>45.66</v>
      </c>
      <c r="I64" s="60">
        <v>0.56000000000000005</v>
      </c>
      <c r="J64" s="60">
        <v>0.13</v>
      </c>
      <c r="K64" s="60">
        <v>219.31</v>
      </c>
      <c r="L64" s="60">
        <v>37.799999999999997</v>
      </c>
      <c r="M64" s="60">
        <v>19.170000000000002</v>
      </c>
      <c r="N64" s="60">
        <v>627.70000000000005</v>
      </c>
      <c r="O64" s="60">
        <v>0</v>
      </c>
      <c r="P64" s="60">
        <v>1.04</v>
      </c>
      <c r="Q64" s="60">
        <v>4.16</v>
      </c>
      <c r="R64" s="198"/>
      <c r="S64" s="198"/>
      <c r="T64" s="198"/>
      <c r="U64" s="198"/>
    </row>
    <row r="65" spans="1:21" s="12" customFormat="1" x14ac:dyDescent="0.25">
      <c r="A65" s="201" t="s">
        <v>1458</v>
      </c>
      <c r="B65" s="60">
        <v>1.77</v>
      </c>
      <c r="C65" s="60">
        <v>48.57</v>
      </c>
      <c r="D65" s="60">
        <v>28.87</v>
      </c>
      <c r="E65" s="60">
        <v>5.52</v>
      </c>
      <c r="F65" s="60">
        <v>22.25</v>
      </c>
      <c r="G65" s="60">
        <v>111.46</v>
      </c>
      <c r="H65" s="60">
        <v>43.53</v>
      </c>
      <c r="I65" s="60">
        <v>0.56000000000000005</v>
      </c>
      <c r="J65" s="60">
        <v>1.1299999999999999</v>
      </c>
      <c r="K65" s="60">
        <v>199.67</v>
      </c>
      <c r="L65" s="60">
        <v>37.4</v>
      </c>
      <c r="M65" s="60">
        <v>18.03</v>
      </c>
      <c r="N65" s="60">
        <v>581.1</v>
      </c>
      <c r="O65" s="60">
        <v>0</v>
      </c>
      <c r="P65" s="60">
        <v>1.03</v>
      </c>
      <c r="Q65" s="60">
        <v>3.84</v>
      </c>
      <c r="R65" s="198"/>
      <c r="S65" s="198"/>
      <c r="T65" s="198"/>
      <c r="U65" s="198"/>
    </row>
    <row r="66" spans="1:21" s="12" customFormat="1" x14ac:dyDescent="0.25">
      <c r="A66" s="201" t="s">
        <v>1459</v>
      </c>
      <c r="B66" s="60">
        <v>1.71</v>
      </c>
      <c r="C66" s="60">
        <v>48.72</v>
      </c>
      <c r="D66" s="60">
        <v>28.91</v>
      </c>
      <c r="E66" s="60">
        <v>4.05</v>
      </c>
      <c r="F66" s="60">
        <v>20.63</v>
      </c>
      <c r="G66" s="60">
        <v>70.489999999999995</v>
      </c>
      <c r="H66" s="60">
        <v>34.700000000000003</v>
      </c>
      <c r="I66" s="60">
        <v>0.55000000000000004</v>
      </c>
      <c r="J66" s="60">
        <v>1.42</v>
      </c>
      <c r="K66" s="60">
        <v>167.38</v>
      </c>
      <c r="L66" s="60">
        <v>36.56</v>
      </c>
      <c r="M66" s="60">
        <v>18.87</v>
      </c>
      <c r="N66" s="60">
        <v>567.4</v>
      </c>
      <c r="O66" s="60">
        <v>0</v>
      </c>
      <c r="P66" s="60">
        <v>1</v>
      </c>
      <c r="Q66" s="60">
        <v>3.71</v>
      </c>
      <c r="R66" s="198"/>
      <c r="S66" s="198"/>
      <c r="T66" s="198"/>
      <c r="U66" s="198"/>
    </row>
    <row r="67" spans="1:21" s="12" customFormat="1" x14ac:dyDescent="0.25">
      <c r="A67" s="201" t="s">
        <v>1460</v>
      </c>
      <c r="B67" s="60">
        <v>1.98</v>
      </c>
      <c r="C67" s="60">
        <v>46.28</v>
      </c>
      <c r="D67" s="60">
        <v>27.78</v>
      </c>
      <c r="E67" s="60">
        <v>5.82</v>
      </c>
      <c r="F67" s="60">
        <v>32.53</v>
      </c>
      <c r="G67" s="60">
        <v>70.489999999999995</v>
      </c>
      <c r="H67" s="60">
        <v>34.700000000000003</v>
      </c>
      <c r="I67" s="60">
        <v>0.57999999999999996</v>
      </c>
      <c r="J67" s="60">
        <v>1.33</v>
      </c>
      <c r="K67" s="60">
        <v>177.05</v>
      </c>
      <c r="L67" s="60">
        <v>36.659999999999997</v>
      </c>
      <c r="M67" s="60">
        <v>19.05</v>
      </c>
      <c r="N67" s="60">
        <v>458.2</v>
      </c>
      <c r="O67" s="60">
        <v>0</v>
      </c>
      <c r="P67" s="60">
        <v>0.92</v>
      </c>
      <c r="Q67" s="60">
        <v>4.7</v>
      </c>
      <c r="R67" s="198"/>
      <c r="S67" s="198"/>
      <c r="T67" s="198"/>
      <c r="U67" s="198"/>
    </row>
    <row r="68" spans="1:21" s="12" customFormat="1" x14ac:dyDescent="0.25">
      <c r="A68" s="201" t="s">
        <v>1461</v>
      </c>
      <c r="B68" s="60">
        <v>1.96</v>
      </c>
      <c r="C68" s="60">
        <v>42.55</v>
      </c>
      <c r="D68" s="60">
        <v>25.7</v>
      </c>
      <c r="E68" s="60">
        <v>4.26</v>
      </c>
      <c r="F68" s="60">
        <v>22.55</v>
      </c>
      <c r="G68" s="60">
        <v>70.489999999999995</v>
      </c>
      <c r="H68" s="60">
        <v>34.700000000000003</v>
      </c>
      <c r="I68" s="60">
        <v>0.59</v>
      </c>
      <c r="J68" s="60">
        <v>1.63</v>
      </c>
      <c r="K68" s="60">
        <v>188.9</v>
      </c>
      <c r="L68" s="60">
        <v>36.58</v>
      </c>
      <c r="M68" s="60">
        <v>19.079999999999998</v>
      </c>
      <c r="N68" s="60">
        <v>385.7</v>
      </c>
      <c r="O68" s="60">
        <v>0</v>
      </c>
      <c r="P68" s="60">
        <v>0.91</v>
      </c>
      <c r="Q68" s="60">
        <v>6.19</v>
      </c>
      <c r="R68" s="198"/>
      <c r="S68" s="198"/>
      <c r="T68" s="198"/>
      <c r="U68" s="198"/>
    </row>
    <row r="69" spans="1:21" s="12" customFormat="1" x14ac:dyDescent="0.25">
      <c r="A69" s="201" t="s">
        <v>1462</v>
      </c>
      <c r="B69" s="60">
        <v>1.95</v>
      </c>
      <c r="C69" s="60">
        <v>43.03</v>
      </c>
      <c r="D69" s="60">
        <v>25.95</v>
      </c>
      <c r="E69" s="60">
        <v>4.8899999999999997</v>
      </c>
      <c r="F69" s="60">
        <v>34.340000000000003</v>
      </c>
      <c r="G69" s="60">
        <v>62.77</v>
      </c>
      <c r="H69" s="60">
        <v>33.96</v>
      </c>
      <c r="I69" s="60">
        <v>0.57999999999999996</v>
      </c>
      <c r="J69" s="60">
        <v>1.18</v>
      </c>
      <c r="K69" s="60">
        <v>184.98</v>
      </c>
      <c r="L69" s="60">
        <v>36.03</v>
      </c>
      <c r="M69" s="60">
        <v>19.47</v>
      </c>
      <c r="N69" s="60">
        <v>152.80000000000001</v>
      </c>
      <c r="O69" s="60">
        <v>0</v>
      </c>
      <c r="P69" s="60">
        <v>0.83</v>
      </c>
      <c r="Q69" s="60">
        <v>6.72</v>
      </c>
      <c r="R69" s="198"/>
      <c r="S69" s="198"/>
      <c r="T69" s="198"/>
      <c r="U69" s="198"/>
    </row>
    <row r="70" spans="1:21" s="12" customFormat="1" x14ac:dyDescent="0.25">
      <c r="A70" s="201" t="s">
        <v>1463</v>
      </c>
      <c r="B70" s="60">
        <v>1.86</v>
      </c>
      <c r="C70" s="60">
        <v>44.5</v>
      </c>
      <c r="D70" s="60">
        <v>26.69</v>
      </c>
      <c r="E70" s="60">
        <v>5.87</v>
      </c>
      <c r="F70" s="60">
        <v>30.3</v>
      </c>
      <c r="G70" s="60">
        <v>17.07</v>
      </c>
      <c r="H70" s="60">
        <v>30.87</v>
      </c>
      <c r="I70" s="60">
        <v>0.63</v>
      </c>
      <c r="J70" s="60">
        <v>0.71</v>
      </c>
      <c r="K70" s="60">
        <v>191.37</v>
      </c>
      <c r="L70" s="60">
        <v>35.76</v>
      </c>
      <c r="M70" s="60">
        <v>18.89</v>
      </c>
      <c r="N70" s="60">
        <v>130.19999999999999</v>
      </c>
      <c r="O70" s="60">
        <v>0</v>
      </c>
      <c r="P70" s="60">
        <v>0.81</v>
      </c>
      <c r="Q70" s="60">
        <v>7.39</v>
      </c>
      <c r="R70" s="198"/>
      <c r="S70" s="198"/>
      <c r="T70" s="198"/>
      <c r="U70" s="198"/>
    </row>
    <row r="71" spans="1:21" s="12" customFormat="1" x14ac:dyDescent="0.25">
      <c r="A71" s="201" t="s">
        <v>1464</v>
      </c>
      <c r="B71" s="60">
        <v>1.69</v>
      </c>
      <c r="C71" s="60">
        <v>45.34</v>
      </c>
      <c r="D71" s="60">
        <v>27.03</v>
      </c>
      <c r="E71" s="60">
        <v>5.41</v>
      </c>
      <c r="F71" s="60">
        <v>27.83</v>
      </c>
      <c r="G71" s="60">
        <v>17.07</v>
      </c>
      <c r="H71" s="60">
        <v>30.87</v>
      </c>
      <c r="I71" s="60">
        <v>0.6</v>
      </c>
      <c r="J71" s="60">
        <v>0.71</v>
      </c>
      <c r="K71" s="60">
        <v>201.93</v>
      </c>
      <c r="L71" s="60">
        <v>35.49</v>
      </c>
      <c r="M71" s="60">
        <v>20.77</v>
      </c>
      <c r="N71" s="60">
        <v>119.1</v>
      </c>
      <c r="O71" s="60">
        <v>0</v>
      </c>
      <c r="P71" s="60">
        <v>0.78</v>
      </c>
      <c r="Q71" s="60">
        <v>6.81</v>
      </c>
      <c r="R71" s="198"/>
      <c r="S71" s="198"/>
      <c r="T71" s="198"/>
      <c r="U71" s="198"/>
    </row>
    <row r="72" spans="1:21" s="12" customFormat="1" x14ac:dyDescent="0.25">
      <c r="A72" s="201" t="s">
        <v>1465</v>
      </c>
      <c r="B72" s="60">
        <v>1.64</v>
      </c>
      <c r="C72" s="60">
        <v>46.52</v>
      </c>
      <c r="D72" s="60">
        <v>27.64</v>
      </c>
      <c r="E72" s="60">
        <v>2.25</v>
      </c>
      <c r="F72" s="60">
        <v>24.97</v>
      </c>
      <c r="G72" s="60">
        <v>17.07</v>
      </c>
      <c r="H72" s="60">
        <v>30.87</v>
      </c>
      <c r="I72" s="60">
        <v>0.62</v>
      </c>
      <c r="J72" s="60">
        <v>0.85</v>
      </c>
      <c r="K72" s="60">
        <v>190.45</v>
      </c>
      <c r="L72" s="60">
        <v>35.369999999999997</v>
      </c>
      <c r="M72" s="60">
        <v>21.47</v>
      </c>
      <c r="N72" s="60">
        <v>126.1</v>
      </c>
      <c r="O72" s="60">
        <v>0</v>
      </c>
      <c r="P72" s="60">
        <v>0.75</v>
      </c>
      <c r="Q72" s="60">
        <v>5.81</v>
      </c>
      <c r="R72" s="198"/>
      <c r="S72" s="198"/>
      <c r="T72" s="198"/>
      <c r="U72" s="198"/>
    </row>
    <row r="73" spans="1:21" s="12" customFormat="1" x14ac:dyDescent="0.25">
      <c r="A73" s="201" t="s">
        <v>1466</v>
      </c>
      <c r="B73" s="60">
        <v>1.69</v>
      </c>
      <c r="C73" s="60">
        <v>47.6</v>
      </c>
      <c r="D73" s="60">
        <v>28.27</v>
      </c>
      <c r="E73" s="60">
        <v>5.13</v>
      </c>
      <c r="F73" s="60">
        <v>28.15</v>
      </c>
      <c r="G73" s="60">
        <v>25.63</v>
      </c>
      <c r="H73" s="60">
        <v>31.05</v>
      </c>
      <c r="I73" s="60">
        <v>0.62</v>
      </c>
      <c r="J73" s="60">
        <v>0.48</v>
      </c>
      <c r="K73" s="60">
        <v>215.29</v>
      </c>
      <c r="L73" s="60">
        <v>35.549999999999997</v>
      </c>
      <c r="M73" s="60">
        <v>21.13</v>
      </c>
      <c r="N73" s="60">
        <v>168.7</v>
      </c>
      <c r="O73" s="60">
        <v>0</v>
      </c>
      <c r="P73" s="60">
        <v>0.7</v>
      </c>
      <c r="Q73" s="60">
        <v>4.97</v>
      </c>
      <c r="R73" s="198"/>
      <c r="S73" s="198"/>
      <c r="T73" s="198"/>
      <c r="U73" s="198"/>
    </row>
    <row r="74" spans="1:21" s="12" customFormat="1" x14ac:dyDescent="0.25">
      <c r="A74" s="201" t="s">
        <v>1467</v>
      </c>
      <c r="B74" s="60">
        <v>1.76</v>
      </c>
      <c r="C74" s="60">
        <v>48.07</v>
      </c>
      <c r="D74" s="60">
        <v>28.58</v>
      </c>
      <c r="E74" s="60">
        <v>4.5199999999999996</v>
      </c>
      <c r="F74" s="60">
        <v>24.32</v>
      </c>
      <c r="G74" s="60">
        <v>72.09</v>
      </c>
      <c r="H74" s="60">
        <v>32</v>
      </c>
      <c r="I74" s="60">
        <v>0.61</v>
      </c>
      <c r="J74" s="60">
        <v>0.85</v>
      </c>
      <c r="K74" s="60">
        <v>202.62</v>
      </c>
      <c r="L74" s="60">
        <v>35.770000000000003</v>
      </c>
      <c r="M74" s="60">
        <v>21.05</v>
      </c>
      <c r="N74" s="60">
        <v>180.1</v>
      </c>
      <c r="O74" s="60">
        <v>0</v>
      </c>
      <c r="P74" s="60">
        <v>0.69</v>
      </c>
      <c r="Q74" s="60">
        <v>3.78</v>
      </c>
      <c r="R74" s="198"/>
      <c r="S74" s="198"/>
      <c r="T74" s="198"/>
      <c r="U74" s="198"/>
    </row>
    <row r="75" spans="1:21" s="12" customFormat="1" x14ac:dyDescent="0.25">
      <c r="A75" s="201" t="s">
        <v>1468</v>
      </c>
      <c r="B75" s="60">
        <v>1.63</v>
      </c>
      <c r="C75" s="60">
        <v>46.28</v>
      </c>
      <c r="D75" s="60">
        <v>27.49</v>
      </c>
      <c r="E75" s="60">
        <v>4.57</v>
      </c>
      <c r="F75" s="60">
        <v>28.89</v>
      </c>
      <c r="G75" s="60">
        <v>72.09</v>
      </c>
      <c r="H75" s="60">
        <v>32</v>
      </c>
      <c r="I75" s="60">
        <v>0.59</v>
      </c>
      <c r="J75" s="60">
        <v>0.51</v>
      </c>
      <c r="K75" s="60">
        <v>223.37</v>
      </c>
      <c r="L75" s="60">
        <v>35.53</v>
      </c>
      <c r="M75" s="60">
        <v>20.67</v>
      </c>
      <c r="N75" s="60">
        <v>120.7</v>
      </c>
      <c r="O75" s="60">
        <v>0</v>
      </c>
      <c r="P75" s="60">
        <v>0.65</v>
      </c>
      <c r="Q75" s="60">
        <v>2.85</v>
      </c>
      <c r="R75" s="198"/>
      <c r="S75" s="198"/>
      <c r="T75" s="198"/>
      <c r="U75" s="198"/>
    </row>
    <row r="76" spans="1:21" s="12" customFormat="1" x14ac:dyDescent="0.25">
      <c r="A76" s="201" t="s">
        <v>1469</v>
      </c>
      <c r="B76" s="60">
        <v>1.71</v>
      </c>
      <c r="C76" s="60">
        <v>48.33</v>
      </c>
      <c r="D76" s="60">
        <v>28.69</v>
      </c>
      <c r="E76" s="60">
        <v>7.68</v>
      </c>
      <c r="F76" s="60">
        <v>46.5</v>
      </c>
      <c r="G76" s="60">
        <v>72.09</v>
      </c>
      <c r="H76" s="60">
        <v>32</v>
      </c>
      <c r="I76" s="60">
        <v>0.6</v>
      </c>
      <c r="J76" s="60">
        <v>0.32</v>
      </c>
      <c r="K76" s="60">
        <v>215.8</v>
      </c>
      <c r="L76" s="60">
        <v>35.29</v>
      </c>
      <c r="M76" s="60">
        <v>22.02</v>
      </c>
      <c r="N76" s="60">
        <v>76.099999999999994</v>
      </c>
      <c r="O76" s="60">
        <v>0</v>
      </c>
      <c r="P76" s="60">
        <v>0.6</v>
      </c>
      <c r="Q76" s="60">
        <v>2.02</v>
      </c>
      <c r="R76" s="198"/>
      <c r="S76" s="198"/>
      <c r="T76" s="198"/>
      <c r="U76" s="198"/>
    </row>
    <row r="77" spans="1:21" s="12" customFormat="1" x14ac:dyDescent="0.25">
      <c r="A77" s="201" t="s">
        <v>1470</v>
      </c>
      <c r="B77" s="60">
        <v>1.67</v>
      </c>
      <c r="C77" s="60">
        <v>47.35</v>
      </c>
      <c r="D77" s="60">
        <v>28.12</v>
      </c>
      <c r="E77" s="60">
        <v>10.6</v>
      </c>
      <c r="F77" s="60">
        <v>57.03</v>
      </c>
      <c r="G77" s="60">
        <v>72.489999999999995</v>
      </c>
      <c r="H77" s="60">
        <v>31.57</v>
      </c>
      <c r="I77" s="60">
        <v>0.57999999999999996</v>
      </c>
      <c r="J77" s="60">
        <v>0.42</v>
      </c>
      <c r="K77" s="60">
        <v>229.68</v>
      </c>
      <c r="L77" s="60">
        <v>34.9</v>
      </c>
      <c r="M77" s="60">
        <v>22.94</v>
      </c>
      <c r="N77" s="60">
        <v>58.8</v>
      </c>
      <c r="O77" s="60">
        <v>0</v>
      </c>
      <c r="P77" s="60">
        <v>0.6</v>
      </c>
      <c r="Q77" s="60">
        <v>0.98</v>
      </c>
      <c r="R77" s="198"/>
      <c r="S77" s="198"/>
      <c r="T77" s="198"/>
      <c r="U77" s="198"/>
    </row>
    <row r="78" spans="1:21" s="12" customFormat="1" x14ac:dyDescent="0.25">
      <c r="A78" s="201" t="s">
        <v>1471</v>
      </c>
      <c r="B78" s="60">
        <v>1.71</v>
      </c>
      <c r="C78" s="60">
        <v>44.13</v>
      </c>
      <c r="D78" s="60">
        <v>26.37</v>
      </c>
      <c r="E78" s="60">
        <v>10.64</v>
      </c>
      <c r="F78" s="60">
        <v>58.1</v>
      </c>
      <c r="G78" s="60">
        <v>74.64</v>
      </c>
      <c r="H78" s="60">
        <v>29.76</v>
      </c>
      <c r="I78" s="60">
        <v>0.52</v>
      </c>
      <c r="J78" s="60">
        <v>0.33</v>
      </c>
      <c r="K78" s="60">
        <v>243.53</v>
      </c>
      <c r="L78" s="60">
        <v>34.58</v>
      </c>
      <c r="M78" s="60">
        <v>23.73</v>
      </c>
      <c r="N78" s="60">
        <v>37.5</v>
      </c>
      <c r="O78" s="60">
        <v>0</v>
      </c>
      <c r="P78" s="60">
        <v>0.6</v>
      </c>
      <c r="Q78" s="60">
        <v>0.36</v>
      </c>
      <c r="R78" s="198"/>
      <c r="S78" s="198"/>
      <c r="T78" s="198"/>
      <c r="U78" s="198"/>
    </row>
    <row r="79" spans="1:21" s="12" customFormat="1" x14ac:dyDescent="0.25">
      <c r="A79" s="201" t="s">
        <v>1472</v>
      </c>
      <c r="B79" s="60">
        <v>1.73</v>
      </c>
      <c r="C79" s="60">
        <v>43.94</v>
      </c>
      <c r="D79" s="60">
        <v>26.28</v>
      </c>
      <c r="E79" s="60">
        <v>11.59</v>
      </c>
      <c r="F79" s="60">
        <v>62.82</v>
      </c>
      <c r="G79" s="60">
        <v>74.64</v>
      </c>
      <c r="H79" s="60">
        <v>29.76</v>
      </c>
      <c r="I79" s="60">
        <v>0.53</v>
      </c>
      <c r="J79" s="60">
        <v>0.22</v>
      </c>
      <c r="K79" s="60">
        <v>249.36</v>
      </c>
      <c r="L79" s="60">
        <v>34.270000000000003</v>
      </c>
      <c r="M79" s="60">
        <v>24.69</v>
      </c>
      <c r="N79" s="60">
        <v>26.9</v>
      </c>
      <c r="O79" s="60">
        <v>0</v>
      </c>
      <c r="P79" s="60">
        <v>0.62</v>
      </c>
      <c r="Q79" s="215" t="s">
        <v>42</v>
      </c>
      <c r="R79" s="198"/>
      <c r="S79" s="198"/>
      <c r="T79" s="198"/>
      <c r="U79" s="198"/>
    </row>
    <row r="80" spans="1:21" s="12" customFormat="1" x14ac:dyDescent="0.25">
      <c r="A80" s="201" t="s">
        <v>1473</v>
      </c>
      <c r="B80" s="60">
        <v>9.31</v>
      </c>
      <c r="C80" s="60">
        <v>90.49</v>
      </c>
      <c r="D80" s="60">
        <v>58.04</v>
      </c>
      <c r="E80" s="60">
        <v>11.62</v>
      </c>
      <c r="F80" s="60">
        <v>31.97</v>
      </c>
      <c r="G80" s="60">
        <v>74.64</v>
      </c>
      <c r="H80" s="60">
        <v>29.76</v>
      </c>
      <c r="I80" s="60">
        <v>0.54</v>
      </c>
      <c r="J80" s="60">
        <v>0.41</v>
      </c>
      <c r="K80" s="60">
        <v>199.04</v>
      </c>
      <c r="L80" s="60">
        <v>33.82</v>
      </c>
      <c r="M80" s="60">
        <v>26.67</v>
      </c>
      <c r="N80" s="60">
        <v>17.3</v>
      </c>
      <c r="O80" s="60">
        <v>0</v>
      </c>
      <c r="P80" s="60">
        <v>0.79</v>
      </c>
      <c r="Q80" s="215" t="s">
        <v>42</v>
      </c>
      <c r="R80" s="198"/>
      <c r="S80" s="198"/>
      <c r="T80" s="198"/>
      <c r="U80" s="198"/>
    </row>
    <row r="81" spans="1:26" s="12" customFormat="1" x14ac:dyDescent="0.25">
      <c r="A81" s="201" t="s">
        <v>1474</v>
      </c>
      <c r="B81" s="60">
        <v>2.0699999999999998</v>
      </c>
      <c r="C81" s="60">
        <v>55.27</v>
      </c>
      <c r="D81" s="60">
        <v>32.81</v>
      </c>
      <c r="E81" s="60">
        <v>12.13</v>
      </c>
      <c r="F81" s="60">
        <v>52.67</v>
      </c>
      <c r="G81" s="60">
        <v>82.17</v>
      </c>
      <c r="H81" s="60">
        <v>29.4</v>
      </c>
      <c r="I81" s="60">
        <v>0.55000000000000004</v>
      </c>
      <c r="J81" s="60">
        <v>0.17</v>
      </c>
      <c r="K81" s="60">
        <v>255.18</v>
      </c>
      <c r="L81" s="60">
        <v>33.61</v>
      </c>
      <c r="M81" s="60">
        <v>26.63</v>
      </c>
      <c r="N81" s="60">
        <v>9.6</v>
      </c>
      <c r="O81" s="60">
        <v>0</v>
      </c>
      <c r="P81" s="60">
        <v>0.78</v>
      </c>
      <c r="Q81" s="60">
        <v>0.23</v>
      </c>
      <c r="R81" s="198"/>
      <c r="S81" s="198"/>
      <c r="T81" s="198"/>
      <c r="U81" s="198"/>
    </row>
    <row r="82" spans="1:26" s="12" customFormat="1" x14ac:dyDescent="0.25">
      <c r="A82" s="201" t="s">
        <v>1475</v>
      </c>
      <c r="B82" s="60">
        <v>2.92</v>
      </c>
      <c r="C82" s="60">
        <v>78.58</v>
      </c>
      <c r="D82" s="60">
        <v>46.36</v>
      </c>
      <c r="E82" s="60">
        <v>11.63</v>
      </c>
      <c r="F82" s="60">
        <v>37.020000000000003</v>
      </c>
      <c r="G82" s="60">
        <v>123.02</v>
      </c>
      <c r="H82" s="60">
        <v>27.9</v>
      </c>
      <c r="I82" s="60">
        <v>0.62</v>
      </c>
      <c r="J82" s="60">
        <v>0.21</v>
      </c>
      <c r="K82" s="60">
        <v>233.54</v>
      </c>
      <c r="L82" s="60">
        <v>33.22</v>
      </c>
      <c r="M82" s="60">
        <v>27.91</v>
      </c>
      <c r="N82" s="60">
        <v>5.6</v>
      </c>
      <c r="O82" s="60">
        <v>0</v>
      </c>
      <c r="P82" s="60">
        <v>0.84</v>
      </c>
      <c r="Q82" s="60">
        <v>1.1299999999999999</v>
      </c>
      <c r="R82" s="198"/>
      <c r="S82" s="198"/>
      <c r="T82" s="198"/>
      <c r="U82" s="198"/>
    </row>
    <row r="83" spans="1:26" s="12" customFormat="1" x14ac:dyDescent="0.25">
      <c r="A83" s="201" t="s">
        <v>1476</v>
      </c>
      <c r="B83" s="60">
        <v>4.1500000000000004</v>
      </c>
      <c r="C83" s="60">
        <v>95.83</v>
      </c>
      <c r="D83" s="60">
        <v>56.87</v>
      </c>
      <c r="E83" s="60">
        <v>11.18</v>
      </c>
      <c r="F83" s="60">
        <v>26.3</v>
      </c>
      <c r="G83" s="60">
        <v>123.02</v>
      </c>
      <c r="H83" s="60">
        <v>27.9</v>
      </c>
      <c r="I83" s="60">
        <v>0.62</v>
      </c>
      <c r="J83" s="60">
        <v>0.14000000000000001</v>
      </c>
      <c r="K83" s="60">
        <v>199.69</v>
      </c>
      <c r="L83" s="60">
        <v>32.57</v>
      </c>
      <c r="M83" s="60">
        <v>30.13</v>
      </c>
      <c r="N83" s="60">
        <v>5.3</v>
      </c>
      <c r="O83" s="60">
        <v>0</v>
      </c>
      <c r="P83" s="60">
        <v>0.92</v>
      </c>
      <c r="Q83" s="60">
        <v>2.1800000000000002</v>
      </c>
      <c r="R83" s="198"/>
      <c r="S83" s="198"/>
      <c r="T83" s="198"/>
      <c r="U83" s="198"/>
    </row>
    <row r="84" spans="1:26" s="12" customFormat="1" x14ac:dyDescent="0.25">
      <c r="A84" s="201" t="s">
        <v>1477</v>
      </c>
      <c r="B84" s="60">
        <v>25.2</v>
      </c>
      <c r="C84" s="60">
        <v>98.34</v>
      </c>
      <c r="D84" s="60">
        <v>75.12</v>
      </c>
      <c r="E84" s="60">
        <v>10.07</v>
      </c>
      <c r="F84" s="60">
        <v>14.12</v>
      </c>
      <c r="G84" s="60">
        <v>123.02</v>
      </c>
      <c r="H84" s="60">
        <v>27.9</v>
      </c>
      <c r="I84" s="60">
        <v>0.67</v>
      </c>
      <c r="J84" s="60">
        <v>0.06</v>
      </c>
      <c r="K84" s="60">
        <v>69</v>
      </c>
      <c r="L84" s="60">
        <v>31.96</v>
      </c>
      <c r="M84" s="60">
        <v>32.57</v>
      </c>
      <c r="N84" s="60">
        <v>5.2</v>
      </c>
      <c r="O84" s="60">
        <v>0</v>
      </c>
      <c r="P84" s="60">
        <v>1.56</v>
      </c>
      <c r="Q84" s="60">
        <v>4.72</v>
      </c>
      <c r="R84" s="198"/>
      <c r="S84" s="198"/>
      <c r="T84" s="198"/>
      <c r="U84" s="198"/>
    </row>
    <row r="85" spans="1:26" s="12" customFormat="1" x14ac:dyDescent="0.25">
      <c r="A85" s="201" t="s">
        <v>1478</v>
      </c>
      <c r="B85" s="60">
        <v>39.270000000000003</v>
      </c>
      <c r="C85" s="60">
        <v>110.35</v>
      </c>
      <c r="D85" s="60">
        <v>93.04</v>
      </c>
      <c r="E85" s="60">
        <v>8.32</v>
      </c>
      <c r="F85" s="60">
        <v>5.59</v>
      </c>
      <c r="G85" s="60">
        <v>120.29</v>
      </c>
      <c r="H85" s="60">
        <v>29.14</v>
      </c>
      <c r="I85" s="60">
        <v>0.75</v>
      </c>
      <c r="J85" s="60">
        <v>0.19</v>
      </c>
      <c r="K85" s="60">
        <v>58.67</v>
      </c>
      <c r="L85" s="60">
        <v>31.74</v>
      </c>
      <c r="M85" s="60">
        <v>35.11</v>
      </c>
      <c r="N85" s="60">
        <v>5.2</v>
      </c>
      <c r="O85" s="60">
        <v>0</v>
      </c>
      <c r="P85" s="60">
        <v>1.52</v>
      </c>
      <c r="Q85" s="60">
        <v>9.5399999999999991</v>
      </c>
      <c r="R85" s="198"/>
      <c r="S85" s="198"/>
      <c r="T85" s="198"/>
      <c r="U85" s="198"/>
    </row>
    <row r="86" spans="1:26" s="12" customFormat="1" x14ac:dyDescent="0.25">
      <c r="A86" s="201" t="s">
        <v>1479</v>
      </c>
      <c r="B86" s="60">
        <v>17.559999999999999</v>
      </c>
      <c r="C86" s="60">
        <v>73.34</v>
      </c>
      <c r="D86" s="60">
        <v>55.2</v>
      </c>
      <c r="E86" s="60">
        <v>6.7</v>
      </c>
      <c r="F86" s="60">
        <v>7.79</v>
      </c>
      <c r="G86" s="60">
        <v>105.49</v>
      </c>
      <c r="H86" s="60">
        <v>34.29</v>
      </c>
      <c r="I86" s="60">
        <v>0.81</v>
      </c>
      <c r="J86" s="60">
        <v>1.29</v>
      </c>
      <c r="K86" s="60">
        <v>26.79</v>
      </c>
      <c r="L86" s="60">
        <v>31.38</v>
      </c>
      <c r="M86" s="60">
        <v>33.64</v>
      </c>
      <c r="N86" s="60">
        <v>4.3</v>
      </c>
      <c r="O86" s="60">
        <v>0</v>
      </c>
      <c r="P86" s="60">
        <v>1.28</v>
      </c>
      <c r="Q86" s="60">
        <v>13.18</v>
      </c>
      <c r="R86" s="198"/>
      <c r="S86" s="198"/>
      <c r="T86" s="198"/>
      <c r="U86" s="198"/>
    </row>
    <row r="87" spans="1:26" s="12" customFormat="1" x14ac:dyDescent="0.25">
      <c r="A87" s="201" t="s">
        <v>1480</v>
      </c>
      <c r="B87" s="60">
        <v>14.93</v>
      </c>
      <c r="C87" s="60">
        <v>75.37</v>
      </c>
      <c r="D87" s="60">
        <v>54.21</v>
      </c>
      <c r="E87" s="60">
        <v>7.02</v>
      </c>
      <c r="F87" s="60">
        <v>18.559999999999999</v>
      </c>
      <c r="G87" s="60">
        <v>105.49</v>
      </c>
      <c r="H87" s="60">
        <v>34.29</v>
      </c>
      <c r="I87" s="60">
        <v>0.8</v>
      </c>
      <c r="J87" s="60">
        <v>0.79</v>
      </c>
      <c r="K87" s="60">
        <v>32.96</v>
      </c>
      <c r="L87" s="60">
        <v>31.7</v>
      </c>
      <c r="M87" s="60">
        <v>27.79</v>
      </c>
      <c r="N87" s="60">
        <v>4.4000000000000004</v>
      </c>
      <c r="O87" s="60">
        <v>0</v>
      </c>
      <c r="P87" s="60">
        <v>1.27</v>
      </c>
      <c r="Q87" s="60">
        <v>14.02</v>
      </c>
      <c r="R87" s="198"/>
      <c r="S87" s="198"/>
      <c r="T87" s="198"/>
      <c r="U87" s="198"/>
    </row>
    <row r="88" spans="1:26" s="12" customFormat="1" x14ac:dyDescent="0.25">
      <c r="A88" s="201" t="s">
        <v>1481</v>
      </c>
      <c r="B88" s="60">
        <v>8.27</v>
      </c>
      <c r="C88" s="60">
        <v>67.86</v>
      </c>
      <c r="D88" s="60">
        <v>44.73</v>
      </c>
      <c r="E88" s="60">
        <v>6.34</v>
      </c>
      <c r="F88" s="60">
        <v>33.11</v>
      </c>
      <c r="G88" s="60">
        <v>105.49</v>
      </c>
      <c r="H88" s="60">
        <v>34.29</v>
      </c>
      <c r="I88" s="60">
        <v>0.8</v>
      </c>
      <c r="J88" s="60">
        <v>0.62</v>
      </c>
      <c r="K88" s="60">
        <v>164.33</v>
      </c>
      <c r="L88" s="60">
        <v>32.15</v>
      </c>
      <c r="M88" s="60">
        <v>22.87</v>
      </c>
      <c r="N88" s="60">
        <v>4.3</v>
      </c>
      <c r="O88" s="60">
        <v>0</v>
      </c>
      <c r="P88" s="60">
        <v>1.07</v>
      </c>
      <c r="Q88" s="60">
        <v>12.85</v>
      </c>
      <c r="R88" s="198"/>
      <c r="S88" s="198"/>
      <c r="T88" s="198"/>
      <c r="U88" s="198"/>
    </row>
    <row r="89" spans="1:26" s="12" customFormat="1" x14ac:dyDescent="0.25">
      <c r="A89" s="201" t="s">
        <v>1482</v>
      </c>
      <c r="B89" s="60">
        <v>6.07</v>
      </c>
      <c r="C89" s="60">
        <v>69.319999999999993</v>
      </c>
      <c r="D89" s="60">
        <v>43.77</v>
      </c>
      <c r="E89" s="60">
        <v>6.29</v>
      </c>
      <c r="F89" s="60">
        <v>15.67</v>
      </c>
      <c r="G89" s="60">
        <v>110.07</v>
      </c>
      <c r="H89" s="60">
        <v>35.020000000000003</v>
      </c>
      <c r="I89" s="60">
        <v>0.74</v>
      </c>
      <c r="J89" s="60">
        <v>0.86</v>
      </c>
      <c r="K89" s="60">
        <v>169.47</v>
      </c>
      <c r="L89" s="60">
        <v>32.33</v>
      </c>
      <c r="M89" s="60">
        <v>21.86</v>
      </c>
      <c r="N89" s="60">
        <v>4.2</v>
      </c>
      <c r="O89" s="60">
        <v>0</v>
      </c>
      <c r="P89" s="60">
        <v>1.1100000000000001</v>
      </c>
      <c r="Q89" s="60">
        <v>10.84</v>
      </c>
      <c r="R89" s="198"/>
      <c r="S89" s="198"/>
      <c r="T89" s="198"/>
      <c r="U89" s="198"/>
    </row>
    <row r="90" spans="1:26" s="12" customFormat="1" x14ac:dyDescent="0.25">
      <c r="A90" s="201" t="s">
        <v>1483</v>
      </c>
      <c r="B90" s="60">
        <v>17.16</v>
      </c>
      <c r="C90" s="60">
        <v>91.87</v>
      </c>
      <c r="D90" s="60">
        <v>65.11</v>
      </c>
      <c r="E90" s="60">
        <v>10.81</v>
      </c>
      <c r="F90" s="60">
        <v>16.989999999999998</v>
      </c>
      <c r="G90" s="60">
        <v>134.91999999999999</v>
      </c>
      <c r="H90" s="60">
        <v>38.96</v>
      </c>
      <c r="I90" s="60">
        <v>0.67</v>
      </c>
      <c r="J90" s="60">
        <v>0.08</v>
      </c>
      <c r="K90" s="60">
        <v>170.89</v>
      </c>
      <c r="L90" s="60">
        <v>31.69</v>
      </c>
      <c r="M90" s="60">
        <v>25.44</v>
      </c>
      <c r="N90" s="60">
        <v>5.6</v>
      </c>
      <c r="O90" s="60">
        <v>0</v>
      </c>
      <c r="P90" s="60">
        <v>1.33</v>
      </c>
      <c r="Q90" s="60">
        <v>9.15</v>
      </c>
      <c r="R90" s="198"/>
      <c r="S90" s="198"/>
      <c r="T90" s="198"/>
      <c r="U90" s="198"/>
    </row>
    <row r="91" spans="1:26" s="12" customFormat="1" x14ac:dyDescent="0.25">
      <c r="A91" s="201" t="s">
        <v>1484</v>
      </c>
      <c r="B91" s="60">
        <v>20.63</v>
      </c>
      <c r="C91" s="60">
        <v>109.55</v>
      </c>
      <c r="D91" s="60">
        <v>77.650000000000006</v>
      </c>
      <c r="E91" s="60">
        <v>13.41</v>
      </c>
      <c r="F91" s="60">
        <v>10.38</v>
      </c>
      <c r="G91" s="60">
        <v>134.91999999999999</v>
      </c>
      <c r="H91" s="60">
        <v>38.96</v>
      </c>
      <c r="I91" s="60">
        <v>0.68</v>
      </c>
      <c r="J91" s="60">
        <v>0.04</v>
      </c>
      <c r="K91" s="60">
        <v>58.6</v>
      </c>
      <c r="L91" s="60">
        <v>30.33</v>
      </c>
      <c r="M91" s="60">
        <v>30.9</v>
      </c>
      <c r="N91" s="60">
        <v>5.8</v>
      </c>
      <c r="O91" s="60">
        <v>0</v>
      </c>
      <c r="P91" s="60">
        <v>1.91</v>
      </c>
      <c r="Q91" s="60">
        <v>7.33</v>
      </c>
      <c r="R91" s="198"/>
      <c r="S91" s="198"/>
      <c r="T91" s="198"/>
      <c r="U91" s="198"/>
    </row>
    <row r="92" spans="1:26" s="12" customFormat="1" x14ac:dyDescent="0.25">
      <c r="A92" s="201" t="s">
        <v>1485</v>
      </c>
      <c r="B92" s="60">
        <v>9.6199999999999992</v>
      </c>
      <c r="C92" s="60">
        <v>107.96</v>
      </c>
      <c r="D92" s="60">
        <v>67.94</v>
      </c>
      <c r="E92" s="60">
        <v>14.49</v>
      </c>
      <c r="F92" s="60">
        <v>8.6999999999999993</v>
      </c>
      <c r="G92" s="60">
        <v>134.91999999999999</v>
      </c>
      <c r="H92" s="60">
        <v>38.96</v>
      </c>
      <c r="I92" s="60">
        <v>0.74</v>
      </c>
      <c r="J92" s="60">
        <v>0.14000000000000001</v>
      </c>
      <c r="K92" s="60">
        <v>262.52</v>
      </c>
      <c r="L92" s="60">
        <v>29.96</v>
      </c>
      <c r="M92" s="60">
        <v>30.68</v>
      </c>
      <c r="N92" s="60">
        <v>4.9000000000000004</v>
      </c>
      <c r="O92" s="60">
        <v>0</v>
      </c>
      <c r="P92" s="60">
        <v>1.67</v>
      </c>
      <c r="Q92" s="60">
        <v>6.92</v>
      </c>
      <c r="R92" s="198"/>
      <c r="S92" s="198"/>
      <c r="T92" s="198"/>
      <c r="U92" s="198"/>
    </row>
    <row r="93" spans="1:26" s="12" customFormat="1" x14ac:dyDescent="0.25">
      <c r="A93" s="201" t="s">
        <v>1486</v>
      </c>
      <c r="B93" s="60">
        <v>5.94</v>
      </c>
      <c r="C93" s="60">
        <v>86.45</v>
      </c>
      <c r="D93" s="60">
        <v>53.11</v>
      </c>
      <c r="E93" s="60">
        <v>15.5</v>
      </c>
      <c r="F93" s="60">
        <v>19.86</v>
      </c>
      <c r="G93" s="60">
        <v>138.97</v>
      </c>
      <c r="H93" s="60">
        <v>40.54</v>
      </c>
      <c r="I93" s="60">
        <v>0.88</v>
      </c>
      <c r="J93" s="60">
        <v>0.1</v>
      </c>
      <c r="K93" s="60">
        <v>2.84</v>
      </c>
      <c r="L93" s="60">
        <v>29.79</v>
      </c>
      <c r="M93" s="60">
        <v>31.85</v>
      </c>
      <c r="N93" s="60">
        <v>5.2</v>
      </c>
      <c r="O93" s="60">
        <v>0</v>
      </c>
      <c r="P93" s="60">
        <v>1.43</v>
      </c>
      <c r="Q93" s="60">
        <v>6.17</v>
      </c>
      <c r="R93" s="198"/>
      <c r="S93" s="198"/>
      <c r="T93" s="198"/>
      <c r="U93" s="198"/>
    </row>
    <row r="94" spans="1:26" s="12" customFormat="1" x14ac:dyDescent="0.25">
      <c r="A94" s="201" t="s">
        <v>1487</v>
      </c>
      <c r="B94" s="60">
        <v>53.53</v>
      </c>
      <c r="C94" s="60">
        <v>102.64</v>
      </c>
      <c r="D94" s="60">
        <v>100.22</v>
      </c>
      <c r="E94" s="60">
        <v>16.04</v>
      </c>
      <c r="F94" s="60">
        <v>11.59</v>
      </c>
      <c r="G94" s="60">
        <v>160.96</v>
      </c>
      <c r="H94" s="60">
        <v>47.12</v>
      </c>
      <c r="I94" s="60">
        <v>0.9</v>
      </c>
      <c r="J94" s="60">
        <v>0.18</v>
      </c>
      <c r="K94" s="60">
        <v>13.09</v>
      </c>
      <c r="L94" s="60">
        <v>29.2</v>
      </c>
      <c r="M94" s="60">
        <v>35.020000000000003</v>
      </c>
      <c r="N94" s="60">
        <v>5</v>
      </c>
      <c r="O94" s="60">
        <v>0</v>
      </c>
      <c r="P94" s="60">
        <v>2.27</v>
      </c>
      <c r="Q94" s="60">
        <v>6.44</v>
      </c>
      <c r="R94" s="198"/>
      <c r="S94" s="198"/>
      <c r="T94" s="198"/>
      <c r="U94" s="198"/>
    </row>
    <row r="95" spans="1:26" s="12" customFormat="1" x14ac:dyDescent="0.25">
      <c r="A95" s="201" t="s">
        <v>1488</v>
      </c>
      <c r="B95" s="60">
        <v>77.81</v>
      </c>
      <c r="C95" s="60">
        <v>113.72</v>
      </c>
      <c r="D95" s="60">
        <v>125.8</v>
      </c>
      <c r="E95" s="60">
        <v>13.34</v>
      </c>
      <c r="F95" s="60">
        <v>4.0999999999999996</v>
      </c>
      <c r="G95" s="60">
        <v>160.96</v>
      </c>
      <c r="H95" s="60">
        <v>47.12</v>
      </c>
      <c r="I95" s="60">
        <v>0.82</v>
      </c>
      <c r="J95" s="60">
        <v>0.08</v>
      </c>
      <c r="K95" s="60">
        <v>82.37</v>
      </c>
      <c r="L95" s="60">
        <v>28.66</v>
      </c>
      <c r="M95" s="60">
        <v>37.94</v>
      </c>
      <c r="N95" s="60">
        <v>5.0999999999999996</v>
      </c>
      <c r="O95" s="60">
        <v>0</v>
      </c>
      <c r="P95" s="60">
        <v>2.91</v>
      </c>
      <c r="Q95" s="60">
        <v>7.74</v>
      </c>
      <c r="R95" s="198"/>
      <c r="S95" s="198"/>
      <c r="T95" s="198"/>
      <c r="U95" s="198"/>
    </row>
    <row r="96" spans="1:26" s="12" customFormat="1" x14ac:dyDescent="0.25">
      <c r="A96" s="201" t="s">
        <v>1489</v>
      </c>
      <c r="B96" s="60">
        <v>80.39</v>
      </c>
      <c r="C96" s="60">
        <v>119.01</v>
      </c>
      <c r="D96" s="60">
        <v>130.79</v>
      </c>
      <c r="E96" s="60">
        <v>13.04</v>
      </c>
      <c r="F96" s="60">
        <v>3.63</v>
      </c>
      <c r="G96" s="60">
        <v>160.96</v>
      </c>
      <c r="H96" s="60">
        <v>47.12</v>
      </c>
      <c r="I96" s="60">
        <v>0.97</v>
      </c>
      <c r="J96" s="60">
        <v>0.06</v>
      </c>
      <c r="K96" s="60">
        <v>161.75</v>
      </c>
      <c r="L96" s="60">
        <v>28.12</v>
      </c>
      <c r="M96" s="60">
        <v>40.1</v>
      </c>
      <c r="N96" s="60">
        <v>4.9000000000000004</v>
      </c>
      <c r="O96" s="60">
        <v>0</v>
      </c>
      <c r="P96" s="60">
        <v>2.4</v>
      </c>
      <c r="Q96" s="60">
        <v>10.02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1490</v>
      </c>
      <c r="B97" s="60">
        <v>103.81</v>
      </c>
      <c r="C97" s="60">
        <v>109.34</v>
      </c>
      <c r="D97" s="60">
        <v>144.24</v>
      </c>
      <c r="E97" s="60">
        <v>10.5</v>
      </c>
      <c r="F97" s="60">
        <v>3.52</v>
      </c>
      <c r="G97" s="60">
        <v>160.96</v>
      </c>
      <c r="H97" s="60">
        <v>48.99</v>
      </c>
      <c r="I97" s="60">
        <v>1.17</v>
      </c>
      <c r="J97" s="60">
        <v>0.21</v>
      </c>
      <c r="K97" s="60">
        <v>24.57</v>
      </c>
      <c r="L97" s="60">
        <v>27.9</v>
      </c>
      <c r="M97" s="60">
        <v>43.55</v>
      </c>
      <c r="N97" s="60">
        <v>5</v>
      </c>
      <c r="O97" s="60">
        <v>0</v>
      </c>
      <c r="P97" s="60">
        <v>2.42</v>
      </c>
      <c r="Q97" s="60">
        <v>11.85</v>
      </c>
      <c r="R97" s="198"/>
      <c r="S97" s="198"/>
      <c r="T97" s="198"/>
      <c r="U97" s="198"/>
    </row>
    <row r="98" spans="1:33" s="12" customFormat="1" x14ac:dyDescent="0.25">
      <c r="A98" s="201" t="s">
        <v>1491</v>
      </c>
      <c r="B98" s="60">
        <v>58.36</v>
      </c>
      <c r="C98" s="60">
        <v>90.05</v>
      </c>
      <c r="D98" s="60">
        <v>97.14</v>
      </c>
      <c r="E98" s="60">
        <v>9.2799999999999994</v>
      </c>
      <c r="F98" s="60">
        <v>3.64</v>
      </c>
      <c r="G98" s="60">
        <v>252.75</v>
      </c>
      <c r="H98" s="60">
        <v>56.77</v>
      </c>
      <c r="I98" s="60">
        <v>1.1399999999999999</v>
      </c>
      <c r="J98" s="60">
        <v>0.12</v>
      </c>
      <c r="K98" s="60">
        <v>345.86</v>
      </c>
      <c r="L98" s="60">
        <v>27.23</v>
      </c>
      <c r="M98" s="60">
        <v>44.68</v>
      </c>
      <c r="N98" s="60">
        <v>4.8</v>
      </c>
      <c r="O98" s="60">
        <v>0</v>
      </c>
      <c r="P98" s="60">
        <v>2.25</v>
      </c>
      <c r="Q98" s="60">
        <v>15.71</v>
      </c>
      <c r="R98" s="198"/>
      <c r="S98" s="198"/>
      <c r="T98" s="198"/>
      <c r="U98" s="198"/>
    </row>
    <row r="99" spans="1:33" s="12" customFormat="1" x14ac:dyDescent="0.25">
      <c r="A99" s="201" t="s">
        <v>1492</v>
      </c>
      <c r="B99" s="60">
        <v>77.959999999999994</v>
      </c>
      <c r="C99" s="60">
        <v>88.63</v>
      </c>
      <c r="D99" s="60">
        <v>112.08</v>
      </c>
      <c r="E99" s="60">
        <v>6.96</v>
      </c>
      <c r="F99" s="60">
        <v>3.99</v>
      </c>
      <c r="G99" s="60">
        <v>252.75</v>
      </c>
      <c r="H99" s="60">
        <v>56.77</v>
      </c>
      <c r="I99" s="60">
        <v>1.1499999999999999</v>
      </c>
      <c r="J99" s="60">
        <v>0.19</v>
      </c>
      <c r="K99" s="60">
        <v>17.22</v>
      </c>
      <c r="L99" s="60">
        <v>26.99</v>
      </c>
      <c r="M99" s="60">
        <v>45.83</v>
      </c>
      <c r="N99" s="60">
        <v>4.8</v>
      </c>
      <c r="O99" s="60">
        <v>0</v>
      </c>
      <c r="P99" s="60">
        <v>2.2000000000000002</v>
      </c>
      <c r="Q99" s="60">
        <v>20.7</v>
      </c>
      <c r="R99" s="198"/>
      <c r="S99" s="198"/>
      <c r="T99" s="198"/>
      <c r="U99" s="198"/>
    </row>
    <row r="100" spans="1:33" s="12" customFormat="1" x14ac:dyDescent="0.25">
      <c r="A100" s="201" t="s">
        <v>1493</v>
      </c>
      <c r="B100" s="60">
        <v>62.3</v>
      </c>
      <c r="C100" s="60">
        <v>95.52</v>
      </c>
      <c r="D100" s="60">
        <v>103.32</v>
      </c>
      <c r="E100" s="60">
        <v>7.02</v>
      </c>
      <c r="F100" s="60">
        <v>4.09</v>
      </c>
      <c r="G100" s="60">
        <v>252.75</v>
      </c>
      <c r="H100" s="60">
        <v>56.77</v>
      </c>
      <c r="I100" s="60">
        <v>1.1000000000000001</v>
      </c>
      <c r="J100" s="60">
        <v>0.13</v>
      </c>
      <c r="K100" s="60">
        <v>18.64</v>
      </c>
      <c r="L100" s="60">
        <v>26.92</v>
      </c>
      <c r="M100" s="60">
        <v>43.29</v>
      </c>
      <c r="N100" s="60">
        <v>4.9000000000000004</v>
      </c>
      <c r="O100" s="60">
        <v>0</v>
      </c>
      <c r="P100" s="60">
        <v>2.17</v>
      </c>
      <c r="Q100" s="60">
        <v>25.21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1494</v>
      </c>
      <c r="B101" s="60">
        <v>44.72</v>
      </c>
      <c r="C101" s="60">
        <v>83.27</v>
      </c>
      <c r="D101" s="60">
        <v>82.46</v>
      </c>
      <c r="E101" s="60">
        <v>6.68</v>
      </c>
      <c r="F101" s="60">
        <v>9.91</v>
      </c>
      <c r="G101" s="60">
        <v>179.21</v>
      </c>
      <c r="H101" s="60">
        <v>57.37</v>
      </c>
      <c r="I101" s="60">
        <v>0.99</v>
      </c>
      <c r="J101" s="60">
        <v>0.18</v>
      </c>
      <c r="K101" s="60">
        <v>229.21</v>
      </c>
      <c r="L101" s="60">
        <v>27.45</v>
      </c>
      <c r="M101" s="60">
        <v>40.25</v>
      </c>
      <c r="N101" s="60">
        <v>3.7</v>
      </c>
      <c r="O101" s="60">
        <v>0</v>
      </c>
      <c r="P101" s="60">
        <v>1.92</v>
      </c>
      <c r="Q101" s="60">
        <v>28.6</v>
      </c>
      <c r="R101" s="198"/>
      <c r="S101" s="198"/>
      <c r="T101" s="198"/>
      <c r="U101" s="198"/>
    </row>
    <row r="102" spans="1:33" s="12" customFormat="1" x14ac:dyDescent="0.25">
      <c r="A102" s="201" t="s">
        <v>1495</v>
      </c>
      <c r="B102" s="60">
        <v>38.130000000000003</v>
      </c>
      <c r="C102" s="60">
        <v>68.83</v>
      </c>
      <c r="D102" s="60">
        <v>69.209999999999994</v>
      </c>
      <c r="E102" s="60">
        <v>5.25</v>
      </c>
      <c r="F102" s="60">
        <v>12.73</v>
      </c>
      <c r="G102" s="60">
        <v>179.21</v>
      </c>
      <c r="H102" s="60">
        <v>59.87</v>
      </c>
      <c r="I102" s="60">
        <v>0.95</v>
      </c>
      <c r="J102" s="60">
        <v>0.11</v>
      </c>
      <c r="K102" s="60">
        <v>256.01</v>
      </c>
      <c r="L102" s="60">
        <v>28.03</v>
      </c>
      <c r="M102" s="60">
        <v>38.19</v>
      </c>
      <c r="N102" s="60">
        <v>4.2</v>
      </c>
      <c r="O102" s="60">
        <v>0</v>
      </c>
      <c r="P102" s="60">
        <v>1.71</v>
      </c>
      <c r="Q102" s="60">
        <v>27.28</v>
      </c>
      <c r="R102" s="198"/>
      <c r="S102" s="198"/>
      <c r="T102" s="198"/>
      <c r="U102" s="198"/>
    </row>
    <row r="103" spans="1:33" s="12" customFormat="1" x14ac:dyDescent="0.25">
      <c r="A103" s="201" t="s">
        <v>1496</v>
      </c>
      <c r="B103" s="60">
        <v>29.42</v>
      </c>
      <c r="C103" s="60">
        <v>65.790000000000006</v>
      </c>
      <c r="D103" s="60">
        <v>60.55</v>
      </c>
      <c r="E103" s="60">
        <v>5.23</v>
      </c>
      <c r="F103" s="60">
        <v>16.16</v>
      </c>
      <c r="G103" s="60">
        <v>179.21</v>
      </c>
      <c r="H103" s="60">
        <v>59.87</v>
      </c>
      <c r="I103" s="60">
        <v>0.91</v>
      </c>
      <c r="J103" s="60">
        <v>0.09</v>
      </c>
      <c r="K103" s="60">
        <v>291.06</v>
      </c>
      <c r="L103" s="60">
        <v>27.5</v>
      </c>
      <c r="M103" s="60">
        <v>39.58</v>
      </c>
      <c r="N103" s="60">
        <v>4.8</v>
      </c>
      <c r="O103" s="60">
        <v>0</v>
      </c>
      <c r="P103" s="60">
        <v>1.55</v>
      </c>
      <c r="Q103" s="60">
        <v>23.79</v>
      </c>
      <c r="R103" s="198"/>
      <c r="S103" s="198"/>
      <c r="T103" s="198"/>
      <c r="U103" s="198"/>
    </row>
    <row r="104" spans="1:33" s="12" customFormat="1" x14ac:dyDescent="0.25">
      <c r="A104" s="201" t="s">
        <v>1497</v>
      </c>
      <c r="B104" s="60">
        <v>24.6</v>
      </c>
      <c r="C104" s="60">
        <v>64.650000000000006</v>
      </c>
      <c r="D104" s="60">
        <v>56.05</v>
      </c>
      <c r="E104" s="60">
        <v>3.04</v>
      </c>
      <c r="F104" s="60">
        <v>15.82</v>
      </c>
      <c r="G104" s="60">
        <v>179.21</v>
      </c>
      <c r="H104" s="60">
        <v>59.87</v>
      </c>
      <c r="I104" s="60">
        <v>0.84</v>
      </c>
      <c r="J104" s="60">
        <v>0.11</v>
      </c>
      <c r="K104" s="60">
        <v>343.28</v>
      </c>
      <c r="L104" s="60">
        <v>26.91</v>
      </c>
      <c r="M104" s="60">
        <v>41.28</v>
      </c>
      <c r="N104" s="60">
        <v>5</v>
      </c>
      <c r="O104" s="60">
        <v>0</v>
      </c>
      <c r="P104" s="60">
        <v>1.41</v>
      </c>
      <c r="Q104" s="60">
        <v>20.350000000000001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1.56</v>
      </c>
      <c r="C106" s="67">
        <f>MIN(C9:C104)</f>
        <v>42.55</v>
      </c>
      <c r="D106" s="67">
        <f t="shared" ref="D106:Q106" si="0">MIN(D9:D104)</f>
        <v>25.7</v>
      </c>
      <c r="E106" s="67">
        <f t="shared" si="0"/>
        <v>1.98</v>
      </c>
      <c r="F106" s="67">
        <f t="shared" si="0"/>
        <v>2.06</v>
      </c>
      <c r="G106" s="67">
        <f t="shared" si="0"/>
        <v>17.07</v>
      </c>
      <c r="H106" s="67">
        <f t="shared" si="0"/>
        <v>27.9</v>
      </c>
      <c r="I106" s="67">
        <f t="shared" si="0"/>
        <v>0.52</v>
      </c>
      <c r="J106" s="67">
        <f t="shared" si="0"/>
        <v>0.01</v>
      </c>
      <c r="K106" s="67">
        <f t="shared" si="0"/>
        <v>2.84</v>
      </c>
      <c r="L106" s="67">
        <f t="shared" si="0"/>
        <v>22.58</v>
      </c>
      <c r="M106" s="67">
        <f t="shared" si="0"/>
        <v>18.03</v>
      </c>
      <c r="N106" s="67">
        <f t="shared" si="0"/>
        <v>3.1</v>
      </c>
      <c r="O106" s="67">
        <f t="shared" si="0"/>
        <v>0</v>
      </c>
      <c r="P106" s="67">
        <f t="shared" si="0"/>
        <v>0.6</v>
      </c>
      <c r="Q106" s="67">
        <f t="shared" si="0"/>
        <v>0.23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124.67</v>
      </c>
      <c r="C107" s="66">
        <f t="shared" ref="C107:Q107" si="1">MAX(C9:C104)</f>
        <v>119.01</v>
      </c>
      <c r="D107" s="66">
        <f t="shared" si="1"/>
        <v>150.59</v>
      </c>
      <c r="E107" s="66">
        <f t="shared" si="1"/>
        <v>16.04</v>
      </c>
      <c r="F107" s="66">
        <f t="shared" si="1"/>
        <v>62.82</v>
      </c>
      <c r="G107" s="66">
        <f t="shared" si="1"/>
        <v>252.75</v>
      </c>
      <c r="H107" s="66">
        <f t="shared" si="1"/>
        <v>67.3</v>
      </c>
      <c r="I107" s="66">
        <f t="shared" si="1"/>
        <v>1.17</v>
      </c>
      <c r="J107" s="66">
        <f t="shared" si="1"/>
        <v>1.63</v>
      </c>
      <c r="K107" s="66">
        <f t="shared" si="1"/>
        <v>358.24</v>
      </c>
      <c r="L107" s="66">
        <f t="shared" si="1"/>
        <v>39.47</v>
      </c>
      <c r="M107" s="66">
        <f t="shared" si="1"/>
        <v>60.43</v>
      </c>
      <c r="N107" s="66">
        <f t="shared" si="1"/>
        <v>786.5</v>
      </c>
      <c r="O107" s="66">
        <f t="shared" si="1"/>
        <v>0</v>
      </c>
      <c r="P107" s="66">
        <f t="shared" si="1"/>
        <v>2.91</v>
      </c>
      <c r="Q107" s="66">
        <f t="shared" si="1"/>
        <v>35.89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30.410937500000003</v>
      </c>
      <c r="C108" s="67">
        <f t="shared" ref="C108:Q108" si="2">AVERAGE(C9:C104)</f>
        <v>69.671875000000014</v>
      </c>
      <c r="D108" s="67">
        <f t="shared" si="2"/>
        <v>63.519583333333308</v>
      </c>
      <c r="E108" s="67">
        <f t="shared" si="2"/>
        <v>6.4883333333333306</v>
      </c>
      <c r="F108" s="67">
        <f t="shared" si="2"/>
        <v>15.295520833333333</v>
      </c>
      <c r="G108" s="67">
        <f t="shared" si="2"/>
        <v>125.32729166666661</v>
      </c>
      <c r="H108" s="67">
        <f t="shared" si="2"/>
        <v>43.242083333333341</v>
      </c>
      <c r="I108" s="67">
        <f t="shared" si="2"/>
        <v>0.76510416666666659</v>
      </c>
      <c r="J108" s="67">
        <f t="shared" si="2"/>
        <v>0.3320833333333334</v>
      </c>
      <c r="K108" s="67">
        <f t="shared" si="2"/>
        <v>181.73093750000007</v>
      </c>
      <c r="L108" s="67">
        <f t="shared" si="2"/>
        <v>30.442083333333326</v>
      </c>
      <c r="M108" s="67">
        <f t="shared" si="2"/>
        <v>34.692604166666669</v>
      </c>
      <c r="N108" s="67">
        <f t="shared" si="2"/>
        <v>214.73541666666657</v>
      </c>
      <c r="O108" s="67">
        <f t="shared" si="2"/>
        <v>0</v>
      </c>
      <c r="P108" s="67">
        <f t="shared" si="2"/>
        <v>1.3381249999999998</v>
      </c>
      <c r="Q108" s="67">
        <f t="shared" si="2"/>
        <v>16.597446808510636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29.853409399866763</v>
      </c>
      <c r="C109" s="67">
        <f t="shared" ref="C109:Q109" si="3">STDEV(C9:C104)</f>
        <v>17.454401544867494</v>
      </c>
      <c r="D109" s="67">
        <f t="shared" si="3"/>
        <v>29.822472837448515</v>
      </c>
      <c r="E109" s="67">
        <f t="shared" si="3"/>
        <v>3.6934048381196516</v>
      </c>
      <c r="F109" s="67">
        <f t="shared" si="3"/>
        <v>13.430547966231531</v>
      </c>
      <c r="G109" s="67">
        <f t="shared" si="3"/>
        <v>50.22164214714757</v>
      </c>
      <c r="H109" s="67">
        <f t="shared" si="3"/>
        <v>10.260588052981337</v>
      </c>
      <c r="I109" s="67">
        <f t="shared" si="3"/>
        <v>0.16489227610564028</v>
      </c>
      <c r="J109" s="67">
        <f t="shared" si="3"/>
        <v>0.3494263469314019</v>
      </c>
      <c r="K109" s="67">
        <f t="shared" si="3"/>
        <v>112.73134116191672</v>
      </c>
      <c r="L109" s="67">
        <f t="shared" si="3"/>
        <v>5.2695568407833466</v>
      </c>
      <c r="M109" s="67">
        <f t="shared" si="3"/>
        <v>12.116912690406318</v>
      </c>
      <c r="N109" s="67">
        <f t="shared" si="3"/>
        <v>285.75594260217252</v>
      </c>
      <c r="O109" s="67">
        <f t="shared" si="3"/>
        <v>0</v>
      </c>
      <c r="P109" s="67">
        <f t="shared" si="3"/>
        <v>0.43448290499954423</v>
      </c>
      <c r="Q109" s="67">
        <f t="shared" si="3"/>
        <v>11.269426804762208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1498</v>
      </c>
      <c r="B9" s="60">
        <v>15.03</v>
      </c>
      <c r="C9" s="60">
        <v>55.64</v>
      </c>
      <c r="D9" s="60">
        <v>43.41</v>
      </c>
      <c r="E9" s="60">
        <v>5.78</v>
      </c>
      <c r="F9" s="60">
        <v>28.04</v>
      </c>
      <c r="G9" s="60">
        <v>160.24</v>
      </c>
      <c r="H9" s="60">
        <v>57.97</v>
      </c>
      <c r="I9" s="60">
        <v>0.79</v>
      </c>
      <c r="J9" s="60">
        <v>0.08</v>
      </c>
      <c r="K9" s="60">
        <v>343</v>
      </c>
      <c r="L9" s="60">
        <v>26.87</v>
      </c>
      <c r="M9" s="60">
        <v>40.869999999999997</v>
      </c>
      <c r="N9" s="60">
        <v>4.5999999999999996</v>
      </c>
      <c r="O9" s="60">
        <v>0</v>
      </c>
      <c r="P9" s="60">
        <v>1.1399999999999999</v>
      </c>
      <c r="Q9" s="60">
        <v>16.09</v>
      </c>
      <c r="R9" s="198"/>
      <c r="S9" s="198"/>
      <c r="T9" s="198"/>
      <c r="U9" s="198"/>
    </row>
    <row r="10" spans="1:21" s="12" customFormat="1" x14ac:dyDescent="0.25">
      <c r="A10" s="201" t="s">
        <v>1499</v>
      </c>
      <c r="B10" s="60">
        <v>11.29</v>
      </c>
      <c r="C10" s="60">
        <v>47.37</v>
      </c>
      <c r="D10" s="60">
        <v>35.840000000000003</v>
      </c>
      <c r="E10" s="60">
        <v>7.72</v>
      </c>
      <c r="F10" s="60">
        <v>35.08</v>
      </c>
      <c r="G10" s="60">
        <v>57.27</v>
      </c>
      <c r="H10" s="60">
        <v>47.7</v>
      </c>
      <c r="I10" s="60">
        <v>0.72</v>
      </c>
      <c r="J10" s="60">
        <v>0.11</v>
      </c>
      <c r="K10" s="60">
        <v>326.66000000000003</v>
      </c>
      <c r="L10" s="60">
        <v>26.82</v>
      </c>
      <c r="M10" s="60">
        <v>40.229999999999997</v>
      </c>
      <c r="N10" s="60">
        <v>4.5</v>
      </c>
      <c r="O10" s="60">
        <v>0</v>
      </c>
      <c r="P10" s="60">
        <v>1.02</v>
      </c>
      <c r="Q10" s="60">
        <v>12.72</v>
      </c>
      <c r="R10" s="198"/>
      <c r="S10" s="198"/>
      <c r="T10" s="198"/>
      <c r="U10" s="198"/>
    </row>
    <row r="11" spans="1:21" s="12" customFormat="1" x14ac:dyDescent="0.25">
      <c r="A11" s="201" t="s">
        <v>1500</v>
      </c>
      <c r="B11" s="60">
        <v>12.12</v>
      </c>
      <c r="C11" s="60">
        <v>46.57</v>
      </c>
      <c r="D11" s="60">
        <v>36.07</v>
      </c>
      <c r="E11" s="60">
        <v>6.83</v>
      </c>
      <c r="F11" s="60">
        <v>32.770000000000003</v>
      </c>
      <c r="G11" s="60">
        <v>57.27</v>
      </c>
      <c r="H11" s="60">
        <v>47.7</v>
      </c>
      <c r="I11" s="60">
        <v>0.64</v>
      </c>
      <c r="J11" s="60">
        <v>0.09</v>
      </c>
      <c r="K11" s="60">
        <v>356.08</v>
      </c>
      <c r="L11" s="60">
        <v>26.7</v>
      </c>
      <c r="M11" s="60">
        <v>39.909999999999997</v>
      </c>
      <c r="N11" s="60">
        <v>4.5</v>
      </c>
      <c r="O11" s="60">
        <v>0</v>
      </c>
      <c r="P11" s="60">
        <v>1.04</v>
      </c>
      <c r="Q11" s="60">
        <v>11.04</v>
      </c>
      <c r="R11" s="198"/>
      <c r="S11" s="198"/>
      <c r="T11" s="198"/>
      <c r="U11" s="198"/>
    </row>
    <row r="12" spans="1:21" s="12" customFormat="1" x14ac:dyDescent="0.25">
      <c r="A12" s="201" t="s">
        <v>1501</v>
      </c>
      <c r="B12" s="60">
        <v>13.48</v>
      </c>
      <c r="C12" s="60">
        <v>48.86</v>
      </c>
      <c r="D12" s="60">
        <v>38.42</v>
      </c>
      <c r="E12" s="60">
        <v>6.18</v>
      </c>
      <c r="F12" s="60">
        <v>28.15</v>
      </c>
      <c r="G12" s="60">
        <v>57.27</v>
      </c>
      <c r="H12" s="60">
        <v>47.7</v>
      </c>
      <c r="I12" s="60">
        <v>0.62</v>
      </c>
      <c r="J12" s="60">
        <v>0.1</v>
      </c>
      <c r="K12" s="60">
        <v>32.630000000000003</v>
      </c>
      <c r="L12" s="60">
        <v>26.49</v>
      </c>
      <c r="M12" s="60">
        <v>40.97</v>
      </c>
      <c r="N12" s="60">
        <v>4.5</v>
      </c>
      <c r="O12" s="60">
        <v>0</v>
      </c>
      <c r="P12" s="60">
        <v>1.1000000000000001</v>
      </c>
      <c r="Q12" s="60">
        <v>10</v>
      </c>
      <c r="R12" s="198"/>
      <c r="S12" s="198"/>
      <c r="T12" s="198"/>
      <c r="U12" s="198"/>
    </row>
    <row r="13" spans="1:21" s="12" customFormat="1" x14ac:dyDescent="0.25">
      <c r="A13" s="201" t="s">
        <v>1502</v>
      </c>
      <c r="B13" s="60">
        <v>13.49</v>
      </c>
      <c r="C13" s="60">
        <v>46.53</v>
      </c>
      <c r="D13" s="60">
        <v>37.14</v>
      </c>
      <c r="E13" s="60">
        <v>4.95</v>
      </c>
      <c r="F13" s="60">
        <v>27.21</v>
      </c>
      <c r="G13" s="60">
        <v>61.74</v>
      </c>
      <c r="H13" s="60">
        <v>46.77</v>
      </c>
      <c r="I13" s="60">
        <v>0.57999999999999996</v>
      </c>
      <c r="J13" s="60">
        <v>0.14000000000000001</v>
      </c>
      <c r="K13" s="60">
        <v>30.39</v>
      </c>
      <c r="L13" s="60">
        <v>26.58</v>
      </c>
      <c r="M13" s="60">
        <v>40.89</v>
      </c>
      <c r="N13" s="60">
        <v>4.5999999999999996</v>
      </c>
      <c r="O13" s="60">
        <v>0</v>
      </c>
      <c r="P13" s="60">
        <v>0.98</v>
      </c>
      <c r="Q13" s="60">
        <v>9.0500000000000007</v>
      </c>
      <c r="R13" s="198"/>
      <c r="S13" s="198"/>
      <c r="T13" s="198"/>
      <c r="U13" s="198"/>
    </row>
    <row r="14" spans="1:21" s="12" customFormat="1" x14ac:dyDescent="0.25">
      <c r="A14" s="201" t="s">
        <v>1503</v>
      </c>
      <c r="B14" s="60">
        <v>11.78</v>
      </c>
      <c r="C14" s="60">
        <v>43.76</v>
      </c>
      <c r="D14" s="60">
        <v>34.24</v>
      </c>
      <c r="E14" s="60">
        <v>5.38</v>
      </c>
      <c r="F14" s="60">
        <v>30.84</v>
      </c>
      <c r="G14" s="60">
        <v>88.22</v>
      </c>
      <c r="H14" s="60">
        <v>42.89</v>
      </c>
      <c r="I14" s="60">
        <v>0.63</v>
      </c>
      <c r="J14" s="60">
        <v>0.05</v>
      </c>
      <c r="K14" s="60">
        <v>341.13</v>
      </c>
      <c r="L14" s="60">
        <v>26.25</v>
      </c>
      <c r="M14" s="60">
        <v>41.43</v>
      </c>
      <c r="N14" s="60">
        <v>4.4000000000000004</v>
      </c>
      <c r="O14" s="60">
        <v>0</v>
      </c>
      <c r="P14" s="60">
        <v>0.97</v>
      </c>
      <c r="Q14" s="60">
        <v>8.4700000000000006</v>
      </c>
      <c r="R14" s="198"/>
      <c r="S14" s="198"/>
      <c r="T14" s="198"/>
      <c r="U14" s="198"/>
    </row>
    <row r="15" spans="1:21" s="12" customFormat="1" x14ac:dyDescent="0.25">
      <c r="A15" s="201" t="s">
        <v>1504</v>
      </c>
      <c r="B15" s="60">
        <v>11.71</v>
      </c>
      <c r="C15" s="60">
        <v>43.77</v>
      </c>
      <c r="D15" s="60">
        <v>34.19</v>
      </c>
      <c r="E15" s="60">
        <v>5.49</v>
      </c>
      <c r="F15" s="60">
        <v>27.29</v>
      </c>
      <c r="G15" s="60">
        <v>88.22</v>
      </c>
      <c r="H15" s="60">
        <v>42.89</v>
      </c>
      <c r="I15" s="60">
        <v>0.65</v>
      </c>
      <c r="J15" s="60">
        <v>7.0000000000000007E-2</v>
      </c>
      <c r="K15" s="60">
        <v>16.21</v>
      </c>
      <c r="L15" s="60">
        <v>25.97</v>
      </c>
      <c r="M15" s="60">
        <v>42.98</v>
      </c>
      <c r="N15" s="60">
        <v>4.5</v>
      </c>
      <c r="O15" s="60">
        <v>0</v>
      </c>
      <c r="P15" s="60">
        <v>0.99</v>
      </c>
      <c r="Q15" s="60">
        <v>7.76</v>
      </c>
      <c r="R15" s="198"/>
      <c r="S15" s="198"/>
      <c r="T15" s="198"/>
      <c r="U15" s="198"/>
    </row>
    <row r="16" spans="1:21" s="12" customFormat="1" x14ac:dyDescent="0.25">
      <c r="A16" s="201" t="s">
        <v>1505</v>
      </c>
      <c r="B16" s="60">
        <v>11.63</v>
      </c>
      <c r="C16" s="60">
        <v>44.51</v>
      </c>
      <c r="D16" s="60">
        <v>34.54</v>
      </c>
      <c r="E16" s="60">
        <v>4.29</v>
      </c>
      <c r="F16" s="60">
        <v>20.37</v>
      </c>
      <c r="G16" s="60">
        <v>88.22</v>
      </c>
      <c r="H16" s="60">
        <v>42.89</v>
      </c>
      <c r="I16" s="60">
        <v>0.62</v>
      </c>
      <c r="J16" s="60">
        <v>0.06</v>
      </c>
      <c r="K16" s="60">
        <v>9.5399999999999991</v>
      </c>
      <c r="L16" s="60">
        <v>25.95</v>
      </c>
      <c r="M16" s="60">
        <v>43.52</v>
      </c>
      <c r="N16" s="60">
        <v>4.5999999999999996</v>
      </c>
      <c r="O16" s="60">
        <v>0</v>
      </c>
      <c r="P16" s="60">
        <v>1.07</v>
      </c>
      <c r="Q16" s="60">
        <v>7.44</v>
      </c>
      <c r="R16" s="198"/>
      <c r="S16" s="198"/>
      <c r="T16" s="198"/>
      <c r="U16" s="198"/>
    </row>
    <row r="17" spans="1:21" s="12" customFormat="1" x14ac:dyDescent="0.25">
      <c r="A17" s="201" t="s">
        <v>1506</v>
      </c>
      <c r="B17" s="60">
        <v>12.32</v>
      </c>
      <c r="C17" s="60">
        <v>50.38</v>
      </c>
      <c r="D17" s="60">
        <v>38.33</v>
      </c>
      <c r="E17" s="60">
        <v>2.94</v>
      </c>
      <c r="F17" s="60">
        <v>9.76</v>
      </c>
      <c r="G17" s="60">
        <v>87.59</v>
      </c>
      <c r="H17" s="60">
        <v>41.26</v>
      </c>
      <c r="I17" s="60">
        <v>0.63</v>
      </c>
      <c r="J17" s="60">
        <v>0.1</v>
      </c>
      <c r="K17" s="60">
        <v>266.52</v>
      </c>
      <c r="L17" s="60">
        <v>25.9</v>
      </c>
      <c r="M17" s="60">
        <v>44.14</v>
      </c>
      <c r="N17" s="60">
        <v>4.0999999999999996</v>
      </c>
      <c r="O17" s="60">
        <v>0</v>
      </c>
      <c r="P17" s="60">
        <v>1.17</v>
      </c>
      <c r="Q17" s="60">
        <v>8.7100000000000009</v>
      </c>
      <c r="R17" s="198"/>
      <c r="S17" s="198"/>
      <c r="T17" s="198"/>
      <c r="U17" s="198"/>
    </row>
    <row r="18" spans="1:21" s="12" customFormat="1" x14ac:dyDescent="0.25">
      <c r="A18" s="201" t="s">
        <v>1507</v>
      </c>
      <c r="B18" s="60">
        <v>10.029999999999999</v>
      </c>
      <c r="C18" s="60">
        <v>52.6</v>
      </c>
      <c r="D18" s="60">
        <v>37.72</v>
      </c>
      <c r="E18" s="60">
        <v>2.3199999999999998</v>
      </c>
      <c r="F18" s="60">
        <v>8.1300000000000008</v>
      </c>
      <c r="G18" s="60">
        <v>83.86</v>
      </c>
      <c r="H18" s="60">
        <v>34.119999999999997</v>
      </c>
      <c r="I18" s="60">
        <v>0.65</v>
      </c>
      <c r="J18" s="60">
        <v>7.0000000000000007E-2</v>
      </c>
      <c r="K18" s="60">
        <v>19.53</v>
      </c>
      <c r="L18" s="60">
        <v>25.55</v>
      </c>
      <c r="M18" s="60">
        <v>45.94</v>
      </c>
      <c r="N18" s="60">
        <v>4.8</v>
      </c>
      <c r="O18" s="60">
        <v>0</v>
      </c>
      <c r="P18" s="60">
        <v>1.1399999999999999</v>
      </c>
      <c r="Q18" s="60">
        <v>8.83</v>
      </c>
      <c r="R18" s="198"/>
      <c r="S18" s="198"/>
      <c r="T18" s="198"/>
      <c r="U18" s="198"/>
    </row>
    <row r="19" spans="1:21" s="12" customFormat="1" x14ac:dyDescent="0.25">
      <c r="A19" s="201" t="s">
        <v>1508</v>
      </c>
      <c r="B19" s="60">
        <v>6.89</v>
      </c>
      <c r="C19" s="60">
        <v>51.67</v>
      </c>
      <c r="D19" s="60">
        <v>34.69</v>
      </c>
      <c r="E19" s="60">
        <v>2.68</v>
      </c>
      <c r="F19" s="60">
        <v>11.19</v>
      </c>
      <c r="G19" s="60">
        <v>83.86</v>
      </c>
      <c r="H19" s="60">
        <v>34.119999999999997</v>
      </c>
      <c r="I19" s="60">
        <v>0.72</v>
      </c>
      <c r="J19" s="60">
        <v>0.03</v>
      </c>
      <c r="K19" s="60">
        <v>326.08999999999997</v>
      </c>
      <c r="L19" s="60">
        <v>25.08</v>
      </c>
      <c r="M19" s="60">
        <v>47.77</v>
      </c>
      <c r="N19" s="60">
        <v>4.9000000000000004</v>
      </c>
      <c r="O19" s="60">
        <v>0</v>
      </c>
      <c r="P19" s="60">
        <v>0.98</v>
      </c>
      <c r="Q19" s="60">
        <v>8.49</v>
      </c>
      <c r="R19" s="198"/>
      <c r="S19" s="198"/>
      <c r="T19" s="198"/>
      <c r="U19" s="198"/>
    </row>
    <row r="20" spans="1:21" s="12" customFormat="1" x14ac:dyDescent="0.25">
      <c r="A20" s="201" t="s">
        <v>1509</v>
      </c>
      <c r="B20" s="60">
        <v>4.95</v>
      </c>
      <c r="C20" s="60">
        <v>50.39</v>
      </c>
      <c r="D20" s="60">
        <v>32.42</v>
      </c>
      <c r="E20" s="60">
        <v>2.52</v>
      </c>
      <c r="F20" s="60">
        <v>9.66</v>
      </c>
      <c r="G20" s="60">
        <v>83.86</v>
      </c>
      <c r="H20" s="60">
        <v>34.119999999999997</v>
      </c>
      <c r="I20" s="60">
        <v>0.69</v>
      </c>
      <c r="J20" s="60">
        <v>7.0000000000000007E-2</v>
      </c>
      <c r="K20" s="60">
        <v>293.43</v>
      </c>
      <c r="L20" s="60">
        <v>25.13</v>
      </c>
      <c r="M20" s="60">
        <v>46.83</v>
      </c>
      <c r="N20" s="60">
        <v>4.3</v>
      </c>
      <c r="O20" s="60">
        <v>0</v>
      </c>
      <c r="P20" s="60">
        <v>0.97</v>
      </c>
      <c r="Q20" s="60">
        <v>7.56</v>
      </c>
      <c r="R20" s="198"/>
      <c r="S20" s="198"/>
      <c r="T20" s="198"/>
      <c r="U20" s="198"/>
    </row>
    <row r="21" spans="1:21" s="12" customFormat="1" x14ac:dyDescent="0.25">
      <c r="A21" s="201" t="s">
        <v>1510</v>
      </c>
      <c r="B21" s="60">
        <v>3.89</v>
      </c>
      <c r="C21" s="60">
        <v>52.04</v>
      </c>
      <c r="D21" s="60">
        <v>32.49</v>
      </c>
      <c r="E21" s="60">
        <v>1.93</v>
      </c>
      <c r="F21" s="60">
        <v>6.67</v>
      </c>
      <c r="G21" s="60">
        <v>81.87</v>
      </c>
      <c r="H21" s="60">
        <v>34.130000000000003</v>
      </c>
      <c r="I21" s="60">
        <v>0.63</v>
      </c>
      <c r="J21" s="60">
        <v>0.36</v>
      </c>
      <c r="K21" s="60">
        <v>191.27</v>
      </c>
      <c r="L21" s="60">
        <v>25.61</v>
      </c>
      <c r="M21" s="60">
        <v>45.98</v>
      </c>
      <c r="N21" s="60">
        <v>3.9</v>
      </c>
      <c r="O21" s="60">
        <v>0</v>
      </c>
      <c r="P21" s="60">
        <v>0.96</v>
      </c>
      <c r="Q21" s="60">
        <v>6.3</v>
      </c>
      <c r="R21" s="198"/>
      <c r="S21" s="198"/>
      <c r="T21" s="198"/>
      <c r="U21" s="198"/>
    </row>
    <row r="22" spans="1:21" s="12" customFormat="1" x14ac:dyDescent="0.25">
      <c r="A22" s="201" t="s">
        <v>1511</v>
      </c>
      <c r="B22" s="60">
        <v>3.04</v>
      </c>
      <c r="C22" s="60">
        <v>51.1</v>
      </c>
      <c r="D22" s="60">
        <v>31.29</v>
      </c>
      <c r="E22" s="60">
        <v>1.42</v>
      </c>
      <c r="F22" s="60">
        <v>6.5</v>
      </c>
      <c r="G22" s="60">
        <v>70.05</v>
      </c>
      <c r="H22" s="60">
        <v>34.14</v>
      </c>
      <c r="I22" s="60">
        <v>0.62</v>
      </c>
      <c r="J22" s="60">
        <v>0.22</v>
      </c>
      <c r="K22" s="60">
        <v>192.54</v>
      </c>
      <c r="L22" s="60">
        <v>25.19</v>
      </c>
      <c r="M22" s="60">
        <v>47.28</v>
      </c>
      <c r="N22" s="60">
        <v>4.5</v>
      </c>
      <c r="O22" s="60">
        <v>0</v>
      </c>
      <c r="P22" s="60">
        <v>0.9</v>
      </c>
      <c r="Q22" s="60">
        <v>5.05</v>
      </c>
      <c r="R22" s="198"/>
      <c r="S22" s="198"/>
      <c r="T22" s="198"/>
      <c r="U22" s="198"/>
    </row>
    <row r="23" spans="1:21" s="12" customFormat="1" x14ac:dyDescent="0.25">
      <c r="A23" s="201" t="s">
        <v>1512</v>
      </c>
      <c r="B23" s="60">
        <v>2.4700000000000002</v>
      </c>
      <c r="C23" s="60">
        <v>46.75</v>
      </c>
      <c r="D23" s="60">
        <v>28.42</v>
      </c>
      <c r="E23" s="60">
        <v>1.99</v>
      </c>
      <c r="F23" s="60">
        <v>15.14</v>
      </c>
      <c r="G23" s="60">
        <v>70.05</v>
      </c>
      <c r="H23" s="60">
        <v>34.14</v>
      </c>
      <c r="I23" s="60">
        <v>0.61</v>
      </c>
      <c r="J23" s="60">
        <v>0.12</v>
      </c>
      <c r="K23" s="60">
        <v>258.3</v>
      </c>
      <c r="L23" s="60">
        <v>24.77</v>
      </c>
      <c r="M23" s="60">
        <v>48.82</v>
      </c>
      <c r="N23" s="60">
        <v>4.9000000000000004</v>
      </c>
      <c r="O23" s="60">
        <v>0</v>
      </c>
      <c r="P23" s="60">
        <v>0.78</v>
      </c>
      <c r="Q23" s="60">
        <v>3.61</v>
      </c>
      <c r="R23" s="198"/>
      <c r="S23" s="198"/>
      <c r="T23" s="198"/>
      <c r="U23" s="198"/>
    </row>
    <row r="24" spans="1:21" s="12" customFormat="1" x14ac:dyDescent="0.25">
      <c r="A24" s="201" t="s">
        <v>1513</v>
      </c>
      <c r="B24" s="60">
        <v>2.09</v>
      </c>
      <c r="C24" s="60">
        <v>36.6</v>
      </c>
      <c r="D24" s="60">
        <v>22.52</v>
      </c>
      <c r="E24" s="60">
        <v>1.73</v>
      </c>
      <c r="F24" s="60">
        <v>23.86</v>
      </c>
      <c r="G24" s="60">
        <v>70.05</v>
      </c>
      <c r="H24" s="60">
        <v>34.14</v>
      </c>
      <c r="I24" s="60">
        <v>0.6</v>
      </c>
      <c r="J24" s="60">
        <v>0.13</v>
      </c>
      <c r="K24" s="60">
        <v>269.51</v>
      </c>
      <c r="L24" s="60">
        <v>24.45</v>
      </c>
      <c r="M24" s="60">
        <v>49.91</v>
      </c>
      <c r="N24" s="60">
        <v>4.7</v>
      </c>
      <c r="O24" s="60">
        <v>0</v>
      </c>
      <c r="P24" s="60">
        <v>0.68</v>
      </c>
      <c r="Q24" s="60">
        <v>0.27</v>
      </c>
      <c r="R24" s="198"/>
      <c r="S24" s="198"/>
      <c r="T24" s="198"/>
      <c r="U24" s="198"/>
    </row>
    <row r="25" spans="1:21" s="12" customFormat="1" x14ac:dyDescent="0.25">
      <c r="A25" s="201" t="s">
        <v>1514</v>
      </c>
      <c r="B25" s="60">
        <v>2.23</v>
      </c>
      <c r="C25" s="60">
        <v>37.26</v>
      </c>
      <c r="D25" s="60">
        <v>23</v>
      </c>
      <c r="E25" s="60">
        <v>3.56</v>
      </c>
      <c r="F25" s="60">
        <v>22.24</v>
      </c>
      <c r="G25" s="60">
        <v>70.83</v>
      </c>
      <c r="H25" s="60">
        <v>33.229999999999997</v>
      </c>
      <c r="I25" s="60">
        <v>0.55000000000000004</v>
      </c>
      <c r="J25" s="60">
        <v>0.16</v>
      </c>
      <c r="K25" s="60">
        <v>270.93</v>
      </c>
      <c r="L25" s="60">
        <v>24.39</v>
      </c>
      <c r="M25" s="60">
        <v>49.39</v>
      </c>
      <c r="N25" s="60">
        <v>4.7</v>
      </c>
      <c r="O25" s="60">
        <v>0</v>
      </c>
      <c r="P25" s="60">
        <v>0.67</v>
      </c>
      <c r="Q25" s="215" t="s">
        <v>42</v>
      </c>
      <c r="R25" s="198"/>
      <c r="S25" s="198"/>
      <c r="T25" s="198"/>
      <c r="U25" s="198"/>
    </row>
    <row r="26" spans="1:21" s="12" customFormat="1" x14ac:dyDescent="0.25">
      <c r="A26" s="201" t="s">
        <v>1515</v>
      </c>
      <c r="B26" s="60">
        <v>2.66</v>
      </c>
      <c r="C26" s="60">
        <v>39.07</v>
      </c>
      <c r="D26" s="60">
        <v>24.34</v>
      </c>
      <c r="E26" s="60">
        <v>3.81</v>
      </c>
      <c r="F26" s="60">
        <v>18.39</v>
      </c>
      <c r="G26" s="60">
        <v>75.459999999999994</v>
      </c>
      <c r="H26" s="60">
        <v>28.77</v>
      </c>
      <c r="I26" s="60">
        <v>0.51</v>
      </c>
      <c r="J26" s="60">
        <v>0.28999999999999998</v>
      </c>
      <c r="K26" s="60">
        <v>226.36</v>
      </c>
      <c r="L26" s="60">
        <v>24.46</v>
      </c>
      <c r="M26" s="60">
        <v>49.15</v>
      </c>
      <c r="N26" s="60">
        <v>4.0999999999999996</v>
      </c>
      <c r="O26" s="60">
        <v>0</v>
      </c>
      <c r="P26" s="60">
        <v>0.7</v>
      </c>
      <c r="Q26" s="215" t="s">
        <v>42</v>
      </c>
      <c r="R26" s="198"/>
      <c r="S26" s="198"/>
      <c r="T26" s="198"/>
      <c r="U26" s="198"/>
    </row>
    <row r="27" spans="1:21" s="12" customFormat="1" x14ac:dyDescent="0.25">
      <c r="A27" s="201" t="s">
        <v>1516</v>
      </c>
      <c r="B27" s="60">
        <v>2.87</v>
      </c>
      <c r="C27" s="60">
        <v>35.86</v>
      </c>
      <c r="D27" s="60">
        <v>22.74</v>
      </c>
      <c r="E27" s="60">
        <v>3.61</v>
      </c>
      <c r="F27" s="60">
        <v>23.37</v>
      </c>
      <c r="G27" s="60">
        <v>75.459999999999994</v>
      </c>
      <c r="H27" s="60">
        <v>28.77</v>
      </c>
      <c r="I27" s="60">
        <v>0.52</v>
      </c>
      <c r="J27" s="60">
        <v>0.21</v>
      </c>
      <c r="K27" s="60">
        <v>261.24</v>
      </c>
      <c r="L27" s="60">
        <v>24.38</v>
      </c>
      <c r="M27" s="60">
        <v>49.13</v>
      </c>
      <c r="N27" s="60">
        <v>4.5999999999999996</v>
      </c>
      <c r="O27" s="60">
        <v>0</v>
      </c>
      <c r="P27" s="60">
        <v>0.67</v>
      </c>
      <c r="Q27" s="215" t="s">
        <v>42</v>
      </c>
      <c r="R27" s="198"/>
      <c r="S27" s="198"/>
      <c r="T27" s="198"/>
      <c r="U27" s="198"/>
    </row>
    <row r="28" spans="1:21" s="12" customFormat="1" x14ac:dyDescent="0.25">
      <c r="A28" s="201" t="s">
        <v>1517</v>
      </c>
      <c r="B28" s="60">
        <v>3.13</v>
      </c>
      <c r="C28" s="60">
        <v>36.06</v>
      </c>
      <c r="D28" s="60">
        <v>23.06</v>
      </c>
      <c r="E28" s="60">
        <v>3.35</v>
      </c>
      <c r="F28" s="60">
        <v>18.989999999999998</v>
      </c>
      <c r="G28" s="60">
        <v>75.459999999999994</v>
      </c>
      <c r="H28" s="60">
        <v>28.77</v>
      </c>
      <c r="I28" s="60">
        <v>0.55000000000000004</v>
      </c>
      <c r="J28" s="60">
        <v>0.14000000000000001</v>
      </c>
      <c r="K28" s="60">
        <v>275.86</v>
      </c>
      <c r="L28" s="60">
        <v>24.23</v>
      </c>
      <c r="M28" s="60">
        <v>50</v>
      </c>
      <c r="N28" s="60">
        <v>4.7</v>
      </c>
      <c r="O28" s="60">
        <v>0</v>
      </c>
      <c r="P28" s="60">
        <v>0.69</v>
      </c>
      <c r="Q28" s="60">
        <v>0.01</v>
      </c>
      <c r="R28" s="198"/>
      <c r="S28" s="198"/>
      <c r="T28" s="198"/>
      <c r="U28" s="198"/>
    </row>
    <row r="29" spans="1:21" s="12" customFormat="1" x14ac:dyDescent="0.25">
      <c r="A29" s="201" t="s">
        <v>1518</v>
      </c>
      <c r="B29" s="60">
        <v>6.94</v>
      </c>
      <c r="C29" s="60">
        <v>46.45</v>
      </c>
      <c r="D29" s="60">
        <v>31.85</v>
      </c>
      <c r="E29" s="60">
        <v>4.08</v>
      </c>
      <c r="F29" s="60">
        <v>15.6</v>
      </c>
      <c r="G29" s="60">
        <v>76.23</v>
      </c>
      <c r="H29" s="60">
        <v>28.38</v>
      </c>
      <c r="I29" s="60">
        <v>0.53</v>
      </c>
      <c r="J29" s="60">
        <v>0.1</v>
      </c>
      <c r="K29" s="60">
        <v>312.58</v>
      </c>
      <c r="L29" s="60">
        <v>23.75</v>
      </c>
      <c r="M29" s="60">
        <v>52.17</v>
      </c>
      <c r="N29" s="60">
        <v>4.7</v>
      </c>
      <c r="O29" s="60">
        <v>0</v>
      </c>
      <c r="P29" s="60">
        <v>0.72</v>
      </c>
      <c r="Q29" s="60">
        <v>0.21</v>
      </c>
      <c r="R29" s="198"/>
      <c r="S29" s="198"/>
      <c r="T29" s="198"/>
      <c r="U29" s="198"/>
    </row>
    <row r="30" spans="1:21" s="12" customFormat="1" x14ac:dyDescent="0.25">
      <c r="A30" s="201" t="s">
        <v>1519</v>
      </c>
      <c r="B30" s="60">
        <v>6.78</v>
      </c>
      <c r="C30" s="60">
        <v>44.85</v>
      </c>
      <c r="D30" s="60">
        <v>30.84</v>
      </c>
      <c r="E30" s="60">
        <v>3.79</v>
      </c>
      <c r="F30" s="60">
        <v>13.81</v>
      </c>
      <c r="G30" s="60">
        <v>80.760000000000005</v>
      </c>
      <c r="H30" s="60">
        <v>26.73</v>
      </c>
      <c r="I30" s="60">
        <v>0.55000000000000004</v>
      </c>
      <c r="J30" s="60">
        <v>0.08</v>
      </c>
      <c r="K30" s="60">
        <v>13.31</v>
      </c>
      <c r="L30" s="60">
        <v>23.71</v>
      </c>
      <c r="M30" s="60">
        <v>52.79</v>
      </c>
      <c r="N30" s="60">
        <v>5.2</v>
      </c>
      <c r="O30" s="60">
        <v>0</v>
      </c>
      <c r="P30" s="60">
        <v>0.74</v>
      </c>
      <c r="Q30" s="60">
        <v>1.06</v>
      </c>
      <c r="R30" s="198"/>
      <c r="S30" s="198"/>
      <c r="T30" s="198"/>
      <c r="U30" s="198"/>
    </row>
    <row r="31" spans="1:21" s="12" customFormat="1" x14ac:dyDescent="0.25">
      <c r="A31" s="201" t="s">
        <v>1520</v>
      </c>
      <c r="B31" s="60">
        <v>6.04</v>
      </c>
      <c r="C31" s="60">
        <v>44.41</v>
      </c>
      <c r="D31" s="60">
        <v>30</v>
      </c>
      <c r="E31" s="60">
        <v>3</v>
      </c>
      <c r="F31" s="60">
        <v>5.37</v>
      </c>
      <c r="G31" s="60">
        <v>80.760000000000005</v>
      </c>
      <c r="H31" s="60">
        <v>26.73</v>
      </c>
      <c r="I31" s="60">
        <v>0.54</v>
      </c>
      <c r="J31" s="60">
        <v>7.0000000000000007E-2</v>
      </c>
      <c r="K31" s="60">
        <v>312.83999999999997</v>
      </c>
      <c r="L31" s="60">
        <v>24.19</v>
      </c>
      <c r="M31" s="60">
        <v>50.43</v>
      </c>
      <c r="N31" s="60">
        <v>7.5</v>
      </c>
      <c r="O31" s="60">
        <v>0</v>
      </c>
      <c r="P31" s="60">
        <v>0.78</v>
      </c>
      <c r="Q31" s="60">
        <v>2.82</v>
      </c>
      <c r="R31" s="198"/>
      <c r="S31" s="198"/>
      <c r="T31" s="198"/>
      <c r="U31" s="198"/>
    </row>
    <row r="32" spans="1:21" s="12" customFormat="1" x14ac:dyDescent="0.25">
      <c r="A32" s="201" t="s">
        <v>1521</v>
      </c>
      <c r="B32" s="60">
        <v>4.82</v>
      </c>
      <c r="C32" s="60">
        <v>45.23</v>
      </c>
      <c r="D32" s="60">
        <v>29.47</v>
      </c>
      <c r="E32" s="60">
        <v>2.46</v>
      </c>
      <c r="F32" s="60">
        <v>5.34</v>
      </c>
      <c r="G32" s="60">
        <v>80.760000000000005</v>
      </c>
      <c r="H32" s="60">
        <v>26.73</v>
      </c>
      <c r="I32" s="60">
        <v>0.56999999999999995</v>
      </c>
      <c r="J32" s="60">
        <v>0.24</v>
      </c>
      <c r="K32" s="60">
        <v>228.82</v>
      </c>
      <c r="L32" s="60">
        <v>24.35</v>
      </c>
      <c r="M32" s="60">
        <v>50.76</v>
      </c>
      <c r="N32" s="60">
        <v>14.9</v>
      </c>
      <c r="O32" s="60">
        <v>0</v>
      </c>
      <c r="P32" s="60">
        <v>0.77</v>
      </c>
      <c r="Q32" s="60">
        <v>4.5199999999999996</v>
      </c>
      <c r="R32" s="198"/>
      <c r="S32" s="198"/>
      <c r="T32" s="198"/>
      <c r="U32" s="198"/>
    </row>
    <row r="33" spans="1:21" s="12" customFormat="1" x14ac:dyDescent="0.25">
      <c r="A33" s="201" t="s">
        <v>1522</v>
      </c>
      <c r="B33" s="60">
        <v>4.63</v>
      </c>
      <c r="C33" s="60">
        <v>48.6</v>
      </c>
      <c r="D33" s="60">
        <v>31.18</v>
      </c>
      <c r="E33" s="60">
        <v>2.61</v>
      </c>
      <c r="F33" s="60">
        <v>4.26</v>
      </c>
      <c r="G33" s="60">
        <v>78.92</v>
      </c>
      <c r="H33" s="60">
        <v>26.3</v>
      </c>
      <c r="I33" s="60">
        <v>0.62</v>
      </c>
      <c r="J33" s="60">
        <v>0.49</v>
      </c>
      <c r="K33" s="60">
        <v>206.73</v>
      </c>
      <c r="L33" s="60">
        <v>24.19</v>
      </c>
      <c r="M33" s="60">
        <v>52.08</v>
      </c>
      <c r="N33" s="60">
        <v>32.5</v>
      </c>
      <c r="O33" s="60">
        <v>0</v>
      </c>
      <c r="P33" s="60">
        <v>0.76</v>
      </c>
      <c r="Q33" s="60">
        <v>6.02</v>
      </c>
      <c r="R33" s="198"/>
      <c r="S33" s="198"/>
      <c r="T33" s="198"/>
      <c r="U33" s="198"/>
    </row>
    <row r="34" spans="1:21" s="12" customFormat="1" x14ac:dyDescent="0.25">
      <c r="A34" s="201" t="s">
        <v>1523</v>
      </c>
      <c r="B34" s="60">
        <v>4.91</v>
      </c>
      <c r="C34" s="60">
        <v>50.61</v>
      </c>
      <c r="D34" s="60">
        <v>32.520000000000003</v>
      </c>
      <c r="E34" s="60">
        <v>2.02</v>
      </c>
      <c r="F34" s="60">
        <v>4.28</v>
      </c>
      <c r="G34" s="60">
        <v>68.040000000000006</v>
      </c>
      <c r="H34" s="60">
        <v>24.52</v>
      </c>
      <c r="I34" s="60">
        <v>0.61</v>
      </c>
      <c r="J34" s="60">
        <v>0.26</v>
      </c>
      <c r="K34" s="60">
        <v>241.07</v>
      </c>
      <c r="L34" s="60">
        <v>24.31</v>
      </c>
      <c r="M34" s="60">
        <v>51.9</v>
      </c>
      <c r="N34" s="60">
        <v>60.4</v>
      </c>
      <c r="O34" s="60">
        <v>0</v>
      </c>
      <c r="P34" s="60">
        <v>0.75</v>
      </c>
      <c r="Q34" s="60">
        <v>6.8</v>
      </c>
      <c r="R34" s="198"/>
      <c r="S34" s="198"/>
      <c r="T34" s="198"/>
      <c r="U34" s="198"/>
    </row>
    <row r="35" spans="1:21" s="12" customFormat="1" x14ac:dyDescent="0.25">
      <c r="A35" s="201" t="s">
        <v>1524</v>
      </c>
      <c r="B35" s="60">
        <v>4.8899999999999997</v>
      </c>
      <c r="C35" s="60">
        <v>51.9</v>
      </c>
      <c r="D35" s="60">
        <v>33.21</v>
      </c>
      <c r="E35" s="60">
        <v>2.14</v>
      </c>
      <c r="F35" s="60">
        <v>3.87</v>
      </c>
      <c r="G35" s="60">
        <v>68.040000000000006</v>
      </c>
      <c r="H35" s="60">
        <v>24.52</v>
      </c>
      <c r="I35" s="60">
        <v>0.6</v>
      </c>
      <c r="J35" s="60">
        <v>0.46</v>
      </c>
      <c r="K35" s="60">
        <v>226.61</v>
      </c>
      <c r="L35" s="60">
        <v>24.56</v>
      </c>
      <c r="M35" s="60">
        <v>51.3</v>
      </c>
      <c r="N35" s="60">
        <v>83.4</v>
      </c>
      <c r="O35" s="60">
        <v>0</v>
      </c>
      <c r="P35" s="60">
        <v>0.74</v>
      </c>
      <c r="Q35" s="60">
        <v>7.06</v>
      </c>
      <c r="R35" s="198"/>
      <c r="S35" s="198"/>
      <c r="T35" s="198"/>
      <c r="U35" s="198"/>
    </row>
    <row r="36" spans="1:21" s="12" customFormat="1" x14ac:dyDescent="0.25">
      <c r="A36" s="201" t="s">
        <v>1525</v>
      </c>
      <c r="B36" s="60">
        <v>4.49</v>
      </c>
      <c r="C36" s="60">
        <v>52.18</v>
      </c>
      <c r="D36" s="60">
        <v>33.049999999999997</v>
      </c>
      <c r="E36" s="60">
        <v>1.92</v>
      </c>
      <c r="F36" s="60">
        <v>3.91</v>
      </c>
      <c r="G36" s="60">
        <v>68.040000000000006</v>
      </c>
      <c r="H36" s="60">
        <v>24.52</v>
      </c>
      <c r="I36" s="60">
        <v>0.59</v>
      </c>
      <c r="J36" s="60">
        <v>0.51</v>
      </c>
      <c r="K36" s="60">
        <v>228.43</v>
      </c>
      <c r="L36" s="60">
        <v>24.82</v>
      </c>
      <c r="M36" s="60">
        <v>50.85</v>
      </c>
      <c r="N36" s="60">
        <v>118.3</v>
      </c>
      <c r="O36" s="60">
        <v>0</v>
      </c>
      <c r="P36" s="60">
        <v>0.73</v>
      </c>
      <c r="Q36" s="60">
        <v>6.35</v>
      </c>
      <c r="R36" s="198"/>
      <c r="S36" s="198"/>
      <c r="T36" s="198"/>
      <c r="U36" s="198"/>
    </row>
    <row r="37" spans="1:21" s="12" customFormat="1" x14ac:dyDescent="0.25">
      <c r="A37" s="201" t="s">
        <v>1526</v>
      </c>
      <c r="B37" s="60">
        <v>3.9</v>
      </c>
      <c r="C37" s="60">
        <v>51.82</v>
      </c>
      <c r="D37" s="60">
        <v>32.369999999999997</v>
      </c>
      <c r="E37" s="60">
        <v>2.0299999999999998</v>
      </c>
      <c r="F37" s="60">
        <v>4.5199999999999996</v>
      </c>
      <c r="G37" s="60">
        <v>67.95</v>
      </c>
      <c r="H37" s="60">
        <v>25.17</v>
      </c>
      <c r="I37" s="60">
        <v>0.59</v>
      </c>
      <c r="J37" s="60">
        <v>0.55000000000000004</v>
      </c>
      <c r="K37" s="60">
        <v>213.05</v>
      </c>
      <c r="L37" s="60">
        <v>25.2</v>
      </c>
      <c r="M37" s="60">
        <v>50.2</v>
      </c>
      <c r="N37" s="60">
        <v>183.2</v>
      </c>
      <c r="O37" s="60">
        <v>0</v>
      </c>
      <c r="P37" s="60">
        <v>0.8</v>
      </c>
      <c r="Q37" s="60">
        <v>5.27</v>
      </c>
      <c r="R37" s="198"/>
      <c r="S37" s="198"/>
      <c r="T37" s="198"/>
      <c r="U37" s="198"/>
    </row>
    <row r="38" spans="1:21" s="12" customFormat="1" x14ac:dyDescent="0.25">
      <c r="A38" s="201" t="s">
        <v>1527</v>
      </c>
      <c r="B38" s="60">
        <v>3.54</v>
      </c>
      <c r="C38" s="60">
        <v>43.63</v>
      </c>
      <c r="D38" s="60">
        <v>27.56</v>
      </c>
      <c r="E38" s="60">
        <v>2.35</v>
      </c>
      <c r="F38" s="60">
        <v>7.47</v>
      </c>
      <c r="G38" s="60">
        <v>67.41</v>
      </c>
      <c r="H38" s="60">
        <v>27.88</v>
      </c>
      <c r="I38" s="60">
        <v>0.57999999999999996</v>
      </c>
      <c r="J38" s="60">
        <v>0.83</v>
      </c>
      <c r="K38" s="60">
        <v>205.16</v>
      </c>
      <c r="L38" s="60">
        <v>25.68</v>
      </c>
      <c r="M38" s="60">
        <v>49.84</v>
      </c>
      <c r="N38" s="60">
        <v>235.6</v>
      </c>
      <c r="O38" s="60">
        <v>0</v>
      </c>
      <c r="P38" s="60">
        <v>0.83</v>
      </c>
      <c r="Q38" s="60">
        <v>0.91</v>
      </c>
      <c r="R38" s="198"/>
      <c r="S38" s="198"/>
      <c r="T38" s="198"/>
      <c r="U38" s="198"/>
    </row>
    <row r="39" spans="1:21" s="12" customFormat="1" x14ac:dyDescent="0.25">
      <c r="A39" s="201" t="s">
        <v>1528</v>
      </c>
      <c r="B39" s="60">
        <v>3.59</v>
      </c>
      <c r="C39" s="60">
        <v>39.43</v>
      </c>
      <c r="D39" s="60">
        <v>25.28</v>
      </c>
      <c r="E39" s="60">
        <v>2.4500000000000002</v>
      </c>
      <c r="F39" s="60">
        <v>5.57</v>
      </c>
      <c r="G39" s="60">
        <v>67.41</v>
      </c>
      <c r="H39" s="60">
        <v>27.88</v>
      </c>
      <c r="I39" s="60">
        <v>0.56999999999999995</v>
      </c>
      <c r="J39" s="60">
        <v>1.18</v>
      </c>
      <c r="K39" s="60">
        <v>200.3</v>
      </c>
      <c r="L39" s="60">
        <v>26.12</v>
      </c>
      <c r="M39" s="60">
        <v>48.57</v>
      </c>
      <c r="N39" s="60">
        <v>293.8</v>
      </c>
      <c r="O39" s="60">
        <v>0</v>
      </c>
      <c r="P39" s="60">
        <v>0.82</v>
      </c>
      <c r="Q39" s="215" t="s">
        <v>42</v>
      </c>
      <c r="R39" s="198"/>
      <c r="S39" s="198"/>
      <c r="T39" s="198"/>
      <c r="U39" s="198"/>
    </row>
    <row r="40" spans="1:21" s="12" customFormat="1" x14ac:dyDescent="0.25">
      <c r="A40" s="201" t="s">
        <v>1529</v>
      </c>
      <c r="B40" s="60">
        <v>3.74</v>
      </c>
      <c r="C40" s="60">
        <v>47.94</v>
      </c>
      <c r="D40" s="60">
        <v>30.1</v>
      </c>
      <c r="E40" s="60">
        <v>0.99</v>
      </c>
      <c r="F40" s="60">
        <v>5.86</v>
      </c>
      <c r="G40" s="60">
        <v>67.41</v>
      </c>
      <c r="H40" s="60">
        <v>27.88</v>
      </c>
      <c r="I40" s="60">
        <v>0.55000000000000004</v>
      </c>
      <c r="J40" s="60">
        <v>0.88</v>
      </c>
      <c r="K40" s="60">
        <v>231.1</v>
      </c>
      <c r="L40" s="60">
        <v>26.7</v>
      </c>
      <c r="M40" s="60">
        <v>46.52</v>
      </c>
      <c r="N40" s="60">
        <v>349.3</v>
      </c>
      <c r="O40" s="60">
        <v>0</v>
      </c>
      <c r="P40" s="60">
        <v>0.82</v>
      </c>
      <c r="Q40" s="215" t="s">
        <v>42</v>
      </c>
      <c r="R40" s="198"/>
      <c r="S40" s="198"/>
      <c r="T40" s="198"/>
      <c r="U40" s="198"/>
    </row>
    <row r="41" spans="1:21" s="12" customFormat="1" x14ac:dyDescent="0.25">
      <c r="A41" s="201" t="s">
        <v>1530</v>
      </c>
      <c r="B41" s="60">
        <v>3.48</v>
      </c>
      <c r="C41" s="60">
        <v>47.84</v>
      </c>
      <c r="D41" s="60">
        <v>29.84</v>
      </c>
      <c r="E41" s="60">
        <v>1.21</v>
      </c>
      <c r="F41" s="60">
        <v>6.84</v>
      </c>
      <c r="G41" s="60">
        <v>67.89</v>
      </c>
      <c r="H41" s="60">
        <v>28.12</v>
      </c>
      <c r="I41" s="60">
        <v>0.55000000000000004</v>
      </c>
      <c r="J41" s="60">
        <v>0.7</v>
      </c>
      <c r="K41" s="60">
        <v>231.11</v>
      </c>
      <c r="L41" s="60">
        <v>27.2</v>
      </c>
      <c r="M41" s="60">
        <v>44.89</v>
      </c>
      <c r="N41" s="60">
        <v>404.4</v>
      </c>
      <c r="O41" s="60">
        <v>0</v>
      </c>
      <c r="P41" s="60">
        <v>0.8</v>
      </c>
      <c r="Q41" s="215" t="s">
        <v>42</v>
      </c>
      <c r="R41" s="198"/>
      <c r="S41" s="198"/>
      <c r="T41" s="198"/>
      <c r="U41" s="198"/>
    </row>
    <row r="42" spans="1:21" s="12" customFormat="1" x14ac:dyDescent="0.25">
      <c r="A42" s="201" t="s">
        <v>1531</v>
      </c>
      <c r="B42" s="60">
        <v>2.97</v>
      </c>
      <c r="C42" s="60">
        <v>46.38</v>
      </c>
      <c r="D42" s="60">
        <v>28.62</v>
      </c>
      <c r="E42" s="60">
        <v>1.1000000000000001</v>
      </c>
      <c r="F42" s="60">
        <v>9.16</v>
      </c>
      <c r="G42" s="60">
        <v>70.72</v>
      </c>
      <c r="H42" s="60">
        <v>29.41</v>
      </c>
      <c r="I42" s="60">
        <v>0.54</v>
      </c>
      <c r="J42" s="60">
        <v>0.31</v>
      </c>
      <c r="K42" s="60">
        <v>229.06</v>
      </c>
      <c r="L42" s="60">
        <v>28.22</v>
      </c>
      <c r="M42" s="60">
        <v>44.29</v>
      </c>
      <c r="N42" s="60">
        <v>413.4</v>
      </c>
      <c r="O42" s="60">
        <v>0</v>
      </c>
      <c r="P42" s="60">
        <v>0.8</v>
      </c>
      <c r="Q42" s="215" t="s">
        <v>42</v>
      </c>
      <c r="R42" s="198"/>
      <c r="S42" s="198"/>
      <c r="T42" s="198"/>
      <c r="U42" s="198"/>
    </row>
    <row r="43" spans="1:21" s="12" customFormat="1" x14ac:dyDescent="0.25">
      <c r="A43" s="201" t="s">
        <v>1532</v>
      </c>
      <c r="B43" s="60">
        <v>2.74</v>
      </c>
      <c r="C43" s="60">
        <v>45.35</v>
      </c>
      <c r="D43" s="60">
        <v>27.87</v>
      </c>
      <c r="E43" s="60">
        <v>1.23</v>
      </c>
      <c r="F43" s="60">
        <v>9.58</v>
      </c>
      <c r="G43" s="60">
        <v>70.72</v>
      </c>
      <c r="H43" s="60">
        <v>29.41</v>
      </c>
      <c r="I43" s="60">
        <v>0.54</v>
      </c>
      <c r="J43" s="60">
        <v>0.36</v>
      </c>
      <c r="K43" s="60">
        <v>245.34</v>
      </c>
      <c r="L43" s="60">
        <v>28.99</v>
      </c>
      <c r="M43" s="60">
        <v>43.98</v>
      </c>
      <c r="N43" s="60">
        <v>503.9</v>
      </c>
      <c r="O43" s="60">
        <v>0</v>
      </c>
      <c r="P43" s="60">
        <v>0.82</v>
      </c>
      <c r="Q43" s="215" t="s">
        <v>42</v>
      </c>
      <c r="R43" s="198"/>
      <c r="S43" s="198"/>
      <c r="T43" s="198"/>
      <c r="U43" s="198"/>
    </row>
    <row r="44" spans="1:21" s="12" customFormat="1" x14ac:dyDescent="0.25">
      <c r="A44" s="201" t="s">
        <v>1533</v>
      </c>
      <c r="B44" s="60">
        <v>4.17</v>
      </c>
      <c r="C44" s="60">
        <v>46.8</v>
      </c>
      <c r="D44" s="60">
        <v>29.82</v>
      </c>
      <c r="E44" s="60">
        <v>1.95</v>
      </c>
      <c r="F44" s="60">
        <v>12.55</v>
      </c>
      <c r="G44" s="60">
        <v>70.72</v>
      </c>
      <c r="H44" s="60">
        <v>29.41</v>
      </c>
      <c r="I44" s="60">
        <v>0.53</v>
      </c>
      <c r="J44" s="60">
        <v>0.13</v>
      </c>
      <c r="K44" s="60">
        <v>197.33</v>
      </c>
      <c r="L44" s="60">
        <v>30.68</v>
      </c>
      <c r="M44" s="60">
        <v>40.92</v>
      </c>
      <c r="N44" s="60">
        <v>546</v>
      </c>
      <c r="O44" s="60">
        <v>0</v>
      </c>
      <c r="P44" s="60">
        <v>0.86</v>
      </c>
      <c r="Q44" s="215" t="s">
        <v>42</v>
      </c>
      <c r="R44" s="198"/>
      <c r="S44" s="198"/>
      <c r="T44" s="198"/>
      <c r="U44" s="198"/>
    </row>
    <row r="45" spans="1:21" s="12" customFormat="1" x14ac:dyDescent="0.25">
      <c r="A45" s="201" t="s">
        <v>1534</v>
      </c>
      <c r="B45" s="60">
        <v>3.29</v>
      </c>
      <c r="C45" s="60">
        <v>47.81</v>
      </c>
      <c r="D45" s="60">
        <v>29.67</v>
      </c>
      <c r="E45" s="60">
        <v>1.57</v>
      </c>
      <c r="F45" s="60">
        <v>7.4</v>
      </c>
      <c r="G45" s="60">
        <v>74.989999999999995</v>
      </c>
      <c r="H45" s="60">
        <v>29.22</v>
      </c>
      <c r="I45" s="60">
        <v>0.53</v>
      </c>
      <c r="J45" s="60">
        <v>0.09</v>
      </c>
      <c r="K45" s="60">
        <v>359.63</v>
      </c>
      <c r="L45" s="60">
        <v>31.99</v>
      </c>
      <c r="M45" s="60">
        <v>34.450000000000003</v>
      </c>
      <c r="N45" s="60">
        <v>595.5</v>
      </c>
      <c r="O45" s="60">
        <v>0</v>
      </c>
      <c r="P45" s="60">
        <v>0.84</v>
      </c>
      <c r="Q45" s="215" t="s">
        <v>42</v>
      </c>
      <c r="R45" s="198"/>
      <c r="S45" s="198"/>
      <c r="T45" s="198"/>
      <c r="U45" s="198"/>
    </row>
    <row r="46" spans="1:21" s="12" customFormat="1" x14ac:dyDescent="0.25">
      <c r="A46" s="201" t="s">
        <v>1535</v>
      </c>
      <c r="B46" s="60">
        <v>2.4500000000000002</v>
      </c>
      <c r="C46" s="60">
        <v>49.49</v>
      </c>
      <c r="D46" s="60">
        <v>29.92</v>
      </c>
      <c r="E46" s="60">
        <v>1.33</v>
      </c>
      <c r="F46" s="60">
        <v>8.1</v>
      </c>
      <c r="G46" s="60">
        <v>100.27</v>
      </c>
      <c r="H46" s="60">
        <v>28.42</v>
      </c>
      <c r="I46" s="60">
        <v>0.54</v>
      </c>
      <c r="J46" s="60">
        <v>7.0000000000000007E-2</v>
      </c>
      <c r="K46" s="60">
        <v>290.73</v>
      </c>
      <c r="L46" s="60">
        <v>32.799999999999997</v>
      </c>
      <c r="M46" s="60">
        <v>31.56</v>
      </c>
      <c r="N46" s="60">
        <v>605</v>
      </c>
      <c r="O46" s="60">
        <v>0</v>
      </c>
      <c r="P46" s="60">
        <v>0.84</v>
      </c>
      <c r="Q46" s="60">
        <v>0.65</v>
      </c>
      <c r="R46" s="198"/>
      <c r="S46" s="198"/>
      <c r="T46" s="198"/>
      <c r="U46" s="198"/>
    </row>
    <row r="47" spans="1:21" s="12" customFormat="1" x14ac:dyDescent="0.25">
      <c r="A47" s="201" t="s">
        <v>1536</v>
      </c>
      <c r="B47" s="60">
        <v>1.89</v>
      </c>
      <c r="C47" s="60">
        <v>50.04</v>
      </c>
      <c r="D47" s="60">
        <v>29.78</v>
      </c>
      <c r="E47" s="60">
        <v>1.4</v>
      </c>
      <c r="F47" s="60">
        <v>10.77</v>
      </c>
      <c r="G47" s="60">
        <v>100.27</v>
      </c>
      <c r="H47" s="60">
        <v>28.42</v>
      </c>
      <c r="I47" s="60">
        <v>0.55000000000000004</v>
      </c>
      <c r="J47" s="60">
        <v>0.31</v>
      </c>
      <c r="K47" s="60">
        <v>260.19</v>
      </c>
      <c r="L47" s="60">
        <v>33.35</v>
      </c>
      <c r="M47" s="60">
        <v>30.66</v>
      </c>
      <c r="N47" s="60">
        <v>674.8</v>
      </c>
      <c r="O47" s="60">
        <v>0</v>
      </c>
      <c r="P47" s="60">
        <v>0.84</v>
      </c>
      <c r="Q47" s="60">
        <v>0.87</v>
      </c>
      <c r="R47" s="198"/>
      <c r="S47" s="198"/>
      <c r="T47" s="198"/>
      <c r="U47" s="198"/>
    </row>
    <row r="48" spans="1:21" s="12" customFormat="1" x14ac:dyDescent="0.25">
      <c r="A48" s="201" t="s">
        <v>1537</v>
      </c>
      <c r="B48" s="60">
        <v>1.64</v>
      </c>
      <c r="C48" s="60">
        <v>49.34</v>
      </c>
      <c r="D48" s="60">
        <v>29.19</v>
      </c>
      <c r="E48" s="60">
        <v>1.1200000000000001</v>
      </c>
      <c r="F48" s="60">
        <v>11.04</v>
      </c>
      <c r="G48" s="60">
        <v>100.27</v>
      </c>
      <c r="H48" s="60">
        <v>28.42</v>
      </c>
      <c r="I48" s="60">
        <v>0.54</v>
      </c>
      <c r="J48" s="60">
        <v>0.33</v>
      </c>
      <c r="K48" s="60">
        <v>247.78</v>
      </c>
      <c r="L48" s="60">
        <v>33.53</v>
      </c>
      <c r="M48" s="60">
        <v>29.7</v>
      </c>
      <c r="N48" s="60">
        <v>703.8</v>
      </c>
      <c r="O48" s="60">
        <v>0</v>
      </c>
      <c r="P48" s="60">
        <v>0.85</v>
      </c>
      <c r="Q48" s="60">
        <v>0.08</v>
      </c>
      <c r="R48" s="198"/>
      <c r="S48" s="198"/>
      <c r="T48" s="198"/>
      <c r="U48" s="198"/>
    </row>
    <row r="49" spans="1:21" s="12" customFormat="1" x14ac:dyDescent="0.25">
      <c r="A49" s="201" t="s">
        <v>1538</v>
      </c>
      <c r="B49" s="60">
        <v>1.6</v>
      </c>
      <c r="C49" s="60">
        <v>49.09</v>
      </c>
      <c r="D49" s="60">
        <v>29.02</v>
      </c>
      <c r="E49" s="60">
        <v>1.4</v>
      </c>
      <c r="F49" s="60">
        <v>12.09</v>
      </c>
      <c r="G49" s="60">
        <v>95.3</v>
      </c>
      <c r="H49" s="60">
        <v>29.07</v>
      </c>
      <c r="I49" s="60">
        <v>0.53</v>
      </c>
      <c r="J49" s="60">
        <v>0.13</v>
      </c>
      <c r="K49" s="60">
        <v>280.73</v>
      </c>
      <c r="L49" s="60">
        <v>34.33</v>
      </c>
      <c r="M49" s="60">
        <v>27.63</v>
      </c>
      <c r="N49" s="60">
        <v>738.4</v>
      </c>
      <c r="O49" s="60">
        <v>0</v>
      </c>
      <c r="P49" s="60">
        <v>0.86</v>
      </c>
      <c r="Q49" s="215" t="s">
        <v>42</v>
      </c>
      <c r="R49" s="198"/>
      <c r="S49" s="198"/>
      <c r="T49" s="198"/>
      <c r="U49" s="198"/>
    </row>
    <row r="50" spans="1:21" s="12" customFormat="1" x14ac:dyDescent="0.25">
      <c r="A50" s="201" t="s">
        <v>1539</v>
      </c>
      <c r="B50" s="60">
        <v>3.24</v>
      </c>
      <c r="C50" s="60">
        <v>67.209999999999994</v>
      </c>
      <c r="D50" s="60">
        <v>40.340000000000003</v>
      </c>
      <c r="E50" s="60">
        <v>6.52</v>
      </c>
      <c r="F50" s="60">
        <v>49.01</v>
      </c>
      <c r="G50" s="60">
        <v>65.87</v>
      </c>
      <c r="H50" s="60">
        <v>31.77</v>
      </c>
      <c r="I50" s="60">
        <v>0.53</v>
      </c>
      <c r="J50" s="60">
        <v>0.22</v>
      </c>
      <c r="K50" s="60">
        <v>35.46</v>
      </c>
      <c r="L50" s="60">
        <v>36.049999999999997</v>
      </c>
      <c r="M50" s="60">
        <v>25.7</v>
      </c>
      <c r="N50" s="60">
        <v>757.1</v>
      </c>
      <c r="O50" s="60">
        <v>0</v>
      </c>
      <c r="P50" s="60">
        <v>1.01</v>
      </c>
      <c r="Q50" s="215" t="s">
        <v>42</v>
      </c>
      <c r="R50" s="198"/>
      <c r="S50" s="198"/>
      <c r="T50" s="198"/>
      <c r="U50" s="198"/>
    </row>
    <row r="51" spans="1:21" s="12" customFormat="1" x14ac:dyDescent="0.25">
      <c r="A51" s="201" t="s">
        <v>1540</v>
      </c>
      <c r="B51" s="60">
        <v>3.4</v>
      </c>
      <c r="C51" s="60">
        <v>98.57</v>
      </c>
      <c r="D51" s="60">
        <v>57.77</v>
      </c>
      <c r="E51" s="60">
        <v>9.91</v>
      </c>
      <c r="F51" s="60">
        <v>31.85</v>
      </c>
      <c r="G51" s="60">
        <v>65.87</v>
      </c>
      <c r="H51" s="60">
        <v>31.77</v>
      </c>
      <c r="I51" s="60">
        <v>0.52</v>
      </c>
      <c r="J51" s="60">
        <v>0.19</v>
      </c>
      <c r="K51" s="60">
        <v>251.22</v>
      </c>
      <c r="L51" s="60">
        <v>35.81</v>
      </c>
      <c r="M51" s="60">
        <v>24.57</v>
      </c>
      <c r="N51" s="60">
        <v>772.8</v>
      </c>
      <c r="O51" s="60">
        <v>0</v>
      </c>
      <c r="P51" s="60">
        <v>1.01</v>
      </c>
      <c r="Q51" s="215" t="s">
        <v>42</v>
      </c>
      <c r="R51" s="198"/>
      <c r="S51" s="198"/>
      <c r="T51" s="198"/>
      <c r="U51" s="198"/>
    </row>
    <row r="52" spans="1:21" s="12" customFormat="1" x14ac:dyDescent="0.25">
      <c r="A52" s="201" t="s">
        <v>1541</v>
      </c>
      <c r="B52" s="60">
        <v>1.1399999999999999</v>
      </c>
      <c r="C52" s="60">
        <v>67.5</v>
      </c>
      <c r="D52" s="60">
        <v>38.81</v>
      </c>
      <c r="E52" s="60">
        <v>9.9600000000000009</v>
      </c>
      <c r="F52" s="60">
        <v>53.83</v>
      </c>
      <c r="G52" s="60">
        <v>65.87</v>
      </c>
      <c r="H52" s="60">
        <v>31.77</v>
      </c>
      <c r="I52" s="60">
        <v>0.52</v>
      </c>
      <c r="J52" s="60">
        <v>0.08</v>
      </c>
      <c r="K52" s="60">
        <v>303.69</v>
      </c>
      <c r="L52" s="60">
        <v>36.229999999999997</v>
      </c>
      <c r="M52" s="60">
        <v>22.55</v>
      </c>
      <c r="N52" s="60">
        <v>797.6</v>
      </c>
      <c r="O52" s="60">
        <v>0</v>
      </c>
      <c r="P52" s="60">
        <v>1.02</v>
      </c>
      <c r="Q52" s="60">
        <v>24.7</v>
      </c>
      <c r="R52" s="198"/>
      <c r="S52" s="198"/>
      <c r="T52" s="198"/>
      <c r="U52" s="198"/>
    </row>
    <row r="53" spans="1:21" s="12" customFormat="1" x14ac:dyDescent="0.25">
      <c r="A53" s="201" t="s">
        <v>1542</v>
      </c>
      <c r="B53" s="60">
        <v>2.02</v>
      </c>
      <c r="C53" s="60">
        <v>53.54</v>
      </c>
      <c r="D53" s="60">
        <v>31.81</v>
      </c>
      <c r="E53" s="60">
        <v>20.25</v>
      </c>
      <c r="F53" s="60">
        <v>71.81</v>
      </c>
      <c r="G53" s="60">
        <v>65.78</v>
      </c>
      <c r="H53" s="60">
        <v>31.76</v>
      </c>
      <c r="I53" s="60">
        <v>0.54</v>
      </c>
      <c r="J53" s="60">
        <v>0.31</v>
      </c>
      <c r="K53" s="60">
        <v>16.66</v>
      </c>
      <c r="L53" s="60">
        <v>38.21</v>
      </c>
      <c r="M53" s="60">
        <v>20.99</v>
      </c>
      <c r="N53" s="60">
        <v>801.9</v>
      </c>
      <c r="O53" s="60">
        <v>0</v>
      </c>
      <c r="P53" s="60">
        <v>0.94</v>
      </c>
      <c r="Q53" s="60">
        <v>16.920000000000002</v>
      </c>
      <c r="R53" s="198"/>
      <c r="S53" s="198"/>
      <c r="T53" s="198"/>
      <c r="U53" s="198"/>
    </row>
    <row r="54" spans="1:21" s="12" customFormat="1" x14ac:dyDescent="0.25">
      <c r="A54" s="201" t="s">
        <v>1543</v>
      </c>
      <c r="B54" s="60">
        <v>1.71</v>
      </c>
      <c r="C54" s="60">
        <v>52.92</v>
      </c>
      <c r="D54" s="60">
        <v>31.22</v>
      </c>
      <c r="E54" s="60">
        <v>11.36</v>
      </c>
      <c r="F54" s="60">
        <v>48.32</v>
      </c>
      <c r="G54" s="60">
        <v>65.25</v>
      </c>
      <c r="H54" s="60">
        <v>31.7</v>
      </c>
      <c r="I54" s="60">
        <v>0.56000000000000005</v>
      </c>
      <c r="J54" s="60">
        <v>0.4</v>
      </c>
      <c r="K54" s="60">
        <v>19.16</v>
      </c>
      <c r="L54" s="60">
        <v>39.49</v>
      </c>
      <c r="M54" s="60">
        <v>20.98</v>
      </c>
      <c r="N54" s="60">
        <v>808.3</v>
      </c>
      <c r="O54" s="60">
        <v>0</v>
      </c>
      <c r="P54" s="60">
        <v>1</v>
      </c>
      <c r="Q54" s="60">
        <v>15.58</v>
      </c>
      <c r="R54" s="198"/>
      <c r="S54" s="198"/>
      <c r="T54" s="198"/>
      <c r="U54" s="198"/>
    </row>
    <row r="55" spans="1:21" s="12" customFormat="1" x14ac:dyDescent="0.25">
      <c r="A55" s="201" t="s">
        <v>1544</v>
      </c>
      <c r="B55" s="60">
        <v>2.33</v>
      </c>
      <c r="C55" s="60">
        <v>60.52</v>
      </c>
      <c r="D55" s="60">
        <v>35.92</v>
      </c>
      <c r="E55" s="60">
        <v>6.97</v>
      </c>
      <c r="F55" s="60">
        <v>43.06</v>
      </c>
      <c r="G55" s="60">
        <v>65.25</v>
      </c>
      <c r="H55" s="60">
        <v>31.7</v>
      </c>
      <c r="I55" s="60">
        <v>0.53</v>
      </c>
      <c r="J55" s="60">
        <v>0.53</v>
      </c>
      <c r="K55" s="60">
        <v>26.68</v>
      </c>
      <c r="L55" s="60">
        <v>40.049999999999997</v>
      </c>
      <c r="M55" s="60">
        <v>19.09</v>
      </c>
      <c r="N55" s="60">
        <v>806.2</v>
      </c>
      <c r="O55" s="60">
        <v>0</v>
      </c>
      <c r="P55" s="60">
        <v>1.1399999999999999</v>
      </c>
      <c r="Q55" s="60">
        <v>13.6</v>
      </c>
      <c r="R55" s="198"/>
      <c r="S55" s="198"/>
      <c r="T55" s="198"/>
      <c r="U55" s="198"/>
    </row>
    <row r="56" spans="1:21" s="12" customFormat="1" x14ac:dyDescent="0.25">
      <c r="A56" s="201" t="s">
        <v>1545</v>
      </c>
      <c r="B56" s="60">
        <v>3.25</v>
      </c>
      <c r="C56" s="60">
        <v>61.53</v>
      </c>
      <c r="D56" s="60">
        <v>37.21</v>
      </c>
      <c r="E56" s="60">
        <v>2.34</v>
      </c>
      <c r="F56" s="60">
        <v>38.979999999999997</v>
      </c>
      <c r="G56" s="60">
        <v>65.25</v>
      </c>
      <c r="H56" s="60">
        <v>31.7</v>
      </c>
      <c r="I56" s="60">
        <v>0.49</v>
      </c>
      <c r="J56" s="60">
        <v>0.61</v>
      </c>
      <c r="K56" s="60">
        <v>11.27</v>
      </c>
      <c r="L56" s="60">
        <v>39.880000000000003</v>
      </c>
      <c r="M56" s="60">
        <v>18.25</v>
      </c>
      <c r="N56" s="60">
        <v>802</v>
      </c>
      <c r="O56" s="60">
        <v>0</v>
      </c>
      <c r="P56" s="60">
        <v>1.1100000000000001</v>
      </c>
      <c r="Q56" s="60">
        <v>12.93</v>
      </c>
      <c r="R56" s="198"/>
      <c r="S56" s="198"/>
      <c r="T56" s="198"/>
      <c r="U56" s="198"/>
    </row>
    <row r="57" spans="1:21" s="12" customFormat="1" x14ac:dyDescent="0.25">
      <c r="A57" s="201" t="s">
        <v>1546</v>
      </c>
      <c r="B57" s="60">
        <v>3.12</v>
      </c>
      <c r="C57" s="60">
        <v>53.09</v>
      </c>
      <c r="D57" s="60">
        <v>32.450000000000003</v>
      </c>
      <c r="E57" s="60">
        <v>5.49</v>
      </c>
      <c r="F57" s="60">
        <v>45.28</v>
      </c>
      <c r="G57" s="60">
        <v>63.79</v>
      </c>
      <c r="H57" s="60">
        <v>31.28</v>
      </c>
      <c r="I57" s="60">
        <v>0.51</v>
      </c>
      <c r="J57" s="60">
        <v>0.89</v>
      </c>
      <c r="K57" s="60">
        <v>21.57</v>
      </c>
      <c r="L57" s="60">
        <v>41.49</v>
      </c>
      <c r="M57" s="60">
        <v>15.86</v>
      </c>
      <c r="N57" s="60">
        <v>787.5</v>
      </c>
      <c r="O57" s="60">
        <v>0</v>
      </c>
      <c r="P57" s="60">
        <v>0.98</v>
      </c>
      <c r="Q57" s="60">
        <v>14.28</v>
      </c>
      <c r="R57" s="198"/>
      <c r="S57" s="198"/>
      <c r="T57" s="198"/>
      <c r="U57" s="198"/>
    </row>
    <row r="58" spans="1:21" s="12" customFormat="1" x14ac:dyDescent="0.25">
      <c r="A58" s="201" t="s">
        <v>1547</v>
      </c>
      <c r="B58" s="60">
        <v>3.97</v>
      </c>
      <c r="C58" s="60">
        <v>50.04</v>
      </c>
      <c r="D58" s="60">
        <v>31.45</v>
      </c>
      <c r="E58" s="60">
        <v>5.29</v>
      </c>
      <c r="F58" s="60">
        <v>26.9</v>
      </c>
      <c r="G58" s="60">
        <v>55.11</v>
      </c>
      <c r="H58" s="60">
        <v>29</v>
      </c>
      <c r="I58" s="60">
        <v>0.56000000000000005</v>
      </c>
      <c r="J58" s="60">
        <v>1.1499999999999999</v>
      </c>
      <c r="K58" s="60">
        <v>18</v>
      </c>
      <c r="L58" s="60">
        <v>41.29</v>
      </c>
      <c r="M58" s="60">
        <v>14.35</v>
      </c>
      <c r="N58" s="60">
        <v>738.2</v>
      </c>
      <c r="O58" s="60">
        <v>0</v>
      </c>
      <c r="P58" s="60">
        <v>0.98</v>
      </c>
      <c r="Q58" s="60">
        <v>14.44</v>
      </c>
      <c r="R58" s="198"/>
      <c r="S58" s="198"/>
      <c r="T58" s="198"/>
      <c r="U58" s="198"/>
    </row>
    <row r="59" spans="1:21" s="12" customFormat="1" x14ac:dyDescent="0.25">
      <c r="A59" s="201" t="s">
        <v>1548</v>
      </c>
      <c r="B59" s="60">
        <v>5.3</v>
      </c>
      <c r="C59" s="60">
        <v>52.41</v>
      </c>
      <c r="D59" s="60">
        <v>33.82</v>
      </c>
      <c r="E59" s="60">
        <v>4.78</v>
      </c>
      <c r="F59" s="60">
        <v>36.43</v>
      </c>
      <c r="G59" s="60">
        <v>55.11</v>
      </c>
      <c r="H59" s="60">
        <v>29</v>
      </c>
      <c r="I59" s="60">
        <v>0.56999999999999995</v>
      </c>
      <c r="J59" s="60">
        <v>0.89</v>
      </c>
      <c r="K59" s="60">
        <v>21.81</v>
      </c>
      <c r="L59" s="60">
        <v>41.73</v>
      </c>
      <c r="M59" s="60">
        <v>13.67</v>
      </c>
      <c r="N59" s="60">
        <v>781.4</v>
      </c>
      <c r="O59" s="60">
        <v>0</v>
      </c>
      <c r="P59" s="60">
        <v>0.91</v>
      </c>
      <c r="Q59" s="60">
        <v>15.59</v>
      </c>
      <c r="R59" s="198"/>
      <c r="S59" s="198"/>
      <c r="T59" s="198"/>
      <c r="U59" s="198"/>
    </row>
    <row r="60" spans="1:21" s="12" customFormat="1" x14ac:dyDescent="0.25">
      <c r="A60" s="201" t="s">
        <v>1549</v>
      </c>
      <c r="B60" s="60">
        <v>6.85</v>
      </c>
      <c r="C60" s="60">
        <v>50.31</v>
      </c>
      <c r="D60" s="60">
        <v>33.9</v>
      </c>
      <c r="E60" s="60">
        <v>4.71</v>
      </c>
      <c r="F60" s="60">
        <v>33.26</v>
      </c>
      <c r="G60" s="60">
        <v>55.11</v>
      </c>
      <c r="H60" s="60">
        <v>29</v>
      </c>
      <c r="I60" s="60">
        <v>0.55000000000000004</v>
      </c>
      <c r="J60" s="60">
        <v>1.1399999999999999</v>
      </c>
      <c r="K60" s="60">
        <v>27.56</v>
      </c>
      <c r="L60" s="60">
        <v>42.07</v>
      </c>
      <c r="M60" s="60">
        <v>12.76</v>
      </c>
      <c r="N60" s="60">
        <v>769.3</v>
      </c>
      <c r="O60" s="60">
        <v>0</v>
      </c>
      <c r="P60" s="60">
        <v>0.88</v>
      </c>
      <c r="Q60" s="60">
        <v>15.52</v>
      </c>
      <c r="R60" s="198"/>
      <c r="S60" s="198"/>
      <c r="T60" s="198"/>
      <c r="U60" s="198"/>
    </row>
    <row r="61" spans="1:21" s="12" customFormat="1" x14ac:dyDescent="0.25">
      <c r="A61" s="201" t="s">
        <v>1550</v>
      </c>
      <c r="B61" s="60">
        <v>3.89</v>
      </c>
      <c r="C61" s="60">
        <v>53.13</v>
      </c>
      <c r="D61" s="60">
        <v>33.090000000000003</v>
      </c>
      <c r="E61" s="60">
        <v>7.57</v>
      </c>
      <c r="F61" s="60">
        <v>54.32</v>
      </c>
      <c r="G61" s="60">
        <v>49.22</v>
      </c>
      <c r="H61" s="60">
        <v>28.07</v>
      </c>
      <c r="I61" s="60">
        <v>0.57999999999999996</v>
      </c>
      <c r="J61" s="60">
        <v>0.41</v>
      </c>
      <c r="K61" s="60">
        <v>24.54</v>
      </c>
      <c r="L61" s="60">
        <v>41.3</v>
      </c>
      <c r="M61" s="60">
        <v>12.96</v>
      </c>
      <c r="N61" s="60">
        <v>629.4</v>
      </c>
      <c r="O61" s="60">
        <v>0</v>
      </c>
      <c r="P61" s="60">
        <v>0.71</v>
      </c>
      <c r="Q61" s="60">
        <v>12.85</v>
      </c>
      <c r="R61" s="198"/>
      <c r="S61" s="198"/>
      <c r="T61" s="198"/>
      <c r="U61" s="198"/>
    </row>
    <row r="62" spans="1:21" s="12" customFormat="1" x14ac:dyDescent="0.25">
      <c r="A62" s="201" t="s">
        <v>1551</v>
      </c>
      <c r="B62" s="60">
        <v>2.71</v>
      </c>
      <c r="C62" s="60">
        <v>53.55</v>
      </c>
      <c r="D62" s="60">
        <v>32.369999999999997</v>
      </c>
      <c r="E62" s="60">
        <v>5.0999999999999996</v>
      </c>
      <c r="F62" s="60">
        <v>29.43</v>
      </c>
      <c r="G62" s="60">
        <v>14.33</v>
      </c>
      <c r="H62" s="60">
        <v>23.02</v>
      </c>
      <c r="I62" s="60">
        <v>0.56999999999999995</v>
      </c>
      <c r="J62" s="60">
        <v>0.86</v>
      </c>
      <c r="K62" s="60">
        <v>12.5</v>
      </c>
      <c r="L62" s="60">
        <v>41.75</v>
      </c>
      <c r="M62" s="60">
        <v>13.16</v>
      </c>
      <c r="N62" s="60">
        <v>554.79999999999995</v>
      </c>
      <c r="O62" s="60">
        <v>0</v>
      </c>
      <c r="P62" s="60">
        <v>0.83</v>
      </c>
      <c r="Q62" s="60">
        <v>9.19</v>
      </c>
      <c r="R62" s="198"/>
      <c r="S62" s="198"/>
      <c r="T62" s="198"/>
      <c r="U62" s="198"/>
    </row>
    <row r="63" spans="1:21" s="12" customFormat="1" x14ac:dyDescent="0.25">
      <c r="A63" s="201" t="s">
        <v>1552</v>
      </c>
      <c r="B63" s="60">
        <v>4.21</v>
      </c>
      <c r="C63" s="60">
        <v>49.58</v>
      </c>
      <c r="D63" s="60">
        <v>31.38</v>
      </c>
      <c r="E63" s="60">
        <v>4.8499999999999996</v>
      </c>
      <c r="F63" s="60">
        <v>31.13</v>
      </c>
      <c r="G63" s="60">
        <v>14.33</v>
      </c>
      <c r="H63" s="60">
        <v>23.02</v>
      </c>
      <c r="I63" s="60">
        <v>0.55000000000000004</v>
      </c>
      <c r="J63" s="60">
        <v>0.49</v>
      </c>
      <c r="K63" s="60">
        <v>33.36</v>
      </c>
      <c r="L63" s="60">
        <v>41.6</v>
      </c>
      <c r="M63" s="60">
        <v>12.24</v>
      </c>
      <c r="N63" s="60">
        <v>590.79999999999995</v>
      </c>
      <c r="O63" s="60">
        <v>0</v>
      </c>
      <c r="P63" s="60">
        <v>0.75</v>
      </c>
      <c r="Q63" s="60">
        <v>8.14</v>
      </c>
      <c r="R63" s="198"/>
      <c r="S63" s="198"/>
      <c r="T63" s="198"/>
      <c r="U63" s="198"/>
    </row>
    <row r="64" spans="1:21" s="12" customFormat="1" x14ac:dyDescent="0.25">
      <c r="A64" s="201" t="s">
        <v>1553</v>
      </c>
      <c r="B64" s="60">
        <v>3.06</v>
      </c>
      <c r="C64" s="60">
        <v>46.16</v>
      </c>
      <c r="D64" s="60">
        <v>28.58</v>
      </c>
      <c r="E64" s="60">
        <v>4.58</v>
      </c>
      <c r="F64" s="60">
        <v>34.76</v>
      </c>
      <c r="G64" s="60">
        <v>14.33</v>
      </c>
      <c r="H64" s="60">
        <v>23.02</v>
      </c>
      <c r="I64" s="60">
        <v>0.56999999999999995</v>
      </c>
      <c r="J64" s="60">
        <v>0.12</v>
      </c>
      <c r="K64" s="60">
        <v>17.73</v>
      </c>
      <c r="L64" s="60">
        <v>40.57</v>
      </c>
      <c r="M64" s="60">
        <v>12.94</v>
      </c>
      <c r="N64" s="60">
        <v>519.1</v>
      </c>
      <c r="O64" s="60">
        <v>0</v>
      </c>
      <c r="P64" s="60">
        <v>0.69</v>
      </c>
      <c r="Q64" s="60">
        <v>8.16</v>
      </c>
      <c r="R64" s="198"/>
      <c r="S64" s="198"/>
      <c r="T64" s="198"/>
      <c r="U64" s="198"/>
    </row>
    <row r="65" spans="1:21" s="12" customFormat="1" x14ac:dyDescent="0.25">
      <c r="A65" s="201" t="s">
        <v>1554</v>
      </c>
      <c r="B65" s="60">
        <v>3.31</v>
      </c>
      <c r="C65" s="60">
        <v>43.66</v>
      </c>
      <c r="D65" s="60">
        <v>27.4</v>
      </c>
      <c r="E65" s="60">
        <v>5.95</v>
      </c>
      <c r="F65" s="60">
        <v>37.19</v>
      </c>
      <c r="G65" s="60">
        <v>12.84</v>
      </c>
      <c r="H65" s="60">
        <v>22.76</v>
      </c>
      <c r="I65" s="60">
        <v>0.56999999999999995</v>
      </c>
      <c r="J65" s="60">
        <v>0.05</v>
      </c>
      <c r="K65" s="60">
        <v>34.74</v>
      </c>
      <c r="L65" s="60">
        <v>40.19</v>
      </c>
      <c r="M65" s="60">
        <v>12.99</v>
      </c>
      <c r="N65" s="60">
        <v>490.5</v>
      </c>
      <c r="O65" s="60">
        <v>0</v>
      </c>
      <c r="P65" s="60">
        <v>0.69</v>
      </c>
      <c r="Q65" s="60">
        <v>8.91</v>
      </c>
      <c r="R65" s="198"/>
      <c r="S65" s="198"/>
      <c r="T65" s="198"/>
      <c r="U65" s="198"/>
    </row>
    <row r="66" spans="1:21" s="12" customFormat="1" x14ac:dyDescent="0.25">
      <c r="A66" s="201" t="s">
        <v>1555</v>
      </c>
      <c r="B66" s="60">
        <v>3.55</v>
      </c>
      <c r="C66" s="60">
        <v>43.39</v>
      </c>
      <c r="D66" s="60">
        <v>27.44</v>
      </c>
      <c r="E66" s="60">
        <v>5.81</v>
      </c>
      <c r="F66" s="60">
        <v>41.6</v>
      </c>
      <c r="G66" s="60">
        <v>4.01</v>
      </c>
      <c r="H66" s="60">
        <v>21.19</v>
      </c>
      <c r="I66" s="60">
        <v>0.59</v>
      </c>
      <c r="J66" s="60">
        <v>0.34</v>
      </c>
      <c r="K66" s="60">
        <v>65.569999999999993</v>
      </c>
      <c r="L66" s="60">
        <v>39.450000000000003</v>
      </c>
      <c r="M66" s="60">
        <v>13.09</v>
      </c>
      <c r="N66" s="60">
        <v>385.5</v>
      </c>
      <c r="O66" s="60">
        <v>0</v>
      </c>
      <c r="P66" s="60">
        <v>0.69</v>
      </c>
      <c r="Q66" s="60">
        <v>9.11</v>
      </c>
      <c r="R66" s="198"/>
      <c r="S66" s="198"/>
      <c r="T66" s="198"/>
      <c r="U66" s="198"/>
    </row>
    <row r="67" spans="1:21" s="12" customFormat="1" x14ac:dyDescent="0.25">
      <c r="A67" s="201" t="s">
        <v>1556</v>
      </c>
      <c r="B67" s="60">
        <v>4.0599999999999996</v>
      </c>
      <c r="C67" s="60">
        <v>50.78</v>
      </c>
      <c r="D67" s="60">
        <v>31.93</v>
      </c>
      <c r="E67" s="60">
        <v>7.11</v>
      </c>
      <c r="F67" s="60">
        <v>45.77</v>
      </c>
      <c r="G67" s="60">
        <v>4.01</v>
      </c>
      <c r="H67" s="60">
        <v>21.19</v>
      </c>
      <c r="I67" s="60">
        <v>0.57999999999999996</v>
      </c>
      <c r="J67" s="60">
        <v>0.03</v>
      </c>
      <c r="K67" s="60">
        <v>125.01</v>
      </c>
      <c r="L67" s="60">
        <v>38.840000000000003</v>
      </c>
      <c r="M67" s="60">
        <v>14.1</v>
      </c>
      <c r="N67" s="60">
        <v>347.7</v>
      </c>
      <c r="O67" s="60">
        <v>0</v>
      </c>
      <c r="P67" s="60">
        <v>0.68</v>
      </c>
      <c r="Q67" s="60">
        <v>8.94</v>
      </c>
      <c r="R67" s="198"/>
      <c r="S67" s="198"/>
      <c r="T67" s="198"/>
      <c r="U67" s="198"/>
    </row>
    <row r="68" spans="1:21" s="12" customFormat="1" x14ac:dyDescent="0.25">
      <c r="A68" s="201" t="s">
        <v>1557</v>
      </c>
      <c r="B68" s="60">
        <v>4.7699999999999996</v>
      </c>
      <c r="C68" s="60">
        <v>49.11</v>
      </c>
      <c r="D68" s="60">
        <v>31.57</v>
      </c>
      <c r="E68" s="60">
        <v>6.6</v>
      </c>
      <c r="F68" s="60">
        <v>54.54</v>
      </c>
      <c r="G68" s="60">
        <v>4.01</v>
      </c>
      <c r="H68" s="60">
        <v>21.19</v>
      </c>
      <c r="I68" s="60">
        <v>0.59</v>
      </c>
      <c r="J68" s="60">
        <v>0.2</v>
      </c>
      <c r="K68" s="60">
        <v>21.05</v>
      </c>
      <c r="L68" s="60">
        <v>38.96</v>
      </c>
      <c r="M68" s="60">
        <v>14.38</v>
      </c>
      <c r="N68" s="60">
        <v>230.3</v>
      </c>
      <c r="O68" s="60">
        <v>0</v>
      </c>
      <c r="P68" s="60">
        <v>0.67</v>
      </c>
      <c r="Q68" s="60">
        <v>9.91</v>
      </c>
      <c r="R68" s="198"/>
      <c r="S68" s="198"/>
      <c r="T68" s="198"/>
      <c r="U68" s="198"/>
    </row>
    <row r="69" spans="1:21" s="12" customFormat="1" x14ac:dyDescent="0.25">
      <c r="A69" s="201" t="s">
        <v>1558</v>
      </c>
      <c r="B69" s="60">
        <v>3.79</v>
      </c>
      <c r="C69" s="60">
        <v>48.61</v>
      </c>
      <c r="D69" s="60">
        <v>30.51</v>
      </c>
      <c r="E69" s="60">
        <v>7.19</v>
      </c>
      <c r="F69" s="60">
        <v>59.92</v>
      </c>
      <c r="G69" s="60">
        <v>9.48</v>
      </c>
      <c r="H69" s="60">
        <v>21.62</v>
      </c>
      <c r="I69" s="60">
        <v>0.57999999999999996</v>
      </c>
      <c r="J69" s="60">
        <v>0.16</v>
      </c>
      <c r="K69" s="60">
        <v>109.87</v>
      </c>
      <c r="L69" s="60">
        <v>37.96</v>
      </c>
      <c r="M69" s="60">
        <v>16.04</v>
      </c>
      <c r="N69" s="60">
        <v>270.89999999999998</v>
      </c>
      <c r="O69" s="60">
        <v>0</v>
      </c>
      <c r="P69" s="60">
        <v>0.65</v>
      </c>
      <c r="Q69" s="60">
        <v>10.97</v>
      </c>
      <c r="R69" s="198"/>
      <c r="S69" s="198"/>
      <c r="T69" s="198"/>
      <c r="U69" s="198"/>
    </row>
    <row r="70" spans="1:21" s="12" customFormat="1" x14ac:dyDescent="0.25">
      <c r="A70" s="201" t="s">
        <v>1559</v>
      </c>
      <c r="B70" s="60">
        <v>2.37</v>
      </c>
      <c r="C70" s="60">
        <v>41.21</v>
      </c>
      <c r="D70" s="60">
        <v>25.29</v>
      </c>
      <c r="E70" s="60">
        <v>6.08</v>
      </c>
      <c r="F70" s="60">
        <v>56.19</v>
      </c>
      <c r="G70" s="60">
        <v>39.130000000000003</v>
      </c>
      <c r="H70" s="60">
        <v>23.69</v>
      </c>
      <c r="I70" s="60">
        <v>0.59</v>
      </c>
      <c r="J70" s="60">
        <v>0.82</v>
      </c>
      <c r="K70" s="60">
        <v>163.56</v>
      </c>
      <c r="L70" s="60">
        <v>37.26</v>
      </c>
      <c r="M70" s="60">
        <v>16.41</v>
      </c>
      <c r="N70" s="60">
        <v>259.10000000000002</v>
      </c>
      <c r="O70" s="60">
        <v>0</v>
      </c>
      <c r="P70" s="60">
        <v>0.57999999999999996</v>
      </c>
      <c r="Q70" s="60">
        <v>11.82</v>
      </c>
      <c r="R70" s="198"/>
      <c r="S70" s="198"/>
      <c r="T70" s="198"/>
      <c r="U70" s="198"/>
    </row>
    <row r="71" spans="1:21" s="12" customFormat="1" x14ac:dyDescent="0.25">
      <c r="A71" s="201" t="s">
        <v>1560</v>
      </c>
      <c r="B71" s="60">
        <v>1.74</v>
      </c>
      <c r="C71" s="60">
        <v>38.78</v>
      </c>
      <c r="D71" s="60">
        <v>23.44</v>
      </c>
      <c r="E71" s="60">
        <v>5.49</v>
      </c>
      <c r="F71" s="60">
        <v>41.98</v>
      </c>
      <c r="G71" s="60">
        <v>39.130000000000003</v>
      </c>
      <c r="H71" s="60">
        <v>23.69</v>
      </c>
      <c r="I71" s="60">
        <v>0.56999999999999995</v>
      </c>
      <c r="J71" s="60">
        <v>1.02</v>
      </c>
      <c r="K71" s="60">
        <v>191.96</v>
      </c>
      <c r="L71" s="60">
        <v>36.5</v>
      </c>
      <c r="M71" s="60">
        <v>17.66</v>
      </c>
      <c r="N71" s="60">
        <v>153.9</v>
      </c>
      <c r="O71" s="60">
        <v>0</v>
      </c>
      <c r="P71" s="60">
        <v>0.59</v>
      </c>
      <c r="Q71" s="60">
        <v>13.04</v>
      </c>
      <c r="R71" s="198"/>
      <c r="S71" s="198"/>
      <c r="T71" s="198"/>
      <c r="U71" s="198"/>
    </row>
    <row r="72" spans="1:21" s="12" customFormat="1" x14ac:dyDescent="0.25">
      <c r="A72" s="201" t="s">
        <v>1561</v>
      </c>
      <c r="B72" s="60">
        <v>1.6</v>
      </c>
      <c r="C72" s="60">
        <v>39.090000000000003</v>
      </c>
      <c r="D72" s="60">
        <v>23.5</v>
      </c>
      <c r="E72" s="60">
        <v>2.95</v>
      </c>
      <c r="F72" s="60">
        <v>45.49</v>
      </c>
      <c r="G72" s="60">
        <v>39.130000000000003</v>
      </c>
      <c r="H72" s="60">
        <v>23.69</v>
      </c>
      <c r="I72" s="60">
        <v>0.62</v>
      </c>
      <c r="J72" s="60">
        <v>0.8</v>
      </c>
      <c r="K72" s="60">
        <v>191.77</v>
      </c>
      <c r="L72" s="60">
        <v>36.119999999999997</v>
      </c>
      <c r="M72" s="60">
        <v>18.59</v>
      </c>
      <c r="N72" s="60">
        <v>132.30000000000001</v>
      </c>
      <c r="O72" s="60">
        <v>0</v>
      </c>
      <c r="P72" s="60">
        <v>0.59</v>
      </c>
      <c r="Q72" s="60">
        <v>13.58</v>
      </c>
      <c r="R72" s="198"/>
      <c r="S72" s="198"/>
      <c r="T72" s="198"/>
      <c r="U72" s="198"/>
    </row>
    <row r="73" spans="1:21" s="12" customFormat="1" x14ac:dyDescent="0.25">
      <c r="A73" s="201" t="s">
        <v>1562</v>
      </c>
      <c r="B73" s="60">
        <v>1.58</v>
      </c>
      <c r="C73" s="60">
        <v>43.06</v>
      </c>
      <c r="D73" s="60">
        <v>25.68</v>
      </c>
      <c r="E73" s="60">
        <v>4.3499999999999996</v>
      </c>
      <c r="F73" s="60">
        <v>47.3</v>
      </c>
      <c r="G73" s="60">
        <v>37.409999999999997</v>
      </c>
      <c r="H73" s="60">
        <v>23.33</v>
      </c>
      <c r="I73" s="60">
        <v>0.61</v>
      </c>
      <c r="J73" s="60">
        <v>0.88</v>
      </c>
      <c r="K73" s="60">
        <v>195.1</v>
      </c>
      <c r="L73" s="60">
        <v>35.659999999999997</v>
      </c>
      <c r="M73" s="60">
        <v>21.1</v>
      </c>
      <c r="N73" s="60">
        <v>75.8</v>
      </c>
      <c r="O73" s="60">
        <v>0</v>
      </c>
      <c r="P73" s="60">
        <v>0.59</v>
      </c>
      <c r="Q73" s="60">
        <v>12.07</v>
      </c>
      <c r="R73" s="198"/>
      <c r="S73" s="198"/>
      <c r="T73" s="198"/>
      <c r="U73" s="198"/>
    </row>
    <row r="74" spans="1:21" s="12" customFormat="1" x14ac:dyDescent="0.25">
      <c r="A74" s="201" t="s">
        <v>1563</v>
      </c>
      <c r="B74" s="60">
        <v>1.68</v>
      </c>
      <c r="C74" s="60">
        <v>46.41</v>
      </c>
      <c r="D74" s="60">
        <v>27.6</v>
      </c>
      <c r="E74" s="60">
        <v>4.3</v>
      </c>
      <c r="F74" s="60">
        <v>44.56</v>
      </c>
      <c r="G74" s="60">
        <v>28.06</v>
      </c>
      <c r="H74" s="60">
        <v>20.86</v>
      </c>
      <c r="I74" s="60">
        <v>0.61</v>
      </c>
      <c r="J74" s="60">
        <v>0.63</v>
      </c>
      <c r="K74" s="60">
        <v>248.99</v>
      </c>
      <c r="L74" s="60">
        <v>35.01</v>
      </c>
      <c r="M74" s="60">
        <v>22.85</v>
      </c>
      <c r="N74" s="60">
        <v>53.5</v>
      </c>
      <c r="O74" s="60">
        <v>0</v>
      </c>
      <c r="P74" s="60">
        <v>0.61</v>
      </c>
      <c r="Q74" s="60">
        <v>9.89</v>
      </c>
      <c r="R74" s="198"/>
      <c r="S74" s="198"/>
      <c r="T74" s="198"/>
      <c r="U74" s="198"/>
    </row>
    <row r="75" spans="1:21" s="12" customFormat="1" x14ac:dyDescent="0.25">
      <c r="A75" s="201" t="s">
        <v>1564</v>
      </c>
      <c r="B75" s="60">
        <v>1.68</v>
      </c>
      <c r="C75" s="60">
        <v>50.57</v>
      </c>
      <c r="D75" s="60">
        <v>29.9</v>
      </c>
      <c r="E75" s="60">
        <v>5.29</v>
      </c>
      <c r="F75" s="60">
        <v>51.12</v>
      </c>
      <c r="G75" s="60">
        <v>28.06</v>
      </c>
      <c r="H75" s="60">
        <v>20.86</v>
      </c>
      <c r="I75" s="60">
        <v>0.59</v>
      </c>
      <c r="J75" s="60">
        <v>0.49</v>
      </c>
      <c r="K75" s="60">
        <v>246.75</v>
      </c>
      <c r="L75" s="60">
        <v>34.58</v>
      </c>
      <c r="M75" s="60">
        <v>23.23</v>
      </c>
      <c r="N75" s="60">
        <v>49.3</v>
      </c>
      <c r="O75" s="60">
        <v>0</v>
      </c>
      <c r="P75" s="60">
        <v>0.63</v>
      </c>
      <c r="Q75" s="60">
        <v>8.7799999999999994</v>
      </c>
      <c r="R75" s="198"/>
      <c r="S75" s="198"/>
      <c r="T75" s="198"/>
      <c r="U75" s="198"/>
    </row>
    <row r="76" spans="1:21" s="12" customFormat="1" x14ac:dyDescent="0.25">
      <c r="A76" s="201" t="s">
        <v>1565</v>
      </c>
      <c r="B76" s="60">
        <v>2.84</v>
      </c>
      <c r="C76" s="60">
        <v>66.959999999999994</v>
      </c>
      <c r="D76" s="60">
        <v>39.880000000000003</v>
      </c>
      <c r="E76" s="60">
        <v>6.04</v>
      </c>
      <c r="F76" s="60">
        <v>44.56</v>
      </c>
      <c r="G76" s="60">
        <v>28.06</v>
      </c>
      <c r="H76" s="60">
        <v>20.86</v>
      </c>
      <c r="I76" s="60">
        <v>0.61</v>
      </c>
      <c r="J76" s="60">
        <v>0.68</v>
      </c>
      <c r="K76" s="60">
        <v>205.98</v>
      </c>
      <c r="L76" s="60">
        <v>34.299999999999997</v>
      </c>
      <c r="M76" s="60">
        <v>24.97</v>
      </c>
      <c r="N76" s="60">
        <v>41.4</v>
      </c>
      <c r="O76" s="60">
        <v>0</v>
      </c>
      <c r="P76" s="60">
        <v>0.65</v>
      </c>
      <c r="Q76" s="60">
        <v>7.64</v>
      </c>
      <c r="R76" s="198"/>
      <c r="S76" s="198"/>
      <c r="T76" s="198"/>
      <c r="U76" s="198"/>
    </row>
    <row r="77" spans="1:21" s="12" customFormat="1" x14ac:dyDescent="0.25">
      <c r="A77" s="201" t="s">
        <v>1566</v>
      </c>
      <c r="B77" s="60">
        <v>1.59</v>
      </c>
      <c r="C77" s="60">
        <v>60.64</v>
      </c>
      <c r="D77" s="60">
        <v>35.39</v>
      </c>
      <c r="E77" s="60">
        <v>6.84</v>
      </c>
      <c r="F77" s="60">
        <v>56.28</v>
      </c>
      <c r="G77" s="60">
        <v>35.56</v>
      </c>
      <c r="H77" s="60">
        <v>21.82</v>
      </c>
      <c r="I77" s="60">
        <v>0.61</v>
      </c>
      <c r="J77" s="60">
        <v>0.21</v>
      </c>
      <c r="K77" s="60">
        <v>224.54</v>
      </c>
      <c r="L77" s="60">
        <v>34</v>
      </c>
      <c r="M77" s="60">
        <v>25.68</v>
      </c>
      <c r="N77" s="60">
        <v>28.1</v>
      </c>
      <c r="O77" s="60">
        <v>0</v>
      </c>
      <c r="P77" s="60">
        <v>0.68</v>
      </c>
      <c r="Q77" s="60">
        <v>6.95</v>
      </c>
      <c r="R77" s="198"/>
      <c r="S77" s="198"/>
      <c r="T77" s="198"/>
      <c r="U77" s="198"/>
    </row>
    <row r="78" spans="1:21" s="12" customFormat="1" x14ac:dyDescent="0.25">
      <c r="A78" s="201" t="s">
        <v>1567</v>
      </c>
      <c r="B78" s="60">
        <v>1.31</v>
      </c>
      <c r="C78" s="60">
        <v>57.45</v>
      </c>
      <c r="D78" s="60">
        <v>33.4</v>
      </c>
      <c r="E78" s="60">
        <v>9.7799999999999994</v>
      </c>
      <c r="F78" s="60">
        <v>77.959999999999994</v>
      </c>
      <c r="G78" s="60">
        <v>80.02</v>
      </c>
      <c r="H78" s="60">
        <v>26.42</v>
      </c>
      <c r="I78" s="60">
        <v>0.6</v>
      </c>
      <c r="J78" s="60">
        <v>0.1</v>
      </c>
      <c r="K78" s="60">
        <v>295.52999999999997</v>
      </c>
      <c r="L78" s="60">
        <v>33.81</v>
      </c>
      <c r="M78" s="60">
        <v>24.67</v>
      </c>
      <c r="N78" s="60">
        <v>20.5</v>
      </c>
      <c r="O78" s="60">
        <v>0</v>
      </c>
      <c r="P78" s="60">
        <v>0.76</v>
      </c>
      <c r="Q78" s="60">
        <v>6.29</v>
      </c>
      <c r="R78" s="198"/>
      <c r="S78" s="198"/>
      <c r="T78" s="198"/>
      <c r="U78" s="198"/>
    </row>
    <row r="79" spans="1:21" s="12" customFormat="1" x14ac:dyDescent="0.25">
      <c r="A79" s="201" t="s">
        <v>1568</v>
      </c>
      <c r="B79" s="60">
        <v>1.18</v>
      </c>
      <c r="C79" s="60">
        <v>56.68</v>
      </c>
      <c r="D79" s="60">
        <v>32.869999999999997</v>
      </c>
      <c r="E79" s="60">
        <v>10.84</v>
      </c>
      <c r="F79" s="60">
        <v>69.59</v>
      </c>
      <c r="G79" s="60">
        <v>80.02</v>
      </c>
      <c r="H79" s="60">
        <v>26.42</v>
      </c>
      <c r="I79" s="60">
        <v>0.53</v>
      </c>
      <c r="J79" s="60">
        <v>7.0000000000000007E-2</v>
      </c>
      <c r="K79" s="60">
        <v>310.32</v>
      </c>
      <c r="L79" s="60">
        <v>33.61</v>
      </c>
      <c r="M79" s="60">
        <v>24.58</v>
      </c>
      <c r="N79" s="60">
        <v>14.1</v>
      </c>
      <c r="O79" s="60">
        <v>0</v>
      </c>
      <c r="P79" s="60">
        <v>0.85</v>
      </c>
      <c r="Q79" s="60">
        <v>7.28</v>
      </c>
      <c r="R79" s="198"/>
      <c r="S79" s="198"/>
      <c r="T79" s="198"/>
      <c r="U79" s="198"/>
    </row>
    <row r="80" spans="1:21" s="12" customFormat="1" x14ac:dyDescent="0.25">
      <c r="A80" s="201" t="s">
        <v>1569</v>
      </c>
      <c r="B80" s="60">
        <v>1.0900000000000001</v>
      </c>
      <c r="C80" s="60">
        <v>54.41</v>
      </c>
      <c r="D80" s="60">
        <v>31.55</v>
      </c>
      <c r="E80" s="60">
        <v>11.99</v>
      </c>
      <c r="F80" s="60">
        <v>67.42</v>
      </c>
      <c r="G80" s="60">
        <v>80.02</v>
      </c>
      <c r="H80" s="60">
        <v>26.42</v>
      </c>
      <c r="I80" s="60">
        <v>0.5</v>
      </c>
      <c r="J80" s="60">
        <v>0.15</v>
      </c>
      <c r="K80" s="60">
        <v>271.93</v>
      </c>
      <c r="L80" s="60">
        <v>33.380000000000003</v>
      </c>
      <c r="M80" s="60">
        <v>24.53</v>
      </c>
      <c r="N80" s="60">
        <v>9.3000000000000007</v>
      </c>
      <c r="O80" s="60">
        <v>0</v>
      </c>
      <c r="P80" s="60">
        <v>0.88</v>
      </c>
      <c r="Q80" s="60">
        <v>9.65</v>
      </c>
      <c r="R80" s="198"/>
      <c r="S80" s="198"/>
      <c r="T80" s="198"/>
      <c r="U80" s="198"/>
    </row>
    <row r="81" spans="1:26" s="12" customFormat="1" x14ac:dyDescent="0.25">
      <c r="A81" s="201" t="s">
        <v>1570</v>
      </c>
      <c r="B81" s="60">
        <v>1.1299999999999999</v>
      </c>
      <c r="C81" s="60">
        <v>60.14</v>
      </c>
      <c r="D81" s="60">
        <v>34.74</v>
      </c>
      <c r="E81" s="60">
        <v>12.78</v>
      </c>
      <c r="F81" s="60">
        <v>52.78</v>
      </c>
      <c r="G81" s="60">
        <v>76.7</v>
      </c>
      <c r="H81" s="60">
        <v>26.52</v>
      </c>
      <c r="I81" s="60">
        <v>0.53</v>
      </c>
      <c r="J81" s="60">
        <v>0.28000000000000003</v>
      </c>
      <c r="K81" s="60">
        <v>273.67</v>
      </c>
      <c r="L81" s="60">
        <v>33.18</v>
      </c>
      <c r="M81" s="60">
        <v>25.13</v>
      </c>
      <c r="N81" s="60">
        <v>5.7</v>
      </c>
      <c r="O81" s="60">
        <v>0</v>
      </c>
      <c r="P81" s="60">
        <v>1.01</v>
      </c>
      <c r="Q81" s="60">
        <v>11.01</v>
      </c>
      <c r="R81" s="198"/>
      <c r="S81" s="198"/>
      <c r="T81" s="198"/>
      <c r="U81" s="198"/>
    </row>
    <row r="82" spans="1:26" s="12" customFormat="1" x14ac:dyDescent="0.25">
      <c r="A82" s="201" t="s">
        <v>1571</v>
      </c>
      <c r="B82" s="60">
        <v>1.35</v>
      </c>
      <c r="C82" s="60">
        <v>57.73</v>
      </c>
      <c r="D82" s="60">
        <v>33.590000000000003</v>
      </c>
      <c r="E82" s="60">
        <v>11.83</v>
      </c>
      <c r="F82" s="60">
        <v>52.28</v>
      </c>
      <c r="G82" s="60">
        <v>58.66</v>
      </c>
      <c r="H82" s="60">
        <v>26.97</v>
      </c>
      <c r="I82" s="60">
        <v>0.55000000000000004</v>
      </c>
      <c r="J82" s="60">
        <v>0.36</v>
      </c>
      <c r="K82" s="60">
        <v>257.58999999999997</v>
      </c>
      <c r="L82" s="60">
        <v>32.729999999999997</v>
      </c>
      <c r="M82" s="60">
        <v>27.12</v>
      </c>
      <c r="N82" s="60">
        <v>5.0999999999999996</v>
      </c>
      <c r="O82" s="60">
        <v>0</v>
      </c>
      <c r="P82" s="60">
        <v>0.96</v>
      </c>
      <c r="Q82" s="60">
        <v>11.79</v>
      </c>
      <c r="R82" s="198"/>
      <c r="S82" s="198"/>
      <c r="T82" s="198"/>
      <c r="U82" s="198"/>
    </row>
    <row r="83" spans="1:26" s="12" customFormat="1" x14ac:dyDescent="0.25">
      <c r="A83" s="201" t="s">
        <v>1572</v>
      </c>
      <c r="B83" s="60">
        <v>1.3</v>
      </c>
      <c r="C83" s="60">
        <v>51.55</v>
      </c>
      <c r="D83" s="60">
        <v>30.14</v>
      </c>
      <c r="E83" s="60">
        <v>9.2100000000000009</v>
      </c>
      <c r="F83" s="60">
        <v>41.81</v>
      </c>
      <c r="G83" s="60">
        <v>58.66</v>
      </c>
      <c r="H83" s="60">
        <v>26.97</v>
      </c>
      <c r="I83" s="60">
        <v>0.57999999999999996</v>
      </c>
      <c r="J83" s="60">
        <v>0.35</v>
      </c>
      <c r="K83" s="60">
        <v>263.61</v>
      </c>
      <c r="L83" s="60">
        <v>32.29</v>
      </c>
      <c r="M83" s="60">
        <v>28.55</v>
      </c>
      <c r="N83" s="60">
        <v>4.8</v>
      </c>
      <c r="O83" s="60">
        <v>0</v>
      </c>
      <c r="P83" s="60">
        <v>0.85</v>
      </c>
      <c r="Q83" s="60">
        <v>12.67</v>
      </c>
      <c r="R83" s="198"/>
      <c r="S83" s="198"/>
      <c r="T83" s="198"/>
      <c r="U83" s="198"/>
    </row>
    <row r="84" spans="1:26" s="12" customFormat="1" x14ac:dyDescent="0.25">
      <c r="A84" s="201" t="s">
        <v>1573</v>
      </c>
      <c r="B84" s="60">
        <v>1.5</v>
      </c>
      <c r="C84" s="60">
        <v>52</v>
      </c>
      <c r="D84" s="60">
        <v>30.54</v>
      </c>
      <c r="E84" s="60">
        <v>7.41</v>
      </c>
      <c r="F84" s="60">
        <v>35.950000000000003</v>
      </c>
      <c r="G84" s="60">
        <v>58.66</v>
      </c>
      <c r="H84" s="60">
        <v>26.97</v>
      </c>
      <c r="I84" s="60">
        <v>0.56999999999999995</v>
      </c>
      <c r="J84" s="60">
        <v>0.35</v>
      </c>
      <c r="K84" s="60">
        <v>258.37</v>
      </c>
      <c r="L84" s="60">
        <v>32.11</v>
      </c>
      <c r="M84" s="60">
        <v>28.8</v>
      </c>
      <c r="N84" s="60">
        <v>4.7</v>
      </c>
      <c r="O84" s="60">
        <v>0</v>
      </c>
      <c r="P84" s="60">
        <v>0.9</v>
      </c>
      <c r="Q84" s="60">
        <v>10.76</v>
      </c>
      <c r="R84" s="198"/>
      <c r="S84" s="198"/>
      <c r="T84" s="198"/>
      <c r="U84" s="198"/>
    </row>
    <row r="85" spans="1:26" s="12" customFormat="1" x14ac:dyDescent="0.25">
      <c r="A85" s="201" t="s">
        <v>1574</v>
      </c>
      <c r="B85" s="60">
        <v>2.36</v>
      </c>
      <c r="C85" s="60">
        <v>60.51</v>
      </c>
      <c r="D85" s="60">
        <v>35.93</v>
      </c>
      <c r="E85" s="60">
        <v>6.74</v>
      </c>
      <c r="F85" s="60">
        <v>32.33</v>
      </c>
      <c r="G85" s="60">
        <v>61.84</v>
      </c>
      <c r="H85" s="60">
        <v>27.04</v>
      </c>
      <c r="I85" s="60">
        <v>0.53</v>
      </c>
      <c r="J85" s="60">
        <v>0.3</v>
      </c>
      <c r="K85" s="60">
        <v>253.32</v>
      </c>
      <c r="L85" s="60">
        <v>31.93</v>
      </c>
      <c r="M85" s="60">
        <v>29.21</v>
      </c>
      <c r="N85" s="60">
        <v>4.8</v>
      </c>
      <c r="O85" s="60">
        <v>0</v>
      </c>
      <c r="P85" s="60">
        <v>0.88</v>
      </c>
      <c r="Q85" s="60">
        <v>8.2200000000000006</v>
      </c>
      <c r="R85" s="198"/>
      <c r="S85" s="198"/>
      <c r="T85" s="198"/>
      <c r="U85" s="198"/>
    </row>
    <row r="86" spans="1:26" s="12" customFormat="1" x14ac:dyDescent="0.25">
      <c r="A86" s="201" t="s">
        <v>1575</v>
      </c>
      <c r="B86" s="60">
        <v>3.01</v>
      </c>
      <c r="C86" s="60">
        <v>56.34</v>
      </c>
      <c r="D86" s="60">
        <v>34.159999999999997</v>
      </c>
      <c r="E86" s="60">
        <v>6.34</v>
      </c>
      <c r="F86" s="60">
        <v>25.94</v>
      </c>
      <c r="G86" s="60">
        <v>79.08</v>
      </c>
      <c r="H86" s="60">
        <v>27.32</v>
      </c>
      <c r="I86" s="60">
        <v>0.54</v>
      </c>
      <c r="J86" s="60">
        <v>0.09</v>
      </c>
      <c r="K86" s="60">
        <v>344.53</v>
      </c>
      <c r="L86" s="60">
        <v>31.49</v>
      </c>
      <c r="M86" s="60">
        <v>30.52</v>
      </c>
      <c r="N86" s="60">
        <v>5.0999999999999996</v>
      </c>
      <c r="O86" s="60">
        <v>0</v>
      </c>
      <c r="P86" s="60">
        <v>0.95</v>
      </c>
      <c r="Q86" s="60">
        <v>8.8000000000000007</v>
      </c>
      <c r="R86" s="198"/>
      <c r="S86" s="198"/>
      <c r="T86" s="198"/>
      <c r="U86" s="198"/>
    </row>
    <row r="87" spans="1:26" s="12" customFormat="1" x14ac:dyDescent="0.25">
      <c r="A87" s="201" t="s">
        <v>1576</v>
      </c>
      <c r="B87" s="60">
        <v>2.92</v>
      </c>
      <c r="C87" s="60">
        <v>57.47</v>
      </c>
      <c r="D87" s="60">
        <v>34.700000000000003</v>
      </c>
      <c r="E87" s="60">
        <v>5.59</v>
      </c>
      <c r="F87" s="60">
        <v>29.19</v>
      </c>
      <c r="G87" s="60">
        <v>79.08</v>
      </c>
      <c r="H87" s="60">
        <v>27.32</v>
      </c>
      <c r="I87" s="60">
        <v>0.57999999999999996</v>
      </c>
      <c r="J87" s="60">
        <v>0.13</v>
      </c>
      <c r="K87" s="60">
        <v>233.65</v>
      </c>
      <c r="L87" s="60">
        <v>31.32</v>
      </c>
      <c r="M87" s="60">
        <v>30.15</v>
      </c>
      <c r="N87" s="60">
        <v>4.7</v>
      </c>
      <c r="O87" s="60">
        <v>0</v>
      </c>
      <c r="P87" s="60">
        <v>1.0900000000000001</v>
      </c>
      <c r="Q87" s="60">
        <v>9.5299999999999994</v>
      </c>
      <c r="R87" s="198"/>
      <c r="S87" s="198"/>
      <c r="T87" s="198"/>
      <c r="U87" s="198"/>
    </row>
    <row r="88" spans="1:26" s="12" customFormat="1" x14ac:dyDescent="0.25">
      <c r="A88" s="201" t="s">
        <v>1577</v>
      </c>
      <c r="B88" s="60">
        <v>11.14</v>
      </c>
      <c r="C88" s="60">
        <v>85.89</v>
      </c>
      <c r="D88" s="60">
        <v>56.98</v>
      </c>
      <c r="E88" s="60">
        <v>5.07</v>
      </c>
      <c r="F88" s="60">
        <v>13.41</v>
      </c>
      <c r="G88" s="60">
        <v>79.08</v>
      </c>
      <c r="H88" s="60">
        <v>27.32</v>
      </c>
      <c r="I88" s="60">
        <v>0.56000000000000005</v>
      </c>
      <c r="J88" s="60">
        <v>0.21</v>
      </c>
      <c r="K88" s="60">
        <v>225.18</v>
      </c>
      <c r="L88" s="60">
        <v>31.47</v>
      </c>
      <c r="M88" s="60">
        <v>29.1</v>
      </c>
      <c r="N88" s="60">
        <v>4.5</v>
      </c>
      <c r="O88" s="60">
        <v>0</v>
      </c>
      <c r="P88" s="60">
        <v>1.26</v>
      </c>
      <c r="Q88" s="60">
        <v>10.34</v>
      </c>
      <c r="R88" s="198"/>
      <c r="S88" s="198"/>
      <c r="T88" s="198"/>
      <c r="U88" s="198"/>
    </row>
    <row r="89" spans="1:26" s="12" customFormat="1" x14ac:dyDescent="0.25">
      <c r="A89" s="201" t="s">
        <v>1578</v>
      </c>
      <c r="B89" s="60">
        <v>39.76</v>
      </c>
      <c r="C89" s="60">
        <v>92.94</v>
      </c>
      <c r="D89" s="60">
        <v>83.83</v>
      </c>
      <c r="E89" s="60">
        <v>6.71</v>
      </c>
      <c r="F89" s="60">
        <v>8.56</v>
      </c>
      <c r="G89" s="60">
        <v>84.14</v>
      </c>
      <c r="H89" s="60">
        <v>27.83</v>
      </c>
      <c r="I89" s="60">
        <v>0.62</v>
      </c>
      <c r="J89" s="60">
        <v>0.04</v>
      </c>
      <c r="K89" s="60">
        <v>3.12</v>
      </c>
      <c r="L89" s="60">
        <v>31.1</v>
      </c>
      <c r="M89" s="60">
        <v>31.96</v>
      </c>
      <c r="N89" s="60">
        <v>5.2</v>
      </c>
      <c r="O89" s="60">
        <v>0</v>
      </c>
      <c r="P89" s="60">
        <v>2.3199999999999998</v>
      </c>
      <c r="Q89" s="60">
        <v>11.47</v>
      </c>
      <c r="R89" s="198"/>
      <c r="S89" s="198"/>
      <c r="T89" s="198"/>
      <c r="U89" s="198"/>
    </row>
    <row r="90" spans="1:26" s="12" customFormat="1" x14ac:dyDescent="0.25">
      <c r="A90" s="201" t="s">
        <v>1579</v>
      </c>
      <c r="B90" s="60">
        <v>16.86</v>
      </c>
      <c r="C90" s="60">
        <v>90.15</v>
      </c>
      <c r="D90" s="60">
        <v>63.91</v>
      </c>
      <c r="E90" s="60">
        <v>6.75</v>
      </c>
      <c r="F90" s="60">
        <v>11.92</v>
      </c>
      <c r="G90" s="60">
        <v>111.61</v>
      </c>
      <c r="H90" s="60">
        <v>30.58</v>
      </c>
      <c r="I90" s="60">
        <v>0.66</v>
      </c>
      <c r="J90" s="60">
        <v>0.03</v>
      </c>
      <c r="K90" s="60">
        <v>69.89</v>
      </c>
      <c r="L90" s="60">
        <v>30.83</v>
      </c>
      <c r="M90" s="60">
        <v>30.95</v>
      </c>
      <c r="N90" s="60">
        <v>5</v>
      </c>
      <c r="O90" s="60">
        <v>0</v>
      </c>
      <c r="P90" s="60">
        <v>1.8</v>
      </c>
      <c r="Q90" s="60">
        <v>13.48</v>
      </c>
      <c r="R90" s="198"/>
      <c r="S90" s="198"/>
      <c r="T90" s="198"/>
      <c r="U90" s="198"/>
    </row>
    <row r="91" spans="1:26" s="12" customFormat="1" x14ac:dyDescent="0.25">
      <c r="A91" s="201" t="s">
        <v>1580</v>
      </c>
      <c r="B91" s="60">
        <v>60.17</v>
      </c>
      <c r="C91" s="60">
        <v>96.06</v>
      </c>
      <c r="D91" s="60">
        <v>101.91</v>
      </c>
      <c r="E91" s="60">
        <v>6.63</v>
      </c>
      <c r="F91" s="60">
        <v>5.72</v>
      </c>
      <c r="G91" s="60">
        <v>111.61</v>
      </c>
      <c r="H91" s="60">
        <v>30.58</v>
      </c>
      <c r="I91" s="60">
        <v>0.87</v>
      </c>
      <c r="J91" s="60">
        <v>0.11</v>
      </c>
      <c r="K91" s="60">
        <v>11.52</v>
      </c>
      <c r="L91" s="60">
        <v>30.27</v>
      </c>
      <c r="M91" s="60">
        <v>36.86</v>
      </c>
      <c r="N91" s="60">
        <v>5.5</v>
      </c>
      <c r="O91" s="60">
        <v>0</v>
      </c>
      <c r="P91" s="60">
        <v>2.4500000000000002</v>
      </c>
      <c r="Q91" s="60">
        <v>15.88</v>
      </c>
      <c r="R91" s="198"/>
      <c r="S91" s="198"/>
      <c r="T91" s="198"/>
      <c r="U91" s="198"/>
    </row>
    <row r="92" spans="1:26" s="12" customFormat="1" x14ac:dyDescent="0.25">
      <c r="A92" s="201" t="s">
        <v>1581</v>
      </c>
      <c r="B92" s="60">
        <v>56.48</v>
      </c>
      <c r="C92" s="60">
        <v>98.5</v>
      </c>
      <c r="D92" s="60">
        <v>100.29</v>
      </c>
      <c r="E92" s="60">
        <v>6.74</v>
      </c>
      <c r="F92" s="60">
        <v>4.87</v>
      </c>
      <c r="G92" s="60">
        <v>111.61</v>
      </c>
      <c r="H92" s="60">
        <v>30.58</v>
      </c>
      <c r="I92" s="60">
        <v>0.85</v>
      </c>
      <c r="J92" s="60">
        <v>0.14000000000000001</v>
      </c>
      <c r="K92" s="60">
        <v>9.7799999999999994</v>
      </c>
      <c r="L92" s="60">
        <v>29.72</v>
      </c>
      <c r="M92" s="60">
        <v>37.049999999999997</v>
      </c>
      <c r="N92" s="60">
        <v>5.3</v>
      </c>
      <c r="O92" s="60">
        <v>0</v>
      </c>
      <c r="P92" s="60">
        <v>2.82</v>
      </c>
      <c r="Q92" s="60">
        <v>18.940000000000001</v>
      </c>
      <c r="R92" s="198"/>
      <c r="S92" s="198"/>
      <c r="T92" s="198"/>
      <c r="U92" s="198"/>
    </row>
    <row r="93" spans="1:26" s="12" customFormat="1" x14ac:dyDescent="0.25">
      <c r="A93" s="201" t="s">
        <v>1582</v>
      </c>
      <c r="B93" s="60">
        <v>125.96</v>
      </c>
      <c r="C93" s="60">
        <v>110.64</v>
      </c>
      <c r="D93" s="60">
        <v>162.71</v>
      </c>
      <c r="E93" s="60">
        <v>6.81</v>
      </c>
      <c r="F93" s="60">
        <v>4.18</v>
      </c>
      <c r="G93" s="60">
        <v>126.73</v>
      </c>
      <c r="H93" s="60">
        <v>31.86</v>
      </c>
      <c r="I93" s="60">
        <v>0.98</v>
      </c>
      <c r="J93" s="60">
        <v>0.16</v>
      </c>
      <c r="K93" s="60">
        <v>39.159999999999997</v>
      </c>
      <c r="L93" s="60">
        <v>29.22</v>
      </c>
      <c r="M93" s="60">
        <v>40.97</v>
      </c>
      <c r="N93" s="60">
        <v>5.2</v>
      </c>
      <c r="O93" s="60">
        <v>0</v>
      </c>
      <c r="P93" s="60">
        <v>3.38</v>
      </c>
      <c r="Q93" s="60">
        <v>16.21</v>
      </c>
      <c r="R93" s="198"/>
      <c r="S93" s="198"/>
      <c r="T93" s="198"/>
      <c r="U93" s="198"/>
    </row>
    <row r="94" spans="1:26" s="12" customFormat="1" x14ac:dyDescent="0.25">
      <c r="A94" s="201" t="s">
        <v>1583</v>
      </c>
      <c r="B94" s="60">
        <v>109.04</v>
      </c>
      <c r="C94" s="60">
        <v>104.92</v>
      </c>
      <c r="D94" s="60">
        <v>145.99</v>
      </c>
      <c r="E94" s="60">
        <v>6.21</v>
      </c>
      <c r="F94" s="60">
        <v>3.98</v>
      </c>
      <c r="G94" s="60">
        <v>208.81</v>
      </c>
      <c r="H94" s="60">
        <v>37.1</v>
      </c>
      <c r="I94" s="60">
        <v>1.1000000000000001</v>
      </c>
      <c r="J94" s="60">
        <v>0.08</v>
      </c>
      <c r="K94" s="60">
        <v>35.08</v>
      </c>
      <c r="L94" s="60">
        <v>28.81</v>
      </c>
      <c r="M94" s="60">
        <v>42.43</v>
      </c>
      <c r="N94" s="60">
        <v>5.2</v>
      </c>
      <c r="O94" s="60">
        <v>0</v>
      </c>
      <c r="P94" s="60">
        <v>2.89</v>
      </c>
      <c r="Q94" s="60">
        <v>19.489999999999998</v>
      </c>
      <c r="R94" s="198"/>
      <c r="S94" s="198"/>
      <c r="T94" s="198"/>
      <c r="U94" s="198"/>
    </row>
    <row r="95" spans="1:26" s="12" customFormat="1" x14ac:dyDescent="0.25">
      <c r="A95" s="201" t="s">
        <v>1584</v>
      </c>
      <c r="B95" s="60">
        <v>102.87</v>
      </c>
      <c r="C95" s="60">
        <v>99.13</v>
      </c>
      <c r="D95" s="60">
        <v>137.84</v>
      </c>
      <c r="E95" s="60">
        <v>6.15</v>
      </c>
      <c r="F95" s="60">
        <v>3.74</v>
      </c>
      <c r="G95" s="60">
        <v>208.81</v>
      </c>
      <c r="H95" s="60">
        <v>37.1</v>
      </c>
      <c r="I95" s="60">
        <v>1.29</v>
      </c>
      <c r="J95" s="60">
        <v>0.08</v>
      </c>
      <c r="K95" s="60">
        <v>300.2</v>
      </c>
      <c r="L95" s="60">
        <v>28.44</v>
      </c>
      <c r="M95" s="60">
        <v>41.26</v>
      </c>
      <c r="N95" s="60">
        <v>4.9000000000000004</v>
      </c>
      <c r="O95" s="60">
        <v>0</v>
      </c>
      <c r="P95" s="60">
        <v>3.09</v>
      </c>
      <c r="Q95" s="60">
        <v>22.41</v>
      </c>
      <c r="R95" s="198"/>
      <c r="S95" s="198"/>
      <c r="T95" s="198"/>
      <c r="U95" s="198"/>
    </row>
    <row r="96" spans="1:26" s="12" customFormat="1" x14ac:dyDescent="0.25">
      <c r="A96" s="201" t="s">
        <v>1585</v>
      </c>
      <c r="B96" s="60">
        <v>93.7</v>
      </c>
      <c r="C96" s="60">
        <v>96.24</v>
      </c>
      <c r="D96" s="60">
        <v>128.9</v>
      </c>
      <c r="E96" s="60">
        <v>6.7</v>
      </c>
      <c r="F96" s="60">
        <v>3.94</v>
      </c>
      <c r="G96" s="60">
        <v>208.81</v>
      </c>
      <c r="H96" s="60">
        <v>37.1</v>
      </c>
      <c r="I96" s="60">
        <v>1.22</v>
      </c>
      <c r="J96" s="60">
        <v>0.2</v>
      </c>
      <c r="K96" s="60">
        <v>25.17</v>
      </c>
      <c r="L96" s="60">
        <v>28.56</v>
      </c>
      <c r="M96" s="60">
        <v>38.21</v>
      </c>
      <c r="N96" s="60">
        <v>4.8</v>
      </c>
      <c r="O96" s="60">
        <v>0</v>
      </c>
      <c r="P96" s="60">
        <v>2.86</v>
      </c>
      <c r="Q96" s="60">
        <v>24.88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1586</v>
      </c>
      <c r="B97" s="60">
        <v>57.93</v>
      </c>
      <c r="C97" s="60">
        <v>83.45</v>
      </c>
      <c r="D97" s="60">
        <v>93.15</v>
      </c>
      <c r="E97" s="60">
        <v>5.3</v>
      </c>
      <c r="F97" s="60">
        <v>5.28</v>
      </c>
      <c r="G97" s="60">
        <v>198.54</v>
      </c>
      <c r="H97" s="60">
        <v>38.380000000000003</v>
      </c>
      <c r="I97" s="60">
        <v>1.23</v>
      </c>
      <c r="J97" s="60">
        <v>0.06</v>
      </c>
      <c r="K97" s="60">
        <v>300.95</v>
      </c>
      <c r="L97" s="60">
        <v>28.59</v>
      </c>
      <c r="M97" s="60">
        <v>39.6</v>
      </c>
      <c r="N97" s="60">
        <v>4.5</v>
      </c>
      <c r="O97" s="60">
        <v>0</v>
      </c>
      <c r="P97" s="60">
        <v>2.67</v>
      </c>
      <c r="Q97" s="60">
        <v>27.18</v>
      </c>
      <c r="R97" s="198"/>
      <c r="S97" s="198"/>
      <c r="T97" s="198"/>
      <c r="U97" s="198"/>
    </row>
    <row r="98" spans="1:33" s="12" customFormat="1" x14ac:dyDescent="0.25">
      <c r="A98" s="201" t="s">
        <v>1587</v>
      </c>
      <c r="B98" s="60">
        <v>60.2</v>
      </c>
      <c r="C98" s="60">
        <v>86.07</v>
      </c>
      <c r="D98" s="60">
        <v>96.42</v>
      </c>
      <c r="E98" s="60">
        <v>5.41</v>
      </c>
      <c r="F98" s="60">
        <v>4.5</v>
      </c>
      <c r="G98" s="60">
        <v>137.74</v>
      </c>
      <c r="H98" s="60">
        <v>43.78</v>
      </c>
      <c r="I98" s="60">
        <v>1.1200000000000001</v>
      </c>
      <c r="J98" s="60">
        <v>0.03</v>
      </c>
      <c r="K98" s="60">
        <v>338.19</v>
      </c>
      <c r="L98" s="60">
        <v>28.26</v>
      </c>
      <c r="M98" s="60">
        <v>40.81</v>
      </c>
      <c r="N98" s="60">
        <v>4.9000000000000004</v>
      </c>
      <c r="O98" s="60">
        <v>0</v>
      </c>
      <c r="P98" s="60">
        <v>2.7</v>
      </c>
      <c r="Q98" s="60">
        <v>25.65</v>
      </c>
      <c r="R98" s="198"/>
      <c r="S98" s="198"/>
      <c r="T98" s="198"/>
      <c r="U98" s="198"/>
    </row>
    <row r="99" spans="1:33" s="12" customFormat="1" x14ac:dyDescent="0.25">
      <c r="A99" s="201" t="s">
        <v>1588</v>
      </c>
      <c r="B99" s="60">
        <v>52.24</v>
      </c>
      <c r="C99" s="60">
        <v>84.02</v>
      </c>
      <c r="D99" s="60">
        <v>88.9</v>
      </c>
      <c r="E99" s="60">
        <v>5.47</v>
      </c>
      <c r="F99" s="60">
        <v>4.1100000000000003</v>
      </c>
      <c r="G99" s="60">
        <v>137.74</v>
      </c>
      <c r="H99" s="60">
        <v>43.78</v>
      </c>
      <c r="I99" s="60">
        <v>1.1599999999999999</v>
      </c>
      <c r="J99" s="60">
        <v>0.1</v>
      </c>
      <c r="K99" s="60">
        <v>109.61</v>
      </c>
      <c r="L99" s="60">
        <v>28.23</v>
      </c>
      <c r="M99" s="60">
        <v>41.89</v>
      </c>
      <c r="N99" s="60">
        <v>4.8</v>
      </c>
      <c r="O99" s="60">
        <v>0</v>
      </c>
      <c r="P99" s="60">
        <v>2.4900000000000002</v>
      </c>
      <c r="Q99" s="60">
        <v>26.46</v>
      </c>
      <c r="R99" s="198"/>
      <c r="S99" s="198"/>
      <c r="T99" s="198"/>
      <c r="U99" s="198"/>
    </row>
    <row r="100" spans="1:33" s="12" customFormat="1" x14ac:dyDescent="0.25">
      <c r="A100" s="201" t="s">
        <v>1589</v>
      </c>
      <c r="B100" s="60">
        <v>60.61</v>
      </c>
      <c r="C100" s="60">
        <v>84.6</v>
      </c>
      <c r="D100" s="60">
        <v>95.94</v>
      </c>
      <c r="E100" s="60">
        <v>5.91</v>
      </c>
      <c r="F100" s="60">
        <v>3.97</v>
      </c>
      <c r="G100" s="60">
        <v>137.74</v>
      </c>
      <c r="H100" s="60">
        <v>43.78</v>
      </c>
      <c r="I100" s="60">
        <v>1.1000000000000001</v>
      </c>
      <c r="J100" s="60">
        <v>0.06</v>
      </c>
      <c r="K100" s="60">
        <v>306.85000000000002</v>
      </c>
      <c r="L100" s="60">
        <v>28.04</v>
      </c>
      <c r="M100" s="60">
        <v>42.84</v>
      </c>
      <c r="N100" s="60">
        <v>4.9000000000000004</v>
      </c>
      <c r="O100" s="60">
        <v>0</v>
      </c>
      <c r="P100" s="60">
        <v>2.5</v>
      </c>
      <c r="Q100" s="60">
        <v>26.48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1590</v>
      </c>
      <c r="B101" s="60">
        <v>69.8</v>
      </c>
      <c r="C101" s="60">
        <v>76.63</v>
      </c>
      <c r="D101" s="60">
        <v>98.91</v>
      </c>
      <c r="E101" s="60">
        <v>5.07</v>
      </c>
      <c r="F101" s="60">
        <v>3.59</v>
      </c>
      <c r="G101" s="60">
        <v>136.81</v>
      </c>
      <c r="H101" s="60">
        <v>43.96</v>
      </c>
      <c r="I101" s="60">
        <v>1.1100000000000001</v>
      </c>
      <c r="J101" s="60">
        <v>0.13</v>
      </c>
      <c r="K101" s="60">
        <v>7.55</v>
      </c>
      <c r="L101" s="60">
        <v>27.37</v>
      </c>
      <c r="M101" s="60">
        <v>48.76</v>
      </c>
      <c r="N101" s="60">
        <v>5.0999999999999996</v>
      </c>
      <c r="O101" s="60">
        <v>0</v>
      </c>
      <c r="P101" s="60">
        <v>2.62</v>
      </c>
      <c r="Q101" s="60">
        <v>25.29</v>
      </c>
      <c r="R101" s="198"/>
      <c r="S101" s="198"/>
      <c r="T101" s="198"/>
      <c r="U101" s="198"/>
    </row>
    <row r="102" spans="1:33" s="12" customFormat="1" x14ac:dyDescent="0.25">
      <c r="A102" s="201" t="s">
        <v>1591</v>
      </c>
      <c r="B102" s="60">
        <v>38.85</v>
      </c>
      <c r="C102" s="60">
        <v>79.790000000000006</v>
      </c>
      <c r="D102" s="60">
        <v>75.84</v>
      </c>
      <c r="E102" s="60">
        <v>7.62</v>
      </c>
      <c r="F102" s="60">
        <v>4.34</v>
      </c>
      <c r="G102" s="60">
        <v>131.79</v>
      </c>
      <c r="H102" s="60">
        <v>44.68</v>
      </c>
      <c r="I102" s="60">
        <v>1.1599999999999999</v>
      </c>
      <c r="J102" s="60">
        <v>0.03</v>
      </c>
      <c r="K102" s="60">
        <v>228.57</v>
      </c>
      <c r="L102" s="60">
        <v>27.29</v>
      </c>
      <c r="M102" s="60">
        <v>40.22</v>
      </c>
      <c r="N102" s="60">
        <v>4.7</v>
      </c>
      <c r="O102" s="60">
        <v>0</v>
      </c>
      <c r="P102" s="60">
        <v>2.13</v>
      </c>
      <c r="Q102" s="60">
        <v>26.4</v>
      </c>
      <c r="R102" s="198"/>
      <c r="S102" s="198"/>
      <c r="T102" s="198"/>
      <c r="U102" s="198"/>
    </row>
    <row r="103" spans="1:33" s="12" customFormat="1" x14ac:dyDescent="0.25">
      <c r="A103" s="201" t="s">
        <v>1592</v>
      </c>
      <c r="B103" s="60">
        <v>52.65</v>
      </c>
      <c r="C103" s="60">
        <v>82.54</v>
      </c>
      <c r="D103" s="60">
        <v>88.42</v>
      </c>
      <c r="E103" s="60">
        <v>9.07</v>
      </c>
      <c r="F103" s="60">
        <v>4.3099999999999996</v>
      </c>
      <c r="G103" s="60">
        <v>131.79</v>
      </c>
      <c r="H103" s="60">
        <v>44.68</v>
      </c>
      <c r="I103" s="60">
        <v>1.1200000000000001</v>
      </c>
      <c r="J103" s="60">
        <v>0.01</v>
      </c>
      <c r="K103" s="60">
        <v>191.88</v>
      </c>
      <c r="L103" s="60">
        <v>27.56</v>
      </c>
      <c r="M103" s="60">
        <v>41.27</v>
      </c>
      <c r="N103" s="60">
        <v>4.5999999999999996</v>
      </c>
      <c r="O103" s="60">
        <v>0</v>
      </c>
      <c r="P103" s="60">
        <v>2.17</v>
      </c>
      <c r="Q103" s="60">
        <v>27.84</v>
      </c>
      <c r="R103" s="198"/>
      <c r="S103" s="198"/>
      <c r="T103" s="198"/>
      <c r="U103" s="198"/>
    </row>
    <row r="104" spans="1:33" s="12" customFormat="1" x14ac:dyDescent="0.25">
      <c r="A104" s="201" t="s">
        <v>1593</v>
      </c>
      <c r="B104" s="60">
        <v>44.22</v>
      </c>
      <c r="C104" s="60">
        <v>84.04</v>
      </c>
      <c r="D104" s="60">
        <v>82.49</v>
      </c>
      <c r="E104" s="60">
        <v>7.06</v>
      </c>
      <c r="F104" s="60">
        <v>4</v>
      </c>
      <c r="G104" s="60">
        <v>131.79</v>
      </c>
      <c r="H104" s="60">
        <v>44.68</v>
      </c>
      <c r="I104" s="60">
        <v>1.01</v>
      </c>
      <c r="J104" s="60">
        <v>0.06</v>
      </c>
      <c r="K104" s="60">
        <v>326.77999999999997</v>
      </c>
      <c r="L104" s="60">
        <v>27.3</v>
      </c>
      <c r="M104" s="60">
        <v>40.82</v>
      </c>
      <c r="N104" s="60">
        <v>4.8</v>
      </c>
      <c r="O104" s="60">
        <v>0</v>
      </c>
      <c r="P104" s="60">
        <v>2.09</v>
      </c>
      <c r="Q104" s="60">
        <v>29.65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1.0900000000000001</v>
      </c>
      <c r="C106" s="67">
        <f>MIN(C9:C104)</f>
        <v>35.86</v>
      </c>
      <c r="D106" s="67">
        <f t="shared" ref="D106:Q106" si="0">MIN(D9:D104)</f>
        <v>22.52</v>
      </c>
      <c r="E106" s="67">
        <f t="shared" si="0"/>
        <v>0.99</v>
      </c>
      <c r="F106" s="67">
        <f t="shared" si="0"/>
        <v>3.59</v>
      </c>
      <c r="G106" s="67">
        <f t="shared" si="0"/>
        <v>4.01</v>
      </c>
      <c r="H106" s="67">
        <f t="shared" si="0"/>
        <v>20.86</v>
      </c>
      <c r="I106" s="67">
        <f t="shared" si="0"/>
        <v>0.49</v>
      </c>
      <c r="J106" s="67">
        <f t="shared" si="0"/>
        <v>0.01</v>
      </c>
      <c r="K106" s="67">
        <f t="shared" si="0"/>
        <v>3.12</v>
      </c>
      <c r="L106" s="67">
        <f t="shared" si="0"/>
        <v>23.71</v>
      </c>
      <c r="M106" s="67">
        <f t="shared" si="0"/>
        <v>12.24</v>
      </c>
      <c r="N106" s="67">
        <f t="shared" si="0"/>
        <v>3.9</v>
      </c>
      <c r="O106" s="67">
        <f t="shared" si="0"/>
        <v>0</v>
      </c>
      <c r="P106" s="67">
        <f t="shared" si="0"/>
        <v>0.57999999999999996</v>
      </c>
      <c r="Q106" s="67">
        <f t="shared" si="0"/>
        <v>0.01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125.96</v>
      </c>
      <c r="C107" s="66">
        <f t="shared" ref="C107:Q107" si="1">MAX(C9:C104)</f>
        <v>110.64</v>
      </c>
      <c r="D107" s="66">
        <f t="shared" si="1"/>
        <v>162.71</v>
      </c>
      <c r="E107" s="66">
        <f t="shared" si="1"/>
        <v>20.25</v>
      </c>
      <c r="F107" s="66">
        <f t="shared" si="1"/>
        <v>77.959999999999994</v>
      </c>
      <c r="G107" s="66">
        <f t="shared" si="1"/>
        <v>208.81</v>
      </c>
      <c r="H107" s="66">
        <f t="shared" si="1"/>
        <v>57.97</v>
      </c>
      <c r="I107" s="66">
        <f t="shared" si="1"/>
        <v>1.29</v>
      </c>
      <c r="J107" s="66">
        <f t="shared" si="1"/>
        <v>1.18</v>
      </c>
      <c r="K107" s="66">
        <f t="shared" si="1"/>
        <v>359.63</v>
      </c>
      <c r="L107" s="66">
        <f t="shared" si="1"/>
        <v>42.07</v>
      </c>
      <c r="M107" s="66">
        <f t="shared" si="1"/>
        <v>52.79</v>
      </c>
      <c r="N107" s="66">
        <f t="shared" si="1"/>
        <v>808.3</v>
      </c>
      <c r="O107" s="66">
        <f t="shared" si="1"/>
        <v>0</v>
      </c>
      <c r="P107" s="66">
        <f t="shared" si="1"/>
        <v>3.38</v>
      </c>
      <c r="Q107" s="66">
        <f t="shared" si="1"/>
        <v>29.65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14.520729166666664</v>
      </c>
      <c r="C108" s="67">
        <f t="shared" ref="C108:Q108" si="2">AVERAGE(C9:C104)</f>
        <v>57.377083333333339</v>
      </c>
      <c r="D108" s="67">
        <f t="shared" si="2"/>
        <v>43.955520833333331</v>
      </c>
      <c r="E108" s="67">
        <f t="shared" si="2"/>
        <v>5.2656249999999991</v>
      </c>
      <c r="F108" s="67">
        <f t="shared" si="2"/>
        <v>25.058124999999993</v>
      </c>
      <c r="G108" s="67">
        <f t="shared" si="2"/>
        <v>77.156041666666681</v>
      </c>
      <c r="H108" s="67">
        <f t="shared" si="2"/>
        <v>31.081562500000004</v>
      </c>
      <c r="I108" s="67">
        <f t="shared" si="2"/>
        <v>0.65437499999999971</v>
      </c>
      <c r="J108" s="67">
        <f t="shared" si="2"/>
        <v>0.30197916666666669</v>
      </c>
      <c r="K108" s="67">
        <f t="shared" si="2"/>
        <v>181.53354166666671</v>
      </c>
      <c r="L108" s="67">
        <f t="shared" si="2"/>
        <v>31.06979166666666</v>
      </c>
      <c r="M108" s="67">
        <f t="shared" si="2"/>
        <v>34.167187499999997</v>
      </c>
      <c r="N108" s="67">
        <f t="shared" si="2"/>
        <v>211.06041666666658</v>
      </c>
      <c r="O108" s="67">
        <f t="shared" si="2"/>
        <v>0</v>
      </c>
      <c r="P108" s="67">
        <f t="shared" si="2"/>
        <v>1.1356250000000001</v>
      </c>
      <c r="Q108" s="67">
        <f t="shared" si="2"/>
        <v>11.464819277108433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25.657402183992449</v>
      </c>
      <c r="C109" s="67">
        <f t="shared" ref="C109:Q109" si="3">STDEV(C9:C104)</f>
        <v>17.724654486524287</v>
      </c>
      <c r="D109" s="67">
        <f t="shared" si="3"/>
        <v>29.077882021972858</v>
      </c>
      <c r="E109" s="67">
        <f t="shared" si="3"/>
        <v>3.1467857661262464</v>
      </c>
      <c r="F109" s="67">
        <f t="shared" si="3"/>
        <v>19.850286452261642</v>
      </c>
      <c r="G109" s="67">
        <f t="shared" si="3"/>
        <v>41.603680340216044</v>
      </c>
      <c r="H109" s="67">
        <f t="shared" si="3"/>
        <v>7.6793118288342352</v>
      </c>
      <c r="I109" s="67">
        <f t="shared" si="3"/>
        <v>0.19475119079427919</v>
      </c>
      <c r="J109" s="67">
        <f t="shared" si="3"/>
        <v>0.29603918585451389</v>
      </c>
      <c r="K109" s="67">
        <f t="shared" si="3"/>
        <v>116.59060470389228</v>
      </c>
      <c r="L109" s="67">
        <f t="shared" si="3"/>
        <v>5.628106717120656</v>
      </c>
      <c r="M109" s="67">
        <f t="shared" si="3"/>
        <v>12.864480655389665</v>
      </c>
      <c r="N109" s="67">
        <f t="shared" si="3"/>
        <v>290.12061973533355</v>
      </c>
      <c r="O109" s="67">
        <f t="shared" si="3"/>
        <v>0</v>
      </c>
      <c r="P109" s="67">
        <f t="shared" si="3"/>
        <v>0.67685155412083486</v>
      </c>
      <c r="Q109" s="67">
        <f t="shared" si="3"/>
        <v>7.2325959920359262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COUNT(Q9:Q104)+13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1594</v>
      </c>
      <c r="B9" s="60">
        <v>41.5</v>
      </c>
      <c r="C9" s="60">
        <v>76.260000000000005</v>
      </c>
      <c r="D9" s="60">
        <v>76.010000000000005</v>
      </c>
      <c r="E9" s="60">
        <v>10.83</v>
      </c>
      <c r="F9" s="60">
        <v>4.46</v>
      </c>
      <c r="G9" s="60">
        <v>128.44</v>
      </c>
      <c r="H9" s="60">
        <v>44.91</v>
      </c>
      <c r="I9" s="60">
        <v>1.06</v>
      </c>
      <c r="J9" s="60">
        <v>0.06</v>
      </c>
      <c r="K9" s="60">
        <v>313.16000000000003</v>
      </c>
      <c r="L9" s="60">
        <v>28.03</v>
      </c>
      <c r="M9" s="60">
        <v>36.74</v>
      </c>
      <c r="N9" s="60">
        <v>3.9</v>
      </c>
      <c r="O9" s="60">
        <v>0</v>
      </c>
      <c r="P9" s="60">
        <v>2.0499999999999998</v>
      </c>
      <c r="Q9" s="60">
        <v>31.18</v>
      </c>
      <c r="R9" s="198"/>
      <c r="S9" s="198"/>
      <c r="T9" s="198"/>
      <c r="U9" s="198"/>
    </row>
    <row r="10" spans="1:21" s="12" customFormat="1" x14ac:dyDescent="0.25">
      <c r="A10" s="201" t="s">
        <v>1595</v>
      </c>
      <c r="B10" s="60">
        <v>45.67</v>
      </c>
      <c r="C10" s="60">
        <v>58.95</v>
      </c>
      <c r="D10" s="60">
        <v>69.8</v>
      </c>
      <c r="E10" s="60">
        <v>7.81</v>
      </c>
      <c r="F10" s="60">
        <v>5.45</v>
      </c>
      <c r="G10" s="60">
        <v>110.24</v>
      </c>
      <c r="H10" s="60">
        <v>45.82</v>
      </c>
      <c r="I10" s="60">
        <v>0.97</v>
      </c>
      <c r="J10" s="60">
        <v>1.1399999999999999</v>
      </c>
      <c r="K10" s="60">
        <v>196.2</v>
      </c>
      <c r="L10" s="60">
        <v>27.94</v>
      </c>
      <c r="M10" s="60">
        <v>39.369999999999997</v>
      </c>
      <c r="N10" s="60">
        <v>4.0999999999999996</v>
      </c>
      <c r="O10" s="60">
        <v>0</v>
      </c>
      <c r="P10" s="60">
        <v>2.14</v>
      </c>
      <c r="Q10" s="60">
        <v>31.52</v>
      </c>
      <c r="R10" s="198"/>
      <c r="S10" s="198"/>
      <c r="T10" s="198"/>
      <c r="U10" s="198"/>
    </row>
    <row r="11" spans="1:21" s="12" customFormat="1" x14ac:dyDescent="0.25">
      <c r="A11" s="201" t="s">
        <v>1596</v>
      </c>
      <c r="B11" s="60">
        <v>43.53</v>
      </c>
      <c r="C11" s="60">
        <v>48.84</v>
      </c>
      <c r="D11" s="60">
        <v>62.51</v>
      </c>
      <c r="E11" s="60">
        <v>3.7</v>
      </c>
      <c r="F11" s="60">
        <v>6.47</v>
      </c>
      <c r="G11" s="60">
        <v>110.24</v>
      </c>
      <c r="H11" s="60">
        <v>45.82</v>
      </c>
      <c r="I11" s="60">
        <v>0.95</v>
      </c>
      <c r="J11" s="60">
        <v>0.36</v>
      </c>
      <c r="K11" s="60">
        <v>232.76</v>
      </c>
      <c r="L11" s="60">
        <v>26.92</v>
      </c>
      <c r="M11" s="60">
        <v>43.13</v>
      </c>
      <c r="N11" s="60">
        <v>5.4</v>
      </c>
      <c r="O11" s="60">
        <v>0</v>
      </c>
      <c r="P11" s="60">
        <v>2.0299999999999998</v>
      </c>
      <c r="Q11" s="60">
        <v>32.07</v>
      </c>
      <c r="R11" s="198"/>
      <c r="S11" s="198"/>
      <c r="T11" s="198"/>
      <c r="U11" s="198"/>
    </row>
    <row r="12" spans="1:21" s="12" customFormat="1" x14ac:dyDescent="0.25">
      <c r="A12" s="201" t="s">
        <v>1597</v>
      </c>
      <c r="B12" s="60">
        <v>34.590000000000003</v>
      </c>
      <c r="C12" s="60">
        <v>39.49</v>
      </c>
      <c r="D12" s="60">
        <v>50.18</v>
      </c>
      <c r="E12" s="60">
        <v>3.7</v>
      </c>
      <c r="F12" s="60">
        <v>9.2200000000000006</v>
      </c>
      <c r="G12" s="60">
        <v>110.24</v>
      </c>
      <c r="H12" s="60">
        <v>45.82</v>
      </c>
      <c r="I12" s="60">
        <v>0.88</v>
      </c>
      <c r="J12" s="60">
        <v>0.28999999999999998</v>
      </c>
      <c r="K12" s="60">
        <v>206.89</v>
      </c>
      <c r="L12" s="60">
        <v>26.55</v>
      </c>
      <c r="M12" s="60">
        <v>42.82</v>
      </c>
      <c r="N12" s="60">
        <v>4.7</v>
      </c>
      <c r="O12" s="60">
        <v>0</v>
      </c>
      <c r="P12" s="60">
        <v>1.8</v>
      </c>
      <c r="Q12" s="60">
        <v>28.94</v>
      </c>
      <c r="R12" s="198"/>
      <c r="S12" s="198"/>
      <c r="T12" s="198"/>
      <c r="U12" s="198"/>
    </row>
    <row r="13" spans="1:21" s="12" customFormat="1" x14ac:dyDescent="0.25">
      <c r="A13" s="201" t="s">
        <v>1598</v>
      </c>
      <c r="B13" s="60">
        <v>28.02</v>
      </c>
      <c r="C13" s="60">
        <v>42.4</v>
      </c>
      <c r="D13" s="60">
        <v>46.51</v>
      </c>
      <c r="E13" s="60">
        <v>4.8600000000000003</v>
      </c>
      <c r="F13" s="60">
        <v>13.6</v>
      </c>
      <c r="G13" s="60">
        <v>108.9</v>
      </c>
      <c r="H13" s="60">
        <v>44.6</v>
      </c>
      <c r="I13" s="60">
        <v>0.89</v>
      </c>
      <c r="J13" s="60">
        <v>0.05</v>
      </c>
      <c r="K13" s="60">
        <v>16.989999999999998</v>
      </c>
      <c r="L13" s="60">
        <v>26.3</v>
      </c>
      <c r="M13" s="60">
        <v>40.9</v>
      </c>
      <c r="N13" s="60">
        <v>4.9000000000000004</v>
      </c>
      <c r="O13" s="60">
        <v>0</v>
      </c>
      <c r="P13" s="60">
        <v>1.44</v>
      </c>
      <c r="Q13" s="60">
        <v>25.47</v>
      </c>
      <c r="R13" s="198"/>
      <c r="S13" s="198"/>
      <c r="T13" s="198"/>
      <c r="U13" s="198"/>
    </row>
    <row r="14" spans="1:21" s="12" customFormat="1" x14ac:dyDescent="0.25">
      <c r="A14" s="201" t="s">
        <v>1599</v>
      </c>
      <c r="B14" s="60">
        <v>29.33</v>
      </c>
      <c r="C14" s="60">
        <v>45.95</v>
      </c>
      <c r="D14" s="60">
        <v>49.52</v>
      </c>
      <c r="E14" s="60">
        <v>4.4400000000000004</v>
      </c>
      <c r="F14" s="60">
        <v>10.46</v>
      </c>
      <c r="G14" s="60">
        <v>100.96</v>
      </c>
      <c r="H14" s="60">
        <v>39.520000000000003</v>
      </c>
      <c r="I14" s="60">
        <v>0.8</v>
      </c>
      <c r="J14" s="60">
        <v>0.18</v>
      </c>
      <c r="K14" s="60">
        <v>24.33</v>
      </c>
      <c r="L14" s="60">
        <v>26.66</v>
      </c>
      <c r="M14" s="60">
        <v>35.729999999999997</v>
      </c>
      <c r="N14" s="60">
        <v>4.0999999999999996</v>
      </c>
      <c r="O14" s="60">
        <v>0</v>
      </c>
      <c r="P14" s="60">
        <v>1.64</v>
      </c>
      <c r="Q14" s="60">
        <v>25.12</v>
      </c>
      <c r="R14" s="198"/>
      <c r="S14" s="198"/>
      <c r="T14" s="198"/>
      <c r="U14" s="198"/>
    </row>
    <row r="15" spans="1:21" s="12" customFormat="1" x14ac:dyDescent="0.25">
      <c r="A15" s="201" t="s">
        <v>1600</v>
      </c>
      <c r="B15" s="60">
        <v>30.2</v>
      </c>
      <c r="C15" s="60">
        <v>47.35</v>
      </c>
      <c r="D15" s="60">
        <v>50.99</v>
      </c>
      <c r="E15" s="60">
        <v>2.86</v>
      </c>
      <c r="F15" s="60">
        <v>6.65</v>
      </c>
      <c r="G15" s="60">
        <v>100.96</v>
      </c>
      <c r="H15" s="60">
        <v>39.520000000000003</v>
      </c>
      <c r="I15" s="60">
        <v>0.71</v>
      </c>
      <c r="J15" s="60">
        <v>0.31</v>
      </c>
      <c r="K15" s="60">
        <v>18.14</v>
      </c>
      <c r="L15" s="60">
        <v>27.36</v>
      </c>
      <c r="M15" s="60">
        <v>32.42</v>
      </c>
      <c r="N15" s="60">
        <v>3.8</v>
      </c>
      <c r="O15" s="60">
        <v>0</v>
      </c>
      <c r="P15" s="60">
        <v>1.68</v>
      </c>
      <c r="Q15" s="60">
        <v>24.2</v>
      </c>
      <c r="R15" s="198"/>
      <c r="S15" s="198"/>
      <c r="T15" s="198"/>
      <c r="U15" s="198"/>
    </row>
    <row r="16" spans="1:21" s="12" customFormat="1" x14ac:dyDescent="0.25">
      <c r="A16" s="201" t="s">
        <v>1601</v>
      </c>
      <c r="B16" s="60">
        <v>27.03</v>
      </c>
      <c r="C16" s="60">
        <v>48.02</v>
      </c>
      <c r="D16" s="60">
        <v>48.82</v>
      </c>
      <c r="E16" s="60">
        <v>2.4300000000000002</v>
      </c>
      <c r="F16" s="60">
        <v>5.04</v>
      </c>
      <c r="G16" s="60">
        <v>100.96</v>
      </c>
      <c r="H16" s="60">
        <v>39.520000000000003</v>
      </c>
      <c r="I16" s="60">
        <v>0.74</v>
      </c>
      <c r="J16" s="60">
        <v>0.36</v>
      </c>
      <c r="K16" s="60">
        <v>4.68</v>
      </c>
      <c r="L16" s="60">
        <v>27.39</v>
      </c>
      <c r="M16" s="60">
        <v>32.299999999999997</v>
      </c>
      <c r="N16" s="60">
        <v>4.0999999999999996</v>
      </c>
      <c r="O16" s="60">
        <v>0</v>
      </c>
      <c r="P16" s="60">
        <v>1.59</v>
      </c>
      <c r="Q16" s="60">
        <v>21.68</v>
      </c>
      <c r="R16" s="198"/>
      <c r="S16" s="198"/>
      <c r="T16" s="198"/>
      <c r="U16" s="198"/>
    </row>
    <row r="17" spans="1:21" s="12" customFormat="1" x14ac:dyDescent="0.25">
      <c r="A17" s="201" t="s">
        <v>1602</v>
      </c>
      <c r="B17" s="60">
        <v>20.25</v>
      </c>
      <c r="C17" s="60">
        <v>46.77</v>
      </c>
      <c r="D17" s="60">
        <v>42.69</v>
      </c>
      <c r="E17" s="60">
        <v>2.34</v>
      </c>
      <c r="F17" s="60">
        <v>9.41</v>
      </c>
      <c r="G17" s="60">
        <v>86.38</v>
      </c>
      <c r="H17" s="60">
        <v>38.090000000000003</v>
      </c>
      <c r="I17" s="60">
        <v>0.77</v>
      </c>
      <c r="J17" s="60">
        <v>0.47</v>
      </c>
      <c r="K17" s="60">
        <v>358.21</v>
      </c>
      <c r="L17" s="60">
        <v>27.2</v>
      </c>
      <c r="M17" s="60">
        <v>33.06</v>
      </c>
      <c r="N17" s="60">
        <v>4.2</v>
      </c>
      <c r="O17" s="60">
        <v>0</v>
      </c>
      <c r="P17" s="60">
        <v>1.35</v>
      </c>
      <c r="Q17" s="60">
        <v>19.91</v>
      </c>
      <c r="R17" s="198"/>
      <c r="S17" s="198"/>
      <c r="T17" s="198"/>
      <c r="U17" s="198"/>
    </row>
    <row r="18" spans="1:21" s="12" customFormat="1" x14ac:dyDescent="0.25">
      <c r="A18" s="201" t="s">
        <v>1603</v>
      </c>
      <c r="B18" s="60">
        <v>15.16</v>
      </c>
      <c r="C18" s="60">
        <v>47.08</v>
      </c>
      <c r="D18" s="60">
        <v>38.78</v>
      </c>
      <c r="E18" s="60">
        <v>5</v>
      </c>
      <c r="F18" s="60">
        <v>14.52</v>
      </c>
      <c r="G18" s="217" t="s">
        <v>34</v>
      </c>
      <c r="H18" s="60">
        <v>32.19</v>
      </c>
      <c r="I18" s="60">
        <v>0.77</v>
      </c>
      <c r="J18" s="60">
        <v>0.33</v>
      </c>
      <c r="K18" s="60">
        <v>359.71</v>
      </c>
      <c r="L18" s="60">
        <v>27.07</v>
      </c>
      <c r="M18" s="60">
        <v>33.369999999999997</v>
      </c>
      <c r="N18" s="60">
        <v>4.7</v>
      </c>
      <c r="O18" s="60">
        <v>0</v>
      </c>
      <c r="P18" s="60">
        <v>1.37</v>
      </c>
      <c r="Q18" s="60">
        <v>18.399999999999999</v>
      </c>
      <c r="R18" s="198"/>
      <c r="S18" s="198"/>
      <c r="T18" s="198"/>
      <c r="U18" s="198"/>
    </row>
    <row r="19" spans="1:21" s="12" customFormat="1" x14ac:dyDescent="0.25">
      <c r="A19" s="201" t="s">
        <v>1604</v>
      </c>
      <c r="B19" s="60">
        <v>14.05</v>
      </c>
      <c r="C19" s="60">
        <v>50.14</v>
      </c>
      <c r="D19" s="60">
        <v>39.590000000000003</v>
      </c>
      <c r="E19" s="60">
        <v>7.43</v>
      </c>
      <c r="F19" s="60">
        <v>8.68</v>
      </c>
      <c r="G19" s="217" t="s">
        <v>34</v>
      </c>
      <c r="H19" s="60">
        <v>32.19</v>
      </c>
      <c r="I19" s="60">
        <v>0.68</v>
      </c>
      <c r="J19" s="60">
        <v>0.47</v>
      </c>
      <c r="K19" s="60">
        <v>349.32</v>
      </c>
      <c r="L19" s="60">
        <v>27.14</v>
      </c>
      <c r="M19" s="60">
        <v>31.82</v>
      </c>
      <c r="N19" s="60">
        <v>4</v>
      </c>
      <c r="O19" s="60">
        <v>0</v>
      </c>
      <c r="P19" s="60">
        <v>1.45</v>
      </c>
      <c r="Q19" s="60">
        <v>19.16</v>
      </c>
      <c r="R19" s="198"/>
      <c r="S19" s="198"/>
      <c r="T19" s="198"/>
      <c r="U19" s="198"/>
    </row>
    <row r="20" spans="1:21" s="12" customFormat="1" x14ac:dyDescent="0.25">
      <c r="A20" s="201" t="s">
        <v>1605</v>
      </c>
      <c r="B20" s="60">
        <v>14.46</v>
      </c>
      <c r="C20" s="60">
        <v>50.09</v>
      </c>
      <c r="D20" s="60">
        <v>39.880000000000003</v>
      </c>
      <c r="E20" s="60">
        <v>3.21</v>
      </c>
      <c r="F20" s="60">
        <v>7.03</v>
      </c>
      <c r="G20" s="217" t="s">
        <v>34</v>
      </c>
      <c r="H20" s="60">
        <v>32.19</v>
      </c>
      <c r="I20" s="60">
        <v>0.66</v>
      </c>
      <c r="J20" s="60">
        <v>0.39</v>
      </c>
      <c r="K20" s="60">
        <v>353.83</v>
      </c>
      <c r="L20" s="60">
        <v>27.55</v>
      </c>
      <c r="M20" s="60">
        <v>29.04</v>
      </c>
      <c r="N20" s="60">
        <v>4.3</v>
      </c>
      <c r="O20" s="60">
        <v>0</v>
      </c>
      <c r="P20" s="60">
        <v>1.33</v>
      </c>
      <c r="Q20" s="60">
        <v>19.64</v>
      </c>
      <c r="R20" s="198"/>
      <c r="S20" s="198"/>
      <c r="T20" s="198"/>
      <c r="U20" s="198"/>
    </row>
    <row r="21" spans="1:21" s="12" customFormat="1" x14ac:dyDescent="0.25">
      <c r="A21" s="201" t="s">
        <v>1606</v>
      </c>
      <c r="B21" s="60">
        <v>11.5</v>
      </c>
      <c r="C21" s="60">
        <v>49.17</v>
      </c>
      <c r="D21" s="60">
        <v>37.01</v>
      </c>
      <c r="E21" s="60">
        <v>5.5</v>
      </c>
      <c r="F21" s="60">
        <v>10.62</v>
      </c>
      <c r="G21" s="217" t="s">
        <v>34</v>
      </c>
      <c r="H21" s="60">
        <v>30.6</v>
      </c>
      <c r="I21" s="60">
        <v>0.65</v>
      </c>
      <c r="J21" s="60">
        <v>0.36</v>
      </c>
      <c r="K21" s="60">
        <v>347.24</v>
      </c>
      <c r="L21" s="60">
        <v>27.39</v>
      </c>
      <c r="M21" s="60">
        <v>29.88</v>
      </c>
      <c r="N21" s="60">
        <v>4.7</v>
      </c>
      <c r="O21" s="60">
        <v>0</v>
      </c>
      <c r="P21" s="60">
        <v>1.1599999999999999</v>
      </c>
      <c r="Q21" s="60">
        <v>19.170000000000002</v>
      </c>
      <c r="R21" s="198"/>
      <c r="S21" s="198"/>
      <c r="T21" s="198"/>
      <c r="U21" s="198"/>
    </row>
    <row r="22" spans="1:21" s="12" customFormat="1" x14ac:dyDescent="0.25">
      <c r="A22" s="201" t="s">
        <v>1607</v>
      </c>
      <c r="B22" s="60">
        <v>10.83</v>
      </c>
      <c r="C22" s="60">
        <v>50.33</v>
      </c>
      <c r="D22" s="60">
        <v>37.11</v>
      </c>
      <c r="E22" s="60">
        <v>3.22</v>
      </c>
      <c r="F22" s="60">
        <v>6.44</v>
      </c>
      <c r="G22" s="217" t="s">
        <v>34</v>
      </c>
      <c r="H22" s="60">
        <v>24.36</v>
      </c>
      <c r="I22" s="60">
        <v>0.66</v>
      </c>
      <c r="J22" s="60">
        <v>0.5</v>
      </c>
      <c r="K22" s="60">
        <v>348.32</v>
      </c>
      <c r="L22" s="60">
        <v>27.18</v>
      </c>
      <c r="M22" s="60">
        <v>30.05</v>
      </c>
      <c r="N22" s="60">
        <v>4.2</v>
      </c>
      <c r="O22" s="60">
        <v>0</v>
      </c>
      <c r="P22" s="60">
        <v>1.23</v>
      </c>
      <c r="Q22" s="60">
        <v>18.440000000000001</v>
      </c>
      <c r="R22" s="198"/>
      <c r="S22" s="198"/>
      <c r="T22" s="198"/>
      <c r="U22" s="198"/>
    </row>
    <row r="23" spans="1:21" s="12" customFormat="1" x14ac:dyDescent="0.25">
      <c r="A23" s="201" t="s">
        <v>1608</v>
      </c>
      <c r="B23" s="60">
        <v>9.94</v>
      </c>
      <c r="C23" s="60">
        <v>48.24</v>
      </c>
      <c r="D23" s="60">
        <v>35.24</v>
      </c>
      <c r="E23" s="60">
        <v>2.2599999999999998</v>
      </c>
      <c r="F23" s="60">
        <v>5.24</v>
      </c>
      <c r="G23" s="217" t="s">
        <v>34</v>
      </c>
      <c r="H23" s="60">
        <v>24.36</v>
      </c>
      <c r="I23" s="60">
        <v>0.62</v>
      </c>
      <c r="J23" s="60">
        <v>0.54</v>
      </c>
      <c r="K23" s="60">
        <v>350.9</v>
      </c>
      <c r="L23" s="60">
        <v>27.28</v>
      </c>
      <c r="M23" s="60">
        <v>29.77</v>
      </c>
      <c r="N23" s="60">
        <v>4.3</v>
      </c>
      <c r="O23" s="60">
        <v>0</v>
      </c>
      <c r="P23" s="60">
        <v>1.17</v>
      </c>
      <c r="Q23" s="60">
        <v>16.350000000000001</v>
      </c>
      <c r="R23" s="198"/>
      <c r="S23" s="198"/>
      <c r="T23" s="198"/>
      <c r="U23" s="198"/>
    </row>
    <row r="24" spans="1:21" s="12" customFormat="1" x14ac:dyDescent="0.25">
      <c r="A24" s="201" t="s">
        <v>1609</v>
      </c>
      <c r="B24" s="60">
        <v>8.02</v>
      </c>
      <c r="C24" s="60">
        <v>47.56</v>
      </c>
      <c r="D24" s="60">
        <v>33.33</v>
      </c>
      <c r="E24" s="60">
        <v>1.38</v>
      </c>
      <c r="F24" s="60">
        <v>4.62</v>
      </c>
      <c r="G24" s="217" t="s">
        <v>34</v>
      </c>
      <c r="H24" s="60">
        <v>24.36</v>
      </c>
      <c r="I24" s="60">
        <v>0.64</v>
      </c>
      <c r="J24" s="60">
        <v>0.61</v>
      </c>
      <c r="K24" s="60">
        <v>351.41</v>
      </c>
      <c r="L24" s="60">
        <v>27.2</v>
      </c>
      <c r="M24" s="60">
        <v>30.01</v>
      </c>
      <c r="N24" s="60">
        <v>4.3</v>
      </c>
      <c r="O24" s="60">
        <v>0</v>
      </c>
      <c r="P24" s="60">
        <v>1.1100000000000001</v>
      </c>
      <c r="Q24" s="60">
        <v>12.75</v>
      </c>
      <c r="R24" s="198"/>
      <c r="S24" s="198"/>
      <c r="T24" s="198"/>
      <c r="U24" s="198"/>
    </row>
    <row r="25" spans="1:21" s="12" customFormat="1" x14ac:dyDescent="0.25">
      <c r="A25" s="201" t="s">
        <v>1610</v>
      </c>
      <c r="B25" s="60">
        <v>6.14</v>
      </c>
      <c r="C25" s="60">
        <v>49.12</v>
      </c>
      <c r="D25" s="60">
        <v>32.68</v>
      </c>
      <c r="E25" s="60">
        <v>3.66</v>
      </c>
      <c r="F25" s="60">
        <v>8.3699999999999992</v>
      </c>
      <c r="G25" s="217" t="s">
        <v>34</v>
      </c>
      <c r="H25" s="60">
        <v>23.73</v>
      </c>
      <c r="I25" s="60">
        <v>0.63</v>
      </c>
      <c r="J25" s="60">
        <v>0.28999999999999998</v>
      </c>
      <c r="K25" s="60">
        <v>357.72</v>
      </c>
      <c r="L25" s="60">
        <v>26.98</v>
      </c>
      <c r="M25" s="60">
        <v>30.63</v>
      </c>
      <c r="N25" s="60">
        <v>5</v>
      </c>
      <c r="O25" s="60">
        <v>0</v>
      </c>
      <c r="P25" s="60">
        <v>0.96</v>
      </c>
      <c r="Q25" s="60">
        <v>10.61</v>
      </c>
      <c r="R25" s="198"/>
      <c r="S25" s="198"/>
      <c r="T25" s="198"/>
      <c r="U25" s="198"/>
    </row>
    <row r="26" spans="1:21" s="12" customFormat="1" x14ac:dyDescent="0.25">
      <c r="A26" s="201" t="s">
        <v>1611</v>
      </c>
      <c r="B26" s="60">
        <v>4.7</v>
      </c>
      <c r="C26" s="60">
        <v>47.72</v>
      </c>
      <c r="D26" s="60">
        <v>30.75</v>
      </c>
      <c r="E26" s="60">
        <v>5.37</v>
      </c>
      <c r="F26" s="60">
        <v>11.14</v>
      </c>
      <c r="G26" s="217" t="s">
        <v>34</v>
      </c>
      <c r="H26" s="60">
        <v>20.350000000000001</v>
      </c>
      <c r="I26" s="60">
        <v>0.61</v>
      </c>
      <c r="J26" s="60">
        <v>0.24</v>
      </c>
      <c r="K26" s="60">
        <v>246.73</v>
      </c>
      <c r="L26" s="60">
        <v>27.27</v>
      </c>
      <c r="M26" s="60">
        <v>29.59</v>
      </c>
      <c r="N26" s="60">
        <v>4.5</v>
      </c>
      <c r="O26" s="60">
        <v>0</v>
      </c>
      <c r="P26" s="60">
        <v>0.85</v>
      </c>
      <c r="Q26" s="60">
        <v>8.5299999999999994</v>
      </c>
      <c r="R26" s="198"/>
      <c r="S26" s="198"/>
      <c r="T26" s="198"/>
      <c r="U26" s="198"/>
    </row>
    <row r="27" spans="1:21" s="12" customFormat="1" x14ac:dyDescent="0.25">
      <c r="A27" s="201" t="s">
        <v>1612</v>
      </c>
      <c r="B27" s="60">
        <v>8.3000000000000007</v>
      </c>
      <c r="C27" s="60">
        <v>51.74</v>
      </c>
      <c r="D27" s="60">
        <v>35.86</v>
      </c>
      <c r="E27" s="60">
        <v>5.43</v>
      </c>
      <c r="F27" s="60">
        <v>9.35</v>
      </c>
      <c r="G27" s="217" t="s">
        <v>34</v>
      </c>
      <c r="H27" s="60">
        <v>20.350000000000001</v>
      </c>
      <c r="I27" s="60">
        <v>0.57999999999999996</v>
      </c>
      <c r="J27" s="60">
        <v>0.39</v>
      </c>
      <c r="K27" s="60">
        <v>9.6199999999999992</v>
      </c>
      <c r="L27" s="60">
        <v>26.49</v>
      </c>
      <c r="M27" s="60">
        <v>34.43</v>
      </c>
      <c r="N27" s="60">
        <v>5.3</v>
      </c>
      <c r="O27" s="60">
        <v>0</v>
      </c>
      <c r="P27" s="60">
        <v>0.84</v>
      </c>
      <c r="Q27" s="60">
        <v>7.96</v>
      </c>
      <c r="R27" s="198"/>
      <c r="S27" s="198"/>
      <c r="T27" s="198"/>
      <c r="U27" s="198"/>
    </row>
    <row r="28" spans="1:21" s="12" customFormat="1" x14ac:dyDescent="0.25">
      <c r="A28" s="201" t="s">
        <v>1613</v>
      </c>
      <c r="B28" s="60">
        <v>7.37</v>
      </c>
      <c r="C28" s="60">
        <v>47.08</v>
      </c>
      <c r="D28" s="60">
        <v>32.53</v>
      </c>
      <c r="E28" s="60">
        <v>3.74</v>
      </c>
      <c r="F28" s="60">
        <v>7.79</v>
      </c>
      <c r="G28" s="217" t="s">
        <v>34</v>
      </c>
      <c r="H28" s="60">
        <v>20.350000000000001</v>
      </c>
      <c r="I28" s="60">
        <v>0.55000000000000004</v>
      </c>
      <c r="J28" s="60">
        <v>0.47</v>
      </c>
      <c r="K28" s="60">
        <v>338.6</v>
      </c>
      <c r="L28" s="60">
        <v>25.77</v>
      </c>
      <c r="M28" s="60">
        <v>35.57</v>
      </c>
      <c r="N28" s="60">
        <v>4.4000000000000004</v>
      </c>
      <c r="O28" s="60">
        <v>0</v>
      </c>
      <c r="P28" s="60">
        <v>0.86</v>
      </c>
      <c r="Q28" s="60">
        <v>7.95</v>
      </c>
      <c r="R28" s="198"/>
      <c r="S28" s="198"/>
      <c r="T28" s="198"/>
      <c r="U28" s="198"/>
    </row>
    <row r="29" spans="1:21" s="12" customFormat="1" x14ac:dyDescent="0.25">
      <c r="A29" s="201" t="s">
        <v>1614</v>
      </c>
      <c r="B29" s="60">
        <v>6</v>
      </c>
      <c r="C29" s="60">
        <v>45.42</v>
      </c>
      <c r="D29" s="60">
        <v>30.52</v>
      </c>
      <c r="E29" s="60">
        <v>3.77</v>
      </c>
      <c r="F29" s="60">
        <v>9.9499999999999993</v>
      </c>
      <c r="G29" s="211" t="s">
        <v>43</v>
      </c>
      <c r="H29" s="60">
        <v>19.13</v>
      </c>
      <c r="I29" s="60">
        <v>0.55000000000000004</v>
      </c>
      <c r="J29" s="60">
        <v>0.43</v>
      </c>
      <c r="K29" s="60">
        <v>340.54</v>
      </c>
      <c r="L29" s="60">
        <v>25.81</v>
      </c>
      <c r="M29" s="60">
        <v>34.93</v>
      </c>
      <c r="N29" s="60">
        <v>4.5</v>
      </c>
      <c r="O29" s="60">
        <v>0</v>
      </c>
      <c r="P29" s="60">
        <v>0.79</v>
      </c>
      <c r="Q29" s="60">
        <v>7.43</v>
      </c>
      <c r="R29" s="198"/>
      <c r="S29" s="198"/>
      <c r="T29" s="198"/>
      <c r="U29" s="198"/>
    </row>
    <row r="30" spans="1:21" s="12" customFormat="1" x14ac:dyDescent="0.25">
      <c r="A30" s="201" t="s">
        <v>1615</v>
      </c>
      <c r="B30" s="60">
        <v>9.11</v>
      </c>
      <c r="C30" s="60">
        <v>48.23</v>
      </c>
      <c r="D30" s="60">
        <v>34.57</v>
      </c>
      <c r="E30" s="60">
        <v>5.27</v>
      </c>
      <c r="F30" s="60">
        <v>11.78</v>
      </c>
      <c r="G30" s="60">
        <v>41.88</v>
      </c>
      <c r="H30" s="60">
        <v>14.06</v>
      </c>
      <c r="I30" s="60">
        <v>0.56999999999999995</v>
      </c>
      <c r="J30" s="60">
        <v>0.2</v>
      </c>
      <c r="K30" s="60">
        <v>349.98</v>
      </c>
      <c r="L30" s="60">
        <v>25.58</v>
      </c>
      <c r="M30" s="60">
        <v>35.450000000000003</v>
      </c>
      <c r="N30" s="60">
        <v>5.3</v>
      </c>
      <c r="O30" s="60">
        <v>0</v>
      </c>
      <c r="P30" s="60">
        <v>0.72</v>
      </c>
      <c r="Q30" s="60">
        <v>6.51</v>
      </c>
      <c r="R30" s="198"/>
      <c r="S30" s="198"/>
      <c r="T30" s="198"/>
      <c r="U30" s="198"/>
    </row>
    <row r="31" spans="1:21" s="12" customFormat="1" x14ac:dyDescent="0.25">
      <c r="A31" s="201" t="s">
        <v>1616</v>
      </c>
      <c r="B31" s="60">
        <v>12.5</v>
      </c>
      <c r="C31" s="60">
        <v>53.38</v>
      </c>
      <c r="D31" s="60">
        <v>40.130000000000003</v>
      </c>
      <c r="E31" s="60">
        <v>5.81</v>
      </c>
      <c r="F31" s="60">
        <v>12.77</v>
      </c>
      <c r="G31" s="60">
        <v>41.88</v>
      </c>
      <c r="H31" s="60">
        <v>14.06</v>
      </c>
      <c r="I31" s="60">
        <v>0.55000000000000004</v>
      </c>
      <c r="J31" s="60">
        <v>0.18</v>
      </c>
      <c r="K31" s="60">
        <v>340.81</v>
      </c>
      <c r="L31" s="60">
        <v>25.53</v>
      </c>
      <c r="M31" s="60">
        <v>35.5</v>
      </c>
      <c r="N31" s="60">
        <v>7.3</v>
      </c>
      <c r="O31" s="60">
        <v>0</v>
      </c>
      <c r="P31" s="60">
        <v>0.7</v>
      </c>
      <c r="Q31" s="60">
        <v>7.93</v>
      </c>
      <c r="R31" s="198"/>
      <c r="S31" s="198"/>
      <c r="T31" s="198"/>
      <c r="U31" s="198"/>
    </row>
    <row r="32" spans="1:21" s="12" customFormat="1" x14ac:dyDescent="0.25">
      <c r="A32" s="201" t="s">
        <v>1617</v>
      </c>
      <c r="B32" s="60">
        <v>11.46</v>
      </c>
      <c r="C32" s="60">
        <v>52.25</v>
      </c>
      <c r="D32" s="60">
        <v>38.67</v>
      </c>
      <c r="E32" s="60">
        <v>4.12</v>
      </c>
      <c r="F32" s="60">
        <v>6.88</v>
      </c>
      <c r="G32" s="60">
        <v>41.88</v>
      </c>
      <c r="H32" s="60">
        <v>14.06</v>
      </c>
      <c r="I32" s="60">
        <v>0.54</v>
      </c>
      <c r="J32" s="60">
        <v>0.31</v>
      </c>
      <c r="K32" s="60">
        <v>244.85</v>
      </c>
      <c r="L32" s="60">
        <v>26.05</v>
      </c>
      <c r="M32" s="60">
        <v>34.869999999999997</v>
      </c>
      <c r="N32" s="60">
        <v>19.3</v>
      </c>
      <c r="O32" s="60">
        <v>0</v>
      </c>
      <c r="P32" s="60">
        <v>0.77</v>
      </c>
      <c r="Q32" s="60">
        <v>10.050000000000001</v>
      </c>
      <c r="R32" s="198"/>
      <c r="S32" s="198"/>
      <c r="T32" s="198"/>
      <c r="U32" s="198"/>
    </row>
    <row r="33" spans="1:21" s="12" customFormat="1" x14ac:dyDescent="0.25">
      <c r="A33" s="201" t="s">
        <v>1618</v>
      </c>
      <c r="B33" s="60">
        <v>7.28</v>
      </c>
      <c r="C33" s="60">
        <v>48.94</v>
      </c>
      <c r="D33" s="60">
        <v>33.49</v>
      </c>
      <c r="E33" s="60">
        <v>2.58</v>
      </c>
      <c r="F33" s="60">
        <v>6.95</v>
      </c>
      <c r="G33" s="60">
        <v>47.83</v>
      </c>
      <c r="H33" s="60">
        <v>14.83</v>
      </c>
      <c r="I33" s="60">
        <v>0.54</v>
      </c>
      <c r="J33" s="60">
        <v>7.0000000000000007E-2</v>
      </c>
      <c r="K33" s="60">
        <v>354.96</v>
      </c>
      <c r="L33" s="60">
        <v>25.99</v>
      </c>
      <c r="M33" s="60">
        <v>37.020000000000003</v>
      </c>
      <c r="N33" s="60">
        <v>31.4</v>
      </c>
      <c r="O33" s="60">
        <v>0</v>
      </c>
      <c r="P33" s="60">
        <v>0.78</v>
      </c>
      <c r="Q33" s="60">
        <v>11.09</v>
      </c>
      <c r="R33" s="198"/>
      <c r="S33" s="198"/>
      <c r="T33" s="198"/>
      <c r="U33" s="198"/>
    </row>
    <row r="34" spans="1:21" s="12" customFormat="1" x14ac:dyDescent="0.25">
      <c r="A34" s="201" t="s">
        <v>1619</v>
      </c>
      <c r="B34" s="60">
        <v>5.52</v>
      </c>
      <c r="C34" s="60">
        <v>48.24</v>
      </c>
      <c r="D34" s="60">
        <v>31.69</v>
      </c>
      <c r="E34" s="60">
        <v>2.27</v>
      </c>
      <c r="F34" s="60">
        <v>8.09</v>
      </c>
      <c r="G34" s="60">
        <v>83.07</v>
      </c>
      <c r="H34" s="60">
        <v>19</v>
      </c>
      <c r="I34" s="60">
        <v>0.56000000000000005</v>
      </c>
      <c r="J34" s="60">
        <v>0.09</v>
      </c>
      <c r="K34" s="60">
        <v>282.67</v>
      </c>
      <c r="L34" s="60">
        <v>25.84</v>
      </c>
      <c r="M34" s="60">
        <v>38.6</v>
      </c>
      <c r="N34" s="60">
        <v>39.5</v>
      </c>
      <c r="O34" s="60">
        <v>0</v>
      </c>
      <c r="P34" s="60">
        <v>0.76</v>
      </c>
      <c r="Q34" s="60">
        <v>11.33</v>
      </c>
      <c r="R34" s="198"/>
      <c r="S34" s="198"/>
      <c r="T34" s="198"/>
      <c r="U34" s="198"/>
    </row>
    <row r="35" spans="1:21" s="12" customFormat="1" x14ac:dyDescent="0.25">
      <c r="A35" s="201" t="s">
        <v>1620</v>
      </c>
      <c r="B35" s="60">
        <v>5.0999999999999996</v>
      </c>
      <c r="C35" s="60">
        <v>47.13</v>
      </c>
      <c r="D35" s="60">
        <v>30.75</v>
      </c>
      <c r="E35" s="60">
        <v>2.7</v>
      </c>
      <c r="F35" s="60">
        <v>6.22</v>
      </c>
      <c r="G35" s="60">
        <v>83.07</v>
      </c>
      <c r="H35" s="60">
        <v>19</v>
      </c>
      <c r="I35" s="60">
        <v>0.56000000000000005</v>
      </c>
      <c r="J35" s="60">
        <v>0.1</v>
      </c>
      <c r="K35" s="60">
        <v>269.08999999999997</v>
      </c>
      <c r="L35" s="60">
        <v>25.73</v>
      </c>
      <c r="M35" s="60">
        <v>39.6</v>
      </c>
      <c r="N35" s="60">
        <v>48.8</v>
      </c>
      <c r="O35" s="60">
        <v>0</v>
      </c>
      <c r="P35" s="60">
        <v>0.76</v>
      </c>
      <c r="Q35" s="60">
        <v>10.45</v>
      </c>
      <c r="R35" s="198"/>
      <c r="S35" s="198"/>
      <c r="T35" s="198"/>
      <c r="U35" s="198"/>
    </row>
    <row r="36" spans="1:21" s="12" customFormat="1" x14ac:dyDescent="0.25">
      <c r="A36" s="201" t="s">
        <v>1621</v>
      </c>
      <c r="B36" s="60">
        <v>5.21</v>
      </c>
      <c r="C36" s="60">
        <v>47.41</v>
      </c>
      <c r="D36" s="60">
        <v>30.99</v>
      </c>
      <c r="E36" s="60">
        <v>2.13</v>
      </c>
      <c r="F36" s="60">
        <v>5.15</v>
      </c>
      <c r="G36" s="60">
        <v>83.07</v>
      </c>
      <c r="H36" s="60">
        <v>19</v>
      </c>
      <c r="I36" s="60">
        <v>0.54</v>
      </c>
      <c r="J36" s="60">
        <v>0.04</v>
      </c>
      <c r="K36" s="60">
        <v>1.2</v>
      </c>
      <c r="L36" s="60">
        <v>25.79</v>
      </c>
      <c r="M36" s="60">
        <v>39.979999999999997</v>
      </c>
      <c r="N36" s="60">
        <v>70.5</v>
      </c>
      <c r="O36" s="60">
        <v>0</v>
      </c>
      <c r="P36" s="60">
        <v>0.77</v>
      </c>
      <c r="Q36" s="60">
        <v>8.56</v>
      </c>
      <c r="R36" s="198"/>
      <c r="S36" s="198"/>
      <c r="T36" s="198"/>
      <c r="U36" s="198"/>
    </row>
    <row r="37" spans="1:21" s="12" customFormat="1" x14ac:dyDescent="0.25">
      <c r="A37" s="201" t="s">
        <v>1622</v>
      </c>
      <c r="B37" s="60">
        <v>5.0199999999999996</v>
      </c>
      <c r="C37" s="60">
        <v>46.52</v>
      </c>
      <c r="D37" s="60">
        <v>30.34</v>
      </c>
      <c r="E37" s="60">
        <v>1.9</v>
      </c>
      <c r="F37" s="60">
        <v>6.94</v>
      </c>
      <c r="G37" s="60">
        <v>90.25</v>
      </c>
      <c r="H37" s="60">
        <v>19.440000000000001</v>
      </c>
      <c r="I37" s="60">
        <v>0.54</v>
      </c>
      <c r="J37" s="60">
        <v>0.18</v>
      </c>
      <c r="K37" s="60">
        <v>253.65</v>
      </c>
      <c r="L37" s="60">
        <v>26.11</v>
      </c>
      <c r="M37" s="60">
        <v>39.44</v>
      </c>
      <c r="N37" s="60">
        <v>120.8</v>
      </c>
      <c r="O37" s="60">
        <v>0</v>
      </c>
      <c r="P37" s="60">
        <v>0.72</v>
      </c>
      <c r="Q37" s="60">
        <v>7.26</v>
      </c>
      <c r="R37" s="198"/>
      <c r="S37" s="198"/>
      <c r="T37" s="198"/>
      <c r="U37" s="198"/>
    </row>
    <row r="38" spans="1:21" s="12" customFormat="1" x14ac:dyDescent="0.25">
      <c r="A38" s="201" t="s">
        <v>1623</v>
      </c>
      <c r="B38" s="60">
        <v>4.8499999999999996</v>
      </c>
      <c r="C38" s="60">
        <v>45.73</v>
      </c>
      <c r="D38" s="60">
        <v>29.77</v>
      </c>
      <c r="E38" s="60">
        <v>2.04</v>
      </c>
      <c r="F38" s="60">
        <v>6.05</v>
      </c>
      <c r="G38" s="60">
        <v>132.79</v>
      </c>
      <c r="H38" s="60">
        <v>21.53</v>
      </c>
      <c r="I38" s="60">
        <v>0.55000000000000004</v>
      </c>
      <c r="J38" s="60">
        <v>0.11</v>
      </c>
      <c r="K38" s="60">
        <v>264.54000000000002</v>
      </c>
      <c r="L38" s="60">
        <v>26.54</v>
      </c>
      <c r="M38" s="60">
        <v>39.119999999999997</v>
      </c>
      <c r="N38" s="60">
        <v>160.69999999999999</v>
      </c>
      <c r="O38" s="60">
        <v>0</v>
      </c>
      <c r="P38" s="60">
        <v>0.74</v>
      </c>
      <c r="Q38" s="60">
        <v>6.19</v>
      </c>
      <c r="R38" s="198"/>
      <c r="S38" s="198"/>
      <c r="T38" s="198"/>
      <c r="U38" s="198"/>
    </row>
    <row r="39" spans="1:21" s="12" customFormat="1" x14ac:dyDescent="0.25">
      <c r="A39" s="201" t="s">
        <v>1624</v>
      </c>
      <c r="B39" s="60">
        <v>8.36</v>
      </c>
      <c r="C39" s="60">
        <v>50.64</v>
      </c>
      <c r="D39" s="60">
        <v>35.29</v>
      </c>
      <c r="E39" s="60">
        <v>2.16</v>
      </c>
      <c r="F39" s="60">
        <v>7.26</v>
      </c>
      <c r="G39" s="60">
        <v>132.79</v>
      </c>
      <c r="H39" s="60">
        <v>21.53</v>
      </c>
      <c r="I39" s="60">
        <v>0.54</v>
      </c>
      <c r="J39" s="60">
        <v>0.02</v>
      </c>
      <c r="K39" s="60">
        <v>307.08999999999997</v>
      </c>
      <c r="L39" s="60">
        <v>27.06</v>
      </c>
      <c r="M39" s="60">
        <v>39.17</v>
      </c>
      <c r="N39" s="60">
        <v>152.1</v>
      </c>
      <c r="O39" s="60">
        <v>0</v>
      </c>
      <c r="P39" s="60">
        <v>0.75</v>
      </c>
      <c r="Q39" s="60">
        <v>6.03</v>
      </c>
      <c r="R39" s="198"/>
      <c r="S39" s="198"/>
      <c r="T39" s="198"/>
      <c r="U39" s="198"/>
    </row>
    <row r="40" spans="1:21" s="12" customFormat="1" x14ac:dyDescent="0.25">
      <c r="A40" s="201" t="s">
        <v>1625</v>
      </c>
      <c r="B40" s="60">
        <v>5.77</v>
      </c>
      <c r="C40" s="60">
        <v>47.66</v>
      </c>
      <c r="D40" s="60">
        <v>31.57</v>
      </c>
      <c r="E40" s="60">
        <v>1.34</v>
      </c>
      <c r="F40" s="60">
        <v>5.73</v>
      </c>
      <c r="G40" s="60">
        <v>132.79</v>
      </c>
      <c r="H40" s="60">
        <v>21.53</v>
      </c>
      <c r="I40" s="60">
        <v>0.54</v>
      </c>
      <c r="J40" s="60">
        <v>0.11</v>
      </c>
      <c r="K40" s="60">
        <v>21.26</v>
      </c>
      <c r="L40" s="60">
        <v>26.95</v>
      </c>
      <c r="M40" s="60">
        <v>39.96</v>
      </c>
      <c r="N40" s="60">
        <v>140.4</v>
      </c>
      <c r="O40" s="60">
        <v>0</v>
      </c>
      <c r="P40" s="60">
        <v>0.75</v>
      </c>
      <c r="Q40" s="60">
        <v>6.28</v>
      </c>
      <c r="R40" s="198"/>
      <c r="S40" s="198"/>
      <c r="T40" s="198"/>
      <c r="U40" s="198"/>
    </row>
    <row r="41" spans="1:21" s="12" customFormat="1" x14ac:dyDescent="0.25">
      <c r="A41" s="201" t="s">
        <v>1626</v>
      </c>
      <c r="B41" s="60">
        <v>9.58</v>
      </c>
      <c r="C41" s="60">
        <v>48.24</v>
      </c>
      <c r="D41" s="60">
        <v>34.950000000000003</v>
      </c>
      <c r="E41" s="60">
        <v>2.06</v>
      </c>
      <c r="F41" s="60">
        <v>7</v>
      </c>
      <c r="G41" s="60">
        <v>132.51</v>
      </c>
      <c r="H41" s="60">
        <v>21.55</v>
      </c>
      <c r="I41" s="60">
        <v>0.54</v>
      </c>
      <c r="J41" s="60">
        <v>0.25</v>
      </c>
      <c r="K41" s="60">
        <v>358.2</v>
      </c>
      <c r="L41" s="60">
        <v>27.85</v>
      </c>
      <c r="M41" s="60">
        <v>40.11</v>
      </c>
      <c r="N41" s="60">
        <v>173.9</v>
      </c>
      <c r="O41" s="60">
        <v>0</v>
      </c>
      <c r="P41" s="60">
        <v>0.77</v>
      </c>
      <c r="Q41" s="60">
        <v>5.97</v>
      </c>
      <c r="R41" s="198"/>
      <c r="S41" s="198"/>
      <c r="T41" s="198"/>
      <c r="U41" s="198"/>
    </row>
    <row r="42" spans="1:21" s="12" customFormat="1" x14ac:dyDescent="0.25">
      <c r="A42" s="201" t="s">
        <v>1627</v>
      </c>
      <c r="B42" s="60">
        <v>7.66</v>
      </c>
      <c r="C42" s="60">
        <v>49.45</v>
      </c>
      <c r="D42" s="60">
        <v>34.08</v>
      </c>
      <c r="E42" s="60">
        <v>2.85</v>
      </c>
      <c r="F42" s="60">
        <v>10.54</v>
      </c>
      <c r="G42" s="60">
        <v>130.84</v>
      </c>
      <c r="H42" s="60">
        <v>21.69</v>
      </c>
      <c r="I42" s="60">
        <v>0.55000000000000004</v>
      </c>
      <c r="J42" s="60">
        <v>0.23</v>
      </c>
      <c r="K42" s="60">
        <v>6.33</v>
      </c>
      <c r="L42" s="60">
        <v>28.73</v>
      </c>
      <c r="M42" s="60">
        <v>36.86</v>
      </c>
      <c r="N42" s="60">
        <v>191.4</v>
      </c>
      <c r="O42" s="60">
        <v>0</v>
      </c>
      <c r="P42" s="60">
        <v>0.78</v>
      </c>
      <c r="Q42" s="60">
        <v>5.57</v>
      </c>
      <c r="R42" s="198"/>
      <c r="S42" s="198"/>
      <c r="T42" s="198"/>
      <c r="U42" s="198"/>
    </row>
    <row r="43" spans="1:21" s="12" customFormat="1" x14ac:dyDescent="0.25">
      <c r="A43" s="201" t="s">
        <v>1628</v>
      </c>
      <c r="B43" s="60">
        <v>8.94</v>
      </c>
      <c r="C43" s="60">
        <v>52.89</v>
      </c>
      <c r="D43" s="60">
        <v>37.01</v>
      </c>
      <c r="E43" s="60">
        <v>4.59</v>
      </c>
      <c r="F43" s="60">
        <v>13.34</v>
      </c>
      <c r="G43" s="60">
        <v>130.84</v>
      </c>
      <c r="H43" s="60">
        <v>21.69</v>
      </c>
      <c r="I43" s="60">
        <v>0.53</v>
      </c>
      <c r="J43" s="60">
        <v>0.28000000000000003</v>
      </c>
      <c r="K43" s="60">
        <v>9.01</v>
      </c>
      <c r="L43" s="60">
        <v>29.63</v>
      </c>
      <c r="M43" s="60">
        <v>35.74</v>
      </c>
      <c r="N43" s="60">
        <v>247.2</v>
      </c>
      <c r="O43" s="60">
        <v>0</v>
      </c>
      <c r="P43" s="60">
        <v>0.83</v>
      </c>
      <c r="Q43" s="60">
        <v>7.61</v>
      </c>
      <c r="R43" s="198"/>
      <c r="S43" s="198"/>
      <c r="T43" s="198"/>
      <c r="U43" s="198"/>
    </row>
    <row r="44" spans="1:21" s="12" customFormat="1" x14ac:dyDescent="0.25">
      <c r="A44" s="201" t="s">
        <v>1629</v>
      </c>
      <c r="B44" s="60">
        <v>8.7899999999999991</v>
      </c>
      <c r="C44" s="60">
        <v>49.42</v>
      </c>
      <c r="D44" s="60">
        <v>34.97</v>
      </c>
      <c r="E44" s="60">
        <v>4.33</v>
      </c>
      <c r="F44" s="60">
        <v>10.9</v>
      </c>
      <c r="G44" s="60">
        <v>130.84</v>
      </c>
      <c r="H44" s="60">
        <v>21.69</v>
      </c>
      <c r="I44" s="60">
        <v>0.53</v>
      </c>
      <c r="J44" s="60">
        <v>0.77</v>
      </c>
      <c r="K44" s="60">
        <v>5.19</v>
      </c>
      <c r="L44" s="60">
        <v>31.4</v>
      </c>
      <c r="M44" s="60">
        <v>31.25</v>
      </c>
      <c r="N44" s="60">
        <v>351.8</v>
      </c>
      <c r="O44" s="60">
        <v>0</v>
      </c>
      <c r="P44" s="60">
        <v>0.81</v>
      </c>
      <c r="Q44" s="60">
        <v>10.199999999999999</v>
      </c>
      <c r="R44" s="198"/>
      <c r="S44" s="198"/>
      <c r="T44" s="198"/>
      <c r="U44" s="198"/>
    </row>
    <row r="45" spans="1:21" s="12" customFormat="1" x14ac:dyDescent="0.25">
      <c r="A45" s="201" t="s">
        <v>1630</v>
      </c>
      <c r="B45" s="60">
        <v>7.84</v>
      </c>
      <c r="C45" s="60">
        <v>49.95</v>
      </c>
      <c r="D45" s="60">
        <v>34.5</v>
      </c>
      <c r="E45" s="60">
        <v>5.23</v>
      </c>
      <c r="F45" s="60">
        <v>14.54</v>
      </c>
      <c r="G45" s="60">
        <v>121.62</v>
      </c>
      <c r="H45" s="60">
        <v>21.5</v>
      </c>
      <c r="I45" s="60">
        <v>0.53</v>
      </c>
      <c r="J45" s="60">
        <v>0.86</v>
      </c>
      <c r="K45" s="60">
        <v>15.05</v>
      </c>
      <c r="L45" s="60">
        <v>32.61</v>
      </c>
      <c r="M45" s="60">
        <v>28.29</v>
      </c>
      <c r="N45" s="60">
        <v>322.2</v>
      </c>
      <c r="O45" s="60">
        <v>0</v>
      </c>
      <c r="P45" s="60">
        <v>0.79</v>
      </c>
      <c r="Q45" s="60">
        <v>11.92</v>
      </c>
      <c r="R45" s="198"/>
      <c r="S45" s="198"/>
      <c r="T45" s="198"/>
      <c r="U45" s="198"/>
    </row>
    <row r="46" spans="1:21" s="12" customFormat="1" x14ac:dyDescent="0.25">
      <c r="A46" s="201" t="s">
        <v>1631</v>
      </c>
      <c r="B46" s="60">
        <v>7.13</v>
      </c>
      <c r="C46" s="60">
        <v>50.82</v>
      </c>
      <c r="D46" s="60">
        <v>34.42</v>
      </c>
      <c r="E46" s="60">
        <v>3.3</v>
      </c>
      <c r="F46" s="60">
        <v>5.88</v>
      </c>
      <c r="G46" s="60">
        <v>67.03</v>
      </c>
      <c r="H46" s="60">
        <v>20.6</v>
      </c>
      <c r="I46" s="60">
        <v>0.54</v>
      </c>
      <c r="J46" s="60">
        <v>1.1100000000000001</v>
      </c>
      <c r="K46" s="60">
        <v>355.38</v>
      </c>
      <c r="L46" s="60">
        <v>33</v>
      </c>
      <c r="M46" s="60">
        <v>27.11</v>
      </c>
      <c r="N46" s="60">
        <v>524.79999999999995</v>
      </c>
      <c r="O46" s="60">
        <v>0</v>
      </c>
      <c r="P46" s="60">
        <v>0.79</v>
      </c>
      <c r="Q46" s="60">
        <v>13.07</v>
      </c>
      <c r="R46" s="198"/>
      <c r="S46" s="198"/>
      <c r="T46" s="198"/>
      <c r="U46" s="198"/>
    </row>
    <row r="47" spans="1:21" s="12" customFormat="1" x14ac:dyDescent="0.25">
      <c r="A47" s="201" t="s">
        <v>1632</v>
      </c>
      <c r="B47" s="60">
        <v>5.61</v>
      </c>
      <c r="C47" s="60">
        <v>49.98</v>
      </c>
      <c r="D47" s="60">
        <v>32.729999999999997</v>
      </c>
      <c r="E47" s="60">
        <v>2.1800000000000002</v>
      </c>
      <c r="F47" s="60">
        <v>5.44</v>
      </c>
      <c r="G47" s="60">
        <v>67.03</v>
      </c>
      <c r="H47" s="60">
        <v>20.6</v>
      </c>
      <c r="I47" s="60">
        <v>0.55000000000000004</v>
      </c>
      <c r="J47" s="60">
        <v>0.88</v>
      </c>
      <c r="K47" s="60">
        <v>352.48</v>
      </c>
      <c r="L47" s="60">
        <v>34.29</v>
      </c>
      <c r="M47" s="60">
        <v>25.6</v>
      </c>
      <c r="N47" s="60">
        <v>463.9</v>
      </c>
      <c r="O47" s="60">
        <v>0</v>
      </c>
      <c r="P47" s="60">
        <v>0.77</v>
      </c>
      <c r="Q47" s="60">
        <v>11.27</v>
      </c>
      <c r="R47" s="198"/>
      <c r="S47" s="198"/>
      <c r="T47" s="198"/>
      <c r="U47" s="198"/>
    </row>
    <row r="48" spans="1:21" s="12" customFormat="1" x14ac:dyDescent="0.25">
      <c r="A48" s="201" t="s">
        <v>1633</v>
      </c>
      <c r="B48" s="60">
        <v>4.82</v>
      </c>
      <c r="C48" s="60">
        <v>51.13</v>
      </c>
      <c r="D48" s="60">
        <v>32.729999999999997</v>
      </c>
      <c r="E48" s="60">
        <v>2.85</v>
      </c>
      <c r="F48" s="60">
        <v>7.01</v>
      </c>
      <c r="G48" s="60">
        <v>67.03</v>
      </c>
      <c r="H48" s="60">
        <v>20.6</v>
      </c>
      <c r="I48" s="60">
        <v>0.6</v>
      </c>
      <c r="J48" s="60">
        <v>0.59</v>
      </c>
      <c r="K48" s="60">
        <v>0.03</v>
      </c>
      <c r="L48" s="60">
        <v>35.28</v>
      </c>
      <c r="M48" s="60">
        <v>24.13</v>
      </c>
      <c r="N48" s="60">
        <v>516.20000000000005</v>
      </c>
      <c r="O48" s="60">
        <v>0</v>
      </c>
      <c r="P48" s="60">
        <v>0.78</v>
      </c>
      <c r="Q48" s="60">
        <v>9.49</v>
      </c>
      <c r="R48" s="198"/>
      <c r="S48" s="198"/>
      <c r="T48" s="198"/>
      <c r="U48" s="198"/>
    </row>
    <row r="49" spans="1:21" s="12" customFormat="1" x14ac:dyDescent="0.25">
      <c r="A49" s="201" t="s">
        <v>1634</v>
      </c>
      <c r="B49" s="60">
        <v>4.54</v>
      </c>
      <c r="C49" s="60">
        <v>51.75</v>
      </c>
      <c r="D49" s="60">
        <v>32.85</v>
      </c>
      <c r="E49" s="60">
        <v>2.98</v>
      </c>
      <c r="F49" s="60">
        <v>7.94</v>
      </c>
      <c r="G49" s="60">
        <v>63.45</v>
      </c>
      <c r="H49" s="60">
        <v>20.89</v>
      </c>
      <c r="I49" s="60">
        <v>0.59</v>
      </c>
      <c r="J49" s="60">
        <v>0.42</v>
      </c>
      <c r="K49" s="60">
        <v>1.5</v>
      </c>
      <c r="L49" s="60">
        <v>36.15</v>
      </c>
      <c r="M49" s="60">
        <v>23.27</v>
      </c>
      <c r="N49" s="60">
        <v>747.9</v>
      </c>
      <c r="O49" s="60">
        <v>0</v>
      </c>
      <c r="P49" s="60">
        <v>0.77</v>
      </c>
      <c r="Q49" s="60">
        <v>8.07</v>
      </c>
      <c r="R49" s="198"/>
      <c r="S49" s="198"/>
      <c r="T49" s="198"/>
      <c r="U49" s="198"/>
    </row>
    <row r="50" spans="1:21" s="12" customFormat="1" x14ac:dyDescent="0.25">
      <c r="A50" s="201" t="s">
        <v>1635</v>
      </c>
      <c r="B50" s="60">
        <v>4.47</v>
      </c>
      <c r="C50" s="60">
        <v>52.55</v>
      </c>
      <c r="D50" s="60">
        <v>33.229999999999997</v>
      </c>
      <c r="E50" s="60">
        <v>3.68</v>
      </c>
      <c r="F50" s="60">
        <v>10.1</v>
      </c>
      <c r="G50" s="60">
        <v>44.01</v>
      </c>
      <c r="H50" s="60">
        <v>22.27</v>
      </c>
      <c r="I50" s="60">
        <v>0.57999999999999996</v>
      </c>
      <c r="J50" s="60">
        <v>0.88</v>
      </c>
      <c r="K50" s="60">
        <v>18.93</v>
      </c>
      <c r="L50" s="60">
        <v>37.229999999999997</v>
      </c>
      <c r="M50" s="60">
        <v>21.42</v>
      </c>
      <c r="N50" s="60">
        <v>688.5</v>
      </c>
      <c r="O50" s="60">
        <v>0</v>
      </c>
      <c r="P50" s="60">
        <v>0.79</v>
      </c>
      <c r="Q50" s="60">
        <v>7.46</v>
      </c>
      <c r="R50" s="198"/>
      <c r="S50" s="198"/>
      <c r="T50" s="198"/>
      <c r="U50" s="198"/>
    </row>
    <row r="51" spans="1:21" s="12" customFormat="1" x14ac:dyDescent="0.25">
      <c r="A51" s="201" t="s">
        <v>1636</v>
      </c>
      <c r="B51" s="60">
        <v>7.35</v>
      </c>
      <c r="C51" s="60">
        <v>53.5</v>
      </c>
      <c r="D51" s="60">
        <v>36.07</v>
      </c>
      <c r="E51" s="60">
        <v>4.58</v>
      </c>
      <c r="F51" s="60">
        <v>10.130000000000001</v>
      </c>
      <c r="G51" s="60">
        <v>44.01</v>
      </c>
      <c r="H51" s="60">
        <v>22.27</v>
      </c>
      <c r="I51" s="60">
        <v>0.55000000000000004</v>
      </c>
      <c r="J51" s="60">
        <v>0.82</v>
      </c>
      <c r="K51" s="60">
        <v>13.15</v>
      </c>
      <c r="L51" s="60">
        <v>37.81</v>
      </c>
      <c r="M51" s="60">
        <v>21.03</v>
      </c>
      <c r="N51" s="60">
        <v>781.1</v>
      </c>
      <c r="O51" s="60">
        <v>0</v>
      </c>
      <c r="P51" s="60">
        <v>0.81</v>
      </c>
      <c r="Q51" s="60">
        <v>7.03</v>
      </c>
      <c r="R51" s="198"/>
      <c r="S51" s="198"/>
      <c r="T51" s="198"/>
      <c r="U51" s="198"/>
    </row>
    <row r="52" spans="1:21" s="12" customFormat="1" x14ac:dyDescent="0.25">
      <c r="A52" s="201" t="s">
        <v>1637</v>
      </c>
      <c r="B52" s="60">
        <v>4.51</v>
      </c>
      <c r="C52" s="60">
        <v>55.35</v>
      </c>
      <c r="D52" s="60">
        <v>34.81</v>
      </c>
      <c r="E52" s="60">
        <v>2.58</v>
      </c>
      <c r="F52" s="60">
        <v>7.17</v>
      </c>
      <c r="G52" s="60">
        <v>44.01</v>
      </c>
      <c r="H52" s="60">
        <v>22.27</v>
      </c>
      <c r="I52" s="60">
        <v>0.59</v>
      </c>
      <c r="J52" s="60">
        <v>0.57999999999999996</v>
      </c>
      <c r="K52" s="60">
        <v>6.49</v>
      </c>
      <c r="L52" s="60">
        <v>38.15</v>
      </c>
      <c r="M52" s="60">
        <v>20.48</v>
      </c>
      <c r="N52" s="60">
        <v>765.2</v>
      </c>
      <c r="O52" s="60">
        <v>0</v>
      </c>
      <c r="P52" s="60">
        <v>0.8</v>
      </c>
      <c r="Q52" s="60">
        <v>7.31</v>
      </c>
      <c r="R52" s="198"/>
      <c r="S52" s="198"/>
      <c r="T52" s="198"/>
      <c r="U52" s="198"/>
    </row>
    <row r="53" spans="1:21" s="12" customFormat="1" x14ac:dyDescent="0.25">
      <c r="A53" s="201" t="s">
        <v>1638</v>
      </c>
      <c r="B53" s="60">
        <v>3.79</v>
      </c>
      <c r="C53" s="60">
        <v>55.99</v>
      </c>
      <c r="D53" s="60">
        <v>34.590000000000003</v>
      </c>
      <c r="E53" s="60">
        <v>2.2799999999999998</v>
      </c>
      <c r="F53" s="60">
        <v>7.82</v>
      </c>
      <c r="G53" s="60">
        <v>51.17</v>
      </c>
      <c r="H53" s="60">
        <v>22.25</v>
      </c>
      <c r="I53" s="60">
        <v>0.56000000000000005</v>
      </c>
      <c r="J53" s="60">
        <v>0.65</v>
      </c>
      <c r="K53" s="60">
        <v>6.68</v>
      </c>
      <c r="L53" s="60">
        <v>37.840000000000003</v>
      </c>
      <c r="M53" s="60">
        <v>20.46</v>
      </c>
      <c r="N53" s="60">
        <v>764.2</v>
      </c>
      <c r="O53" s="60">
        <v>0</v>
      </c>
      <c r="P53" s="60">
        <v>0.79</v>
      </c>
      <c r="Q53" s="60">
        <v>6.9</v>
      </c>
      <c r="R53" s="198"/>
      <c r="S53" s="198"/>
      <c r="T53" s="198"/>
      <c r="U53" s="198"/>
    </row>
    <row r="54" spans="1:21" s="12" customFormat="1" x14ac:dyDescent="0.25">
      <c r="A54" s="201" t="s">
        <v>1639</v>
      </c>
      <c r="B54" s="60">
        <v>5.13</v>
      </c>
      <c r="C54" s="60">
        <v>55.88</v>
      </c>
      <c r="D54" s="60">
        <v>35.6</v>
      </c>
      <c r="E54" s="60">
        <v>6.23</v>
      </c>
      <c r="F54" s="60">
        <v>14.77</v>
      </c>
      <c r="G54" s="60">
        <v>93.6</v>
      </c>
      <c r="H54" s="60">
        <v>22.17</v>
      </c>
      <c r="I54" s="60">
        <v>0.56999999999999995</v>
      </c>
      <c r="J54" s="60">
        <v>0.9</v>
      </c>
      <c r="K54" s="60">
        <v>11.48</v>
      </c>
      <c r="L54" s="60">
        <v>37.770000000000003</v>
      </c>
      <c r="M54" s="60">
        <v>20.67</v>
      </c>
      <c r="N54" s="60">
        <v>655</v>
      </c>
      <c r="O54" s="60">
        <v>0</v>
      </c>
      <c r="P54" s="60">
        <v>0.78</v>
      </c>
      <c r="Q54" s="60">
        <v>7.13</v>
      </c>
      <c r="R54" s="198"/>
      <c r="S54" s="198"/>
      <c r="T54" s="198"/>
      <c r="U54" s="198"/>
    </row>
    <row r="55" spans="1:21" s="12" customFormat="1" x14ac:dyDescent="0.25">
      <c r="A55" s="201" t="s">
        <v>1640</v>
      </c>
      <c r="B55" s="60">
        <v>5.0599999999999996</v>
      </c>
      <c r="C55" s="60">
        <v>53.24</v>
      </c>
      <c r="D55" s="60">
        <v>34.090000000000003</v>
      </c>
      <c r="E55" s="60">
        <v>8.15</v>
      </c>
      <c r="F55" s="60">
        <v>27.37</v>
      </c>
      <c r="G55" s="60">
        <v>93.6</v>
      </c>
      <c r="H55" s="60">
        <v>22.17</v>
      </c>
      <c r="I55" s="60">
        <v>0.57999999999999996</v>
      </c>
      <c r="J55" s="60">
        <v>0.69</v>
      </c>
      <c r="K55" s="60">
        <v>19.12</v>
      </c>
      <c r="L55" s="60">
        <v>38.520000000000003</v>
      </c>
      <c r="M55" s="60">
        <v>20.13</v>
      </c>
      <c r="N55" s="60">
        <v>751.4</v>
      </c>
      <c r="O55" s="60">
        <v>0</v>
      </c>
      <c r="P55" s="60">
        <v>0.75</v>
      </c>
      <c r="Q55" s="60">
        <v>8.91</v>
      </c>
      <c r="R55" s="198"/>
      <c r="S55" s="198"/>
      <c r="T55" s="198"/>
      <c r="U55" s="198"/>
    </row>
    <row r="56" spans="1:21" s="12" customFormat="1" x14ac:dyDescent="0.25">
      <c r="A56" s="201" t="s">
        <v>1641</v>
      </c>
      <c r="B56" s="60">
        <v>3.9</v>
      </c>
      <c r="C56" s="60">
        <v>54.83</v>
      </c>
      <c r="D56" s="60">
        <v>34.04</v>
      </c>
      <c r="E56" s="60">
        <v>1.74</v>
      </c>
      <c r="F56" s="60">
        <v>12.14</v>
      </c>
      <c r="G56" s="60">
        <v>93.6</v>
      </c>
      <c r="H56" s="60">
        <v>22.17</v>
      </c>
      <c r="I56" s="60">
        <v>0.53</v>
      </c>
      <c r="J56" s="60">
        <v>1.43</v>
      </c>
      <c r="K56" s="60">
        <v>10.19</v>
      </c>
      <c r="L56" s="60">
        <v>38.5</v>
      </c>
      <c r="M56" s="60">
        <v>19.37</v>
      </c>
      <c r="N56" s="60">
        <v>615.5</v>
      </c>
      <c r="O56" s="60">
        <v>0</v>
      </c>
      <c r="P56" s="60">
        <v>0.76</v>
      </c>
      <c r="Q56" s="60">
        <v>10.19</v>
      </c>
      <c r="R56" s="198"/>
      <c r="S56" s="198"/>
      <c r="T56" s="198"/>
      <c r="U56" s="198"/>
    </row>
    <row r="57" spans="1:21" s="12" customFormat="1" x14ac:dyDescent="0.25">
      <c r="A57" s="201" t="s">
        <v>1642</v>
      </c>
      <c r="B57" s="60">
        <v>6.58</v>
      </c>
      <c r="C57" s="60">
        <v>55.18</v>
      </c>
      <c r="D57" s="60">
        <v>36.340000000000003</v>
      </c>
      <c r="E57" s="60">
        <v>3.77</v>
      </c>
      <c r="F57" s="60">
        <v>15.58</v>
      </c>
      <c r="G57" s="60">
        <v>83.86</v>
      </c>
      <c r="H57" s="60">
        <v>22.04</v>
      </c>
      <c r="I57" s="60">
        <v>0.53</v>
      </c>
      <c r="J57" s="60">
        <v>1.42</v>
      </c>
      <c r="K57" s="60">
        <v>30.49</v>
      </c>
      <c r="L57" s="60">
        <v>38.17</v>
      </c>
      <c r="M57" s="60">
        <v>20.03</v>
      </c>
      <c r="N57" s="60">
        <v>801.2</v>
      </c>
      <c r="O57" s="60">
        <v>0</v>
      </c>
      <c r="P57" s="60">
        <v>0.72</v>
      </c>
      <c r="Q57" s="60">
        <v>10.75</v>
      </c>
      <c r="R57" s="198"/>
      <c r="S57" s="198"/>
      <c r="T57" s="198"/>
      <c r="U57" s="198"/>
    </row>
    <row r="58" spans="1:21" s="12" customFormat="1" x14ac:dyDescent="0.25">
      <c r="A58" s="201" t="s">
        <v>1643</v>
      </c>
      <c r="B58" s="60">
        <v>4.8600000000000003</v>
      </c>
      <c r="C58" s="60">
        <v>54.12</v>
      </c>
      <c r="D58" s="60">
        <v>34.409999999999997</v>
      </c>
      <c r="E58" s="60">
        <v>3.47</v>
      </c>
      <c r="F58" s="60">
        <v>11.52</v>
      </c>
      <c r="G58" s="60">
        <v>30.98</v>
      </c>
      <c r="H58" s="60">
        <v>21.41</v>
      </c>
      <c r="I58" s="60">
        <v>0.55000000000000004</v>
      </c>
      <c r="J58" s="60">
        <v>1.3</v>
      </c>
      <c r="K58" s="60">
        <v>12.8</v>
      </c>
      <c r="L58" s="60">
        <v>38.369999999999997</v>
      </c>
      <c r="M58" s="60">
        <v>18.309999999999999</v>
      </c>
      <c r="N58" s="60">
        <v>597.6</v>
      </c>
      <c r="O58" s="60">
        <v>0</v>
      </c>
      <c r="P58" s="60">
        <v>0.73</v>
      </c>
      <c r="Q58" s="60">
        <v>10.95</v>
      </c>
      <c r="R58" s="198"/>
      <c r="S58" s="198"/>
      <c r="T58" s="198"/>
      <c r="U58" s="198"/>
    </row>
    <row r="59" spans="1:21" s="12" customFormat="1" x14ac:dyDescent="0.25">
      <c r="A59" s="201" t="s">
        <v>1644</v>
      </c>
      <c r="B59" s="60">
        <v>3.45</v>
      </c>
      <c r="C59" s="60">
        <v>55.1</v>
      </c>
      <c r="D59" s="60">
        <v>33.82</v>
      </c>
      <c r="E59" s="60">
        <v>2.38</v>
      </c>
      <c r="F59" s="60">
        <v>10.56</v>
      </c>
      <c r="G59" s="60">
        <v>30.98</v>
      </c>
      <c r="H59" s="60">
        <v>21.41</v>
      </c>
      <c r="I59" s="60">
        <v>0.54</v>
      </c>
      <c r="J59" s="60">
        <v>1.62</v>
      </c>
      <c r="K59" s="60">
        <v>7.88</v>
      </c>
      <c r="L59" s="60">
        <v>38.1</v>
      </c>
      <c r="M59" s="60">
        <v>18.149999999999999</v>
      </c>
      <c r="N59" s="60">
        <v>700.4</v>
      </c>
      <c r="O59" s="60">
        <v>0</v>
      </c>
      <c r="P59" s="60">
        <v>0.69</v>
      </c>
      <c r="Q59" s="60">
        <v>10.29</v>
      </c>
      <c r="R59" s="198"/>
      <c r="S59" s="198"/>
      <c r="T59" s="198"/>
      <c r="U59" s="198"/>
    </row>
    <row r="60" spans="1:21" s="12" customFormat="1" x14ac:dyDescent="0.25">
      <c r="A60" s="201" t="s">
        <v>1645</v>
      </c>
      <c r="B60" s="60">
        <v>3.6</v>
      </c>
      <c r="C60" s="60">
        <v>53.11</v>
      </c>
      <c r="D60" s="60">
        <v>32.840000000000003</v>
      </c>
      <c r="E60" s="60">
        <v>2.27</v>
      </c>
      <c r="F60" s="60">
        <v>11.78</v>
      </c>
      <c r="G60" s="60">
        <v>30.98</v>
      </c>
      <c r="H60" s="60">
        <v>21.41</v>
      </c>
      <c r="I60" s="60">
        <v>0.56999999999999995</v>
      </c>
      <c r="J60" s="60">
        <v>1.47</v>
      </c>
      <c r="K60" s="60">
        <v>4.92</v>
      </c>
      <c r="L60" s="60">
        <v>38.69</v>
      </c>
      <c r="M60" s="60">
        <v>18.37</v>
      </c>
      <c r="N60" s="60">
        <v>752.6</v>
      </c>
      <c r="O60" s="60">
        <v>0</v>
      </c>
      <c r="P60" s="60">
        <v>0.68</v>
      </c>
      <c r="Q60" s="60">
        <v>8.51</v>
      </c>
      <c r="R60" s="198"/>
      <c r="S60" s="198"/>
      <c r="T60" s="198"/>
      <c r="U60" s="198"/>
    </row>
    <row r="61" spans="1:21" s="12" customFormat="1" x14ac:dyDescent="0.25">
      <c r="A61" s="201" t="s">
        <v>1646</v>
      </c>
      <c r="B61" s="60">
        <v>7.24</v>
      </c>
      <c r="C61" s="60">
        <v>51.3</v>
      </c>
      <c r="D61" s="60">
        <v>34.76</v>
      </c>
      <c r="E61" s="60">
        <v>3.02</v>
      </c>
      <c r="F61" s="60">
        <v>14.26</v>
      </c>
      <c r="G61" s="60">
        <v>29.25</v>
      </c>
      <c r="H61" s="60">
        <v>21.06</v>
      </c>
      <c r="I61" s="60">
        <v>0.6</v>
      </c>
      <c r="J61" s="60">
        <v>1.9</v>
      </c>
      <c r="K61" s="60">
        <v>12.53</v>
      </c>
      <c r="L61" s="60">
        <v>38.450000000000003</v>
      </c>
      <c r="M61" s="60">
        <v>17.39</v>
      </c>
      <c r="N61" s="60">
        <v>689.3</v>
      </c>
      <c r="O61" s="60">
        <v>0</v>
      </c>
      <c r="P61" s="60">
        <v>0.7</v>
      </c>
      <c r="Q61" s="60">
        <v>8.15</v>
      </c>
      <c r="R61" s="198"/>
      <c r="S61" s="198"/>
      <c r="T61" s="198"/>
      <c r="U61" s="198"/>
    </row>
    <row r="62" spans="1:21" s="12" customFormat="1" x14ac:dyDescent="0.25">
      <c r="A62" s="201" t="s">
        <v>1647</v>
      </c>
      <c r="B62" s="60">
        <v>3.61</v>
      </c>
      <c r="C62" s="60">
        <v>53.76</v>
      </c>
      <c r="D62" s="60">
        <v>33.21</v>
      </c>
      <c r="E62" s="60">
        <v>3.47</v>
      </c>
      <c r="F62" s="60">
        <v>7.08</v>
      </c>
      <c r="G62" s="211" t="s">
        <v>43</v>
      </c>
      <c r="H62" s="60">
        <v>19.62</v>
      </c>
      <c r="I62" s="60">
        <v>0.59</v>
      </c>
      <c r="J62" s="60">
        <v>1.31</v>
      </c>
      <c r="K62" s="60">
        <v>349.23</v>
      </c>
      <c r="L62" s="60">
        <v>38</v>
      </c>
      <c r="M62" s="60">
        <v>17.79</v>
      </c>
      <c r="N62" s="60">
        <v>510.6</v>
      </c>
      <c r="O62" s="60">
        <v>0</v>
      </c>
      <c r="P62" s="60">
        <v>0.73</v>
      </c>
      <c r="Q62" s="60">
        <v>7.95</v>
      </c>
      <c r="R62" s="198"/>
      <c r="S62" s="198"/>
      <c r="T62" s="198"/>
      <c r="U62" s="198"/>
    </row>
    <row r="63" spans="1:21" s="12" customFormat="1" x14ac:dyDescent="0.25">
      <c r="A63" s="201" t="s">
        <v>1648</v>
      </c>
      <c r="B63" s="60">
        <v>3.49</v>
      </c>
      <c r="C63" s="60">
        <v>52.98</v>
      </c>
      <c r="D63" s="60">
        <v>32.68</v>
      </c>
      <c r="E63" s="60">
        <v>3.14</v>
      </c>
      <c r="F63" s="60">
        <v>14.34</v>
      </c>
      <c r="G63" s="211" t="s">
        <v>43</v>
      </c>
      <c r="H63" s="60">
        <v>19.62</v>
      </c>
      <c r="I63" s="60">
        <v>0.57999999999999996</v>
      </c>
      <c r="J63" s="60">
        <v>1.25</v>
      </c>
      <c r="K63" s="60">
        <v>16.899999999999999</v>
      </c>
      <c r="L63" s="60">
        <v>37</v>
      </c>
      <c r="M63" s="60">
        <v>17.93</v>
      </c>
      <c r="N63" s="60">
        <v>370.1</v>
      </c>
      <c r="O63" s="60">
        <v>0</v>
      </c>
      <c r="P63" s="60">
        <v>0.7</v>
      </c>
      <c r="Q63" s="60">
        <v>7.02</v>
      </c>
      <c r="R63" s="198"/>
      <c r="S63" s="198"/>
      <c r="T63" s="198"/>
      <c r="U63" s="198"/>
    </row>
    <row r="64" spans="1:21" s="12" customFormat="1" x14ac:dyDescent="0.25">
      <c r="A64" s="201" t="s">
        <v>1649</v>
      </c>
      <c r="B64" s="60">
        <v>4.0199999999999996</v>
      </c>
      <c r="C64" s="60">
        <v>51.18</v>
      </c>
      <c r="D64" s="60">
        <v>32.119999999999997</v>
      </c>
      <c r="E64" s="60">
        <v>2.17</v>
      </c>
      <c r="F64" s="60">
        <v>12.28</v>
      </c>
      <c r="G64" s="211" t="s">
        <v>43</v>
      </c>
      <c r="H64" s="60">
        <v>19.62</v>
      </c>
      <c r="I64" s="60">
        <v>0.56000000000000005</v>
      </c>
      <c r="J64" s="60">
        <v>1.1499999999999999</v>
      </c>
      <c r="K64" s="60">
        <v>22.16</v>
      </c>
      <c r="L64" s="60">
        <v>37.99</v>
      </c>
      <c r="M64" s="60">
        <v>17.57</v>
      </c>
      <c r="N64" s="60">
        <v>667.6</v>
      </c>
      <c r="O64" s="60">
        <v>0</v>
      </c>
      <c r="P64" s="60">
        <v>0.69</v>
      </c>
      <c r="Q64" s="60">
        <v>6.49</v>
      </c>
      <c r="R64" s="198"/>
      <c r="S64" s="198"/>
      <c r="T64" s="198"/>
      <c r="U64" s="198"/>
    </row>
    <row r="65" spans="1:21" s="12" customFormat="1" x14ac:dyDescent="0.25">
      <c r="A65" s="201" t="s">
        <v>1650</v>
      </c>
      <c r="B65" s="60">
        <v>4.46</v>
      </c>
      <c r="C65" s="60">
        <v>51.33</v>
      </c>
      <c r="D65" s="60">
        <v>32.549999999999997</v>
      </c>
      <c r="E65" s="60">
        <v>2.06</v>
      </c>
      <c r="F65" s="60">
        <v>12.52</v>
      </c>
      <c r="G65" s="60">
        <v>21.92</v>
      </c>
      <c r="H65" s="60">
        <v>19.329999999999998</v>
      </c>
      <c r="I65" s="60">
        <v>0.52</v>
      </c>
      <c r="J65" s="60">
        <v>1.31</v>
      </c>
      <c r="K65" s="60">
        <v>15.4</v>
      </c>
      <c r="L65" s="60">
        <v>38.79</v>
      </c>
      <c r="M65" s="60">
        <v>16.22</v>
      </c>
      <c r="N65" s="60">
        <v>657</v>
      </c>
      <c r="O65" s="60">
        <v>0</v>
      </c>
      <c r="P65" s="60">
        <v>0.69</v>
      </c>
      <c r="Q65" s="60">
        <v>5.82</v>
      </c>
      <c r="R65" s="198"/>
      <c r="S65" s="198"/>
      <c r="T65" s="198"/>
      <c r="U65" s="198"/>
    </row>
    <row r="66" spans="1:21" s="12" customFormat="1" x14ac:dyDescent="0.25">
      <c r="A66" s="201" t="s">
        <v>1651</v>
      </c>
      <c r="B66" s="60">
        <v>3.2</v>
      </c>
      <c r="C66" s="60">
        <v>48.39</v>
      </c>
      <c r="D66" s="60">
        <v>29.92</v>
      </c>
      <c r="E66" s="60">
        <v>2.14</v>
      </c>
      <c r="F66" s="60">
        <v>16.510000000000002</v>
      </c>
      <c r="G66" s="60">
        <v>39.119999999999997</v>
      </c>
      <c r="H66" s="60">
        <v>18.13</v>
      </c>
      <c r="I66" s="60">
        <v>0.53</v>
      </c>
      <c r="J66" s="60">
        <v>1.48</v>
      </c>
      <c r="K66" s="60">
        <v>15.97</v>
      </c>
      <c r="L66" s="60">
        <v>38.22</v>
      </c>
      <c r="M66" s="60">
        <v>16.14</v>
      </c>
      <c r="N66" s="60">
        <v>460.3</v>
      </c>
      <c r="O66" s="60">
        <v>0</v>
      </c>
      <c r="P66" s="60">
        <v>0.65</v>
      </c>
      <c r="Q66" s="60">
        <v>6.05</v>
      </c>
      <c r="R66" s="198"/>
      <c r="S66" s="198"/>
      <c r="T66" s="198"/>
      <c r="U66" s="198"/>
    </row>
    <row r="67" spans="1:21" s="12" customFormat="1" x14ac:dyDescent="0.25">
      <c r="A67" s="201" t="s">
        <v>1652</v>
      </c>
      <c r="B67" s="60">
        <v>3.64</v>
      </c>
      <c r="C67" s="60">
        <v>44.93</v>
      </c>
      <c r="D67" s="60">
        <v>28.36</v>
      </c>
      <c r="E67" s="60">
        <v>3.24</v>
      </c>
      <c r="F67" s="60">
        <v>21.32</v>
      </c>
      <c r="G67" s="60">
        <v>39.119999999999997</v>
      </c>
      <c r="H67" s="60">
        <v>18.13</v>
      </c>
      <c r="I67" s="60">
        <v>0.57999999999999996</v>
      </c>
      <c r="J67" s="60">
        <v>0.92</v>
      </c>
      <c r="K67" s="60">
        <v>10.75</v>
      </c>
      <c r="L67" s="60">
        <v>37.42</v>
      </c>
      <c r="M67" s="60">
        <v>16.75</v>
      </c>
      <c r="N67" s="60">
        <v>307</v>
      </c>
      <c r="O67" s="60">
        <v>0</v>
      </c>
      <c r="P67" s="60">
        <v>0.61</v>
      </c>
      <c r="Q67" s="60">
        <v>6.74</v>
      </c>
      <c r="R67" s="198"/>
      <c r="S67" s="198"/>
      <c r="T67" s="198"/>
      <c r="U67" s="198"/>
    </row>
    <row r="68" spans="1:21" s="12" customFormat="1" x14ac:dyDescent="0.25">
      <c r="A68" s="201" t="s">
        <v>1653</v>
      </c>
      <c r="B68" s="60">
        <v>4.84</v>
      </c>
      <c r="C68" s="60">
        <v>49.22</v>
      </c>
      <c r="D68" s="60">
        <v>31.69</v>
      </c>
      <c r="E68" s="60">
        <v>2.2200000000000002</v>
      </c>
      <c r="F68" s="60">
        <v>19.329999999999998</v>
      </c>
      <c r="G68" s="60">
        <v>39.119999999999997</v>
      </c>
      <c r="H68" s="60">
        <v>18.13</v>
      </c>
      <c r="I68" s="60">
        <v>0.56999999999999995</v>
      </c>
      <c r="J68" s="60">
        <v>0.73</v>
      </c>
      <c r="K68" s="60">
        <v>18.440000000000001</v>
      </c>
      <c r="L68" s="60">
        <v>37.11</v>
      </c>
      <c r="M68" s="60">
        <v>16.420000000000002</v>
      </c>
      <c r="N68" s="60">
        <v>325.89999999999998</v>
      </c>
      <c r="O68" s="60">
        <v>0</v>
      </c>
      <c r="P68" s="60">
        <v>0.63</v>
      </c>
      <c r="Q68" s="60">
        <v>7.01</v>
      </c>
      <c r="R68" s="198"/>
      <c r="S68" s="198"/>
      <c r="T68" s="198"/>
      <c r="U68" s="198"/>
    </row>
    <row r="69" spans="1:21" s="12" customFormat="1" x14ac:dyDescent="0.25">
      <c r="A69" s="201" t="s">
        <v>1654</v>
      </c>
      <c r="B69" s="60">
        <v>3.25</v>
      </c>
      <c r="C69" s="60">
        <v>47.18</v>
      </c>
      <c r="D69" s="60">
        <v>29.29</v>
      </c>
      <c r="E69" s="60">
        <v>2.23</v>
      </c>
      <c r="F69" s="60">
        <v>12.34</v>
      </c>
      <c r="G69" s="60">
        <v>40.799999999999997</v>
      </c>
      <c r="H69" s="60">
        <v>17.37</v>
      </c>
      <c r="I69" s="60">
        <v>0.51</v>
      </c>
      <c r="J69" s="60">
        <v>1.64</v>
      </c>
      <c r="K69" s="60">
        <v>30.22</v>
      </c>
      <c r="L69" s="60">
        <v>36.83</v>
      </c>
      <c r="M69" s="60">
        <v>16.57</v>
      </c>
      <c r="N69" s="60">
        <v>249.6</v>
      </c>
      <c r="O69" s="60">
        <v>0</v>
      </c>
      <c r="P69" s="60">
        <v>0.63</v>
      </c>
      <c r="Q69" s="60">
        <v>7.08</v>
      </c>
      <c r="R69" s="198"/>
      <c r="S69" s="198"/>
      <c r="T69" s="198"/>
      <c r="U69" s="198"/>
    </row>
    <row r="70" spans="1:21" s="12" customFormat="1" x14ac:dyDescent="0.25">
      <c r="A70" s="201" t="s">
        <v>1655</v>
      </c>
      <c r="B70" s="60">
        <v>4.07</v>
      </c>
      <c r="C70" s="60">
        <v>45.21</v>
      </c>
      <c r="D70" s="60">
        <v>28.86</v>
      </c>
      <c r="E70" s="60">
        <v>2.54</v>
      </c>
      <c r="F70" s="60">
        <v>14.15</v>
      </c>
      <c r="G70" s="60">
        <v>49.93</v>
      </c>
      <c r="H70" s="60">
        <v>14.19</v>
      </c>
      <c r="I70" s="60">
        <v>0.55000000000000004</v>
      </c>
      <c r="J70" s="60">
        <v>0.99</v>
      </c>
      <c r="K70" s="60">
        <v>19.73</v>
      </c>
      <c r="L70" s="60">
        <v>36.07</v>
      </c>
      <c r="M70" s="60">
        <v>17.57</v>
      </c>
      <c r="N70" s="60">
        <v>218.7</v>
      </c>
      <c r="O70" s="60">
        <v>0</v>
      </c>
      <c r="P70" s="60">
        <v>0.64</v>
      </c>
      <c r="Q70" s="60">
        <v>7.16</v>
      </c>
      <c r="R70" s="198"/>
      <c r="S70" s="198"/>
      <c r="T70" s="198"/>
      <c r="U70" s="198"/>
    </row>
    <row r="71" spans="1:21" s="12" customFormat="1" x14ac:dyDescent="0.25">
      <c r="A71" s="201" t="s">
        <v>1656</v>
      </c>
      <c r="B71" s="60">
        <v>3.01</v>
      </c>
      <c r="C71" s="60">
        <v>47.04</v>
      </c>
      <c r="D71" s="60">
        <v>29.02</v>
      </c>
      <c r="E71" s="60">
        <v>1.41</v>
      </c>
      <c r="F71" s="60">
        <v>8.7799999999999994</v>
      </c>
      <c r="G71" s="60">
        <v>49.93</v>
      </c>
      <c r="H71" s="60">
        <v>14.19</v>
      </c>
      <c r="I71" s="60">
        <v>0.56000000000000005</v>
      </c>
      <c r="J71" s="60">
        <v>1.92</v>
      </c>
      <c r="K71" s="60">
        <v>27.58</v>
      </c>
      <c r="L71" s="60">
        <v>36.25</v>
      </c>
      <c r="M71" s="60">
        <v>17.32</v>
      </c>
      <c r="N71" s="60">
        <v>268</v>
      </c>
      <c r="O71" s="60">
        <v>0</v>
      </c>
      <c r="P71" s="60">
        <v>0.62</v>
      </c>
      <c r="Q71" s="60">
        <v>6.02</v>
      </c>
      <c r="R71" s="198"/>
      <c r="S71" s="198"/>
      <c r="T71" s="198"/>
      <c r="U71" s="198"/>
    </row>
    <row r="72" spans="1:21" s="12" customFormat="1" x14ac:dyDescent="0.25">
      <c r="A72" s="201" t="s">
        <v>1657</v>
      </c>
      <c r="B72" s="60">
        <v>2.88</v>
      </c>
      <c r="C72" s="60">
        <v>47.63</v>
      </c>
      <c r="D72" s="60">
        <v>29.24</v>
      </c>
      <c r="E72" s="60">
        <v>0.89</v>
      </c>
      <c r="F72" s="60">
        <v>11.9</v>
      </c>
      <c r="G72" s="60">
        <v>49.93</v>
      </c>
      <c r="H72" s="60">
        <v>14.19</v>
      </c>
      <c r="I72" s="60">
        <v>0.55000000000000004</v>
      </c>
      <c r="J72" s="60">
        <v>1.78</v>
      </c>
      <c r="K72" s="60">
        <v>21.18</v>
      </c>
      <c r="L72" s="60">
        <v>36.049999999999997</v>
      </c>
      <c r="M72" s="60">
        <v>16.920000000000002</v>
      </c>
      <c r="N72" s="60">
        <v>199.3</v>
      </c>
      <c r="O72" s="60">
        <v>0</v>
      </c>
      <c r="P72" s="60">
        <v>0.59</v>
      </c>
      <c r="Q72" s="60">
        <v>4.2300000000000004</v>
      </c>
      <c r="R72" s="198"/>
      <c r="S72" s="198"/>
      <c r="T72" s="198"/>
      <c r="U72" s="198"/>
    </row>
    <row r="73" spans="1:21" s="12" customFormat="1" x14ac:dyDescent="0.25">
      <c r="A73" s="201" t="s">
        <v>1658</v>
      </c>
      <c r="B73" s="60">
        <v>2.64</v>
      </c>
      <c r="C73" s="60">
        <v>46.37</v>
      </c>
      <c r="D73" s="60">
        <v>28.35</v>
      </c>
      <c r="E73" s="60">
        <v>1.46</v>
      </c>
      <c r="F73" s="60">
        <v>12.06</v>
      </c>
      <c r="G73" s="60">
        <v>50.14</v>
      </c>
      <c r="H73" s="60">
        <v>14.34</v>
      </c>
      <c r="I73" s="60">
        <v>0.55000000000000004</v>
      </c>
      <c r="J73" s="60">
        <v>1.82</v>
      </c>
      <c r="K73" s="60">
        <v>37</v>
      </c>
      <c r="L73" s="60">
        <v>35.65</v>
      </c>
      <c r="M73" s="60">
        <v>17.100000000000001</v>
      </c>
      <c r="N73" s="60">
        <v>171.5</v>
      </c>
      <c r="O73" s="60">
        <v>0</v>
      </c>
      <c r="P73" s="60">
        <v>0.57999999999999996</v>
      </c>
      <c r="Q73" s="60">
        <v>2.75</v>
      </c>
      <c r="R73" s="198"/>
      <c r="S73" s="198"/>
      <c r="T73" s="198"/>
      <c r="U73" s="198"/>
    </row>
    <row r="74" spans="1:21" s="12" customFormat="1" x14ac:dyDescent="0.25">
      <c r="A74" s="201" t="s">
        <v>1659</v>
      </c>
      <c r="B74" s="60">
        <v>4.55</v>
      </c>
      <c r="C74" s="60">
        <v>45.03</v>
      </c>
      <c r="D74" s="60">
        <v>29.15</v>
      </c>
      <c r="E74" s="60">
        <v>1.55</v>
      </c>
      <c r="F74" s="60">
        <v>11.98</v>
      </c>
      <c r="G74" s="60">
        <v>51.32</v>
      </c>
      <c r="H74" s="60">
        <v>15.12</v>
      </c>
      <c r="I74" s="60">
        <v>0.55000000000000004</v>
      </c>
      <c r="J74" s="60">
        <v>1.65</v>
      </c>
      <c r="K74" s="60">
        <v>39.520000000000003</v>
      </c>
      <c r="L74" s="60">
        <v>35.15</v>
      </c>
      <c r="M74" s="60">
        <v>17.25</v>
      </c>
      <c r="N74" s="60">
        <v>118.6</v>
      </c>
      <c r="O74" s="60">
        <v>0</v>
      </c>
      <c r="P74" s="60">
        <v>0.56000000000000005</v>
      </c>
      <c r="Q74" s="60">
        <v>1.28</v>
      </c>
      <c r="R74" s="198"/>
      <c r="S74" s="198"/>
      <c r="T74" s="198"/>
      <c r="U74" s="198"/>
    </row>
    <row r="75" spans="1:21" s="12" customFormat="1" x14ac:dyDescent="0.25">
      <c r="A75" s="201" t="s">
        <v>1660</v>
      </c>
      <c r="B75" s="60">
        <v>4.43</v>
      </c>
      <c r="C75" s="60">
        <v>44.31</v>
      </c>
      <c r="D75" s="60">
        <v>28.65</v>
      </c>
      <c r="E75" s="60">
        <v>1.41</v>
      </c>
      <c r="F75" s="60">
        <v>12.24</v>
      </c>
      <c r="G75" s="60">
        <v>51.32</v>
      </c>
      <c r="H75" s="60">
        <v>15.12</v>
      </c>
      <c r="I75" s="60">
        <v>0.53</v>
      </c>
      <c r="J75" s="60">
        <v>1.44</v>
      </c>
      <c r="K75" s="60">
        <v>33.61</v>
      </c>
      <c r="L75" s="60">
        <v>34.700000000000003</v>
      </c>
      <c r="M75" s="60">
        <v>17.62</v>
      </c>
      <c r="N75" s="60">
        <v>95.8</v>
      </c>
      <c r="O75" s="60">
        <v>0</v>
      </c>
      <c r="P75" s="60">
        <v>0.56000000000000005</v>
      </c>
      <c r="Q75" s="60">
        <v>0.87</v>
      </c>
      <c r="R75" s="198"/>
      <c r="S75" s="198"/>
      <c r="T75" s="198"/>
      <c r="U75" s="198"/>
    </row>
    <row r="76" spans="1:21" s="12" customFormat="1" x14ac:dyDescent="0.25">
      <c r="A76" s="201" t="s">
        <v>1661</v>
      </c>
      <c r="B76" s="60">
        <v>2.93</v>
      </c>
      <c r="C76" s="60">
        <v>44.99</v>
      </c>
      <c r="D76" s="60">
        <v>27.82</v>
      </c>
      <c r="E76" s="60">
        <v>1.26</v>
      </c>
      <c r="F76" s="60">
        <v>8.7799999999999994</v>
      </c>
      <c r="G76" s="60">
        <v>51.32</v>
      </c>
      <c r="H76" s="60">
        <v>15.12</v>
      </c>
      <c r="I76" s="60">
        <v>0.53</v>
      </c>
      <c r="J76" s="60">
        <v>1.69</v>
      </c>
      <c r="K76" s="60">
        <v>32.03</v>
      </c>
      <c r="L76" s="60">
        <v>33.97</v>
      </c>
      <c r="M76" s="60">
        <v>19.079999999999998</v>
      </c>
      <c r="N76" s="60">
        <v>66.3</v>
      </c>
      <c r="O76" s="60">
        <v>0</v>
      </c>
      <c r="P76" s="60">
        <v>0.56000000000000005</v>
      </c>
      <c r="Q76" s="60">
        <v>0.23</v>
      </c>
      <c r="R76" s="198"/>
      <c r="S76" s="198"/>
      <c r="T76" s="198"/>
      <c r="U76" s="198"/>
    </row>
    <row r="77" spans="1:21" s="12" customFormat="1" x14ac:dyDescent="0.25">
      <c r="A77" s="201" t="s">
        <v>1662</v>
      </c>
      <c r="B77" s="60">
        <v>4.0999999999999996</v>
      </c>
      <c r="C77" s="60">
        <v>42.75</v>
      </c>
      <c r="D77" s="60">
        <v>27.53</v>
      </c>
      <c r="E77" s="60">
        <v>1.49</v>
      </c>
      <c r="F77" s="60">
        <v>9.83</v>
      </c>
      <c r="G77" s="60">
        <v>45.73</v>
      </c>
      <c r="H77" s="60">
        <v>15.26</v>
      </c>
      <c r="I77" s="60">
        <v>0.54</v>
      </c>
      <c r="J77" s="60">
        <v>2.23</v>
      </c>
      <c r="K77" s="60">
        <v>17.690000000000001</v>
      </c>
      <c r="L77" s="60">
        <v>33.22</v>
      </c>
      <c r="M77" s="60">
        <v>20.059999999999999</v>
      </c>
      <c r="N77" s="60">
        <v>47.3</v>
      </c>
      <c r="O77" s="60">
        <v>0</v>
      </c>
      <c r="P77" s="60">
        <v>0.55000000000000004</v>
      </c>
      <c r="Q77" s="6" t="s">
        <v>42</v>
      </c>
      <c r="R77" s="198"/>
      <c r="S77" s="198"/>
      <c r="T77" s="198"/>
      <c r="U77" s="198"/>
    </row>
    <row r="78" spans="1:21" s="12" customFormat="1" x14ac:dyDescent="0.25">
      <c r="A78" s="201" t="s">
        <v>1663</v>
      </c>
      <c r="B78" s="60">
        <v>2.83</v>
      </c>
      <c r="C78" s="60">
        <v>45.34</v>
      </c>
      <c r="D78" s="60">
        <v>27.94</v>
      </c>
      <c r="E78" s="60">
        <v>1.27</v>
      </c>
      <c r="F78" s="60">
        <v>9.0500000000000007</v>
      </c>
      <c r="G78" s="60">
        <v>15.39</v>
      </c>
      <c r="H78" s="60">
        <v>15.82</v>
      </c>
      <c r="I78" s="60">
        <v>0.54</v>
      </c>
      <c r="J78" s="60">
        <v>2.3199999999999998</v>
      </c>
      <c r="K78" s="60">
        <v>31.86</v>
      </c>
      <c r="L78" s="60">
        <v>32.76</v>
      </c>
      <c r="M78" s="60">
        <v>20.25</v>
      </c>
      <c r="N78" s="60">
        <v>62.1</v>
      </c>
      <c r="O78" s="60">
        <v>0</v>
      </c>
      <c r="P78" s="60">
        <v>0.55000000000000004</v>
      </c>
      <c r="Q78" s="60">
        <v>0.73</v>
      </c>
      <c r="R78" s="198"/>
      <c r="S78" s="198"/>
      <c r="T78" s="198"/>
      <c r="U78" s="198"/>
    </row>
    <row r="79" spans="1:21" s="12" customFormat="1" x14ac:dyDescent="0.25">
      <c r="A79" s="201" t="s">
        <v>1664</v>
      </c>
      <c r="B79" s="60">
        <v>2.44</v>
      </c>
      <c r="C79" s="60">
        <v>45.03</v>
      </c>
      <c r="D79" s="60">
        <v>27.45</v>
      </c>
      <c r="E79" s="60">
        <v>0.95</v>
      </c>
      <c r="F79" s="60">
        <v>9.6199999999999992</v>
      </c>
      <c r="G79" s="60">
        <v>15.39</v>
      </c>
      <c r="H79" s="60">
        <v>15.82</v>
      </c>
      <c r="I79" s="60">
        <v>0.54</v>
      </c>
      <c r="J79" s="60">
        <v>2.0299999999999998</v>
      </c>
      <c r="K79" s="60">
        <v>12.64</v>
      </c>
      <c r="L79" s="60">
        <v>32.53</v>
      </c>
      <c r="M79" s="60">
        <v>19.920000000000002</v>
      </c>
      <c r="N79" s="60">
        <v>53.8</v>
      </c>
      <c r="O79" s="60">
        <v>0</v>
      </c>
      <c r="P79" s="60">
        <v>0.55000000000000004</v>
      </c>
      <c r="Q79" s="60">
        <v>1.9</v>
      </c>
      <c r="R79" s="198"/>
      <c r="S79" s="198"/>
      <c r="T79" s="198"/>
      <c r="U79" s="198"/>
    </row>
    <row r="80" spans="1:21" s="12" customFormat="1" x14ac:dyDescent="0.25">
      <c r="A80" s="201" t="s">
        <v>1665</v>
      </c>
      <c r="B80" s="60">
        <v>2.31</v>
      </c>
      <c r="C80" s="60">
        <v>44.9</v>
      </c>
      <c r="D80" s="60">
        <v>27.28</v>
      </c>
      <c r="E80" s="60">
        <v>1.25</v>
      </c>
      <c r="F80" s="60">
        <v>8.42</v>
      </c>
      <c r="G80" s="60">
        <v>15.39</v>
      </c>
      <c r="H80" s="60">
        <v>15.82</v>
      </c>
      <c r="I80" s="60">
        <v>0.53</v>
      </c>
      <c r="J80" s="60">
        <v>1.84</v>
      </c>
      <c r="K80" s="60">
        <v>4.9400000000000004</v>
      </c>
      <c r="L80" s="60">
        <v>32.06</v>
      </c>
      <c r="M80" s="60">
        <v>20.350000000000001</v>
      </c>
      <c r="N80" s="60">
        <v>29.3</v>
      </c>
      <c r="O80" s="60">
        <v>0</v>
      </c>
      <c r="P80" s="60">
        <v>0.55000000000000004</v>
      </c>
      <c r="Q80" s="60">
        <v>2.2999999999999998</v>
      </c>
      <c r="R80" s="198"/>
      <c r="S80" s="198"/>
      <c r="T80" s="198"/>
      <c r="U80" s="198"/>
    </row>
    <row r="81" spans="1:26" s="12" customFormat="1" x14ac:dyDescent="0.25">
      <c r="A81" s="201" t="s">
        <v>1666</v>
      </c>
      <c r="B81" s="60">
        <v>3.85</v>
      </c>
      <c r="C81" s="60">
        <v>45.96</v>
      </c>
      <c r="D81" s="60">
        <v>29.1</v>
      </c>
      <c r="E81" s="60">
        <v>1.03</v>
      </c>
      <c r="F81" s="60">
        <v>8.61</v>
      </c>
      <c r="G81" s="60">
        <v>17.53</v>
      </c>
      <c r="H81" s="60">
        <v>15.64</v>
      </c>
      <c r="I81" s="60">
        <v>0.53</v>
      </c>
      <c r="J81" s="60">
        <v>1.42</v>
      </c>
      <c r="K81" s="60">
        <v>2.77</v>
      </c>
      <c r="L81" s="60">
        <v>31.56</v>
      </c>
      <c r="M81" s="60">
        <v>20.85</v>
      </c>
      <c r="N81" s="60">
        <v>10.8</v>
      </c>
      <c r="O81" s="60">
        <v>0</v>
      </c>
      <c r="P81" s="60">
        <v>0.56000000000000005</v>
      </c>
      <c r="Q81" s="60">
        <v>2.2400000000000002</v>
      </c>
      <c r="R81" s="198"/>
      <c r="S81" s="198"/>
      <c r="T81" s="198"/>
      <c r="U81" s="198"/>
    </row>
    <row r="82" spans="1:26" s="12" customFormat="1" x14ac:dyDescent="0.25">
      <c r="A82" s="201" t="s">
        <v>1667</v>
      </c>
      <c r="B82" s="60">
        <v>3.6</v>
      </c>
      <c r="C82" s="60">
        <v>45.94</v>
      </c>
      <c r="D82" s="60">
        <v>28.89</v>
      </c>
      <c r="E82" s="60">
        <v>1.49</v>
      </c>
      <c r="F82" s="60">
        <v>8.49</v>
      </c>
      <c r="G82" s="60">
        <v>30.14</v>
      </c>
      <c r="H82" s="60">
        <v>14.88</v>
      </c>
      <c r="I82" s="60">
        <v>0.54</v>
      </c>
      <c r="J82" s="60">
        <v>1.69</v>
      </c>
      <c r="K82" s="60">
        <v>25.3</v>
      </c>
      <c r="L82" s="60">
        <v>31.15</v>
      </c>
      <c r="M82" s="60">
        <v>21.59</v>
      </c>
      <c r="N82" s="60">
        <v>5.4</v>
      </c>
      <c r="O82" s="60">
        <v>0</v>
      </c>
      <c r="P82" s="60">
        <v>0.56000000000000005</v>
      </c>
      <c r="Q82" s="60">
        <v>1.91</v>
      </c>
      <c r="R82" s="198"/>
      <c r="S82" s="198"/>
      <c r="T82" s="198"/>
      <c r="U82" s="198"/>
    </row>
    <row r="83" spans="1:26" s="12" customFormat="1" x14ac:dyDescent="0.25">
      <c r="A83" s="201" t="s">
        <v>1668</v>
      </c>
      <c r="B83" s="60">
        <v>3.52</v>
      </c>
      <c r="C83" s="60">
        <v>45.48</v>
      </c>
      <c r="D83" s="60">
        <v>28.56</v>
      </c>
      <c r="E83" s="60">
        <v>1.34</v>
      </c>
      <c r="F83" s="60">
        <v>8.25</v>
      </c>
      <c r="G83" s="60">
        <v>30.14</v>
      </c>
      <c r="H83" s="60">
        <v>14.88</v>
      </c>
      <c r="I83" s="60">
        <v>0.54</v>
      </c>
      <c r="J83" s="60">
        <v>1.49</v>
      </c>
      <c r="K83" s="60">
        <v>15.1</v>
      </c>
      <c r="L83" s="60">
        <v>30.75</v>
      </c>
      <c r="M83" s="60">
        <v>22.78</v>
      </c>
      <c r="N83" s="60">
        <v>4.9000000000000004</v>
      </c>
      <c r="O83" s="60">
        <v>0</v>
      </c>
      <c r="P83" s="60">
        <v>0.57999999999999996</v>
      </c>
      <c r="Q83" s="60">
        <v>0.63</v>
      </c>
      <c r="R83" s="198"/>
      <c r="S83" s="198"/>
      <c r="T83" s="198"/>
      <c r="U83" s="198"/>
    </row>
    <row r="84" spans="1:26" s="12" customFormat="1" x14ac:dyDescent="0.25">
      <c r="A84" s="201" t="s">
        <v>1669</v>
      </c>
      <c r="B84" s="60">
        <v>3.91</v>
      </c>
      <c r="C84" s="60">
        <v>46.04</v>
      </c>
      <c r="D84" s="60">
        <v>29.18</v>
      </c>
      <c r="E84" s="60">
        <v>1.25</v>
      </c>
      <c r="F84" s="60">
        <v>8.42</v>
      </c>
      <c r="G84" s="60">
        <v>30.14</v>
      </c>
      <c r="H84" s="60">
        <v>14.88</v>
      </c>
      <c r="I84" s="60">
        <v>0.51</v>
      </c>
      <c r="J84" s="60">
        <v>1.3</v>
      </c>
      <c r="K84" s="60">
        <v>22.03</v>
      </c>
      <c r="L84" s="60">
        <v>30.34</v>
      </c>
      <c r="M84" s="60">
        <v>23.89</v>
      </c>
      <c r="N84" s="60">
        <v>4.8</v>
      </c>
      <c r="O84" s="60">
        <v>0</v>
      </c>
      <c r="P84" s="60">
        <v>0.6</v>
      </c>
      <c r="Q84" s="215" t="s">
        <v>42</v>
      </c>
      <c r="R84" s="198"/>
      <c r="S84" s="198"/>
      <c r="T84" s="198"/>
      <c r="U84" s="198"/>
    </row>
    <row r="85" spans="1:26" s="12" customFormat="1" x14ac:dyDescent="0.25">
      <c r="A85" s="201" t="s">
        <v>1670</v>
      </c>
      <c r="B85" s="60">
        <v>3.9</v>
      </c>
      <c r="C85" s="60">
        <v>46.83</v>
      </c>
      <c r="D85" s="60">
        <v>29.62</v>
      </c>
      <c r="E85" s="60">
        <v>1.3</v>
      </c>
      <c r="F85" s="60">
        <v>6.93</v>
      </c>
      <c r="G85" s="60">
        <v>30.65</v>
      </c>
      <c r="H85" s="60">
        <v>14.78</v>
      </c>
      <c r="I85" s="60">
        <v>0.5</v>
      </c>
      <c r="J85" s="60">
        <v>1.61</v>
      </c>
      <c r="K85" s="60">
        <v>34.76</v>
      </c>
      <c r="L85" s="60">
        <v>30.05</v>
      </c>
      <c r="M85" s="60">
        <v>24.44</v>
      </c>
      <c r="N85" s="60">
        <v>4.5</v>
      </c>
      <c r="O85" s="60">
        <v>0</v>
      </c>
      <c r="P85" s="60">
        <v>0.59</v>
      </c>
      <c r="Q85" s="215" t="s">
        <v>42</v>
      </c>
      <c r="R85" s="198"/>
      <c r="S85" s="198"/>
      <c r="T85" s="198"/>
      <c r="U85" s="198"/>
    </row>
    <row r="86" spans="1:26" s="12" customFormat="1" x14ac:dyDescent="0.25">
      <c r="A86" s="201" t="s">
        <v>1671</v>
      </c>
      <c r="B86" s="60">
        <v>3.87</v>
      </c>
      <c r="C86" s="60">
        <v>46.92</v>
      </c>
      <c r="D86" s="60">
        <v>29.64</v>
      </c>
      <c r="E86" s="60">
        <v>1</v>
      </c>
      <c r="F86" s="60">
        <v>7.28</v>
      </c>
      <c r="G86" s="60">
        <v>33.619999999999997</v>
      </c>
      <c r="H86" s="60">
        <v>14.38</v>
      </c>
      <c r="I86" s="60">
        <v>0.53</v>
      </c>
      <c r="J86" s="60">
        <v>1.96</v>
      </c>
      <c r="K86" s="60">
        <v>22.57</v>
      </c>
      <c r="L86" s="60">
        <v>29.89</v>
      </c>
      <c r="M86" s="60">
        <v>24.37</v>
      </c>
      <c r="N86" s="60">
        <v>4.5</v>
      </c>
      <c r="O86" s="60">
        <v>0</v>
      </c>
      <c r="P86" s="60">
        <v>0.64</v>
      </c>
      <c r="Q86" s="215" t="s">
        <v>42</v>
      </c>
      <c r="R86" s="198"/>
      <c r="S86" s="198"/>
      <c r="T86" s="198"/>
      <c r="U86" s="198"/>
    </row>
    <row r="87" spans="1:26" s="12" customFormat="1" x14ac:dyDescent="0.25">
      <c r="A87" s="201" t="s">
        <v>1672</v>
      </c>
      <c r="B87" s="60">
        <v>3.41</v>
      </c>
      <c r="C87" s="60">
        <v>46.6</v>
      </c>
      <c r="D87" s="60">
        <v>29.1</v>
      </c>
      <c r="E87" s="60">
        <v>0.92</v>
      </c>
      <c r="F87" s="60">
        <v>7.16</v>
      </c>
      <c r="G87" s="60">
        <v>33.619999999999997</v>
      </c>
      <c r="H87" s="60">
        <v>14.38</v>
      </c>
      <c r="I87" s="60">
        <v>0.53</v>
      </c>
      <c r="J87" s="60">
        <v>1.83</v>
      </c>
      <c r="K87" s="60">
        <v>25.92</v>
      </c>
      <c r="L87" s="60">
        <v>29.68</v>
      </c>
      <c r="M87" s="60">
        <v>24.16</v>
      </c>
      <c r="N87" s="60">
        <v>4.7</v>
      </c>
      <c r="O87" s="60">
        <v>0</v>
      </c>
      <c r="P87" s="60">
        <v>0.64</v>
      </c>
      <c r="Q87" s="215" t="s">
        <v>42</v>
      </c>
      <c r="R87" s="198"/>
      <c r="S87" s="198"/>
      <c r="T87" s="198"/>
      <c r="U87" s="198"/>
    </row>
    <row r="88" spans="1:26" s="12" customFormat="1" x14ac:dyDescent="0.25">
      <c r="A88" s="201" t="s">
        <v>1673</v>
      </c>
      <c r="B88" s="60">
        <v>3.41</v>
      </c>
      <c r="C88" s="60">
        <v>45.58</v>
      </c>
      <c r="D88" s="60">
        <v>28.53</v>
      </c>
      <c r="E88" s="60">
        <v>0.2</v>
      </c>
      <c r="F88" s="60">
        <v>7.88</v>
      </c>
      <c r="G88" s="60">
        <v>33.619999999999997</v>
      </c>
      <c r="H88" s="60">
        <v>14.38</v>
      </c>
      <c r="I88" s="60">
        <v>0.54</v>
      </c>
      <c r="J88" s="60">
        <v>1.91</v>
      </c>
      <c r="K88" s="60">
        <v>18.54</v>
      </c>
      <c r="L88" s="60">
        <v>29.52</v>
      </c>
      <c r="M88" s="60">
        <v>24.34</v>
      </c>
      <c r="N88" s="60">
        <v>4.7</v>
      </c>
      <c r="O88" s="60">
        <v>0</v>
      </c>
      <c r="P88" s="60">
        <v>0.65</v>
      </c>
      <c r="Q88" s="215" t="s">
        <v>42</v>
      </c>
      <c r="R88" s="198"/>
      <c r="S88" s="198"/>
      <c r="T88" s="198"/>
      <c r="U88" s="198"/>
    </row>
    <row r="89" spans="1:26" s="12" customFormat="1" x14ac:dyDescent="0.25">
      <c r="A89" s="201" t="s">
        <v>1674</v>
      </c>
      <c r="B89" s="60">
        <v>3.12</v>
      </c>
      <c r="C89" s="60">
        <v>45.1</v>
      </c>
      <c r="D89" s="60">
        <v>28.04</v>
      </c>
      <c r="E89" s="60">
        <v>0.84</v>
      </c>
      <c r="F89" s="60">
        <v>7.76</v>
      </c>
      <c r="G89" s="60">
        <v>37</v>
      </c>
      <c r="H89" s="60">
        <v>14.12</v>
      </c>
      <c r="I89" s="60">
        <v>0.53</v>
      </c>
      <c r="J89" s="60">
        <v>1.36</v>
      </c>
      <c r="K89" s="60">
        <v>7.79</v>
      </c>
      <c r="L89" s="60">
        <v>29.36</v>
      </c>
      <c r="M89" s="60">
        <v>25.09</v>
      </c>
      <c r="N89" s="60">
        <v>4.9000000000000004</v>
      </c>
      <c r="O89" s="60">
        <v>0</v>
      </c>
      <c r="P89" s="60">
        <v>0.65</v>
      </c>
      <c r="Q89" s="215" t="s">
        <v>42</v>
      </c>
      <c r="R89" s="198"/>
      <c r="S89" s="198"/>
      <c r="T89" s="198"/>
      <c r="U89" s="198"/>
    </row>
    <row r="90" spans="1:26" s="12" customFormat="1" x14ac:dyDescent="0.25">
      <c r="A90" s="201" t="s">
        <v>1675</v>
      </c>
      <c r="B90" s="60">
        <v>3.25</v>
      </c>
      <c r="C90" s="60">
        <v>44.9</v>
      </c>
      <c r="D90" s="60">
        <v>28.04</v>
      </c>
      <c r="E90" s="60">
        <v>0.65</v>
      </c>
      <c r="F90" s="60">
        <v>6.58</v>
      </c>
      <c r="G90" s="60">
        <v>55.3</v>
      </c>
      <c r="H90" s="60">
        <v>12.75</v>
      </c>
      <c r="I90" s="60">
        <v>0.53</v>
      </c>
      <c r="J90" s="60">
        <v>1.55</v>
      </c>
      <c r="K90" s="60">
        <v>15.12</v>
      </c>
      <c r="L90" s="60">
        <v>29.25</v>
      </c>
      <c r="M90" s="60">
        <v>24.98</v>
      </c>
      <c r="N90" s="60">
        <v>4.7</v>
      </c>
      <c r="O90" s="60">
        <v>0</v>
      </c>
      <c r="P90" s="60">
        <v>0.65</v>
      </c>
      <c r="Q90" s="215" t="s">
        <v>42</v>
      </c>
      <c r="R90" s="198"/>
      <c r="S90" s="198"/>
      <c r="T90" s="198"/>
      <c r="U90" s="198"/>
    </row>
    <row r="91" spans="1:26" s="12" customFormat="1" x14ac:dyDescent="0.25">
      <c r="A91" s="201" t="s">
        <v>1676</v>
      </c>
      <c r="B91" s="60">
        <v>4.2699999999999996</v>
      </c>
      <c r="C91" s="60">
        <v>45.59</v>
      </c>
      <c r="D91" s="60">
        <v>29.23</v>
      </c>
      <c r="E91" s="60">
        <v>0.61</v>
      </c>
      <c r="F91" s="60">
        <v>6.19</v>
      </c>
      <c r="G91" s="60">
        <v>55.3</v>
      </c>
      <c r="H91" s="60">
        <v>12.75</v>
      </c>
      <c r="I91" s="60">
        <v>0.5</v>
      </c>
      <c r="J91" s="60">
        <v>1.58</v>
      </c>
      <c r="K91" s="60">
        <v>25.41</v>
      </c>
      <c r="L91" s="60">
        <v>29.09</v>
      </c>
      <c r="M91" s="60">
        <v>24.85</v>
      </c>
      <c r="N91" s="60">
        <v>4.9000000000000004</v>
      </c>
      <c r="O91" s="60">
        <v>0</v>
      </c>
      <c r="P91" s="60">
        <v>0.65</v>
      </c>
      <c r="Q91" s="215" t="s">
        <v>42</v>
      </c>
      <c r="R91" s="198"/>
      <c r="S91" s="198"/>
      <c r="T91" s="198"/>
      <c r="U91" s="198"/>
    </row>
    <row r="92" spans="1:26" s="12" customFormat="1" x14ac:dyDescent="0.25">
      <c r="A92" s="201" t="s">
        <v>1677</v>
      </c>
      <c r="B92" s="60">
        <v>3.71</v>
      </c>
      <c r="C92" s="60">
        <v>46.16</v>
      </c>
      <c r="D92" s="60">
        <v>29.1</v>
      </c>
      <c r="E92" s="60">
        <v>0.89</v>
      </c>
      <c r="F92" s="60">
        <v>6.64</v>
      </c>
      <c r="G92" s="60">
        <v>55.3</v>
      </c>
      <c r="H92" s="60">
        <v>12.75</v>
      </c>
      <c r="I92" s="60">
        <v>0.52</v>
      </c>
      <c r="J92" s="60">
        <v>1.73</v>
      </c>
      <c r="K92" s="60">
        <v>37.31</v>
      </c>
      <c r="L92" s="60">
        <v>28.89</v>
      </c>
      <c r="M92" s="60">
        <v>25.18</v>
      </c>
      <c r="N92" s="60">
        <v>5</v>
      </c>
      <c r="O92" s="60">
        <v>0</v>
      </c>
      <c r="P92" s="60">
        <v>0.66</v>
      </c>
      <c r="Q92" s="60">
        <v>0.47</v>
      </c>
      <c r="R92" s="198"/>
      <c r="S92" s="198"/>
      <c r="T92" s="198"/>
      <c r="U92" s="198"/>
    </row>
    <row r="93" spans="1:26" s="12" customFormat="1" x14ac:dyDescent="0.25">
      <c r="A93" s="201" t="s">
        <v>1678</v>
      </c>
      <c r="B93" s="60">
        <v>5.18</v>
      </c>
      <c r="C93" s="60">
        <v>45.18</v>
      </c>
      <c r="D93" s="60">
        <v>29.74</v>
      </c>
      <c r="E93" s="60">
        <v>1.01</v>
      </c>
      <c r="F93" s="60">
        <v>7.79</v>
      </c>
      <c r="G93" s="60">
        <v>55.79</v>
      </c>
      <c r="H93" s="60">
        <v>13.09</v>
      </c>
      <c r="I93" s="60">
        <v>0.55000000000000004</v>
      </c>
      <c r="J93" s="60">
        <v>1.41</v>
      </c>
      <c r="K93" s="60">
        <v>34.26</v>
      </c>
      <c r="L93" s="60">
        <v>28.67</v>
      </c>
      <c r="M93" s="60">
        <v>25.85</v>
      </c>
      <c r="N93" s="60">
        <v>5.0999999999999996</v>
      </c>
      <c r="O93" s="60">
        <v>0</v>
      </c>
      <c r="P93" s="60">
        <v>0.68</v>
      </c>
      <c r="Q93" s="60">
        <v>1</v>
      </c>
      <c r="R93" s="198"/>
      <c r="S93" s="198"/>
      <c r="T93" s="198"/>
      <c r="U93" s="198"/>
    </row>
    <row r="94" spans="1:26" s="12" customFormat="1" x14ac:dyDescent="0.25">
      <c r="A94" s="201" t="s">
        <v>1679</v>
      </c>
      <c r="B94" s="60">
        <v>5.36</v>
      </c>
      <c r="C94" s="60">
        <v>45.68</v>
      </c>
      <c r="D94" s="60">
        <v>30.16</v>
      </c>
      <c r="E94" s="60">
        <v>1.26</v>
      </c>
      <c r="F94" s="60">
        <v>8.84</v>
      </c>
      <c r="G94" s="60">
        <v>58.47</v>
      </c>
      <c r="H94" s="60">
        <v>14.52</v>
      </c>
      <c r="I94" s="60">
        <v>0.55000000000000004</v>
      </c>
      <c r="J94" s="60">
        <v>1.47</v>
      </c>
      <c r="K94" s="60">
        <v>32.36</v>
      </c>
      <c r="L94" s="60">
        <v>28.51</v>
      </c>
      <c r="M94" s="60">
        <v>25.58</v>
      </c>
      <c r="N94" s="60">
        <v>4.8</v>
      </c>
      <c r="O94" s="60">
        <v>0</v>
      </c>
      <c r="P94" s="60">
        <v>0.68</v>
      </c>
      <c r="Q94" s="60">
        <v>0.7</v>
      </c>
      <c r="R94" s="198"/>
      <c r="S94" s="198"/>
      <c r="T94" s="198"/>
      <c r="U94" s="198"/>
    </row>
    <row r="95" spans="1:26" s="12" customFormat="1" x14ac:dyDescent="0.25">
      <c r="A95" s="201" t="s">
        <v>1680</v>
      </c>
      <c r="B95" s="60">
        <v>4.4400000000000004</v>
      </c>
      <c r="C95" s="60">
        <v>45.97</v>
      </c>
      <c r="D95" s="60">
        <v>29.58</v>
      </c>
      <c r="E95" s="60">
        <v>1.72</v>
      </c>
      <c r="F95" s="60">
        <v>7.95</v>
      </c>
      <c r="G95" s="60">
        <v>58.47</v>
      </c>
      <c r="H95" s="60">
        <v>14.52</v>
      </c>
      <c r="I95" s="60">
        <v>0.54</v>
      </c>
      <c r="J95" s="60">
        <v>1.51</v>
      </c>
      <c r="K95" s="60">
        <v>40.01</v>
      </c>
      <c r="L95" s="60">
        <v>28.43</v>
      </c>
      <c r="M95" s="60">
        <v>26.06</v>
      </c>
      <c r="N95" s="60">
        <v>4.8</v>
      </c>
      <c r="O95" s="60">
        <v>0</v>
      </c>
      <c r="P95" s="60">
        <v>0.71</v>
      </c>
      <c r="Q95" s="215" t="s">
        <v>42</v>
      </c>
      <c r="R95" s="198"/>
      <c r="S95" s="198"/>
      <c r="T95" s="198"/>
      <c r="U95" s="198"/>
    </row>
    <row r="96" spans="1:26" s="12" customFormat="1" x14ac:dyDescent="0.25">
      <c r="A96" s="201" t="s">
        <v>1681</v>
      </c>
      <c r="B96" s="60">
        <v>5.0999999999999996</v>
      </c>
      <c r="C96" s="60">
        <v>45.91</v>
      </c>
      <c r="D96" s="60">
        <v>30.08</v>
      </c>
      <c r="E96" s="60">
        <v>2.15</v>
      </c>
      <c r="F96" s="60">
        <v>7.38</v>
      </c>
      <c r="G96" s="60">
        <v>58.47</v>
      </c>
      <c r="H96" s="60">
        <v>14.52</v>
      </c>
      <c r="I96" s="60">
        <v>0.54</v>
      </c>
      <c r="J96" s="60">
        <v>1.25</v>
      </c>
      <c r="K96" s="60">
        <v>42.33</v>
      </c>
      <c r="L96" s="60">
        <v>28.3</v>
      </c>
      <c r="M96" s="60">
        <v>26.34</v>
      </c>
      <c r="N96" s="60">
        <v>4.9000000000000004</v>
      </c>
      <c r="O96" s="60">
        <v>0</v>
      </c>
      <c r="P96" s="60">
        <v>0.71</v>
      </c>
      <c r="Q96" s="215" t="s">
        <v>42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1682</v>
      </c>
      <c r="B97" s="60">
        <v>7.71</v>
      </c>
      <c r="C97" s="60">
        <v>47.94</v>
      </c>
      <c r="D97" s="60">
        <v>33.29</v>
      </c>
      <c r="E97" s="60">
        <v>3.59</v>
      </c>
      <c r="F97" s="60">
        <v>10.53</v>
      </c>
      <c r="G97" s="60">
        <v>58.73</v>
      </c>
      <c r="H97" s="60">
        <v>14.51</v>
      </c>
      <c r="I97" s="60">
        <v>0.53</v>
      </c>
      <c r="J97" s="60">
        <v>0.91</v>
      </c>
      <c r="K97" s="60">
        <v>35.53</v>
      </c>
      <c r="L97" s="60">
        <v>27.87</v>
      </c>
      <c r="M97" s="60">
        <v>27.27</v>
      </c>
      <c r="N97" s="60">
        <v>5</v>
      </c>
      <c r="O97" s="60">
        <v>0</v>
      </c>
      <c r="P97" s="60">
        <v>0.73</v>
      </c>
      <c r="Q97" s="215" t="s">
        <v>42</v>
      </c>
      <c r="R97" s="198"/>
      <c r="S97" s="198"/>
      <c r="T97" s="198"/>
      <c r="U97" s="198"/>
    </row>
    <row r="98" spans="1:33" s="12" customFormat="1" x14ac:dyDescent="0.25">
      <c r="A98" s="201" t="s">
        <v>1683</v>
      </c>
      <c r="B98" s="60">
        <v>9.15</v>
      </c>
      <c r="C98" s="60">
        <v>47.1</v>
      </c>
      <c r="D98" s="60">
        <v>33.979999999999997</v>
      </c>
      <c r="E98" s="60">
        <v>7.91</v>
      </c>
      <c r="F98" s="60">
        <v>13.93</v>
      </c>
      <c r="G98" s="60">
        <v>60.15</v>
      </c>
      <c r="H98" s="60">
        <v>14.48</v>
      </c>
      <c r="I98" s="60">
        <v>0.53</v>
      </c>
      <c r="J98" s="60">
        <v>0.4</v>
      </c>
      <c r="K98" s="60">
        <v>16.309999999999999</v>
      </c>
      <c r="L98" s="60">
        <v>27.29</v>
      </c>
      <c r="M98" s="60">
        <v>28.58</v>
      </c>
      <c r="N98" s="60">
        <v>5</v>
      </c>
      <c r="O98" s="60">
        <v>0</v>
      </c>
      <c r="P98" s="60">
        <v>0.77</v>
      </c>
      <c r="Q98" s="215" t="s">
        <v>42</v>
      </c>
      <c r="R98" s="198"/>
      <c r="S98" s="198"/>
      <c r="T98" s="198"/>
      <c r="U98" s="198"/>
    </row>
    <row r="99" spans="1:33" s="12" customFormat="1" x14ac:dyDescent="0.25">
      <c r="A99" s="201" t="s">
        <v>1684</v>
      </c>
      <c r="B99" s="60">
        <v>10.199999999999999</v>
      </c>
      <c r="C99" s="60">
        <v>48.95</v>
      </c>
      <c r="D99" s="60">
        <v>35.840000000000003</v>
      </c>
      <c r="E99" s="60">
        <v>10.35</v>
      </c>
      <c r="F99" s="60">
        <v>10.41</v>
      </c>
      <c r="G99" s="60">
        <v>60.15</v>
      </c>
      <c r="H99" s="60">
        <v>14.48</v>
      </c>
      <c r="I99" s="60">
        <v>0.53</v>
      </c>
      <c r="J99" s="60">
        <v>0.56000000000000005</v>
      </c>
      <c r="K99" s="60">
        <v>17.059999999999999</v>
      </c>
      <c r="L99" s="60">
        <v>26.89</v>
      </c>
      <c r="M99" s="60">
        <v>29.54</v>
      </c>
      <c r="N99" s="60">
        <v>4.5999999999999996</v>
      </c>
      <c r="O99" s="60">
        <v>0</v>
      </c>
      <c r="P99" s="60">
        <v>0.78</v>
      </c>
      <c r="Q99" s="215" t="s">
        <v>42</v>
      </c>
      <c r="R99" s="198"/>
      <c r="S99" s="198"/>
      <c r="T99" s="198"/>
      <c r="U99" s="198"/>
    </row>
    <row r="100" spans="1:33" s="12" customFormat="1" x14ac:dyDescent="0.25">
      <c r="A100" s="201" t="s">
        <v>1685</v>
      </c>
      <c r="B100" s="60">
        <v>11.73</v>
      </c>
      <c r="C100" s="60">
        <v>50.16</v>
      </c>
      <c r="D100" s="60">
        <v>37.729999999999997</v>
      </c>
      <c r="E100" s="60">
        <v>15.9</v>
      </c>
      <c r="F100" s="60">
        <v>12.07</v>
      </c>
      <c r="G100" s="60">
        <v>60.15</v>
      </c>
      <c r="H100" s="60">
        <v>14.48</v>
      </c>
      <c r="I100" s="60">
        <v>0.53</v>
      </c>
      <c r="J100" s="60">
        <v>0.5</v>
      </c>
      <c r="K100" s="60">
        <v>25.73</v>
      </c>
      <c r="L100" s="60">
        <v>26.72</v>
      </c>
      <c r="M100" s="60">
        <v>29.83</v>
      </c>
      <c r="N100" s="60">
        <v>4.5999999999999996</v>
      </c>
      <c r="O100" s="60">
        <v>0</v>
      </c>
      <c r="P100" s="60">
        <v>0.82</v>
      </c>
      <c r="Q100" s="215" t="s">
        <v>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1686</v>
      </c>
      <c r="B101" s="60">
        <v>12.24</v>
      </c>
      <c r="C101" s="60">
        <v>50.64</v>
      </c>
      <c r="D101" s="60">
        <v>38.409999999999997</v>
      </c>
      <c r="E101" s="60">
        <v>13.17</v>
      </c>
      <c r="F101" s="60">
        <v>13.68</v>
      </c>
      <c r="G101" s="60">
        <v>60.87</v>
      </c>
      <c r="H101" s="60">
        <v>15.64</v>
      </c>
      <c r="I101" s="60">
        <v>0.51</v>
      </c>
      <c r="J101" s="60">
        <v>0.22</v>
      </c>
      <c r="K101" s="60">
        <v>0.87</v>
      </c>
      <c r="L101" s="60">
        <v>26.57</v>
      </c>
      <c r="M101" s="60">
        <v>30.33</v>
      </c>
      <c r="N101" s="60">
        <v>5</v>
      </c>
      <c r="O101" s="60">
        <v>0</v>
      </c>
      <c r="P101" s="60">
        <v>0.81</v>
      </c>
      <c r="Q101" s="60">
        <v>0.47</v>
      </c>
      <c r="R101" s="198"/>
      <c r="S101" s="198"/>
      <c r="T101" s="198"/>
      <c r="U101" s="198"/>
    </row>
    <row r="102" spans="1:33" s="12" customFormat="1" x14ac:dyDescent="0.25">
      <c r="A102" s="201" t="s">
        <v>1687</v>
      </c>
      <c r="B102" s="60">
        <v>8.94</v>
      </c>
      <c r="C102" s="60">
        <v>51.74</v>
      </c>
      <c r="D102" s="60">
        <v>36.369999999999997</v>
      </c>
      <c r="E102" s="60">
        <v>14.04</v>
      </c>
      <c r="F102" s="60">
        <v>17.77</v>
      </c>
      <c r="G102" s="60">
        <v>64.790000000000006</v>
      </c>
      <c r="H102" s="60">
        <v>20.47</v>
      </c>
      <c r="I102" s="60">
        <v>0.51</v>
      </c>
      <c r="J102" s="60">
        <v>7.0000000000000007E-2</v>
      </c>
      <c r="K102" s="60">
        <v>68.97</v>
      </c>
      <c r="L102" s="60">
        <v>26.46</v>
      </c>
      <c r="M102" s="60">
        <v>30.25</v>
      </c>
      <c r="N102" s="60">
        <v>5.0999999999999996</v>
      </c>
      <c r="O102" s="60">
        <v>0</v>
      </c>
      <c r="P102" s="60">
        <v>0.85</v>
      </c>
      <c r="Q102" s="60">
        <v>2.41</v>
      </c>
      <c r="R102" s="198"/>
      <c r="S102" s="198"/>
      <c r="T102" s="198"/>
      <c r="U102" s="198"/>
    </row>
    <row r="103" spans="1:33" s="12" customFormat="1" x14ac:dyDescent="0.25">
      <c r="A103" s="201" t="s">
        <v>1688</v>
      </c>
      <c r="B103" s="60">
        <v>15.08</v>
      </c>
      <c r="C103" s="60">
        <v>62.94</v>
      </c>
      <c r="D103" s="60">
        <v>47.47</v>
      </c>
      <c r="E103" s="60">
        <v>15.26</v>
      </c>
      <c r="F103" s="60">
        <v>11.45</v>
      </c>
      <c r="G103" s="60">
        <v>64.790000000000006</v>
      </c>
      <c r="H103" s="60">
        <v>20.47</v>
      </c>
      <c r="I103" s="60">
        <v>0.51</v>
      </c>
      <c r="J103" s="60">
        <v>0.13</v>
      </c>
      <c r="K103" s="60">
        <v>19.8</v>
      </c>
      <c r="L103" s="60">
        <v>26.44</v>
      </c>
      <c r="M103" s="60">
        <v>31.57</v>
      </c>
      <c r="N103" s="60">
        <v>5.0999999999999996</v>
      </c>
      <c r="O103" s="60">
        <v>0</v>
      </c>
      <c r="P103" s="60">
        <v>0.94</v>
      </c>
      <c r="Q103" s="60">
        <v>4.3499999999999996</v>
      </c>
      <c r="R103" s="198"/>
      <c r="S103" s="198"/>
      <c r="T103" s="198"/>
      <c r="U103" s="198"/>
    </row>
    <row r="104" spans="1:33" s="12" customFormat="1" x14ac:dyDescent="0.25">
      <c r="A104" s="201" t="s">
        <v>1689</v>
      </c>
      <c r="B104" s="60">
        <v>8.08</v>
      </c>
      <c r="C104" s="60">
        <v>50.1</v>
      </c>
      <c r="D104" s="60">
        <v>34.770000000000003</v>
      </c>
      <c r="E104" s="60">
        <v>9.35</v>
      </c>
      <c r="F104" s="60">
        <v>16.59</v>
      </c>
      <c r="G104" s="60">
        <v>64.790000000000006</v>
      </c>
      <c r="H104" s="60">
        <v>20.47</v>
      </c>
      <c r="I104" s="60">
        <v>0.51</v>
      </c>
      <c r="J104" s="60">
        <v>0.18</v>
      </c>
      <c r="K104" s="60">
        <v>89.89</v>
      </c>
      <c r="L104" s="60">
        <v>26.42</v>
      </c>
      <c r="M104" s="60">
        <v>31.12</v>
      </c>
      <c r="N104" s="60">
        <v>4.7</v>
      </c>
      <c r="O104" s="60">
        <v>0</v>
      </c>
      <c r="P104" s="60">
        <v>0.81</v>
      </c>
      <c r="Q104" s="60">
        <v>6.01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</v>
      </c>
      <c r="C106" s="67">
        <f>MIN(C9:C104)</f>
        <v>39.49</v>
      </c>
      <c r="D106" s="67">
        <f t="shared" ref="D106:Q106" si="0">MIN(D9:D104)</f>
        <v>27.28</v>
      </c>
      <c r="E106" s="67">
        <f t="shared" si="0"/>
        <v>0.2</v>
      </c>
      <c r="F106" s="67">
        <f t="shared" si="0"/>
        <v>4.46</v>
      </c>
      <c r="G106" s="67">
        <f t="shared" si="0"/>
        <v>15.39</v>
      </c>
      <c r="H106" s="67">
        <f t="shared" si="0"/>
        <v>12.75</v>
      </c>
      <c r="I106" s="67">
        <f t="shared" si="0"/>
        <v>0.5</v>
      </c>
      <c r="J106" s="67">
        <f t="shared" si="0"/>
        <v>0.02</v>
      </c>
      <c r="K106" s="67">
        <f t="shared" si="0"/>
        <v>0.03</v>
      </c>
      <c r="L106" s="67">
        <f t="shared" si="0"/>
        <v>25.53</v>
      </c>
      <c r="M106" s="67">
        <f t="shared" si="0"/>
        <v>16.14</v>
      </c>
      <c r="N106" s="67">
        <f t="shared" si="0"/>
        <v>3.8</v>
      </c>
      <c r="O106" s="67">
        <f t="shared" si="0"/>
        <v>0</v>
      </c>
      <c r="P106" s="67">
        <f t="shared" si="0"/>
        <v>0.55000000000000004</v>
      </c>
      <c r="Q106" s="67">
        <f t="shared" si="0"/>
        <v>0.23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45.67</v>
      </c>
      <c r="C107" s="66">
        <f t="shared" ref="C107:Q107" si="1">MAX(C9:C104)</f>
        <v>76.260000000000005</v>
      </c>
      <c r="D107" s="66">
        <f t="shared" si="1"/>
        <v>76.010000000000005</v>
      </c>
      <c r="E107" s="66">
        <f t="shared" si="1"/>
        <v>15.9</v>
      </c>
      <c r="F107" s="66">
        <f t="shared" si="1"/>
        <v>27.37</v>
      </c>
      <c r="G107" s="66">
        <f t="shared" si="1"/>
        <v>132.79</v>
      </c>
      <c r="H107" s="66">
        <f t="shared" si="1"/>
        <v>45.82</v>
      </c>
      <c r="I107" s="66">
        <f t="shared" si="1"/>
        <v>1.06</v>
      </c>
      <c r="J107" s="66">
        <f t="shared" si="1"/>
        <v>2.3199999999999998</v>
      </c>
      <c r="K107" s="66">
        <f t="shared" si="1"/>
        <v>359.71</v>
      </c>
      <c r="L107" s="66">
        <f t="shared" si="1"/>
        <v>38.79</v>
      </c>
      <c r="M107" s="66">
        <f t="shared" si="1"/>
        <v>43.13</v>
      </c>
      <c r="N107" s="66">
        <f t="shared" si="1"/>
        <v>801.2</v>
      </c>
      <c r="O107" s="66">
        <f t="shared" si="1"/>
        <v>0</v>
      </c>
      <c r="P107" s="66">
        <f t="shared" si="1"/>
        <v>2.14</v>
      </c>
      <c r="Q107" s="66">
        <f t="shared" si="1"/>
        <v>32.07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8.7015625000000032</v>
      </c>
      <c r="C108" s="67">
        <f t="shared" ref="C108:Q108" si="2">AVERAGE(C9:C104)</f>
        <v>49.152187500000004</v>
      </c>
      <c r="D108" s="67">
        <f t="shared" si="2"/>
        <v>34.749687499999986</v>
      </c>
      <c r="E108" s="67">
        <f t="shared" si="2"/>
        <v>3.5745833333333343</v>
      </c>
      <c r="F108" s="67">
        <f t="shared" si="2"/>
        <v>9.9503124999999972</v>
      </c>
      <c r="G108" s="67">
        <f t="shared" si="2"/>
        <v>64.737160493827162</v>
      </c>
      <c r="H108" s="67">
        <f t="shared" si="2"/>
        <v>21.007187500000004</v>
      </c>
      <c r="I108" s="67">
        <f t="shared" si="2"/>
        <v>0.58499999999999985</v>
      </c>
      <c r="J108" s="67">
        <f t="shared" si="2"/>
        <v>0.8983333333333331</v>
      </c>
      <c r="K108" s="67">
        <f t="shared" si="2"/>
        <v>109.43562500000002</v>
      </c>
      <c r="L108" s="67">
        <f t="shared" si="2"/>
        <v>30.927708333333332</v>
      </c>
      <c r="M108" s="67">
        <f t="shared" si="2"/>
        <v>27.188645833333325</v>
      </c>
      <c r="N108" s="67">
        <f t="shared" si="2"/>
        <v>187.41770833333328</v>
      </c>
      <c r="O108" s="67">
        <f t="shared" si="2"/>
        <v>0</v>
      </c>
      <c r="P108" s="67">
        <f t="shared" si="2"/>
        <v>0.84906250000000016</v>
      </c>
      <c r="Q108" s="67">
        <f t="shared" si="2"/>
        <v>9.7127160493827169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8.8765289954226425</v>
      </c>
      <c r="C109" s="67">
        <f t="shared" ref="C109:Q109" si="3">STDEV(C9:C104)</f>
        <v>4.6723050105747701</v>
      </c>
      <c r="D109" s="67">
        <f t="shared" si="3"/>
        <v>8.205135805428645</v>
      </c>
      <c r="E109" s="67">
        <f t="shared" si="3"/>
        <v>3.141840197171299</v>
      </c>
      <c r="F109" s="67">
        <f t="shared" si="3"/>
        <v>3.8544357094337425</v>
      </c>
      <c r="G109" s="67">
        <f t="shared" si="3"/>
        <v>33.295779095651504</v>
      </c>
      <c r="H109" s="67">
        <f t="shared" si="3"/>
        <v>8.2217049970921803</v>
      </c>
      <c r="I109" s="67">
        <f t="shared" si="3"/>
        <v>0.10463973281794307</v>
      </c>
      <c r="J109" s="67">
        <f t="shared" si="3"/>
        <v>0.64510409876671404</v>
      </c>
      <c r="K109" s="67">
        <f t="shared" si="3"/>
        <v>139.41067319868489</v>
      </c>
      <c r="L109" s="67">
        <f t="shared" si="3"/>
        <v>4.5820702007457079</v>
      </c>
      <c r="M109" s="67">
        <f t="shared" si="3"/>
        <v>7.7635859348617346</v>
      </c>
      <c r="N109" s="67">
        <f t="shared" si="3"/>
        <v>262.13460583801378</v>
      </c>
      <c r="O109" s="67">
        <f t="shared" si="3"/>
        <v>0</v>
      </c>
      <c r="P109" s="67">
        <f t="shared" si="3"/>
        <v>0.3459634240631117</v>
      </c>
      <c r="Q109" s="67">
        <f t="shared" si="3"/>
        <v>7.6121764319322152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92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43" sqref="I14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1690</v>
      </c>
      <c r="B9" s="60">
        <v>10.18</v>
      </c>
      <c r="C9" s="60">
        <v>51.56</v>
      </c>
      <c r="D9" s="60">
        <v>37.270000000000003</v>
      </c>
      <c r="E9" s="60">
        <v>12.1</v>
      </c>
      <c r="F9" s="60">
        <v>13.07</v>
      </c>
      <c r="G9" s="60">
        <v>62.94</v>
      </c>
      <c r="H9" s="60">
        <v>20.8</v>
      </c>
      <c r="I9" s="60">
        <v>0.52</v>
      </c>
      <c r="J9" s="60">
        <v>0.06</v>
      </c>
      <c r="K9" s="60">
        <v>116.93</v>
      </c>
      <c r="L9" s="60">
        <v>26.13</v>
      </c>
      <c r="M9" s="60">
        <v>31.9</v>
      </c>
      <c r="N9" s="60">
        <v>4.9000000000000004</v>
      </c>
      <c r="O9" s="60">
        <v>0</v>
      </c>
      <c r="P9" s="60">
        <v>0.8</v>
      </c>
      <c r="Q9" s="60">
        <v>7.28</v>
      </c>
      <c r="R9" s="198"/>
      <c r="S9" s="198"/>
      <c r="T9" s="198"/>
      <c r="U9" s="198"/>
    </row>
    <row r="10" spans="1:21" s="12" customFormat="1" x14ac:dyDescent="0.25">
      <c r="A10" s="201" t="s">
        <v>1691</v>
      </c>
      <c r="B10" s="60">
        <v>5.74</v>
      </c>
      <c r="C10" s="60">
        <v>45</v>
      </c>
      <c r="D10" s="60">
        <v>30.08</v>
      </c>
      <c r="E10" s="60">
        <v>12.02</v>
      </c>
      <c r="F10" s="60">
        <v>17.59</v>
      </c>
      <c r="G10" s="60">
        <v>52.91</v>
      </c>
      <c r="H10" s="60">
        <v>22.57</v>
      </c>
      <c r="I10" s="60">
        <v>0.53</v>
      </c>
      <c r="J10" s="60">
        <v>0.09</v>
      </c>
      <c r="K10" s="60">
        <v>297.27</v>
      </c>
      <c r="L10" s="60">
        <v>26.12</v>
      </c>
      <c r="M10" s="60">
        <v>32.479999999999997</v>
      </c>
      <c r="N10" s="60">
        <v>4.5999999999999996</v>
      </c>
      <c r="O10" s="60">
        <v>0</v>
      </c>
      <c r="P10" s="60">
        <v>0.68</v>
      </c>
      <c r="Q10" s="60">
        <v>6.42</v>
      </c>
      <c r="R10" s="198"/>
      <c r="S10" s="198"/>
      <c r="T10" s="198"/>
      <c r="U10" s="198"/>
    </row>
    <row r="11" spans="1:21" s="12" customFormat="1" x14ac:dyDescent="0.25">
      <c r="A11" s="201" t="s">
        <v>1692</v>
      </c>
      <c r="B11" s="60">
        <v>9.3699999999999992</v>
      </c>
      <c r="C11" s="60">
        <v>52.79</v>
      </c>
      <c r="D11" s="60">
        <v>37.299999999999997</v>
      </c>
      <c r="E11" s="60">
        <v>10.14</v>
      </c>
      <c r="F11" s="60">
        <v>7.33</v>
      </c>
      <c r="G11" s="60">
        <v>52.91</v>
      </c>
      <c r="H11" s="60">
        <v>22.57</v>
      </c>
      <c r="I11" s="60">
        <v>0.51</v>
      </c>
      <c r="J11" s="60">
        <v>0.05</v>
      </c>
      <c r="K11" s="60">
        <v>332.91</v>
      </c>
      <c r="L11" s="60">
        <v>25.7</v>
      </c>
      <c r="M11" s="60">
        <v>36.270000000000003</v>
      </c>
      <c r="N11" s="60">
        <v>5</v>
      </c>
      <c r="O11" s="60">
        <v>0</v>
      </c>
      <c r="P11" s="60">
        <v>0.77</v>
      </c>
      <c r="Q11" s="60">
        <v>4.82</v>
      </c>
      <c r="R11" s="198"/>
      <c r="S11" s="198"/>
      <c r="T11" s="198"/>
      <c r="U11" s="198"/>
    </row>
    <row r="12" spans="1:21" s="12" customFormat="1" x14ac:dyDescent="0.25">
      <c r="A12" s="201" t="s">
        <v>1693</v>
      </c>
      <c r="B12" s="60">
        <v>7.87</v>
      </c>
      <c r="C12" s="60">
        <v>52.59</v>
      </c>
      <c r="D12" s="60">
        <v>35.979999999999997</v>
      </c>
      <c r="E12" s="60">
        <v>9.1199999999999992</v>
      </c>
      <c r="F12" s="60">
        <v>8.0500000000000007</v>
      </c>
      <c r="G12" s="60">
        <v>52.91</v>
      </c>
      <c r="H12" s="60">
        <v>22.57</v>
      </c>
      <c r="I12" s="60">
        <v>0.52</v>
      </c>
      <c r="J12" s="60">
        <v>0.13</v>
      </c>
      <c r="K12" s="60">
        <v>8.42</v>
      </c>
      <c r="L12" s="60">
        <v>25.52</v>
      </c>
      <c r="M12" s="60">
        <v>37.29</v>
      </c>
      <c r="N12" s="60">
        <v>5</v>
      </c>
      <c r="O12" s="60">
        <v>0</v>
      </c>
      <c r="P12" s="60">
        <v>0.75</v>
      </c>
      <c r="Q12" s="60">
        <v>4.33</v>
      </c>
      <c r="R12" s="198"/>
      <c r="S12" s="198"/>
      <c r="T12" s="198"/>
      <c r="U12" s="198"/>
    </row>
    <row r="13" spans="1:21" s="12" customFormat="1" x14ac:dyDescent="0.25">
      <c r="A13" s="201" t="s">
        <v>1694</v>
      </c>
      <c r="B13" s="60">
        <v>10.68</v>
      </c>
      <c r="C13" s="60">
        <v>59.83</v>
      </c>
      <c r="D13" s="60">
        <v>42.23</v>
      </c>
      <c r="E13" s="60">
        <v>9.01</v>
      </c>
      <c r="F13" s="60">
        <v>5.24</v>
      </c>
      <c r="G13" s="60">
        <v>58.47</v>
      </c>
      <c r="H13" s="60">
        <v>22.52</v>
      </c>
      <c r="I13" s="60">
        <v>0.54</v>
      </c>
      <c r="J13" s="60">
        <v>0.05</v>
      </c>
      <c r="K13" s="60">
        <v>176.26</v>
      </c>
      <c r="L13" s="60">
        <v>25.27</v>
      </c>
      <c r="M13" s="60">
        <v>38.479999999999997</v>
      </c>
      <c r="N13" s="60">
        <v>4.7</v>
      </c>
      <c r="O13" s="60">
        <v>0</v>
      </c>
      <c r="P13" s="60">
        <v>0.7</v>
      </c>
      <c r="Q13" s="60">
        <v>4.4400000000000004</v>
      </c>
      <c r="R13" s="198"/>
      <c r="S13" s="198"/>
      <c r="T13" s="198"/>
      <c r="U13" s="198"/>
    </row>
    <row r="14" spans="1:21" s="12" customFormat="1" x14ac:dyDescent="0.25">
      <c r="A14" s="201" t="s">
        <v>1695</v>
      </c>
      <c r="B14" s="60">
        <v>8.5399999999999991</v>
      </c>
      <c r="C14" s="60">
        <v>50.44</v>
      </c>
      <c r="D14" s="60">
        <v>35.33</v>
      </c>
      <c r="E14" s="60">
        <v>9.3800000000000008</v>
      </c>
      <c r="F14" s="60">
        <v>9.11</v>
      </c>
      <c r="G14" s="60">
        <v>91.39</v>
      </c>
      <c r="H14" s="60">
        <v>22.31</v>
      </c>
      <c r="I14" s="60">
        <v>0.53</v>
      </c>
      <c r="J14" s="60">
        <v>0.44</v>
      </c>
      <c r="K14" s="60">
        <v>221.6</v>
      </c>
      <c r="L14" s="60">
        <v>26.22</v>
      </c>
      <c r="M14" s="60">
        <v>34.06</v>
      </c>
      <c r="N14" s="60">
        <v>3.5</v>
      </c>
      <c r="O14" s="60">
        <v>0</v>
      </c>
      <c r="P14" s="60">
        <v>0.72</v>
      </c>
      <c r="Q14" s="60">
        <v>4.5</v>
      </c>
      <c r="R14" s="198"/>
      <c r="S14" s="198"/>
      <c r="T14" s="198"/>
      <c r="U14" s="198"/>
    </row>
    <row r="15" spans="1:21" s="12" customFormat="1" x14ac:dyDescent="0.25">
      <c r="A15" s="201" t="s">
        <v>1696</v>
      </c>
      <c r="B15" s="60">
        <v>7.15</v>
      </c>
      <c r="C15" s="60">
        <v>47.71</v>
      </c>
      <c r="D15" s="60">
        <v>32.71</v>
      </c>
      <c r="E15" s="60">
        <v>6.9</v>
      </c>
      <c r="F15" s="60">
        <v>8.0399999999999991</v>
      </c>
      <c r="G15" s="60">
        <v>91.39</v>
      </c>
      <c r="H15" s="60">
        <v>22.31</v>
      </c>
      <c r="I15" s="60">
        <v>0.55000000000000004</v>
      </c>
      <c r="J15" s="60">
        <v>0.44</v>
      </c>
      <c r="K15" s="60">
        <v>228.55</v>
      </c>
      <c r="L15" s="60">
        <v>25.9</v>
      </c>
      <c r="M15" s="60">
        <v>36.200000000000003</v>
      </c>
      <c r="N15" s="60">
        <v>4.5999999999999996</v>
      </c>
      <c r="O15" s="60">
        <v>0</v>
      </c>
      <c r="P15" s="60">
        <v>0.68</v>
      </c>
      <c r="Q15" s="60">
        <v>4.68</v>
      </c>
      <c r="R15" s="198"/>
      <c r="S15" s="198"/>
      <c r="T15" s="198"/>
      <c r="U15" s="198"/>
    </row>
    <row r="16" spans="1:21" s="12" customFormat="1" x14ac:dyDescent="0.25">
      <c r="A16" s="201" t="s">
        <v>1697</v>
      </c>
      <c r="B16" s="60">
        <v>6.84</v>
      </c>
      <c r="C16" s="60">
        <v>44.13</v>
      </c>
      <c r="D16" s="60">
        <v>30.48</v>
      </c>
      <c r="E16" s="60">
        <v>4</v>
      </c>
      <c r="F16" s="60">
        <v>10</v>
      </c>
      <c r="G16" s="60">
        <v>91.39</v>
      </c>
      <c r="H16" s="60">
        <v>22.31</v>
      </c>
      <c r="I16" s="60">
        <v>0.55000000000000004</v>
      </c>
      <c r="J16" s="60">
        <v>0.1</v>
      </c>
      <c r="K16" s="60">
        <v>348.09</v>
      </c>
      <c r="L16" s="60">
        <v>25.47</v>
      </c>
      <c r="M16" s="60">
        <v>37.06</v>
      </c>
      <c r="N16" s="60">
        <v>5.0999999999999996</v>
      </c>
      <c r="O16" s="60">
        <v>0</v>
      </c>
      <c r="P16" s="60">
        <v>0.63</v>
      </c>
      <c r="Q16" s="60">
        <v>4.49</v>
      </c>
      <c r="R16" s="198"/>
      <c r="S16" s="198"/>
      <c r="T16" s="198"/>
      <c r="U16" s="198"/>
    </row>
    <row r="17" spans="1:21" s="12" customFormat="1" x14ac:dyDescent="0.25">
      <c r="A17" s="201" t="s">
        <v>1698</v>
      </c>
      <c r="B17" s="60">
        <v>6.2</v>
      </c>
      <c r="C17" s="60">
        <v>41.75</v>
      </c>
      <c r="D17" s="60">
        <v>28.66</v>
      </c>
      <c r="E17" s="60">
        <v>3.81</v>
      </c>
      <c r="F17" s="60">
        <v>12.87</v>
      </c>
      <c r="G17" s="60">
        <v>86.18</v>
      </c>
      <c r="H17" s="60">
        <v>22.78</v>
      </c>
      <c r="I17" s="60">
        <v>0.55000000000000004</v>
      </c>
      <c r="J17" s="60">
        <v>0.38</v>
      </c>
      <c r="K17" s="60">
        <v>215.42</v>
      </c>
      <c r="L17" s="60">
        <v>25.13</v>
      </c>
      <c r="M17" s="60">
        <v>36.700000000000003</v>
      </c>
      <c r="N17" s="60">
        <v>4.5</v>
      </c>
      <c r="O17" s="60">
        <v>0</v>
      </c>
      <c r="P17" s="60">
        <v>0.57999999999999996</v>
      </c>
      <c r="Q17" s="60">
        <v>5.33</v>
      </c>
      <c r="R17" s="198"/>
      <c r="S17" s="198"/>
      <c r="T17" s="198"/>
      <c r="U17" s="198"/>
    </row>
    <row r="18" spans="1:21" s="12" customFormat="1" x14ac:dyDescent="0.25">
      <c r="A18" s="201" t="s">
        <v>1699</v>
      </c>
      <c r="B18" s="60">
        <v>6.02</v>
      </c>
      <c r="C18" s="60">
        <v>38.97</v>
      </c>
      <c r="D18" s="60">
        <v>26.98</v>
      </c>
      <c r="E18" s="60">
        <v>3.22</v>
      </c>
      <c r="F18" s="60">
        <v>12.15</v>
      </c>
      <c r="G18" s="60">
        <v>55.28</v>
      </c>
      <c r="H18" s="60">
        <v>24.75</v>
      </c>
      <c r="I18" s="60">
        <v>0.54</v>
      </c>
      <c r="J18" s="60">
        <v>0.36</v>
      </c>
      <c r="K18" s="60">
        <v>223.89</v>
      </c>
      <c r="L18" s="60">
        <v>25.11</v>
      </c>
      <c r="M18" s="60">
        <v>36.630000000000003</v>
      </c>
      <c r="N18" s="60">
        <v>4.8</v>
      </c>
      <c r="O18" s="60">
        <v>0</v>
      </c>
      <c r="P18" s="60">
        <v>0.6</v>
      </c>
      <c r="Q18" s="60">
        <v>6.3</v>
      </c>
      <c r="R18" s="198"/>
      <c r="S18" s="198"/>
      <c r="T18" s="198"/>
      <c r="U18" s="198"/>
    </row>
    <row r="19" spans="1:21" s="12" customFormat="1" x14ac:dyDescent="0.25">
      <c r="A19" s="201" t="s">
        <v>1700</v>
      </c>
      <c r="B19" s="60">
        <v>5.61</v>
      </c>
      <c r="C19" s="60">
        <v>36.770000000000003</v>
      </c>
      <c r="D19" s="60">
        <v>25.44</v>
      </c>
      <c r="E19" s="60">
        <v>3.69</v>
      </c>
      <c r="F19" s="60">
        <v>14.6</v>
      </c>
      <c r="G19" s="60">
        <v>55.28</v>
      </c>
      <c r="H19" s="60">
        <v>24.75</v>
      </c>
      <c r="I19" s="60">
        <v>0.53</v>
      </c>
      <c r="J19" s="60">
        <v>0.22</v>
      </c>
      <c r="K19" s="60">
        <v>277.25</v>
      </c>
      <c r="L19" s="60">
        <v>24.81</v>
      </c>
      <c r="M19" s="60">
        <v>36.57</v>
      </c>
      <c r="N19" s="60">
        <v>4.9000000000000004</v>
      </c>
      <c r="O19" s="60">
        <v>0</v>
      </c>
      <c r="P19" s="60">
        <v>0.56000000000000005</v>
      </c>
      <c r="Q19" s="60">
        <v>6.98</v>
      </c>
      <c r="R19" s="198"/>
      <c r="S19" s="198"/>
      <c r="T19" s="198"/>
      <c r="U19" s="198"/>
    </row>
    <row r="20" spans="1:21" s="12" customFormat="1" x14ac:dyDescent="0.25">
      <c r="A20" s="201" t="s">
        <v>1701</v>
      </c>
      <c r="B20" s="60">
        <v>5.0199999999999996</v>
      </c>
      <c r="C20" s="60">
        <v>35.46</v>
      </c>
      <c r="D20" s="60">
        <v>24.24</v>
      </c>
      <c r="E20" s="60">
        <v>3.67</v>
      </c>
      <c r="F20" s="60">
        <v>14.23</v>
      </c>
      <c r="G20" s="60">
        <v>55.28</v>
      </c>
      <c r="H20" s="60">
        <v>24.75</v>
      </c>
      <c r="I20" s="60">
        <v>0.53</v>
      </c>
      <c r="J20" s="60">
        <v>0.17</v>
      </c>
      <c r="K20" s="60">
        <v>358.52</v>
      </c>
      <c r="L20" s="60">
        <v>24.3</v>
      </c>
      <c r="M20" s="60">
        <v>39.450000000000003</v>
      </c>
      <c r="N20" s="60">
        <v>5.2</v>
      </c>
      <c r="O20" s="60">
        <v>0</v>
      </c>
      <c r="P20" s="60">
        <v>0.53</v>
      </c>
      <c r="Q20" s="60">
        <v>7.41</v>
      </c>
      <c r="R20" s="198"/>
      <c r="S20" s="198"/>
      <c r="T20" s="198"/>
      <c r="U20" s="198"/>
    </row>
    <row r="21" spans="1:21" s="12" customFormat="1" x14ac:dyDescent="0.25">
      <c r="A21" s="201" t="s">
        <v>1702</v>
      </c>
      <c r="B21" s="60">
        <v>4.97</v>
      </c>
      <c r="C21" s="60">
        <v>35.68</v>
      </c>
      <c r="D21" s="60">
        <v>24.33</v>
      </c>
      <c r="E21" s="60">
        <v>2.5</v>
      </c>
      <c r="F21" s="60">
        <v>10.88</v>
      </c>
      <c r="G21" s="60">
        <v>54.74</v>
      </c>
      <c r="H21" s="60">
        <v>23.9</v>
      </c>
      <c r="I21" s="60">
        <v>0.52</v>
      </c>
      <c r="J21" s="60">
        <v>0.18</v>
      </c>
      <c r="K21" s="60">
        <v>278.38</v>
      </c>
      <c r="L21" s="60">
        <v>24.22</v>
      </c>
      <c r="M21" s="60">
        <v>38.700000000000003</v>
      </c>
      <c r="N21" s="60">
        <v>4.5999999999999996</v>
      </c>
      <c r="O21" s="60">
        <v>0</v>
      </c>
      <c r="P21" s="60">
        <v>0.56999999999999995</v>
      </c>
      <c r="Q21" s="60">
        <v>7.65</v>
      </c>
      <c r="R21" s="198"/>
      <c r="S21" s="198"/>
      <c r="T21" s="198"/>
      <c r="U21" s="198"/>
    </row>
    <row r="22" spans="1:21" s="12" customFormat="1" x14ac:dyDescent="0.25">
      <c r="A22" s="201" t="s">
        <v>1703</v>
      </c>
      <c r="B22" s="60">
        <v>4.63</v>
      </c>
      <c r="C22" s="60">
        <v>34.79</v>
      </c>
      <c r="D22" s="60">
        <v>23.56</v>
      </c>
      <c r="E22" s="60">
        <v>2.14</v>
      </c>
      <c r="F22" s="60">
        <v>11.89</v>
      </c>
      <c r="G22" s="60">
        <v>51.51</v>
      </c>
      <c r="H22" s="60">
        <v>20.39</v>
      </c>
      <c r="I22" s="60">
        <v>0.52</v>
      </c>
      <c r="J22" s="60">
        <v>0.27</v>
      </c>
      <c r="K22" s="60">
        <v>223.56</v>
      </c>
      <c r="L22" s="60">
        <v>24.12</v>
      </c>
      <c r="M22" s="60">
        <v>40.81</v>
      </c>
      <c r="N22" s="60">
        <v>4.5999999999999996</v>
      </c>
      <c r="O22" s="60">
        <v>0</v>
      </c>
      <c r="P22" s="60">
        <v>0.54</v>
      </c>
      <c r="Q22" s="60">
        <v>5.75</v>
      </c>
      <c r="R22" s="198"/>
      <c r="S22" s="198"/>
      <c r="T22" s="198"/>
      <c r="U22" s="198"/>
    </row>
    <row r="23" spans="1:21" s="12" customFormat="1" x14ac:dyDescent="0.25">
      <c r="A23" s="201" t="s">
        <v>1704</v>
      </c>
      <c r="B23" s="60">
        <v>4.3099999999999996</v>
      </c>
      <c r="C23" s="60">
        <v>34.299999999999997</v>
      </c>
      <c r="D23" s="60">
        <v>23.03</v>
      </c>
      <c r="E23" s="60">
        <v>1.85</v>
      </c>
      <c r="F23" s="60">
        <v>12.74</v>
      </c>
      <c r="G23" s="60">
        <v>51.51</v>
      </c>
      <c r="H23" s="60">
        <v>20.39</v>
      </c>
      <c r="I23" s="60">
        <v>0.56999999999999995</v>
      </c>
      <c r="J23" s="60">
        <v>0.16</v>
      </c>
      <c r="K23" s="60">
        <v>211.71</v>
      </c>
      <c r="L23" s="60">
        <v>23.89</v>
      </c>
      <c r="M23" s="60">
        <v>43.63</v>
      </c>
      <c r="N23" s="60">
        <v>4.9000000000000004</v>
      </c>
      <c r="O23" s="60">
        <v>0</v>
      </c>
      <c r="P23" s="60">
        <v>0.53</v>
      </c>
      <c r="Q23" s="60">
        <v>4.25</v>
      </c>
      <c r="R23" s="198"/>
      <c r="S23" s="198"/>
      <c r="T23" s="198"/>
      <c r="U23" s="198"/>
    </row>
    <row r="24" spans="1:21" s="12" customFormat="1" x14ac:dyDescent="0.25">
      <c r="A24" s="201" t="s">
        <v>1705</v>
      </c>
      <c r="B24" s="60">
        <v>4.09</v>
      </c>
      <c r="C24" s="60">
        <v>34.78</v>
      </c>
      <c r="D24" s="60">
        <v>23.12</v>
      </c>
      <c r="E24" s="60">
        <v>1.04</v>
      </c>
      <c r="F24" s="60">
        <v>9.19</v>
      </c>
      <c r="G24" s="60">
        <v>51.51</v>
      </c>
      <c r="H24" s="60">
        <v>20.39</v>
      </c>
      <c r="I24" s="60">
        <v>0.56000000000000005</v>
      </c>
      <c r="J24" s="60">
        <v>0.37</v>
      </c>
      <c r="K24" s="60">
        <v>215.77</v>
      </c>
      <c r="L24" s="60">
        <v>23.76</v>
      </c>
      <c r="M24" s="60">
        <v>44.74</v>
      </c>
      <c r="N24" s="60">
        <v>4.7</v>
      </c>
      <c r="O24" s="60">
        <v>0</v>
      </c>
      <c r="P24" s="60">
        <v>0.55000000000000004</v>
      </c>
      <c r="Q24" s="60">
        <v>3.24</v>
      </c>
      <c r="R24" s="198"/>
      <c r="S24" s="198"/>
      <c r="T24" s="198"/>
      <c r="U24" s="198"/>
    </row>
    <row r="25" spans="1:21" s="12" customFormat="1" x14ac:dyDescent="0.25">
      <c r="A25" s="201" t="s">
        <v>1706</v>
      </c>
      <c r="B25" s="60">
        <v>4.67</v>
      </c>
      <c r="C25" s="60">
        <v>35.75</v>
      </c>
      <c r="D25" s="60">
        <v>24.12</v>
      </c>
      <c r="E25" s="60">
        <v>1.35</v>
      </c>
      <c r="F25" s="60">
        <v>8.9600000000000009</v>
      </c>
      <c r="G25" s="60">
        <v>50.28</v>
      </c>
      <c r="H25" s="60">
        <v>19.989999999999998</v>
      </c>
      <c r="I25" s="60">
        <v>0.56000000000000005</v>
      </c>
      <c r="J25" s="60">
        <v>0.14000000000000001</v>
      </c>
      <c r="K25" s="60">
        <v>282.06</v>
      </c>
      <c r="L25" s="60">
        <v>23.73</v>
      </c>
      <c r="M25" s="60">
        <v>44.57</v>
      </c>
      <c r="N25" s="60">
        <v>4.7</v>
      </c>
      <c r="O25" s="60">
        <v>0</v>
      </c>
      <c r="P25" s="60">
        <v>0.55000000000000004</v>
      </c>
      <c r="Q25" s="60">
        <v>2.83</v>
      </c>
      <c r="R25" s="198"/>
      <c r="S25" s="198"/>
      <c r="T25" s="198"/>
      <c r="U25" s="198"/>
    </row>
    <row r="26" spans="1:21" s="12" customFormat="1" x14ac:dyDescent="0.25">
      <c r="A26" s="201" t="s">
        <v>1707</v>
      </c>
      <c r="B26" s="60">
        <v>5.29</v>
      </c>
      <c r="C26" s="60">
        <v>37.06</v>
      </c>
      <c r="D26" s="60">
        <v>25.34</v>
      </c>
      <c r="E26" s="60">
        <v>1.55</v>
      </c>
      <c r="F26" s="60">
        <v>6.57</v>
      </c>
      <c r="G26" s="60">
        <v>42.97</v>
      </c>
      <c r="H26" s="60">
        <v>17.89</v>
      </c>
      <c r="I26" s="60">
        <v>0.55000000000000004</v>
      </c>
      <c r="J26" s="60">
        <v>7.0000000000000007E-2</v>
      </c>
      <c r="K26" s="60">
        <v>352.4</v>
      </c>
      <c r="L26" s="60">
        <v>23.77</v>
      </c>
      <c r="M26" s="60">
        <v>42.16</v>
      </c>
      <c r="N26" s="60">
        <v>4.5999999999999996</v>
      </c>
      <c r="O26" s="60">
        <v>0</v>
      </c>
      <c r="P26" s="60">
        <v>0.56000000000000005</v>
      </c>
      <c r="Q26" s="60">
        <v>2.1800000000000002</v>
      </c>
      <c r="R26" s="198"/>
      <c r="S26" s="198"/>
      <c r="T26" s="198"/>
      <c r="U26" s="198"/>
    </row>
    <row r="27" spans="1:21" s="12" customFormat="1" x14ac:dyDescent="0.25">
      <c r="A27" s="201" t="s">
        <v>1708</v>
      </c>
      <c r="B27" s="60">
        <v>4.1900000000000004</v>
      </c>
      <c r="C27" s="60">
        <v>35.33</v>
      </c>
      <c r="D27" s="60">
        <v>23.5</v>
      </c>
      <c r="E27" s="60">
        <v>1.81</v>
      </c>
      <c r="F27" s="60">
        <v>9.51</v>
      </c>
      <c r="G27" s="60">
        <v>42.97</v>
      </c>
      <c r="H27" s="60">
        <v>17.89</v>
      </c>
      <c r="I27" s="60">
        <v>0.56000000000000005</v>
      </c>
      <c r="J27" s="60">
        <v>0.11</v>
      </c>
      <c r="K27" s="60">
        <v>277.42</v>
      </c>
      <c r="L27" s="60">
        <v>23.85</v>
      </c>
      <c r="M27" s="60">
        <v>40.49</v>
      </c>
      <c r="N27" s="60">
        <v>4.2</v>
      </c>
      <c r="O27" s="60">
        <v>0</v>
      </c>
      <c r="P27" s="60">
        <v>0.56000000000000005</v>
      </c>
      <c r="Q27" s="60">
        <v>2.1800000000000002</v>
      </c>
      <c r="R27" s="198"/>
      <c r="S27" s="198"/>
      <c r="T27" s="198"/>
      <c r="U27" s="198"/>
    </row>
    <row r="28" spans="1:21" s="12" customFormat="1" x14ac:dyDescent="0.25">
      <c r="A28" s="201" t="s">
        <v>1709</v>
      </c>
      <c r="B28" s="60">
        <v>3.74</v>
      </c>
      <c r="C28" s="60">
        <v>35.75</v>
      </c>
      <c r="D28" s="60">
        <v>23.38</v>
      </c>
      <c r="E28" s="60">
        <v>2.09</v>
      </c>
      <c r="F28" s="60">
        <v>10.99</v>
      </c>
      <c r="G28" s="60">
        <v>42.97</v>
      </c>
      <c r="H28" s="60">
        <v>17.89</v>
      </c>
      <c r="I28" s="60">
        <v>0.56000000000000005</v>
      </c>
      <c r="J28" s="60">
        <v>0.08</v>
      </c>
      <c r="K28" s="60">
        <v>278.41000000000003</v>
      </c>
      <c r="L28" s="60">
        <v>23.85</v>
      </c>
      <c r="M28" s="60">
        <v>40.770000000000003</v>
      </c>
      <c r="N28" s="60">
        <v>4.5</v>
      </c>
      <c r="O28" s="60">
        <v>0</v>
      </c>
      <c r="P28" s="60">
        <v>0.56000000000000005</v>
      </c>
      <c r="Q28" s="60">
        <v>2.19</v>
      </c>
      <c r="R28" s="198"/>
      <c r="S28" s="198"/>
      <c r="T28" s="198"/>
      <c r="U28" s="198"/>
    </row>
    <row r="29" spans="1:21" s="12" customFormat="1" x14ac:dyDescent="0.25">
      <c r="A29" s="201" t="s">
        <v>1710</v>
      </c>
      <c r="B29" s="60">
        <v>3.38</v>
      </c>
      <c r="C29" s="60">
        <v>35.53</v>
      </c>
      <c r="D29" s="60">
        <v>22.96</v>
      </c>
      <c r="E29" s="60">
        <v>2.58</v>
      </c>
      <c r="F29" s="60">
        <v>10.79</v>
      </c>
      <c r="G29" s="60">
        <v>42.89</v>
      </c>
      <c r="H29" s="60">
        <v>17.5</v>
      </c>
      <c r="I29" s="60">
        <v>0.53</v>
      </c>
      <c r="J29" s="60">
        <v>7.0000000000000007E-2</v>
      </c>
      <c r="K29" s="60">
        <v>347.08</v>
      </c>
      <c r="L29" s="60">
        <v>23.79</v>
      </c>
      <c r="M29" s="60">
        <v>40.78</v>
      </c>
      <c r="N29" s="60">
        <v>4.8</v>
      </c>
      <c r="O29" s="60">
        <v>0</v>
      </c>
      <c r="P29" s="60">
        <v>0.56000000000000005</v>
      </c>
      <c r="Q29" s="60">
        <v>3.4</v>
      </c>
      <c r="R29" s="198"/>
      <c r="S29" s="198"/>
      <c r="T29" s="198"/>
      <c r="U29" s="198"/>
    </row>
    <row r="30" spans="1:21" s="12" customFormat="1" x14ac:dyDescent="0.25">
      <c r="A30" s="201" t="s">
        <v>1711</v>
      </c>
      <c r="B30" s="60">
        <v>3.52</v>
      </c>
      <c r="C30" s="60">
        <v>37.1</v>
      </c>
      <c r="D30" s="60">
        <v>23.95</v>
      </c>
      <c r="E30" s="60">
        <v>2.2999999999999998</v>
      </c>
      <c r="F30" s="60">
        <v>9.1300000000000008</v>
      </c>
      <c r="G30" s="60">
        <v>42.38</v>
      </c>
      <c r="H30" s="60">
        <v>15.9</v>
      </c>
      <c r="I30" s="60">
        <v>0.54</v>
      </c>
      <c r="J30" s="60">
        <v>0.05</v>
      </c>
      <c r="K30" s="60">
        <v>19.93</v>
      </c>
      <c r="L30" s="60">
        <v>23.72</v>
      </c>
      <c r="M30" s="60">
        <v>40.840000000000003</v>
      </c>
      <c r="N30" s="60">
        <v>4.5999999999999996</v>
      </c>
      <c r="O30" s="60">
        <v>0</v>
      </c>
      <c r="P30" s="60">
        <v>0.59</v>
      </c>
      <c r="Q30" s="60">
        <v>4.62</v>
      </c>
      <c r="R30" s="198"/>
      <c r="S30" s="198"/>
      <c r="T30" s="198"/>
      <c r="U30" s="198"/>
    </row>
    <row r="31" spans="1:21" s="12" customFormat="1" x14ac:dyDescent="0.25">
      <c r="A31" s="201" t="s">
        <v>1712</v>
      </c>
      <c r="B31" s="60">
        <v>5.33</v>
      </c>
      <c r="C31" s="60">
        <v>38.659999999999997</v>
      </c>
      <c r="D31" s="60">
        <v>26.26</v>
      </c>
      <c r="E31" s="60">
        <v>2.13</v>
      </c>
      <c r="F31" s="60">
        <v>9.26</v>
      </c>
      <c r="G31" s="60">
        <v>42.38</v>
      </c>
      <c r="H31" s="60">
        <v>15.9</v>
      </c>
      <c r="I31" s="60">
        <v>0.51</v>
      </c>
      <c r="J31" s="60">
        <v>0.06</v>
      </c>
      <c r="K31" s="60">
        <v>15.86</v>
      </c>
      <c r="L31" s="60">
        <v>23.51</v>
      </c>
      <c r="M31" s="60">
        <v>41.74</v>
      </c>
      <c r="N31" s="60">
        <v>7.3</v>
      </c>
      <c r="O31" s="60">
        <v>0</v>
      </c>
      <c r="P31" s="60">
        <v>0.59</v>
      </c>
      <c r="Q31" s="60">
        <v>5.51</v>
      </c>
      <c r="R31" s="198"/>
      <c r="S31" s="198"/>
      <c r="T31" s="198"/>
      <c r="U31" s="198"/>
    </row>
    <row r="32" spans="1:21" s="12" customFormat="1" x14ac:dyDescent="0.25">
      <c r="A32" s="201" t="s">
        <v>1713</v>
      </c>
      <c r="B32" s="60">
        <v>13.07</v>
      </c>
      <c r="C32" s="60">
        <v>45.9</v>
      </c>
      <c r="D32" s="60">
        <v>36.450000000000003</v>
      </c>
      <c r="E32" s="60">
        <v>1.61</v>
      </c>
      <c r="F32" s="60">
        <v>6.1</v>
      </c>
      <c r="G32" s="60">
        <v>42.38</v>
      </c>
      <c r="H32" s="60">
        <v>15.9</v>
      </c>
      <c r="I32" s="60">
        <v>0.55000000000000004</v>
      </c>
      <c r="J32" s="60">
        <v>0.06</v>
      </c>
      <c r="K32" s="60">
        <v>346.42</v>
      </c>
      <c r="L32" s="60">
        <v>23.2</v>
      </c>
      <c r="M32" s="60">
        <v>43.13</v>
      </c>
      <c r="N32" s="60">
        <v>18.100000000000001</v>
      </c>
      <c r="O32" s="60">
        <v>0</v>
      </c>
      <c r="P32" s="60">
        <v>0.66</v>
      </c>
      <c r="Q32" s="60">
        <v>6.48</v>
      </c>
      <c r="R32" s="198"/>
      <c r="S32" s="198"/>
      <c r="T32" s="198"/>
      <c r="U32" s="198"/>
    </row>
    <row r="33" spans="1:21" s="12" customFormat="1" x14ac:dyDescent="0.25">
      <c r="A33" s="201" t="s">
        <v>1714</v>
      </c>
      <c r="B33" s="60">
        <v>9.77</v>
      </c>
      <c r="C33" s="60">
        <v>44.43</v>
      </c>
      <c r="D33" s="60">
        <v>33.01</v>
      </c>
      <c r="E33" s="60">
        <v>1.54</v>
      </c>
      <c r="F33" s="60">
        <v>5.44</v>
      </c>
      <c r="G33" s="60">
        <v>45</v>
      </c>
      <c r="H33" s="60">
        <v>16.38</v>
      </c>
      <c r="I33" s="60">
        <v>0.55000000000000004</v>
      </c>
      <c r="J33" s="60">
        <v>0.11</v>
      </c>
      <c r="K33" s="60">
        <v>0.86</v>
      </c>
      <c r="L33" s="60">
        <v>23.25</v>
      </c>
      <c r="M33" s="60">
        <v>43.65</v>
      </c>
      <c r="N33" s="60">
        <v>39.5</v>
      </c>
      <c r="O33" s="60">
        <v>0</v>
      </c>
      <c r="P33" s="60">
        <v>0.63</v>
      </c>
      <c r="Q33" s="60">
        <v>7.2</v>
      </c>
      <c r="R33" s="198"/>
      <c r="S33" s="198"/>
      <c r="T33" s="198"/>
      <c r="U33" s="198"/>
    </row>
    <row r="34" spans="1:21" s="12" customFormat="1" x14ac:dyDescent="0.25">
      <c r="A34" s="201" t="s">
        <v>1715</v>
      </c>
      <c r="B34" s="60">
        <v>9.64</v>
      </c>
      <c r="C34" s="60">
        <v>42.41</v>
      </c>
      <c r="D34" s="60">
        <v>31.78</v>
      </c>
      <c r="E34" s="60">
        <v>1.39</v>
      </c>
      <c r="F34" s="60">
        <v>4.8099999999999996</v>
      </c>
      <c r="G34" s="60">
        <v>60.55</v>
      </c>
      <c r="H34" s="60">
        <v>18.350000000000001</v>
      </c>
      <c r="I34" s="60">
        <v>0.56999999999999995</v>
      </c>
      <c r="J34" s="60">
        <v>0.05</v>
      </c>
      <c r="K34" s="60">
        <v>28.81</v>
      </c>
      <c r="L34" s="60">
        <v>23.87</v>
      </c>
      <c r="M34" s="60">
        <v>43.33</v>
      </c>
      <c r="N34" s="60">
        <v>77</v>
      </c>
      <c r="O34" s="60">
        <v>0</v>
      </c>
      <c r="P34" s="60">
        <v>0.63</v>
      </c>
      <c r="Q34" s="60">
        <v>6.05</v>
      </c>
      <c r="R34" s="198"/>
      <c r="S34" s="198"/>
      <c r="T34" s="198"/>
      <c r="U34" s="198"/>
    </row>
    <row r="35" spans="1:21" s="12" customFormat="1" x14ac:dyDescent="0.25">
      <c r="A35" s="201" t="s">
        <v>1716</v>
      </c>
      <c r="B35" s="60">
        <v>11.49</v>
      </c>
      <c r="C35" s="60">
        <v>42.59</v>
      </c>
      <c r="D35" s="60">
        <v>33.36</v>
      </c>
      <c r="E35" s="60">
        <v>1.1399999999999999</v>
      </c>
      <c r="F35" s="60">
        <v>3.37</v>
      </c>
      <c r="G35" s="60">
        <v>60.55</v>
      </c>
      <c r="H35" s="60">
        <v>18.350000000000001</v>
      </c>
      <c r="I35" s="60">
        <v>0.56000000000000005</v>
      </c>
      <c r="J35" s="60">
        <v>0.1</v>
      </c>
      <c r="K35" s="60">
        <v>296.73</v>
      </c>
      <c r="L35" s="60">
        <v>24.83</v>
      </c>
      <c r="M35" s="60">
        <v>43.04</v>
      </c>
      <c r="N35" s="60">
        <v>126.2</v>
      </c>
      <c r="O35" s="60">
        <v>0</v>
      </c>
      <c r="P35" s="60">
        <v>0.65</v>
      </c>
      <c r="Q35" s="60">
        <v>5.42</v>
      </c>
      <c r="R35" s="198"/>
      <c r="S35" s="198"/>
      <c r="T35" s="198"/>
      <c r="U35" s="198"/>
    </row>
    <row r="36" spans="1:21" s="12" customFormat="1" x14ac:dyDescent="0.25">
      <c r="A36" s="201" t="s">
        <v>1717</v>
      </c>
      <c r="B36" s="60">
        <v>9.42</v>
      </c>
      <c r="C36" s="60">
        <v>41.38</v>
      </c>
      <c r="D36" s="60">
        <v>31.03</v>
      </c>
      <c r="E36" s="60">
        <v>1.3</v>
      </c>
      <c r="F36" s="60">
        <v>3.78</v>
      </c>
      <c r="G36" s="60">
        <v>60.55</v>
      </c>
      <c r="H36" s="60">
        <v>18.350000000000001</v>
      </c>
      <c r="I36" s="60">
        <v>0.53</v>
      </c>
      <c r="J36" s="60">
        <v>0.02</v>
      </c>
      <c r="K36" s="60">
        <v>347.26</v>
      </c>
      <c r="L36" s="60">
        <v>24.86</v>
      </c>
      <c r="M36" s="60">
        <v>42.33</v>
      </c>
      <c r="N36" s="60">
        <v>97.3</v>
      </c>
      <c r="O36" s="60">
        <v>0</v>
      </c>
      <c r="P36" s="60">
        <v>0.64</v>
      </c>
      <c r="Q36" s="60">
        <v>5.34</v>
      </c>
      <c r="R36" s="198"/>
      <c r="S36" s="198"/>
      <c r="T36" s="198"/>
      <c r="U36" s="198"/>
    </row>
    <row r="37" spans="1:21" s="12" customFormat="1" x14ac:dyDescent="0.25">
      <c r="A37" s="201" t="s">
        <v>1718</v>
      </c>
      <c r="B37" s="60">
        <v>10.76</v>
      </c>
      <c r="C37" s="60">
        <v>44.55</v>
      </c>
      <c r="D37" s="60">
        <v>33.86</v>
      </c>
      <c r="E37" s="60">
        <v>1.74</v>
      </c>
      <c r="F37" s="60">
        <v>4.43</v>
      </c>
      <c r="G37" s="60">
        <v>61.19</v>
      </c>
      <c r="H37" s="60">
        <v>19.22</v>
      </c>
      <c r="I37" s="60">
        <v>0.55000000000000004</v>
      </c>
      <c r="J37" s="60">
        <v>7.0000000000000007E-2</v>
      </c>
      <c r="K37" s="60">
        <v>46.24</v>
      </c>
      <c r="L37" s="60">
        <v>25.67</v>
      </c>
      <c r="M37" s="60">
        <v>40.549999999999997</v>
      </c>
      <c r="N37" s="60">
        <v>177.9</v>
      </c>
      <c r="O37" s="60">
        <v>0</v>
      </c>
      <c r="P37" s="60">
        <v>0.69</v>
      </c>
      <c r="Q37" s="60">
        <v>5.0599999999999996</v>
      </c>
      <c r="R37" s="198"/>
      <c r="S37" s="198"/>
      <c r="T37" s="198"/>
      <c r="U37" s="198"/>
    </row>
    <row r="38" spans="1:21" s="12" customFormat="1" x14ac:dyDescent="0.25">
      <c r="A38" s="201" t="s">
        <v>1719</v>
      </c>
      <c r="B38" s="60">
        <v>9.3699999999999992</v>
      </c>
      <c r="C38" s="60">
        <v>44.72</v>
      </c>
      <c r="D38" s="60">
        <v>32.840000000000003</v>
      </c>
      <c r="E38" s="60">
        <v>1.58</v>
      </c>
      <c r="F38" s="60">
        <v>5.16</v>
      </c>
      <c r="G38" s="60">
        <v>65</v>
      </c>
      <c r="H38" s="60">
        <v>22.87</v>
      </c>
      <c r="I38" s="60">
        <v>0.56999999999999995</v>
      </c>
      <c r="J38" s="60">
        <v>0.1</v>
      </c>
      <c r="K38" s="60">
        <v>276.2</v>
      </c>
      <c r="L38" s="60">
        <v>26.91</v>
      </c>
      <c r="M38" s="60">
        <v>37.840000000000003</v>
      </c>
      <c r="N38" s="60">
        <v>250.4</v>
      </c>
      <c r="O38" s="60">
        <v>0</v>
      </c>
      <c r="P38" s="60">
        <v>0.72</v>
      </c>
      <c r="Q38" s="60">
        <v>4.97</v>
      </c>
      <c r="R38" s="198"/>
      <c r="S38" s="198"/>
      <c r="T38" s="198"/>
      <c r="U38" s="198"/>
    </row>
    <row r="39" spans="1:21" s="12" customFormat="1" x14ac:dyDescent="0.25">
      <c r="A39" s="201" t="s">
        <v>1720</v>
      </c>
      <c r="B39" s="60">
        <v>9.0299999999999994</v>
      </c>
      <c r="C39" s="60">
        <v>43.64</v>
      </c>
      <c r="D39" s="60">
        <v>31.98</v>
      </c>
      <c r="E39" s="60">
        <v>0.94</v>
      </c>
      <c r="F39" s="60">
        <v>4.8</v>
      </c>
      <c r="G39" s="60">
        <v>65</v>
      </c>
      <c r="H39" s="60">
        <v>22.87</v>
      </c>
      <c r="I39" s="60">
        <v>0.55000000000000004</v>
      </c>
      <c r="J39" s="60">
        <v>0.04</v>
      </c>
      <c r="K39" s="60">
        <v>15.38</v>
      </c>
      <c r="L39" s="60">
        <v>27.22</v>
      </c>
      <c r="M39" s="60">
        <v>37.28</v>
      </c>
      <c r="N39" s="60">
        <v>240.6</v>
      </c>
      <c r="O39" s="60">
        <v>0</v>
      </c>
      <c r="P39" s="60">
        <v>0.73</v>
      </c>
      <c r="Q39" s="60">
        <v>5.08</v>
      </c>
      <c r="R39" s="198"/>
      <c r="S39" s="198"/>
      <c r="T39" s="198"/>
      <c r="U39" s="198"/>
    </row>
    <row r="40" spans="1:21" s="12" customFormat="1" x14ac:dyDescent="0.25">
      <c r="A40" s="201" t="s">
        <v>1721</v>
      </c>
      <c r="B40" s="60">
        <v>8.7899999999999991</v>
      </c>
      <c r="C40" s="60">
        <v>44.85</v>
      </c>
      <c r="D40" s="60">
        <v>32.450000000000003</v>
      </c>
      <c r="E40" s="60">
        <v>1.1599999999999999</v>
      </c>
      <c r="F40" s="60">
        <v>10.77</v>
      </c>
      <c r="G40" s="60">
        <v>65</v>
      </c>
      <c r="H40" s="60">
        <v>22.87</v>
      </c>
      <c r="I40" s="60">
        <v>0.56999999999999995</v>
      </c>
      <c r="J40" s="60">
        <v>0.12</v>
      </c>
      <c r="K40" s="60">
        <v>234.13</v>
      </c>
      <c r="L40" s="60">
        <v>27.75</v>
      </c>
      <c r="M40" s="60">
        <v>36.299999999999997</v>
      </c>
      <c r="N40" s="60">
        <v>319.10000000000002</v>
      </c>
      <c r="O40" s="60">
        <v>0</v>
      </c>
      <c r="P40" s="60">
        <v>0.73</v>
      </c>
      <c r="Q40" s="60">
        <v>5.17</v>
      </c>
      <c r="R40" s="198"/>
      <c r="S40" s="198"/>
      <c r="T40" s="198"/>
      <c r="U40" s="198"/>
    </row>
    <row r="41" spans="1:21" s="12" customFormat="1" x14ac:dyDescent="0.25">
      <c r="A41" s="201" t="s">
        <v>1722</v>
      </c>
      <c r="B41" s="60">
        <v>9.91</v>
      </c>
      <c r="C41" s="60">
        <v>47</v>
      </c>
      <c r="D41" s="60">
        <v>34.53</v>
      </c>
      <c r="E41" s="60">
        <v>1.32</v>
      </c>
      <c r="F41" s="60">
        <v>13.3</v>
      </c>
      <c r="G41" s="60">
        <v>65.39</v>
      </c>
      <c r="H41" s="60">
        <v>23.3</v>
      </c>
      <c r="I41" s="60">
        <v>0.56999999999999995</v>
      </c>
      <c r="J41" s="60">
        <v>0.15</v>
      </c>
      <c r="K41" s="60">
        <v>246.54</v>
      </c>
      <c r="L41" s="60">
        <v>28.85</v>
      </c>
      <c r="M41" s="60">
        <v>34.950000000000003</v>
      </c>
      <c r="N41" s="60">
        <v>404.1</v>
      </c>
      <c r="O41" s="60">
        <v>0</v>
      </c>
      <c r="P41" s="60">
        <v>0.78</v>
      </c>
      <c r="Q41" s="60">
        <v>6.64</v>
      </c>
      <c r="R41" s="198"/>
      <c r="S41" s="198"/>
      <c r="T41" s="198"/>
      <c r="U41" s="198"/>
    </row>
    <row r="42" spans="1:21" s="12" customFormat="1" x14ac:dyDescent="0.25">
      <c r="A42" s="201" t="s">
        <v>1723</v>
      </c>
      <c r="B42" s="60">
        <v>9.14</v>
      </c>
      <c r="C42" s="60">
        <v>48.86</v>
      </c>
      <c r="D42" s="60">
        <v>34.94</v>
      </c>
      <c r="E42" s="60">
        <v>2.23</v>
      </c>
      <c r="F42" s="60">
        <v>11.07</v>
      </c>
      <c r="G42" s="60">
        <v>67.72</v>
      </c>
      <c r="H42" s="60">
        <v>25.64</v>
      </c>
      <c r="I42" s="60">
        <v>0.55000000000000004</v>
      </c>
      <c r="J42" s="60">
        <v>0.11</v>
      </c>
      <c r="K42" s="60">
        <v>356.43</v>
      </c>
      <c r="L42" s="60">
        <v>30.91</v>
      </c>
      <c r="M42" s="60">
        <v>31.26</v>
      </c>
      <c r="N42" s="60">
        <v>464.2</v>
      </c>
      <c r="O42" s="60">
        <v>0</v>
      </c>
      <c r="P42" s="60">
        <v>0.75</v>
      </c>
      <c r="Q42" s="60">
        <v>8.0500000000000007</v>
      </c>
      <c r="R42" s="198"/>
      <c r="S42" s="198"/>
      <c r="T42" s="198"/>
      <c r="U42" s="198"/>
    </row>
    <row r="43" spans="1:21" s="12" customFormat="1" x14ac:dyDescent="0.25">
      <c r="A43" s="201" t="s">
        <v>1724</v>
      </c>
      <c r="B43" s="60">
        <v>7.86</v>
      </c>
      <c r="C43" s="60">
        <v>48.32</v>
      </c>
      <c r="D43" s="60">
        <v>33.61</v>
      </c>
      <c r="E43" s="60">
        <v>2.57</v>
      </c>
      <c r="F43" s="60">
        <v>10.27</v>
      </c>
      <c r="G43" s="60">
        <v>67.72</v>
      </c>
      <c r="H43" s="60">
        <v>25.64</v>
      </c>
      <c r="I43" s="60">
        <v>0.52</v>
      </c>
      <c r="J43" s="60">
        <v>0.06</v>
      </c>
      <c r="K43" s="60">
        <v>1.02</v>
      </c>
      <c r="L43" s="60">
        <v>31.76</v>
      </c>
      <c r="M43" s="60">
        <v>28.32</v>
      </c>
      <c r="N43" s="60">
        <v>514.4</v>
      </c>
      <c r="O43" s="60">
        <v>0</v>
      </c>
      <c r="P43" s="60">
        <v>0.75</v>
      </c>
      <c r="Q43" s="60">
        <v>9.24</v>
      </c>
      <c r="R43" s="198"/>
      <c r="S43" s="198"/>
      <c r="T43" s="198"/>
      <c r="U43" s="198"/>
    </row>
    <row r="44" spans="1:21" s="12" customFormat="1" x14ac:dyDescent="0.25">
      <c r="A44" s="201" t="s">
        <v>1725</v>
      </c>
      <c r="B44" s="60">
        <v>7.09</v>
      </c>
      <c r="C44" s="60">
        <v>50.11</v>
      </c>
      <c r="D44" s="60">
        <v>33.99</v>
      </c>
      <c r="E44" s="60">
        <v>2.81</v>
      </c>
      <c r="F44" s="60">
        <v>11.94</v>
      </c>
      <c r="G44" s="60">
        <v>67.72</v>
      </c>
      <c r="H44" s="60">
        <v>25.64</v>
      </c>
      <c r="I44" s="60">
        <v>0.53</v>
      </c>
      <c r="J44" s="60">
        <v>7.0000000000000007E-2</v>
      </c>
      <c r="K44" s="60">
        <v>302.5</v>
      </c>
      <c r="L44" s="60">
        <v>32.409999999999997</v>
      </c>
      <c r="M44" s="60">
        <v>27.21</v>
      </c>
      <c r="N44" s="60">
        <v>567.1</v>
      </c>
      <c r="O44" s="60">
        <v>0</v>
      </c>
      <c r="P44" s="60">
        <v>0.78</v>
      </c>
      <c r="Q44" s="60">
        <v>9.6300000000000008</v>
      </c>
      <c r="R44" s="198"/>
      <c r="S44" s="198"/>
      <c r="T44" s="198"/>
      <c r="U44" s="198"/>
    </row>
    <row r="45" spans="1:21" s="12" customFormat="1" x14ac:dyDescent="0.25">
      <c r="A45" s="201" t="s">
        <v>1726</v>
      </c>
      <c r="B45" s="60">
        <v>6.27</v>
      </c>
      <c r="C45" s="60">
        <v>50.16</v>
      </c>
      <c r="D45" s="60">
        <v>33.35</v>
      </c>
      <c r="E45" s="60">
        <v>2.08</v>
      </c>
      <c r="F45" s="60">
        <v>9.85</v>
      </c>
      <c r="G45" s="60">
        <v>65.48</v>
      </c>
      <c r="H45" s="60">
        <v>25.83</v>
      </c>
      <c r="I45" s="60">
        <v>0.57999999999999996</v>
      </c>
      <c r="J45" s="60">
        <v>0.36</v>
      </c>
      <c r="K45" s="60">
        <v>340.32</v>
      </c>
      <c r="L45" s="60">
        <v>35.04</v>
      </c>
      <c r="M45" s="60">
        <v>23.19</v>
      </c>
      <c r="N45" s="60">
        <v>614.20000000000005</v>
      </c>
      <c r="O45" s="60">
        <v>0</v>
      </c>
      <c r="P45" s="60">
        <v>0.78</v>
      </c>
      <c r="Q45" s="60">
        <v>9.2899999999999991</v>
      </c>
      <c r="R45" s="198"/>
      <c r="S45" s="198"/>
      <c r="T45" s="198"/>
      <c r="U45" s="198"/>
    </row>
    <row r="46" spans="1:21" s="12" customFormat="1" x14ac:dyDescent="0.25">
      <c r="A46" s="201" t="s">
        <v>1727</v>
      </c>
      <c r="B46" s="60">
        <v>5.3</v>
      </c>
      <c r="C46" s="60">
        <v>50.75</v>
      </c>
      <c r="D46" s="60">
        <v>32.909999999999997</v>
      </c>
      <c r="E46" s="60">
        <v>2.59</v>
      </c>
      <c r="F46" s="60">
        <v>11.39</v>
      </c>
      <c r="G46" s="60">
        <v>52.27</v>
      </c>
      <c r="H46" s="60">
        <v>26.59</v>
      </c>
      <c r="I46" s="60">
        <v>0.57999999999999996</v>
      </c>
      <c r="J46" s="60">
        <v>0.23</v>
      </c>
      <c r="K46" s="60">
        <v>343.02</v>
      </c>
      <c r="L46" s="60">
        <v>36.840000000000003</v>
      </c>
      <c r="M46" s="60">
        <v>19.71</v>
      </c>
      <c r="N46" s="60">
        <v>653.70000000000005</v>
      </c>
      <c r="O46" s="60">
        <v>0</v>
      </c>
      <c r="P46" s="60">
        <v>0.8</v>
      </c>
      <c r="Q46" s="60">
        <v>7.61</v>
      </c>
      <c r="R46" s="198"/>
      <c r="S46" s="198"/>
      <c r="T46" s="198"/>
      <c r="U46" s="198"/>
    </row>
    <row r="47" spans="1:21" s="12" customFormat="1" x14ac:dyDescent="0.25">
      <c r="A47" s="201" t="s">
        <v>1728</v>
      </c>
      <c r="B47" s="60">
        <v>3.98</v>
      </c>
      <c r="C47" s="60">
        <v>47.61</v>
      </c>
      <c r="D47" s="60">
        <v>30.11</v>
      </c>
      <c r="E47" s="60">
        <v>3.19</v>
      </c>
      <c r="F47" s="60">
        <v>19.97</v>
      </c>
      <c r="G47" s="60">
        <v>52.27</v>
      </c>
      <c r="H47" s="60">
        <v>26.59</v>
      </c>
      <c r="I47" s="60">
        <v>0.57999999999999996</v>
      </c>
      <c r="J47" s="60">
        <v>0.15</v>
      </c>
      <c r="K47" s="60">
        <v>354.13</v>
      </c>
      <c r="L47" s="60">
        <v>37.1</v>
      </c>
      <c r="M47" s="60">
        <v>18.73</v>
      </c>
      <c r="N47" s="60">
        <v>690.8</v>
      </c>
      <c r="O47" s="60">
        <v>0</v>
      </c>
      <c r="P47" s="60">
        <v>0.82</v>
      </c>
      <c r="Q47" s="60">
        <v>5.88</v>
      </c>
      <c r="R47" s="198"/>
      <c r="S47" s="198"/>
      <c r="T47" s="198"/>
      <c r="U47" s="198"/>
    </row>
    <row r="48" spans="1:21" s="12" customFormat="1" x14ac:dyDescent="0.25">
      <c r="A48" s="201" t="s">
        <v>1729</v>
      </c>
      <c r="B48" s="60">
        <v>5.07</v>
      </c>
      <c r="C48" s="60">
        <v>51.57</v>
      </c>
      <c r="D48" s="60">
        <v>33.17</v>
      </c>
      <c r="E48" s="60">
        <v>4.28</v>
      </c>
      <c r="F48" s="60">
        <v>25.9</v>
      </c>
      <c r="G48" s="60">
        <v>52.27</v>
      </c>
      <c r="H48" s="60">
        <v>26.59</v>
      </c>
      <c r="I48" s="60">
        <v>0.55000000000000004</v>
      </c>
      <c r="J48" s="60">
        <v>0.38</v>
      </c>
      <c r="K48" s="60">
        <v>358.88</v>
      </c>
      <c r="L48" s="60">
        <v>37.61</v>
      </c>
      <c r="M48" s="60">
        <v>18.22</v>
      </c>
      <c r="N48" s="60">
        <v>713.5</v>
      </c>
      <c r="O48" s="60">
        <v>0</v>
      </c>
      <c r="P48" s="60">
        <v>0.91</v>
      </c>
      <c r="Q48" s="60">
        <v>4.9800000000000004</v>
      </c>
      <c r="R48" s="198"/>
      <c r="S48" s="198"/>
      <c r="T48" s="198"/>
      <c r="U48" s="198"/>
    </row>
    <row r="49" spans="1:21" s="12" customFormat="1" x14ac:dyDescent="0.25">
      <c r="A49" s="201" t="s">
        <v>1730</v>
      </c>
      <c r="B49" s="60">
        <v>3.17</v>
      </c>
      <c r="C49" s="60">
        <v>46.37</v>
      </c>
      <c r="D49" s="60">
        <v>28.78</v>
      </c>
      <c r="E49" s="60">
        <v>5.28</v>
      </c>
      <c r="F49" s="60">
        <v>29.77</v>
      </c>
      <c r="G49" s="60">
        <v>52.77</v>
      </c>
      <c r="H49" s="60">
        <v>25.89</v>
      </c>
      <c r="I49" s="60">
        <v>0.54</v>
      </c>
      <c r="J49" s="60">
        <v>0.18</v>
      </c>
      <c r="K49" s="60">
        <v>348.07</v>
      </c>
      <c r="L49" s="60">
        <v>37.44</v>
      </c>
      <c r="M49" s="60">
        <v>18.8</v>
      </c>
      <c r="N49" s="60">
        <v>738.8</v>
      </c>
      <c r="O49" s="60">
        <v>0</v>
      </c>
      <c r="P49" s="60">
        <v>0.87</v>
      </c>
      <c r="Q49" s="60">
        <v>4.78</v>
      </c>
      <c r="R49" s="198"/>
      <c r="S49" s="198"/>
      <c r="T49" s="198"/>
      <c r="U49" s="198"/>
    </row>
    <row r="50" spans="1:21" s="12" customFormat="1" x14ac:dyDescent="0.25">
      <c r="A50" s="201" t="s">
        <v>1731</v>
      </c>
      <c r="B50" s="60">
        <v>5.9</v>
      </c>
      <c r="C50" s="60">
        <v>50.92</v>
      </c>
      <c r="D50" s="60">
        <v>33.479999999999997</v>
      </c>
      <c r="E50" s="60">
        <v>4.26</v>
      </c>
      <c r="F50" s="60">
        <v>20.079999999999998</v>
      </c>
      <c r="G50" s="60">
        <v>55.75</v>
      </c>
      <c r="H50" s="60">
        <v>22.99</v>
      </c>
      <c r="I50" s="60">
        <v>0.54</v>
      </c>
      <c r="J50" s="60">
        <v>0.92</v>
      </c>
      <c r="K50" s="60">
        <v>355.42</v>
      </c>
      <c r="L50" s="60">
        <v>38.76</v>
      </c>
      <c r="M50" s="60">
        <v>16.91</v>
      </c>
      <c r="N50" s="60">
        <v>765.4</v>
      </c>
      <c r="O50" s="60">
        <v>0</v>
      </c>
      <c r="P50" s="60">
        <v>0.9</v>
      </c>
      <c r="Q50" s="60">
        <v>4.96</v>
      </c>
      <c r="R50" s="198"/>
      <c r="S50" s="198"/>
      <c r="T50" s="198"/>
      <c r="U50" s="198"/>
    </row>
    <row r="51" spans="1:21" s="12" customFormat="1" x14ac:dyDescent="0.25">
      <c r="A51" s="201" t="s">
        <v>1732</v>
      </c>
      <c r="B51" s="60">
        <v>5.25</v>
      </c>
      <c r="C51" s="60">
        <v>50.69</v>
      </c>
      <c r="D51" s="60">
        <v>32.83</v>
      </c>
      <c r="E51" s="60">
        <v>3.5</v>
      </c>
      <c r="F51" s="60">
        <v>25</v>
      </c>
      <c r="G51" s="60">
        <v>55.75</v>
      </c>
      <c r="H51" s="60">
        <v>22.99</v>
      </c>
      <c r="I51" s="60">
        <v>0.6</v>
      </c>
      <c r="J51" s="60">
        <v>0.88</v>
      </c>
      <c r="K51" s="60">
        <v>4.4800000000000004</v>
      </c>
      <c r="L51" s="60">
        <v>39.58</v>
      </c>
      <c r="M51" s="60">
        <v>15.02</v>
      </c>
      <c r="N51" s="60">
        <v>787.8</v>
      </c>
      <c r="O51" s="60">
        <v>0</v>
      </c>
      <c r="P51" s="60">
        <v>0.84</v>
      </c>
      <c r="Q51" s="60">
        <v>5.04</v>
      </c>
      <c r="R51" s="198"/>
      <c r="S51" s="198"/>
      <c r="T51" s="198"/>
      <c r="U51" s="198"/>
    </row>
    <row r="52" spans="1:21" s="12" customFormat="1" x14ac:dyDescent="0.25">
      <c r="A52" s="201" t="s">
        <v>1733</v>
      </c>
      <c r="B52" s="60">
        <v>5.34</v>
      </c>
      <c r="C52" s="60">
        <v>50.51</v>
      </c>
      <c r="D52" s="60">
        <v>32.799999999999997</v>
      </c>
      <c r="E52" s="60">
        <v>3.75</v>
      </c>
      <c r="F52" s="60">
        <v>27.81</v>
      </c>
      <c r="G52" s="60">
        <v>55.75</v>
      </c>
      <c r="H52" s="60">
        <v>22.99</v>
      </c>
      <c r="I52" s="60">
        <v>0.62</v>
      </c>
      <c r="J52" s="60">
        <v>0.71</v>
      </c>
      <c r="K52" s="60">
        <v>5.86</v>
      </c>
      <c r="L52" s="60">
        <v>39.380000000000003</v>
      </c>
      <c r="M52" s="60">
        <v>15.96</v>
      </c>
      <c r="N52" s="60">
        <v>802.4</v>
      </c>
      <c r="O52" s="60">
        <v>0</v>
      </c>
      <c r="P52" s="60">
        <v>0.92</v>
      </c>
      <c r="Q52" s="60">
        <v>6.38</v>
      </c>
      <c r="R52" s="198"/>
      <c r="S52" s="198"/>
      <c r="T52" s="198"/>
      <c r="U52" s="198"/>
    </row>
    <row r="53" spans="1:21" s="12" customFormat="1" x14ac:dyDescent="0.25">
      <c r="A53" s="201" t="s">
        <v>1734</v>
      </c>
      <c r="B53" s="60">
        <v>5.16</v>
      </c>
      <c r="C53" s="60">
        <v>51.97</v>
      </c>
      <c r="D53" s="60">
        <v>33.46</v>
      </c>
      <c r="E53" s="60">
        <v>3.28</v>
      </c>
      <c r="F53" s="60">
        <v>23.43</v>
      </c>
      <c r="G53" s="60">
        <v>55.19</v>
      </c>
      <c r="H53" s="60">
        <v>23.24</v>
      </c>
      <c r="I53" s="60">
        <v>0.63</v>
      </c>
      <c r="J53" s="60">
        <v>1.07</v>
      </c>
      <c r="K53" s="60">
        <v>353.61</v>
      </c>
      <c r="L53" s="60">
        <v>38.9</v>
      </c>
      <c r="M53" s="60">
        <v>15.95</v>
      </c>
      <c r="N53" s="60">
        <v>818.8</v>
      </c>
      <c r="O53" s="60">
        <v>0</v>
      </c>
      <c r="P53" s="60">
        <v>0.87</v>
      </c>
      <c r="Q53" s="60">
        <v>8.2899999999999991</v>
      </c>
      <c r="R53" s="198"/>
      <c r="S53" s="198"/>
      <c r="T53" s="198"/>
      <c r="U53" s="198"/>
    </row>
    <row r="54" spans="1:21" s="12" customFormat="1" x14ac:dyDescent="0.25">
      <c r="A54" s="201" t="s">
        <v>1735</v>
      </c>
      <c r="B54" s="60">
        <v>5.43</v>
      </c>
      <c r="C54" s="60">
        <v>47.29</v>
      </c>
      <c r="D54" s="60">
        <v>31.1</v>
      </c>
      <c r="E54" s="60">
        <v>3.75</v>
      </c>
      <c r="F54" s="60">
        <v>35.03</v>
      </c>
      <c r="G54" s="60">
        <v>51.88</v>
      </c>
      <c r="H54" s="60">
        <v>24.57</v>
      </c>
      <c r="I54" s="60">
        <v>0.63</v>
      </c>
      <c r="J54" s="60">
        <v>1.29</v>
      </c>
      <c r="K54" s="60">
        <v>10.210000000000001</v>
      </c>
      <c r="L54" s="60">
        <v>38.950000000000003</v>
      </c>
      <c r="M54" s="60">
        <v>14.69</v>
      </c>
      <c r="N54" s="60">
        <v>834.5</v>
      </c>
      <c r="O54" s="60">
        <v>0</v>
      </c>
      <c r="P54" s="60">
        <v>0.78</v>
      </c>
      <c r="Q54" s="60">
        <v>9.5299999999999994</v>
      </c>
      <c r="R54" s="198"/>
      <c r="S54" s="198"/>
      <c r="T54" s="198"/>
      <c r="U54" s="198"/>
    </row>
    <row r="55" spans="1:21" s="12" customFormat="1" x14ac:dyDescent="0.25">
      <c r="A55" s="201" t="s">
        <v>1736</v>
      </c>
      <c r="B55" s="60">
        <v>3.12</v>
      </c>
      <c r="C55" s="60">
        <v>45.49</v>
      </c>
      <c r="D55" s="60">
        <v>28.26</v>
      </c>
      <c r="E55" s="60">
        <v>2.75</v>
      </c>
      <c r="F55" s="60">
        <v>35.81</v>
      </c>
      <c r="G55" s="60">
        <v>51.88</v>
      </c>
      <c r="H55" s="60">
        <v>24.57</v>
      </c>
      <c r="I55" s="60">
        <v>0.65</v>
      </c>
      <c r="J55" s="60">
        <v>0.08</v>
      </c>
      <c r="K55" s="60">
        <v>104.42</v>
      </c>
      <c r="L55" s="60">
        <v>39.18</v>
      </c>
      <c r="M55" s="60">
        <v>13.56</v>
      </c>
      <c r="N55" s="60">
        <v>845.3</v>
      </c>
      <c r="O55" s="60">
        <v>0</v>
      </c>
      <c r="P55" s="60">
        <v>0.73</v>
      </c>
      <c r="Q55" s="60">
        <v>10.66</v>
      </c>
      <c r="R55" s="198"/>
      <c r="S55" s="198"/>
      <c r="T55" s="198"/>
      <c r="U55" s="198"/>
    </row>
    <row r="56" spans="1:21" s="12" customFormat="1" x14ac:dyDescent="0.25">
      <c r="A56" s="201" t="s">
        <v>1737</v>
      </c>
      <c r="B56" s="60">
        <v>5.96</v>
      </c>
      <c r="C56" s="60">
        <v>46.47</v>
      </c>
      <c r="D56" s="60">
        <v>31.07</v>
      </c>
      <c r="E56" s="60">
        <v>1.56</v>
      </c>
      <c r="F56" s="60">
        <v>32.56</v>
      </c>
      <c r="G56" s="60">
        <v>51.88</v>
      </c>
      <c r="H56" s="60">
        <v>24.57</v>
      </c>
      <c r="I56" s="60">
        <v>0.61</v>
      </c>
      <c r="J56" s="60">
        <v>0.76</v>
      </c>
      <c r="K56" s="60">
        <v>357.99</v>
      </c>
      <c r="L56" s="60">
        <v>39.159999999999997</v>
      </c>
      <c r="M56" s="60">
        <v>14.02</v>
      </c>
      <c r="N56" s="60">
        <v>842.5</v>
      </c>
      <c r="O56" s="60">
        <v>0</v>
      </c>
      <c r="P56" s="60">
        <v>0.72</v>
      </c>
      <c r="Q56" s="60">
        <v>11.3</v>
      </c>
      <c r="R56" s="198"/>
      <c r="S56" s="198"/>
      <c r="T56" s="198"/>
      <c r="U56" s="198"/>
    </row>
    <row r="57" spans="1:21" s="12" customFormat="1" x14ac:dyDescent="0.25">
      <c r="A57" s="201" t="s">
        <v>1738</v>
      </c>
      <c r="B57" s="60">
        <v>6.35</v>
      </c>
      <c r="C57" s="60">
        <v>50.26</v>
      </c>
      <c r="D57" s="60">
        <v>33.479999999999997</v>
      </c>
      <c r="E57" s="60">
        <v>2.71</v>
      </c>
      <c r="F57" s="60">
        <v>33.01</v>
      </c>
      <c r="G57" s="60">
        <v>51.43</v>
      </c>
      <c r="H57" s="60">
        <v>24.16</v>
      </c>
      <c r="I57" s="60">
        <v>0.66</v>
      </c>
      <c r="J57" s="60">
        <v>0.89</v>
      </c>
      <c r="K57" s="60">
        <v>7.36</v>
      </c>
      <c r="L57" s="60">
        <v>40.229999999999997</v>
      </c>
      <c r="M57" s="60">
        <v>12.82</v>
      </c>
      <c r="N57" s="60">
        <v>836.9</v>
      </c>
      <c r="O57" s="60">
        <v>0</v>
      </c>
      <c r="P57" s="60">
        <v>0.75</v>
      </c>
      <c r="Q57" s="60">
        <v>11.69</v>
      </c>
      <c r="R57" s="198"/>
      <c r="S57" s="198"/>
      <c r="T57" s="198"/>
      <c r="U57" s="198"/>
    </row>
    <row r="58" spans="1:21" s="12" customFormat="1" x14ac:dyDescent="0.25">
      <c r="A58" s="201" t="s">
        <v>1739</v>
      </c>
      <c r="B58" s="60">
        <v>4.79</v>
      </c>
      <c r="C58" s="60">
        <v>47.5</v>
      </c>
      <c r="D58" s="60">
        <v>30.7</v>
      </c>
      <c r="E58" s="60">
        <v>2.5299999999999998</v>
      </c>
      <c r="F58" s="60">
        <v>23.09</v>
      </c>
      <c r="G58" s="60">
        <v>49</v>
      </c>
      <c r="H58" s="60">
        <v>21.93</v>
      </c>
      <c r="I58" s="60">
        <v>0.67</v>
      </c>
      <c r="J58" s="60">
        <v>0.9</v>
      </c>
      <c r="K58" s="60">
        <v>24.9</v>
      </c>
      <c r="L58" s="60">
        <v>39.65</v>
      </c>
      <c r="M58" s="60">
        <v>13.49</v>
      </c>
      <c r="N58" s="60">
        <v>833.2</v>
      </c>
      <c r="O58" s="60">
        <v>0</v>
      </c>
      <c r="P58" s="60">
        <v>0.78</v>
      </c>
      <c r="Q58" s="60">
        <v>11.21</v>
      </c>
      <c r="R58" s="198"/>
      <c r="S58" s="198"/>
      <c r="T58" s="198"/>
      <c r="U58" s="198"/>
    </row>
    <row r="59" spans="1:21" s="12" customFormat="1" x14ac:dyDescent="0.25">
      <c r="A59" s="201" t="s">
        <v>1740</v>
      </c>
      <c r="B59" s="60">
        <v>5.15</v>
      </c>
      <c r="C59" s="60">
        <v>52.06</v>
      </c>
      <c r="D59" s="60">
        <v>33.51</v>
      </c>
      <c r="E59" s="60">
        <v>2.63</v>
      </c>
      <c r="F59" s="60">
        <v>31.87</v>
      </c>
      <c r="G59" s="60">
        <v>49</v>
      </c>
      <c r="H59" s="60">
        <v>21.93</v>
      </c>
      <c r="I59" s="60">
        <v>0.68</v>
      </c>
      <c r="J59" s="60">
        <v>0.33</v>
      </c>
      <c r="K59" s="60">
        <v>61.64</v>
      </c>
      <c r="L59" s="60">
        <v>37.89</v>
      </c>
      <c r="M59" s="60">
        <v>15.15</v>
      </c>
      <c r="N59" s="60">
        <v>819.1</v>
      </c>
      <c r="O59" s="60">
        <v>0</v>
      </c>
      <c r="P59" s="60">
        <v>0.76</v>
      </c>
      <c r="Q59" s="60">
        <v>10.92</v>
      </c>
      <c r="R59" s="198"/>
      <c r="S59" s="198"/>
      <c r="T59" s="198"/>
      <c r="U59" s="198"/>
    </row>
    <row r="60" spans="1:21" s="12" customFormat="1" x14ac:dyDescent="0.25">
      <c r="A60" s="201" t="s">
        <v>1741</v>
      </c>
      <c r="B60" s="60">
        <v>3.93</v>
      </c>
      <c r="C60" s="60">
        <v>50.15</v>
      </c>
      <c r="D60" s="60">
        <v>31.48</v>
      </c>
      <c r="E60" s="60">
        <v>2.6</v>
      </c>
      <c r="F60" s="60">
        <v>25.98</v>
      </c>
      <c r="G60" s="60">
        <v>49</v>
      </c>
      <c r="H60" s="60">
        <v>21.93</v>
      </c>
      <c r="I60" s="60">
        <v>0.72</v>
      </c>
      <c r="J60" s="60">
        <v>1.1599999999999999</v>
      </c>
      <c r="K60" s="60">
        <v>102.27</v>
      </c>
      <c r="L60" s="60">
        <v>36.72</v>
      </c>
      <c r="M60" s="60">
        <v>15.23</v>
      </c>
      <c r="N60" s="60">
        <v>804.7</v>
      </c>
      <c r="O60" s="60">
        <v>0</v>
      </c>
      <c r="P60" s="60">
        <v>0.76</v>
      </c>
      <c r="Q60" s="60">
        <v>10.86</v>
      </c>
      <c r="R60" s="198"/>
      <c r="S60" s="198"/>
      <c r="T60" s="198"/>
      <c r="U60" s="198"/>
    </row>
    <row r="61" spans="1:21" s="12" customFormat="1" x14ac:dyDescent="0.25">
      <c r="A61" s="201" t="s">
        <v>1742</v>
      </c>
      <c r="B61" s="60">
        <v>2.71</v>
      </c>
      <c r="C61" s="60">
        <v>45.22</v>
      </c>
      <c r="D61" s="60">
        <v>27.78</v>
      </c>
      <c r="E61" s="60">
        <v>2.56</v>
      </c>
      <c r="F61" s="60">
        <v>33.11</v>
      </c>
      <c r="G61" s="60">
        <v>49.17</v>
      </c>
      <c r="H61" s="60">
        <v>21.65</v>
      </c>
      <c r="I61" s="60">
        <v>0.73</v>
      </c>
      <c r="J61" s="60">
        <v>0.77</v>
      </c>
      <c r="K61" s="60">
        <v>102.95</v>
      </c>
      <c r="L61" s="60">
        <v>36.07</v>
      </c>
      <c r="M61" s="60">
        <v>15.03</v>
      </c>
      <c r="N61" s="60">
        <v>774.1</v>
      </c>
      <c r="O61" s="60">
        <v>0</v>
      </c>
      <c r="P61" s="60">
        <v>0.59</v>
      </c>
      <c r="Q61" s="60">
        <v>11.6</v>
      </c>
      <c r="R61" s="198"/>
      <c r="S61" s="198"/>
      <c r="T61" s="198"/>
      <c r="U61" s="198"/>
    </row>
    <row r="62" spans="1:21" s="12" customFormat="1" x14ac:dyDescent="0.25">
      <c r="A62" s="201" t="s">
        <v>1743</v>
      </c>
      <c r="B62" s="60">
        <v>2.73</v>
      </c>
      <c r="C62" s="60">
        <v>39.69</v>
      </c>
      <c r="D62" s="60">
        <v>24.74</v>
      </c>
      <c r="E62" s="60">
        <v>3.36</v>
      </c>
      <c r="F62" s="60">
        <v>46.47</v>
      </c>
      <c r="G62" s="60">
        <v>50.15</v>
      </c>
      <c r="H62" s="60">
        <v>20.29</v>
      </c>
      <c r="I62" s="60">
        <v>0.74</v>
      </c>
      <c r="J62" s="60">
        <v>0.35</v>
      </c>
      <c r="K62" s="60">
        <v>76.95</v>
      </c>
      <c r="L62" s="60">
        <v>37.119999999999997</v>
      </c>
      <c r="M62" s="60">
        <v>14.39</v>
      </c>
      <c r="N62" s="60">
        <v>746</v>
      </c>
      <c r="O62" s="60">
        <v>0</v>
      </c>
      <c r="P62" s="60">
        <v>0.55000000000000004</v>
      </c>
      <c r="Q62" s="60">
        <v>11.69</v>
      </c>
      <c r="R62" s="198"/>
      <c r="S62" s="198"/>
      <c r="T62" s="198"/>
      <c r="U62" s="198"/>
    </row>
    <row r="63" spans="1:21" s="12" customFormat="1" x14ac:dyDescent="0.25">
      <c r="A63" s="201" t="s">
        <v>1744</v>
      </c>
      <c r="B63" s="60">
        <v>4.59</v>
      </c>
      <c r="C63" s="60">
        <v>46.52</v>
      </c>
      <c r="D63" s="60">
        <v>30</v>
      </c>
      <c r="E63" s="60">
        <v>3.71</v>
      </c>
      <c r="F63" s="60">
        <v>28.96</v>
      </c>
      <c r="G63" s="60">
        <v>50.15</v>
      </c>
      <c r="H63" s="60">
        <v>20.29</v>
      </c>
      <c r="I63" s="60">
        <v>0.67</v>
      </c>
      <c r="J63" s="60">
        <v>1.33</v>
      </c>
      <c r="K63" s="60">
        <v>3.04</v>
      </c>
      <c r="L63" s="60">
        <v>39.85</v>
      </c>
      <c r="M63" s="60">
        <v>12.62</v>
      </c>
      <c r="N63" s="60">
        <v>714.6</v>
      </c>
      <c r="O63" s="60">
        <v>0</v>
      </c>
      <c r="P63" s="60">
        <v>0.66</v>
      </c>
      <c r="Q63" s="60">
        <v>11.1</v>
      </c>
      <c r="R63" s="198"/>
      <c r="S63" s="198"/>
      <c r="T63" s="198"/>
      <c r="U63" s="198"/>
    </row>
    <row r="64" spans="1:21" s="12" customFormat="1" x14ac:dyDescent="0.25">
      <c r="A64" s="201" t="s">
        <v>1745</v>
      </c>
      <c r="B64" s="60">
        <v>4.63</v>
      </c>
      <c r="C64" s="60">
        <v>45.15</v>
      </c>
      <c r="D64" s="60">
        <v>29.27</v>
      </c>
      <c r="E64" s="60">
        <v>4.03</v>
      </c>
      <c r="F64" s="60">
        <v>33.729999999999997</v>
      </c>
      <c r="G64" s="60">
        <v>50.15</v>
      </c>
      <c r="H64" s="60">
        <v>20.29</v>
      </c>
      <c r="I64" s="60">
        <v>0.65</v>
      </c>
      <c r="J64" s="60">
        <v>0.24</v>
      </c>
      <c r="K64" s="60">
        <v>118.17</v>
      </c>
      <c r="L64" s="60">
        <v>39.72</v>
      </c>
      <c r="M64" s="60">
        <v>12.39</v>
      </c>
      <c r="N64" s="60">
        <v>688.3</v>
      </c>
      <c r="O64" s="60">
        <v>0</v>
      </c>
      <c r="P64" s="60">
        <v>0.61</v>
      </c>
      <c r="Q64" s="60">
        <v>11.11</v>
      </c>
      <c r="R64" s="198"/>
      <c r="S64" s="198"/>
      <c r="T64" s="198"/>
      <c r="U64" s="198"/>
    </row>
    <row r="65" spans="1:21" s="12" customFormat="1" x14ac:dyDescent="0.25">
      <c r="A65" s="201" t="s">
        <v>1746</v>
      </c>
      <c r="B65" s="60">
        <v>2.0499999999999998</v>
      </c>
      <c r="C65" s="60">
        <v>34.79</v>
      </c>
      <c r="D65" s="60">
        <v>21.49</v>
      </c>
      <c r="E65" s="60">
        <v>3.78</v>
      </c>
      <c r="F65" s="60">
        <v>53.45</v>
      </c>
      <c r="G65" s="60">
        <v>48.53</v>
      </c>
      <c r="H65" s="60">
        <v>20.010000000000002</v>
      </c>
      <c r="I65" s="60">
        <v>0.76</v>
      </c>
      <c r="J65" s="60">
        <v>0.4</v>
      </c>
      <c r="K65" s="60">
        <v>211.16</v>
      </c>
      <c r="L65" s="60">
        <v>36.82</v>
      </c>
      <c r="M65" s="60">
        <v>13.28</v>
      </c>
      <c r="N65" s="60">
        <v>641.6</v>
      </c>
      <c r="O65" s="60">
        <v>0</v>
      </c>
      <c r="P65" s="60">
        <v>0.5</v>
      </c>
      <c r="Q65" s="60">
        <v>11.16</v>
      </c>
      <c r="R65" s="198"/>
      <c r="S65" s="198"/>
      <c r="T65" s="198"/>
      <c r="U65" s="198"/>
    </row>
    <row r="66" spans="1:21" s="12" customFormat="1" x14ac:dyDescent="0.25">
      <c r="A66" s="201" t="s">
        <v>1747</v>
      </c>
      <c r="B66" s="60">
        <v>1.62</v>
      </c>
      <c r="C66" s="60">
        <v>33.76</v>
      </c>
      <c r="D66" s="60">
        <v>20.58</v>
      </c>
      <c r="E66" s="60">
        <v>3.55</v>
      </c>
      <c r="F66" s="60">
        <v>33.78</v>
      </c>
      <c r="G66" s="60">
        <v>39.700000000000003</v>
      </c>
      <c r="H66" s="60">
        <v>18.82</v>
      </c>
      <c r="I66" s="60">
        <v>0.73</v>
      </c>
      <c r="J66" s="60">
        <v>1.06</v>
      </c>
      <c r="K66" s="60">
        <v>166.62</v>
      </c>
      <c r="L66" s="60">
        <v>36.61</v>
      </c>
      <c r="M66" s="60">
        <v>13.95</v>
      </c>
      <c r="N66" s="60">
        <v>612.1</v>
      </c>
      <c r="O66" s="60">
        <v>0</v>
      </c>
      <c r="P66" s="60">
        <v>0.51</v>
      </c>
      <c r="Q66" s="60">
        <v>10.039999999999999</v>
      </c>
      <c r="R66" s="198"/>
      <c r="S66" s="198"/>
      <c r="T66" s="198"/>
      <c r="U66" s="198"/>
    </row>
    <row r="67" spans="1:21" s="12" customFormat="1" x14ac:dyDescent="0.25">
      <c r="A67" s="201" t="s">
        <v>1748</v>
      </c>
      <c r="B67" s="60">
        <v>4.28</v>
      </c>
      <c r="C67" s="60">
        <v>40.020000000000003</v>
      </c>
      <c r="D67" s="60">
        <v>26.16</v>
      </c>
      <c r="E67" s="60">
        <v>3.96</v>
      </c>
      <c r="F67" s="60">
        <v>46.78</v>
      </c>
      <c r="G67" s="60">
        <v>39.700000000000003</v>
      </c>
      <c r="H67" s="60">
        <v>18.82</v>
      </c>
      <c r="I67" s="60">
        <v>0.71</v>
      </c>
      <c r="J67" s="60">
        <v>0.28999999999999998</v>
      </c>
      <c r="K67" s="60">
        <v>164.02</v>
      </c>
      <c r="L67" s="60">
        <v>37.450000000000003</v>
      </c>
      <c r="M67" s="60">
        <v>13.65</v>
      </c>
      <c r="N67" s="60">
        <v>540.9</v>
      </c>
      <c r="O67" s="60">
        <v>0</v>
      </c>
      <c r="P67" s="60">
        <v>0.56000000000000005</v>
      </c>
      <c r="Q67" s="60">
        <v>9.35</v>
      </c>
      <c r="R67" s="198"/>
      <c r="S67" s="198"/>
      <c r="T67" s="198"/>
      <c r="U67" s="198"/>
    </row>
    <row r="68" spans="1:21" s="12" customFormat="1" x14ac:dyDescent="0.25">
      <c r="A68" s="201" t="s">
        <v>1749</v>
      </c>
      <c r="B68" s="60">
        <v>2.57</v>
      </c>
      <c r="C68" s="60">
        <v>40.049999999999997</v>
      </c>
      <c r="D68" s="60">
        <v>24.81</v>
      </c>
      <c r="E68" s="60">
        <v>2.4300000000000002</v>
      </c>
      <c r="F68" s="60">
        <v>23.76</v>
      </c>
      <c r="G68" s="60">
        <v>39.700000000000003</v>
      </c>
      <c r="H68" s="60">
        <v>18.82</v>
      </c>
      <c r="I68" s="60">
        <v>0.66</v>
      </c>
      <c r="J68" s="60">
        <v>1.34</v>
      </c>
      <c r="K68" s="60">
        <v>169.37</v>
      </c>
      <c r="L68" s="60">
        <v>36.18</v>
      </c>
      <c r="M68" s="60">
        <v>14.19</v>
      </c>
      <c r="N68" s="60">
        <v>481.5</v>
      </c>
      <c r="O68" s="60">
        <v>0</v>
      </c>
      <c r="P68" s="60">
        <v>0.52</v>
      </c>
      <c r="Q68" s="60">
        <v>8.6999999999999993</v>
      </c>
      <c r="R68" s="198"/>
      <c r="S68" s="198"/>
      <c r="T68" s="198"/>
      <c r="U68" s="198"/>
    </row>
    <row r="69" spans="1:21" s="12" customFormat="1" x14ac:dyDescent="0.25">
      <c r="A69" s="201" t="s">
        <v>1750</v>
      </c>
      <c r="B69" s="60">
        <v>2.2200000000000002</v>
      </c>
      <c r="C69" s="60">
        <v>38.44</v>
      </c>
      <c r="D69" s="60">
        <v>23.64</v>
      </c>
      <c r="E69" s="60">
        <v>3.5</v>
      </c>
      <c r="F69" s="60">
        <v>37.57</v>
      </c>
      <c r="G69" s="60">
        <v>39.630000000000003</v>
      </c>
      <c r="H69" s="60">
        <v>18.57</v>
      </c>
      <c r="I69" s="60">
        <v>0.69</v>
      </c>
      <c r="J69" s="60">
        <v>0.83</v>
      </c>
      <c r="K69" s="60">
        <v>169.14</v>
      </c>
      <c r="L69" s="60">
        <v>35.93</v>
      </c>
      <c r="M69" s="60">
        <v>14.99</v>
      </c>
      <c r="N69" s="60">
        <v>396.4</v>
      </c>
      <c r="O69" s="60">
        <v>0</v>
      </c>
      <c r="P69" s="60">
        <v>0.47</v>
      </c>
      <c r="Q69" s="60">
        <v>7.51</v>
      </c>
      <c r="R69" s="198"/>
      <c r="S69" s="198"/>
      <c r="T69" s="198"/>
      <c r="U69" s="198"/>
    </row>
    <row r="70" spans="1:21" s="12" customFormat="1" x14ac:dyDescent="0.25">
      <c r="A70" s="201" t="s">
        <v>1751</v>
      </c>
      <c r="B70" s="60">
        <v>1.84</v>
      </c>
      <c r="C70" s="60">
        <v>35.04</v>
      </c>
      <c r="D70" s="60">
        <v>21.46</v>
      </c>
      <c r="E70" s="60">
        <v>3.46</v>
      </c>
      <c r="F70" s="60">
        <v>35.64</v>
      </c>
      <c r="G70" s="60">
        <v>39.28</v>
      </c>
      <c r="H70" s="60">
        <v>17.53</v>
      </c>
      <c r="I70" s="60">
        <v>0.79</v>
      </c>
      <c r="J70" s="60">
        <v>0.47</v>
      </c>
      <c r="K70" s="60">
        <v>191.69</v>
      </c>
      <c r="L70" s="60">
        <v>35.950000000000003</v>
      </c>
      <c r="M70" s="60">
        <v>14.82</v>
      </c>
      <c r="N70" s="60">
        <v>201.4</v>
      </c>
      <c r="O70" s="60">
        <v>0</v>
      </c>
      <c r="P70" s="60">
        <v>0.46</v>
      </c>
      <c r="Q70" s="60">
        <v>6.1</v>
      </c>
      <c r="R70" s="198"/>
      <c r="S70" s="198"/>
      <c r="T70" s="198"/>
      <c r="U70" s="198"/>
    </row>
    <row r="71" spans="1:21" s="12" customFormat="1" x14ac:dyDescent="0.25">
      <c r="A71" s="201" t="s">
        <v>1752</v>
      </c>
      <c r="B71" s="60">
        <v>1.61</v>
      </c>
      <c r="C71" s="60">
        <v>35.03</v>
      </c>
      <c r="D71" s="60">
        <v>21.27</v>
      </c>
      <c r="E71" s="60">
        <v>2.59</v>
      </c>
      <c r="F71" s="60">
        <v>18.190000000000001</v>
      </c>
      <c r="G71" s="60">
        <v>39.28</v>
      </c>
      <c r="H71" s="60">
        <v>17.53</v>
      </c>
      <c r="I71" s="60">
        <v>0.7</v>
      </c>
      <c r="J71" s="60">
        <v>0.56999999999999995</v>
      </c>
      <c r="K71" s="60">
        <v>191.47</v>
      </c>
      <c r="L71" s="60">
        <v>35.799999999999997</v>
      </c>
      <c r="M71" s="60">
        <v>15.15</v>
      </c>
      <c r="N71" s="60">
        <v>172.7</v>
      </c>
      <c r="O71" s="60">
        <v>0</v>
      </c>
      <c r="P71" s="60">
        <v>0.48</v>
      </c>
      <c r="Q71" s="60">
        <v>4.8</v>
      </c>
      <c r="R71" s="198"/>
      <c r="S71" s="198"/>
      <c r="T71" s="198"/>
      <c r="U71" s="198"/>
    </row>
    <row r="72" spans="1:21" s="12" customFormat="1" x14ac:dyDescent="0.25">
      <c r="A72" s="201" t="s">
        <v>1753</v>
      </c>
      <c r="B72" s="60">
        <v>1.57</v>
      </c>
      <c r="C72" s="60">
        <v>35.200000000000003</v>
      </c>
      <c r="D72" s="60">
        <v>21.33</v>
      </c>
      <c r="E72" s="60">
        <v>2.56</v>
      </c>
      <c r="F72" s="60">
        <v>35.729999999999997</v>
      </c>
      <c r="G72" s="60">
        <v>39.28</v>
      </c>
      <c r="H72" s="60">
        <v>17.53</v>
      </c>
      <c r="I72" s="60">
        <v>0.71</v>
      </c>
      <c r="J72" s="60">
        <v>0.64</v>
      </c>
      <c r="K72" s="60">
        <v>184.71</v>
      </c>
      <c r="L72" s="60">
        <v>35.69</v>
      </c>
      <c r="M72" s="60">
        <v>15.16</v>
      </c>
      <c r="N72" s="60">
        <v>134.6</v>
      </c>
      <c r="O72" s="60">
        <v>0</v>
      </c>
      <c r="P72" s="60">
        <v>0.47</v>
      </c>
      <c r="Q72" s="60">
        <v>3.36</v>
      </c>
      <c r="R72" s="198"/>
      <c r="S72" s="198"/>
      <c r="T72" s="198"/>
      <c r="U72" s="198"/>
    </row>
    <row r="73" spans="1:21" s="12" customFormat="1" x14ac:dyDescent="0.25">
      <c r="A73" s="201" t="s">
        <v>1754</v>
      </c>
      <c r="B73" s="60">
        <v>1.57</v>
      </c>
      <c r="C73" s="60">
        <v>34.479999999999997</v>
      </c>
      <c r="D73" s="60">
        <v>20.93</v>
      </c>
      <c r="E73" s="60">
        <v>5.39</v>
      </c>
      <c r="F73" s="60">
        <v>37.33</v>
      </c>
      <c r="G73" s="60">
        <v>37.74</v>
      </c>
      <c r="H73" s="60">
        <v>17.53</v>
      </c>
      <c r="I73" s="60">
        <v>0.72</v>
      </c>
      <c r="J73" s="60">
        <v>0.51</v>
      </c>
      <c r="K73" s="60">
        <v>197.34</v>
      </c>
      <c r="L73" s="60">
        <v>35.520000000000003</v>
      </c>
      <c r="M73" s="60">
        <v>15.73</v>
      </c>
      <c r="N73" s="60">
        <v>129.30000000000001</v>
      </c>
      <c r="O73" s="60">
        <v>0</v>
      </c>
      <c r="P73" s="60">
        <v>0.47</v>
      </c>
      <c r="Q73" s="60">
        <v>2.1800000000000002</v>
      </c>
      <c r="R73" s="198"/>
      <c r="S73" s="198"/>
      <c r="T73" s="198"/>
      <c r="U73" s="198"/>
    </row>
    <row r="74" spans="1:21" s="12" customFormat="1" x14ac:dyDescent="0.25">
      <c r="A74" s="201" t="s">
        <v>1755</v>
      </c>
      <c r="B74" s="60">
        <v>1.55</v>
      </c>
      <c r="C74" s="60">
        <v>33.65</v>
      </c>
      <c r="D74" s="60">
        <v>20.46</v>
      </c>
      <c r="E74" s="60">
        <v>5.48</v>
      </c>
      <c r="F74" s="60">
        <v>39.43</v>
      </c>
      <c r="G74" s="60">
        <v>29.38</v>
      </c>
      <c r="H74" s="60">
        <v>17.54</v>
      </c>
      <c r="I74" s="60">
        <v>0.67</v>
      </c>
      <c r="J74" s="60">
        <v>0.7</v>
      </c>
      <c r="K74" s="60">
        <v>218.98</v>
      </c>
      <c r="L74" s="60">
        <v>35.18</v>
      </c>
      <c r="M74" s="60">
        <v>15.71</v>
      </c>
      <c r="N74" s="60">
        <v>111.1</v>
      </c>
      <c r="O74" s="60">
        <v>0</v>
      </c>
      <c r="P74" s="60">
        <v>0.49</v>
      </c>
      <c r="Q74" s="60">
        <v>0.76</v>
      </c>
      <c r="R74" s="198"/>
      <c r="S74" s="198"/>
      <c r="T74" s="198"/>
      <c r="U74" s="198"/>
    </row>
    <row r="75" spans="1:21" s="12" customFormat="1" x14ac:dyDescent="0.25">
      <c r="A75" s="201" t="s">
        <v>1756</v>
      </c>
      <c r="B75" s="60">
        <v>1.54</v>
      </c>
      <c r="C75" s="60">
        <v>31.8</v>
      </c>
      <c r="D75" s="60">
        <v>19.43</v>
      </c>
      <c r="E75" s="60">
        <v>7.4</v>
      </c>
      <c r="F75" s="60">
        <v>49.94</v>
      </c>
      <c r="G75" s="60">
        <v>29.38</v>
      </c>
      <c r="H75" s="60">
        <v>17.54</v>
      </c>
      <c r="I75" s="60">
        <v>0.62</v>
      </c>
      <c r="J75" s="60">
        <v>0.73</v>
      </c>
      <c r="K75" s="60">
        <v>186.03</v>
      </c>
      <c r="L75" s="60">
        <v>35.08</v>
      </c>
      <c r="M75" s="60">
        <v>16.3</v>
      </c>
      <c r="N75" s="60">
        <v>92.6</v>
      </c>
      <c r="O75" s="60">
        <v>0</v>
      </c>
      <c r="P75" s="60">
        <v>0.48</v>
      </c>
      <c r="Q75" s="60">
        <v>0.09</v>
      </c>
      <c r="R75" s="198"/>
      <c r="S75" s="198"/>
      <c r="T75" s="198"/>
      <c r="U75" s="198"/>
    </row>
    <row r="76" spans="1:21" s="12" customFormat="1" x14ac:dyDescent="0.25">
      <c r="A76" s="201" t="s">
        <v>1757</v>
      </c>
      <c r="B76" s="60">
        <v>1.59</v>
      </c>
      <c r="C76" s="60">
        <v>32.93</v>
      </c>
      <c r="D76" s="60">
        <v>20.100000000000001</v>
      </c>
      <c r="E76" s="60">
        <v>6.07</v>
      </c>
      <c r="F76" s="60">
        <v>42.41</v>
      </c>
      <c r="G76" s="60">
        <v>29.38</v>
      </c>
      <c r="H76" s="60">
        <v>17.54</v>
      </c>
      <c r="I76" s="60">
        <v>0.64</v>
      </c>
      <c r="J76" s="60">
        <v>1.1200000000000001</v>
      </c>
      <c r="K76" s="60">
        <v>170.14</v>
      </c>
      <c r="L76" s="60">
        <v>34.840000000000003</v>
      </c>
      <c r="M76" s="60">
        <v>16.850000000000001</v>
      </c>
      <c r="N76" s="60">
        <v>79.2</v>
      </c>
      <c r="O76" s="60">
        <v>0</v>
      </c>
      <c r="P76" s="60">
        <v>0.46</v>
      </c>
      <c r="Q76" s="60">
        <v>0.56000000000000005</v>
      </c>
      <c r="R76" s="198"/>
      <c r="S76" s="198"/>
      <c r="T76" s="198"/>
      <c r="U76" s="198"/>
    </row>
    <row r="77" spans="1:21" s="12" customFormat="1" x14ac:dyDescent="0.25">
      <c r="A77" s="201" t="s">
        <v>1758</v>
      </c>
      <c r="B77" s="60">
        <v>1.61</v>
      </c>
      <c r="C77" s="60">
        <v>33.75</v>
      </c>
      <c r="D77" s="60">
        <v>20.56</v>
      </c>
      <c r="E77" s="60">
        <v>5.29</v>
      </c>
      <c r="F77" s="60">
        <v>49.25</v>
      </c>
      <c r="G77" s="60">
        <v>30.96</v>
      </c>
      <c r="H77" s="60">
        <v>17.41</v>
      </c>
      <c r="I77" s="60">
        <v>0.6</v>
      </c>
      <c r="J77" s="60">
        <v>0.64</v>
      </c>
      <c r="K77" s="60">
        <v>197.65</v>
      </c>
      <c r="L77" s="60">
        <v>34.409999999999997</v>
      </c>
      <c r="M77" s="60">
        <v>17.62</v>
      </c>
      <c r="N77" s="60">
        <v>65.099999999999994</v>
      </c>
      <c r="O77" s="60">
        <v>0</v>
      </c>
      <c r="P77" s="60">
        <v>0.45</v>
      </c>
      <c r="Q77" s="60">
        <v>1.35</v>
      </c>
      <c r="R77" s="198"/>
      <c r="S77" s="198"/>
      <c r="T77" s="198"/>
      <c r="U77" s="198"/>
    </row>
    <row r="78" spans="1:21" s="12" customFormat="1" x14ac:dyDescent="0.25">
      <c r="A78" s="201" t="s">
        <v>1759</v>
      </c>
      <c r="B78" s="60">
        <v>1.65</v>
      </c>
      <c r="C78" s="60">
        <v>37.409999999999997</v>
      </c>
      <c r="D78" s="60">
        <v>22.61</v>
      </c>
      <c r="E78" s="60">
        <v>6.38</v>
      </c>
      <c r="F78" s="60">
        <v>52.8</v>
      </c>
      <c r="G78" s="60">
        <v>40.32</v>
      </c>
      <c r="H78" s="60">
        <v>16.850000000000001</v>
      </c>
      <c r="I78" s="60">
        <v>0.61</v>
      </c>
      <c r="J78" s="60">
        <v>0.47</v>
      </c>
      <c r="K78" s="60">
        <v>214.02</v>
      </c>
      <c r="L78" s="60">
        <v>34.119999999999997</v>
      </c>
      <c r="M78" s="60">
        <v>18.71</v>
      </c>
      <c r="N78" s="60">
        <v>50.2</v>
      </c>
      <c r="O78" s="60">
        <v>0</v>
      </c>
      <c r="P78" s="60">
        <v>0.45</v>
      </c>
      <c r="Q78" s="60">
        <v>1.8</v>
      </c>
      <c r="R78" s="198"/>
      <c r="S78" s="198"/>
      <c r="T78" s="198"/>
      <c r="U78" s="198"/>
    </row>
    <row r="79" spans="1:21" s="12" customFormat="1" x14ac:dyDescent="0.25">
      <c r="A79" s="201" t="s">
        <v>1760</v>
      </c>
      <c r="B79" s="60">
        <v>1.55</v>
      </c>
      <c r="C79" s="60">
        <v>34.14</v>
      </c>
      <c r="D79" s="60">
        <v>20.73</v>
      </c>
      <c r="E79" s="60">
        <v>6.86</v>
      </c>
      <c r="F79" s="60">
        <v>51.82</v>
      </c>
      <c r="G79" s="60">
        <v>40.32</v>
      </c>
      <c r="H79" s="60">
        <v>16.850000000000001</v>
      </c>
      <c r="I79" s="60">
        <v>0.57999999999999996</v>
      </c>
      <c r="J79" s="60">
        <v>0.46</v>
      </c>
      <c r="K79" s="60">
        <v>223.11</v>
      </c>
      <c r="L79" s="60">
        <v>33.770000000000003</v>
      </c>
      <c r="M79" s="60">
        <v>19.41</v>
      </c>
      <c r="N79" s="60">
        <v>35.9</v>
      </c>
      <c r="O79" s="60">
        <v>0</v>
      </c>
      <c r="P79" s="60">
        <v>0.48</v>
      </c>
      <c r="Q79" s="60">
        <v>2.37</v>
      </c>
      <c r="R79" s="198"/>
      <c r="S79" s="198"/>
      <c r="T79" s="198"/>
      <c r="U79" s="198"/>
    </row>
    <row r="80" spans="1:21" s="12" customFormat="1" x14ac:dyDescent="0.25">
      <c r="A80" s="201" t="s">
        <v>1761</v>
      </c>
      <c r="B80" s="60">
        <v>1.5</v>
      </c>
      <c r="C80" s="60">
        <v>39.6</v>
      </c>
      <c r="D80" s="60">
        <v>23.7</v>
      </c>
      <c r="E80" s="60">
        <v>6.38</v>
      </c>
      <c r="F80" s="60">
        <v>42.3</v>
      </c>
      <c r="G80" s="60">
        <v>40.32</v>
      </c>
      <c r="H80" s="60">
        <v>16.850000000000001</v>
      </c>
      <c r="I80" s="60">
        <v>0.54</v>
      </c>
      <c r="J80" s="60">
        <v>0.37</v>
      </c>
      <c r="K80" s="60">
        <v>231.8</v>
      </c>
      <c r="L80" s="60">
        <v>33.53</v>
      </c>
      <c r="M80" s="60">
        <v>20.16</v>
      </c>
      <c r="N80" s="60">
        <v>22.1</v>
      </c>
      <c r="O80" s="60">
        <v>0</v>
      </c>
      <c r="P80" s="60">
        <v>0.54</v>
      </c>
      <c r="Q80" s="60">
        <v>3.03</v>
      </c>
      <c r="R80" s="198"/>
      <c r="S80" s="198"/>
      <c r="T80" s="198"/>
      <c r="U80" s="198"/>
    </row>
    <row r="81" spans="1:26" s="12" customFormat="1" x14ac:dyDescent="0.25">
      <c r="A81" s="201" t="s">
        <v>1762</v>
      </c>
      <c r="B81" s="60">
        <v>1.5</v>
      </c>
      <c r="C81" s="60">
        <v>38.25</v>
      </c>
      <c r="D81" s="60">
        <v>22.96</v>
      </c>
      <c r="E81" s="60">
        <v>6.48</v>
      </c>
      <c r="F81" s="60">
        <v>45.57</v>
      </c>
      <c r="G81" s="60">
        <v>42.77</v>
      </c>
      <c r="H81" s="60">
        <v>17.12</v>
      </c>
      <c r="I81" s="60">
        <v>0.54</v>
      </c>
      <c r="J81" s="60">
        <v>0.18</v>
      </c>
      <c r="K81" s="60">
        <v>245.98</v>
      </c>
      <c r="L81" s="60">
        <v>32.86</v>
      </c>
      <c r="M81" s="60">
        <v>21.69</v>
      </c>
      <c r="N81" s="60">
        <v>11.1</v>
      </c>
      <c r="O81" s="60">
        <v>0</v>
      </c>
      <c r="P81" s="60">
        <v>0.54</v>
      </c>
      <c r="Q81" s="60">
        <v>2.4</v>
      </c>
      <c r="R81" s="198"/>
      <c r="S81" s="198"/>
      <c r="T81" s="198"/>
      <c r="U81" s="198"/>
    </row>
    <row r="82" spans="1:26" s="12" customFormat="1" x14ac:dyDescent="0.25">
      <c r="A82" s="201" t="s">
        <v>1763</v>
      </c>
      <c r="B82" s="60">
        <v>1.54</v>
      </c>
      <c r="C82" s="60">
        <v>39.39</v>
      </c>
      <c r="D82" s="60">
        <v>23.62</v>
      </c>
      <c r="E82" s="60">
        <v>6.87</v>
      </c>
      <c r="F82" s="60">
        <v>48.09</v>
      </c>
      <c r="G82" s="60">
        <v>56.05</v>
      </c>
      <c r="H82" s="60">
        <v>18.25</v>
      </c>
      <c r="I82" s="60">
        <v>0.56000000000000005</v>
      </c>
      <c r="J82" s="60">
        <v>0.24</v>
      </c>
      <c r="K82" s="60">
        <v>239.8</v>
      </c>
      <c r="L82" s="60">
        <v>32.31</v>
      </c>
      <c r="M82" s="60">
        <v>22.52</v>
      </c>
      <c r="N82" s="60">
        <v>5.5</v>
      </c>
      <c r="O82" s="60">
        <v>0</v>
      </c>
      <c r="P82" s="60">
        <v>0.59</v>
      </c>
      <c r="Q82" s="60">
        <v>1.08</v>
      </c>
      <c r="R82" s="198"/>
      <c r="S82" s="198"/>
      <c r="T82" s="198"/>
      <c r="U82" s="198"/>
    </row>
    <row r="83" spans="1:26" s="12" customFormat="1" x14ac:dyDescent="0.25">
      <c r="A83" s="201" t="s">
        <v>1764</v>
      </c>
      <c r="B83" s="60">
        <v>1.86</v>
      </c>
      <c r="C83" s="60">
        <v>45.99</v>
      </c>
      <c r="D83" s="60">
        <v>27.52</v>
      </c>
      <c r="E83" s="60">
        <v>7.99</v>
      </c>
      <c r="F83" s="60">
        <v>40.5</v>
      </c>
      <c r="G83" s="60">
        <v>56.05</v>
      </c>
      <c r="H83" s="60">
        <v>18.25</v>
      </c>
      <c r="I83" s="60">
        <v>0.56000000000000005</v>
      </c>
      <c r="J83" s="60">
        <v>0.09</v>
      </c>
      <c r="K83" s="60">
        <v>249.69</v>
      </c>
      <c r="L83" s="60">
        <v>31.9</v>
      </c>
      <c r="M83" s="60">
        <v>23.14</v>
      </c>
      <c r="N83" s="60">
        <v>4.7</v>
      </c>
      <c r="O83" s="60">
        <v>0</v>
      </c>
      <c r="P83" s="60">
        <v>0.62</v>
      </c>
      <c r="Q83" s="60">
        <v>0.43</v>
      </c>
      <c r="R83" s="198"/>
      <c r="S83" s="198"/>
      <c r="T83" s="198"/>
      <c r="U83" s="198"/>
    </row>
    <row r="84" spans="1:26" s="12" customFormat="1" x14ac:dyDescent="0.25">
      <c r="A84" s="201" t="s">
        <v>1765</v>
      </c>
      <c r="B84" s="60">
        <v>1.71</v>
      </c>
      <c r="C84" s="60">
        <v>51.35</v>
      </c>
      <c r="D84" s="60">
        <v>30.36</v>
      </c>
      <c r="E84" s="60">
        <v>9.83</v>
      </c>
      <c r="F84" s="60">
        <v>41.7</v>
      </c>
      <c r="G84" s="60">
        <v>56.05</v>
      </c>
      <c r="H84" s="60">
        <v>18.25</v>
      </c>
      <c r="I84" s="60">
        <v>0.55000000000000004</v>
      </c>
      <c r="J84" s="60">
        <v>0.22</v>
      </c>
      <c r="K84" s="60">
        <v>190.15</v>
      </c>
      <c r="L84" s="60">
        <v>31.59</v>
      </c>
      <c r="M84" s="60">
        <v>24.49</v>
      </c>
      <c r="N84" s="60">
        <v>4.3</v>
      </c>
      <c r="O84" s="60">
        <v>0</v>
      </c>
      <c r="P84" s="60">
        <v>0.65</v>
      </c>
      <c r="Q84" s="60">
        <v>0.61</v>
      </c>
      <c r="R84" s="198"/>
      <c r="S84" s="198"/>
      <c r="T84" s="198"/>
      <c r="U84" s="198"/>
    </row>
    <row r="85" spans="1:26" s="12" customFormat="1" x14ac:dyDescent="0.25">
      <c r="A85" s="201" t="s">
        <v>1766</v>
      </c>
      <c r="B85" s="60">
        <v>2.2200000000000002</v>
      </c>
      <c r="C85" s="60">
        <v>60.75</v>
      </c>
      <c r="D85" s="60">
        <v>35.950000000000003</v>
      </c>
      <c r="E85" s="60">
        <v>11.02</v>
      </c>
      <c r="F85" s="60">
        <v>40.659999999999997</v>
      </c>
      <c r="G85" s="60">
        <v>56.99</v>
      </c>
      <c r="H85" s="60">
        <v>18.829999999999998</v>
      </c>
      <c r="I85" s="60">
        <v>0.55000000000000004</v>
      </c>
      <c r="J85" s="60">
        <v>0.46</v>
      </c>
      <c r="K85" s="60">
        <v>167.54</v>
      </c>
      <c r="L85" s="60">
        <v>31.01</v>
      </c>
      <c r="M85" s="60">
        <v>25.72</v>
      </c>
      <c r="N85" s="60">
        <v>4.3</v>
      </c>
      <c r="O85" s="60">
        <v>0</v>
      </c>
      <c r="P85" s="60">
        <v>0.64</v>
      </c>
      <c r="Q85" s="60">
        <v>0.95</v>
      </c>
      <c r="R85" s="198"/>
      <c r="S85" s="198"/>
      <c r="T85" s="198"/>
      <c r="U85" s="198"/>
    </row>
    <row r="86" spans="1:26" s="12" customFormat="1" x14ac:dyDescent="0.25">
      <c r="A86" s="201" t="s">
        <v>1767</v>
      </c>
      <c r="B86" s="60">
        <v>3.5</v>
      </c>
      <c r="C86" s="60">
        <v>72.09</v>
      </c>
      <c r="D86" s="60">
        <v>43.23</v>
      </c>
      <c r="E86" s="60">
        <v>10.47</v>
      </c>
      <c r="F86" s="60">
        <v>26.83</v>
      </c>
      <c r="G86" s="60">
        <v>62.1</v>
      </c>
      <c r="H86" s="60">
        <v>21.87</v>
      </c>
      <c r="I86" s="60">
        <v>0.56000000000000005</v>
      </c>
      <c r="J86" s="60">
        <v>0.28000000000000003</v>
      </c>
      <c r="K86" s="60">
        <v>159.58000000000001</v>
      </c>
      <c r="L86" s="60">
        <v>30.65</v>
      </c>
      <c r="M86" s="60">
        <v>26.47</v>
      </c>
      <c r="N86" s="60">
        <v>4.5999999999999996</v>
      </c>
      <c r="O86" s="60">
        <v>0</v>
      </c>
      <c r="P86" s="60">
        <v>0.71</v>
      </c>
      <c r="Q86" s="60">
        <v>1.45</v>
      </c>
      <c r="R86" s="198"/>
      <c r="S86" s="198"/>
      <c r="T86" s="198"/>
      <c r="U86" s="198"/>
    </row>
    <row r="87" spans="1:26" s="12" customFormat="1" x14ac:dyDescent="0.25">
      <c r="A87" s="201" t="s">
        <v>1768</v>
      </c>
      <c r="B87" s="60">
        <v>5.81</v>
      </c>
      <c r="C87" s="60">
        <v>79.22</v>
      </c>
      <c r="D87" s="60">
        <v>49.02</v>
      </c>
      <c r="E87" s="60">
        <v>10.119999999999999</v>
      </c>
      <c r="F87" s="60">
        <v>26.23</v>
      </c>
      <c r="G87" s="60">
        <v>62.1</v>
      </c>
      <c r="H87" s="60">
        <v>21.87</v>
      </c>
      <c r="I87" s="60">
        <v>0.57999999999999996</v>
      </c>
      <c r="J87" s="60">
        <v>0.56999999999999995</v>
      </c>
      <c r="K87" s="60">
        <v>174.91</v>
      </c>
      <c r="L87" s="60">
        <v>30.78</v>
      </c>
      <c r="M87" s="60">
        <v>25.55</v>
      </c>
      <c r="N87" s="60">
        <v>3.6</v>
      </c>
      <c r="O87" s="60">
        <v>0</v>
      </c>
      <c r="P87" s="60">
        <v>0.8</v>
      </c>
      <c r="Q87" s="60">
        <v>2.8</v>
      </c>
      <c r="R87" s="198"/>
      <c r="S87" s="198"/>
      <c r="T87" s="198"/>
      <c r="U87" s="198"/>
    </row>
    <row r="88" spans="1:26" s="12" customFormat="1" x14ac:dyDescent="0.25">
      <c r="A88" s="201" t="s">
        <v>1769</v>
      </c>
      <c r="B88" s="60">
        <v>16.559999999999999</v>
      </c>
      <c r="C88" s="60">
        <v>105.12</v>
      </c>
      <c r="D88" s="60">
        <v>71.94</v>
      </c>
      <c r="E88" s="60">
        <v>6.45</v>
      </c>
      <c r="F88" s="60">
        <v>15.04</v>
      </c>
      <c r="G88" s="60">
        <v>62.1</v>
      </c>
      <c r="H88" s="60">
        <v>21.87</v>
      </c>
      <c r="I88" s="60">
        <v>0.56999999999999995</v>
      </c>
      <c r="J88" s="60">
        <v>0.25</v>
      </c>
      <c r="K88" s="60">
        <v>190.65</v>
      </c>
      <c r="L88" s="60">
        <v>30.58</v>
      </c>
      <c r="M88" s="60">
        <v>26.59</v>
      </c>
      <c r="N88" s="60">
        <v>4.5999999999999996</v>
      </c>
      <c r="O88" s="60">
        <v>0</v>
      </c>
      <c r="P88" s="60">
        <v>1</v>
      </c>
      <c r="Q88" s="60">
        <v>5.9</v>
      </c>
      <c r="R88" s="198"/>
      <c r="S88" s="198"/>
      <c r="T88" s="198"/>
      <c r="U88" s="198"/>
    </row>
    <row r="89" spans="1:26" s="12" customFormat="1" x14ac:dyDescent="0.25">
      <c r="A89" s="201" t="s">
        <v>1770</v>
      </c>
      <c r="B89" s="60">
        <v>4.8</v>
      </c>
      <c r="C89" s="60">
        <v>87.72</v>
      </c>
      <c r="D89" s="60">
        <v>52.9</v>
      </c>
      <c r="E89" s="60">
        <v>11.84</v>
      </c>
      <c r="F89" s="60">
        <v>24.82</v>
      </c>
      <c r="G89" s="60">
        <v>63.12</v>
      </c>
      <c r="H89" s="60">
        <v>22.1</v>
      </c>
      <c r="I89" s="60">
        <v>0.62</v>
      </c>
      <c r="J89" s="60">
        <v>0.13</v>
      </c>
      <c r="K89" s="60">
        <v>203.2</v>
      </c>
      <c r="L89" s="60">
        <v>30.16</v>
      </c>
      <c r="M89" s="60">
        <v>27.2</v>
      </c>
      <c r="N89" s="60">
        <v>4.9000000000000004</v>
      </c>
      <c r="O89" s="60">
        <v>0</v>
      </c>
      <c r="P89" s="60">
        <v>0.95</v>
      </c>
      <c r="Q89" s="60">
        <v>8.39</v>
      </c>
      <c r="R89" s="198"/>
      <c r="S89" s="198"/>
      <c r="T89" s="198"/>
      <c r="U89" s="198"/>
    </row>
    <row r="90" spans="1:26" s="12" customFormat="1" x14ac:dyDescent="0.25">
      <c r="A90" s="201" t="s">
        <v>1771</v>
      </c>
      <c r="B90" s="60">
        <v>54.93</v>
      </c>
      <c r="C90" s="60">
        <v>114.98</v>
      </c>
      <c r="D90" s="60">
        <v>108.15</v>
      </c>
      <c r="E90" s="60">
        <v>10.59</v>
      </c>
      <c r="F90" s="60">
        <v>6.78</v>
      </c>
      <c r="G90" s="60">
        <v>68.680000000000007</v>
      </c>
      <c r="H90" s="60">
        <v>23.77</v>
      </c>
      <c r="I90" s="60">
        <v>0.67</v>
      </c>
      <c r="J90" s="60">
        <v>0.19</v>
      </c>
      <c r="K90" s="60">
        <v>342.64</v>
      </c>
      <c r="L90" s="60">
        <v>29.2</v>
      </c>
      <c r="M90" s="60">
        <v>32.590000000000003</v>
      </c>
      <c r="N90" s="60">
        <v>5.3</v>
      </c>
      <c r="O90" s="60">
        <v>0</v>
      </c>
      <c r="P90" s="60">
        <v>2.5</v>
      </c>
      <c r="Q90" s="60">
        <v>10.31</v>
      </c>
      <c r="R90" s="198"/>
      <c r="S90" s="198"/>
      <c r="T90" s="198"/>
      <c r="U90" s="198"/>
    </row>
    <row r="91" spans="1:26" s="12" customFormat="1" x14ac:dyDescent="0.25">
      <c r="A91" s="201" t="s">
        <v>1772</v>
      </c>
      <c r="B91" s="60">
        <v>56.95</v>
      </c>
      <c r="C91" s="60">
        <v>114.61</v>
      </c>
      <c r="D91" s="60">
        <v>109.56</v>
      </c>
      <c r="E91" s="60">
        <v>10.37</v>
      </c>
      <c r="F91" s="60">
        <v>5.01</v>
      </c>
      <c r="G91" s="60">
        <v>68.680000000000007</v>
      </c>
      <c r="H91" s="60">
        <v>23.77</v>
      </c>
      <c r="I91" s="60">
        <v>0.71</v>
      </c>
      <c r="J91" s="60">
        <v>0.21</v>
      </c>
      <c r="K91" s="60">
        <v>354.27</v>
      </c>
      <c r="L91" s="60">
        <v>28.78</v>
      </c>
      <c r="M91" s="60">
        <v>32.54</v>
      </c>
      <c r="N91" s="60">
        <v>4.9000000000000004</v>
      </c>
      <c r="O91" s="60">
        <v>0</v>
      </c>
      <c r="P91" s="60">
        <v>2.4</v>
      </c>
      <c r="Q91" s="60">
        <v>13.69</v>
      </c>
      <c r="R91" s="198"/>
      <c r="S91" s="198"/>
      <c r="T91" s="198"/>
      <c r="U91" s="198"/>
    </row>
    <row r="92" spans="1:26" s="12" customFormat="1" x14ac:dyDescent="0.25">
      <c r="A92" s="201" t="s">
        <v>1773</v>
      </c>
      <c r="B92" s="60">
        <v>73.89</v>
      </c>
      <c r="C92" s="60">
        <v>116.48</v>
      </c>
      <c r="D92" s="60">
        <v>124.18</v>
      </c>
      <c r="E92" s="60">
        <v>9.4600000000000009</v>
      </c>
      <c r="F92" s="60">
        <v>4.43</v>
      </c>
      <c r="G92" s="60">
        <v>68.680000000000007</v>
      </c>
      <c r="H92" s="60">
        <v>23.77</v>
      </c>
      <c r="I92" s="60">
        <v>1</v>
      </c>
      <c r="J92" s="60">
        <v>0.13</v>
      </c>
      <c r="K92" s="60">
        <v>16.38</v>
      </c>
      <c r="L92" s="60">
        <v>28.31</v>
      </c>
      <c r="M92" s="60">
        <v>34.409999999999997</v>
      </c>
      <c r="N92" s="60">
        <v>5</v>
      </c>
      <c r="O92" s="60">
        <v>0</v>
      </c>
      <c r="P92" s="60">
        <v>2.63</v>
      </c>
      <c r="Q92" s="60">
        <v>15.18</v>
      </c>
      <c r="R92" s="198"/>
      <c r="S92" s="198"/>
      <c r="T92" s="198"/>
      <c r="U92" s="198"/>
    </row>
    <row r="93" spans="1:26" s="12" customFormat="1" x14ac:dyDescent="0.25">
      <c r="A93" s="201" t="s">
        <v>1774</v>
      </c>
      <c r="B93" s="60">
        <v>98.99</v>
      </c>
      <c r="C93" s="60">
        <v>118.24</v>
      </c>
      <c r="D93" s="60">
        <v>145.28</v>
      </c>
      <c r="E93" s="60">
        <v>9.16</v>
      </c>
      <c r="F93" s="60">
        <v>3.78</v>
      </c>
      <c r="G93" s="60">
        <v>72.680000000000007</v>
      </c>
      <c r="H93" s="60">
        <v>25.11</v>
      </c>
      <c r="I93" s="60">
        <v>1.07</v>
      </c>
      <c r="J93" s="60">
        <v>0.18</v>
      </c>
      <c r="K93" s="60">
        <v>9.86</v>
      </c>
      <c r="L93" s="60">
        <v>27.86</v>
      </c>
      <c r="M93" s="60">
        <v>36.799999999999997</v>
      </c>
      <c r="N93" s="60">
        <v>5.0999999999999996</v>
      </c>
      <c r="O93" s="60">
        <v>0</v>
      </c>
      <c r="P93" s="60">
        <v>2.59</v>
      </c>
      <c r="Q93" s="60">
        <v>14.92</v>
      </c>
      <c r="R93" s="198"/>
      <c r="S93" s="198"/>
      <c r="T93" s="198"/>
      <c r="U93" s="198"/>
    </row>
    <row r="94" spans="1:26" s="12" customFormat="1" x14ac:dyDescent="0.25">
      <c r="A94" s="201" t="s">
        <v>1775</v>
      </c>
      <c r="B94" s="60">
        <v>111.67</v>
      </c>
      <c r="C94" s="60">
        <v>115.56</v>
      </c>
      <c r="D94" s="60">
        <v>153.97</v>
      </c>
      <c r="E94" s="60">
        <v>9.0399999999999991</v>
      </c>
      <c r="F94" s="60">
        <v>3.44</v>
      </c>
      <c r="G94" s="60">
        <v>94.4</v>
      </c>
      <c r="H94" s="60">
        <v>30.59</v>
      </c>
      <c r="I94" s="60">
        <v>1.1000000000000001</v>
      </c>
      <c r="J94" s="60">
        <v>0.11</v>
      </c>
      <c r="K94" s="60">
        <v>8.76</v>
      </c>
      <c r="L94" s="60">
        <v>27.31</v>
      </c>
      <c r="M94" s="60">
        <v>38.04</v>
      </c>
      <c r="N94" s="60">
        <v>5</v>
      </c>
      <c r="O94" s="60">
        <v>0</v>
      </c>
      <c r="P94" s="60">
        <v>2.75</v>
      </c>
      <c r="Q94" s="60">
        <v>14.42</v>
      </c>
      <c r="R94" s="198"/>
      <c r="S94" s="198"/>
      <c r="T94" s="198"/>
      <c r="U94" s="198"/>
    </row>
    <row r="95" spans="1:26" s="12" customFormat="1" x14ac:dyDescent="0.25">
      <c r="A95" s="201" t="s">
        <v>1776</v>
      </c>
      <c r="B95" s="60">
        <v>101.57</v>
      </c>
      <c r="C95" s="60">
        <v>113.58</v>
      </c>
      <c r="D95" s="60">
        <v>144.78</v>
      </c>
      <c r="E95" s="60">
        <v>8.2200000000000006</v>
      </c>
      <c r="F95" s="60">
        <v>4.0199999999999996</v>
      </c>
      <c r="G95" s="60">
        <v>94.4</v>
      </c>
      <c r="H95" s="60">
        <v>30.59</v>
      </c>
      <c r="I95" s="60">
        <v>1.08</v>
      </c>
      <c r="J95" s="60">
        <v>0.18</v>
      </c>
      <c r="K95" s="60">
        <v>357.88</v>
      </c>
      <c r="L95" s="60">
        <v>27.06</v>
      </c>
      <c r="M95" s="60">
        <v>39.93</v>
      </c>
      <c r="N95" s="60">
        <v>4.8</v>
      </c>
      <c r="O95" s="60">
        <v>0</v>
      </c>
      <c r="P95" s="60">
        <v>2.7</v>
      </c>
      <c r="Q95" s="60">
        <v>15.64</v>
      </c>
      <c r="R95" s="198"/>
      <c r="S95" s="198"/>
      <c r="T95" s="198"/>
      <c r="U95" s="198"/>
    </row>
    <row r="96" spans="1:26" s="12" customFormat="1" x14ac:dyDescent="0.25">
      <c r="A96" s="201" t="s">
        <v>1777</v>
      </c>
      <c r="B96" s="60">
        <v>155.52000000000001</v>
      </c>
      <c r="C96" s="60">
        <v>118.79</v>
      </c>
      <c r="D96" s="60">
        <v>190.92</v>
      </c>
      <c r="E96" s="60">
        <v>7.44</v>
      </c>
      <c r="F96" s="60">
        <v>3.57</v>
      </c>
      <c r="G96" s="60">
        <v>94.4</v>
      </c>
      <c r="H96" s="60">
        <v>30.59</v>
      </c>
      <c r="I96" s="60">
        <v>1.07</v>
      </c>
      <c r="J96" s="60">
        <v>0.12</v>
      </c>
      <c r="K96" s="60">
        <v>349.74</v>
      </c>
      <c r="L96" s="60">
        <v>26.83</v>
      </c>
      <c r="M96" s="60">
        <v>41.34</v>
      </c>
      <c r="N96" s="60">
        <v>4.7</v>
      </c>
      <c r="O96" s="60">
        <v>0</v>
      </c>
      <c r="P96" s="60">
        <v>2.99</v>
      </c>
      <c r="Q96" s="60">
        <v>13.8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1778</v>
      </c>
      <c r="B97" s="60">
        <v>152.41</v>
      </c>
      <c r="C97" s="60">
        <v>113.79</v>
      </c>
      <c r="D97" s="60">
        <v>185.66</v>
      </c>
      <c r="E97" s="60">
        <v>7.6</v>
      </c>
      <c r="F97" s="60">
        <v>3.01</v>
      </c>
      <c r="G97" s="60">
        <v>98.48</v>
      </c>
      <c r="H97" s="60">
        <v>32.6</v>
      </c>
      <c r="I97" s="60">
        <v>1.24</v>
      </c>
      <c r="J97" s="60">
        <v>0.13</v>
      </c>
      <c r="K97" s="60">
        <v>351.14</v>
      </c>
      <c r="L97" s="60">
        <v>26.67</v>
      </c>
      <c r="M97" s="60">
        <v>41.59</v>
      </c>
      <c r="N97" s="60">
        <v>4.7</v>
      </c>
      <c r="O97" s="60">
        <v>0</v>
      </c>
      <c r="P97" s="60">
        <v>3.28</v>
      </c>
      <c r="Q97" s="60">
        <v>17.18</v>
      </c>
      <c r="R97" s="198"/>
      <c r="S97" s="198"/>
      <c r="T97" s="198"/>
      <c r="U97" s="198"/>
    </row>
    <row r="98" spans="1:33" s="12" customFormat="1" x14ac:dyDescent="0.25">
      <c r="A98" s="201" t="s">
        <v>1779</v>
      </c>
      <c r="B98" s="60">
        <v>152.72</v>
      </c>
      <c r="C98" s="60">
        <v>116.24</v>
      </c>
      <c r="D98" s="60">
        <v>187.27</v>
      </c>
      <c r="E98" s="60">
        <v>7.84</v>
      </c>
      <c r="F98" s="60">
        <v>3.43</v>
      </c>
      <c r="G98" s="60">
        <v>120.63</v>
      </c>
      <c r="H98" s="60">
        <v>40.83</v>
      </c>
      <c r="I98" s="60">
        <v>1.33</v>
      </c>
      <c r="J98" s="60">
        <v>0.12</v>
      </c>
      <c r="K98" s="60">
        <v>353.94</v>
      </c>
      <c r="L98" s="60">
        <v>26.42</v>
      </c>
      <c r="M98" s="60">
        <v>41.29</v>
      </c>
      <c r="N98" s="60">
        <v>4.8</v>
      </c>
      <c r="O98" s="60">
        <v>0</v>
      </c>
      <c r="P98" s="60">
        <v>3.12</v>
      </c>
      <c r="Q98" s="60">
        <v>18.649999999999999</v>
      </c>
      <c r="R98" s="198"/>
      <c r="S98" s="198"/>
      <c r="T98" s="198"/>
      <c r="U98" s="198"/>
    </row>
    <row r="99" spans="1:33" s="12" customFormat="1" x14ac:dyDescent="0.25">
      <c r="A99" s="201" t="s">
        <v>1780</v>
      </c>
      <c r="B99" s="60">
        <v>128.33000000000001</v>
      </c>
      <c r="C99" s="60">
        <v>119.94</v>
      </c>
      <c r="D99" s="60">
        <v>169.75</v>
      </c>
      <c r="E99" s="60">
        <v>7.84</v>
      </c>
      <c r="F99" s="60">
        <v>3.55</v>
      </c>
      <c r="G99" s="60">
        <v>120.63</v>
      </c>
      <c r="H99" s="60">
        <v>40.83</v>
      </c>
      <c r="I99" s="60">
        <v>1.3</v>
      </c>
      <c r="J99" s="60">
        <v>0.13</v>
      </c>
      <c r="K99" s="60">
        <v>242.84</v>
      </c>
      <c r="L99" s="60">
        <v>26.42</v>
      </c>
      <c r="M99" s="60">
        <v>41.06</v>
      </c>
      <c r="N99" s="60">
        <v>4.3</v>
      </c>
      <c r="O99" s="60">
        <v>0</v>
      </c>
      <c r="P99" s="60">
        <v>2.87</v>
      </c>
      <c r="Q99" s="60">
        <v>19.010000000000002</v>
      </c>
      <c r="R99" s="198"/>
      <c r="S99" s="198"/>
      <c r="T99" s="198"/>
      <c r="U99" s="198"/>
    </row>
    <row r="100" spans="1:33" s="12" customFormat="1" x14ac:dyDescent="0.25">
      <c r="A100" s="201" t="s">
        <v>1781</v>
      </c>
      <c r="B100" s="60">
        <v>82.84</v>
      </c>
      <c r="C100" s="60">
        <v>102.42</v>
      </c>
      <c r="D100" s="60">
        <v>123.6</v>
      </c>
      <c r="E100" s="60">
        <v>8.33</v>
      </c>
      <c r="F100" s="60">
        <v>9.7899999999999991</v>
      </c>
      <c r="G100" s="60">
        <v>120.63</v>
      </c>
      <c r="H100" s="60">
        <v>40.83</v>
      </c>
      <c r="I100" s="60">
        <v>1.32</v>
      </c>
      <c r="J100" s="60">
        <v>0.13</v>
      </c>
      <c r="K100" s="60">
        <v>240.34</v>
      </c>
      <c r="L100" s="60">
        <v>27.36</v>
      </c>
      <c r="M100" s="60">
        <v>36.229999999999997</v>
      </c>
      <c r="N100" s="60">
        <v>3.7</v>
      </c>
      <c r="O100" s="60">
        <v>0</v>
      </c>
      <c r="P100" s="60">
        <v>2.13</v>
      </c>
      <c r="Q100" s="60">
        <v>27.05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1782</v>
      </c>
      <c r="B101" s="60">
        <v>107.37</v>
      </c>
      <c r="C101" s="60">
        <v>108.11</v>
      </c>
      <c r="D101" s="60">
        <v>146.41</v>
      </c>
      <c r="E101" s="60">
        <v>7.95</v>
      </c>
      <c r="F101" s="60">
        <v>6.32</v>
      </c>
      <c r="G101" s="60">
        <v>121.31</v>
      </c>
      <c r="H101" s="60">
        <v>40.82</v>
      </c>
      <c r="I101" s="60">
        <v>1.36</v>
      </c>
      <c r="J101" s="60">
        <v>0.17</v>
      </c>
      <c r="K101" s="60">
        <v>334.37</v>
      </c>
      <c r="L101" s="60">
        <v>26.9</v>
      </c>
      <c r="M101" s="60">
        <v>38.69</v>
      </c>
      <c r="N101" s="60">
        <v>4.9000000000000004</v>
      </c>
      <c r="O101" s="60">
        <v>0</v>
      </c>
      <c r="P101" s="60">
        <v>2.52</v>
      </c>
      <c r="Q101" s="60">
        <v>25.55</v>
      </c>
      <c r="R101" s="198"/>
      <c r="S101" s="198"/>
      <c r="T101" s="198"/>
      <c r="U101" s="198"/>
    </row>
    <row r="102" spans="1:33" s="12" customFormat="1" x14ac:dyDescent="0.25">
      <c r="A102" s="201" t="s">
        <v>1783</v>
      </c>
      <c r="B102" s="60">
        <v>95.05</v>
      </c>
      <c r="C102" s="60">
        <v>102.81</v>
      </c>
      <c r="D102" s="60">
        <v>133.6</v>
      </c>
      <c r="E102" s="60">
        <v>7.84</v>
      </c>
      <c r="F102" s="60">
        <v>7.41</v>
      </c>
      <c r="G102" s="60">
        <v>125.01</v>
      </c>
      <c r="H102" s="60">
        <v>40.799999999999997</v>
      </c>
      <c r="I102" s="60">
        <v>1.1200000000000001</v>
      </c>
      <c r="J102" s="60">
        <v>0.21</v>
      </c>
      <c r="K102" s="60">
        <v>336.43</v>
      </c>
      <c r="L102" s="60">
        <v>26.08</v>
      </c>
      <c r="M102" s="60">
        <v>40.89</v>
      </c>
      <c r="N102" s="60">
        <v>4.9000000000000004</v>
      </c>
      <c r="O102" s="60">
        <v>0</v>
      </c>
      <c r="P102" s="60">
        <v>2.33</v>
      </c>
      <c r="Q102" s="60">
        <v>29.91</v>
      </c>
      <c r="R102" s="198"/>
      <c r="S102" s="198"/>
      <c r="T102" s="198"/>
      <c r="U102" s="198"/>
    </row>
    <row r="103" spans="1:33" s="12" customFormat="1" x14ac:dyDescent="0.25">
      <c r="A103" s="201" t="s">
        <v>1784</v>
      </c>
      <c r="B103" s="60">
        <v>92.05</v>
      </c>
      <c r="C103" s="60">
        <v>96.7</v>
      </c>
      <c r="D103" s="60">
        <v>127.83</v>
      </c>
      <c r="E103" s="60">
        <v>7.05</v>
      </c>
      <c r="F103" s="60">
        <v>4.21</v>
      </c>
      <c r="G103" s="60">
        <v>125.01</v>
      </c>
      <c r="H103" s="60">
        <v>40.799999999999997</v>
      </c>
      <c r="I103" s="60">
        <v>1.1399999999999999</v>
      </c>
      <c r="J103" s="60">
        <v>0.13</v>
      </c>
      <c r="K103" s="60">
        <v>323.24</v>
      </c>
      <c r="L103" s="60">
        <v>25.6</v>
      </c>
      <c r="M103" s="60">
        <v>42.35</v>
      </c>
      <c r="N103" s="60">
        <v>5</v>
      </c>
      <c r="O103" s="60">
        <v>0</v>
      </c>
      <c r="P103" s="60">
        <v>2.39</v>
      </c>
      <c r="Q103" s="60">
        <v>29.37</v>
      </c>
      <c r="R103" s="198"/>
      <c r="S103" s="198"/>
      <c r="T103" s="198"/>
      <c r="U103" s="198"/>
    </row>
    <row r="104" spans="1:33" s="12" customFormat="1" x14ac:dyDescent="0.25">
      <c r="A104" s="201" t="s">
        <v>1785</v>
      </c>
      <c r="B104" s="60">
        <v>93.75</v>
      </c>
      <c r="C104" s="60">
        <v>96.49</v>
      </c>
      <c r="D104" s="60">
        <v>129.07</v>
      </c>
      <c r="E104" s="60">
        <v>3.78</v>
      </c>
      <c r="F104" s="60">
        <v>3.66</v>
      </c>
      <c r="G104" s="60">
        <v>125.01</v>
      </c>
      <c r="H104" s="60">
        <v>40.799999999999997</v>
      </c>
      <c r="I104" s="60">
        <v>0.92</v>
      </c>
      <c r="J104" s="60">
        <v>0.23</v>
      </c>
      <c r="K104" s="60">
        <v>353.63</v>
      </c>
      <c r="L104" s="60">
        <v>25.49</v>
      </c>
      <c r="M104" s="60">
        <v>43.76</v>
      </c>
      <c r="N104" s="60">
        <v>5</v>
      </c>
      <c r="O104" s="60">
        <v>0</v>
      </c>
      <c r="P104" s="60">
        <v>2.25</v>
      </c>
      <c r="Q104" s="60">
        <v>30.4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</v>
      </c>
      <c r="C106" s="67">
        <f>MIN(C9:C104)</f>
        <v>31.8</v>
      </c>
      <c r="D106" s="67">
        <f t="shared" ref="D106:Q106" si="0">MIN(D9:D104)</f>
        <v>19.43</v>
      </c>
      <c r="E106" s="67">
        <f t="shared" si="0"/>
        <v>0.94</v>
      </c>
      <c r="F106" s="67">
        <f t="shared" si="0"/>
        <v>3.01</v>
      </c>
      <c r="G106" s="67">
        <f t="shared" si="0"/>
        <v>29.38</v>
      </c>
      <c r="H106" s="67">
        <f t="shared" si="0"/>
        <v>15.9</v>
      </c>
      <c r="I106" s="67">
        <f t="shared" si="0"/>
        <v>0.51</v>
      </c>
      <c r="J106" s="67">
        <f t="shared" si="0"/>
        <v>0.02</v>
      </c>
      <c r="K106" s="67">
        <f t="shared" si="0"/>
        <v>0.86</v>
      </c>
      <c r="L106" s="67">
        <f t="shared" si="0"/>
        <v>23.2</v>
      </c>
      <c r="M106" s="67">
        <f t="shared" si="0"/>
        <v>12.39</v>
      </c>
      <c r="N106" s="67">
        <f t="shared" si="0"/>
        <v>3.5</v>
      </c>
      <c r="O106" s="67">
        <f t="shared" si="0"/>
        <v>0</v>
      </c>
      <c r="P106" s="67">
        <f t="shared" si="0"/>
        <v>0.45</v>
      </c>
      <c r="Q106" s="67">
        <f t="shared" si="0"/>
        <v>0.09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155.52000000000001</v>
      </c>
      <c r="C107" s="66">
        <f t="shared" ref="C107:Q107" si="1">MAX(C9:C104)</f>
        <v>119.94</v>
      </c>
      <c r="D107" s="66">
        <f t="shared" si="1"/>
        <v>190.92</v>
      </c>
      <c r="E107" s="66">
        <f t="shared" si="1"/>
        <v>12.1</v>
      </c>
      <c r="F107" s="66">
        <f t="shared" si="1"/>
        <v>53.45</v>
      </c>
      <c r="G107" s="66">
        <f t="shared" si="1"/>
        <v>125.01</v>
      </c>
      <c r="H107" s="66">
        <f t="shared" si="1"/>
        <v>40.83</v>
      </c>
      <c r="I107" s="66">
        <f t="shared" si="1"/>
        <v>1.36</v>
      </c>
      <c r="J107" s="66">
        <f t="shared" si="1"/>
        <v>1.34</v>
      </c>
      <c r="K107" s="66">
        <f t="shared" si="1"/>
        <v>358.88</v>
      </c>
      <c r="L107" s="66">
        <f t="shared" si="1"/>
        <v>40.229999999999997</v>
      </c>
      <c r="M107" s="66">
        <f t="shared" si="1"/>
        <v>44.74</v>
      </c>
      <c r="N107" s="66">
        <f t="shared" si="1"/>
        <v>845.3</v>
      </c>
      <c r="O107" s="66">
        <f t="shared" si="1"/>
        <v>0</v>
      </c>
      <c r="P107" s="66">
        <f t="shared" si="1"/>
        <v>3.28</v>
      </c>
      <c r="Q107" s="66">
        <f t="shared" si="1"/>
        <v>30.4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20.680937499999999</v>
      </c>
      <c r="C108" s="67">
        <f t="shared" ref="C108:Q108" si="2">AVERAGE(C9:C104)</f>
        <v>55.474479166666647</v>
      </c>
      <c r="D108" s="67">
        <f t="shared" si="2"/>
        <v>47.845312499999999</v>
      </c>
      <c r="E108" s="67">
        <f t="shared" si="2"/>
        <v>4.9248958333333324</v>
      </c>
      <c r="F108" s="67">
        <f t="shared" si="2"/>
        <v>20.02375</v>
      </c>
      <c r="G108" s="67">
        <f t="shared" si="2"/>
        <v>60.481875000000038</v>
      </c>
      <c r="H108" s="67">
        <f t="shared" si="2"/>
        <v>22.905520833333323</v>
      </c>
      <c r="I108" s="67">
        <f t="shared" si="2"/>
        <v>0.67114583333333311</v>
      </c>
      <c r="J108" s="67">
        <f t="shared" si="2"/>
        <v>0.34875000000000006</v>
      </c>
      <c r="K108" s="67">
        <f t="shared" si="2"/>
        <v>209.62614583333337</v>
      </c>
      <c r="L108" s="67">
        <f t="shared" si="2"/>
        <v>30.620625000000008</v>
      </c>
      <c r="M108" s="67">
        <f t="shared" si="2"/>
        <v>28.728645833333342</v>
      </c>
      <c r="N108" s="67">
        <f t="shared" si="2"/>
        <v>235.59583333333322</v>
      </c>
      <c r="O108" s="67">
        <f t="shared" si="2"/>
        <v>0</v>
      </c>
      <c r="P108" s="67">
        <f t="shared" si="2"/>
        <v>0.96291666666666664</v>
      </c>
      <c r="Q108" s="67">
        <f t="shared" si="2"/>
        <v>7.9816666666666647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38.140058070723462</v>
      </c>
      <c r="C109" s="67">
        <f t="shared" ref="C109:Q109" si="3">STDEV(C9:C104)</f>
        <v>26.644774381314281</v>
      </c>
      <c r="D109" s="67">
        <f t="shared" si="3"/>
        <v>44.078169986683896</v>
      </c>
      <c r="E109" s="67">
        <f t="shared" si="3"/>
        <v>3.1324585920871102</v>
      </c>
      <c r="F109" s="67">
        <f t="shared" si="3"/>
        <v>15.140272628429049</v>
      </c>
      <c r="G109" s="67">
        <f t="shared" si="3"/>
        <v>22.899161341227643</v>
      </c>
      <c r="H109" s="67">
        <f t="shared" si="3"/>
        <v>6.1497280846677551</v>
      </c>
      <c r="I109" s="67">
        <f t="shared" si="3"/>
        <v>0.20997177650776061</v>
      </c>
      <c r="J109" s="67">
        <f t="shared" si="3"/>
        <v>0.33387123266313318</v>
      </c>
      <c r="K109" s="67">
        <f t="shared" si="3"/>
        <v>118.32115334630375</v>
      </c>
      <c r="L109" s="67">
        <f t="shared" si="3"/>
        <v>5.5493948105317843</v>
      </c>
      <c r="M109" s="67">
        <f t="shared" si="3"/>
        <v>11.262543661441523</v>
      </c>
      <c r="N109" s="67">
        <f t="shared" si="3"/>
        <v>313.97508715004324</v>
      </c>
      <c r="O109" s="67">
        <f t="shared" si="3"/>
        <v>0</v>
      </c>
      <c r="P109" s="67">
        <f t="shared" si="3"/>
        <v>0.74231914921969089</v>
      </c>
      <c r="Q109" s="67">
        <f t="shared" si="3"/>
        <v>6.4226195125905461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4" sqref="F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1786</v>
      </c>
      <c r="B9" s="60">
        <v>75.680000000000007</v>
      </c>
      <c r="C9" s="60">
        <v>92.3</v>
      </c>
      <c r="D9" s="60">
        <v>112.28</v>
      </c>
      <c r="E9" s="60">
        <v>6.46</v>
      </c>
      <c r="F9" s="60">
        <v>3.82</v>
      </c>
      <c r="G9" s="60">
        <v>124.31</v>
      </c>
      <c r="H9" s="60">
        <v>42.02</v>
      </c>
      <c r="I9" s="60">
        <v>0.97</v>
      </c>
      <c r="J9" s="60">
        <v>0.13</v>
      </c>
      <c r="K9" s="60">
        <v>338.59</v>
      </c>
      <c r="L9" s="60">
        <v>25.22</v>
      </c>
      <c r="M9" s="60">
        <v>42.8</v>
      </c>
      <c r="N9" s="60">
        <v>4.7</v>
      </c>
      <c r="O9" s="60">
        <v>0</v>
      </c>
      <c r="P9" s="60">
        <v>2.13</v>
      </c>
      <c r="Q9" s="60">
        <v>30.02</v>
      </c>
      <c r="R9" s="198"/>
      <c r="S9" s="198"/>
      <c r="T9" s="198"/>
      <c r="U9" s="198"/>
    </row>
    <row r="10" spans="1:21" s="12" customFormat="1" x14ac:dyDescent="0.25">
      <c r="A10" s="201" t="s">
        <v>1787</v>
      </c>
      <c r="B10" s="60">
        <v>56.24</v>
      </c>
      <c r="C10" s="60">
        <v>76.78</v>
      </c>
      <c r="D10" s="60">
        <v>88.12</v>
      </c>
      <c r="E10" s="60">
        <v>7.43</v>
      </c>
      <c r="F10" s="60">
        <v>13.08</v>
      </c>
      <c r="G10" s="60">
        <v>120.5</v>
      </c>
      <c r="H10" s="60">
        <v>48.5</v>
      </c>
      <c r="I10" s="60">
        <v>0.92</v>
      </c>
      <c r="J10" s="60">
        <v>0.14000000000000001</v>
      </c>
      <c r="K10" s="60">
        <v>327.92</v>
      </c>
      <c r="L10" s="60">
        <v>25.62</v>
      </c>
      <c r="M10" s="60">
        <v>38.840000000000003</v>
      </c>
      <c r="N10" s="60">
        <v>4.0999999999999996</v>
      </c>
      <c r="O10" s="60">
        <v>0</v>
      </c>
      <c r="P10" s="60">
        <v>1.8</v>
      </c>
      <c r="Q10" s="60">
        <v>29.99</v>
      </c>
      <c r="R10" s="198"/>
      <c r="S10" s="198"/>
      <c r="T10" s="198"/>
      <c r="U10" s="198"/>
    </row>
    <row r="11" spans="1:21" s="12" customFormat="1" x14ac:dyDescent="0.25">
      <c r="A11" s="201" t="s">
        <v>1788</v>
      </c>
      <c r="B11" s="60">
        <v>47.08</v>
      </c>
      <c r="C11" s="60">
        <v>66.2</v>
      </c>
      <c r="D11" s="60">
        <v>74.94</v>
      </c>
      <c r="E11" s="60">
        <v>8.0299999999999994</v>
      </c>
      <c r="F11" s="60">
        <v>17.100000000000001</v>
      </c>
      <c r="G11" s="60">
        <v>120.5</v>
      </c>
      <c r="H11" s="60">
        <v>48.5</v>
      </c>
      <c r="I11" s="60">
        <v>0.87</v>
      </c>
      <c r="J11" s="60">
        <v>0.11</v>
      </c>
      <c r="K11" s="60">
        <v>216.18</v>
      </c>
      <c r="L11" s="60">
        <v>25.73</v>
      </c>
      <c r="M11" s="60">
        <v>38.67</v>
      </c>
      <c r="N11" s="60">
        <v>4.5999999999999996</v>
      </c>
      <c r="O11" s="60">
        <v>0</v>
      </c>
      <c r="P11" s="60">
        <v>1.58</v>
      </c>
      <c r="Q11" s="60">
        <v>30</v>
      </c>
      <c r="R11" s="198"/>
      <c r="S11" s="198"/>
      <c r="T11" s="198"/>
      <c r="U11" s="198"/>
    </row>
    <row r="12" spans="1:21" s="12" customFormat="1" x14ac:dyDescent="0.25">
      <c r="A12" s="201" t="s">
        <v>1789</v>
      </c>
      <c r="B12" s="60">
        <v>49.38</v>
      </c>
      <c r="C12" s="60">
        <v>68.319999999999993</v>
      </c>
      <c r="D12" s="60">
        <v>77.94</v>
      </c>
      <c r="E12" s="60">
        <v>6.74</v>
      </c>
      <c r="F12" s="60">
        <v>12.34</v>
      </c>
      <c r="G12" s="60">
        <v>120.5</v>
      </c>
      <c r="H12" s="60">
        <v>48.5</v>
      </c>
      <c r="I12" s="60">
        <v>0.81</v>
      </c>
      <c r="J12" s="60">
        <v>0.17</v>
      </c>
      <c r="K12" s="60">
        <v>348.02</v>
      </c>
      <c r="L12" s="60">
        <v>25.45</v>
      </c>
      <c r="M12" s="60">
        <v>42.58</v>
      </c>
      <c r="N12" s="60">
        <v>4.8</v>
      </c>
      <c r="O12" s="60">
        <v>0</v>
      </c>
      <c r="P12" s="60">
        <v>1.7</v>
      </c>
      <c r="Q12" s="60">
        <v>29.56</v>
      </c>
      <c r="R12" s="198"/>
      <c r="S12" s="198"/>
      <c r="T12" s="198"/>
      <c r="U12" s="198"/>
    </row>
    <row r="13" spans="1:21" s="12" customFormat="1" x14ac:dyDescent="0.25">
      <c r="A13" s="201" t="s">
        <v>1790</v>
      </c>
      <c r="B13" s="60">
        <v>49.39</v>
      </c>
      <c r="C13" s="60">
        <v>65.86</v>
      </c>
      <c r="D13" s="60">
        <v>76.599999999999994</v>
      </c>
      <c r="E13" s="60">
        <v>5.93</v>
      </c>
      <c r="F13" s="60">
        <v>11.18</v>
      </c>
      <c r="G13" s="60">
        <v>118.46</v>
      </c>
      <c r="H13" s="60">
        <v>48</v>
      </c>
      <c r="I13" s="60">
        <v>0.79</v>
      </c>
      <c r="J13" s="60">
        <v>0.08</v>
      </c>
      <c r="K13" s="60">
        <v>10.130000000000001</v>
      </c>
      <c r="L13" s="60">
        <v>24.56</v>
      </c>
      <c r="M13" s="60">
        <v>44.48</v>
      </c>
      <c r="N13" s="60">
        <v>5.2</v>
      </c>
      <c r="O13" s="60">
        <v>0</v>
      </c>
      <c r="P13" s="60">
        <v>1.54</v>
      </c>
      <c r="Q13" s="60">
        <v>28.51</v>
      </c>
      <c r="R13" s="198"/>
      <c r="S13" s="198"/>
      <c r="T13" s="198"/>
      <c r="U13" s="198"/>
    </row>
    <row r="14" spans="1:21" s="12" customFormat="1" x14ac:dyDescent="0.25">
      <c r="A14" s="201" t="s">
        <v>1791</v>
      </c>
      <c r="B14" s="60">
        <v>46.12</v>
      </c>
      <c r="C14" s="60">
        <v>57.71</v>
      </c>
      <c r="D14" s="60">
        <v>69.48</v>
      </c>
      <c r="E14" s="60">
        <v>5.59</v>
      </c>
      <c r="F14" s="60">
        <v>15.59</v>
      </c>
      <c r="G14" s="60">
        <v>106.37</v>
      </c>
      <c r="H14" s="60">
        <v>45.95</v>
      </c>
      <c r="I14" s="60">
        <v>0.77</v>
      </c>
      <c r="J14" s="60">
        <v>0.02</v>
      </c>
      <c r="K14" s="60">
        <v>244.38</v>
      </c>
      <c r="L14" s="60">
        <v>24.33</v>
      </c>
      <c r="M14" s="60">
        <v>43.95</v>
      </c>
      <c r="N14" s="60">
        <v>4.5999999999999996</v>
      </c>
      <c r="O14" s="60">
        <v>0</v>
      </c>
      <c r="P14" s="60">
        <v>1.49</v>
      </c>
      <c r="Q14" s="60">
        <v>27.57</v>
      </c>
      <c r="R14" s="198"/>
      <c r="S14" s="198"/>
      <c r="T14" s="198"/>
      <c r="U14" s="198"/>
    </row>
    <row r="15" spans="1:21" s="12" customFormat="1" x14ac:dyDescent="0.25">
      <c r="A15" s="201" t="s">
        <v>1792</v>
      </c>
      <c r="B15" s="60">
        <v>38.28</v>
      </c>
      <c r="C15" s="60">
        <v>56.3</v>
      </c>
      <c r="D15" s="60">
        <v>62.41</v>
      </c>
      <c r="E15" s="60">
        <v>7.6</v>
      </c>
      <c r="F15" s="60">
        <v>17.97</v>
      </c>
      <c r="G15" s="60">
        <v>106.37</v>
      </c>
      <c r="H15" s="60">
        <v>45.95</v>
      </c>
      <c r="I15" s="60">
        <v>0.78</v>
      </c>
      <c r="J15" s="60">
        <v>0.06</v>
      </c>
      <c r="K15" s="60">
        <v>356.62</v>
      </c>
      <c r="L15" s="60">
        <v>24.48</v>
      </c>
      <c r="M15" s="60">
        <v>43.37</v>
      </c>
      <c r="N15" s="60">
        <v>4.9000000000000004</v>
      </c>
      <c r="O15" s="60">
        <v>0</v>
      </c>
      <c r="P15" s="60">
        <v>1.36</v>
      </c>
      <c r="Q15" s="60">
        <v>28.47</v>
      </c>
      <c r="R15" s="198"/>
      <c r="S15" s="198"/>
      <c r="T15" s="198"/>
      <c r="U15" s="198"/>
    </row>
    <row r="16" spans="1:21" s="12" customFormat="1" x14ac:dyDescent="0.25">
      <c r="A16" s="201" t="s">
        <v>1793</v>
      </c>
      <c r="B16" s="60">
        <v>35.01</v>
      </c>
      <c r="C16" s="60">
        <v>58.3</v>
      </c>
      <c r="D16" s="60">
        <v>60.9</v>
      </c>
      <c r="E16" s="60">
        <v>6.21</v>
      </c>
      <c r="F16" s="60">
        <v>13.68</v>
      </c>
      <c r="G16" s="60">
        <v>106.37</v>
      </c>
      <c r="H16" s="60">
        <v>45.95</v>
      </c>
      <c r="I16" s="60">
        <v>0.77</v>
      </c>
      <c r="J16" s="60">
        <v>0.04</v>
      </c>
      <c r="K16" s="60">
        <v>165.05</v>
      </c>
      <c r="L16" s="60">
        <v>24.14</v>
      </c>
      <c r="M16" s="60">
        <v>46.04</v>
      </c>
      <c r="N16" s="60">
        <v>4.7</v>
      </c>
      <c r="O16" s="60">
        <v>0</v>
      </c>
      <c r="P16" s="60">
        <v>1.37</v>
      </c>
      <c r="Q16" s="60">
        <v>29.09</v>
      </c>
      <c r="R16" s="198"/>
      <c r="S16" s="198"/>
      <c r="T16" s="198"/>
      <c r="U16" s="198"/>
    </row>
    <row r="17" spans="1:21" s="12" customFormat="1" x14ac:dyDescent="0.25">
      <c r="A17" s="201" t="s">
        <v>1794</v>
      </c>
      <c r="B17" s="60">
        <v>34.75</v>
      </c>
      <c r="C17" s="60">
        <v>60.83</v>
      </c>
      <c r="D17" s="60">
        <v>62.09</v>
      </c>
      <c r="E17" s="60">
        <v>5.59</v>
      </c>
      <c r="F17" s="60">
        <v>10.9</v>
      </c>
      <c r="G17" s="60">
        <v>104.97</v>
      </c>
      <c r="H17" s="60">
        <v>48.51</v>
      </c>
      <c r="I17" s="60">
        <v>0.7</v>
      </c>
      <c r="J17" s="60">
        <v>0.26</v>
      </c>
      <c r="K17" s="60">
        <v>229.64</v>
      </c>
      <c r="L17" s="60">
        <v>25.03</v>
      </c>
      <c r="M17" s="60">
        <v>41.83</v>
      </c>
      <c r="N17" s="60">
        <v>3.2</v>
      </c>
      <c r="O17" s="60">
        <v>0</v>
      </c>
      <c r="P17" s="60">
        <v>1.27</v>
      </c>
      <c r="Q17" s="60">
        <v>29.64</v>
      </c>
      <c r="R17" s="198"/>
      <c r="S17" s="198"/>
      <c r="T17" s="198"/>
      <c r="U17" s="198"/>
    </row>
    <row r="18" spans="1:21" s="12" customFormat="1" x14ac:dyDescent="0.25">
      <c r="A18" s="201" t="s">
        <v>1795</v>
      </c>
      <c r="B18" s="60">
        <v>33.69</v>
      </c>
      <c r="C18" s="60">
        <v>57.46</v>
      </c>
      <c r="D18" s="60">
        <v>59.37</v>
      </c>
      <c r="E18" s="60">
        <v>6.8</v>
      </c>
      <c r="F18" s="60">
        <v>14.28</v>
      </c>
      <c r="G18" s="60">
        <v>96.66</v>
      </c>
      <c r="H18" s="60">
        <v>59.15</v>
      </c>
      <c r="I18" s="60">
        <v>0.75</v>
      </c>
      <c r="J18" s="60">
        <v>0.31</v>
      </c>
      <c r="K18" s="60">
        <v>224.67</v>
      </c>
      <c r="L18" s="60">
        <v>25.69</v>
      </c>
      <c r="M18" s="60">
        <v>38.299999999999997</v>
      </c>
      <c r="N18" s="60">
        <v>3.5</v>
      </c>
      <c r="O18" s="60">
        <v>0</v>
      </c>
      <c r="P18" s="60">
        <v>1.23</v>
      </c>
      <c r="Q18" s="60">
        <v>29.73</v>
      </c>
      <c r="R18" s="198"/>
      <c r="S18" s="198"/>
      <c r="T18" s="198"/>
      <c r="U18" s="198"/>
    </row>
    <row r="19" spans="1:21" s="12" customFormat="1" x14ac:dyDescent="0.25">
      <c r="A19" s="201" t="s">
        <v>1796</v>
      </c>
      <c r="B19" s="60">
        <v>35.880000000000003</v>
      </c>
      <c r="C19" s="60">
        <v>51.29</v>
      </c>
      <c r="D19" s="60">
        <v>57.72</v>
      </c>
      <c r="E19" s="60">
        <v>6.09</v>
      </c>
      <c r="F19" s="60">
        <v>14.27</v>
      </c>
      <c r="G19" s="60">
        <v>96.66</v>
      </c>
      <c r="H19" s="60">
        <v>59.15</v>
      </c>
      <c r="I19" s="60">
        <v>0.71</v>
      </c>
      <c r="J19" s="60">
        <v>0.09</v>
      </c>
      <c r="K19" s="60">
        <v>264.44</v>
      </c>
      <c r="L19" s="60">
        <v>25.21</v>
      </c>
      <c r="M19" s="60">
        <v>39.82</v>
      </c>
      <c r="N19" s="60">
        <v>5</v>
      </c>
      <c r="O19" s="60">
        <v>0</v>
      </c>
      <c r="P19" s="60">
        <v>1.36</v>
      </c>
      <c r="Q19" s="60">
        <v>30.03</v>
      </c>
      <c r="R19" s="198"/>
      <c r="S19" s="198"/>
      <c r="T19" s="198"/>
      <c r="U19" s="198"/>
    </row>
    <row r="20" spans="1:21" s="12" customFormat="1" x14ac:dyDescent="0.25">
      <c r="A20" s="201" t="s">
        <v>1797</v>
      </c>
      <c r="B20" s="60">
        <v>33.770000000000003</v>
      </c>
      <c r="C20" s="60">
        <v>50.65</v>
      </c>
      <c r="D20" s="60">
        <v>55.68</v>
      </c>
      <c r="E20" s="60">
        <v>5.0599999999999996</v>
      </c>
      <c r="F20" s="60">
        <v>11.95</v>
      </c>
      <c r="G20" s="60">
        <v>96.66</v>
      </c>
      <c r="H20" s="60">
        <v>59.15</v>
      </c>
      <c r="I20" s="60">
        <v>0.72</v>
      </c>
      <c r="J20" s="60">
        <v>0.2</v>
      </c>
      <c r="K20" s="60">
        <v>332.8</v>
      </c>
      <c r="L20" s="60">
        <v>24.17</v>
      </c>
      <c r="M20" s="60">
        <v>46.13</v>
      </c>
      <c r="N20" s="60">
        <v>5</v>
      </c>
      <c r="O20" s="60">
        <v>0</v>
      </c>
      <c r="P20" s="60">
        <v>1.3</v>
      </c>
      <c r="Q20" s="60">
        <v>29.4</v>
      </c>
      <c r="R20" s="198"/>
      <c r="S20" s="198"/>
      <c r="T20" s="198"/>
      <c r="U20" s="198"/>
    </row>
    <row r="21" spans="1:21" s="12" customFormat="1" x14ac:dyDescent="0.25">
      <c r="A21" s="201" t="s">
        <v>1798</v>
      </c>
      <c r="B21" s="60">
        <v>31.15</v>
      </c>
      <c r="C21" s="60">
        <v>51.64</v>
      </c>
      <c r="D21" s="60">
        <v>54.13</v>
      </c>
      <c r="E21" s="60">
        <v>4.3899999999999997</v>
      </c>
      <c r="F21" s="60">
        <v>10.82</v>
      </c>
      <c r="G21" s="60">
        <v>94.91</v>
      </c>
      <c r="H21" s="60">
        <v>54.87</v>
      </c>
      <c r="I21" s="60">
        <v>0.7</v>
      </c>
      <c r="J21" s="60">
        <v>0.22</v>
      </c>
      <c r="K21" s="60">
        <v>343.48</v>
      </c>
      <c r="L21" s="60">
        <v>23.52</v>
      </c>
      <c r="M21" s="60">
        <v>48.76</v>
      </c>
      <c r="N21" s="60">
        <v>4.9000000000000004</v>
      </c>
      <c r="O21" s="60">
        <v>0</v>
      </c>
      <c r="P21" s="60">
        <v>1.24</v>
      </c>
      <c r="Q21" s="60">
        <v>26.54</v>
      </c>
      <c r="R21" s="198"/>
      <c r="S21" s="198"/>
      <c r="T21" s="198"/>
      <c r="U21" s="198"/>
    </row>
    <row r="22" spans="1:21" s="12" customFormat="1" x14ac:dyDescent="0.25">
      <c r="A22" s="201" t="s">
        <v>1799</v>
      </c>
      <c r="B22" s="60">
        <v>30.17</v>
      </c>
      <c r="C22" s="60">
        <v>51.24</v>
      </c>
      <c r="D22" s="60">
        <v>53.12</v>
      </c>
      <c r="E22" s="60">
        <v>4.51</v>
      </c>
      <c r="F22" s="60">
        <v>10.23</v>
      </c>
      <c r="G22" s="60">
        <v>84.54</v>
      </c>
      <c r="H22" s="60">
        <v>35.590000000000003</v>
      </c>
      <c r="I22" s="60">
        <v>0.69</v>
      </c>
      <c r="J22" s="60">
        <v>0.14000000000000001</v>
      </c>
      <c r="K22" s="60">
        <v>0.46</v>
      </c>
      <c r="L22" s="60">
        <v>23.3</v>
      </c>
      <c r="M22" s="60">
        <v>49.54</v>
      </c>
      <c r="N22" s="60">
        <v>5.0999999999999996</v>
      </c>
      <c r="O22" s="60">
        <v>0</v>
      </c>
      <c r="P22" s="60">
        <v>1.25</v>
      </c>
      <c r="Q22" s="60">
        <v>24.09</v>
      </c>
      <c r="R22" s="198"/>
      <c r="S22" s="198"/>
      <c r="T22" s="198"/>
      <c r="U22" s="198"/>
    </row>
    <row r="23" spans="1:21" s="12" customFormat="1" x14ac:dyDescent="0.25">
      <c r="A23" s="201" t="s">
        <v>1800</v>
      </c>
      <c r="B23" s="60">
        <v>26.47</v>
      </c>
      <c r="C23" s="60">
        <v>49.31</v>
      </c>
      <c r="D23" s="60">
        <v>49.09</v>
      </c>
      <c r="E23" s="60">
        <v>4.0199999999999996</v>
      </c>
      <c r="F23" s="60">
        <v>10.59</v>
      </c>
      <c r="G23" s="60">
        <v>84.54</v>
      </c>
      <c r="H23" s="60">
        <v>35.590000000000003</v>
      </c>
      <c r="I23" s="60">
        <v>0.67</v>
      </c>
      <c r="J23" s="60">
        <v>0.09</v>
      </c>
      <c r="K23" s="60">
        <v>305.91000000000003</v>
      </c>
      <c r="L23" s="60">
        <v>23</v>
      </c>
      <c r="M23" s="60">
        <v>50.52</v>
      </c>
      <c r="N23" s="60">
        <v>4.7</v>
      </c>
      <c r="O23" s="60">
        <v>0</v>
      </c>
      <c r="P23" s="60">
        <v>1.22</v>
      </c>
      <c r="Q23" s="60">
        <v>22.29</v>
      </c>
      <c r="R23" s="198"/>
      <c r="S23" s="198"/>
      <c r="T23" s="198"/>
      <c r="U23" s="198"/>
    </row>
    <row r="24" spans="1:21" s="12" customFormat="1" x14ac:dyDescent="0.25">
      <c r="A24" s="201" t="s">
        <v>1801</v>
      </c>
      <c r="B24" s="60">
        <v>27.5</v>
      </c>
      <c r="C24" s="60">
        <v>52.19</v>
      </c>
      <c r="D24" s="60">
        <v>51.5</v>
      </c>
      <c r="E24" s="60">
        <v>2.85</v>
      </c>
      <c r="F24" s="60">
        <v>7.55</v>
      </c>
      <c r="G24" s="60">
        <v>84.54</v>
      </c>
      <c r="H24" s="60">
        <v>35.590000000000003</v>
      </c>
      <c r="I24" s="60">
        <v>0.69</v>
      </c>
      <c r="J24" s="60">
        <v>0.15</v>
      </c>
      <c r="K24" s="60">
        <v>336.61</v>
      </c>
      <c r="L24" s="60">
        <v>22.87</v>
      </c>
      <c r="M24" s="60">
        <v>51.17</v>
      </c>
      <c r="N24" s="60">
        <v>4.8</v>
      </c>
      <c r="O24" s="60">
        <v>0</v>
      </c>
      <c r="P24" s="60">
        <v>1.24</v>
      </c>
      <c r="Q24" s="60">
        <v>20.73</v>
      </c>
      <c r="R24" s="198"/>
      <c r="S24" s="198"/>
      <c r="T24" s="198"/>
      <c r="U24" s="198"/>
    </row>
    <row r="25" spans="1:21" s="12" customFormat="1" x14ac:dyDescent="0.25">
      <c r="A25" s="201" t="s">
        <v>1802</v>
      </c>
      <c r="B25" s="60">
        <v>25.64</v>
      </c>
      <c r="C25" s="60">
        <v>54.71</v>
      </c>
      <c r="D25" s="60">
        <v>51.4</v>
      </c>
      <c r="E25" s="60">
        <v>4.32</v>
      </c>
      <c r="F25" s="60">
        <v>6.72</v>
      </c>
      <c r="G25" s="60">
        <v>82.64</v>
      </c>
      <c r="H25" s="60">
        <v>33.78</v>
      </c>
      <c r="I25" s="60">
        <v>0.67</v>
      </c>
      <c r="J25" s="60">
        <v>0.03</v>
      </c>
      <c r="K25" s="60">
        <v>259.68</v>
      </c>
      <c r="L25" s="60">
        <v>22.81</v>
      </c>
      <c r="M25" s="60">
        <v>50.75</v>
      </c>
      <c r="N25" s="60">
        <v>4.5</v>
      </c>
      <c r="O25" s="60">
        <v>0</v>
      </c>
      <c r="P25" s="60">
        <v>1.1399999999999999</v>
      </c>
      <c r="Q25" s="60">
        <v>19.600000000000001</v>
      </c>
      <c r="R25" s="198"/>
      <c r="S25" s="198"/>
      <c r="T25" s="198"/>
      <c r="U25" s="198"/>
    </row>
    <row r="26" spans="1:21" s="12" customFormat="1" x14ac:dyDescent="0.25">
      <c r="A26" s="201" t="s">
        <v>1803</v>
      </c>
      <c r="B26" s="60">
        <v>25.2</v>
      </c>
      <c r="C26" s="60">
        <v>57.33</v>
      </c>
      <c r="D26" s="60">
        <v>52.49</v>
      </c>
      <c r="E26" s="60">
        <v>4.5199999999999996</v>
      </c>
      <c r="F26" s="60">
        <v>6.24</v>
      </c>
      <c r="G26" s="60">
        <v>71.42</v>
      </c>
      <c r="H26" s="60">
        <v>23.99</v>
      </c>
      <c r="I26" s="60">
        <v>0.66</v>
      </c>
      <c r="J26" s="60">
        <v>0.16</v>
      </c>
      <c r="K26" s="60">
        <v>341.47</v>
      </c>
      <c r="L26" s="60">
        <v>22.95</v>
      </c>
      <c r="M26" s="60">
        <v>51.04</v>
      </c>
      <c r="N26" s="60">
        <v>4.7</v>
      </c>
      <c r="O26" s="60">
        <v>0</v>
      </c>
      <c r="P26" s="60">
        <v>1.19</v>
      </c>
      <c r="Q26" s="60">
        <v>18.649999999999999</v>
      </c>
      <c r="R26" s="198"/>
      <c r="S26" s="198"/>
      <c r="T26" s="198"/>
      <c r="U26" s="198"/>
    </row>
    <row r="27" spans="1:21" s="12" customFormat="1" x14ac:dyDescent="0.25">
      <c r="A27" s="201" t="s">
        <v>1804</v>
      </c>
      <c r="B27" s="60">
        <v>22.93</v>
      </c>
      <c r="C27" s="60">
        <v>61.86</v>
      </c>
      <c r="D27" s="60">
        <v>53.17</v>
      </c>
      <c r="E27" s="60">
        <v>4.7300000000000004</v>
      </c>
      <c r="F27" s="60">
        <v>6.95</v>
      </c>
      <c r="G27" s="60">
        <v>71.42</v>
      </c>
      <c r="H27" s="60">
        <v>23.99</v>
      </c>
      <c r="I27" s="60">
        <v>0.65</v>
      </c>
      <c r="J27" s="60">
        <v>7.0000000000000007E-2</v>
      </c>
      <c r="K27" s="60">
        <v>277.62</v>
      </c>
      <c r="L27" s="60">
        <v>22.93</v>
      </c>
      <c r="M27" s="60">
        <v>50.73</v>
      </c>
      <c r="N27" s="60">
        <v>4.5</v>
      </c>
      <c r="O27" s="60">
        <v>0</v>
      </c>
      <c r="P27" s="60">
        <v>1.08</v>
      </c>
      <c r="Q27" s="60">
        <v>19.03</v>
      </c>
      <c r="R27" s="198"/>
      <c r="S27" s="198"/>
      <c r="T27" s="198"/>
      <c r="U27" s="198"/>
    </row>
    <row r="28" spans="1:21" s="12" customFormat="1" x14ac:dyDescent="0.25">
      <c r="A28" s="201" t="s">
        <v>1805</v>
      </c>
      <c r="B28" s="60">
        <v>43.21</v>
      </c>
      <c r="C28" s="60">
        <v>68.540000000000006</v>
      </c>
      <c r="D28" s="60">
        <v>73.13</v>
      </c>
      <c r="E28" s="60">
        <v>4.7699999999999996</v>
      </c>
      <c r="F28" s="60">
        <v>4.43</v>
      </c>
      <c r="G28" s="60">
        <v>71.42</v>
      </c>
      <c r="H28" s="60">
        <v>23.99</v>
      </c>
      <c r="I28" s="60">
        <v>0.65</v>
      </c>
      <c r="J28" s="60">
        <v>0.1</v>
      </c>
      <c r="K28" s="60">
        <v>330.6</v>
      </c>
      <c r="L28" s="60">
        <v>22.67</v>
      </c>
      <c r="M28" s="60">
        <v>52.17</v>
      </c>
      <c r="N28" s="60">
        <v>4.7</v>
      </c>
      <c r="O28" s="60">
        <v>0</v>
      </c>
      <c r="P28" s="60">
        <v>1.19</v>
      </c>
      <c r="Q28" s="60">
        <v>20.58</v>
      </c>
      <c r="R28" s="198"/>
      <c r="S28" s="198"/>
      <c r="T28" s="198"/>
      <c r="U28" s="198"/>
    </row>
    <row r="29" spans="1:21" s="12" customFormat="1" x14ac:dyDescent="0.25">
      <c r="A29" s="201" t="s">
        <v>1806</v>
      </c>
      <c r="B29" s="60">
        <v>26.6</v>
      </c>
      <c r="C29" s="60">
        <v>54.96</v>
      </c>
      <c r="D29" s="60">
        <v>52.31</v>
      </c>
      <c r="E29" s="60">
        <v>5.04</v>
      </c>
      <c r="F29" s="60">
        <v>11.89</v>
      </c>
      <c r="G29" s="60">
        <v>71.38</v>
      </c>
      <c r="H29" s="60">
        <v>23.98</v>
      </c>
      <c r="I29" s="60">
        <v>0.63</v>
      </c>
      <c r="J29" s="60">
        <v>0.16</v>
      </c>
      <c r="K29" s="60">
        <v>259.77999999999997</v>
      </c>
      <c r="L29" s="60">
        <v>23.13</v>
      </c>
      <c r="M29" s="60">
        <v>48.07</v>
      </c>
      <c r="N29" s="60">
        <v>4.0999999999999996</v>
      </c>
      <c r="O29" s="60">
        <v>0</v>
      </c>
      <c r="P29" s="60">
        <v>1.1000000000000001</v>
      </c>
      <c r="Q29" s="60">
        <v>22.24</v>
      </c>
      <c r="R29" s="198"/>
      <c r="S29" s="198"/>
      <c r="T29" s="198"/>
      <c r="U29" s="198"/>
    </row>
    <row r="30" spans="1:21" s="12" customFormat="1" x14ac:dyDescent="0.25">
      <c r="A30" s="201" t="s">
        <v>1807</v>
      </c>
      <c r="B30" s="60">
        <v>21.55</v>
      </c>
      <c r="C30" s="60">
        <v>51.57</v>
      </c>
      <c r="D30" s="60">
        <v>46.39</v>
      </c>
      <c r="E30" s="60">
        <v>5.67</v>
      </c>
      <c r="F30" s="60">
        <v>11.33</v>
      </c>
      <c r="G30" s="60">
        <v>71.180000000000007</v>
      </c>
      <c r="H30" s="60">
        <v>23.97</v>
      </c>
      <c r="I30" s="60">
        <v>0.64</v>
      </c>
      <c r="J30" s="60">
        <v>0.2</v>
      </c>
      <c r="K30" s="60">
        <v>187.69</v>
      </c>
      <c r="L30" s="60">
        <v>23.44</v>
      </c>
      <c r="M30" s="60">
        <v>48.77</v>
      </c>
      <c r="N30" s="60">
        <v>4.3</v>
      </c>
      <c r="O30" s="60">
        <v>0</v>
      </c>
      <c r="P30" s="60">
        <v>1.1000000000000001</v>
      </c>
      <c r="Q30" s="60">
        <v>22.56</v>
      </c>
      <c r="R30" s="198"/>
      <c r="S30" s="198"/>
      <c r="T30" s="198"/>
      <c r="U30" s="198"/>
    </row>
    <row r="31" spans="1:21" s="12" customFormat="1" x14ac:dyDescent="0.25">
      <c r="A31" s="201" t="s">
        <v>1808</v>
      </c>
      <c r="B31" s="60">
        <v>22.9</v>
      </c>
      <c r="C31" s="60">
        <v>46.55</v>
      </c>
      <c r="D31" s="60">
        <v>44.7</v>
      </c>
      <c r="E31" s="60">
        <v>4.58</v>
      </c>
      <c r="F31" s="60">
        <v>8.9600000000000009</v>
      </c>
      <c r="G31" s="60">
        <v>71.180000000000007</v>
      </c>
      <c r="H31" s="60">
        <v>23.97</v>
      </c>
      <c r="I31" s="60">
        <v>0.63</v>
      </c>
      <c r="J31" s="60">
        <v>0.1</v>
      </c>
      <c r="K31" s="60">
        <v>266.81</v>
      </c>
      <c r="L31" s="60">
        <v>23.36</v>
      </c>
      <c r="M31" s="60">
        <v>49.16</v>
      </c>
      <c r="N31" s="60">
        <v>9</v>
      </c>
      <c r="O31" s="60">
        <v>0</v>
      </c>
      <c r="P31" s="60">
        <v>1.1299999999999999</v>
      </c>
      <c r="Q31" s="60">
        <v>22.2</v>
      </c>
      <c r="R31" s="198"/>
      <c r="S31" s="198"/>
      <c r="T31" s="198"/>
      <c r="U31" s="198"/>
    </row>
    <row r="32" spans="1:21" s="12" customFormat="1" x14ac:dyDescent="0.25">
      <c r="A32" s="201" t="s">
        <v>1809</v>
      </c>
      <c r="B32" s="60">
        <v>21.82</v>
      </c>
      <c r="C32" s="60">
        <v>47.95</v>
      </c>
      <c r="D32" s="60">
        <v>44.61</v>
      </c>
      <c r="E32" s="60">
        <v>3.67</v>
      </c>
      <c r="F32" s="60">
        <v>6.83</v>
      </c>
      <c r="G32" s="60">
        <v>71.180000000000007</v>
      </c>
      <c r="H32" s="60">
        <v>23.97</v>
      </c>
      <c r="I32" s="60">
        <v>0.65</v>
      </c>
      <c r="J32" s="60">
        <v>0.1</v>
      </c>
      <c r="K32" s="60">
        <v>272.01</v>
      </c>
      <c r="L32" s="60">
        <v>23.34</v>
      </c>
      <c r="M32" s="60">
        <v>49.95</v>
      </c>
      <c r="N32" s="60">
        <v>20.7</v>
      </c>
      <c r="O32" s="60">
        <v>0</v>
      </c>
      <c r="P32" s="60">
        <v>1.1399999999999999</v>
      </c>
      <c r="Q32" s="60">
        <v>19.61</v>
      </c>
      <c r="R32" s="198"/>
      <c r="S32" s="198"/>
      <c r="T32" s="198"/>
      <c r="U32" s="198"/>
    </row>
    <row r="33" spans="1:21" s="12" customFormat="1" x14ac:dyDescent="0.25">
      <c r="A33" s="201" t="s">
        <v>1810</v>
      </c>
      <c r="B33" s="60">
        <v>20.16</v>
      </c>
      <c r="C33" s="60">
        <v>49.68</v>
      </c>
      <c r="D33" s="60">
        <v>44.23</v>
      </c>
      <c r="E33" s="60">
        <v>3.71</v>
      </c>
      <c r="F33" s="60">
        <v>6.66</v>
      </c>
      <c r="G33" s="60">
        <v>70.58</v>
      </c>
      <c r="H33" s="60">
        <v>24.57</v>
      </c>
      <c r="I33" s="60">
        <v>0.64</v>
      </c>
      <c r="J33" s="60">
        <v>7.0000000000000007E-2</v>
      </c>
      <c r="K33" s="60">
        <v>345.4</v>
      </c>
      <c r="L33" s="60">
        <v>23.53</v>
      </c>
      <c r="M33" s="60">
        <v>50.31</v>
      </c>
      <c r="N33" s="60">
        <v>45.2</v>
      </c>
      <c r="O33" s="60">
        <v>0</v>
      </c>
      <c r="P33" s="60">
        <v>1.1299999999999999</v>
      </c>
      <c r="Q33" s="60">
        <v>17.43</v>
      </c>
      <c r="R33" s="198"/>
      <c r="S33" s="198"/>
      <c r="T33" s="198"/>
      <c r="U33" s="198"/>
    </row>
    <row r="34" spans="1:21" s="12" customFormat="1" x14ac:dyDescent="0.25">
      <c r="A34" s="201" t="s">
        <v>1811</v>
      </c>
      <c r="B34" s="60">
        <v>24.52</v>
      </c>
      <c r="C34" s="60">
        <v>52.47</v>
      </c>
      <c r="D34" s="60">
        <v>49.27</v>
      </c>
      <c r="E34" s="60">
        <v>3.91</v>
      </c>
      <c r="F34" s="60">
        <v>5.38</v>
      </c>
      <c r="G34" s="60">
        <v>67.03</v>
      </c>
      <c r="H34" s="60">
        <v>27.06</v>
      </c>
      <c r="I34" s="60">
        <v>0.64</v>
      </c>
      <c r="J34" s="60">
        <v>0.09</v>
      </c>
      <c r="K34" s="60">
        <v>274.48</v>
      </c>
      <c r="L34" s="60">
        <v>24.15</v>
      </c>
      <c r="M34" s="60">
        <v>50.29</v>
      </c>
      <c r="N34" s="60">
        <v>80</v>
      </c>
      <c r="O34" s="60">
        <v>0</v>
      </c>
      <c r="P34" s="60">
        <v>1.19</v>
      </c>
      <c r="Q34" s="60">
        <v>16.420000000000002</v>
      </c>
      <c r="R34" s="198"/>
      <c r="S34" s="198"/>
      <c r="T34" s="198"/>
      <c r="U34" s="198"/>
    </row>
    <row r="35" spans="1:21" s="12" customFormat="1" x14ac:dyDescent="0.25">
      <c r="A35" s="201" t="s">
        <v>1812</v>
      </c>
      <c r="B35" s="60">
        <v>21.03</v>
      </c>
      <c r="C35" s="60">
        <v>50.51</v>
      </c>
      <c r="D35" s="60">
        <v>45.39</v>
      </c>
      <c r="E35" s="60">
        <v>3.61</v>
      </c>
      <c r="F35" s="60">
        <v>6.07</v>
      </c>
      <c r="G35" s="60">
        <v>67.03</v>
      </c>
      <c r="H35" s="60">
        <v>27.06</v>
      </c>
      <c r="I35" s="60">
        <v>0.63</v>
      </c>
      <c r="J35" s="60">
        <v>0.55000000000000004</v>
      </c>
      <c r="K35" s="60">
        <v>178.23</v>
      </c>
      <c r="L35" s="60">
        <v>24.97</v>
      </c>
      <c r="M35" s="60">
        <v>47.65</v>
      </c>
      <c r="N35" s="60">
        <v>125.3</v>
      </c>
      <c r="O35" s="60">
        <v>0</v>
      </c>
      <c r="P35" s="60">
        <v>1.1399999999999999</v>
      </c>
      <c r="Q35" s="60">
        <v>16.09</v>
      </c>
      <c r="R35" s="198"/>
      <c r="S35" s="198"/>
      <c r="T35" s="198"/>
      <c r="U35" s="198"/>
    </row>
    <row r="36" spans="1:21" s="12" customFormat="1" x14ac:dyDescent="0.25">
      <c r="A36" s="201" t="s">
        <v>1813</v>
      </c>
      <c r="B36" s="60">
        <v>19.27</v>
      </c>
      <c r="C36" s="60">
        <v>48.47</v>
      </c>
      <c r="D36" s="60">
        <v>42.85</v>
      </c>
      <c r="E36" s="60">
        <v>3.7</v>
      </c>
      <c r="F36" s="60">
        <v>8.2799999999999994</v>
      </c>
      <c r="G36" s="60">
        <v>67.03</v>
      </c>
      <c r="H36" s="60">
        <v>27.06</v>
      </c>
      <c r="I36" s="60">
        <v>0.64</v>
      </c>
      <c r="J36" s="60">
        <v>0.57999999999999996</v>
      </c>
      <c r="K36" s="60">
        <v>178.79</v>
      </c>
      <c r="L36" s="60">
        <v>25.24</v>
      </c>
      <c r="M36" s="60">
        <v>46.98</v>
      </c>
      <c r="N36" s="60">
        <v>110.5</v>
      </c>
      <c r="O36" s="60">
        <v>0</v>
      </c>
      <c r="P36" s="60">
        <v>1.1399999999999999</v>
      </c>
      <c r="Q36" s="60">
        <v>15.51</v>
      </c>
      <c r="R36" s="198"/>
      <c r="S36" s="198"/>
      <c r="T36" s="198"/>
      <c r="U36" s="198"/>
    </row>
    <row r="37" spans="1:21" s="12" customFormat="1" x14ac:dyDescent="0.25">
      <c r="A37" s="201" t="s">
        <v>1814</v>
      </c>
      <c r="B37" s="60">
        <v>16.809999999999999</v>
      </c>
      <c r="C37" s="60">
        <v>47.76</v>
      </c>
      <c r="D37" s="60">
        <v>40.479999999999997</v>
      </c>
      <c r="E37" s="60">
        <v>3.99</v>
      </c>
      <c r="F37" s="60">
        <v>9.66</v>
      </c>
      <c r="G37" s="60">
        <v>67.02</v>
      </c>
      <c r="H37" s="60">
        <v>27.7</v>
      </c>
      <c r="I37" s="60">
        <v>0.63</v>
      </c>
      <c r="J37" s="60">
        <v>0.4</v>
      </c>
      <c r="K37" s="60">
        <v>182.4</v>
      </c>
      <c r="L37" s="60">
        <v>25.89</v>
      </c>
      <c r="M37" s="60">
        <v>44.55</v>
      </c>
      <c r="N37" s="60">
        <v>176</v>
      </c>
      <c r="O37" s="60">
        <v>0</v>
      </c>
      <c r="P37" s="60">
        <v>1.1000000000000001</v>
      </c>
      <c r="Q37" s="60">
        <v>14.78</v>
      </c>
      <c r="R37" s="198"/>
      <c r="S37" s="198"/>
      <c r="T37" s="198"/>
      <c r="U37" s="198"/>
    </row>
    <row r="38" spans="1:21" s="12" customFormat="1" x14ac:dyDescent="0.25">
      <c r="A38" s="201" t="s">
        <v>1815</v>
      </c>
      <c r="B38" s="60">
        <v>16.02</v>
      </c>
      <c r="C38" s="60">
        <v>49.27</v>
      </c>
      <c r="D38" s="60">
        <v>40.69</v>
      </c>
      <c r="E38" s="60">
        <v>3.8</v>
      </c>
      <c r="F38" s="60">
        <v>8.74</v>
      </c>
      <c r="G38" s="60">
        <v>66.95</v>
      </c>
      <c r="H38" s="60">
        <v>30.34</v>
      </c>
      <c r="I38" s="60">
        <v>0.64</v>
      </c>
      <c r="J38" s="60">
        <v>0.79</v>
      </c>
      <c r="K38" s="60">
        <v>173.52</v>
      </c>
      <c r="L38" s="60">
        <v>26.55</v>
      </c>
      <c r="M38" s="60">
        <v>42.79</v>
      </c>
      <c r="N38" s="60">
        <v>274.60000000000002</v>
      </c>
      <c r="O38" s="60">
        <v>0</v>
      </c>
      <c r="P38" s="60">
        <v>1.1599999999999999</v>
      </c>
      <c r="Q38" s="60">
        <v>14.48</v>
      </c>
      <c r="R38" s="198"/>
      <c r="S38" s="198"/>
      <c r="T38" s="198"/>
      <c r="U38" s="198"/>
    </row>
    <row r="39" spans="1:21" s="12" customFormat="1" x14ac:dyDescent="0.25">
      <c r="A39" s="201" t="s">
        <v>1816</v>
      </c>
      <c r="B39" s="60">
        <v>14</v>
      </c>
      <c r="C39" s="60">
        <v>49.59</v>
      </c>
      <c r="D39" s="60">
        <v>39.24</v>
      </c>
      <c r="E39" s="60">
        <v>3.94</v>
      </c>
      <c r="F39" s="60">
        <v>10.29</v>
      </c>
      <c r="G39" s="60">
        <v>66.95</v>
      </c>
      <c r="H39" s="60">
        <v>30.34</v>
      </c>
      <c r="I39" s="60">
        <v>0.62</v>
      </c>
      <c r="J39" s="60">
        <v>0.84</v>
      </c>
      <c r="K39" s="60">
        <v>174.13</v>
      </c>
      <c r="L39" s="60">
        <v>27.03</v>
      </c>
      <c r="M39" s="60">
        <v>41.85</v>
      </c>
      <c r="N39" s="60">
        <v>332.6</v>
      </c>
      <c r="O39" s="60">
        <v>0</v>
      </c>
      <c r="P39" s="60">
        <v>1.1299999999999999</v>
      </c>
      <c r="Q39" s="60">
        <v>15.47</v>
      </c>
      <c r="R39" s="198"/>
      <c r="S39" s="198"/>
      <c r="T39" s="198"/>
      <c r="U39" s="198"/>
    </row>
    <row r="40" spans="1:21" s="12" customFormat="1" x14ac:dyDescent="0.25">
      <c r="A40" s="201" t="s">
        <v>1817</v>
      </c>
      <c r="B40" s="60">
        <v>11.85</v>
      </c>
      <c r="C40" s="60">
        <v>48.21</v>
      </c>
      <c r="D40" s="60">
        <v>36.76</v>
      </c>
      <c r="E40" s="60">
        <v>2.84</v>
      </c>
      <c r="F40" s="60">
        <v>10.050000000000001</v>
      </c>
      <c r="G40" s="60">
        <v>66.95</v>
      </c>
      <c r="H40" s="60">
        <v>30.34</v>
      </c>
      <c r="I40" s="60">
        <v>0.63</v>
      </c>
      <c r="J40" s="60">
        <v>1.17</v>
      </c>
      <c r="K40" s="60">
        <v>162.91</v>
      </c>
      <c r="L40" s="60">
        <v>27.71</v>
      </c>
      <c r="M40" s="60">
        <v>39.53</v>
      </c>
      <c r="N40" s="60">
        <v>391.2</v>
      </c>
      <c r="O40" s="60">
        <v>0</v>
      </c>
      <c r="P40" s="60">
        <v>1.1100000000000001</v>
      </c>
      <c r="Q40" s="60">
        <v>16.43</v>
      </c>
      <c r="R40" s="198"/>
      <c r="S40" s="198"/>
      <c r="T40" s="198"/>
      <c r="U40" s="198"/>
    </row>
    <row r="41" spans="1:21" s="12" customFormat="1" x14ac:dyDescent="0.25">
      <c r="A41" s="201" t="s">
        <v>1818</v>
      </c>
      <c r="B41" s="60">
        <v>9.99</v>
      </c>
      <c r="C41" s="60">
        <v>49.21</v>
      </c>
      <c r="D41" s="60">
        <v>35.81</v>
      </c>
      <c r="E41" s="60">
        <v>3.48</v>
      </c>
      <c r="F41" s="60">
        <v>13.49</v>
      </c>
      <c r="G41" s="60">
        <v>66.84</v>
      </c>
      <c r="H41" s="60">
        <v>29.65</v>
      </c>
      <c r="I41" s="60">
        <v>0.62</v>
      </c>
      <c r="J41" s="60">
        <v>0.72</v>
      </c>
      <c r="K41" s="60">
        <v>176.16</v>
      </c>
      <c r="L41" s="60">
        <v>28.09</v>
      </c>
      <c r="M41" s="60">
        <v>39.26</v>
      </c>
      <c r="N41" s="60">
        <v>439.9</v>
      </c>
      <c r="O41" s="60">
        <v>0</v>
      </c>
      <c r="P41" s="60">
        <v>1.08</v>
      </c>
      <c r="Q41" s="60">
        <v>16.809999999999999</v>
      </c>
      <c r="R41" s="198"/>
      <c r="S41" s="198"/>
      <c r="T41" s="198"/>
      <c r="U41" s="198"/>
    </row>
    <row r="42" spans="1:21" s="12" customFormat="1" x14ac:dyDescent="0.25">
      <c r="A42" s="201" t="s">
        <v>1819</v>
      </c>
      <c r="B42" s="60">
        <v>6.99</v>
      </c>
      <c r="C42" s="60">
        <v>47.21</v>
      </c>
      <c r="D42" s="60">
        <v>32.299999999999997</v>
      </c>
      <c r="E42" s="60">
        <v>4.3499999999999996</v>
      </c>
      <c r="F42" s="60">
        <v>13.88</v>
      </c>
      <c r="G42" s="60">
        <v>66.25</v>
      </c>
      <c r="H42" s="60">
        <v>25.91</v>
      </c>
      <c r="I42" s="60">
        <v>0.61</v>
      </c>
      <c r="J42" s="60">
        <v>0.95</v>
      </c>
      <c r="K42" s="60">
        <v>161.44</v>
      </c>
      <c r="L42" s="60">
        <v>29.38</v>
      </c>
      <c r="M42" s="60">
        <v>37.520000000000003</v>
      </c>
      <c r="N42" s="60">
        <v>502.9</v>
      </c>
      <c r="O42" s="60">
        <v>0</v>
      </c>
      <c r="P42" s="60">
        <v>1.06</v>
      </c>
      <c r="Q42" s="60">
        <v>16.72</v>
      </c>
      <c r="R42" s="198"/>
      <c r="S42" s="198"/>
      <c r="T42" s="198"/>
      <c r="U42" s="198"/>
    </row>
    <row r="43" spans="1:21" s="12" customFormat="1" x14ac:dyDescent="0.25">
      <c r="A43" s="201" t="s">
        <v>1820</v>
      </c>
      <c r="B43" s="60">
        <v>6.66</v>
      </c>
      <c r="C43" s="60">
        <v>48.81</v>
      </c>
      <c r="D43" s="60">
        <v>32.93</v>
      </c>
      <c r="E43" s="60">
        <v>3.63</v>
      </c>
      <c r="F43" s="60">
        <v>12.57</v>
      </c>
      <c r="G43" s="60">
        <v>66.25</v>
      </c>
      <c r="H43" s="60">
        <v>25.91</v>
      </c>
      <c r="I43" s="60">
        <v>0.6</v>
      </c>
      <c r="J43" s="60">
        <v>0.72</v>
      </c>
      <c r="K43" s="60">
        <v>168.84</v>
      </c>
      <c r="L43" s="60">
        <v>30.07</v>
      </c>
      <c r="M43" s="60">
        <v>35.159999999999997</v>
      </c>
      <c r="N43" s="60">
        <v>554.79999999999995</v>
      </c>
      <c r="O43" s="60">
        <v>0</v>
      </c>
      <c r="P43" s="60">
        <v>1.04</v>
      </c>
      <c r="Q43" s="60">
        <v>16.16</v>
      </c>
      <c r="R43" s="198"/>
      <c r="S43" s="198"/>
      <c r="T43" s="198"/>
      <c r="U43" s="198"/>
    </row>
    <row r="44" spans="1:21" s="12" customFormat="1" x14ac:dyDescent="0.25">
      <c r="A44" s="201" t="s">
        <v>1821</v>
      </c>
      <c r="B44" s="60">
        <v>5.31</v>
      </c>
      <c r="C44" s="60">
        <v>46.95</v>
      </c>
      <c r="D44" s="60">
        <v>30.81</v>
      </c>
      <c r="E44" s="60">
        <v>3.25</v>
      </c>
      <c r="F44" s="60">
        <v>9.16</v>
      </c>
      <c r="G44" s="60">
        <v>66.25</v>
      </c>
      <c r="H44" s="60">
        <v>25.91</v>
      </c>
      <c r="I44" s="60">
        <v>0.59</v>
      </c>
      <c r="J44" s="60">
        <v>1.23</v>
      </c>
      <c r="K44" s="60">
        <v>167.93</v>
      </c>
      <c r="L44" s="60">
        <v>30.45</v>
      </c>
      <c r="M44" s="60">
        <v>33.049999999999997</v>
      </c>
      <c r="N44" s="60">
        <v>605.6</v>
      </c>
      <c r="O44" s="60">
        <v>0</v>
      </c>
      <c r="P44" s="60">
        <v>1.05</v>
      </c>
      <c r="Q44" s="60">
        <v>13.08</v>
      </c>
      <c r="R44" s="198"/>
      <c r="S44" s="198"/>
      <c r="T44" s="198"/>
      <c r="U44" s="198"/>
    </row>
    <row r="45" spans="1:21" s="12" customFormat="1" x14ac:dyDescent="0.25">
      <c r="A45" s="201" t="s">
        <v>1822</v>
      </c>
      <c r="B45" s="60">
        <v>4</v>
      </c>
      <c r="C45" s="60">
        <v>48.14</v>
      </c>
      <c r="D45" s="60">
        <v>30.42</v>
      </c>
      <c r="E45" s="60">
        <v>3.63</v>
      </c>
      <c r="F45" s="60">
        <v>10.67</v>
      </c>
      <c r="G45" s="60">
        <v>65.48</v>
      </c>
      <c r="H45" s="60">
        <v>24.23</v>
      </c>
      <c r="I45" s="60">
        <v>0.63</v>
      </c>
      <c r="J45" s="60">
        <v>1.21</v>
      </c>
      <c r="K45" s="60">
        <v>162.13999999999999</v>
      </c>
      <c r="L45" s="60">
        <v>31.19</v>
      </c>
      <c r="M45" s="60">
        <v>30.91</v>
      </c>
      <c r="N45" s="60">
        <v>650.6</v>
      </c>
      <c r="O45" s="60">
        <v>0</v>
      </c>
      <c r="P45" s="60">
        <v>1.05</v>
      </c>
      <c r="Q45" s="60">
        <v>11.92</v>
      </c>
      <c r="R45" s="198"/>
      <c r="S45" s="198"/>
      <c r="T45" s="198"/>
      <c r="U45" s="198"/>
    </row>
    <row r="46" spans="1:21" s="12" customFormat="1" x14ac:dyDescent="0.25">
      <c r="A46" s="201" t="s">
        <v>1823</v>
      </c>
      <c r="B46" s="60">
        <v>3.1</v>
      </c>
      <c r="C46" s="60">
        <v>48.46</v>
      </c>
      <c r="D46" s="60">
        <v>29.88</v>
      </c>
      <c r="E46" s="60">
        <v>4.42</v>
      </c>
      <c r="F46" s="60">
        <v>14.89</v>
      </c>
      <c r="G46" s="60">
        <v>60.96</v>
      </c>
      <c r="H46" s="60">
        <v>17.260000000000002</v>
      </c>
      <c r="I46" s="60">
        <v>0.67</v>
      </c>
      <c r="J46" s="60">
        <v>0.67</v>
      </c>
      <c r="K46" s="60">
        <v>186.13</v>
      </c>
      <c r="L46" s="60">
        <v>32.26</v>
      </c>
      <c r="M46" s="60">
        <v>28.79</v>
      </c>
      <c r="N46" s="60">
        <v>689.8</v>
      </c>
      <c r="O46" s="60">
        <v>0</v>
      </c>
      <c r="P46" s="60">
        <v>1.04</v>
      </c>
      <c r="Q46" s="60">
        <v>12.09</v>
      </c>
      <c r="R46" s="198"/>
      <c r="S46" s="198"/>
      <c r="T46" s="198"/>
      <c r="U46" s="198"/>
    </row>
    <row r="47" spans="1:21" s="12" customFormat="1" x14ac:dyDescent="0.25">
      <c r="A47" s="201" t="s">
        <v>1824</v>
      </c>
      <c r="B47" s="60">
        <v>2.5499999999999998</v>
      </c>
      <c r="C47" s="60">
        <v>48.06</v>
      </c>
      <c r="D47" s="60">
        <v>29.22</v>
      </c>
      <c r="E47" s="60">
        <v>4.3099999999999996</v>
      </c>
      <c r="F47" s="60">
        <v>13</v>
      </c>
      <c r="G47" s="60">
        <v>60.96</v>
      </c>
      <c r="H47" s="60">
        <v>17.260000000000002</v>
      </c>
      <c r="I47" s="60">
        <v>0.61</v>
      </c>
      <c r="J47" s="60">
        <v>0.27</v>
      </c>
      <c r="K47" s="60">
        <v>188.45</v>
      </c>
      <c r="L47" s="60">
        <v>32.909999999999997</v>
      </c>
      <c r="M47" s="60">
        <v>27.5</v>
      </c>
      <c r="N47" s="60">
        <v>721.9</v>
      </c>
      <c r="O47" s="60">
        <v>0</v>
      </c>
      <c r="P47" s="60">
        <v>1.04</v>
      </c>
      <c r="Q47" s="60">
        <v>11.31</v>
      </c>
      <c r="R47" s="198"/>
      <c r="S47" s="198"/>
      <c r="T47" s="198"/>
      <c r="U47" s="198"/>
    </row>
    <row r="48" spans="1:21" s="12" customFormat="1" x14ac:dyDescent="0.25">
      <c r="A48" s="201" t="s">
        <v>1825</v>
      </c>
      <c r="B48" s="60">
        <v>2.19</v>
      </c>
      <c r="C48" s="60">
        <v>46.34</v>
      </c>
      <c r="D48" s="60">
        <v>27.98</v>
      </c>
      <c r="E48" s="60">
        <v>4.92</v>
      </c>
      <c r="F48" s="60">
        <v>15.72</v>
      </c>
      <c r="G48" s="60">
        <v>60.96</v>
      </c>
      <c r="H48" s="60">
        <v>17.260000000000002</v>
      </c>
      <c r="I48" s="60">
        <v>0.59</v>
      </c>
      <c r="J48" s="60">
        <v>0.33</v>
      </c>
      <c r="K48" s="60">
        <v>211.42</v>
      </c>
      <c r="L48" s="60">
        <v>33.72</v>
      </c>
      <c r="M48" s="60">
        <v>25.9</v>
      </c>
      <c r="N48" s="60">
        <v>754</v>
      </c>
      <c r="O48" s="60">
        <v>0</v>
      </c>
      <c r="P48" s="60">
        <v>1.03</v>
      </c>
      <c r="Q48" s="60">
        <v>10.050000000000001</v>
      </c>
      <c r="R48" s="198"/>
      <c r="S48" s="198"/>
      <c r="T48" s="198"/>
      <c r="U48" s="198"/>
    </row>
    <row r="49" spans="1:21" s="12" customFormat="1" x14ac:dyDescent="0.25">
      <c r="A49" s="201" t="s">
        <v>1826</v>
      </c>
      <c r="B49" s="60">
        <v>3.52</v>
      </c>
      <c r="C49" s="60">
        <v>48.42</v>
      </c>
      <c r="D49" s="60">
        <v>30.19</v>
      </c>
      <c r="E49" s="60">
        <v>4.62</v>
      </c>
      <c r="F49" s="60">
        <v>17.510000000000002</v>
      </c>
      <c r="G49" s="60">
        <v>60.12</v>
      </c>
      <c r="H49" s="60">
        <v>18.010000000000002</v>
      </c>
      <c r="I49" s="60">
        <v>0.59</v>
      </c>
      <c r="J49" s="60">
        <v>0.28999999999999998</v>
      </c>
      <c r="K49" s="60">
        <v>349</v>
      </c>
      <c r="L49" s="60">
        <v>35.520000000000003</v>
      </c>
      <c r="M49" s="60">
        <v>23.18</v>
      </c>
      <c r="N49" s="60">
        <v>776.1</v>
      </c>
      <c r="O49" s="60">
        <v>0</v>
      </c>
      <c r="P49" s="60">
        <v>1.06</v>
      </c>
      <c r="Q49" s="60">
        <v>9.4</v>
      </c>
      <c r="R49" s="198"/>
      <c r="S49" s="198"/>
      <c r="T49" s="198"/>
      <c r="U49" s="198"/>
    </row>
    <row r="50" spans="1:21" s="12" customFormat="1" x14ac:dyDescent="0.25">
      <c r="A50" s="201" t="s">
        <v>1827</v>
      </c>
      <c r="B50" s="60">
        <v>6.97</v>
      </c>
      <c r="C50" s="60">
        <v>50.6</v>
      </c>
      <c r="D50" s="60">
        <v>34.159999999999997</v>
      </c>
      <c r="E50" s="60">
        <v>5</v>
      </c>
      <c r="F50" s="60">
        <v>27.59</v>
      </c>
      <c r="G50" s="60">
        <v>55.52</v>
      </c>
      <c r="H50" s="60">
        <v>21.11</v>
      </c>
      <c r="I50" s="60">
        <v>0.59</v>
      </c>
      <c r="J50" s="60">
        <v>0.51</v>
      </c>
      <c r="K50" s="60">
        <v>2.2200000000000002</v>
      </c>
      <c r="L50" s="60">
        <v>38.99</v>
      </c>
      <c r="M50" s="60">
        <v>18.89</v>
      </c>
      <c r="N50" s="60">
        <v>802.6</v>
      </c>
      <c r="O50" s="60">
        <v>0</v>
      </c>
      <c r="P50" s="60">
        <v>1.08</v>
      </c>
      <c r="Q50" s="60">
        <v>9.07</v>
      </c>
      <c r="R50" s="198"/>
      <c r="S50" s="198"/>
      <c r="T50" s="198"/>
      <c r="U50" s="198"/>
    </row>
    <row r="51" spans="1:21" s="12" customFormat="1" x14ac:dyDescent="0.25">
      <c r="A51" s="201" t="s">
        <v>1828</v>
      </c>
      <c r="B51" s="60">
        <v>5.95</v>
      </c>
      <c r="C51" s="60">
        <v>53.88</v>
      </c>
      <c r="D51" s="60">
        <v>35.15</v>
      </c>
      <c r="E51" s="60">
        <v>9.3800000000000008</v>
      </c>
      <c r="F51" s="60">
        <v>64.56</v>
      </c>
      <c r="G51" s="60">
        <v>55.52</v>
      </c>
      <c r="H51" s="60">
        <v>21.11</v>
      </c>
      <c r="I51" s="60">
        <v>0.57999999999999996</v>
      </c>
      <c r="J51" s="60">
        <v>0.75</v>
      </c>
      <c r="K51" s="60">
        <v>10.27</v>
      </c>
      <c r="L51" s="60">
        <v>40.47</v>
      </c>
      <c r="M51" s="60">
        <v>16.899999999999999</v>
      </c>
      <c r="N51" s="60">
        <v>815.3</v>
      </c>
      <c r="O51" s="60">
        <v>0</v>
      </c>
      <c r="P51" s="60">
        <v>1.1000000000000001</v>
      </c>
      <c r="Q51" s="60">
        <v>10.36</v>
      </c>
      <c r="R51" s="198"/>
      <c r="S51" s="198"/>
      <c r="T51" s="198"/>
      <c r="U51" s="198"/>
    </row>
    <row r="52" spans="1:21" s="12" customFormat="1" x14ac:dyDescent="0.25">
      <c r="A52" s="201" t="s">
        <v>1829</v>
      </c>
      <c r="B52" s="60">
        <v>5.49</v>
      </c>
      <c r="C52" s="60">
        <v>58.62</v>
      </c>
      <c r="D52" s="60">
        <v>37.4</v>
      </c>
      <c r="E52" s="60">
        <v>12.39</v>
      </c>
      <c r="F52" s="60">
        <v>54.24</v>
      </c>
      <c r="G52" s="60">
        <v>55.52</v>
      </c>
      <c r="H52" s="60">
        <v>21.11</v>
      </c>
      <c r="I52" s="60">
        <v>0.57999999999999996</v>
      </c>
      <c r="J52" s="60">
        <v>0.39</v>
      </c>
      <c r="K52" s="60">
        <v>17.98</v>
      </c>
      <c r="L52" s="60">
        <v>39.93</v>
      </c>
      <c r="M52" s="60">
        <v>16.72</v>
      </c>
      <c r="N52" s="60">
        <v>834.8</v>
      </c>
      <c r="O52" s="60">
        <v>0</v>
      </c>
      <c r="P52" s="60">
        <v>1.07</v>
      </c>
      <c r="Q52" s="60">
        <v>12.65</v>
      </c>
      <c r="R52" s="198"/>
      <c r="S52" s="198"/>
      <c r="T52" s="198"/>
      <c r="U52" s="198"/>
    </row>
    <row r="53" spans="1:21" s="12" customFormat="1" x14ac:dyDescent="0.25">
      <c r="A53" s="201" t="s">
        <v>1830</v>
      </c>
      <c r="B53" s="60">
        <v>3.33</v>
      </c>
      <c r="C53" s="60">
        <v>52.41</v>
      </c>
      <c r="D53" s="60">
        <v>32.24</v>
      </c>
      <c r="E53" s="60">
        <v>9.51</v>
      </c>
      <c r="F53" s="60">
        <v>50.46</v>
      </c>
      <c r="G53" s="60">
        <v>56</v>
      </c>
      <c r="H53" s="60">
        <v>20.7</v>
      </c>
      <c r="I53" s="60">
        <v>0.55000000000000004</v>
      </c>
      <c r="J53" s="60">
        <v>0.12</v>
      </c>
      <c r="K53" s="60">
        <v>44.57</v>
      </c>
      <c r="L53" s="60">
        <v>39.36</v>
      </c>
      <c r="M53" s="60">
        <v>17.55</v>
      </c>
      <c r="N53" s="60">
        <v>835.6</v>
      </c>
      <c r="O53" s="60">
        <v>0</v>
      </c>
      <c r="P53" s="60">
        <v>1.07</v>
      </c>
      <c r="Q53" s="60">
        <v>13.35</v>
      </c>
      <c r="R53" s="198"/>
      <c r="S53" s="198"/>
      <c r="T53" s="198"/>
      <c r="U53" s="198"/>
    </row>
    <row r="54" spans="1:21" s="12" customFormat="1" x14ac:dyDescent="0.25">
      <c r="A54" s="201" t="s">
        <v>1831</v>
      </c>
      <c r="B54" s="60">
        <v>3.96</v>
      </c>
      <c r="C54" s="60">
        <v>47.75</v>
      </c>
      <c r="D54" s="60">
        <v>30.17</v>
      </c>
      <c r="E54" s="60">
        <v>8.94</v>
      </c>
      <c r="F54" s="60">
        <v>45.22</v>
      </c>
      <c r="G54" s="60">
        <v>58.85</v>
      </c>
      <c r="H54" s="60">
        <v>18.989999999999998</v>
      </c>
      <c r="I54" s="60">
        <v>0.59</v>
      </c>
      <c r="J54" s="60">
        <v>0.54</v>
      </c>
      <c r="K54" s="60">
        <v>57.49</v>
      </c>
      <c r="L54" s="60">
        <v>39.96</v>
      </c>
      <c r="M54" s="60">
        <v>16.14</v>
      </c>
      <c r="N54" s="60">
        <v>845.5</v>
      </c>
      <c r="O54" s="60">
        <v>0</v>
      </c>
      <c r="P54" s="60">
        <v>1.08</v>
      </c>
      <c r="Q54" s="60">
        <v>14.55</v>
      </c>
      <c r="R54" s="198"/>
      <c r="S54" s="198"/>
      <c r="T54" s="198"/>
      <c r="U54" s="198"/>
    </row>
    <row r="55" spans="1:21" s="12" customFormat="1" x14ac:dyDescent="0.25">
      <c r="A55" s="201" t="s">
        <v>1832</v>
      </c>
      <c r="B55" s="60">
        <v>4.05</v>
      </c>
      <c r="C55" s="60">
        <v>50.93</v>
      </c>
      <c r="D55" s="60">
        <v>32</v>
      </c>
      <c r="E55" s="60">
        <v>6.82</v>
      </c>
      <c r="F55" s="60">
        <v>39.950000000000003</v>
      </c>
      <c r="G55" s="60">
        <v>58.85</v>
      </c>
      <c r="H55" s="60">
        <v>18.989999999999998</v>
      </c>
      <c r="I55" s="60">
        <v>0.63</v>
      </c>
      <c r="J55" s="60">
        <v>0.37</v>
      </c>
      <c r="K55" s="60">
        <v>20.92</v>
      </c>
      <c r="L55" s="60">
        <v>39.32</v>
      </c>
      <c r="M55" s="60">
        <v>16.18</v>
      </c>
      <c r="N55" s="60">
        <v>834.4</v>
      </c>
      <c r="O55" s="60">
        <v>0</v>
      </c>
      <c r="P55" s="60">
        <v>1.03</v>
      </c>
      <c r="Q55" s="60">
        <v>16.11</v>
      </c>
      <c r="R55" s="198"/>
      <c r="S55" s="198"/>
      <c r="T55" s="198"/>
      <c r="U55" s="198"/>
    </row>
    <row r="56" spans="1:21" s="12" customFormat="1" x14ac:dyDescent="0.25">
      <c r="A56" s="201" t="s">
        <v>1833</v>
      </c>
      <c r="B56" s="60">
        <v>3.47</v>
      </c>
      <c r="C56" s="60">
        <v>50.69</v>
      </c>
      <c r="D56" s="60">
        <v>31.41</v>
      </c>
      <c r="E56" s="60">
        <v>2.41</v>
      </c>
      <c r="F56" s="60">
        <v>32.409999999999997</v>
      </c>
      <c r="G56" s="60">
        <v>58.85</v>
      </c>
      <c r="H56" s="60">
        <v>18.989999999999998</v>
      </c>
      <c r="I56" s="60">
        <v>0.65</v>
      </c>
      <c r="J56" s="60">
        <v>0.08</v>
      </c>
      <c r="K56" s="60">
        <v>245.65</v>
      </c>
      <c r="L56" s="60">
        <v>38.65</v>
      </c>
      <c r="M56" s="60">
        <v>15.08</v>
      </c>
      <c r="N56" s="60">
        <v>828.4</v>
      </c>
      <c r="O56" s="60">
        <v>0</v>
      </c>
      <c r="P56" s="60">
        <v>0.97</v>
      </c>
      <c r="Q56" s="60">
        <v>15.79</v>
      </c>
      <c r="R56" s="198"/>
      <c r="S56" s="198"/>
      <c r="T56" s="198"/>
      <c r="U56" s="198"/>
    </row>
    <row r="57" spans="1:21" s="12" customFormat="1" x14ac:dyDescent="0.25">
      <c r="A57" s="201" t="s">
        <v>1834</v>
      </c>
      <c r="B57" s="60">
        <v>2.93</v>
      </c>
      <c r="C57" s="60">
        <v>49.31</v>
      </c>
      <c r="D57" s="60">
        <v>30.21</v>
      </c>
      <c r="E57" s="60">
        <v>3.25</v>
      </c>
      <c r="F57" s="60">
        <v>28.5</v>
      </c>
      <c r="G57" s="60">
        <v>57.73</v>
      </c>
      <c r="H57" s="60">
        <v>18.5</v>
      </c>
      <c r="I57" s="60">
        <v>0.74</v>
      </c>
      <c r="J57" s="60">
        <v>0.33</v>
      </c>
      <c r="K57" s="60">
        <v>3.18</v>
      </c>
      <c r="L57" s="60">
        <v>39.65</v>
      </c>
      <c r="M57" s="60">
        <v>14.78</v>
      </c>
      <c r="N57" s="60">
        <v>829.7</v>
      </c>
      <c r="O57" s="60">
        <v>0</v>
      </c>
      <c r="P57" s="60">
        <v>0.88</v>
      </c>
      <c r="Q57" s="60">
        <v>13.19</v>
      </c>
      <c r="R57" s="198"/>
      <c r="S57" s="198"/>
      <c r="T57" s="198"/>
      <c r="U57" s="198"/>
    </row>
    <row r="58" spans="1:21" s="12" customFormat="1" x14ac:dyDescent="0.25">
      <c r="A58" s="201" t="s">
        <v>1835</v>
      </c>
      <c r="B58" s="60">
        <v>2.35</v>
      </c>
      <c r="C58" s="60">
        <v>41.26</v>
      </c>
      <c r="D58" s="60">
        <v>25.3</v>
      </c>
      <c r="E58" s="60">
        <v>3.77</v>
      </c>
      <c r="F58" s="60">
        <v>37.229999999999997</v>
      </c>
      <c r="G58" s="60">
        <v>51.07</v>
      </c>
      <c r="H58" s="60">
        <v>16.239999999999998</v>
      </c>
      <c r="I58" s="60">
        <v>0.71</v>
      </c>
      <c r="J58" s="60">
        <v>0.44</v>
      </c>
      <c r="K58" s="60">
        <v>15.81</v>
      </c>
      <c r="L58" s="60">
        <v>40.909999999999997</v>
      </c>
      <c r="M58" s="60">
        <v>13.01</v>
      </c>
      <c r="N58" s="60">
        <v>801.8</v>
      </c>
      <c r="O58" s="60">
        <v>0</v>
      </c>
      <c r="P58" s="60">
        <v>0.81</v>
      </c>
      <c r="Q58" s="60">
        <v>12.35</v>
      </c>
      <c r="R58" s="198"/>
      <c r="S58" s="198"/>
      <c r="T58" s="198"/>
      <c r="U58" s="198"/>
    </row>
    <row r="59" spans="1:21" s="12" customFormat="1" x14ac:dyDescent="0.25">
      <c r="A59" s="201" t="s">
        <v>1836</v>
      </c>
      <c r="B59" s="60">
        <v>4.28</v>
      </c>
      <c r="C59" s="60">
        <v>43.53</v>
      </c>
      <c r="D59" s="60">
        <v>28.1</v>
      </c>
      <c r="E59" s="60">
        <v>3.03</v>
      </c>
      <c r="F59" s="60">
        <v>32.22</v>
      </c>
      <c r="G59" s="60">
        <v>51.07</v>
      </c>
      <c r="H59" s="60">
        <v>16.239999999999998</v>
      </c>
      <c r="I59" s="60">
        <v>0.69</v>
      </c>
      <c r="J59" s="60">
        <v>0.86</v>
      </c>
      <c r="K59" s="60">
        <v>20.52</v>
      </c>
      <c r="L59" s="60">
        <v>41.71</v>
      </c>
      <c r="M59" s="60">
        <v>11.77</v>
      </c>
      <c r="N59" s="60">
        <v>872.7</v>
      </c>
      <c r="O59" s="60">
        <v>0</v>
      </c>
      <c r="P59" s="60">
        <v>0.86</v>
      </c>
      <c r="Q59" s="60">
        <v>12.57</v>
      </c>
      <c r="R59" s="198"/>
      <c r="S59" s="198"/>
      <c r="T59" s="198"/>
      <c r="U59" s="198"/>
    </row>
    <row r="60" spans="1:21" s="12" customFormat="1" x14ac:dyDescent="0.25">
      <c r="A60" s="201" t="s">
        <v>1837</v>
      </c>
      <c r="B60" s="60">
        <v>2.27</v>
      </c>
      <c r="C60" s="60">
        <v>42.21</v>
      </c>
      <c r="D60" s="60">
        <v>25.76</v>
      </c>
      <c r="E60" s="60">
        <v>2.91</v>
      </c>
      <c r="F60" s="60">
        <v>34.64</v>
      </c>
      <c r="G60" s="60">
        <v>51.07</v>
      </c>
      <c r="H60" s="60">
        <v>16.239999999999998</v>
      </c>
      <c r="I60" s="60">
        <v>0.68</v>
      </c>
      <c r="J60" s="60">
        <v>1.1000000000000001</v>
      </c>
      <c r="K60" s="60">
        <v>114.39</v>
      </c>
      <c r="L60" s="60">
        <v>39.090000000000003</v>
      </c>
      <c r="M60" s="60">
        <v>12.07</v>
      </c>
      <c r="N60" s="60">
        <v>791.4</v>
      </c>
      <c r="O60" s="60">
        <v>0</v>
      </c>
      <c r="P60" s="60">
        <v>0.77</v>
      </c>
      <c r="Q60" s="60">
        <v>12.14</v>
      </c>
      <c r="R60" s="198"/>
      <c r="S60" s="198"/>
      <c r="T60" s="198"/>
      <c r="U60" s="198"/>
    </row>
    <row r="61" spans="1:21" s="12" customFormat="1" x14ac:dyDescent="0.25">
      <c r="A61" s="201" t="s">
        <v>1838</v>
      </c>
      <c r="B61" s="60">
        <v>3.35</v>
      </c>
      <c r="C61" s="60">
        <v>41.04</v>
      </c>
      <c r="D61" s="60">
        <v>25.98</v>
      </c>
      <c r="E61" s="60">
        <v>2.59</v>
      </c>
      <c r="F61" s="60">
        <v>26.28</v>
      </c>
      <c r="G61" s="60">
        <v>49.83</v>
      </c>
      <c r="H61" s="60">
        <v>16.829999999999998</v>
      </c>
      <c r="I61" s="60">
        <v>0.75</v>
      </c>
      <c r="J61" s="60">
        <v>0.95</v>
      </c>
      <c r="K61" s="60">
        <v>65.19</v>
      </c>
      <c r="L61" s="60">
        <v>38.32</v>
      </c>
      <c r="M61" s="60">
        <v>14.39</v>
      </c>
      <c r="N61" s="60">
        <v>682.3</v>
      </c>
      <c r="O61" s="60">
        <v>0</v>
      </c>
      <c r="P61" s="60">
        <v>0.82</v>
      </c>
      <c r="Q61" s="60">
        <v>13.37</v>
      </c>
      <c r="R61" s="198"/>
      <c r="S61" s="198"/>
      <c r="T61" s="198"/>
      <c r="U61" s="198"/>
    </row>
    <row r="62" spans="1:21" s="12" customFormat="1" x14ac:dyDescent="0.25">
      <c r="A62" s="201" t="s">
        <v>1839</v>
      </c>
      <c r="B62" s="60">
        <v>5.17</v>
      </c>
      <c r="C62" s="60">
        <v>42.05</v>
      </c>
      <c r="D62" s="60">
        <v>28</v>
      </c>
      <c r="E62" s="60">
        <v>2.5499999999999998</v>
      </c>
      <c r="F62" s="60">
        <v>32.380000000000003</v>
      </c>
      <c r="G62" s="60">
        <v>42.44</v>
      </c>
      <c r="H62" s="60">
        <v>19.29</v>
      </c>
      <c r="I62" s="60">
        <v>0.76</v>
      </c>
      <c r="J62" s="60">
        <v>1.44</v>
      </c>
      <c r="K62" s="60">
        <v>12.67</v>
      </c>
      <c r="L62" s="60">
        <v>40.44</v>
      </c>
      <c r="M62" s="60">
        <v>12.37</v>
      </c>
      <c r="N62" s="60">
        <v>663.9</v>
      </c>
      <c r="O62" s="60">
        <v>0</v>
      </c>
      <c r="P62" s="60">
        <v>0.82</v>
      </c>
      <c r="Q62" s="60">
        <v>14.28</v>
      </c>
      <c r="R62" s="198"/>
      <c r="S62" s="198"/>
      <c r="T62" s="198"/>
      <c r="U62" s="198"/>
    </row>
    <row r="63" spans="1:21" s="12" customFormat="1" x14ac:dyDescent="0.25">
      <c r="A63" s="201" t="s">
        <v>1840</v>
      </c>
      <c r="B63" s="60">
        <v>4.1100000000000003</v>
      </c>
      <c r="C63" s="60">
        <v>41.47</v>
      </c>
      <c r="D63" s="60">
        <v>26.83</v>
      </c>
      <c r="E63" s="60">
        <v>3.62</v>
      </c>
      <c r="F63" s="60">
        <v>35.89</v>
      </c>
      <c r="G63" s="60">
        <v>42.44</v>
      </c>
      <c r="H63" s="60">
        <v>19.29</v>
      </c>
      <c r="I63" s="60">
        <v>0.8</v>
      </c>
      <c r="J63" s="60">
        <v>0.6</v>
      </c>
      <c r="K63" s="60">
        <v>357.41</v>
      </c>
      <c r="L63" s="60">
        <v>41.64</v>
      </c>
      <c r="M63" s="60">
        <v>11.89</v>
      </c>
      <c r="N63" s="60">
        <v>722.6</v>
      </c>
      <c r="O63" s="60">
        <v>0</v>
      </c>
      <c r="P63" s="60">
        <v>0.77</v>
      </c>
      <c r="Q63" s="60">
        <v>15.02</v>
      </c>
      <c r="R63" s="198"/>
      <c r="S63" s="198"/>
      <c r="T63" s="198"/>
      <c r="U63" s="198"/>
    </row>
    <row r="64" spans="1:21" s="12" customFormat="1" x14ac:dyDescent="0.25">
      <c r="A64" s="201" t="s">
        <v>1841</v>
      </c>
      <c r="B64" s="60">
        <v>3.67</v>
      </c>
      <c r="C64" s="60">
        <v>40.659999999999997</v>
      </c>
      <c r="D64" s="60">
        <v>26.02</v>
      </c>
      <c r="E64" s="60">
        <v>4.68</v>
      </c>
      <c r="F64" s="60">
        <v>40.15</v>
      </c>
      <c r="G64" s="60">
        <v>42.44</v>
      </c>
      <c r="H64" s="60">
        <v>19.29</v>
      </c>
      <c r="I64" s="60">
        <v>0.84</v>
      </c>
      <c r="J64" s="60">
        <v>0.36</v>
      </c>
      <c r="K64" s="60">
        <v>345.78</v>
      </c>
      <c r="L64" s="60">
        <v>41.21</v>
      </c>
      <c r="M64" s="60">
        <v>11.48</v>
      </c>
      <c r="N64" s="60">
        <v>649.5</v>
      </c>
      <c r="O64" s="60">
        <v>0</v>
      </c>
      <c r="P64" s="60">
        <v>0.76</v>
      </c>
      <c r="Q64" s="60">
        <v>15.21</v>
      </c>
      <c r="R64" s="198"/>
      <c r="S64" s="198"/>
      <c r="T64" s="198"/>
      <c r="U64" s="198"/>
    </row>
    <row r="65" spans="1:21" s="12" customFormat="1" x14ac:dyDescent="0.25">
      <c r="A65" s="201" t="s">
        <v>1842</v>
      </c>
      <c r="B65" s="60">
        <v>2.85</v>
      </c>
      <c r="C65" s="60">
        <v>43.34</v>
      </c>
      <c r="D65" s="60">
        <v>26.85</v>
      </c>
      <c r="E65" s="60">
        <v>4.03</v>
      </c>
      <c r="F65" s="60">
        <v>27.22</v>
      </c>
      <c r="G65" s="60">
        <v>42.61</v>
      </c>
      <c r="H65" s="60">
        <v>19.23</v>
      </c>
      <c r="I65" s="60">
        <v>0.8</v>
      </c>
      <c r="J65" s="60">
        <v>0.36</v>
      </c>
      <c r="K65" s="60">
        <v>233.69</v>
      </c>
      <c r="L65" s="60">
        <v>39.07</v>
      </c>
      <c r="M65" s="60">
        <v>11.72</v>
      </c>
      <c r="N65" s="60">
        <v>571.70000000000005</v>
      </c>
      <c r="O65" s="60">
        <v>0</v>
      </c>
      <c r="P65" s="60">
        <v>0.77</v>
      </c>
      <c r="Q65" s="60">
        <v>15.37</v>
      </c>
      <c r="R65" s="198"/>
      <c r="S65" s="198"/>
      <c r="T65" s="198"/>
      <c r="U65" s="198"/>
    </row>
    <row r="66" spans="1:21" s="12" customFormat="1" x14ac:dyDescent="0.25">
      <c r="A66" s="201" t="s">
        <v>1843</v>
      </c>
      <c r="B66" s="60">
        <v>2.2599999999999998</v>
      </c>
      <c r="C66" s="60">
        <v>37.200000000000003</v>
      </c>
      <c r="D66" s="60">
        <v>22.99</v>
      </c>
      <c r="E66" s="60">
        <v>3.91</v>
      </c>
      <c r="F66" s="60">
        <v>37.82</v>
      </c>
      <c r="G66" s="60">
        <v>43.58</v>
      </c>
      <c r="H66" s="60">
        <v>18.97</v>
      </c>
      <c r="I66" s="60">
        <v>0.75</v>
      </c>
      <c r="J66" s="60">
        <v>0.28000000000000003</v>
      </c>
      <c r="K66" s="60">
        <v>200.1</v>
      </c>
      <c r="L66" s="60">
        <v>38.15</v>
      </c>
      <c r="M66" s="60">
        <v>12.12</v>
      </c>
      <c r="N66" s="60">
        <v>557.1</v>
      </c>
      <c r="O66" s="60">
        <v>0</v>
      </c>
      <c r="P66" s="60">
        <v>0.7</v>
      </c>
      <c r="Q66" s="60">
        <v>15.04</v>
      </c>
      <c r="R66" s="198"/>
      <c r="S66" s="198"/>
      <c r="T66" s="198"/>
      <c r="U66" s="198"/>
    </row>
    <row r="67" spans="1:21" s="12" customFormat="1" x14ac:dyDescent="0.25">
      <c r="A67" s="201" t="s">
        <v>1844</v>
      </c>
      <c r="B67" s="60">
        <v>5.0999999999999996</v>
      </c>
      <c r="C67" s="60">
        <v>45.29</v>
      </c>
      <c r="D67" s="60">
        <v>29.72</v>
      </c>
      <c r="E67" s="60">
        <v>5.27</v>
      </c>
      <c r="F67" s="60">
        <v>38.25</v>
      </c>
      <c r="G67" s="60">
        <v>43.58</v>
      </c>
      <c r="H67" s="60">
        <v>18.97</v>
      </c>
      <c r="I67" s="60">
        <v>0.82</v>
      </c>
      <c r="J67" s="60">
        <v>0.04</v>
      </c>
      <c r="K67" s="60">
        <v>43.47</v>
      </c>
      <c r="L67" s="60">
        <v>39.69</v>
      </c>
      <c r="M67" s="60">
        <v>12.07</v>
      </c>
      <c r="N67" s="60">
        <v>487.8</v>
      </c>
      <c r="O67" s="60">
        <v>0</v>
      </c>
      <c r="P67" s="60">
        <v>0.79</v>
      </c>
      <c r="Q67" s="60">
        <v>14.7</v>
      </c>
      <c r="R67" s="198"/>
      <c r="S67" s="198"/>
      <c r="T67" s="198"/>
      <c r="U67" s="198"/>
    </row>
    <row r="68" spans="1:21" s="12" customFormat="1" x14ac:dyDescent="0.25">
      <c r="A68" s="201" t="s">
        <v>1845</v>
      </c>
      <c r="B68" s="60">
        <v>2.96</v>
      </c>
      <c r="C68" s="60">
        <v>43.29</v>
      </c>
      <c r="D68" s="60">
        <v>26.92</v>
      </c>
      <c r="E68" s="60">
        <v>4.96</v>
      </c>
      <c r="F68" s="60">
        <v>31.51</v>
      </c>
      <c r="G68" s="60">
        <v>43.58</v>
      </c>
      <c r="H68" s="60">
        <v>18.97</v>
      </c>
      <c r="I68" s="60">
        <v>0.83</v>
      </c>
      <c r="J68" s="60">
        <v>0.08</v>
      </c>
      <c r="K68" s="60">
        <v>190.45</v>
      </c>
      <c r="L68" s="60">
        <v>38.4</v>
      </c>
      <c r="M68" s="60">
        <v>12.59</v>
      </c>
      <c r="N68" s="60">
        <v>452.2</v>
      </c>
      <c r="O68" s="60">
        <v>0</v>
      </c>
      <c r="P68" s="60">
        <v>0.72</v>
      </c>
      <c r="Q68" s="60">
        <v>14.09</v>
      </c>
      <c r="R68" s="198"/>
      <c r="S68" s="198"/>
      <c r="T68" s="198"/>
      <c r="U68" s="198"/>
    </row>
    <row r="69" spans="1:21" s="12" customFormat="1" x14ac:dyDescent="0.25">
      <c r="A69" s="201" t="s">
        <v>1846</v>
      </c>
      <c r="B69" s="60">
        <v>2</v>
      </c>
      <c r="C69" s="60">
        <v>35.22</v>
      </c>
      <c r="D69" s="60">
        <v>21.69</v>
      </c>
      <c r="E69" s="60">
        <v>4.75</v>
      </c>
      <c r="F69" s="60">
        <v>44.99</v>
      </c>
      <c r="G69" s="60">
        <v>43.94</v>
      </c>
      <c r="H69" s="60">
        <v>19.16</v>
      </c>
      <c r="I69" s="60">
        <v>0.75</v>
      </c>
      <c r="J69" s="60">
        <v>0.01</v>
      </c>
      <c r="K69" s="60">
        <v>298.86</v>
      </c>
      <c r="L69" s="60">
        <v>38.15</v>
      </c>
      <c r="M69" s="60">
        <v>12.45</v>
      </c>
      <c r="N69" s="60">
        <v>352.1</v>
      </c>
      <c r="O69" s="60">
        <v>0</v>
      </c>
      <c r="P69" s="60">
        <v>0.66</v>
      </c>
      <c r="Q69" s="60">
        <v>13.14</v>
      </c>
      <c r="R69" s="198"/>
      <c r="S69" s="198"/>
      <c r="T69" s="198"/>
      <c r="U69" s="198"/>
    </row>
    <row r="70" spans="1:21" s="12" customFormat="1" x14ac:dyDescent="0.25">
      <c r="A70" s="201" t="s">
        <v>1847</v>
      </c>
      <c r="B70" s="60">
        <v>3.28</v>
      </c>
      <c r="C70" s="60">
        <v>47.52</v>
      </c>
      <c r="D70" s="60">
        <v>29.5</v>
      </c>
      <c r="E70" s="60">
        <v>4.4800000000000004</v>
      </c>
      <c r="F70" s="60">
        <v>33.07</v>
      </c>
      <c r="G70" s="60">
        <v>46.11</v>
      </c>
      <c r="H70" s="60">
        <v>19.98</v>
      </c>
      <c r="I70" s="60">
        <v>0.76</v>
      </c>
      <c r="J70" s="60">
        <v>0.24</v>
      </c>
      <c r="K70" s="60">
        <v>331.85</v>
      </c>
      <c r="L70" s="60">
        <v>38.1</v>
      </c>
      <c r="M70" s="60">
        <v>13.23</v>
      </c>
      <c r="N70" s="60">
        <v>158</v>
      </c>
      <c r="O70" s="60">
        <v>0</v>
      </c>
      <c r="P70" s="60">
        <v>0.69</v>
      </c>
      <c r="Q70" s="60">
        <v>12.01</v>
      </c>
      <c r="R70" s="198"/>
      <c r="S70" s="198"/>
      <c r="T70" s="198"/>
      <c r="U70" s="198"/>
    </row>
    <row r="71" spans="1:21" s="12" customFormat="1" x14ac:dyDescent="0.25">
      <c r="A71" s="201" t="s">
        <v>1848</v>
      </c>
      <c r="B71" s="60">
        <v>4.09</v>
      </c>
      <c r="C71" s="60">
        <v>47.33</v>
      </c>
      <c r="D71" s="60">
        <v>30.04</v>
      </c>
      <c r="E71" s="60">
        <v>5.95</v>
      </c>
      <c r="F71" s="60">
        <v>57.96</v>
      </c>
      <c r="G71" s="60">
        <v>46.11</v>
      </c>
      <c r="H71" s="60">
        <v>19.98</v>
      </c>
      <c r="I71" s="60">
        <v>0.71</v>
      </c>
      <c r="J71" s="60">
        <v>0.16</v>
      </c>
      <c r="K71" s="60">
        <v>348.23</v>
      </c>
      <c r="L71" s="60">
        <v>37.869999999999997</v>
      </c>
      <c r="M71" s="60">
        <v>13.28</v>
      </c>
      <c r="N71" s="60">
        <v>132.30000000000001</v>
      </c>
      <c r="O71" s="60">
        <v>0</v>
      </c>
      <c r="P71" s="60">
        <v>0.69</v>
      </c>
      <c r="Q71" s="60">
        <v>11.24</v>
      </c>
      <c r="R71" s="198"/>
      <c r="S71" s="198"/>
      <c r="T71" s="198"/>
      <c r="U71" s="198"/>
    </row>
    <row r="72" spans="1:21" s="12" customFormat="1" x14ac:dyDescent="0.25">
      <c r="A72" s="201" t="s">
        <v>1849</v>
      </c>
      <c r="B72" s="60">
        <v>3.7</v>
      </c>
      <c r="C72" s="60">
        <v>46.18</v>
      </c>
      <c r="D72" s="60">
        <v>29.1</v>
      </c>
      <c r="E72" s="60">
        <v>3.81</v>
      </c>
      <c r="F72" s="60">
        <v>37.92</v>
      </c>
      <c r="G72" s="60">
        <v>46.11</v>
      </c>
      <c r="H72" s="60">
        <v>19.98</v>
      </c>
      <c r="I72" s="60">
        <v>0.71</v>
      </c>
      <c r="J72" s="60">
        <v>0.3</v>
      </c>
      <c r="K72" s="60">
        <v>355.46</v>
      </c>
      <c r="L72" s="60">
        <v>37.71</v>
      </c>
      <c r="M72" s="60">
        <v>14.54</v>
      </c>
      <c r="N72" s="60">
        <v>134.9</v>
      </c>
      <c r="O72" s="60">
        <v>0</v>
      </c>
      <c r="P72" s="60">
        <v>0.72</v>
      </c>
      <c r="Q72" s="60">
        <v>10.9</v>
      </c>
      <c r="R72" s="198"/>
      <c r="S72" s="198"/>
      <c r="T72" s="198"/>
      <c r="U72" s="198"/>
    </row>
    <row r="73" spans="1:21" s="12" customFormat="1" x14ac:dyDescent="0.25">
      <c r="A73" s="201" t="s">
        <v>1850</v>
      </c>
      <c r="B73" s="60">
        <v>4.57</v>
      </c>
      <c r="C73" s="60">
        <v>48.02</v>
      </c>
      <c r="D73" s="60">
        <v>30.81</v>
      </c>
      <c r="E73" s="60">
        <v>6.69</v>
      </c>
      <c r="F73" s="60">
        <v>52.09</v>
      </c>
      <c r="G73" s="60">
        <v>45.82</v>
      </c>
      <c r="H73" s="60">
        <v>20.149999999999999</v>
      </c>
      <c r="I73" s="60">
        <v>0.64</v>
      </c>
      <c r="J73" s="60">
        <v>0.26</v>
      </c>
      <c r="K73" s="60">
        <v>353.78</v>
      </c>
      <c r="L73" s="60">
        <v>37.54</v>
      </c>
      <c r="M73" s="60">
        <v>15.14</v>
      </c>
      <c r="N73" s="60">
        <v>118</v>
      </c>
      <c r="O73" s="60">
        <v>0</v>
      </c>
      <c r="P73" s="60">
        <v>0.78</v>
      </c>
      <c r="Q73" s="60">
        <v>10.51</v>
      </c>
      <c r="R73" s="198"/>
      <c r="S73" s="198"/>
      <c r="T73" s="198"/>
      <c r="U73" s="198"/>
    </row>
    <row r="74" spans="1:21" s="12" customFormat="1" x14ac:dyDescent="0.25">
      <c r="A74" s="201" t="s">
        <v>1851</v>
      </c>
      <c r="B74" s="60">
        <v>2.09</v>
      </c>
      <c r="C74" s="60">
        <v>37.26</v>
      </c>
      <c r="D74" s="60">
        <v>22.89</v>
      </c>
      <c r="E74" s="60">
        <v>10.25</v>
      </c>
      <c r="F74" s="60">
        <v>55.95</v>
      </c>
      <c r="G74" s="60">
        <v>44.28</v>
      </c>
      <c r="H74" s="60">
        <v>21.12</v>
      </c>
      <c r="I74" s="60">
        <v>0.69</v>
      </c>
      <c r="J74" s="60">
        <v>0.67</v>
      </c>
      <c r="K74" s="60">
        <v>200.92</v>
      </c>
      <c r="L74" s="60">
        <v>36.770000000000003</v>
      </c>
      <c r="M74" s="60">
        <v>13.62</v>
      </c>
      <c r="N74" s="60">
        <v>118.6</v>
      </c>
      <c r="O74" s="60">
        <v>0</v>
      </c>
      <c r="P74" s="60">
        <v>0.61</v>
      </c>
      <c r="Q74" s="60">
        <v>11.09</v>
      </c>
      <c r="R74" s="198"/>
      <c r="S74" s="198"/>
      <c r="T74" s="198"/>
      <c r="U74" s="198"/>
    </row>
    <row r="75" spans="1:21" s="12" customFormat="1" x14ac:dyDescent="0.25">
      <c r="A75" s="201" t="s">
        <v>1852</v>
      </c>
      <c r="B75" s="60">
        <v>2.09</v>
      </c>
      <c r="C75" s="60">
        <v>38.880000000000003</v>
      </c>
      <c r="D75" s="60">
        <v>23.78</v>
      </c>
      <c r="E75" s="60">
        <v>11.1</v>
      </c>
      <c r="F75" s="60">
        <v>67</v>
      </c>
      <c r="G75" s="60">
        <v>44.28</v>
      </c>
      <c r="H75" s="60">
        <v>21.12</v>
      </c>
      <c r="I75" s="60">
        <v>0.67</v>
      </c>
      <c r="J75" s="60">
        <v>0.26</v>
      </c>
      <c r="K75" s="60">
        <v>218.09</v>
      </c>
      <c r="L75" s="60">
        <v>36.57</v>
      </c>
      <c r="M75" s="60">
        <v>13.73</v>
      </c>
      <c r="N75" s="60">
        <v>89</v>
      </c>
      <c r="O75" s="60">
        <v>0</v>
      </c>
      <c r="P75" s="60">
        <v>0.61</v>
      </c>
      <c r="Q75" s="60">
        <v>11.23</v>
      </c>
      <c r="R75" s="198"/>
      <c r="S75" s="198"/>
      <c r="T75" s="198"/>
      <c r="U75" s="198"/>
    </row>
    <row r="76" spans="1:21" s="12" customFormat="1" x14ac:dyDescent="0.25">
      <c r="A76" s="201" t="s">
        <v>1853</v>
      </c>
      <c r="B76" s="60">
        <v>2.0499999999999998</v>
      </c>
      <c r="C76" s="60">
        <v>35.86</v>
      </c>
      <c r="D76" s="60">
        <v>22.09</v>
      </c>
      <c r="E76" s="60">
        <v>11.66</v>
      </c>
      <c r="F76" s="60">
        <v>73.599999999999994</v>
      </c>
      <c r="G76" s="60">
        <v>44.28</v>
      </c>
      <c r="H76" s="60">
        <v>21.12</v>
      </c>
      <c r="I76" s="60">
        <v>0.6</v>
      </c>
      <c r="J76" s="60">
        <v>0.17</v>
      </c>
      <c r="K76" s="60">
        <v>255.76</v>
      </c>
      <c r="L76" s="60">
        <v>36.33</v>
      </c>
      <c r="M76" s="60">
        <v>13.93</v>
      </c>
      <c r="N76" s="60">
        <v>85</v>
      </c>
      <c r="O76" s="60">
        <v>0</v>
      </c>
      <c r="P76" s="60">
        <v>0.6</v>
      </c>
      <c r="Q76" s="60">
        <v>11.02</v>
      </c>
      <c r="R76" s="198"/>
      <c r="S76" s="198"/>
      <c r="T76" s="198"/>
      <c r="U76" s="198"/>
    </row>
    <row r="77" spans="1:21" s="12" customFormat="1" x14ac:dyDescent="0.25">
      <c r="A77" s="201" t="s">
        <v>1854</v>
      </c>
      <c r="B77" s="60">
        <v>2.21</v>
      </c>
      <c r="C77" s="60">
        <v>46.72</v>
      </c>
      <c r="D77" s="60">
        <v>28.2</v>
      </c>
      <c r="E77" s="60">
        <v>12.63</v>
      </c>
      <c r="F77" s="60">
        <v>66.599999999999994</v>
      </c>
      <c r="G77" s="60">
        <v>43.77</v>
      </c>
      <c r="H77" s="60">
        <v>20.03</v>
      </c>
      <c r="I77" s="60">
        <v>0.6</v>
      </c>
      <c r="J77" s="60">
        <v>0.37</v>
      </c>
      <c r="K77" s="60">
        <v>221.35</v>
      </c>
      <c r="L77" s="60">
        <v>36.29</v>
      </c>
      <c r="M77" s="60">
        <v>14.33</v>
      </c>
      <c r="N77" s="60">
        <v>73.7</v>
      </c>
      <c r="O77" s="60">
        <v>0</v>
      </c>
      <c r="P77" s="60">
        <v>0.62</v>
      </c>
      <c r="Q77" s="60">
        <v>11.31</v>
      </c>
      <c r="R77" s="198"/>
      <c r="S77" s="198"/>
      <c r="T77" s="198"/>
      <c r="U77" s="198"/>
    </row>
    <row r="78" spans="1:21" s="12" customFormat="1" x14ac:dyDescent="0.25">
      <c r="A78" s="201" t="s">
        <v>1855</v>
      </c>
      <c r="B78" s="60">
        <v>2.2599999999999998</v>
      </c>
      <c r="C78" s="60">
        <v>48.07</v>
      </c>
      <c r="D78" s="60">
        <v>28.99</v>
      </c>
      <c r="E78" s="60">
        <v>10.95</v>
      </c>
      <c r="F78" s="60">
        <v>44.86</v>
      </c>
      <c r="G78" s="60">
        <v>40.96</v>
      </c>
      <c r="H78" s="60">
        <v>15.52</v>
      </c>
      <c r="I78" s="60">
        <v>0.62</v>
      </c>
      <c r="J78" s="60">
        <v>0.41</v>
      </c>
      <c r="K78" s="60">
        <v>232.76</v>
      </c>
      <c r="L78" s="60">
        <v>35.86</v>
      </c>
      <c r="M78" s="60">
        <v>14.73</v>
      </c>
      <c r="N78" s="60">
        <v>52</v>
      </c>
      <c r="O78" s="60">
        <v>0</v>
      </c>
      <c r="P78" s="60">
        <v>0.71</v>
      </c>
      <c r="Q78" s="60">
        <v>12.09</v>
      </c>
      <c r="R78" s="198"/>
      <c r="S78" s="198"/>
      <c r="T78" s="198"/>
      <c r="U78" s="198"/>
    </row>
    <row r="79" spans="1:21" s="12" customFormat="1" x14ac:dyDescent="0.25">
      <c r="A79" s="201" t="s">
        <v>1856</v>
      </c>
      <c r="B79" s="60">
        <v>1.94</v>
      </c>
      <c r="C79" s="60">
        <v>43.93</v>
      </c>
      <c r="D79" s="60">
        <v>26.44</v>
      </c>
      <c r="E79" s="60">
        <v>10.039999999999999</v>
      </c>
      <c r="F79" s="60">
        <v>52.21</v>
      </c>
      <c r="G79" s="60">
        <v>40.96</v>
      </c>
      <c r="H79" s="60">
        <v>15.52</v>
      </c>
      <c r="I79" s="60">
        <v>0.6</v>
      </c>
      <c r="J79" s="60">
        <v>0.18</v>
      </c>
      <c r="K79" s="60">
        <v>260.18</v>
      </c>
      <c r="L79" s="60">
        <v>35.25</v>
      </c>
      <c r="M79" s="60">
        <v>16.059999999999999</v>
      </c>
      <c r="N79" s="60">
        <v>30.6</v>
      </c>
      <c r="O79" s="60">
        <v>0</v>
      </c>
      <c r="P79" s="60">
        <v>0.73</v>
      </c>
      <c r="Q79" s="60">
        <v>12.61</v>
      </c>
      <c r="R79" s="198"/>
      <c r="S79" s="198"/>
      <c r="T79" s="198"/>
      <c r="U79" s="198"/>
    </row>
    <row r="80" spans="1:21" s="12" customFormat="1" x14ac:dyDescent="0.25">
      <c r="A80" s="201" t="s">
        <v>1857</v>
      </c>
      <c r="B80" s="60">
        <v>2.06</v>
      </c>
      <c r="C80" s="60">
        <v>49.81</v>
      </c>
      <c r="D80" s="60">
        <v>29.78</v>
      </c>
      <c r="E80" s="60">
        <v>9.64</v>
      </c>
      <c r="F80" s="60">
        <v>48.82</v>
      </c>
      <c r="G80" s="60">
        <v>40.96</v>
      </c>
      <c r="H80" s="60">
        <v>15.52</v>
      </c>
      <c r="I80" s="60">
        <v>0.64</v>
      </c>
      <c r="J80" s="60">
        <v>0.13</v>
      </c>
      <c r="K80" s="60">
        <v>257.77999999999997</v>
      </c>
      <c r="L80" s="60">
        <v>34.67</v>
      </c>
      <c r="M80" s="60">
        <v>16.71</v>
      </c>
      <c r="N80" s="60">
        <v>18.2</v>
      </c>
      <c r="O80" s="60">
        <v>0</v>
      </c>
      <c r="P80" s="60">
        <v>0.8</v>
      </c>
      <c r="Q80" s="60">
        <v>12.18</v>
      </c>
      <c r="R80" s="198"/>
      <c r="S80" s="198"/>
      <c r="T80" s="198"/>
      <c r="U80" s="198"/>
    </row>
    <row r="81" spans="1:26" s="12" customFormat="1" x14ac:dyDescent="0.25">
      <c r="A81" s="201" t="s">
        <v>1858</v>
      </c>
      <c r="B81" s="60">
        <v>1.91</v>
      </c>
      <c r="C81" s="60">
        <v>53.5</v>
      </c>
      <c r="D81" s="60">
        <v>31.71</v>
      </c>
      <c r="E81" s="60">
        <v>8.26</v>
      </c>
      <c r="F81" s="60">
        <v>41.76</v>
      </c>
      <c r="G81" s="60">
        <v>42.38</v>
      </c>
      <c r="H81" s="60">
        <v>18.88</v>
      </c>
      <c r="I81" s="60">
        <v>0.63</v>
      </c>
      <c r="J81" s="60">
        <v>0.25</v>
      </c>
      <c r="K81" s="60">
        <v>239.55</v>
      </c>
      <c r="L81" s="60">
        <v>34.32</v>
      </c>
      <c r="M81" s="60">
        <v>16.07</v>
      </c>
      <c r="N81" s="60">
        <v>10.3</v>
      </c>
      <c r="O81" s="60">
        <v>0</v>
      </c>
      <c r="P81" s="60">
        <v>0.82</v>
      </c>
      <c r="Q81" s="60">
        <v>11.84</v>
      </c>
      <c r="R81" s="198"/>
      <c r="S81" s="198"/>
      <c r="T81" s="198"/>
      <c r="U81" s="198"/>
    </row>
    <row r="82" spans="1:26" s="12" customFormat="1" x14ac:dyDescent="0.25">
      <c r="A82" s="201" t="s">
        <v>1859</v>
      </c>
      <c r="B82" s="60">
        <v>1.84</v>
      </c>
      <c r="C82" s="60">
        <v>58.4</v>
      </c>
      <c r="D82" s="60">
        <v>34.35</v>
      </c>
      <c r="E82" s="60">
        <v>7.55</v>
      </c>
      <c r="F82" s="60">
        <v>37.92</v>
      </c>
      <c r="G82" s="60">
        <v>50.08</v>
      </c>
      <c r="H82" s="60">
        <v>32.880000000000003</v>
      </c>
      <c r="I82" s="60">
        <v>0.63</v>
      </c>
      <c r="J82" s="60">
        <v>0.09</v>
      </c>
      <c r="K82" s="60">
        <v>277.04000000000002</v>
      </c>
      <c r="L82" s="60">
        <v>33.97</v>
      </c>
      <c r="M82" s="60">
        <v>16.52</v>
      </c>
      <c r="N82" s="60">
        <v>7.4</v>
      </c>
      <c r="O82" s="60">
        <v>0</v>
      </c>
      <c r="P82" s="60">
        <v>0.88</v>
      </c>
      <c r="Q82" s="60">
        <v>11.73</v>
      </c>
      <c r="R82" s="198"/>
      <c r="S82" s="198"/>
      <c r="T82" s="198"/>
      <c r="U82" s="198"/>
    </row>
    <row r="83" spans="1:26" s="12" customFormat="1" x14ac:dyDescent="0.25">
      <c r="A83" s="201" t="s">
        <v>1860</v>
      </c>
      <c r="B83" s="60">
        <v>2.64</v>
      </c>
      <c r="C83" s="60">
        <v>74.430000000000007</v>
      </c>
      <c r="D83" s="60">
        <v>43.84</v>
      </c>
      <c r="E83" s="60">
        <v>6.64</v>
      </c>
      <c r="F83" s="60">
        <v>28.34</v>
      </c>
      <c r="G83" s="60">
        <v>50.08</v>
      </c>
      <c r="H83" s="60">
        <v>32.880000000000003</v>
      </c>
      <c r="I83" s="60">
        <v>0.68</v>
      </c>
      <c r="J83" s="60">
        <v>0.14000000000000001</v>
      </c>
      <c r="K83" s="60">
        <v>273.13</v>
      </c>
      <c r="L83" s="60">
        <v>33.44</v>
      </c>
      <c r="M83" s="60">
        <v>18.34</v>
      </c>
      <c r="N83" s="60">
        <v>4.9000000000000004</v>
      </c>
      <c r="O83" s="60">
        <v>0</v>
      </c>
      <c r="P83" s="60">
        <v>0.92</v>
      </c>
      <c r="Q83" s="60">
        <v>12.15</v>
      </c>
      <c r="R83" s="198"/>
      <c r="S83" s="198"/>
      <c r="T83" s="198"/>
      <c r="U83" s="198"/>
    </row>
    <row r="84" spans="1:26" s="12" customFormat="1" x14ac:dyDescent="0.25">
      <c r="A84" s="201" t="s">
        <v>1861</v>
      </c>
      <c r="B84" s="60">
        <v>6.1</v>
      </c>
      <c r="C84" s="60">
        <v>75.22</v>
      </c>
      <c r="D84" s="60">
        <v>47.05</v>
      </c>
      <c r="E84" s="60">
        <v>6.27</v>
      </c>
      <c r="F84" s="60">
        <v>30.02</v>
      </c>
      <c r="G84" s="60">
        <v>50.08</v>
      </c>
      <c r="H84" s="60">
        <v>32.880000000000003</v>
      </c>
      <c r="I84" s="60">
        <v>0.69</v>
      </c>
      <c r="J84" s="60">
        <v>0.09</v>
      </c>
      <c r="K84" s="60">
        <v>278.23</v>
      </c>
      <c r="L84" s="60">
        <v>33.119999999999997</v>
      </c>
      <c r="M84" s="60">
        <v>19.32</v>
      </c>
      <c r="N84" s="60">
        <v>4.8</v>
      </c>
      <c r="O84" s="60">
        <v>0</v>
      </c>
      <c r="P84" s="60">
        <v>0.93</v>
      </c>
      <c r="Q84" s="60">
        <v>12.55</v>
      </c>
      <c r="R84" s="198"/>
      <c r="S84" s="198"/>
      <c r="T84" s="198"/>
      <c r="U84" s="198"/>
    </row>
    <row r="85" spans="1:26" s="12" customFormat="1" x14ac:dyDescent="0.25">
      <c r="A85" s="201" t="s">
        <v>1862</v>
      </c>
      <c r="B85" s="60">
        <v>3.05</v>
      </c>
      <c r="C85" s="60">
        <v>80.37</v>
      </c>
      <c r="D85" s="60">
        <v>47.44</v>
      </c>
      <c r="E85" s="60">
        <v>6.68</v>
      </c>
      <c r="F85" s="60">
        <v>31.82</v>
      </c>
      <c r="G85" s="60">
        <v>51.49</v>
      </c>
      <c r="H85" s="60">
        <v>32.049999999999997</v>
      </c>
      <c r="I85" s="60">
        <v>0.69</v>
      </c>
      <c r="J85" s="60">
        <v>7.0000000000000007E-2</v>
      </c>
      <c r="K85" s="60">
        <v>294.7</v>
      </c>
      <c r="L85" s="60">
        <v>32.85</v>
      </c>
      <c r="M85" s="60">
        <v>19.510000000000002</v>
      </c>
      <c r="N85" s="60">
        <v>4.8</v>
      </c>
      <c r="O85" s="60">
        <v>0</v>
      </c>
      <c r="P85" s="60">
        <v>0.94</v>
      </c>
      <c r="Q85" s="60">
        <v>12.52</v>
      </c>
      <c r="R85" s="198"/>
      <c r="S85" s="198"/>
      <c r="T85" s="198"/>
      <c r="U85" s="198"/>
    </row>
    <row r="86" spans="1:26" s="12" customFormat="1" x14ac:dyDescent="0.25">
      <c r="A86" s="201" t="s">
        <v>1863</v>
      </c>
      <c r="B86" s="60">
        <v>3.04</v>
      </c>
      <c r="C86" s="60">
        <v>72.27</v>
      </c>
      <c r="D86" s="60">
        <v>42.97</v>
      </c>
      <c r="E86" s="60">
        <v>6.45</v>
      </c>
      <c r="F86" s="60">
        <v>33</v>
      </c>
      <c r="G86" s="60">
        <v>59.85</v>
      </c>
      <c r="H86" s="60">
        <v>28.63</v>
      </c>
      <c r="I86" s="60">
        <v>0.7</v>
      </c>
      <c r="J86" s="60">
        <v>0.1</v>
      </c>
      <c r="K86" s="60">
        <v>270.92</v>
      </c>
      <c r="L86" s="60">
        <v>32.58</v>
      </c>
      <c r="M86" s="60">
        <v>19.96</v>
      </c>
      <c r="N86" s="60">
        <v>4.4000000000000004</v>
      </c>
      <c r="O86" s="60">
        <v>0</v>
      </c>
      <c r="P86" s="60">
        <v>0.93</v>
      </c>
      <c r="Q86" s="60">
        <v>12.63</v>
      </c>
      <c r="R86" s="198"/>
      <c r="S86" s="198"/>
      <c r="T86" s="198"/>
      <c r="U86" s="198"/>
    </row>
    <row r="87" spans="1:26" s="12" customFormat="1" x14ac:dyDescent="0.25">
      <c r="A87" s="201" t="s">
        <v>1864</v>
      </c>
      <c r="B87" s="60">
        <v>3.92</v>
      </c>
      <c r="C87" s="60">
        <v>70.319999999999993</v>
      </c>
      <c r="D87" s="60">
        <v>42.59</v>
      </c>
      <c r="E87" s="60">
        <v>5.98</v>
      </c>
      <c r="F87" s="60">
        <v>32.28</v>
      </c>
      <c r="G87" s="60">
        <v>59.85</v>
      </c>
      <c r="H87" s="60">
        <v>28.63</v>
      </c>
      <c r="I87" s="60">
        <v>0.72</v>
      </c>
      <c r="J87" s="60">
        <v>0.25</v>
      </c>
      <c r="K87" s="60">
        <v>227.52</v>
      </c>
      <c r="L87" s="60">
        <v>32.54</v>
      </c>
      <c r="M87" s="60">
        <v>20.440000000000001</v>
      </c>
      <c r="N87" s="60">
        <v>3.7</v>
      </c>
      <c r="O87" s="60">
        <v>0</v>
      </c>
      <c r="P87" s="60">
        <v>0.92</v>
      </c>
      <c r="Q87" s="60">
        <v>12.78</v>
      </c>
      <c r="R87" s="198"/>
      <c r="S87" s="198"/>
      <c r="T87" s="198"/>
      <c r="U87" s="198"/>
    </row>
    <row r="88" spans="1:26" s="12" customFormat="1" x14ac:dyDescent="0.25">
      <c r="A88" s="201" t="s">
        <v>1865</v>
      </c>
      <c r="B88" s="60">
        <v>3.67</v>
      </c>
      <c r="C88" s="60">
        <v>70.52</v>
      </c>
      <c r="D88" s="60">
        <v>42.5</v>
      </c>
      <c r="E88" s="60">
        <v>3.46</v>
      </c>
      <c r="F88" s="60">
        <v>29.39</v>
      </c>
      <c r="G88" s="60">
        <v>59.85</v>
      </c>
      <c r="H88" s="60">
        <v>28.63</v>
      </c>
      <c r="I88" s="60">
        <v>0.68</v>
      </c>
      <c r="J88" s="60">
        <v>0.26</v>
      </c>
      <c r="K88" s="60">
        <v>238.21</v>
      </c>
      <c r="L88" s="60">
        <v>32.43</v>
      </c>
      <c r="M88" s="60">
        <v>20.43</v>
      </c>
      <c r="N88" s="60">
        <v>4</v>
      </c>
      <c r="O88" s="60">
        <v>0</v>
      </c>
      <c r="P88" s="60">
        <v>0.91</v>
      </c>
      <c r="Q88" s="60">
        <v>13.03</v>
      </c>
      <c r="R88" s="198"/>
      <c r="S88" s="198"/>
      <c r="T88" s="198"/>
      <c r="U88" s="198"/>
    </row>
    <row r="89" spans="1:26" s="12" customFormat="1" x14ac:dyDescent="0.25">
      <c r="A89" s="201" t="s">
        <v>1866</v>
      </c>
      <c r="B89" s="60">
        <v>5.38</v>
      </c>
      <c r="C89" s="60">
        <v>66.03</v>
      </c>
      <c r="D89" s="60">
        <v>41.4</v>
      </c>
      <c r="E89" s="60">
        <v>6.98</v>
      </c>
      <c r="F89" s="60">
        <v>30.9</v>
      </c>
      <c r="G89" s="60">
        <v>59.35</v>
      </c>
      <c r="H89" s="60">
        <v>28.27</v>
      </c>
      <c r="I89" s="60">
        <v>0.71</v>
      </c>
      <c r="J89" s="60">
        <v>7.0000000000000007E-2</v>
      </c>
      <c r="K89" s="60">
        <v>264.5</v>
      </c>
      <c r="L89" s="60">
        <v>32.549999999999997</v>
      </c>
      <c r="M89" s="60">
        <v>19.989999999999998</v>
      </c>
      <c r="N89" s="60">
        <v>4.2</v>
      </c>
      <c r="O89" s="60">
        <v>0</v>
      </c>
      <c r="P89" s="60">
        <v>1.1100000000000001</v>
      </c>
      <c r="Q89" s="60">
        <v>13.27</v>
      </c>
      <c r="R89" s="198"/>
      <c r="S89" s="198"/>
      <c r="T89" s="198"/>
      <c r="U89" s="198"/>
    </row>
    <row r="90" spans="1:26" s="12" customFormat="1" x14ac:dyDescent="0.25">
      <c r="A90" s="201" t="s">
        <v>1867</v>
      </c>
      <c r="B90" s="60">
        <v>31.19</v>
      </c>
      <c r="C90" s="60">
        <v>96.2</v>
      </c>
      <c r="D90" s="60">
        <v>78.75</v>
      </c>
      <c r="E90" s="60">
        <v>6.98</v>
      </c>
      <c r="F90" s="60">
        <v>10.97</v>
      </c>
      <c r="G90" s="60">
        <v>56.36</v>
      </c>
      <c r="H90" s="60">
        <v>26.35</v>
      </c>
      <c r="I90" s="60">
        <v>0.73</v>
      </c>
      <c r="J90" s="60">
        <v>0.2</v>
      </c>
      <c r="K90" s="60">
        <v>17.48</v>
      </c>
      <c r="L90" s="60">
        <v>31.42</v>
      </c>
      <c r="M90" s="60">
        <v>24.57</v>
      </c>
      <c r="N90" s="60">
        <v>5.4</v>
      </c>
      <c r="O90" s="60">
        <v>0</v>
      </c>
      <c r="P90" s="60">
        <v>1.99</v>
      </c>
      <c r="Q90" s="60">
        <v>14.21</v>
      </c>
      <c r="R90" s="198"/>
      <c r="S90" s="198"/>
      <c r="T90" s="198"/>
      <c r="U90" s="198"/>
    </row>
    <row r="91" spans="1:26" s="12" customFormat="1" x14ac:dyDescent="0.25">
      <c r="A91" s="201" t="s">
        <v>1868</v>
      </c>
      <c r="B91" s="60">
        <v>51.43</v>
      </c>
      <c r="C91" s="60">
        <v>108.12</v>
      </c>
      <c r="D91" s="60">
        <v>101.56</v>
      </c>
      <c r="E91" s="60">
        <v>7.39</v>
      </c>
      <c r="F91" s="60">
        <v>8.84</v>
      </c>
      <c r="G91" s="60">
        <v>56.36</v>
      </c>
      <c r="H91" s="60">
        <v>26.35</v>
      </c>
      <c r="I91" s="60">
        <v>0.79</v>
      </c>
      <c r="J91" s="60">
        <v>0.13</v>
      </c>
      <c r="K91" s="60">
        <v>12.15</v>
      </c>
      <c r="L91" s="60">
        <v>30.44</v>
      </c>
      <c r="M91" s="60">
        <v>26.12</v>
      </c>
      <c r="N91" s="60">
        <v>5.0999999999999996</v>
      </c>
      <c r="O91" s="60">
        <v>0</v>
      </c>
      <c r="P91" s="60">
        <v>2.2599999999999998</v>
      </c>
      <c r="Q91" s="60">
        <v>15.35</v>
      </c>
      <c r="R91" s="198"/>
      <c r="S91" s="198"/>
      <c r="T91" s="198"/>
      <c r="U91" s="198"/>
    </row>
    <row r="92" spans="1:26" s="12" customFormat="1" x14ac:dyDescent="0.25">
      <c r="A92" s="201" t="s">
        <v>1869</v>
      </c>
      <c r="B92" s="60">
        <v>56.45</v>
      </c>
      <c r="C92" s="60">
        <v>107.29</v>
      </c>
      <c r="D92" s="60">
        <v>105.13</v>
      </c>
      <c r="E92" s="60">
        <v>7.48</v>
      </c>
      <c r="F92" s="60">
        <v>5.38</v>
      </c>
      <c r="G92" s="60">
        <v>56.36</v>
      </c>
      <c r="H92" s="60">
        <v>26.35</v>
      </c>
      <c r="I92" s="60">
        <v>0.93</v>
      </c>
      <c r="J92" s="60">
        <v>0.12</v>
      </c>
      <c r="K92" s="60">
        <v>350.6</v>
      </c>
      <c r="L92" s="60">
        <v>29.85</v>
      </c>
      <c r="M92" s="60">
        <v>27.52</v>
      </c>
      <c r="N92" s="60">
        <v>5</v>
      </c>
      <c r="O92" s="60">
        <v>0</v>
      </c>
      <c r="P92" s="60">
        <v>2.5</v>
      </c>
      <c r="Q92" s="60">
        <v>15.96</v>
      </c>
      <c r="R92" s="198"/>
      <c r="S92" s="198"/>
      <c r="T92" s="198"/>
      <c r="U92" s="198"/>
    </row>
    <row r="93" spans="1:26" s="12" customFormat="1" x14ac:dyDescent="0.25">
      <c r="A93" s="201" t="s">
        <v>1870</v>
      </c>
      <c r="B93" s="60">
        <v>76.099999999999994</v>
      </c>
      <c r="C93" s="60">
        <v>112.72</v>
      </c>
      <c r="D93" s="60">
        <v>123.88</v>
      </c>
      <c r="E93" s="60">
        <v>7.46</v>
      </c>
      <c r="F93" s="60">
        <v>4.5999999999999996</v>
      </c>
      <c r="G93" s="60">
        <v>60.65</v>
      </c>
      <c r="H93" s="60">
        <v>27.03</v>
      </c>
      <c r="I93" s="60">
        <v>1.02</v>
      </c>
      <c r="J93" s="60">
        <v>7.0000000000000007E-2</v>
      </c>
      <c r="K93" s="60">
        <v>33.24</v>
      </c>
      <c r="L93" s="60">
        <v>29.2</v>
      </c>
      <c r="M93" s="60">
        <v>29.45</v>
      </c>
      <c r="N93" s="60">
        <v>5.0999999999999996</v>
      </c>
      <c r="O93" s="60">
        <v>0</v>
      </c>
      <c r="P93" s="60">
        <v>2.73</v>
      </c>
      <c r="Q93" s="60">
        <v>17.100000000000001</v>
      </c>
      <c r="R93" s="198"/>
      <c r="S93" s="198"/>
      <c r="T93" s="198"/>
      <c r="U93" s="198"/>
    </row>
    <row r="94" spans="1:26" s="12" customFormat="1" x14ac:dyDescent="0.25">
      <c r="A94" s="201" t="s">
        <v>1871</v>
      </c>
      <c r="B94" s="60">
        <v>111.96</v>
      </c>
      <c r="C94" s="60">
        <v>116.46</v>
      </c>
      <c r="D94" s="60">
        <v>154.71</v>
      </c>
      <c r="E94" s="60">
        <v>7.04</v>
      </c>
      <c r="F94" s="60">
        <v>4.03</v>
      </c>
      <c r="G94" s="60">
        <v>83.95</v>
      </c>
      <c r="H94" s="60">
        <v>29.86</v>
      </c>
      <c r="I94" s="60">
        <v>1.1599999999999999</v>
      </c>
      <c r="J94" s="60">
        <v>0.03</v>
      </c>
      <c r="K94" s="60">
        <v>56.88</v>
      </c>
      <c r="L94" s="60">
        <v>28.7</v>
      </c>
      <c r="M94" s="60">
        <v>31.02</v>
      </c>
      <c r="N94" s="60">
        <v>4.8</v>
      </c>
      <c r="O94" s="60">
        <v>0</v>
      </c>
      <c r="P94" s="60">
        <v>2.14</v>
      </c>
      <c r="Q94" s="60">
        <v>13.03</v>
      </c>
      <c r="R94" s="198"/>
      <c r="S94" s="198"/>
      <c r="T94" s="198"/>
      <c r="U94" s="198"/>
    </row>
    <row r="95" spans="1:26" s="12" customFormat="1" x14ac:dyDescent="0.25">
      <c r="A95" s="201" t="s">
        <v>1872</v>
      </c>
      <c r="B95" s="60">
        <v>83.97</v>
      </c>
      <c r="C95" s="60">
        <v>104.35</v>
      </c>
      <c r="D95" s="60">
        <v>125.58</v>
      </c>
      <c r="E95" s="60">
        <v>7.15</v>
      </c>
      <c r="F95" s="60">
        <v>4.29</v>
      </c>
      <c r="G95" s="60">
        <v>83.95</v>
      </c>
      <c r="H95" s="60">
        <v>29.86</v>
      </c>
      <c r="I95" s="60">
        <v>1.18</v>
      </c>
      <c r="J95" s="60">
        <v>0.22</v>
      </c>
      <c r="K95" s="60">
        <v>359.21</v>
      </c>
      <c r="L95" s="60">
        <v>28.52</v>
      </c>
      <c r="M95" s="60">
        <v>32.590000000000003</v>
      </c>
      <c r="N95" s="60">
        <v>4.5999999999999996</v>
      </c>
      <c r="O95" s="60">
        <v>0</v>
      </c>
      <c r="P95" s="60">
        <v>2.56</v>
      </c>
      <c r="Q95" s="60">
        <v>17.29</v>
      </c>
      <c r="R95" s="198"/>
      <c r="S95" s="198"/>
      <c r="T95" s="198"/>
      <c r="U95" s="198"/>
    </row>
    <row r="96" spans="1:26" s="12" customFormat="1" x14ac:dyDescent="0.25">
      <c r="A96" s="201" t="s">
        <v>1873</v>
      </c>
      <c r="B96" s="60">
        <v>95.69</v>
      </c>
      <c r="C96" s="60">
        <v>109.57</v>
      </c>
      <c r="D96" s="60">
        <v>137.85</v>
      </c>
      <c r="E96" s="60">
        <v>8.8699999999999992</v>
      </c>
      <c r="F96" s="60">
        <v>4.0599999999999996</v>
      </c>
      <c r="G96" s="60">
        <v>83.95</v>
      </c>
      <c r="H96" s="60">
        <v>29.86</v>
      </c>
      <c r="I96" s="60">
        <v>1.2</v>
      </c>
      <c r="J96" s="60">
        <v>0.04</v>
      </c>
      <c r="K96" s="60">
        <v>44.52</v>
      </c>
      <c r="L96" s="60">
        <v>28.02</v>
      </c>
      <c r="M96" s="60">
        <v>32.799999999999997</v>
      </c>
      <c r="N96" s="60">
        <v>5</v>
      </c>
      <c r="O96" s="60">
        <v>0</v>
      </c>
      <c r="P96" s="60">
        <v>2.64</v>
      </c>
      <c r="Q96" s="60">
        <v>19.02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1874</v>
      </c>
      <c r="B97" s="60">
        <v>123.92</v>
      </c>
      <c r="C97" s="60">
        <v>120.27</v>
      </c>
      <c r="D97" s="60">
        <v>166.39</v>
      </c>
      <c r="E97" s="60">
        <v>9.08</v>
      </c>
      <c r="F97" s="60">
        <v>3.53</v>
      </c>
      <c r="G97" s="60">
        <v>87.06</v>
      </c>
      <c r="H97" s="60">
        <v>30.95</v>
      </c>
      <c r="I97" s="60">
        <v>1.1000000000000001</v>
      </c>
      <c r="J97" s="60">
        <v>0.06</v>
      </c>
      <c r="K97" s="60">
        <v>91.11</v>
      </c>
      <c r="L97" s="60">
        <v>27.79</v>
      </c>
      <c r="M97" s="60">
        <v>32.47</v>
      </c>
      <c r="N97" s="60">
        <v>4.9000000000000004</v>
      </c>
      <c r="O97" s="60">
        <v>0</v>
      </c>
      <c r="P97" s="60">
        <v>2.11</v>
      </c>
      <c r="Q97" s="60">
        <v>17.309999999999999</v>
      </c>
      <c r="R97" s="198"/>
      <c r="S97" s="198"/>
      <c r="T97" s="198"/>
      <c r="U97" s="198"/>
    </row>
    <row r="98" spans="1:33" s="12" customFormat="1" x14ac:dyDescent="0.25">
      <c r="A98" s="201" t="s">
        <v>1875</v>
      </c>
      <c r="B98" s="60">
        <v>116.5</v>
      </c>
      <c r="C98" s="60">
        <v>112.01</v>
      </c>
      <c r="D98" s="60">
        <v>155.88999999999999</v>
      </c>
      <c r="E98" s="60">
        <v>8.1</v>
      </c>
      <c r="F98" s="60">
        <v>3.59</v>
      </c>
      <c r="G98" s="60">
        <v>103.92</v>
      </c>
      <c r="H98" s="60">
        <v>35.39</v>
      </c>
      <c r="I98" s="60">
        <v>1.1399999999999999</v>
      </c>
      <c r="J98" s="60">
        <v>0.1</v>
      </c>
      <c r="K98" s="60">
        <v>344.95</v>
      </c>
      <c r="L98" s="60">
        <v>27.56</v>
      </c>
      <c r="M98" s="60">
        <v>34.06</v>
      </c>
      <c r="N98" s="60">
        <v>4.8</v>
      </c>
      <c r="O98" s="60">
        <v>0</v>
      </c>
      <c r="P98" s="60">
        <v>2.23</v>
      </c>
      <c r="Q98" s="60">
        <v>17.68</v>
      </c>
      <c r="R98" s="198"/>
      <c r="S98" s="198"/>
      <c r="T98" s="198"/>
      <c r="U98" s="198"/>
    </row>
    <row r="99" spans="1:33" s="12" customFormat="1" x14ac:dyDescent="0.25">
      <c r="A99" s="201" t="s">
        <v>1876</v>
      </c>
      <c r="B99" s="60">
        <v>141.34</v>
      </c>
      <c r="C99" s="60">
        <v>104.07</v>
      </c>
      <c r="D99" s="60">
        <v>171.42</v>
      </c>
      <c r="E99" s="60">
        <v>7.58</v>
      </c>
      <c r="F99" s="60">
        <v>3.44</v>
      </c>
      <c r="G99" s="60">
        <v>103.92</v>
      </c>
      <c r="H99" s="60">
        <v>35.39</v>
      </c>
      <c r="I99" s="60">
        <v>1.1100000000000001</v>
      </c>
      <c r="J99" s="60">
        <v>0.11</v>
      </c>
      <c r="K99" s="60">
        <v>39.590000000000003</v>
      </c>
      <c r="L99" s="60">
        <v>27.15</v>
      </c>
      <c r="M99" s="60">
        <v>37.479999999999997</v>
      </c>
      <c r="N99" s="60">
        <v>4.9000000000000004</v>
      </c>
      <c r="O99" s="60">
        <v>0</v>
      </c>
      <c r="P99" s="60">
        <v>2.71</v>
      </c>
      <c r="Q99" s="60">
        <v>18.47</v>
      </c>
      <c r="R99" s="198"/>
      <c r="S99" s="198"/>
      <c r="T99" s="198"/>
      <c r="U99" s="198"/>
    </row>
    <row r="100" spans="1:33" s="12" customFormat="1" x14ac:dyDescent="0.25">
      <c r="A100" s="201" t="s">
        <v>1877</v>
      </c>
      <c r="B100" s="60">
        <v>137.76</v>
      </c>
      <c r="C100" s="60">
        <v>109.84</v>
      </c>
      <c r="D100" s="60">
        <v>171.74</v>
      </c>
      <c r="E100" s="60">
        <v>7.24</v>
      </c>
      <c r="F100" s="60">
        <v>3.36</v>
      </c>
      <c r="G100" s="60">
        <v>103.92</v>
      </c>
      <c r="H100" s="60">
        <v>35.39</v>
      </c>
      <c r="I100" s="60">
        <v>1.0900000000000001</v>
      </c>
      <c r="J100" s="217" t="s">
        <v>34</v>
      </c>
      <c r="K100" s="60">
        <v>123.12</v>
      </c>
      <c r="L100" s="60">
        <v>26.73</v>
      </c>
      <c r="M100" s="60">
        <v>39.31</v>
      </c>
      <c r="N100" s="60">
        <v>4.9000000000000004</v>
      </c>
      <c r="O100" s="60">
        <v>0</v>
      </c>
      <c r="P100" s="60">
        <v>2.33</v>
      </c>
      <c r="Q100" s="60">
        <v>18.079999999999998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1878</v>
      </c>
      <c r="B101" s="60">
        <v>94.2</v>
      </c>
      <c r="C101" s="60">
        <v>94.3</v>
      </c>
      <c r="D101" s="60">
        <v>128.22999999999999</v>
      </c>
      <c r="E101" s="60">
        <v>7.07</v>
      </c>
      <c r="F101" s="60">
        <v>3.66</v>
      </c>
      <c r="G101" s="60">
        <v>106.4</v>
      </c>
      <c r="H101" s="60">
        <v>36.35</v>
      </c>
      <c r="I101" s="60">
        <v>1.1499999999999999</v>
      </c>
      <c r="J101" s="60">
        <v>0.08</v>
      </c>
      <c r="K101" s="60">
        <v>313.13</v>
      </c>
      <c r="L101" s="60">
        <v>26.48</v>
      </c>
      <c r="M101" s="60">
        <v>36.93</v>
      </c>
      <c r="N101" s="60">
        <v>4.9000000000000004</v>
      </c>
      <c r="O101" s="60">
        <v>0</v>
      </c>
      <c r="P101" s="60">
        <v>2.17</v>
      </c>
      <c r="Q101" s="60">
        <v>22.74</v>
      </c>
      <c r="R101" s="198"/>
      <c r="S101" s="198"/>
      <c r="T101" s="198"/>
      <c r="U101" s="198"/>
    </row>
    <row r="102" spans="1:33" s="12" customFormat="1" x14ac:dyDescent="0.25">
      <c r="A102" s="201" t="s">
        <v>1879</v>
      </c>
      <c r="B102" s="60">
        <v>125.98</v>
      </c>
      <c r="C102" s="60">
        <v>95.03</v>
      </c>
      <c r="D102" s="60">
        <v>154.12</v>
      </c>
      <c r="E102" s="60">
        <v>6.02</v>
      </c>
      <c r="F102" s="60">
        <v>3.61</v>
      </c>
      <c r="G102" s="60">
        <v>119.83</v>
      </c>
      <c r="H102" s="60">
        <v>40.31</v>
      </c>
      <c r="I102" s="60">
        <v>1.1299999999999999</v>
      </c>
      <c r="J102" s="60">
        <v>0.12</v>
      </c>
      <c r="K102" s="60">
        <v>72.22</v>
      </c>
      <c r="L102" s="60">
        <v>26.39</v>
      </c>
      <c r="M102" s="60">
        <v>37.75</v>
      </c>
      <c r="N102" s="60">
        <v>4.7</v>
      </c>
      <c r="O102" s="60">
        <v>0</v>
      </c>
      <c r="P102" s="60">
        <v>1.89</v>
      </c>
      <c r="Q102" s="60">
        <v>24.51</v>
      </c>
      <c r="R102" s="198"/>
      <c r="S102" s="198"/>
      <c r="T102" s="198"/>
      <c r="U102" s="198"/>
    </row>
    <row r="103" spans="1:33" s="12" customFormat="1" x14ac:dyDescent="0.25">
      <c r="A103" s="201" t="s">
        <v>1880</v>
      </c>
      <c r="B103" s="60">
        <v>118.32</v>
      </c>
      <c r="C103" s="60">
        <v>94.49</v>
      </c>
      <c r="D103" s="60">
        <v>147.68</v>
      </c>
      <c r="E103" s="60">
        <v>5.82</v>
      </c>
      <c r="F103" s="60">
        <v>3.43</v>
      </c>
      <c r="G103" s="60">
        <v>119.83</v>
      </c>
      <c r="H103" s="60">
        <v>40.31</v>
      </c>
      <c r="I103" s="60">
        <v>0.94</v>
      </c>
      <c r="J103" s="60">
        <v>0.1</v>
      </c>
      <c r="K103" s="60">
        <v>120.29</v>
      </c>
      <c r="L103" s="60">
        <v>26.39</v>
      </c>
      <c r="M103" s="60">
        <v>37.82</v>
      </c>
      <c r="N103" s="60">
        <v>4.4000000000000004</v>
      </c>
      <c r="O103" s="60">
        <v>0</v>
      </c>
      <c r="P103" s="60">
        <v>1.78</v>
      </c>
      <c r="Q103" s="60">
        <v>23.01</v>
      </c>
      <c r="R103" s="198"/>
      <c r="S103" s="198"/>
      <c r="T103" s="198"/>
      <c r="U103" s="198"/>
    </row>
    <row r="104" spans="1:33" s="12" customFormat="1" x14ac:dyDescent="0.25">
      <c r="A104" s="201" t="s">
        <v>1881</v>
      </c>
      <c r="B104" s="60">
        <v>101.76</v>
      </c>
      <c r="C104" s="60">
        <v>83.32</v>
      </c>
      <c r="D104" s="60">
        <v>128.22999999999999</v>
      </c>
      <c r="E104" s="60">
        <v>3.67</v>
      </c>
      <c r="F104" s="60">
        <v>3.43</v>
      </c>
      <c r="G104" s="60">
        <v>119.83</v>
      </c>
      <c r="H104" s="60">
        <v>40.31</v>
      </c>
      <c r="I104" s="60">
        <v>0.9</v>
      </c>
      <c r="J104" s="60">
        <v>0.03</v>
      </c>
      <c r="K104" s="60">
        <v>80.37</v>
      </c>
      <c r="L104" s="60">
        <v>26.45</v>
      </c>
      <c r="M104" s="60">
        <v>38.18</v>
      </c>
      <c r="N104" s="60">
        <v>4.5</v>
      </c>
      <c r="O104" s="60">
        <v>0</v>
      </c>
      <c r="P104" s="60">
        <v>1.86</v>
      </c>
      <c r="Q104" s="60">
        <v>26.73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1.84</v>
      </c>
      <c r="C106" s="67">
        <f>MIN(C9:C104)</f>
        <v>35.22</v>
      </c>
      <c r="D106" s="67">
        <f t="shared" ref="D106:Q106" si="0">MIN(D9:D104)</f>
        <v>21.69</v>
      </c>
      <c r="E106" s="67">
        <f t="shared" si="0"/>
        <v>2.41</v>
      </c>
      <c r="F106" s="67">
        <f t="shared" si="0"/>
        <v>3.36</v>
      </c>
      <c r="G106" s="67">
        <f t="shared" si="0"/>
        <v>40.96</v>
      </c>
      <c r="H106" s="67">
        <f t="shared" si="0"/>
        <v>15.52</v>
      </c>
      <c r="I106" s="67">
        <f t="shared" si="0"/>
        <v>0.55000000000000004</v>
      </c>
      <c r="J106" s="67">
        <f t="shared" si="0"/>
        <v>0.01</v>
      </c>
      <c r="K106" s="67">
        <f t="shared" si="0"/>
        <v>0.46</v>
      </c>
      <c r="L106" s="67">
        <f t="shared" si="0"/>
        <v>22.67</v>
      </c>
      <c r="M106" s="67">
        <f t="shared" si="0"/>
        <v>11.48</v>
      </c>
      <c r="N106" s="67">
        <f t="shared" si="0"/>
        <v>3.2</v>
      </c>
      <c r="O106" s="67">
        <f t="shared" si="0"/>
        <v>0</v>
      </c>
      <c r="P106" s="67">
        <f t="shared" si="0"/>
        <v>0.6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141.34</v>
      </c>
      <c r="C107" s="66">
        <f t="shared" ref="C107:Q107" si="1">MAX(C9:C104)</f>
        <v>120.27</v>
      </c>
      <c r="D107" s="66">
        <f t="shared" si="1"/>
        <v>171.74</v>
      </c>
      <c r="E107" s="66">
        <f t="shared" si="1"/>
        <v>12.63</v>
      </c>
      <c r="F107" s="66">
        <f t="shared" si="1"/>
        <v>73.599999999999994</v>
      </c>
      <c r="G107" s="66">
        <f t="shared" si="1"/>
        <v>124.31</v>
      </c>
      <c r="H107" s="66">
        <f t="shared" si="1"/>
        <v>59.15</v>
      </c>
      <c r="I107" s="66">
        <f t="shared" si="1"/>
        <v>1.2</v>
      </c>
      <c r="J107" s="66">
        <f t="shared" si="1"/>
        <v>1.44</v>
      </c>
      <c r="K107" s="66">
        <f t="shared" si="1"/>
        <v>359.21</v>
      </c>
      <c r="L107" s="66">
        <f t="shared" si="1"/>
        <v>41.71</v>
      </c>
      <c r="M107" s="66">
        <f t="shared" si="1"/>
        <v>52.17</v>
      </c>
      <c r="N107" s="66">
        <f t="shared" si="1"/>
        <v>872.7</v>
      </c>
      <c r="O107" s="66">
        <f t="shared" si="1"/>
        <v>0</v>
      </c>
      <c r="P107" s="66">
        <f t="shared" si="1"/>
        <v>2.73</v>
      </c>
      <c r="Q107" s="66">
        <f t="shared" si="1"/>
        <v>30.03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27.639166666666664</v>
      </c>
      <c r="C108" s="67">
        <f t="shared" ref="C108:Q108" si="2">AVERAGE(C9:C104)</f>
        <v>60.696249999999992</v>
      </c>
      <c r="D108" s="67">
        <f t="shared" si="2"/>
        <v>56.307812500000004</v>
      </c>
      <c r="E108" s="67">
        <f t="shared" si="2"/>
        <v>5.8635416666666673</v>
      </c>
      <c r="F108" s="67">
        <f t="shared" si="2"/>
        <v>22.520416666666666</v>
      </c>
      <c r="G108" s="67">
        <f t="shared" si="2"/>
        <v>69.580416666666636</v>
      </c>
      <c r="H108" s="67">
        <f t="shared" si="2"/>
        <v>28.443020833333335</v>
      </c>
      <c r="I108" s="67">
        <f t="shared" si="2"/>
        <v>0.74062500000000009</v>
      </c>
      <c r="J108" s="67">
        <f t="shared" si="2"/>
        <v>0.31052631578947376</v>
      </c>
      <c r="K108" s="67">
        <f t="shared" si="2"/>
        <v>202.5142708333334</v>
      </c>
      <c r="L108" s="67">
        <f t="shared" si="2"/>
        <v>31.047604166666662</v>
      </c>
      <c r="M108" s="67">
        <f t="shared" si="2"/>
        <v>29.799791666666664</v>
      </c>
      <c r="N108" s="67">
        <f t="shared" si="2"/>
        <v>236.71354166666671</v>
      </c>
      <c r="O108" s="67">
        <f t="shared" si="2"/>
        <v>0</v>
      </c>
      <c r="P108" s="67">
        <f t="shared" si="2"/>
        <v>1.2296875</v>
      </c>
      <c r="Q108" s="67">
        <f t="shared" si="2"/>
        <v>17.14385416666666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36.021595325923059</v>
      </c>
      <c r="C109" s="67">
        <f t="shared" ref="C109:Q109" si="3">STDEV(C9:C104)</f>
        <v>21.734948682031124</v>
      </c>
      <c r="D109" s="67">
        <f t="shared" si="3"/>
        <v>39.504963504353022</v>
      </c>
      <c r="E109" s="67">
        <f t="shared" si="3"/>
        <v>2.353350569615325</v>
      </c>
      <c r="F109" s="67">
        <f t="shared" si="3"/>
        <v>18.046423696832953</v>
      </c>
      <c r="G109" s="67">
        <f t="shared" si="3"/>
        <v>24.008181233495328</v>
      </c>
      <c r="H109" s="67">
        <f t="shared" si="3"/>
        <v>10.856626995797397</v>
      </c>
      <c r="I109" s="67">
        <f t="shared" si="3"/>
        <v>0.15920071740118652</v>
      </c>
      <c r="J109" s="67">
        <f t="shared" si="3"/>
        <v>0.31688432825181051</v>
      </c>
      <c r="K109" s="67">
        <f t="shared" si="3"/>
        <v>113.74102161207033</v>
      </c>
      <c r="L109" s="67">
        <f t="shared" si="3"/>
        <v>6.1292209077829805</v>
      </c>
      <c r="M109" s="67">
        <f t="shared" si="3"/>
        <v>13.942289246383641</v>
      </c>
      <c r="N109" s="67">
        <f t="shared" si="3"/>
        <v>315.03629953581418</v>
      </c>
      <c r="O109" s="67">
        <f t="shared" si="3"/>
        <v>0</v>
      </c>
      <c r="P109" s="67">
        <f t="shared" si="3"/>
        <v>0.52811572321344813</v>
      </c>
      <c r="Q109" s="67">
        <f t="shared" si="3"/>
        <v>6.0036976973917255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40" sqref="E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1882</v>
      </c>
      <c r="B9" s="64">
        <v>95.93</v>
      </c>
      <c r="C9" s="64">
        <v>79.84</v>
      </c>
      <c r="D9" s="64">
        <v>121.64</v>
      </c>
      <c r="E9" s="64">
        <v>5.87</v>
      </c>
      <c r="F9" s="64">
        <v>3.36</v>
      </c>
      <c r="G9" s="64">
        <v>118.94</v>
      </c>
      <c r="H9" s="64">
        <v>40.450000000000003</v>
      </c>
      <c r="I9" s="64">
        <v>0.89</v>
      </c>
      <c r="J9" s="64">
        <v>0.1</v>
      </c>
      <c r="K9" s="64">
        <v>11.27</v>
      </c>
      <c r="L9" s="64">
        <v>26.13</v>
      </c>
      <c r="M9" s="64">
        <v>40.590000000000003</v>
      </c>
      <c r="N9" s="64">
        <v>4.8</v>
      </c>
      <c r="O9" s="64">
        <v>0</v>
      </c>
      <c r="P9" s="64">
        <v>1.97</v>
      </c>
      <c r="Q9" s="64">
        <v>28.14</v>
      </c>
      <c r="R9" s="198"/>
      <c r="S9" s="198"/>
      <c r="T9" s="198"/>
      <c r="U9" s="198"/>
    </row>
    <row r="10" spans="1:21" s="12" customFormat="1" x14ac:dyDescent="0.25">
      <c r="A10" s="218" t="s">
        <v>1883</v>
      </c>
      <c r="B10" s="64">
        <v>74.650000000000006</v>
      </c>
      <c r="C10" s="64">
        <v>75.63</v>
      </c>
      <c r="D10" s="64">
        <v>102.25</v>
      </c>
      <c r="E10" s="64">
        <v>6.65</v>
      </c>
      <c r="F10" s="64">
        <v>3.59</v>
      </c>
      <c r="G10" s="64">
        <v>114.15</v>
      </c>
      <c r="H10" s="64">
        <v>41.22</v>
      </c>
      <c r="I10" s="64">
        <v>0.87</v>
      </c>
      <c r="J10" s="64">
        <v>0.01</v>
      </c>
      <c r="K10" s="64">
        <v>12.55</v>
      </c>
      <c r="L10" s="64">
        <v>25.91</v>
      </c>
      <c r="M10" s="64">
        <v>37.86</v>
      </c>
      <c r="N10" s="64">
        <v>4.9000000000000004</v>
      </c>
      <c r="O10" s="64">
        <v>0</v>
      </c>
      <c r="P10" s="64">
        <v>1.83</v>
      </c>
      <c r="Q10" s="64">
        <v>29.03</v>
      </c>
      <c r="R10" s="198"/>
      <c r="S10" s="198"/>
      <c r="T10" s="198"/>
      <c r="U10" s="198"/>
    </row>
    <row r="11" spans="1:21" s="12" customFormat="1" x14ac:dyDescent="0.25">
      <c r="A11" s="218" t="s">
        <v>1884</v>
      </c>
      <c r="B11" s="64">
        <v>81.5</v>
      </c>
      <c r="C11" s="64">
        <v>73.599999999999994</v>
      </c>
      <c r="D11" s="64">
        <v>106.62</v>
      </c>
      <c r="E11" s="64">
        <v>5.92</v>
      </c>
      <c r="F11" s="64">
        <v>3.47</v>
      </c>
      <c r="G11" s="64">
        <v>114.15</v>
      </c>
      <c r="H11" s="64">
        <v>41.22</v>
      </c>
      <c r="I11" s="64">
        <v>0.88</v>
      </c>
      <c r="J11" s="64">
        <v>0.08</v>
      </c>
      <c r="K11" s="64">
        <v>335.04</v>
      </c>
      <c r="L11" s="64">
        <v>25.65</v>
      </c>
      <c r="M11" s="64">
        <v>42.2</v>
      </c>
      <c r="N11" s="64">
        <v>4.9000000000000004</v>
      </c>
      <c r="O11" s="64">
        <v>0</v>
      </c>
      <c r="P11" s="64">
        <v>1.88</v>
      </c>
      <c r="Q11" s="64">
        <v>30.05</v>
      </c>
      <c r="R11" s="198"/>
      <c r="S11" s="198"/>
      <c r="T11" s="198"/>
      <c r="U11" s="198"/>
    </row>
    <row r="12" spans="1:21" s="12" customFormat="1" x14ac:dyDescent="0.25">
      <c r="A12" s="218" t="s">
        <v>1885</v>
      </c>
      <c r="B12" s="64">
        <v>61.36</v>
      </c>
      <c r="C12" s="64">
        <v>72.41</v>
      </c>
      <c r="D12" s="64">
        <v>89.81</v>
      </c>
      <c r="E12" s="64">
        <v>6.77</v>
      </c>
      <c r="F12" s="64">
        <v>3.86</v>
      </c>
      <c r="G12" s="64">
        <v>114.15</v>
      </c>
      <c r="H12" s="64">
        <v>41.22</v>
      </c>
      <c r="I12" s="64">
        <v>0.88</v>
      </c>
      <c r="J12" s="64">
        <v>0.1</v>
      </c>
      <c r="K12" s="64">
        <v>319.27999999999997</v>
      </c>
      <c r="L12" s="64">
        <v>25.76</v>
      </c>
      <c r="M12" s="64">
        <v>34.46</v>
      </c>
      <c r="N12" s="64">
        <v>4.5</v>
      </c>
      <c r="O12" s="64">
        <v>0</v>
      </c>
      <c r="P12" s="64">
        <v>1.59</v>
      </c>
      <c r="Q12" s="64">
        <v>30.62</v>
      </c>
      <c r="R12" s="198"/>
      <c r="S12" s="198"/>
      <c r="T12" s="198"/>
      <c r="U12" s="198"/>
    </row>
    <row r="13" spans="1:21" s="12" customFormat="1" x14ac:dyDescent="0.25">
      <c r="A13" s="218" t="s">
        <v>1886</v>
      </c>
      <c r="B13" s="64">
        <v>71.73</v>
      </c>
      <c r="C13" s="64">
        <v>71.739999999999995</v>
      </c>
      <c r="D13" s="64">
        <v>97.76</v>
      </c>
      <c r="E13" s="64">
        <v>7.21</v>
      </c>
      <c r="F13" s="64">
        <v>3.61</v>
      </c>
      <c r="G13" s="64">
        <v>112.97</v>
      </c>
      <c r="H13" s="64">
        <v>40.74</v>
      </c>
      <c r="I13" s="64">
        <v>0.86</v>
      </c>
      <c r="J13" s="64">
        <v>0.12</v>
      </c>
      <c r="K13" s="64">
        <v>3.75</v>
      </c>
      <c r="L13" s="64">
        <v>25.45</v>
      </c>
      <c r="M13" s="64">
        <v>42.33</v>
      </c>
      <c r="N13" s="64">
        <v>4.9000000000000004</v>
      </c>
      <c r="O13" s="64">
        <v>0</v>
      </c>
      <c r="P13" s="64">
        <v>1.59</v>
      </c>
      <c r="Q13" s="64">
        <v>30.12</v>
      </c>
      <c r="R13" s="198"/>
      <c r="S13" s="198"/>
      <c r="T13" s="198"/>
      <c r="U13" s="198"/>
    </row>
    <row r="14" spans="1:21" s="12" customFormat="1" x14ac:dyDescent="0.25">
      <c r="A14" s="218" t="s">
        <v>1887</v>
      </c>
      <c r="B14" s="64">
        <v>62.33</v>
      </c>
      <c r="C14" s="64">
        <v>70.150000000000006</v>
      </c>
      <c r="D14" s="64">
        <v>89.34</v>
      </c>
      <c r="E14" s="64">
        <v>7.02</v>
      </c>
      <c r="F14" s="64">
        <v>3.27</v>
      </c>
      <c r="G14" s="64">
        <v>105.96</v>
      </c>
      <c r="H14" s="64">
        <v>38.770000000000003</v>
      </c>
      <c r="I14" s="64">
        <v>0.79</v>
      </c>
      <c r="J14" s="64">
        <v>0.09</v>
      </c>
      <c r="K14" s="64">
        <v>253.08</v>
      </c>
      <c r="L14" s="64">
        <v>25.18</v>
      </c>
      <c r="M14" s="64">
        <v>40.65</v>
      </c>
      <c r="N14" s="64">
        <v>4.5</v>
      </c>
      <c r="O14" s="64">
        <v>0</v>
      </c>
      <c r="P14" s="64">
        <v>1.53</v>
      </c>
      <c r="Q14" s="64">
        <v>30.08</v>
      </c>
      <c r="R14" s="198"/>
      <c r="S14" s="198"/>
      <c r="T14" s="198"/>
      <c r="U14" s="198"/>
    </row>
    <row r="15" spans="1:21" s="12" customFormat="1" x14ac:dyDescent="0.25">
      <c r="A15" s="218" t="s">
        <v>1888</v>
      </c>
      <c r="B15" s="64">
        <v>55.21</v>
      </c>
      <c r="C15" s="64">
        <v>65.13</v>
      </c>
      <c r="D15" s="64">
        <v>80.86</v>
      </c>
      <c r="E15" s="64">
        <v>7.88</v>
      </c>
      <c r="F15" s="64">
        <v>3.89</v>
      </c>
      <c r="G15" s="64">
        <v>105.96</v>
      </c>
      <c r="H15" s="64">
        <v>38.770000000000003</v>
      </c>
      <c r="I15" s="64">
        <v>0.77</v>
      </c>
      <c r="J15" s="64">
        <v>0.13</v>
      </c>
      <c r="K15" s="64">
        <v>318.89999999999998</v>
      </c>
      <c r="L15" s="64">
        <v>25.22</v>
      </c>
      <c r="M15" s="64">
        <v>40.590000000000003</v>
      </c>
      <c r="N15" s="64">
        <v>4.5</v>
      </c>
      <c r="O15" s="64">
        <v>0</v>
      </c>
      <c r="P15" s="64">
        <v>1.43</v>
      </c>
      <c r="Q15" s="64">
        <v>31.09</v>
      </c>
      <c r="R15" s="198"/>
      <c r="S15" s="198"/>
      <c r="T15" s="198"/>
      <c r="U15" s="198"/>
    </row>
    <row r="16" spans="1:21" s="12" customFormat="1" x14ac:dyDescent="0.25">
      <c r="A16" s="218" t="s">
        <v>1889</v>
      </c>
      <c r="B16" s="64">
        <v>54.47</v>
      </c>
      <c r="C16" s="64">
        <v>61.79</v>
      </c>
      <c r="D16" s="64">
        <v>78.430000000000007</v>
      </c>
      <c r="E16" s="64">
        <v>7.36</v>
      </c>
      <c r="F16" s="64">
        <v>3.9</v>
      </c>
      <c r="G16" s="64">
        <v>105.96</v>
      </c>
      <c r="H16" s="64">
        <v>38.770000000000003</v>
      </c>
      <c r="I16" s="64">
        <v>0.8</v>
      </c>
      <c r="J16" s="64">
        <v>0.09</v>
      </c>
      <c r="K16" s="64">
        <v>3.43</v>
      </c>
      <c r="L16" s="64">
        <v>24.81</v>
      </c>
      <c r="M16" s="64">
        <v>43.3</v>
      </c>
      <c r="N16" s="64">
        <v>5</v>
      </c>
      <c r="O16" s="64">
        <v>0</v>
      </c>
      <c r="P16" s="64">
        <v>1.44</v>
      </c>
      <c r="Q16" s="64">
        <v>31.43</v>
      </c>
      <c r="R16" s="198"/>
      <c r="S16" s="198"/>
      <c r="T16" s="198"/>
      <c r="U16" s="198"/>
    </row>
    <row r="17" spans="1:21" s="12" customFormat="1" x14ac:dyDescent="0.25">
      <c r="A17" s="218" t="s">
        <v>1890</v>
      </c>
      <c r="B17" s="64">
        <v>58.21</v>
      </c>
      <c r="C17" s="64">
        <v>61.3</v>
      </c>
      <c r="D17" s="64">
        <v>81.150000000000006</v>
      </c>
      <c r="E17" s="64">
        <v>5.86</v>
      </c>
      <c r="F17" s="64">
        <v>3.69</v>
      </c>
      <c r="G17" s="64">
        <v>105.41</v>
      </c>
      <c r="H17" s="64">
        <v>38.04</v>
      </c>
      <c r="I17" s="64">
        <v>0.75</v>
      </c>
      <c r="J17" s="64">
        <v>7.0000000000000007E-2</v>
      </c>
      <c r="K17" s="64">
        <v>5.91</v>
      </c>
      <c r="L17" s="64">
        <v>24.2</v>
      </c>
      <c r="M17" s="64">
        <v>45.47</v>
      </c>
      <c r="N17" s="64">
        <v>5.0999999999999996</v>
      </c>
      <c r="O17" s="64">
        <v>0</v>
      </c>
      <c r="P17" s="64">
        <v>1.46</v>
      </c>
      <c r="Q17" s="64">
        <v>31.08</v>
      </c>
      <c r="R17" s="198"/>
      <c r="S17" s="198"/>
      <c r="T17" s="198"/>
      <c r="U17" s="198"/>
    </row>
    <row r="18" spans="1:21" s="12" customFormat="1" x14ac:dyDescent="0.25">
      <c r="A18" s="218" t="s">
        <v>1891</v>
      </c>
      <c r="B18" s="64">
        <v>61.6</v>
      </c>
      <c r="C18" s="64">
        <v>59.1</v>
      </c>
      <c r="D18" s="64">
        <v>82.66</v>
      </c>
      <c r="E18" s="64">
        <v>5.42</v>
      </c>
      <c r="F18" s="64">
        <v>3.35</v>
      </c>
      <c r="G18" s="64">
        <v>102.2</v>
      </c>
      <c r="H18" s="64">
        <v>34.979999999999997</v>
      </c>
      <c r="I18" s="64">
        <v>0.78</v>
      </c>
      <c r="J18" s="64">
        <v>0.09</v>
      </c>
      <c r="K18" s="64">
        <v>49.96</v>
      </c>
      <c r="L18" s="64">
        <v>24.22</v>
      </c>
      <c r="M18" s="64">
        <v>47</v>
      </c>
      <c r="N18" s="64">
        <v>5</v>
      </c>
      <c r="O18" s="64">
        <v>0</v>
      </c>
      <c r="P18" s="64">
        <v>1.48</v>
      </c>
      <c r="Q18" s="64">
        <v>31.41</v>
      </c>
      <c r="R18" s="198"/>
      <c r="S18" s="198"/>
      <c r="T18" s="198"/>
      <c r="U18" s="198"/>
    </row>
    <row r="19" spans="1:21" s="12" customFormat="1" x14ac:dyDescent="0.25">
      <c r="A19" s="218" t="s">
        <v>1892</v>
      </c>
      <c r="B19" s="64">
        <v>58.77</v>
      </c>
      <c r="C19" s="64">
        <v>57.27</v>
      </c>
      <c r="D19" s="64">
        <v>79.37</v>
      </c>
      <c r="E19" s="64">
        <v>5.12</v>
      </c>
      <c r="F19" s="64">
        <v>3.24</v>
      </c>
      <c r="G19" s="64">
        <v>102.2</v>
      </c>
      <c r="H19" s="64">
        <v>34.979999999999997</v>
      </c>
      <c r="I19" s="64">
        <v>0.8</v>
      </c>
      <c r="J19" s="64">
        <v>0.1</v>
      </c>
      <c r="K19" s="64">
        <v>314.83999999999997</v>
      </c>
      <c r="L19" s="64">
        <v>24.26</v>
      </c>
      <c r="M19" s="64">
        <v>48</v>
      </c>
      <c r="N19" s="64">
        <v>4.5</v>
      </c>
      <c r="O19" s="64">
        <v>0</v>
      </c>
      <c r="P19" s="64">
        <v>1.44</v>
      </c>
      <c r="Q19" s="64">
        <v>30.52</v>
      </c>
      <c r="R19" s="198"/>
      <c r="S19" s="198"/>
      <c r="T19" s="198"/>
      <c r="U19" s="198"/>
    </row>
    <row r="20" spans="1:21" s="12" customFormat="1" x14ac:dyDescent="0.25">
      <c r="A20" s="218" t="s">
        <v>1893</v>
      </c>
      <c r="B20" s="64">
        <v>58.92</v>
      </c>
      <c r="C20" s="64">
        <v>53.08</v>
      </c>
      <c r="D20" s="64">
        <v>77.19</v>
      </c>
      <c r="E20" s="64">
        <v>4.3099999999999996</v>
      </c>
      <c r="F20" s="64">
        <v>3.35</v>
      </c>
      <c r="G20" s="64">
        <v>102.2</v>
      </c>
      <c r="H20" s="64">
        <v>34.979999999999997</v>
      </c>
      <c r="I20" s="64">
        <v>0.8</v>
      </c>
      <c r="J20" s="64">
        <v>0.12</v>
      </c>
      <c r="K20" s="64">
        <v>348.4</v>
      </c>
      <c r="L20" s="64">
        <v>24</v>
      </c>
      <c r="M20" s="64">
        <v>49.99</v>
      </c>
      <c r="N20" s="64">
        <v>4.8</v>
      </c>
      <c r="O20" s="64">
        <v>0</v>
      </c>
      <c r="P20" s="64">
        <v>1.47</v>
      </c>
      <c r="Q20" s="64">
        <v>30.09</v>
      </c>
      <c r="R20" s="198"/>
      <c r="S20" s="198"/>
      <c r="T20" s="198"/>
      <c r="U20" s="198"/>
    </row>
    <row r="21" spans="1:21" s="12" customFormat="1" x14ac:dyDescent="0.25">
      <c r="A21" s="218" t="s">
        <v>1894</v>
      </c>
      <c r="B21" s="64">
        <v>50.59</v>
      </c>
      <c r="C21" s="64">
        <v>53.24</v>
      </c>
      <c r="D21" s="64">
        <v>70.59</v>
      </c>
      <c r="E21" s="64">
        <v>4.3899999999999997</v>
      </c>
      <c r="F21" s="64">
        <v>3.54</v>
      </c>
      <c r="G21" s="64">
        <v>102.15</v>
      </c>
      <c r="H21" s="64">
        <v>35.68</v>
      </c>
      <c r="I21" s="64">
        <v>0.81</v>
      </c>
      <c r="J21" s="64">
        <v>0.18</v>
      </c>
      <c r="K21" s="64">
        <v>305.88</v>
      </c>
      <c r="L21" s="64">
        <v>24.01</v>
      </c>
      <c r="M21" s="64">
        <v>45.66</v>
      </c>
      <c r="N21" s="64">
        <v>4.3</v>
      </c>
      <c r="O21" s="64">
        <v>0</v>
      </c>
      <c r="P21" s="64">
        <v>1.35</v>
      </c>
      <c r="Q21" s="64">
        <v>29.9</v>
      </c>
      <c r="R21" s="198"/>
      <c r="S21" s="198"/>
      <c r="T21" s="198"/>
      <c r="U21" s="198"/>
    </row>
    <row r="22" spans="1:21" s="12" customFormat="1" x14ac:dyDescent="0.25">
      <c r="A22" s="218" t="s">
        <v>1895</v>
      </c>
      <c r="B22" s="64">
        <v>54.6</v>
      </c>
      <c r="C22" s="64">
        <v>52.65</v>
      </c>
      <c r="D22" s="64">
        <v>73.48</v>
      </c>
      <c r="E22" s="64">
        <v>4.75</v>
      </c>
      <c r="F22" s="64">
        <v>4.08</v>
      </c>
      <c r="G22" s="64">
        <v>101.84</v>
      </c>
      <c r="H22" s="64">
        <v>38.58</v>
      </c>
      <c r="I22" s="64">
        <v>0.81</v>
      </c>
      <c r="J22" s="64">
        <v>0.33</v>
      </c>
      <c r="K22" s="64">
        <v>257.7</v>
      </c>
      <c r="L22" s="64">
        <v>24.58</v>
      </c>
      <c r="M22" s="64">
        <v>41.43</v>
      </c>
      <c r="N22" s="64">
        <v>3.3</v>
      </c>
      <c r="O22" s="64">
        <v>0</v>
      </c>
      <c r="P22" s="64">
        <v>1.34</v>
      </c>
      <c r="Q22" s="64">
        <v>28.97</v>
      </c>
      <c r="R22" s="198"/>
      <c r="S22" s="198"/>
      <c r="T22" s="198"/>
      <c r="U22" s="198"/>
    </row>
    <row r="23" spans="1:21" s="12" customFormat="1" x14ac:dyDescent="0.25">
      <c r="A23" s="218" t="s">
        <v>1896</v>
      </c>
      <c r="B23" s="64">
        <v>44.29</v>
      </c>
      <c r="C23" s="64">
        <v>45.5</v>
      </c>
      <c r="D23" s="64">
        <v>61.28</v>
      </c>
      <c r="E23" s="64">
        <v>4.6900000000000004</v>
      </c>
      <c r="F23" s="64">
        <v>7.49</v>
      </c>
      <c r="G23" s="64">
        <v>101.84</v>
      </c>
      <c r="H23" s="64">
        <v>38.58</v>
      </c>
      <c r="I23" s="64">
        <v>0.77</v>
      </c>
      <c r="J23" s="64">
        <v>0.19</v>
      </c>
      <c r="K23" s="64">
        <v>267.77</v>
      </c>
      <c r="L23" s="64">
        <v>25.15</v>
      </c>
      <c r="M23" s="64">
        <v>37.9</v>
      </c>
      <c r="N23" s="64">
        <v>4.2</v>
      </c>
      <c r="O23" s="64">
        <v>0</v>
      </c>
      <c r="P23" s="64">
        <v>1.23</v>
      </c>
      <c r="Q23" s="64">
        <v>28.86</v>
      </c>
      <c r="R23" s="198"/>
      <c r="S23" s="198"/>
      <c r="T23" s="198"/>
      <c r="U23" s="198"/>
    </row>
    <row r="24" spans="1:21" s="12" customFormat="1" x14ac:dyDescent="0.25">
      <c r="A24" s="218" t="s">
        <v>1897</v>
      </c>
      <c r="B24" s="64">
        <v>42.83</v>
      </c>
      <c r="C24" s="64">
        <v>45.44</v>
      </c>
      <c r="D24" s="64">
        <v>60.07</v>
      </c>
      <c r="E24" s="64">
        <v>2.99</v>
      </c>
      <c r="F24" s="64">
        <v>7.53</v>
      </c>
      <c r="G24" s="64">
        <v>101.84</v>
      </c>
      <c r="H24" s="64">
        <v>38.58</v>
      </c>
      <c r="I24" s="64">
        <v>0.75</v>
      </c>
      <c r="J24" s="64">
        <v>0.12</v>
      </c>
      <c r="K24" s="64">
        <v>263.45</v>
      </c>
      <c r="L24" s="64">
        <v>24.78</v>
      </c>
      <c r="M24" s="64">
        <v>39.76</v>
      </c>
      <c r="N24" s="64">
        <v>4.5999999999999996</v>
      </c>
      <c r="O24" s="64">
        <v>0</v>
      </c>
      <c r="P24" s="64">
        <v>1.19</v>
      </c>
      <c r="Q24" s="64">
        <v>28.05</v>
      </c>
      <c r="R24" s="198"/>
      <c r="S24" s="198"/>
      <c r="T24" s="198"/>
      <c r="U24" s="198"/>
    </row>
    <row r="25" spans="1:21" s="12" customFormat="1" x14ac:dyDescent="0.25">
      <c r="A25" s="218" t="s">
        <v>1898</v>
      </c>
      <c r="B25" s="64">
        <v>36.659999999999997</v>
      </c>
      <c r="C25" s="64">
        <v>42.73</v>
      </c>
      <c r="D25" s="64">
        <v>53.62</v>
      </c>
      <c r="E25" s="64">
        <v>4.6399999999999997</v>
      </c>
      <c r="F25" s="64">
        <v>10.28</v>
      </c>
      <c r="G25" s="64">
        <v>99.49</v>
      </c>
      <c r="H25" s="64">
        <v>38.11</v>
      </c>
      <c r="I25" s="64">
        <v>0.75</v>
      </c>
      <c r="J25" s="64">
        <v>0.15</v>
      </c>
      <c r="K25" s="64">
        <v>352.03</v>
      </c>
      <c r="L25" s="64">
        <v>24.09</v>
      </c>
      <c r="M25" s="64">
        <v>41.56</v>
      </c>
      <c r="N25" s="64">
        <v>4.9000000000000004</v>
      </c>
      <c r="O25" s="64">
        <v>0</v>
      </c>
      <c r="P25" s="64">
        <v>1.1200000000000001</v>
      </c>
      <c r="Q25" s="64">
        <v>28.15</v>
      </c>
      <c r="R25" s="198"/>
      <c r="S25" s="198"/>
      <c r="T25" s="198"/>
      <c r="U25" s="198"/>
    </row>
    <row r="26" spans="1:21" s="12" customFormat="1" x14ac:dyDescent="0.25">
      <c r="A26" s="218" t="s">
        <v>1899</v>
      </c>
      <c r="B26" s="64">
        <v>36.18</v>
      </c>
      <c r="C26" s="64">
        <v>48.98</v>
      </c>
      <c r="D26" s="64">
        <v>56.69</v>
      </c>
      <c r="E26" s="64">
        <v>4.95</v>
      </c>
      <c r="F26" s="64">
        <v>8.24</v>
      </c>
      <c r="G26" s="64">
        <v>85.6</v>
      </c>
      <c r="H26" s="64">
        <v>35.36</v>
      </c>
      <c r="I26" s="64">
        <v>0.69</v>
      </c>
      <c r="J26" s="64">
        <v>0.12</v>
      </c>
      <c r="K26" s="64">
        <v>332.02</v>
      </c>
      <c r="L26" s="64">
        <v>23.76</v>
      </c>
      <c r="M26" s="64">
        <v>41.8</v>
      </c>
      <c r="N26" s="64">
        <v>4.7</v>
      </c>
      <c r="O26" s="64">
        <v>0</v>
      </c>
      <c r="P26" s="64">
        <v>1.07</v>
      </c>
      <c r="Q26" s="64">
        <v>27.91</v>
      </c>
      <c r="R26" s="198"/>
      <c r="S26" s="198"/>
      <c r="T26" s="198"/>
      <c r="U26" s="198"/>
    </row>
    <row r="27" spans="1:21" s="12" customFormat="1" x14ac:dyDescent="0.25">
      <c r="A27" s="218" t="s">
        <v>1900</v>
      </c>
      <c r="B27" s="64">
        <v>35.57</v>
      </c>
      <c r="C27" s="64">
        <v>49.6</v>
      </c>
      <c r="D27" s="64">
        <v>56.55</v>
      </c>
      <c r="E27" s="64">
        <v>5.49</v>
      </c>
      <c r="F27" s="64">
        <v>9.2100000000000009</v>
      </c>
      <c r="G27" s="64">
        <v>85.6</v>
      </c>
      <c r="H27" s="64">
        <v>35.36</v>
      </c>
      <c r="I27" s="64">
        <v>0.65</v>
      </c>
      <c r="J27" s="64">
        <v>0.1</v>
      </c>
      <c r="K27" s="64">
        <v>318.55</v>
      </c>
      <c r="L27" s="64">
        <v>24.16</v>
      </c>
      <c r="M27" s="64">
        <v>39.380000000000003</v>
      </c>
      <c r="N27" s="64">
        <v>4.5</v>
      </c>
      <c r="O27" s="64">
        <v>0</v>
      </c>
      <c r="P27" s="64">
        <v>1.05</v>
      </c>
      <c r="Q27" s="64">
        <v>27.9</v>
      </c>
      <c r="R27" s="198"/>
      <c r="S27" s="198"/>
      <c r="T27" s="198"/>
      <c r="U27" s="198"/>
    </row>
    <row r="28" spans="1:21" s="12" customFormat="1" x14ac:dyDescent="0.25">
      <c r="A28" s="218" t="s">
        <v>1901</v>
      </c>
      <c r="B28" s="64">
        <v>36.700000000000003</v>
      </c>
      <c r="C28" s="64">
        <v>54.61</v>
      </c>
      <c r="D28" s="64">
        <v>60.21</v>
      </c>
      <c r="E28" s="64">
        <v>5.88</v>
      </c>
      <c r="F28" s="64">
        <v>8.2799999999999994</v>
      </c>
      <c r="G28" s="64">
        <v>85.6</v>
      </c>
      <c r="H28" s="64">
        <v>35.36</v>
      </c>
      <c r="I28" s="64">
        <v>0.67</v>
      </c>
      <c r="J28" s="64">
        <v>0.09</v>
      </c>
      <c r="K28" s="64">
        <v>337.27</v>
      </c>
      <c r="L28" s="64">
        <v>24.15</v>
      </c>
      <c r="M28" s="64">
        <v>38.35</v>
      </c>
      <c r="N28" s="64">
        <v>4.5999999999999996</v>
      </c>
      <c r="O28" s="64">
        <v>0</v>
      </c>
      <c r="P28" s="64">
        <v>1.0900000000000001</v>
      </c>
      <c r="Q28" s="64">
        <v>27.85</v>
      </c>
      <c r="R28" s="198"/>
      <c r="S28" s="198"/>
      <c r="T28" s="198"/>
      <c r="U28" s="198"/>
    </row>
    <row r="29" spans="1:21" s="12" customFormat="1" x14ac:dyDescent="0.25">
      <c r="A29" s="218" t="s">
        <v>1902</v>
      </c>
      <c r="B29" s="64">
        <v>40.200000000000003</v>
      </c>
      <c r="C29" s="64">
        <v>48.13</v>
      </c>
      <c r="D29" s="64">
        <v>59.45</v>
      </c>
      <c r="E29" s="64">
        <v>4.97</v>
      </c>
      <c r="F29" s="64">
        <v>6.56</v>
      </c>
      <c r="G29" s="64">
        <v>83.88</v>
      </c>
      <c r="H29" s="64">
        <v>34.82</v>
      </c>
      <c r="I29" s="64">
        <v>0.68</v>
      </c>
      <c r="J29" s="64">
        <v>0.17</v>
      </c>
      <c r="K29" s="64">
        <v>271.85000000000002</v>
      </c>
      <c r="L29" s="64">
        <v>24.29</v>
      </c>
      <c r="M29" s="64">
        <v>39.479999999999997</v>
      </c>
      <c r="N29" s="64">
        <v>4.2</v>
      </c>
      <c r="O29" s="64">
        <v>0</v>
      </c>
      <c r="P29" s="64">
        <v>1.1399999999999999</v>
      </c>
      <c r="Q29" s="64">
        <v>28.44</v>
      </c>
      <c r="R29" s="198"/>
      <c r="S29" s="198"/>
      <c r="T29" s="198"/>
      <c r="U29" s="198"/>
    </row>
    <row r="30" spans="1:21" s="12" customFormat="1" x14ac:dyDescent="0.25">
      <c r="A30" s="218" t="s">
        <v>1903</v>
      </c>
      <c r="B30" s="64">
        <v>39.58</v>
      </c>
      <c r="C30" s="64">
        <v>48.76</v>
      </c>
      <c r="D30" s="64">
        <v>59.3</v>
      </c>
      <c r="E30" s="64">
        <v>3.77</v>
      </c>
      <c r="F30" s="64">
        <v>5.36</v>
      </c>
      <c r="G30" s="64">
        <v>73.69</v>
      </c>
      <c r="H30" s="64">
        <v>31.66</v>
      </c>
      <c r="I30" s="64">
        <v>0.68</v>
      </c>
      <c r="J30" s="64">
        <v>0.26</v>
      </c>
      <c r="K30" s="64">
        <v>259.33</v>
      </c>
      <c r="L30" s="64">
        <v>24.54</v>
      </c>
      <c r="M30" s="64">
        <v>38.119999999999997</v>
      </c>
      <c r="N30" s="64">
        <v>4.4000000000000004</v>
      </c>
      <c r="O30" s="64">
        <v>0</v>
      </c>
      <c r="P30" s="64">
        <v>1.17</v>
      </c>
      <c r="Q30" s="64">
        <v>28.26</v>
      </c>
      <c r="R30" s="198"/>
      <c r="S30" s="198"/>
      <c r="T30" s="198"/>
      <c r="U30" s="198"/>
    </row>
    <row r="31" spans="1:21" s="12" customFormat="1" x14ac:dyDescent="0.25">
      <c r="A31" s="218" t="s">
        <v>1904</v>
      </c>
      <c r="B31" s="64">
        <v>37.270000000000003</v>
      </c>
      <c r="C31" s="64">
        <v>47.47</v>
      </c>
      <c r="D31" s="64">
        <v>56.73</v>
      </c>
      <c r="E31" s="64">
        <v>3.44</v>
      </c>
      <c r="F31" s="64">
        <v>5.45</v>
      </c>
      <c r="G31" s="64">
        <v>73.69</v>
      </c>
      <c r="H31" s="64">
        <v>31.66</v>
      </c>
      <c r="I31" s="64">
        <v>0.72</v>
      </c>
      <c r="J31" s="64">
        <v>0.41</v>
      </c>
      <c r="K31" s="64">
        <v>248.89</v>
      </c>
      <c r="L31" s="64">
        <v>24.48</v>
      </c>
      <c r="M31" s="64">
        <v>40.31</v>
      </c>
      <c r="N31" s="64">
        <v>13.3</v>
      </c>
      <c r="O31" s="64">
        <v>0</v>
      </c>
      <c r="P31" s="64">
        <v>1.1599999999999999</v>
      </c>
      <c r="Q31" s="64">
        <v>27.62</v>
      </c>
      <c r="R31" s="198"/>
      <c r="S31" s="198"/>
      <c r="T31" s="198"/>
      <c r="U31" s="198"/>
    </row>
    <row r="32" spans="1:21" s="12" customFormat="1" x14ac:dyDescent="0.25">
      <c r="A32" s="218" t="s">
        <v>1905</v>
      </c>
      <c r="B32" s="64">
        <v>35.15</v>
      </c>
      <c r="C32" s="64">
        <v>47.08</v>
      </c>
      <c r="D32" s="64">
        <v>54.82</v>
      </c>
      <c r="E32" s="64">
        <v>3.39</v>
      </c>
      <c r="F32" s="64">
        <v>5.01</v>
      </c>
      <c r="G32" s="64">
        <v>73.69</v>
      </c>
      <c r="H32" s="64">
        <v>31.66</v>
      </c>
      <c r="I32" s="64">
        <v>0.75</v>
      </c>
      <c r="J32" s="64">
        <v>0.31</v>
      </c>
      <c r="K32" s="64">
        <v>259.68</v>
      </c>
      <c r="L32" s="64">
        <v>24.43</v>
      </c>
      <c r="M32" s="64">
        <v>41.5</v>
      </c>
      <c r="N32" s="64">
        <v>30.1</v>
      </c>
      <c r="O32" s="64">
        <v>0</v>
      </c>
      <c r="P32" s="64">
        <v>1.1100000000000001</v>
      </c>
      <c r="Q32" s="64">
        <v>27.11</v>
      </c>
      <c r="R32" s="198"/>
      <c r="S32" s="198"/>
      <c r="T32" s="198"/>
      <c r="U32" s="198"/>
    </row>
    <row r="33" spans="1:21" s="12" customFormat="1" x14ac:dyDescent="0.25">
      <c r="A33" s="218" t="s">
        <v>1906</v>
      </c>
      <c r="B33" s="64">
        <v>33.28</v>
      </c>
      <c r="C33" s="64">
        <v>48.43</v>
      </c>
      <c r="D33" s="64">
        <v>54.06</v>
      </c>
      <c r="E33" s="64">
        <v>3.09</v>
      </c>
      <c r="F33" s="64">
        <v>5.33</v>
      </c>
      <c r="G33" s="64">
        <v>73.510000000000005</v>
      </c>
      <c r="H33" s="64">
        <v>31.47</v>
      </c>
      <c r="I33" s="64">
        <v>0.79</v>
      </c>
      <c r="J33" s="64">
        <v>0.09</v>
      </c>
      <c r="K33" s="64">
        <v>345.93</v>
      </c>
      <c r="L33" s="64">
        <v>24.69</v>
      </c>
      <c r="M33" s="64">
        <v>40.51</v>
      </c>
      <c r="N33" s="64">
        <v>50</v>
      </c>
      <c r="O33" s="64">
        <v>0</v>
      </c>
      <c r="P33" s="64">
        <v>1.0900000000000001</v>
      </c>
      <c r="Q33" s="64">
        <v>26.25</v>
      </c>
      <c r="R33" s="198"/>
      <c r="S33" s="198"/>
      <c r="T33" s="198"/>
      <c r="U33" s="198"/>
    </row>
    <row r="34" spans="1:21" s="12" customFormat="1" x14ac:dyDescent="0.25">
      <c r="A34" s="218" t="s">
        <v>1907</v>
      </c>
      <c r="B34" s="64">
        <v>30.43</v>
      </c>
      <c r="C34" s="64">
        <v>48.49</v>
      </c>
      <c r="D34" s="64">
        <v>51.81</v>
      </c>
      <c r="E34" s="64">
        <v>3.17</v>
      </c>
      <c r="F34" s="64">
        <v>6.52</v>
      </c>
      <c r="G34" s="64">
        <v>72.48</v>
      </c>
      <c r="H34" s="64">
        <v>30.42</v>
      </c>
      <c r="I34" s="64">
        <v>0.72</v>
      </c>
      <c r="J34" s="64">
        <v>0.39</v>
      </c>
      <c r="K34" s="64">
        <v>245.31</v>
      </c>
      <c r="L34" s="64">
        <v>24.89</v>
      </c>
      <c r="M34" s="64">
        <v>41.37</v>
      </c>
      <c r="N34" s="64">
        <v>66.099999999999994</v>
      </c>
      <c r="O34" s="64">
        <v>0</v>
      </c>
      <c r="P34" s="64">
        <v>1.1100000000000001</v>
      </c>
      <c r="Q34" s="64">
        <v>25.7</v>
      </c>
      <c r="R34" s="198"/>
      <c r="S34" s="198"/>
      <c r="T34" s="198"/>
      <c r="U34" s="198"/>
    </row>
    <row r="35" spans="1:21" s="12" customFormat="1" x14ac:dyDescent="0.25">
      <c r="A35" s="218" t="s">
        <v>1908</v>
      </c>
      <c r="B35" s="64">
        <v>33.1</v>
      </c>
      <c r="C35" s="64">
        <v>47.99</v>
      </c>
      <c r="D35" s="64">
        <v>53.67</v>
      </c>
      <c r="E35" s="64">
        <v>2.54</v>
      </c>
      <c r="F35" s="64">
        <v>4.7</v>
      </c>
      <c r="G35" s="64">
        <v>72.48</v>
      </c>
      <c r="H35" s="64">
        <v>30.42</v>
      </c>
      <c r="I35" s="64">
        <v>0.73</v>
      </c>
      <c r="J35" s="64">
        <v>0.31</v>
      </c>
      <c r="K35" s="64">
        <v>238.47</v>
      </c>
      <c r="L35" s="64">
        <v>24.84</v>
      </c>
      <c r="M35" s="64">
        <v>44.44</v>
      </c>
      <c r="N35" s="64">
        <v>89.6</v>
      </c>
      <c r="O35" s="64">
        <v>0</v>
      </c>
      <c r="P35" s="64">
        <v>1.1200000000000001</v>
      </c>
      <c r="Q35" s="64">
        <v>25</v>
      </c>
      <c r="R35" s="198"/>
      <c r="S35" s="198"/>
      <c r="T35" s="198"/>
      <c r="U35" s="198"/>
    </row>
    <row r="36" spans="1:21" s="12" customFormat="1" x14ac:dyDescent="0.25">
      <c r="A36" s="218" t="s">
        <v>1909</v>
      </c>
      <c r="B36" s="64">
        <v>27.09</v>
      </c>
      <c r="C36" s="64">
        <v>45.81</v>
      </c>
      <c r="D36" s="64">
        <v>47.66</v>
      </c>
      <c r="E36" s="64">
        <v>3.07</v>
      </c>
      <c r="F36" s="64">
        <v>8.42</v>
      </c>
      <c r="G36" s="64">
        <v>72.48</v>
      </c>
      <c r="H36" s="64">
        <v>30.42</v>
      </c>
      <c r="I36" s="64">
        <v>0.7</v>
      </c>
      <c r="J36" s="64">
        <v>0.28000000000000003</v>
      </c>
      <c r="K36" s="64">
        <v>209.77</v>
      </c>
      <c r="L36" s="64">
        <v>25.24</v>
      </c>
      <c r="M36" s="64">
        <v>44.08</v>
      </c>
      <c r="N36" s="64">
        <v>106.6</v>
      </c>
      <c r="O36" s="64">
        <v>0</v>
      </c>
      <c r="P36" s="64">
        <v>1.03</v>
      </c>
      <c r="Q36" s="64">
        <v>24.04</v>
      </c>
      <c r="R36" s="198"/>
      <c r="S36" s="198"/>
      <c r="T36" s="198"/>
      <c r="U36" s="198"/>
    </row>
    <row r="37" spans="1:21" s="12" customFormat="1" x14ac:dyDescent="0.25">
      <c r="A37" s="218" t="s">
        <v>1910</v>
      </c>
      <c r="B37" s="64">
        <v>25.97</v>
      </c>
      <c r="C37" s="64">
        <v>46.44</v>
      </c>
      <c r="D37" s="64">
        <v>47.1</v>
      </c>
      <c r="E37" s="64">
        <v>4.04</v>
      </c>
      <c r="F37" s="64">
        <v>9.73</v>
      </c>
      <c r="G37" s="64">
        <v>71.2</v>
      </c>
      <c r="H37" s="64">
        <v>30.7</v>
      </c>
      <c r="I37" s="64">
        <v>0.71</v>
      </c>
      <c r="J37" s="64">
        <v>0.18</v>
      </c>
      <c r="K37" s="64">
        <v>201.15</v>
      </c>
      <c r="L37" s="64">
        <v>26.26</v>
      </c>
      <c r="M37" s="64">
        <v>42.61</v>
      </c>
      <c r="N37" s="64">
        <v>150.4</v>
      </c>
      <c r="O37" s="64">
        <v>0</v>
      </c>
      <c r="P37" s="64">
        <v>1.01</v>
      </c>
      <c r="Q37" s="64">
        <v>23.67</v>
      </c>
      <c r="R37" s="198"/>
      <c r="S37" s="198"/>
      <c r="T37" s="198"/>
      <c r="U37" s="198"/>
    </row>
    <row r="38" spans="1:21" s="12" customFormat="1" x14ac:dyDescent="0.25">
      <c r="A38" s="218" t="s">
        <v>1911</v>
      </c>
      <c r="B38" s="64">
        <v>24.98</v>
      </c>
      <c r="C38" s="64">
        <v>46.35</v>
      </c>
      <c r="D38" s="64">
        <v>46.25</v>
      </c>
      <c r="E38" s="64">
        <v>4.3</v>
      </c>
      <c r="F38" s="64">
        <v>10.78</v>
      </c>
      <c r="G38" s="64">
        <v>63.64</v>
      </c>
      <c r="H38" s="64">
        <v>31.85</v>
      </c>
      <c r="I38" s="64">
        <v>0.65</v>
      </c>
      <c r="J38" s="64">
        <v>0.09</v>
      </c>
      <c r="K38" s="64">
        <v>266.58</v>
      </c>
      <c r="L38" s="64">
        <v>26.59</v>
      </c>
      <c r="M38" s="64">
        <v>40.6</v>
      </c>
      <c r="N38" s="64">
        <v>134.6</v>
      </c>
      <c r="O38" s="64">
        <v>0</v>
      </c>
      <c r="P38" s="64">
        <v>1.06</v>
      </c>
      <c r="Q38" s="64">
        <v>24.13</v>
      </c>
      <c r="R38" s="198"/>
      <c r="S38" s="198"/>
      <c r="T38" s="198"/>
      <c r="U38" s="198"/>
    </row>
    <row r="39" spans="1:21" s="12" customFormat="1" x14ac:dyDescent="0.25">
      <c r="A39" s="218" t="s">
        <v>1912</v>
      </c>
      <c r="B39" s="64">
        <v>24.48</v>
      </c>
      <c r="C39" s="64">
        <v>54.64</v>
      </c>
      <c r="D39" s="64">
        <v>50.44</v>
      </c>
      <c r="E39" s="64">
        <v>4.8899999999999997</v>
      </c>
      <c r="F39" s="64">
        <v>8.9700000000000006</v>
      </c>
      <c r="G39" s="64">
        <v>63.64</v>
      </c>
      <c r="H39" s="64">
        <v>31.85</v>
      </c>
      <c r="I39" s="64">
        <v>0.65</v>
      </c>
      <c r="J39" s="64">
        <v>0.08</v>
      </c>
      <c r="K39" s="64">
        <v>35.24</v>
      </c>
      <c r="L39" s="64">
        <v>26.98</v>
      </c>
      <c r="M39" s="64">
        <v>39.369999999999997</v>
      </c>
      <c r="N39" s="64">
        <v>203.5</v>
      </c>
      <c r="O39" s="64">
        <v>0</v>
      </c>
      <c r="P39" s="64">
        <v>1.1399999999999999</v>
      </c>
      <c r="Q39" s="64">
        <v>24.42</v>
      </c>
      <c r="R39" s="198"/>
      <c r="S39" s="198"/>
      <c r="T39" s="198"/>
      <c r="U39" s="198"/>
    </row>
    <row r="40" spans="1:21" s="12" customFormat="1" x14ac:dyDescent="0.25">
      <c r="A40" s="218" t="s">
        <v>1913</v>
      </c>
      <c r="B40" s="64">
        <v>26.62</v>
      </c>
      <c r="C40" s="64">
        <v>57.03</v>
      </c>
      <c r="D40" s="64">
        <v>53.47</v>
      </c>
      <c r="E40" s="64">
        <v>2.1800000000000002</v>
      </c>
      <c r="F40" s="64">
        <v>9.0399999999999991</v>
      </c>
      <c r="G40" s="64">
        <v>63.64</v>
      </c>
      <c r="H40" s="64">
        <v>31.85</v>
      </c>
      <c r="I40" s="64">
        <v>0.63</v>
      </c>
      <c r="J40" s="64">
        <v>0.08</v>
      </c>
      <c r="K40" s="64">
        <v>27.25</v>
      </c>
      <c r="L40" s="64">
        <v>29.2</v>
      </c>
      <c r="M40" s="64">
        <v>35.51</v>
      </c>
      <c r="N40" s="64">
        <v>349.2</v>
      </c>
      <c r="O40" s="64">
        <v>0</v>
      </c>
      <c r="P40" s="64">
        <v>1.17</v>
      </c>
      <c r="Q40" s="64">
        <v>24.53</v>
      </c>
      <c r="R40" s="198"/>
      <c r="S40" s="198"/>
      <c r="T40" s="198"/>
      <c r="U40" s="198"/>
    </row>
    <row r="41" spans="1:21" s="12" customFormat="1" x14ac:dyDescent="0.25">
      <c r="A41" s="218" t="s">
        <v>1914</v>
      </c>
      <c r="B41" s="64">
        <v>24.69</v>
      </c>
      <c r="C41" s="64">
        <v>50.61</v>
      </c>
      <c r="D41" s="64">
        <v>48.38</v>
      </c>
      <c r="E41" s="64">
        <v>2.83</v>
      </c>
      <c r="F41" s="64">
        <v>8.36</v>
      </c>
      <c r="G41" s="64">
        <v>66.72</v>
      </c>
      <c r="H41" s="64">
        <v>31.89</v>
      </c>
      <c r="I41" s="64">
        <v>0.65</v>
      </c>
      <c r="J41" s="64">
        <v>0.34</v>
      </c>
      <c r="K41" s="64">
        <v>13.63</v>
      </c>
      <c r="L41" s="64">
        <v>31.58</v>
      </c>
      <c r="M41" s="64">
        <v>32.21</v>
      </c>
      <c r="N41" s="64">
        <v>361</v>
      </c>
      <c r="O41" s="64">
        <v>0</v>
      </c>
      <c r="P41" s="64">
        <v>1.1200000000000001</v>
      </c>
      <c r="Q41" s="64">
        <v>24.32</v>
      </c>
      <c r="R41" s="198"/>
      <c r="S41" s="198"/>
      <c r="T41" s="198"/>
      <c r="U41" s="198"/>
    </row>
    <row r="42" spans="1:21" s="12" customFormat="1" x14ac:dyDescent="0.25">
      <c r="A42" s="218" t="s">
        <v>1915</v>
      </c>
      <c r="B42" s="64">
        <v>20.260000000000002</v>
      </c>
      <c r="C42" s="64">
        <v>55.06</v>
      </c>
      <c r="D42" s="64">
        <v>47.28</v>
      </c>
      <c r="E42" s="64">
        <v>3.54</v>
      </c>
      <c r="F42" s="64">
        <v>10.63</v>
      </c>
      <c r="G42" s="64">
        <v>83.41</v>
      </c>
      <c r="H42" s="64">
        <v>32.130000000000003</v>
      </c>
      <c r="I42" s="64">
        <v>0.68</v>
      </c>
      <c r="J42" s="64">
        <v>0.35</v>
      </c>
      <c r="K42" s="64">
        <v>4.51</v>
      </c>
      <c r="L42" s="64">
        <v>33.5</v>
      </c>
      <c r="M42" s="64">
        <v>29.37</v>
      </c>
      <c r="N42" s="64">
        <v>426</v>
      </c>
      <c r="O42" s="64">
        <v>0</v>
      </c>
      <c r="P42" s="64">
        <v>1.1499999999999999</v>
      </c>
      <c r="Q42" s="64">
        <v>22.55</v>
      </c>
      <c r="R42" s="198"/>
      <c r="S42" s="198"/>
      <c r="T42" s="198"/>
      <c r="U42" s="198"/>
    </row>
    <row r="43" spans="1:21" s="12" customFormat="1" x14ac:dyDescent="0.25">
      <c r="A43" s="218" t="s">
        <v>1916</v>
      </c>
      <c r="B43" s="64">
        <v>20.239999999999998</v>
      </c>
      <c r="C43" s="64">
        <v>59.74</v>
      </c>
      <c r="D43" s="64">
        <v>49.85</v>
      </c>
      <c r="E43" s="64">
        <v>5.57</v>
      </c>
      <c r="F43" s="64">
        <v>12.59</v>
      </c>
      <c r="G43" s="64">
        <v>83.41</v>
      </c>
      <c r="H43" s="64">
        <v>32.130000000000003</v>
      </c>
      <c r="I43" s="64">
        <v>0.75</v>
      </c>
      <c r="J43" s="64">
        <v>0.35</v>
      </c>
      <c r="K43" s="64">
        <v>8.2100000000000009</v>
      </c>
      <c r="L43" s="64">
        <v>34.950000000000003</v>
      </c>
      <c r="M43" s="64">
        <v>27.3</v>
      </c>
      <c r="N43" s="64">
        <v>448.4</v>
      </c>
      <c r="O43" s="64">
        <v>0</v>
      </c>
      <c r="P43" s="64">
        <v>1.38</v>
      </c>
      <c r="Q43" s="64">
        <v>21.59</v>
      </c>
      <c r="R43" s="198"/>
      <c r="S43" s="198"/>
      <c r="T43" s="198"/>
      <c r="U43" s="198"/>
    </row>
    <row r="44" spans="1:21" s="12" customFormat="1" x14ac:dyDescent="0.25">
      <c r="A44" s="218" t="s">
        <v>1917</v>
      </c>
      <c r="B44" s="64">
        <v>15.59</v>
      </c>
      <c r="C44" s="64">
        <v>62.76</v>
      </c>
      <c r="D44" s="64">
        <v>47.79</v>
      </c>
      <c r="E44" s="64">
        <v>8.01</v>
      </c>
      <c r="F44" s="64">
        <v>18.16</v>
      </c>
      <c r="G44" s="64">
        <v>83.41</v>
      </c>
      <c r="H44" s="64">
        <v>32.130000000000003</v>
      </c>
      <c r="I44" s="64">
        <v>0.67</v>
      </c>
      <c r="J44" s="64">
        <v>0.19</v>
      </c>
      <c r="K44" s="64">
        <v>14.15</v>
      </c>
      <c r="L44" s="64">
        <v>35.68</v>
      </c>
      <c r="M44" s="64">
        <v>25.61</v>
      </c>
      <c r="N44" s="64">
        <v>524.4</v>
      </c>
      <c r="O44" s="64">
        <v>0</v>
      </c>
      <c r="P44" s="64">
        <v>1.47</v>
      </c>
      <c r="Q44" s="64">
        <v>20.22</v>
      </c>
      <c r="R44" s="198"/>
      <c r="S44" s="198"/>
      <c r="T44" s="198"/>
      <c r="U44" s="198"/>
    </row>
    <row r="45" spans="1:21" s="12" customFormat="1" x14ac:dyDescent="0.25">
      <c r="A45" s="218" t="s">
        <v>1918</v>
      </c>
      <c r="B45" s="64">
        <v>11.4</v>
      </c>
      <c r="C45" s="64">
        <v>64.86</v>
      </c>
      <c r="D45" s="64">
        <v>45.59</v>
      </c>
      <c r="E45" s="64">
        <v>7.82</v>
      </c>
      <c r="F45" s="64">
        <v>15.98</v>
      </c>
      <c r="G45" s="64">
        <v>83.96</v>
      </c>
      <c r="H45" s="64">
        <v>33.47</v>
      </c>
      <c r="I45" s="64">
        <v>0.67</v>
      </c>
      <c r="J45" s="64">
        <v>0.21</v>
      </c>
      <c r="K45" s="64">
        <v>32</v>
      </c>
      <c r="L45" s="64">
        <v>36.090000000000003</v>
      </c>
      <c r="M45" s="64">
        <v>25.17</v>
      </c>
      <c r="N45" s="64">
        <v>593.4</v>
      </c>
      <c r="O45" s="64">
        <v>0</v>
      </c>
      <c r="P45" s="64">
        <v>1.41</v>
      </c>
      <c r="Q45" s="64">
        <v>19.329999999999998</v>
      </c>
      <c r="R45" s="198"/>
      <c r="S45" s="198"/>
      <c r="T45" s="198"/>
      <c r="U45" s="198"/>
    </row>
    <row r="46" spans="1:21" s="12" customFormat="1" x14ac:dyDescent="0.25">
      <c r="A46" s="218" t="s">
        <v>1919</v>
      </c>
      <c r="B46" s="64">
        <v>9.43</v>
      </c>
      <c r="C46" s="64">
        <v>67.02</v>
      </c>
      <c r="D46" s="64">
        <v>45.2</v>
      </c>
      <c r="E46" s="64">
        <v>5.63</v>
      </c>
      <c r="F46" s="64">
        <v>8.83</v>
      </c>
      <c r="G46" s="64">
        <v>87.2</v>
      </c>
      <c r="H46" s="64">
        <v>39.659999999999997</v>
      </c>
      <c r="I46" s="64">
        <v>0.62</v>
      </c>
      <c r="J46" s="64">
        <v>0.27</v>
      </c>
      <c r="K46" s="64">
        <v>15.45</v>
      </c>
      <c r="L46" s="64">
        <v>36.32</v>
      </c>
      <c r="M46" s="64">
        <v>23.87</v>
      </c>
      <c r="N46" s="64">
        <v>632.9</v>
      </c>
      <c r="O46" s="64">
        <v>0</v>
      </c>
      <c r="P46" s="64">
        <v>1.38</v>
      </c>
      <c r="Q46" s="64">
        <v>18.100000000000001</v>
      </c>
      <c r="R46" s="198"/>
      <c r="S46" s="198"/>
      <c r="T46" s="198"/>
      <c r="U46" s="198"/>
    </row>
    <row r="47" spans="1:21" s="12" customFormat="1" x14ac:dyDescent="0.25">
      <c r="A47" s="218" t="s">
        <v>1920</v>
      </c>
      <c r="B47" s="64">
        <v>6.49</v>
      </c>
      <c r="C47" s="64">
        <v>68.53</v>
      </c>
      <c r="D47" s="64">
        <v>43.67</v>
      </c>
      <c r="E47" s="64">
        <v>3.16</v>
      </c>
      <c r="F47" s="64">
        <v>7.37</v>
      </c>
      <c r="G47" s="64">
        <v>87.2</v>
      </c>
      <c r="H47" s="64">
        <v>39.659999999999997</v>
      </c>
      <c r="I47" s="64">
        <v>0.63</v>
      </c>
      <c r="J47" s="64">
        <v>0.4</v>
      </c>
      <c r="K47" s="64">
        <v>31.86</v>
      </c>
      <c r="L47" s="64">
        <v>37.1</v>
      </c>
      <c r="M47" s="64">
        <v>21.11</v>
      </c>
      <c r="N47" s="64">
        <v>676.8</v>
      </c>
      <c r="O47" s="64">
        <v>0</v>
      </c>
      <c r="P47" s="64">
        <v>1.36</v>
      </c>
      <c r="Q47" s="64">
        <v>16.61</v>
      </c>
      <c r="R47" s="198"/>
      <c r="S47" s="198"/>
      <c r="T47" s="198"/>
      <c r="U47" s="198"/>
    </row>
    <row r="48" spans="1:21" s="12" customFormat="1" x14ac:dyDescent="0.25">
      <c r="A48" s="218" t="s">
        <v>1921</v>
      </c>
      <c r="B48" s="64">
        <v>3.81</v>
      </c>
      <c r="C48" s="64">
        <v>66.599999999999994</v>
      </c>
      <c r="D48" s="64">
        <v>40.46</v>
      </c>
      <c r="E48" s="64">
        <v>3.17</v>
      </c>
      <c r="F48" s="64">
        <v>11.5</v>
      </c>
      <c r="G48" s="64">
        <v>87.2</v>
      </c>
      <c r="H48" s="64">
        <v>39.659999999999997</v>
      </c>
      <c r="I48" s="64">
        <v>0.64</v>
      </c>
      <c r="J48" s="64">
        <v>0.31</v>
      </c>
      <c r="K48" s="64">
        <v>31.43</v>
      </c>
      <c r="L48" s="64">
        <v>38.24</v>
      </c>
      <c r="M48" s="64">
        <v>19.420000000000002</v>
      </c>
      <c r="N48" s="64">
        <v>713.4</v>
      </c>
      <c r="O48" s="64">
        <v>0</v>
      </c>
      <c r="P48" s="64">
        <v>1.36</v>
      </c>
      <c r="Q48" s="64">
        <v>14.97</v>
      </c>
      <c r="R48" s="198"/>
      <c r="S48" s="198"/>
      <c r="T48" s="198"/>
      <c r="U48" s="198"/>
    </row>
    <row r="49" spans="1:21" s="12" customFormat="1" x14ac:dyDescent="0.25">
      <c r="A49" s="218" t="s">
        <v>1922</v>
      </c>
      <c r="B49" s="64">
        <v>3.41</v>
      </c>
      <c r="C49" s="64">
        <v>63.61</v>
      </c>
      <c r="D49" s="64">
        <v>38.479999999999997</v>
      </c>
      <c r="E49" s="64">
        <v>4.95</v>
      </c>
      <c r="F49" s="64">
        <v>24.9</v>
      </c>
      <c r="G49" s="64">
        <v>86.34</v>
      </c>
      <c r="H49" s="64">
        <v>38.78</v>
      </c>
      <c r="I49" s="64">
        <v>0.64</v>
      </c>
      <c r="J49" s="64">
        <v>0.09</v>
      </c>
      <c r="K49" s="64">
        <v>334.66</v>
      </c>
      <c r="L49" s="64">
        <v>37.799999999999997</v>
      </c>
      <c r="M49" s="64">
        <v>18.54</v>
      </c>
      <c r="N49" s="64">
        <v>735.5</v>
      </c>
      <c r="O49" s="64">
        <v>0</v>
      </c>
      <c r="P49" s="64">
        <v>1.29</v>
      </c>
      <c r="Q49" s="64">
        <v>13.34</v>
      </c>
      <c r="R49" s="198"/>
      <c r="S49" s="198"/>
      <c r="T49" s="198"/>
      <c r="U49" s="198"/>
    </row>
    <row r="50" spans="1:21" s="12" customFormat="1" x14ac:dyDescent="0.25">
      <c r="A50" s="218" t="s">
        <v>1923</v>
      </c>
      <c r="B50" s="64">
        <v>5.0199999999999996</v>
      </c>
      <c r="C50" s="64">
        <v>60.05</v>
      </c>
      <c r="D50" s="64">
        <v>37.81</v>
      </c>
      <c r="E50" s="64">
        <v>5.66</v>
      </c>
      <c r="F50" s="64">
        <v>29.87</v>
      </c>
      <c r="G50" s="64">
        <v>81.290000000000006</v>
      </c>
      <c r="H50" s="64">
        <v>35.06</v>
      </c>
      <c r="I50" s="64">
        <v>0.61</v>
      </c>
      <c r="J50" s="64">
        <v>0.42</v>
      </c>
      <c r="K50" s="64">
        <v>19.420000000000002</v>
      </c>
      <c r="L50" s="64">
        <v>38.94</v>
      </c>
      <c r="M50" s="64">
        <v>16.89</v>
      </c>
      <c r="N50" s="64">
        <v>750.9</v>
      </c>
      <c r="O50" s="64">
        <v>0</v>
      </c>
      <c r="P50" s="64">
        <v>1.25</v>
      </c>
      <c r="Q50" s="64">
        <v>12.2</v>
      </c>
      <c r="R50" s="198"/>
      <c r="S50" s="198"/>
      <c r="T50" s="198"/>
      <c r="U50" s="198"/>
    </row>
    <row r="51" spans="1:21" s="12" customFormat="1" x14ac:dyDescent="0.25">
      <c r="A51" s="218" t="s">
        <v>1924</v>
      </c>
      <c r="B51" s="64">
        <v>4.7699999999999996</v>
      </c>
      <c r="C51" s="64">
        <v>58.7</v>
      </c>
      <c r="D51" s="64">
        <v>36.869999999999997</v>
      </c>
      <c r="E51" s="64">
        <v>6.22</v>
      </c>
      <c r="F51" s="64">
        <v>36.159999999999997</v>
      </c>
      <c r="G51" s="64">
        <v>81.290000000000006</v>
      </c>
      <c r="H51" s="64">
        <v>35.06</v>
      </c>
      <c r="I51" s="64">
        <v>0.6</v>
      </c>
      <c r="J51" s="64">
        <v>0.46</v>
      </c>
      <c r="K51" s="64">
        <v>20.83</v>
      </c>
      <c r="L51" s="64">
        <v>40.07</v>
      </c>
      <c r="M51" s="64">
        <v>14.53</v>
      </c>
      <c r="N51" s="64">
        <v>754.7</v>
      </c>
      <c r="O51" s="64">
        <v>0</v>
      </c>
      <c r="P51" s="64">
        <v>1.17</v>
      </c>
      <c r="Q51" s="64">
        <v>11.8</v>
      </c>
      <c r="R51" s="198"/>
      <c r="S51" s="198"/>
      <c r="T51" s="198"/>
      <c r="U51" s="198"/>
    </row>
    <row r="52" spans="1:21" s="12" customFormat="1" x14ac:dyDescent="0.25">
      <c r="A52" s="218" t="s">
        <v>1925</v>
      </c>
      <c r="B52" s="64">
        <v>3.55</v>
      </c>
      <c r="C52" s="64">
        <v>52.29</v>
      </c>
      <c r="D52" s="64">
        <v>32.35</v>
      </c>
      <c r="E52" s="64">
        <v>9.42</v>
      </c>
      <c r="F52" s="64">
        <v>51.06</v>
      </c>
      <c r="G52" s="64">
        <v>81.290000000000006</v>
      </c>
      <c r="H52" s="64">
        <v>35.06</v>
      </c>
      <c r="I52" s="64">
        <v>0.6</v>
      </c>
      <c r="J52" s="64">
        <v>0.46</v>
      </c>
      <c r="K52" s="64">
        <v>39.56</v>
      </c>
      <c r="L52" s="64">
        <v>40.1</v>
      </c>
      <c r="M52" s="64">
        <v>13.79</v>
      </c>
      <c r="N52" s="64">
        <v>783.8</v>
      </c>
      <c r="O52" s="64">
        <v>0</v>
      </c>
      <c r="P52" s="64">
        <v>0.9</v>
      </c>
      <c r="Q52" s="64">
        <v>11.32</v>
      </c>
      <c r="R52" s="198"/>
      <c r="S52" s="198"/>
      <c r="T52" s="198"/>
      <c r="U52" s="198"/>
    </row>
    <row r="53" spans="1:21" s="12" customFormat="1" x14ac:dyDescent="0.25">
      <c r="A53" s="218" t="s">
        <v>1926</v>
      </c>
      <c r="B53" s="64">
        <v>4.12</v>
      </c>
      <c r="C53" s="64">
        <v>54.52</v>
      </c>
      <c r="D53" s="64">
        <v>34.04</v>
      </c>
      <c r="E53" s="64">
        <v>4.67</v>
      </c>
      <c r="F53" s="64">
        <v>22.41</v>
      </c>
      <c r="G53" s="64">
        <v>79.55</v>
      </c>
      <c r="H53" s="64">
        <v>34.65</v>
      </c>
      <c r="I53" s="64">
        <v>0.57999999999999996</v>
      </c>
      <c r="J53" s="64">
        <v>0.27</v>
      </c>
      <c r="K53" s="64">
        <v>20.75</v>
      </c>
      <c r="L53" s="64">
        <v>40.380000000000003</v>
      </c>
      <c r="M53" s="64">
        <v>13.06</v>
      </c>
      <c r="N53" s="64">
        <v>804.2</v>
      </c>
      <c r="O53" s="64">
        <v>0</v>
      </c>
      <c r="P53" s="64">
        <v>1.03</v>
      </c>
      <c r="Q53" s="64">
        <v>13.61</v>
      </c>
      <c r="R53" s="198"/>
      <c r="S53" s="198"/>
      <c r="T53" s="198"/>
      <c r="U53" s="198"/>
    </row>
    <row r="54" spans="1:21" s="12" customFormat="1" x14ac:dyDescent="0.25">
      <c r="A54" s="218" t="s">
        <v>1927</v>
      </c>
      <c r="B54" s="64">
        <v>3.2</v>
      </c>
      <c r="C54" s="64">
        <v>53.93</v>
      </c>
      <c r="D54" s="64">
        <v>32.979999999999997</v>
      </c>
      <c r="E54" s="64">
        <v>3.23</v>
      </c>
      <c r="F54" s="64">
        <v>19.63</v>
      </c>
      <c r="G54" s="64">
        <v>69.23</v>
      </c>
      <c r="H54" s="64">
        <v>32.950000000000003</v>
      </c>
      <c r="I54" s="64">
        <v>0.54</v>
      </c>
      <c r="J54" s="64">
        <v>0.39</v>
      </c>
      <c r="K54" s="64">
        <v>20.69</v>
      </c>
      <c r="L54" s="64">
        <v>40.44</v>
      </c>
      <c r="M54" s="64">
        <v>12.47</v>
      </c>
      <c r="N54" s="64">
        <v>795.8</v>
      </c>
      <c r="O54" s="64">
        <v>0</v>
      </c>
      <c r="P54" s="64">
        <v>0.95</v>
      </c>
      <c r="Q54" s="64">
        <v>14.4</v>
      </c>
      <c r="R54" s="198"/>
      <c r="S54" s="198"/>
      <c r="T54" s="198"/>
      <c r="U54" s="198"/>
    </row>
    <row r="55" spans="1:21" s="12" customFormat="1" x14ac:dyDescent="0.25">
      <c r="A55" s="218" t="s">
        <v>1928</v>
      </c>
      <c r="B55" s="64">
        <v>2.7</v>
      </c>
      <c r="C55" s="64">
        <v>49.76</v>
      </c>
      <c r="D55" s="64">
        <v>30.27</v>
      </c>
      <c r="E55" s="64">
        <v>4</v>
      </c>
      <c r="F55" s="64">
        <v>27.66</v>
      </c>
      <c r="G55" s="64">
        <v>69.23</v>
      </c>
      <c r="H55" s="64">
        <v>32.950000000000003</v>
      </c>
      <c r="I55" s="64">
        <v>0.56999999999999995</v>
      </c>
      <c r="J55" s="64">
        <v>0.35</v>
      </c>
      <c r="K55" s="64">
        <v>42.65</v>
      </c>
      <c r="L55" s="64">
        <v>41.32</v>
      </c>
      <c r="M55" s="64">
        <v>11.5</v>
      </c>
      <c r="N55" s="64">
        <v>806.2</v>
      </c>
      <c r="O55" s="64">
        <v>0</v>
      </c>
      <c r="P55" s="64">
        <v>0.89</v>
      </c>
      <c r="Q55" s="64">
        <v>14.38</v>
      </c>
      <c r="R55" s="198"/>
      <c r="S55" s="198"/>
      <c r="T55" s="198"/>
      <c r="U55" s="198"/>
    </row>
    <row r="56" spans="1:21" s="12" customFormat="1" x14ac:dyDescent="0.25">
      <c r="A56" s="218" t="s">
        <v>1929</v>
      </c>
      <c r="B56" s="64">
        <v>4.7300000000000004</v>
      </c>
      <c r="C56" s="64">
        <v>50.99</v>
      </c>
      <c r="D56" s="64">
        <v>32.58</v>
      </c>
      <c r="E56" s="64">
        <v>1.85</v>
      </c>
      <c r="F56" s="64">
        <v>19.21</v>
      </c>
      <c r="G56" s="64">
        <v>69.23</v>
      </c>
      <c r="H56" s="64">
        <v>32.950000000000003</v>
      </c>
      <c r="I56" s="64">
        <v>0.57999999999999996</v>
      </c>
      <c r="J56" s="64">
        <v>0.66</v>
      </c>
      <c r="K56" s="64">
        <v>26.58</v>
      </c>
      <c r="L56" s="64">
        <v>40.869999999999997</v>
      </c>
      <c r="M56" s="64">
        <v>11.89</v>
      </c>
      <c r="N56" s="64">
        <v>801.4</v>
      </c>
      <c r="O56" s="64">
        <v>0</v>
      </c>
      <c r="P56" s="64">
        <v>0.9</v>
      </c>
      <c r="Q56" s="64">
        <v>14.85</v>
      </c>
      <c r="R56" s="198"/>
      <c r="S56" s="198"/>
      <c r="T56" s="198"/>
      <c r="U56" s="198"/>
    </row>
    <row r="57" spans="1:21" s="12" customFormat="1" x14ac:dyDescent="0.25">
      <c r="A57" s="218" t="s">
        <v>1930</v>
      </c>
      <c r="B57" s="64">
        <v>3.74</v>
      </c>
      <c r="C57" s="64">
        <v>53.6</v>
      </c>
      <c r="D57" s="64">
        <v>33.22</v>
      </c>
      <c r="E57" s="64">
        <v>2.84</v>
      </c>
      <c r="F57" s="64">
        <v>15.27</v>
      </c>
      <c r="G57" s="64">
        <v>67.69</v>
      </c>
      <c r="H57" s="64">
        <v>31.92</v>
      </c>
      <c r="I57" s="64">
        <v>0.57999999999999996</v>
      </c>
      <c r="J57" s="64">
        <v>0.79</v>
      </c>
      <c r="K57" s="64">
        <v>19.09</v>
      </c>
      <c r="L57" s="64">
        <v>42.36</v>
      </c>
      <c r="M57" s="64">
        <v>10.73</v>
      </c>
      <c r="N57" s="64">
        <v>808.7</v>
      </c>
      <c r="O57" s="64">
        <v>0</v>
      </c>
      <c r="P57" s="64">
        <v>0.88</v>
      </c>
      <c r="Q57" s="64">
        <v>14.53</v>
      </c>
      <c r="R57" s="198"/>
      <c r="S57" s="198"/>
      <c r="T57" s="198"/>
      <c r="U57" s="198"/>
    </row>
    <row r="58" spans="1:21" s="12" customFormat="1" x14ac:dyDescent="0.25">
      <c r="A58" s="218" t="s">
        <v>1931</v>
      </c>
      <c r="B58" s="64">
        <v>4.67</v>
      </c>
      <c r="C58" s="64">
        <v>51.27</v>
      </c>
      <c r="D58" s="64">
        <v>32.68</v>
      </c>
      <c r="E58" s="64">
        <v>4.53</v>
      </c>
      <c r="F58" s="64">
        <v>24.84</v>
      </c>
      <c r="G58" s="64">
        <v>58.6</v>
      </c>
      <c r="H58" s="64">
        <v>26.35</v>
      </c>
      <c r="I58" s="64">
        <v>0.63</v>
      </c>
      <c r="J58" s="64">
        <v>0.84</v>
      </c>
      <c r="K58" s="64">
        <v>14.47</v>
      </c>
      <c r="L58" s="64">
        <v>42.35</v>
      </c>
      <c r="M58" s="64">
        <v>9.44</v>
      </c>
      <c r="N58" s="64">
        <v>793.4</v>
      </c>
      <c r="O58" s="64">
        <v>0</v>
      </c>
      <c r="P58" s="64">
        <v>0.8</v>
      </c>
      <c r="Q58" s="64">
        <v>13.8</v>
      </c>
      <c r="R58" s="198"/>
      <c r="S58" s="198"/>
      <c r="T58" s="198"/>
      <c r="U58" s="198"/>
    </row>
    <row r="59" spans="1:21" s="12" customFormat="1" x14ac:dyDescent="0.25">
      <c r="A59" s="218" t="s">
        <v>1932</v>
      </c>
      <c r="B59" s="64">
        <v>5.37</v>
      </c>
      <c r="C59" s="64">
        <v>47.04</v>
      </c>
      <c r="D59" s="64">
        <v>30.91</v>
      </c>
      <c r="E59" s="64">
        <v>4.37</v>
      </c>
      <c r="F59" s="64">
        <v>35.32</v>
      </c>
      <c r="G59" s="64">
        <v>58.6</v>
      </c>
      <c r="H59" s="64">
        <v>26.35</v>
      </c>
      <c r="I59" s="64">
        <v>0.64</v>
      </c>
      <c r="J59" s="64">
        <v>0.74</v>
      </c>
      <c r="K59" s="64">
        <v>46.67</v>
      </c>
      <c r="L59" s="64">
        <v>42.2</v>
      </c>
      <c r="M59" s="64">
        <v>9.39</v>
      </c>
      <c r="N59" s="64">
        <v>805</v>
      </c>
      <c r="O59" s="64">
        <v>0</v>
      </c>
      <c r="P59" s="64">
        <v>0.77</v>
      </c>
      <c r="Q59" s="64">
        <v>14.04</v>
      </c>
      <c r="R59" s="198"/>
      <c r="S59" s="198"/>
      <c r="T59" s="198"/>
      <c r="U59" s="198"/>
    </row>
    <row r="60" spans="1:21" s="12" customFormat="1" x14ac:dyDescent="0.25">
      <c r="A60" s="218" t="s">
        <v>1933</v>
      </c>
      <c r="B60" s="64">
        <v>3.85</v>
      </c>
      <c r="C60" s="64">
        <v>41.5</v>
      </c>
      <c r="D60" s="64">
        <v>26.64</v>
      </c>
      <c r="E60" s="64">
        <v>7.13</v>
      </c>
      <c r="F60" s="64">
        <v>47.13</v>
      </c>
      <c r="G60" s="64">
        <v>58.6</v>
      </c>
      <c r="H60" s="64">
        <v>26.35</v>
      </c>
      <c r="I60" s="64">
        <v>0.62</v>
      </c>
      <c r="J60" s="64">
        <v>0.15</v>
      </c>
      <c r="K60" s="64">
        <v>63</v>
      </c>
      <c r="L60" s="64">
        <v>40.03</v>
      </c>
      <c r="M60" s="64">
        <v>9.6199999999999992</v>
      </c>
      <c r="N60" s="64">
        <v>768.4</v>
      </c>
      <c r="O60" s="64">
        <v>0</v>
      </c>
      <c r="P60" s="64">
        <v>0.62</v>
      </c>
      <c r="Q60" s="64">
        <v>15.08</v>
      </c>
      <c r="R60" s="198"/>
      <c r="S60" s="198"/>
      <c r="T60" s="198"/>
      <c r="U60" s="198"/>
    </row>
    <row r="61" spans="1:21" s="12" customFormat="1" x14ac:dyDescent="0.25">
      <c r="A61" s="218" t="s">
        <v>1934</v>
      </c>
      <c r="B61" s="64">
        <v>5.68</v>
      </c>
      <c r="C61" s="64">
        <v>42.29</v>
      </c>
      <c r="D61" s="64">
        <v>28.54</v>
      </c>
      <c r="E61" s="64">
        <v>7.02</v>
      </c>
      <c r="F61" s="64">
        <v>46.79</v>
      </c>
      <c r="G61" s="64">
        <v>57.67</v>
      </c>
      <c r="H61" s="64">
        <v>25.54</v>
      </c>
      <c r="I61" s="64">
        <v>0.63</v>
      </c>
      <c r="J61" s="64">
        <v>1.02</v>
      </c>
      <c r="K61" s="64">
        <v>25.42</v>
      </c>
      <c r="L61" s="64">
        <v>41.22</v>
      </c>
      <c r="M61" s="64">
        <v>9.8800000000000008</v>
      </c>
      <c r="N61" s="64">
        <v>751.2</v>
      </c>
      <c r="O61" s="64">
        <v>0</v>
      </c>
      <c r="P61" s="64">
        <v>0.66</v>
      </c>
      <c r="Q61" s="64">
        <v>15.64</v>
      </c>
      <c r="R61" s="198"/>
      <c r="S61" s="198"/>
      <c r="T61" s="198"/>
      <c r="U61" s="198"/>
    </row>
    <row r="62" spans="1:21" s="12" customFormat="1" x14ac:dyDescent="0.25">
      <c r="A62" s="218" t="s">
        <v>1935</v>
      </c>
      <c r="B62" s="64">
        <v>5.05</v>
      </c>
      <c r="C62" s="64">
        <v>43.54</v>
      </c>
      <c r="D62" s="64">
        <v>28.73</v>
      </c>
      <c r="E62" s="64">
        <v>6.46</v>
      </c>
      <c r="F62" s="64">
        <v>50.79</v>
      </c>
      <c r="G62" s="64">
        <v>52.63</v>
      </c>
      <c r="H62" s="64">
        <v>22.14</v>
      </c>
      <c r="I62" s="64">
        <v>0.6</v>
      </c>
      <c r="J62" s="64">
        <v>0.85</v>
      </c>
      <c r="K62" s="64">
        <v>38.090000000000003</v>
      </c>
      <c r="L62" s="64">
        <v>40.380000000000003</v>
      </c>
      <c r="M62" s="64">
        <v>9.69</v>
      </c>
      <c r="N62" s="64">
        <v>729.8</v>
      </c>
      <c r="O62" s="64">
        <v>0</v>
      </c>
      <c r="P62" s="64">
        <v>0.68</v>
      </c>
      <c r="Q62" s="64">
        <v>15.86</v>
      </c>
      <c r="R62" s="198"/>
      <c r="S62" s="198"/>
      <c r="T62" s="198"/>
      <c r="U62" s="198"/>
    </row>
    <row r="63" spans="1:21" s="12" customFormat="1" x14ac:dyDescent="0.25">
      <c r="A63" s="218" t="s">
        <v>1936</v>
      </c>
      <c r="B63" s="64">
        <v>5.19</v>
      </c>
      <c r="C63" s="64">
        <v>41.39</v>
      </c>
      <c r="D63" s="64">
        <v>27.65</v>
      </c>
      <c r="E63" s="64">
        <v>7.24</v>
      </c>
      <c r="F63" s="64">
        <v>59.43</v>
      </c>
      <c r="G63" s="64">
        <v>52.63</v>
      </c>
      <c r="H63" s="64">
        <v>22.14</v>
      </c>
      <c r="I63" s="64">
        <v>0.62</v>
      </c>
      <c r="J63" s="64">
        <v>0.54</v>
      </c>
      <c r="K63" s="64">
        <v>74.23</v>
      </c>
      <c r="L63" s="64">
        <v>40.46</v>
      </c>
      <c r="M63" s="64">
        <v>9.09</v>
      </c>
      <c r="N63" s="64">
        <v>696.9</v>
      </c>
      <c r="O63" s="64">
        <v>0</v>
      </c>
      <c r="P63" s="64">
        <v>0.57999999999999996</v>
      </c>
      <c r="Q63" s="64">
        <v>16.57</v>
      </c>
      <c r="R63" s="198"/>
      <c r="S63" s="198"/>
      <c r="T63" s="198"/>
      <c r="U63" s="198"/>
    </row>
    <row r="64" spans="1:21" s="12" customFormat="1" x14ac:dyDescent="0.25">
      <c r="A64" s="218" t="s">
        <v>1937</v>
      </c>
      <c r="B64" s="64">
        <v>4.1500000000000004</v>
      </c>
      <c r="C64" s="64">
        <v>35.1</v>
      </c>
      <c r="D64" s="64">
        <v>23.34</v>
      </c>
      <c r="E64" s="64">
        <v>9.35</v>
      </c>
      <c r="F64" s="64">
        <v>54.45</v>
      </c>
      <c r="G64" s="64">
        <v>52.63</v>
      </c>
      <c r="H64" s="64">
        <v>22.14</v>
      </c>
      <c r="I64" s="64">
        <v>0.64</v>
      </c>
      <c r="J64" s="64">
        <v>0.47</v>
      </c>
      <c r="K64" s="64">
        <v>36.58</v>
      </c>
      <c r="L64" s="64">
        <v>40.229999999999997</v>
      </c>
      <c r="M64" s="64">
        <v>9.07</v>
      </c>
      <c r="N64" s="64">
        <v>675.7</v>
      </c>
      <c r="O64" s="64">
        <v>0</v>
      </c>
      <c r="P64" s="64">
        <v>0.53</v>
      </c>
      <c r="Q64" s="64">
        <v>17.309999999999999</v>
      </c>
      <c r="R64" s="198"/>
      <c r="S64" s="198"/>
      <c r="T64" s="198"/>
      <c r="U64" s="198"/>
    </row>
    <row r="65" spans="1:21" s="12" customFormat="1" x14ac:dyDescent="0.25">
      <c r="A65" s="218" t="s">
        <v>1938</v>
      </c>
      <c r="B65" s="64">
        <v>3.59</v>
      </c>
      <c r="C65" s="64">
        <v>44.51</v>
      </c>
      <c r="D65" s="64">
        <v>28.09</v>
      </c>
      <c r="E65" s="64">
        <v>5.74</v>
      </c>
      <c r="F65" s="64">
        <v>27.75</v>
      </c>
      <c r="G65" s="64">
        <v>51.42</v>
      </c>
      <c r="H65" s="64">
        <v>22.21</v>
      </c>
      <c r="I65" s="64">
        <v>0.62</v>
      </c>
      <c r="J65" s="64">
        <v>0.51</v>
      </c>
      <c r="K65" s="64">
        <v>9.9499999999999993</v>
      </c>
      <c r="L65" s="64">
        <v>41.35</v>
      </c>
      <c r="M65" s="64">
        <v>9.17</v>
      </c>
      <c r="N65" s="64">
        <v>660.6</v>
      </c>
      <c r="O65" s="64">
        <v>0</v>
      </c>
      <c r="P65" s="64">
        <v>0.63</v>
      </c>
      <c r="Q65" s="64">
        <v>16.29</v>
      </c>
      <c r="R65" s="198"/>
      <c r="S65" s="198"/>
      <c r="T65" s="198"/>
      <c r="U65" s="198"/>
    </row>
    <row r="66" spans="1:21" s="12" customFormat="1" x14ac:dyDescent="0.25">
      <c r="A66" s="218" t="s">
        <v>1939</v>
      </c>
      <c r="B66" s="64">
        <v>3.88</v>
      </c>
      <c r="C66" s="64">
        <v>40.67</v>
      </c>
      <c r="D66" s="64">
        <v>26.2</v>
      </c>
      <c r="E66" s="64">
        <v>3.96</v>
      </c>
      <c r="F66" s="64">
        <v>39.75</v>
      </c>
      <c r="G66" s="64">
        <v>44.27</v>
      </c>
      <c r="H66" s="64">
        <v>22.52</v>
      </c>
      <c r="I66" s="64">
        <v>0.64</v>
      </c>
      <c r="J66" s="64">
        <v>0.17</v>
      </c>
      <c r="K66" s="64">
        <v>24.41</v>
      </c>
      <c r="L66" s="64">
        <v>41.22</v>
      </c>
      <c r="M66" s="64">
        <v>8.11</v>
      </c>
      <c r="N66" s="64">
        <v>621</v>
      </c>
      <c r="O66" s="64">
        <v>0</v>
      </c>
      <c r="P66" s="64">
        <v>0.6</v>
      </c>
      <c r="Q66" s="64">
        <v>14.6</v>
      </c>
      <c r="R66" s="198"/>
      <c r="S66" s="198"/>
      <c r="T66" s="198"/>
      <c r="U66" s="198"/>
    </row>
    <row r="67" spans="1:21" s="12" customFormat="1" x14ac:dyDescent="0.25">
      <c r="A67" s="218" t="s">
        <v>1940</v>
      </c>
      <c r="B67" s="64">
        <v>3.68</v>
      </c>
      <c r="C67" s="64">
        <v>36.54</v>
      </c>
      <c r="D67" s="64">
        <v>23.76</v>
      </c>
      <c r="E67" s="64">
        <v>5.53</v>
      </c>
      <c r="F67" s="64">
        <v>46.38</v>
      </c>
      <c r="G67" s="64">
        <v>44.27</v>
      </c>
      <c r="H67" s="64">
        <v>22.52</v>
      </c>
      <c r="I67" s="64">
        <v>0.7</v>
      </c>
      <c r="J67" s="64">
        <v>0.24</v>
      </c>
      <c r="K67" s="64">
        <v>77.650000000000006</v>
      </c>
      <c r="L67" s="64">
        <v>40.409999999999997</v>
      </c>
      <c r="M67" s="64">
        <v>8.5399999999999991</v>
      </c>
      <c r="N67" s="64">
        <v>567.79999999999995</v>
      </c>
      <c r="O67" s="64">
        <v>0</v>
      </c>
      <c r="P67" s="64">
        <v>0.54</v>
      </c>
      <c r="Q67" s="64">
        <v>13.77</v>
      </c>
      <c r="R67" s="198"/>
      <c r="S67" s="198"/>
      <c r="T67" s="198"/>
      <c r="U67" s="198"/>
    </row>
    <row r="68" spans="1:21" s="12" customFormat="1" x14ac:dyDescent="0.25">
      <c r="A68" s="218" t="s">
        <v>1941</v>
      </c>
      <c r="B68" s="64">
        <v>5.39</v>
      </c>
      <c r="C68" s="64">
        <v>45.6</v>
      </c>
      <c r="D68" s="64">
        <v>30.13</v>
      </c>
      <c r="E68" s="64">
        <v>3.56</v>
      </c>
      <c r="F68" s="64">
        <v>22.84</v>
      </c>
      <c r="G68" s="64">
        <v>44.27</v>
      </c>
      <c r="H68" s="64">
        <v>22.52</v>
      </c>
      <c r="I68" s="64">
        <v>0.72</v>
      </c>
      <c r="J68" s="64">
        <v>0.66</v>
      </c>
      <c r="K68" s="64">
        <v>11.11</v>
      </c>
      <c r="L68" s="64">
        <v>40.61</v>
      </c>
      <c r="M68" s="64">
        <v>10.06</v>
      </c>
      <c r="N68" s="64">
        <v>497.2</v>
      </c>
      <c r="O68" s="64">
        <v>0</v>
      </c>
      <c r="P68" s="64">
        <v>0.65</v>
      </c>
      <c r="Q68" s="64">
        <v>13.89</v>
      </c>
      <c r="R68" s="198"/>
      <c r="S68" s="198"/>
      <c r="T68" s="198"/>
      <c r="U68" s="198"/>
    </row>
    <row r="69" spans="1:21" s="12" customFormat="1" x14ac:dyDescent="0.25">
      <c r="A69" s="218" t="s">
        <v>1942</v>
      </c>
      <c r="B69" s="64">
        <v>4.26</v>
      </c>
      <c r="C69" s="64">
        <v>40.33</v>
      </c>
      <c r="D69" s="64">
        <v>26.32</v>
      </c>
      <c r="E69" s="64">
        <v>5.36</v>
      </c>
      <c r="F69" s="64">
        <v>52.26</v>
      </c>
      <c r="G69" s="64">
        <v>45.23</v>
      </c>
      <c r="H69" s="64">
        <v>21.78</v>
      </c>
      <c r="I69" s="64">
        <v>0.68</v>
      </c>
      <c r="J69" s="64">
        <v>0.51</v>
      </c>
      <c r="K69" s="64">
        <v>105.51</v>
      </c>
      <c r="L69" s="64">
        <v>39.17</v>
      </c>
      <c r="M69" s="64">
        <v>9.6300000000000008</v>
      </c>
      <c r="N69" s="64">
        <v>386.3</v>
      </c>
      <c r="O69" s="64">
        <v>0</v>
      </c>
      <c r="P69" s="64">
        <v>0.53</v>
      </c>
      <c r="Q69" s="64">
        <v>13.96</v>
      </c>
      <c r="R69" s="198"/>
      <c r="S69" s="198"/>
      <c r="T69" s="198"/>
      <c r="U69" s="198"/>
    </row>
    <row r="70" spans="1:21" s="12" customFormat="1" x14ac:dyDescent="0.25">
      <c r="A70" s="218" t="s">
        <v>1943</v>
      </c>
      <c r="B70" s="64">
        <v>4.01</v>
      </c>
      <c r="C70" s="64">
        <v>43.58</v>
      </c>
      <c r="D70" s="64">
        <v>27.92</v>
      </c>
      <c r="E70" s="64">
        <v>3.78</v>
      </c>
      <c r="F70" s="64">
        <v>29.59</v>
      </c>
      <c r="G70" s="64">
        <v>50.94</v>
      </c>
      <c r="H70" s="64">
        <v>18.670000000000002</v>
      </c>
      <c r="I70" s="64">
        <v>0.76</v>
      </c>
      <c r="J70" s="64">
        <v>0.47</v>
      </c>
      <c r="K70" s="64">
        <v>8</v>
      </c>
      <c r="L70" s="64">
        <v>39.04</v>
      </c>
      <c r="M70" s="64">
        <v>10.16</v>
      </c>
      <c r="N70" s="64">
        <v>143.6</v>
      </c>
      <c r="O70" s="64">
        <v>0</v>
      </c>
      <c r="P70" s="64">
        <v>0.56999999999999995</v>
      </c>
      <c r="Q70" s="64">
        <v>13.7</v>
      </c>
      <c r="R70" s="198"/>
      <c r="S70" s="198"/>
      <c r="T70" s="198"/>
      <c r="U70" s="198"/>
    </row>
    <row r="71" spans="1:21" s="12" customFormat="1" x14ac:dyDescent="0.25">
      <c r="A71" s="218" t="s">
        <v>1944</v>
      </c>
      <c r="B71" s="64">
        <v>5.73</v>
      </c>
      <c r="C71" s="64">
        <v>46.48</v>
      </c>
      <c r="D71" s="64">
        <v>30.89</v>
      </c>
      <c r="E71" s="64">
        <v>3.48</v>
      </c>
      <c r="F71" s="64">
        <v>35.78</v>
      </c>
      <c r="G71" s="64">
        <v>50.94</v>
      </c>
      <c r="H71" s="64">
        <v>18.670000000000002</v>
      </c>
      <c r="I71" s="64">
        <v>0.67</v>
      </c>
      <c r="J71" s="64">
        <v>0.48</v>
      </c>
      <c r="K71" s="64">
        <v>26.16</v>
      </c>
      <c r="L71" s="64">
        <v>39.049999999999997</v>
      </c>
      <c r="M71" s="64">
        <v>9.8699999999999992</v>
      </c>
      <c r="N71" s="64">
        <v>142.19999999999999</v>
      </c>
      <c r="O71" s="64">
        <v>0</v>
      </c>
      <c r="P71" s="64">
        <v>0.56000000000000005</v>
      </c>
      <c r="Q71" s="64">
        <v>13.64</v>
      </c>
      <c r="R71" s="198"/>
      <c r="S71" s="198"/>
      <c r="T71" s="198"/>
      <c r="U71" s="198"/>
    </row>
    <row r="72" spans="1:21" s="12" customFormat="1" x14ac:dyDescent="0.25">
      <c r="A72" s="218" t="s">
        <v>1945</v>
      </c>
      <c r="B72" s="64">
        <v>5.01</v>
      </c>
      <c r="C72" s="64">
        <v>38.85</v>
      </c>
      <c r="D72" s="64">
        <v>26.1</v>
      </c>
      <c r="E72" s="64">
        <v>2.37</v>
      </c>
      <c r="F72" s="64">
        <v>51.5</v>
      </c>
      <c r="G72" s="64">
        <v>50.94</v>
      </c>
      <c r="H72" s="64">
        <v>18.670000000000002</v>
      </c>
      <c r="I72" s="64">
        <v>0.74</v>
      </c>
      <c r="J72" s="64">
        <v>0.26</v>
      </c>
      <c r="K72" s="64">
        <v>60.73</v>
      </c>
      <c r="L72" s="64">
        <v>38.53</v>
      </c>
      <c r="M72" s="64">
        <v>9.43</v>
      </c>
      <c r="N72" s="64">
        <v>119.5</v>
      </c>
      <c r="O72" s="64">
        <v>0</v>
      </c>
      <c r="P72" s="64">
        <v>0.52</v>
      </c>
      <c r="Q72" s="64">
        <v>14.73</v>
      </c>
      <c r="R72" s="198"/>
      <c r="S72" s="198"/>
      <c r="T72" s="198"/>
      <c r="U72" s="198"/>
    </row>
    <row r="73" spans="1:21" s="12" customFormat="1" x14ac:dyDescent="0.25">
      <c r="A73" s="218" t="s">
        <v>1946</v>
      </c>
      <c r="B73" s="64">
        <v>2.8</v>
      </c>
      <c r="C73" s="64">
        <v>38.54</v>
      </c>
      <c r="D73" s="64">
        <v>24.16</v>
      </c>
      <c r="E73" s="64">
        <v>4.87</v>
      </c>
      <c r="F73" s="64">
        <v>63.43</v>
      </c>
      <c r="G73" s="64">
        <v>49.38</v>
      </c>
      <c r="H73" s="64">
        <v>18.23</v>
      </c>
      <c r="I73" s="64">
        <v>0.69</v>
      </c>
      <c r="J73" s="64">
        <v>0.44</v>
      </c>
      <c r="K73" s="64">
        <v>174.63</v>
      </c>
      <c r="L73" s="64">
        <v>37.82</v>
      </c>
      <c r="M73" s="64">
        <v>9.16</v>
      </c>
      <c r="N73" s="64">
        <v>114.2</v>
      </c>
      <c r="O73" s="64">
        <v>0</v>
      </c>
      <c r="P73" s="64">
        <v>0.4</v>
      </c>
      <c r="Q73" s="64">
        <v>16.25</v>
      </c>
      <c r="R73" s="198"/>
      <c r="S73" s="198"/>
      <c r="T73" s="198"/>
      <c r="U73" s="198"/>
    </row>
    <row r="74" spans="1:21" s="12" customFormat="1" x14ac:dyDescent="0.25">
      <c r="A74" s="218" t="s">
        <v>1947</v>
      </c>
      <c r="B74" s="64">
        <v>2.2999999999999998</v>
      </c>
      <c r="C74" s="64">
        <v>32.520000000000003</v>
      </c>
      <c r="D74" s="64">
        <v>20.43</v>
      </c>
      <c r="E74" s="64">
        <v>3.9</v>
      </c>
      <c r="F74" s="64">
        <v>44.98</v>
      </c>
      <c r="G74" s="64">
        <v>40.130000000000003</v>
      </c>
      <c r="H74" s="64">
        <v>15.82</v>
      </c>
      <c r="I74" s="64">
        <v>0.64</v>
      </c>
      <c r="J74" s="64">
        <v>0.93</v>
      </c>
      <c r="K74" s="64">
        <v>197.86</v>
      </c>
      <c r="L74" s="64">
        <v>37.54</v>
      </c>
      <c r="M74" s="64">
        <v>9.52</v>
      </c>
      <c r="N74" s="64">
        <v>99.7</v>
      </c>
      <c r="O74" s="64">
        <v>0</v>
      </c>
      <c r="P74" s="64">
        <v>0.44</v>
      </c>
      <c r="Q74" s="64">
        <v>17.59</v>
      </c>
      <c r="R74" s="198"/>
      <c r="S74" s="198"/>
      <c r="T74" s="198"/>
      <c r="U74" s="198"/>
    </row>
    <row r="75" spans="1:21" s="12" customFormat="1" x14ac:dyDescent="0.25">
      <c r="A75" s="218" t="s">
        <v>1948</v>
      </c>
      <c r="B75" s="64">
        <v>2.62</v>
      </c>
      <c r="C75" s="64">
        <v>38.79</v>
      </c>
      <c r="D75" s="64">
        <v>24.16</v>
      </c>
      <c r="E75" s="64">
        <v>3.85</v>
      </c>
      <c r="F75" s="64">
        <v>50.86</v>
      </c>
      <c r="G75" s="64">
        <v>40.130000000000003</v>
      </c>
      <c r="H75" s="64">
        <v>15.82</v>
      </c>
      <c r="I75" s="64">
        <v>0.61</v>
      </c>
      <c r="J75" s="64">
        <v>0.45</v>
      </c>
      <c r="K75" s="64">
        <v>197.42</v>
      </c>
      <c r="L75" s="64">
        <v>37.47</v>
      </c>
      <c r="M75" s="64">
        <v>9.9600000000000009</v>
      </c>
      <c r="N75" s="64">
        <v>82.3</v>
      </c>
      <c r="O75" s="64">
        <v>0</v>
      </c>
      <c r="P75" s="64">
        <v>0.44</v>
      </c>
      <c r="Q75" s="64">
        <v>18.47</v>
      </c>
      <c r="R75" s="198"/>
      <c r="S75" s="198"/>
      <c r="T75" s="198"/>
      <c r="U75" s="198"/>
    </row>
    <row r="76" spans="1:21" s="12" customFormat="1" x14ac:dyDescent="0.25">
      <c r="A76" s="218" t="s">
        <v>1949</v>
      </c>
      <c r="B76" s="64">
        <v>2.39</v>
      </c>
      <c r="C76" s="64">
        <v>37.770000000000003</v>
      </c>
      <c r="D76" s="64">
        <v>23.4</v>
      </c>
      <c r="E76" s="64">
        <v>3.75</v>
      </c>
      <c r="F76" s="64">
        <v>34.56</v>
      </c>
      <c r="G76" s="64">
        <v>40.130000000000003</v>
      </c>
      <c r="H76" s="64">
        <v>15.82</v>
      </c>
      <c r="I76" s="64">
        <v>0.67</v>
      </c>
      <c r="J76" s="64">
        <v>0.61</v>
      </c>
      <c r="K76" s="64">
        <v>202.01</v>
      </c>
      <c r="L76" s="64">
        <v>37.1</v>
      </c>
      <c r="M76" s="64">
        <v>11.71</v>
      </c>
      <c r="N76" s="64">
        <v>70</v>
      </c>
      <c r="O76" s="64">
        <v>0</v>
      </c>
      <c r="P76" s="64">
        <v>0.46</v>
      </c>
      <c r="Q76" s="64">
        <v>18.86</v>
      </c>
      <c r="R76" s="198"/>
      <c r="S76" s="198"/>
      <c r="T76" s="198"/>
      <c r="U76" s="198"/>
    </row>
    <row r="77" spans="1:21" s="12" customFormat="1" x14ac:dyDescent="0.25">
      <c r="A77" s="218" t="s">
        <v>1950</v>
      </c>
      <c r="B77" s="64">
        <v>2.15</v>
      </c>
      <c r="C77" s="64">
        <v>38.04</v>
      </c>
      <c r="D77" s="64">
        <v>23.36</v>
      </c>
      <c r="E77" s="64">
        <v>3.7</v>
      </c>
      <c r="F77" s="64">
        <v>48.42</v>
      </c>
      <c r="G77" s="64">
        <v>40.56</v>
      </c>
      <c r="H77" s="64">
        <v>16.32</v>
      </c>
      <c r="I77" s="64">
        <v>0.69</v>
      </c>
      <c r="J77" s="64">
        <v>0.31</v>
      </c>
      <c r="K77" s="64">
        <v>239.02</v>
      </c>
      <c r="L77" s="64">
        <v>36.57</v>
      </c>
      <c r="M77" s="64">
        <v>13.05</v>
      </c>
      <c r="N77" s="64">
        <v>54</v>
      </c>
      <c r="O77" s="64">
        <v>0</v>
      </c>
      <c r="P77" s="64">
        <v>0.43</v>
      </c>
      <c r="Q77" s="64">
        <v>17.72</v>
      </c>
      <c r="R77" s="198"/>
      <c r="S77" s="198"/>
      <c r="T77" s="198"/>
      <c r="U77" s="198"/>
    </row>
    <row r="78" spans="1:21" s="12" customFormat="1" x14ac:dyDescent="0.25">
      <c r="A78" s="218" t="s">
        <v>1951</v>
      </c>
      <c r="B78" s="64">
        <v>2</v>
      </c>
      <c r="C78" s="64">
        <v>43.07</v>
      </c>
      <c r="D78" s="64">
        <v>26.01</v>
      </c>
      <c r="E78" s="64">
        <v>4.1399999999999997</v>
      </c>
      <c r="F78" s="64">
        <v>45.71</v>
      </c>
      <c r="G78" s="64">
        <v>43.08</v>
      </c>
      <c r="H78" s="64">
        <v>18.36</v>
      </c>
      <c r="I78" s="64">
        <v>0.67</v>
      </c>
      <c r="J78" s="64">
        <v>0.45</v>
      </c>
      <c r="K78" s="64">
        <v>242.2</v>
      </c>
      <c r="L78" s="64">
        <v>36.33</v>
      </c>
      <c r="M78" s="64">
        <v>12.84</v>
      </c>
      <c r="N78" s="64">
        <v>42.6</v>
      </c>
      <c r="O78" s="64">
        <v>0</v>
      </c>
      <c r="P78" s="64">
        <v>0.49</v>
      </c>
      <c r="Q78" s="64">
        <v>16.13</v>
      </c>
      <c r="R78" s="198"/>
      <c r="S78" s="198"/>
      <c r="T78" s="198"/>
      <c r="U78" s="198"/>
    </row>
    <row r="79" spans="1:21" s="12" customFormat="1" x14ac:dyDescent="0.25">
      <c r="A79" s="218" t="s">
        <v>1952</v>
      </c>
      <c r="B79" s="64">
        <v>1.91</v>
      </c>
      <c r="C79" s="64">
        <v>46.41</v>
      </c>
      <c r="D79" s="64">
        <v>27.79</v>
      </c>
      <c r="E79" s="64">
        <v>4.05</v>
      </c>
      <c r="F79" s="64">
        <v>44.46</v>
      </c>
      <c r="G79" s="64">
        <v>43.08</v>
      </c>
      <c r="H79" s="64">
        <v>18.36</v>
      </c>
      <c r="I79" s="64">
        <v>0.64</v>
      </c>
      <c r="J79" s="64">
        <v>0.33</v>
      </c>
      <c r="K79" s="64">
        <v>253.92</v>
      </c>
      <c r="L79" s="64">
        <v>35.83</v>
      </c>
      <c r="M79" s="64">
        <v>13.64</v>
      </c>
      <c r="N79" s="64">
        <v>21.7</v>
      </c>
      <c r="O79" s="64">
        <v>0</v>
      </c>
      <c r="P79" s="64">
        <v>0.49</v>
      </c>
      <c r="Q79" s="64">
        <v>15.4</v>
      </c>
      <c r="R79" s="198"/>
      <c r="S79" s="198"/>
      <c r="T79" s="198"/>
      <c r="U79" s="198"/>
    </row>
    <row r="80" spans="1:21" s="12" customFormat="1" x14ac:dyDescent="0.25">
      <c r="A80" s="218" t="s">
        <v>1953</v>
      </c>
      <c r="B80" s="64">
        <v>1.96</v>
      </c>
      <c r="C80" s="64">
        <v>52.88</v>
      </c>
      <c r="D80" s="64">
        <v>31.4</v>
      </c>
      <c r="E80" s="64">
        <v>4.17</v>
      </c>
      <c r="F80" s="64">
        <v>40.07</v>
      </c>
      <c r="G80" s="64">
        <v>43.08</v>
      </c>
      <c r="H80" s="64">
        <v>18.36</v>
      </c>
      <c r="I80" s="64">
        <v>0.65</v>
      </c>
      <c r="J80" s="64">
        <v>0.3</v>
      </c>
      <c r="K80" s="64">
        <v>258.72000000000003</v>
      </c>
      <c r="L80" s="64">
        <v>35.07</v>
      </c>
      <c r="M80" s="64">
        <v>15.39</v>
      </c>
      <c r="N80" s="64">
        <v>11.1</v>
      </c>
      <c r="O80" s="64">
        <v>0</v>
      </c>
      <c r="P80" s="64">
        <v>0.52</v>
      </c>
      <c r="Q80" s="64">
        <v>14.05</v>
      </c>
      <c r="R80" s="198"/>
      <c r="S80" s="198"/>
      <c r="T80" s="198"/>
      <c r="U80" s="198"/>
    </row>
    <row r="81" spans="1:26" s="12" customFormat="1" x14ac:dyDescent="0.25">
      <c r="A81" s="218" t="s">
        <v>1954</v>
      </c>
      <c r="B81" s="64">
        <v>2.16</v>
      </c>
      <c r="C81" s="64">
        <v>67.209999999999994</v>
      </c>
      <c r="D81" s="64">
        <v>39.47</v>
      </c>
      <c r="E81" s="64">
        <v>4.03</v>
      </c>
      <c r="F81" s="64">
        <v>29.53</v>
      </c>
      <c r="G81" s="64">
        <v>43.15</v>
      </c>
      <c r="H81" s="64">
        <v>18.239999999999998</v>
      </c>
      <c r="I81" s="64">
        <v>0.63</v>
      </c>
      <c r="J81" s="64">
        <v>0.08</v>
      </c>
      <c r="K81" s="64">
        <v>249.85</v>
      </c>
      <c r="L81" s="64">
        <v>34.33</v>
      </c>
      <c r="M81" s="64">
        <v>17.920000000000002</v>
      </c>
      <c r="N81" s="64">
        <v>8.9</v>
      </c>
      <c r="O81" s="64">
        <v>0</v>
      </c>
      <c r="P81" s="64">
        <v>0.68</v>
      </c>
      <c r="Q81" s="64">
        <v>12.85</v>
      </c>
      <c r="R81" s="198"/>
      <c r="S81" s="198"/>
      <c r="T81" s="198"/>
      <c r="U81" s="198"/>
    </row>
    <row r="82" spans="1:26" s="12" customFormat="1" x14ac:dyDescent="0.25">
      <c r="A82" s="218" t="s">
        <v>1955</v>
      </c>
      <c r="B82" s="64">
        <v>2.11</v>
      </c>
      <c r="C82" s="64">
        <v>63.42</v>
      </c>
      <c r="D82" s="64">
        <v>37.33</v>
      </c>
      <c r="E82" s="64">
        <v>4.2300000000000004</v>
      </c>
      <c r="F82" s="64">
        <v>35.200000000000003</v>
      </c>
      <c r="G82" s="64">
        <v>43.57</v>
      </c>
      <c r="H82" s="64">
        <v>17.760000000000002</v>
      </c>
      <c r="I82" s="64">
        <v>0.59</v>
      </c>
      <c r="J82" s="64">
        <v>0.06</v>
      </c>
      <c r="K82" s="64">
        <v>325.39</v>
      </c>
      <c r="L82" s="64">
        <v>33.67</v>
      </c>
      <c r="M82" s="64">
        <v>18.899999999999999</v>
      </c>
      <c r="N82" s="64">
        <v>5.8</v>
      </c>
      <c r="O82" s="64">
        <v>0</v>
      </c>
      <c r="P82" s="64">
        <v>0.65</v>
      </c>
      <c r="Q82" s="64">
        <v>12.57</v>
      </c>
      <c r="R82" s="198"/>
      <c r="S82" s="198"/>
      <c r="T82" s="198"/>
      <c r="U82" s="198"/>
    </row>
    <row r="83" spans="1:26" s="12" customFormat="1" x14ac:dyDescent="0.25">
      <c r="A83" s="218" t="s">
        <v>1956</v>
      </c>
      <c r="B83" s="64">
        <v>2.02</v>
      </c>
      <c r="C83" s="64">
        <v>60.47</v>
      </c>
      <c r="D83" s="64">
        <v>35.64</v>
      </c>
      <c r="E83" s="64">
        <v>4.58</v>
      </c>
      <c r="F83" s="64">
        <v>39</v>
      </c>
      <c r="G83" s="64">
        <v>43.57</v>
      </c>
      <c r="H83" s="64">
        <v>17.760000000000002</v>
      </c>
      <c r="I83" s="64">
        <v>0.64</v>
      </c>
      <c r="J83" s="64">
        <v>0.14000000000000001</v>
      </c>
      <c r="K83" s="64">
        <v>265.52999999999997</v>
      </c>
      <c r="L83" s="64">
        <v>33.229999999999997</v>
      </c>
      <c r="M83" s="64">
        <v>19.7</v>
      </c>
      <c r="N83" s="64">
        <v>4.4000000000000004</v>
      </c>
      <c r="O83" s="64">
        <v>0</v>
      </c>
      <c r="P83" s="64">
        <v>0.72</v>
      </c>
      <c r="Q83" s="64">
        <v>12.6</v>
      </c>
      <c r="R83" s="198"/>
      <c r="S83" s="198"/>
      <c r="T83" s="198"/>
      <c r="U83" s="198"/>
    </row>
    <row r="84" spans="1:26" s="12" customFormat="1" x14ac:dyDescent="0.25">
      <c r="A84" s="218" t="s">
        <v>1957</v>
      </c>
      <c r="B84" s="64">
        <v>2.14</v>
      </c>
      <c r="C84" s="64">
        <v>64.64</v>
      </c>
      <c r="D84" s="64">
        <v>38.03</v>
      </c>
      <c r="E84" s="64">
        <v>5.61</v>
      </c>
      <c r="F84" s="64">
        <v>39.07</v>
      </c>
      <c r="G84" s="64">
        <v>43.57</v>
      </c>
      <c r="H84" s="64">
        <v>17.760000000000002</v>
      </c>
      <c r="I84" s="64">
        <v>0.63</v>
      </c>
      <c r="J84" s="64">
        <v>0.14000000000000001</v>
      </c>
      <c r="K84" s="64">
        <v>264.60000000000002</v>
      </c>
      <c r="L84" s="64">
        <v>33.14</v>
      </c>
      <c r="M84" s="64">
        <v>18.809999999999999</v>
      </c>
      <c r="N84" s="64">
        <v>4.2</v>
      </c>
      <c r="O84" s="64">
        <v>0</v>
      </c>
      <c r="P84" s="64">
        <v>0.81</v>
      </c>
      <c r="Q84" s="64">
        <v>13.02</v>
      </c>
      <c r="R84" s="198"/>
      <c r="S84" s="198"/>
      <c r="T84" s="198"/>
      <c r="U84" s="198"/>
    </row>
    <row r="85" spans="1:26" s="12" customFormat="1" x14ac:dyDescent="0.25">
      <c r="A85" s="218" t="s">
        <v>1958</v>
      </c>
      <c r="B85" s="64">
        <v>5.54</v>
      </c>
      <c r="C85" s="64">
        <v>74.099999999999994</v>
      </c>
      <c r="D85" s="64">
        <v>45.98</v>
      </c>
      <c r="E85" s="64">
        <v>6.05</v>
      </c>
      <c r="F85" s="64">
        <v>33.86</v>
      </c>
      <c r="G85" s="64">
        <v>43.49</v>
      </c>
      <c r="H85" s="64">
        <v>18.010000000000002</v>
      </c>
      <c r="I85" s="64">
        <v>0.65</v>
      </c>
      <c r="J85" s="64">
        <v>0.06</v>
      </c>
      <c r="K85" s="64">
        <v>283.97000000000003</v>
      </c>
      <c r="L85" s="64">
        <v>32.630000000000003</v>
      </c>
      <c r="M85" s="64">
        <v>19.510000000000002</v>
      </c>
      <c r="N85" s="64">
        <v>4.4000000000000004</v>
      </c>
      <c r="O85" s="64">
        <v>0</v>
      </c>
      <c r="P85" s="64">
        <v>0.9</v>
      </c>
      <c r="Q85" s="64">
        <v>13.51</v>
      </c>
      <c r="R85" s="198"/>
      <c r="S85" s="198"/>
      <c r="T85" s="198"/>
      <c r="U85" s="198"/>
    </row>
    <row r="86" spans="1:26" s="12" customFormat="1" x14ac:dyDescent="0.25">
      <c r="A86" s="218" t="s">
        <v>1959</v>
      </c>
      <c r="B86" s="64">
        <v>32.65</v>
      </c>
      <c r="C86" s="64">
        <v>99.77</v>
      </c>
      <c r="D86" s="64">
        <v>81.89</v>
      </c>
      <c r="E86" s="64">
        <v>5.81</v>
      </c>
      <c r="F86" s="64">
        <v>15.4</v>
      </c>
      <c r="G86" s="64">
        <v>43.01</v>
      </c>
      <c r="H86" s="64">
        <v>19.04</v>
      </c>
      <c r="I86" s="64">
        <v>0.72</v>
      </c>
      <c r="J86" s="64">
        <v>0.15</v>
      </c>
      <c r="K86" s="64">
        <v>352.18</v>
      </c>
      <c r="L86" s="64">
        <v>31.92</v>
      </c>
      <c r="M86" s="64">
        <v>21.11</v>
      </c>
      <c r="N86" s="64">
        <v>4.3</v>
      </c>
      <c r="O86" s="64">
        <v>0</v>
      </c>
      <c r="P86" s="64">
        <v>1.8</v>
      </c>
      <c r="Q86" s="64">
        <v>13.38</v>
      </c>
      <c r="R86" s="198"/>
      <c r="S86" s="198"/>
      <c r="T86" s="198"/>
      <c r="U86" s="198"/>
    </row>
    <row r="87" spans="1:26" s="12" customFormat="1" x14ac:dyDescent="0.25">
      <c r="A87" s="218" t="s">
        <v>1960</v>
      </c>
      <c r="B87" s="64">
        <v>37.5</v>
      </c>
      <c r="C87" s="64">
        <v>112.2</v>
      </c>
      <c r="D87" s="64">
        <v>92.64</v>
      </c>
      <c r="E87" s="64">
        <v>6.47</v>
      </c>
      <c r="F87" s="64">
        <v>10.69</v>
      </c>
      <c r="G87" s="64">
        <v>43.01</v>
      </c>
      <c r="H87" s="64">
        <v>19.04</v>
      </c>
      <c r="I87" s="64">
        <v>0.72</v>
      </c>
      <c r="J87" s="64">
        <v>0.11</v>
      </c>
      <c r="K87" s="64">
        <v>7.16</v>
      </c>
      <c r="L87" s="64">
        <v>32.229999999999997</v>
      </c>
      <c r="M87" s="64">
        <v>20.059999999999999</v>
      </c>
      <c r="N87" s="64">
        <v>4.0999999999999996</v>
      </c>
      <c r="O87" s="64">
        <v>0</v>
      </c>
      <c r="P87" s="64">
        <v>2.09</v>
      </c>
      <c r="Q87" s="64">
        <v>14.21</v>
      </c>
      <c r="R87" s="198"/>
      <c r="S87" s="198"/>
      <c r="T87" s="198"/>
      <c r="U87" s="198"/>
    </row>
    <row r="88" spans="1:26" s="12" customFormat="1" x14ac:dyDescent="0.25">
      <c r="A88" s="218" t="s">
        <v>1961</v>
      </c>
      <c r="B88" s="64">
        <v>20.54</v>
      </c>
      <c r="C88" s="64">
        <v>95.64</v>
      </c>
      <c r="D88" s="64">
        <v>69.900000000000006</v>
      </c>
      <c r="E88" s="64">
        <v>3.1</v>
      </c>
      <c r="F88" s="64">
        <v>14.59</v>
      </c>
      <c r="G88" s="64">
        <v>43.01</v>
      </c>
      <c r="H88" s="64">
        <v>19.04</v>
      </c>
      <c r="I88" s="64">
        <v>0.87</v>
      </c>
      <c r="J88" s="64">
        <v>0.1</v>
      </c>
      <c r="K88" s="64">
        <v>348.8</v>
      </c>
      <c r="L88" s="64">
        <v>32.08</v>
      </c>
      <c r="M88" s="64">
        <v>20.61</v>
      </c>
      <c r="N88" s="64">
        <v>4.5</v>
      </c>
      <c r="O88" s="64">
        <v>0</v>
      </c>
      <c r="P88" s="64">
        <v>2.16</v>
      </c>
      <c r="Q88" s="64">
        <v>18.61</v>
      </c>
      <c r="R88" s="198"/>
      <c r="S88" s="198"/>
      <c r="T88" s="198"/>
      <c r="U88" s="198"/>
    </row>
    <row r="89" spans="1:26" s="12" customFormat="1" x14ac:dyDescent="0.25">
      <c r="A89" s="218" t="s">
        <v>1962</v>
      </c>
      <c r="B89" s="64">
        <v>32.6</v>
      </c>
      <c r="C89" s="64">
        <v>98.43</v>
      </c>
      <c r="D89" s="64">
        <v>81.11</v>
      </c>
      <c r="E89" s="64">
        <v>6.41</v>
      </c>
      <c r="F89" s="64">
        <v>12.46</v>
      </c>
      <c r="G89" s="64">
        <v>56.6</v>
      </c>
      <c r="H89" s="64">
        <v>20.309999999999999</v>
      </c>
      <c r="I89" s="64">
        <v>1</v>
      </c>
      <c r="J89" s="64">
        <v>0.14000000000000001</v>
      </c>
      <c r="K89" s="64">
        <v>1.26</v>
      </c>
      <c r="L89" s="64">
        <v>31.68</v>
      </c>
      <c r="M89" s="64">
        <v>21.7</v>
      </c>
      <c r="N89" s="64">
        <v>4.5</v>
      </c>
      <c r="O89" s="64">
        <v>0</v>
      </c>
      <c r="P89" s="64">
        <v>2.19</v>
      </c>
      <c r="Q89" s="64">
        <v>18.260000000000002</v>
      </c>
      <c r="R89" s="198"/>
      <c r="S89" s="198"/>
      <c r="T89" s="198"/>
      <c r="U89" s="198"/>
    </row>
    <row r="90" spans="1:26" s="12" customFormat="1" x14ac:dyDescent="0.25">
      <c r="A90" s="218" t="s">
        <v>1963</v>
      </c>
      <c r="B90" s="64">
        <v>42.69</v>
      </c>
      <c r="C90" s="64">
        <v>117.52</v>
      </c>
      <c r="D90" s="64">
        <v>99.74</v>
      </c>
      <c r="E90" s="64">
        <v>6.64</v>
      </c>
      <c r="F90" s="64">
        <v>6.71</v>
      </c>
      <c r="G90" s="64">
        <v>137.13</v>
      </c>
      <c r="H90" s="64">
        <v>27.17</v>
      </c>
      <c r="I90" s="64">
        <v>0.95</v>
      </c>
      <c r="J90" s="64">
        <v>0</v>
      </c>
      <c r="K90" s="64">
        <v>345.55</v>
      </c>
      <c r="L90" s="64">
        <v>30.65</v>
      </c>
      <c r="M90" s="64">
        <v>24.76</v>
      </c>
      <c r="N90" s="64">
        <v>5.0999999999999996</v>
      </c>
      <c r="O90" s="64">
        <v>0</v>
      </c>
      <c r="P90" s="64">
        <v>1.78</v>
      </c>
      <c r="Q90" s="64">
        <v>17.3</v>
      </c>
      <c r="R90" s="198"/>
      <c r="S90" s="198"/>
      <c r="T90" s="198"/>
      <c r="U90" s="198"/>
    </row>
    <row r="91" spans="1:26" s="12" customFormat="1" x14ac:dyDescent="0.25">
      <c r="A91" s="218" t="s">
        <v>1964</v>
      </c>
      <c r="B91" s="64">
        <v>26.51</v>
      </c>
      <c r="C91" s="64">
        <v>110.67</v>
      </c>
      <c r="D91" s="64">
        <v>82.98</v>
      </c>
      <c r="E91" s="64">
        <v>6.07</v>
      </c>
      <c r="F91" s="64">
        <v>6.03</v>
      </c>
      <c r="G91" s="64">
        <v>137.13</v>
      </c>
      <c r="H91" s="64">
        <v>27.17</v>
      </c>
      <c r="I91" s="64">
        <v>0.95</v>
      </c>
      <c r="J91" s="64">
        <v>0.1</v>
      </c>
      <c r="K91" s="64">
        <v>264.07</v>
      </c>
      <c r="L91" s="64">
        <v>29.95</v>
      </c>
      <c r="M91" s="64">
        <v>27.53</v>
      </c>
      <c r="N91" s="64">
        <v>4.8</v>
      </c>
      <c r="O91" s="64">
        <v>0</v>
      </c>
      <c r="P91" s="64">
        <v>1.58</v>
      </c>
      <c r="Q91" s="64">
        <v>19.079999999999998</v>
      </c>
      <c r="R91" s="198"/>
      <c r="S91" s="198"/>
      <c r="T91" s="198"/>
      <c r="U91" s="198"/>
    </row>
    <row r="92" spans="1:26" s="12" customFormat="1" x14ac:dyDescent="0.25">
      <c r="A92" s="218" t="s">
        <v>1965</v>
      </c>
      <c r="B92" s="64">
        <v>32.96</v>
      </c>
      <c r="C92" s="64">
        <v>93.89</v>
      </c>
      <c r="D92" s="64">
        <v>78.89</v>
      </c>
      <c r="E92" s="64">
        <v>5.89</v>
      </c>
      <c r="F92" s="64">
        <v>11.52</v>
      </c>
      <c r="G92" s="64">
        <v>137.13</v>
      </c>
      <c r="H92" s="64">
        <v>27.17</v>
      </c>
      <c r="I92" s="64">
        <v>0.94</v>
      </c>
      <c r="J92" s="64">
        <v>0.15</v>
      </c>
      <c r="K92" s="64">
        <v>316.86</v>
      </c>
      <c r="L92" s="64">
        <v>30.26</v>
      </c>
      <c r="M92" s="64">
        <v>26.55</v>
      </c>
      <c r="N92" s="64">
        <v>4.4000000000000004</v>
      </c>
      <c r="O92" s="64">
        <v>0</v>
      </c>
      <c r="P92" s="64">
        <v>1.89</v>
      </c>
      <c r="Q92" s="64">
        <v>20.25</v>
      </c>
      <c r="R92" s="198"/>
      <c r="S92" s="198"/>
      <c r="T92" s="198"/>
      <c r="U92" s="198"/>
    </row>
    <row r="93" spans="1:26" s="12" customFormat="1" x14ac:dyDescent="0.25">
      <c r="A93" s="218" t="s">
        <v>1966</v>
      </c>
      <c r="B93" s="64">
        <v>36.4</v>
      </c>
      <c r="C93" s="64">
        <v>103.02</v>
      </c>
      <c r="D93" s="64">
        <v>86.69</v>
      </c>
      <c r="E93" s="64">
        <v>5.19</v>
      </c>
      <c r="F93" s="64">
        <v>8.69</v>
      </c>
      <c r="G93" s="64">
        <v>131.78</v>
      </c>
      <c r="H93" s="64">
        <v>28.78</v>
      </c>
      <c r="I93" s="64">
        <v>0.93</v>
      </c>
      <c r="J93" s="64">
        <v>0.13</v>
      </c>
      <c r="K93" s="64">
        <v>5.3</v>
      </c>
      <c r="L93" s="64">
        <v>29.61</v>
      </c>
      <c r="M93" s="64">
        <v>27.97</v>
      </c>
      <c r="N93" s="64">
        <v>4.7</v>
      </c>
      <c r="O93" s="64">
        <v>0</v>
      </c>
      <c r="P93" s="64">
        <v>2.13</v>
      </c>
      <c r="Q93" s="64">
        <v>19.32</v>
      </c>
      <c r="R93" s="198"/>
      <c r="S93" s="198"/>
      <c r="T93" s="198"/>
      <c r="U93" s="198"/>
    </row>
    <row r="94" spans="1:26" s="12" customFormat="1" x14ac:dyDescent="0.25">
      <c r="A94" s="218" t="s">
        <v>1967</v>
      </c>
      <c r="B94" s="64">
        <v>53.28</v>
      </c>
      <c r="C94" s="64">
        <v>111.85</v>
      </c>
      <c r="D94" s="64">
        <v>105.1</v>
      </c>
      <c r="E94" s="64">
        <v>5.57</v>
      </c>
      <c r="F94" s="64">
        <v>6.28</v>
      </c>
      <c r="G94" s="64">
        <v>102.77</v>
      </c>
      <c r="H94" s="64">
        <v>35.340000000000003</v>
      </c>
      <c r="I94" s="64">
        <v>0.92</v>
      </c>
      <c r="J94" s="64">
        <v>0.06</v>
      </c>
      <c r="K94" s="64">
        <v>328.41</v>
      </c>
      <c r="L94" s="64">
        <v>29.16</v>
      </c>
      <c r="M94" s="64">
        <v>28.29</v>
      </c>
      <c r="N94" s="64">
        <v>4.9000000000000004</v>
      </c>
      <c r="O94" s="64">
        <v>0</v>
      </c>
      <c r="P94" s="64">
        <v>2.54</v>
      </c>
      <c r="Q94" s="64">
        <v>18.79</v>
      </c>
      <c r="R94" s="198"/>
      <c r="S94" s="198"/>
      <c r="T94" s="198"/>
      <c r="U94" s="198"/>
    </row>
    <row r="95" spans="1:26" s="12" customFormat="1" x14ac:dyDescent="0.25">
      <c r="A95" s="218" t="s">
        <v>1968</v>
      </c>
      <c r="B95" s="64">
        <v>58.78</v>
      </c>
      <c r="C95" s="64">
        <v>115.94</v>
      </c>
      <c r="D95" s="64">
        <v>111.77</v>
      </c>
      <c r="E95" s="64">
        <v>5.63</v>
      </c>
      <c r="F95" s="64">
        <v>6.69</v>
      </c>
      <c r="G95" s="64">
        <v>102.77</v>
      </c>
      <c r="H95" s="64">
        <v>35.340000000000003</v>
      </c>
      <c r="I95" s="64">
        <v>1.01</v>
      </c>
      <c r="J95" s="64">
        <v>0.1</v>
      </c>
      <c r="K95" s="64">
        <v>359.76</v>
      </c>
      <c r="L95" s="64">
        <v>29.04</v>
      </c>
      <c r="M95" s="64">
        <v>27.57</v>
      </c>
      <c r="N95" s="64">
        <v>4.5999999999999996</v>
      </c>
      <c r="O95" s="64">
        <v>0</v>
      </c>
      <c r="P95" s="64">
        <v>2.4300000000000002</v>
      </c>
      <c r="Q95" s="64">
        <v>18.62</v>
      </c>
      <c r="R95" s="198"/>
      <c r="S95" s="198"/>
      <c r="T95" s="198"/>
      <c r="U95" s="198"/>
    </row>
    <row r="96" spans="1:26" s="12" customFormat="1" x14ac:dyDescent="0.25">
      <c r="A96" s="218" t="s">
        <v>1969</v>
      </c>
      <c r="B96" s="64">
        <v>33.43</v>
      </c>
      <c r="C96" s="64">
        <v>98.24</v>
      </c>
      <c r="D96" s="64">
        <v>81.67</v>
      </c>
      <c r="E96" s="64">
        <v>6.1</v>
      </c>
      <c r="F96" s="64">
        <v>12.98</v>
      </c>
      <c r="G96" s="64">
        <v>102.77</v>
      </c>
      <c r="H96" s="64">
        <v>35.340000000000003</v>
      </c>
      <c r="I96" s="64">
        <v>1.08</v>
      </c>
      <c r="J96" s="64">
        <v>0.08</v>
      </c>
      <c r="K96" s="64">
        <v>339</v>
      </c>
      <c r="L96" s="64">
        <v>29.67</v>
      </c>
      <c r="M96" s="64">
        <v>24.72</v>
      </c>
      <c r="N96" s="64">
        <v>4.2</v>
      </c>
      <c r="O96" s="64">
        <v>0</v>
      </c>
      <c r="P96" s="64">
        <v>1.89</v>
      </c>
      <c r="Q96" s="64">
        <v>21.58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1970</v>
      </c>
      <c r="B97" s="64">
        <v>37.32</v>
      </c>
      <c r="C97" s="64">
        <v>104.55</v>
      </c>
      <c r="D97" s="64">
        <v>88.27</v>
      </c>
      <c r="E97" s="64">
        <v>5.25</v>
      </c>
      <c r="F97" s="64">
        <v>10.130000000000001</v>
      </c>
      <c r="G97" s="64">
        <v>103.8</v>
      </c>
      <c r="H97" s="64">
        <v>36.17</v>
      </c>
      <c r="I97" s="64">
        <v>1.03</v>
      </c>
      <c r="J97" s="64">
        <v>0.13</v>
      </c>
      <c r="K97" s="64">
        <v>4.68</v>
      </c>
      <c r="L97" s="64">
        <v>29.38</v>
      </c>
      <c r="M97" s="64">
        <v>26.17</v>
      </c>
      <c r="N97" s="64">
        <v>4.5999999999999996</v>
      </c>
      <c r="O97" s="64">
        <v>0</v>
      </c>
      <c r="P97" s="64">
        <v>2.14</v>
      </c>
      <c r="Q97" s="64">
        <v>21.9</v>
      </c>
      <c r="R97" s="198"/>
      <c r="S97" s="198"/>
      <c r="T97" s="198"/>
      <c r="U97" s="198"/>
    </row>
    <row r="98" spans="1:33" s="12" customFormat="1" x14ac:dyDescent="0.25">
      <c r="A98" s="218" t="s">
        <v>1971</v>
      </c>
      <c r="B98" s="64">
        <v>22.28</v>
      </c>
      <c r="C98" s="64">
        <v>74.349999999999994</v>
      </c>
      <c r="D98" s="64">
        <v>59.55</v>
      </c>
      <c r="E98" s="64">
        <v>5.0199999999999996</v>
      </c>
      <c r="F98" s="64">
        <v>21.06</v>
      </c>
      <c r="G98" s="64">
        <v>109.4</v>
      </c>
      <c r="H98" s="64">
        <v>39.57</v>
      </c>
      <c r="I98" s="64">
        <v>0.94</v>
      </c>
      <c r="J98" s="64">
        <v>0.11</v>
      </c>
      <c r="K98" s="64">
        <v>20.94</v>
      </c>
      <c r="L98" s="64">
        <v>29.05</v>
      </c>
      <c r="M98" s="64">
        <v>26.34</v>
      </c>
      <c r="N98" s="64">
        <v>4.7</v>
      </c>
      <c r="O98" s="64">
        <v>0</v>
      </c>
      <c r="P98" s="64">
        <v>1.57</v>
      </c>
      <c r="Q98" s="64">
        <v>23.39</v>
      </c>
      <c r="R98" s="198"/>
      <c r="S98" s="198"/>
      <c r="T98" s="198"/>
      <c r="U98" s="198"/>
    </row>
    <row r="99" spans="1:33" s="12" customFormat="1" x14ac:dyDescent="0.25">
      <c r="A99" s="218" t="s">
        <v>1972</v>
      </c>
      <c r="B99" s="64">
        <v>26.61</v>
      </c>
      <c r="C99" s="64">
        <v>77.92</v>
      </c>
      <c r="D99" s="64">
        <v>64.989999999999995</v>
      </c>
      <c r="E99" s="64">
        <v>4.49</v>
      </c>
      <c r="F99" s="64">
        <v>14.15</v>
      </c>
      <c r="G99" s="64">
        <v>109.4</v>
      </c>
      <c r="H99" s="64">
        <v>39.57</v>
      </c>
      <c r="I99" s="64">
        <v>0.92</v>
      </c>
      <c r="J99" s="64">
        <v>0.12</v>
      </c>
      <c r="K99" s="64">
        <v>20.88</v>
      </c>
      <c r="L99" s="64">
        <v>28.92</v>
      </c>
      <c r="M99" s="64">
        <v>27.23</v>
      </c>
      <c r="N99" s="64">
        <v>4.9000000000000004</v>
      </c>
      <c r="O99" s="64">
        <v>0</v>
      </c>
      <c r="P99" s="64">
        <v>1.65</v>
      </c>
      <c r="Q99" s="64">
        <v>25.3</v>
      </c>
      <c r="R99" s="198"/>
      <c r="S99" s="198"/>
      <c r="T99" s="198"/>
      <c r="U99" s="198"/>
    </row>
    <row r="100" spans="1:33" s="12" customFormat="1" x14ac:dyDescent="0.25">
      <c r="A100" s="218" t="s">
        <v>1973</v>
      </c>
      <c r="B100" s="64">
        <v>34.4</v>
      </c>
      <c r="C100" s="64">
        <v>90.73</v>
      </c>
      <c r="D100" s="64">
        <v>78.31</v>
      </c>
      <c r="E100" s="64">
        <v>4.16</v>
      </c>
      <c r="F100" s="64">
        <v>10.87</v>
      </c>
      <c r="G100" s="64">
        <v>109.4</v>
      </c>
      <c r="H100" s="64">
        <v>39.57</v>
      </c>
      <c r="I100" s="64">
        <v>0.79</v>
      </c>
      <c r="J100" s="64">
        <v>0.05</v>
      </c>
      <c r="K100" s="64">
        <v>3.56</v>
      </c>
      <c r="L100" s="64">
        <v>28.35</v>
      </c>
      <c r="M100" s="64">
        <v>27.98</v>
      </c>
      <c r="N100" s="64">
        <v>4.7</v>
      </c>
      <c r="O100" s="64">
        <v>0</v>
      </c>
      <c r="P100" s="64">
        <v>1.6</v>
      </c>
      <c r="Q100" s="64">
        <v>25.38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1974</v>
      </c>
      <c r="B101" s="64">
        <v>19.52</v>
      </c>
      <c r="C101" s="64">
        <v>74.650000000000006</v>
      </c>
      <c r="D101" s="64">
        <v>57.49</v>
      </c>
      <c r="E101" s="64">
        <v>3.75</v>
      </c>
      <c r="F101" s="64">
        <v>17.59</v>
      </c>
      <c r="G101" s="64">
        <v>107.11</v>
      </c>
      <c r="H101" s="64">
        <v>39.24</v>
      </c>
      <c r="I101" s="64">
        <v>0.72</v>
      </c>
      <c r="J101" s="64">
        <v>0.05</v>
      </c>
      <c r="K101" s="64">
        <v>330.56</v>
      </c>
      <c r="L101" s="64">
        <v>28.17</v>
      </c>
      <c r="M101" s="64">
        <v>28.31</v>
      </c>
      <c r="N101" s="64">
        <v>4.8</v>
      </c>
      <c r="O101" s="64">
        <v>0</v>
      </c>
      <c r="P101" s="64">
        <v>1.47</v>
      </c>
      <c r="Q101" s="64">
        <v>26.36</v>
      </c>
      <c r="R101" s="198"/>
      <c r="S101" s="198"/>
      <c r="T101" s="198"/>
      <c r="U101" s="198"/>
    </row>
    <row r="102" spans="1:33" s="12" customFormat="1" x14ac:dyDescent="0.25">
      <c r="A102" s="218" t="s">
        <v>1975</v>
      </c>
      <c r="B102" s="64">
        <v>24.44</v>
      </c>
      <c r="C102" s="64">
        <v>80.680000000000007</v>
      </c>
      <c r="D102" s="64">
        <v>64.77</v>
      </c>
      <c r="E102" s="64">
        <v>3.71</v>
      </c>
      <c r="F102" s="64">
        <v>16.61</v>
      </c>
      <c r="G102" s="64">
        <v>94.73</v>
      </c>
      <c r="H102" s="64">
        <v>37.86</v>
      </c>
      <c r="I102" s="64">
        <v>0.73</v>
      </c>
      <c r="J102" s="64">
        <v>0.06</v>
      </c>
      <c r="K102" s="64">
        <v>355.58</v>
      </c>
      <c r="L102" s="64">
        <v>28.02</v>
      </c>
      <c r="M102" s="64">
        <v>28.55</v>
      </c>
      <c r="N102" s="64">
        <v>4.5999999999999996</v>
      </c>
      <c r="O102" s="64">
        <v>0</v>
      </c>
      <c r="P102" s="64">
        <v>1.3</v>
      </c>
      <c r="Q102" s="64">
        <v>25.4</v>
      </c>
      <c r="R102" s="198"/>
      <c r="S102" s="198"/>
      <c r="T102" s="198"/>
      <c r="U102" s="198"/>
    </row>
    <row r="103" spans="1:33" s="12" customFormat="1" x14ac:dyDescent="0.25">
      <c r="A103" s="218" t="s">
        <v>1976</v>
      </c>
      <c r="B103" s="64">
        <v>18.190000000000001</v>
      </c>
      <c r="C103" s="64">
        <v>75.680000000000007</v>
      </c>
      <c r="D103" s="64">
        <v>57</v>
      </c>
      <c r="E103" s="64">
        <v>3.77</v>
      </c>
      <c r="F103" s="64">
        <v>14.73</v>
      </c>
      <c r="G103" s="64">
        <v>94.73</v>
      </c>
      <c r="H103" s="64">
        <v>37.86</v>
      </c>
      <c r="I103" s="64">
        <v>0.75</v>
      </c>
      <c r="J103" s="64">
        <v>0.06</v>
      </c>
      <c r="K103" s="64">
        <v>4.9000000000000004</v>
      </c>
      <c r="L103" s="64">
        <v>27.96</v>
      </c>
      <c r="M103" s="64">
        <v>28.34</v>
      </c>
      <c r="N103" s="64">
        <v>4.8</v>
      </c>
      <c r="O103" s="64">
        <v>0</v>
      </c>
      <c r="P103" s="64">
        <v>1.36</v>
      </c>
      <c r="Q103" s="64">
        <v>25.4</v>
      </c>
      <c r="R103" s="198"/>
      <c r="S103" s="198"/>
      <c r="T103" s="198"/>
      <c r="U103" s="198"/>
    </row>
    <row r="104" spans="1:33" s="12" customFormat="1" x14ac:dyDescent="0.25">
      <c r="A104" s="218" t="s">
        <v>1977</v>
      </c>
      <c r="B104" s="64">
        <v>15</v>
      </c>
      <c r="C104" s="64">
        <v>64.180000000000007</v>
      </c>
      <c r="D104" s="64">
        <v>48.09</v>
      </c>
      <c r="E104" s="64">
        <v>2.44</v>
      </c>
      <c r="F104" s="64">
        <v>23.62</v>
      </c>
      <c r="G104" s="64">
        <v>94.73</v>
      </c>
      <c r="H104" s="64">
        <v>37.86</v>
      </c>
      <c r="I104" s="64">
        <v>0.68</v>
      </c>
      <c r="J104" s="64">
        <v>0.08</v>
      </c>
      <c r="K104" s="64">
        <v>308.5</v>
      </c>
      <c r="L104" s="64">
        <v>27.84</v>
      </c>
      <c r="M104" s="64">
        <v>28.57</v>
      </c>
      <c r="N104" s="64">
        <v>4.5</v>
      </c>
      <c r="O104" s="64">
        <v>0</v>
      </c>
      <c r="P104" s="64">
        <v>1.2</v>
      </c>
      <c r="Q104" s="64">
        <v>25.58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1.91</v>
      </c>
      <c r="C106" s="67">
        <f>MIN(C9:C104)</f>
        <v>32.520000000000003</v>
      </c>
      <c r="D106" s="67">
        <f t="shared" ref="D106:Q106" si="0">MIN(D9:D104)</f>
        <v>20.43</v>
      </c>
      <c r="E106" s="67">
        <f t="shared" si="0"/>
        <v>1.85</v>
      </c>
      <c r="F106" s="67">
        <f t="shared" si="0"/>
        <v>3.24</v>
      </c>
      <c r="G106" s="67">
        <f t="shared" si="0"/>
        <v>40.130000000000003</v>
      </c>
      <c r="H106" s="67">
        <f t="shared" si="0"/>
        <v>15.82</v>
      </c>
      <c r="I106" s="67">
        <f t="shared" si="0"/>
        <v>0.54</v>
      </c>
      <c r="J106" s="67">
        <f t="shared" si="0"/>
        <v>0</v>
      </c>
      <c r="K106" s="67">
        <f t="shared" si="0"/>
        <v>1.26</v>
      </c>
      <c r="L106" s="67">
        <f t="shared" si="0"/>
        <v>23.76</v>
      </c>
      <c r="M106" s="67">
        <f t="shared" si="0"/>
        <v>8.11</v>
      </c>
      <c r="N106" s="67">
        <f t="shared" si="0"/>
        <v>3.3</v>
      </c>
      <c r="O106" s="67">
        <f t="shared" si="0"/>
        <v>0</v>
      </c>
      <c r="P106" s="67">
        <f t="shared" si="0"/>
        <v>0.4</v>
      </c>
      <c r="Q106" s="67">
        <f t="shared" si="0"/>
        <v>11.32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95.93</v>
      </c>
      <c r="C107" s="66">
        <f t="shared" ref="C107:Q107" si="1">MAX(C9:C104)</f>
        <v>117.52</v>
      </c>
      <c r="D107" s="66">
        <f t="shared" si="1"/>
        <v>121.64</v>
      </c>
      <c r="E107" s="66">
        <f t="shared" si="1"/>
        <v>9.42</v>
      </c>
      <c r="F107" s="66">
        <f t="shared" si="1"/>
        <v>63.43</v>
      </c>
      <c r="G107" s="66">
        <f t="shared" si="1"/>
        <v>137.13</v>
      </c>
      <c r="H107" s="66">
        <f t="shared" si="1"/>
        <v>41.22</v>
      </c>
      <c r="I107" s="66">
        <f t="shared" si="1"/>
        <v>1.08</v>
      </c>
      <c r="J107" s="66">
        <f t="shared" si="1"/>
        <v>1.02</v>
      </c>
      <c r="K107" s="66">
        <f t="shared" si="1"/>
        <v>359.76</v>
      </c>
      <c r="L107" s="66">
        <f t="shared" si="1"/>
        <v>42.36</v>
      </c>
      <c r="M107" s="66">
        <f t="shared" si="1"/>
        <v>49.99</v>
      </c>
      <c r="N107" s="66">
        <f t="shared" si="1"/>
        <v>808.7</v>
      </c>
      <c r="O107" s="66">
        <f t="shared" si="1"/>
        <v>0</v>
      </c>
      <c r="P107" s="66">
        <f t="shared" si="1"/>
        <v>2.54</v>
      </c>
      <c r="Q107" s="66">
        <f t="shared" si="1"/>
        <v>31.43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24.626145833333343</v>
      </c>
      <c r="C108" s="67">
        <f t="shared" ref="C108:Q108" si="2">AVERAGE(C9:C104)</f>
        <v>61.140625000000007</v>
      </c>
      <c r="D108" s="67">
        <f t="shared" si="2"/>
        <v>54.136041666666671</v>
      </c>
      <c r="E108" s="67">
        <f t="shared" si="2"/>
        <v>4.9048958333333319</v>
      </c>
      <c r="F108" s="67">
        <f t="shared" si="2"/>
        <v>20.221249999999998</v>
      </c>
      <c r="G108" s="67">
        <f t="shared" si="2"/>
        <v>77.758854166666652</v>
      </c>
      <c r="H108" s="67">
        <f t="shared" si="2"/>
        <v>30.159062500000037</v>
      </c>
      <c r="I108" s="67">
        <f t="shared" si="2"/>
        <v>0.72656250000000011</v>
      </c>
      <c r="J108" s="67">
        <f t="shared" si="2"/>
        <v>0.26385416666666656</v>
      </c>
      <c r="K108" s="67">
        <f t="shared" si="2"/>
        <v>158.44843749999998</v>
      </c>
      <c r="L108" s="67">
        <f t="shared" si="2"/>
        <v>32.068333333333335</v>
      </c>
      <c r="M108" s="67">
        <f t="shared" si="2"/>
        <v>25.804791666666674</v>
      </c>
      <c r="N108" s="67">
        <f t="shared" si="2"/>
        <v>225.85</v>
      </c>
      <c r="O108" s="67">
        <f t="shared" si="2"/>
        <v>0</v>
      </c>
      <c r="P108" s="67">
        <f t="shared" si="2"/>
        <v>1.1790625000000001</v>
      </c>
      <c r="Q108" s="67">
        <f t="shared" si="2"/>
        <v>20.818229166666658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22.272696590446508</v>
      </c>
      <c r="C109" s="67">
        <f t="shared" ref="C109:Q109" si="3">STDEV(C9:C104)</f>
        <v>20.612076624230678</v>
      </c>
      <c r="D109" s="67">
        <f t="shared" si="3"/>
        <v>24.766186093953795</v>
      </c>
      <c r="E109" s="67">
        <f t="shared" si="3"/>
        <v>1.5546832439552101</v>
      </c>
      <c r="F109" s="67">
        <f t="shared" si="3"/>
        <v>16.686463991101181</v>
      </c>
      <c r="G109" s="67">
        <f t="shared" si="3"/>
        <v>26.768730102581042</v>
      </c>
      <c r="H109" s="67">
        <f t="shared" si="3"/>
        <v>7.9975102807553373</v>
      </c>
      <c r="I109" s="67">
        <f t="shared" si="3"/>
        <v>0.11767777704616235</v>
      </c>
      <c r="J109" s="67">
        <f t="shared" si="3"/>
        <v>0.22241435864130857</v>
      </c>
      <c r="K109" s="67">
        <f t="shared" si="3"/>
        <v>136.62636142589864</v>
      </c>
      <c r="L109" s="67">
        <f t="shared" si="3"/>
        <v>6.2806162397392633</v>
      </c>
      <c r="M109" s="67">
        <f t="shared" si="3"/>
        <v>12.845779563254181</v>
      </c>
      <c r="N109" s="67">
        <f t="shared" si="3"/>
        <v>306.10021853875514</v>
      </c>
      <c r="O109" s="67">
        <f t="shared" si="3"/>
        <v>0</v>
      </c>
      <c r="P109" s="67">
        <f t="shared" si="3"/>
        <v>0.50246985376972397</v>
      </c>
      <c r="Q109" s="67">
        <f t="shared" si="3"/>
        <v>6.3005092517304382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78" sqref="G78:H8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1978</v>
      </c>
      <c r="B9" s="64">
        <v>13.13</v>
      </c>
      <c r="C9" s="64">
        <v>57.39</v>
      </c>
      <c r="D9" s="64">
        <v>42.85</v>
      </c>
      <c r="E9" s="64">
        <v>4.28</v>
      </c>
      <c r="F9" s="64">
        <v>25.98</v>
      </c>
      <c r="G9" s="64">
        <v>88.65</v>
      </c>
      <c r="H9" s="64">
        <v>37.07</v>
      </c>
      <c r="I9" s="64">
        <v>0.69</v>
      </c>
      <c r="J9" s="64">
        <v>0.13</v>
      </c>
      <c r="K9" s="64">
        <v>271.94</v>
      </c>
      <c r="L9" s="64">
        <v>28.51</v>
      </c>
      <c r="M9" s="64">
        <v>25.65</v>
      </c>
      <c r="N9" s="64">
        <v>4</v>
      </c>
      <c r="O9" s="64">
        <v>0</v>
      </c>
      <c r="P9" s="64">
        <v>1.1100000000000001</v>
      </c>
      <c r="Q9" s="64">
        <v>25.68</v>
      </c>
      <c r="R9" s="198"/>
      <c r="S9" s="198"/>
      <c r="T9" s="198"/>
      <c r="U9" s="198"/>
    </row>
    <row r="10" spans="1:21" s="12" customFormat="1" x14ac:dyDescent="0.25">
      <c r="A10" s="218" t="s">
        <v>1979</v>
      </c>
      <c r="B10" s="64">
        <v>13.71</v>
      </c>
      <c r="C10" s="64">
        <v>56.6</v>
      </c>
      <c r="D10" s="64">
        <v>42.88</v>
      </c>
      <c r="E10" s="64">
        <v>4.3899999999999997</v>
      </c>
      <c r="F10" s="64">
        <v>23.63</v>
      </c>
      <c r="G10" s="64">
        <v>55.64</v>
      </c>
      <c r="H10" s="64">
        <v>32.92</v>
      </c>
      <c r="I10" s="64">
        <v>0.65</v>
      </c>
      <c r="J10" s="64">
        <v>0.14000000000000001</v>
      </c>
      <c r="K10" s="64">
        <v>17.98</v>
      </c>
      <c r="L10" s="64">
        <v>28.23</v>
      </c>
      <c r="M10" s="64">
        <v>27.56</v>
      </c>
      <c r="N10" s="64">
        <v>4.9000000000000004</v>
      </c>
      <c r="O10" s="64">
        <v>0</v>
      </c>
      <c r="P10" s="64">
        <v>1.21</v>
      </c>
      <c r="Q10" s="64">
        <v>24.57</v>
      </c>
      <c r="R10" s="198"/>
      <c r="S10" s="198"/>
      <c r="T10" s="198"/>
      <c r="U10" s="198"/>
    </row>
    <row r="11" spans="1:21" s="12" customFormat="1" x14ac:dyDescent="0.25">
      <c r="A11" s="218" t="s">
        <v>1980</v>
      </c>
      <c r="B11" s="64">
        <v>13.21</v>
      </c>
      <c r="C11" s="64">
        <v>63.86</v>
      </c>
      <c r="D11" s="64">
        <v>46.48</v>
      </c>
      <c r="E11" s="64">
        <v>4.68</v>
      </c>
      <c r="F11" s="64">
        <v>16.52</v>
      </c>
      <c r="G11" s="64">
        <v>55.64</v>
      </c>
      <c r="H11" s="64">
        <v>32.92</v>
      </c>
      <c r="I11" s="64">
        <v>0.64</v>
      </c>
      <c r="J11" s="64">
        <v>0.06</v>
      </c>
      <c r="K11" s="64">
        <v>27.86</v>
      </c>
      <c r="L11" s="64">
        <v>27</v>
      </c>
      <c r="M11" s="64">
        <v>31.34</v>
      </c>
      <c r="N11" s="64">
        <v>5</v>
      </c>
      <c r="O11" s="64">
        <v>0</v>
      </c>
      <c r="P11" s="64">
        <v>1.27</v>
      </c>
      <c r="Q11" s="64">
        <v>23.88</v>
      </c>
      <c r="R11" s="198"/>
      <c r="S11" s="198"/>
      <c r="T11" s="198"/>
      <c r="U11" s="198"/>
    </row>
    <row r="12" spans="1:21" s="12" customFormat="1" x14ac:dyDescent="0.25">
      <c r="A12" s="218" t="s">
        <v>1981</v>
      </c>
      <c r="B12" s="64">
        <v>9.32</v>
      </c>
      <c r="C12" s="64">
        <v>48.51</v>
      </c>
      <c r="D12" s="64">
        <v>34.89</v>
      </c>
      <c r="E12" s="64">
        <v>5.16</v>
      </c>
      <c r="F12" s="64">
        <v>25.7</v>
      </c>
      <c r="G12" s="64">
        <v>55.64</v>
      </c>
      <c r="H12" s="64">
        <v>32.92</v>
      </c>
      <c r="I12" s="64">
        <v>0.65</v>
      </c>
      <c r="J12" s="64">
        <v>0.13</v>
      </c>
      <c r="K12" s="64">
        <v>261.95999999999998</v>
      </c>
      <c r="L12" s="64">
        <v>27.23</v>
      </c>
      <c r="M12" s="64">
        <v>30.58</v>
      </c>
      <c r="N12" s="64">
        <v>4</v>
      </c>
      <c r="O12" s="64">
        <v>0</v>
      </c>
      <c r="P12" s="64">
        <v>1.1499999999999999</v>
      </c>
      <c r="Q12" s="64">
        <v>24.34</v>
      </c>
      <c r="R12" s="198"/>
      <c r="S12" s="198"/>
      <c r="T12" s="198"/>
      <c r="U12" s="198"/>
    </row>
    <row r="13" spans="1:21" s="12" customFormat="1" x14ac:dyDescent="0.25">
      <c r="A13" s="218" t="s">
        <v>1982</v>
      </c>
      <c r="B13" s="64">
        <v>10.98</v>
      </c>
      <c r="C13" s="64">
        <v>49.66</v>
      </c>
      <c r="D13" s="64">
        <v>36.86</v>
      </c>
      <c r="E13" s="64">
        <v>4.75</v>
      </c>
      <c r="F13" s="64">
        <v>20.170000000000002</v>
      </c>
      <c r="G13" s="64">
        <v>58.96</v>
      </c>
      <c r="H13" s="64">
        <v>32.71</v>
      </c>
      <c r="I13" s="64">
        <v>0.68</v>
      </c>
      <c r="J13" s="64">
        <v>0.16</v>
      </c>
      <c r="K13" s="64">
        <v>14.26</v>
      </c>
      <c r="L13" s="64">
        <v>26.55</v>
      </c>
      <c r="M13" s="64">
        <v>34.159999999999997</v>
      </c>
      <c r="N13" s="64">
        <v>5.0999999999999996</v>
      </c>
      <c r="O13" s="64">
        <v>0</v>
      </c>
      <c r="P13" s="64">
        <v>1.1399999999999999</v>
      </c>
      <c r="Q13" s="64">
        <v>24.23</v>
      </c>
      <c r="R13" s="198"/>
      <c r="S13" s="198"/>
      <c r="T13" s="198"/>
      <c r="U13" s="198"/>
    </row>
    <row r="14" spans="1:21" s="12" customFormat="1" x14ac:dyDescent="0.25">
      <c r="A14" s="218" t="s">
        <v>1983</v>
      </c>
      <c r="B14" s="64">
        <v>8.85</v>
      </c>
      <c r="C14" s="64">
        <v>48.26</v>
      </c>
      <c r="D14" s="64">
        <v>34.369999999999997</v>
      </c>
      <c r="E14" s="64">
        <v>4.51</v>
      </c>
      <c r="F14" s="64">
        <v>19.09</v>
      </c>
      <c r="G14" s="64">
        <v>78.58</v>
      </c>
      <c r="H14" s="64">
        <v>31.84</v>
      </c>
      <c r="I14" s="64">
        <v>0.62</v>
      </c>
      <c r="J14" s="64">
        <v>0.08</v>
      </c>
      <c r="K14" s="64">
        <v>285.91000000000003</v>
      </c>
      <c r="L14" s="64">
        <v>25.79</v>
      </c>
      <c r="M14" s="64">
        <v>35.950000000000003</v>
      </c>
      <c r="N14" s="64">
        <v>4.7</v>
      </c>
      <c r="O14" s="64">
        <v>0</v>
      </c>
      <c r="P14" s="64">
        <v>1.17</v>
      </c>
      <c r="Q14" s="64">
        <v>24.23</v>
      </c>
      <c r="R14" s="198"/>
      <c r="S14" s="198"/>
      <c r="T14" s="198"/>
      <c r="U14" s="198"/>
    </row>
    <row r="15" spans="1:21" s="12" customFormat="1" x14ac:dyDescent="0.25">
      <c r="A15" s="218" t="s">
        <v>1984</v>
      </c>
      <c r="B15" s="64">
        <v>10.64</v>
      </c>
      <c r="C15" s="64">
        <v>49.85</v>
      </c>
      <c r="D15" s="64">
        <v>36.69</v>
      </c>
      <c r="E15" s="64">
        <v>3.48</v>
      </c>
      <c r="F15" s="64">
        <v>12.99</v>
      </c>
      <c r="G15" s="64">
        <v>78.58</v>
      </c>
      <c r="H15" s="64">
        <v>31.84</v>
      </c>
      <c r="I15" s="64">
        <v>0.62</v>
      </c>
      <c r="J15" s="64">
        <v>0.11</v>
      </c>
      <c r="K15" s="64">
        <v>16.54</v>
      </c>
      <c r="L15" s="64">
        <v>25.42</v>
      </c>
      <c r="M15" s="64">
        <v>40.380000000000003</v>
      </c>
      <c r="N15" s="64">
        <v>5</v>
      </c>
      <c r="O15" s="64">
        <v>0</v>
      </c>
      <c r="P15" s="64">
        <v>1.23</v>
      </c>
      <c r="Q15" s="64">
        <v>24.63</v>
      </c>
      <c r="R15" s="198"/>
      <c r="S15" s="198"/>
      <c r="T15" s="198"/>
      <c r="U15" s="198"/>
    </row>
    <row r="16" spans="1:21" s="12" customFormat="1" x14ac:dyDescent="0.25">
      <c r="A16" s="218" t="s">
        <v>1985</v>
      </c>
      <c r="B16" s="64">
        <v>10.17</v>
      </c>
      <c r="C16" s="64">
        <v>47.94</v>
      </c>
      <c r="D16" s="64">
        <v>35.25</v>
      </c>
      <c r="E16" s="64">
        <v>4.96</v>
      </c>
      <c r="F16" s="64">
        <v>15.33</v>
      </c>
      <c r="G16" s="64">
        <v>78.58</v>
      </c>
      <c r="H16" s="64">
        <v>31.84</v>
      </c>
      <c r="I16" s="64">
        <v>0.64</v>
      </c>
      <c r="J16" s="64">
        <v>7.0000000000000007E-2</v>
      </c>
      <c r="K16" s="64">
        <v>311.49</v>
      </c>
      <c r="L16" s="64">
        <v>25.42</v>
      </c>
      <c r="M16" s="64">
        <v>38.4</v>
      </c>
      <c r="N16" s="64">
        <v>4.5999999999999996</v>
      </c>
      <c r="O16" s="64">
        <v>0</v>
      </c>
      <c r="P16" s="64">
        <v>1.19</v>
      </c>
      <c r="Q16" s="64">
        <v>24.05</v>
      </c>
      <c r="R16" s="198"/>
      <c r="S16" s="198"/>
      <c r="T16" s="198"/>
      <c r="U16" s="198"/>
    </row>
    <row r="17" spans="1:21" s="12" customFormat="1" x14ac:dyDescent="0.25">
      <c r="A17" s="218" t="s">
        <v>1986</v>
      </c>
      <c r="B17" s="64">
        <v>12.26</v>
      </c>
      <c r="C17" s="64">
        <v>54.11</v>
      </c>
      <c r="D17" s="64">
        <v>40.340000000000003</v>
      </c>
      <c r="E17" s="64">
        <v>6.36</v>
      </c>
      <c r="F17" s="64">
        <v>13.05</v>
      </c>
      <c r="G17" s="64">
        <v>80.209999999999994</v>
      </c>
      <c r="H17" s="64">
        <v>31.57</v>
      </c>
      <c r="I17" s="64">
        <v>0.66</v>
      </c>
      <c r="J17" s="64">
        <v>7.0000000000000007E-2</v>
      </c>
      <c r="K17" s="64">
        <v>306.81</v>
      </c>
      <c r="L17" s="64">
        <v>25.29</v>
      </c>
      <c r="M17" s="64">
        <v>38.51</v>
      </c>
      <c r="N17" s="64">
        <v>4.7</v>
      </c>
      <c r="O17" s="64">
        <v>0</v>
      </c>
      <c r="P17" s="64">
        <v>1.27</v>
      </c>
      <c r="Q17" s="64">
        <v>22.82</v>
      </c>
      <c r="R17" s="198"/>
      <c r="S17" s="198"/>
      <c r="T17" s="198"/>
      <c r="U17" s="198"/>
    </row>
    <row r="18" spans="1:21" s="12" customFormat="1" x14ac:dyDescent="0.25">
      <c r="A18" s="218" t="s">
        <v>1987</v>
      </c>
      <c r="B18" s="64">
        <v>9.1199999999999992</v>
      </c>
      <c r="C18" s="64">
        <v>50.28</v>
      </c>
      <c r="D18" s="64">
        <v>35.700000000000003</v>
      </c>
      <c r="E18" s="64">
        <v>7.55</v>
      </c>
      <c r="F18" s="64">
        <v>10.8</v>
      </c>
      <c r="G18" s="64">
        <v>89.86</v>
      </c>
      <c r="H18" s="64">
        <v>30.47</v>
      </c>
      <c r="I18" s="64">
        <v>0.65</v>
      </c>
      <c r="J18" s="64">
        <v>0.11</v>
      </c>
      <c r="K18" s="64">
        <v>273.26</v>
      </c>
      <c r="L18" s="64">
        <v>25.55</v>
      </c>
      <c r="M18" s="64">
        <v>37.89</v>
      </c>
      <c r="N18" s="64">
        <v>4.5</v>
      </c>
      <c r="O18" s="64">
        <v>0</v>
      </c>
      <c r="P18" s="64">
        <v>1.32</v>
      </c>
      <c r="Q18" s="64">
        <v>21.75</v>
      </c>
      <c r="R18" s="198"/>
      <c r="S18" s="198"/>
      <c r="T18" s="198"/>
      <c r="U18" s="198"/>
    </row>
    <row r="19" spans="1:21" s="12" customFormat="1" x14ac:dyDescent="0.25">
      <c r="A19" s="218" t="s">
        <v>1988</v>
      </c>
      <c r="B19" s="64">
        <v>8.5</v>
      </c>
      <c r="C19" s="64">
        <v>48.65</v>
      </c>
      <c r="D19" s="64">
        <v>34.31</v>
      </c>
      <c r="E19" s="64">
        <v>9.1</v>
      </c>
      <c r="F19" s="64">
        <v>11.66</v>
      </c>
      <c r="G19" s="64">
        <v>89.86</v>
      </c>
      <c r="H19" s="64">
        <v>30.47</v>
      </c>
      <c r="I19" s="64">
        <v>0.64</v>
      </c>
      <c r="J19" s="64">
        <v>0.1</v>
      </c>
      <c r="K19" s="64">
        <v>305.23</v>
      </c>
      <c r="L19" s="64">
        <v>25.46</v>
      </c>
      <c r="M19" s="64">
        <v>36.979999999999997</v>
      </c>
      <c r="N19" s="64">
        <v>4.7</v>
      </c>
      <c r="O19" s="64">
        <v>0</v>
      </c>
      <c r="P19" s="64">
        <v>1.38</v>
      </c>
      <c r="Q19" s="64">
        <v>21.02</v>
      </c>
      <c r="R19" s="198"/>
      <c r="S19" s="198"/>
      <c r="T19" s="198"/>
      <c r="U19" s="198"/>
    </row>
    <row r="20" spans="1:21" s="12" customFormat="1" x14ac:dyDescent="0.25">
      <c r="A20" s="218" t="s">
        <v>1989</v>
      </c>
      <c r="B20" s="64">
        <v>7.99</v>
      </c>
      <c r="C20" s="64">
        <v>49.48</v>
      </c>
      <c r="D20" s="64">
        <v>34.36</v>
      </c>
      <c r="E20" s="64">
        <v>9.33</v>
      </c>
      <c r="F20" s="64">
        <v>10.16</v>
      </c>
      <c r="G20" s="64">
        <v>89.86</v>
      </c>
      <c r="H20" s="64">
        <v>30.47</v>
      </c>
      <c r="I20" s="64">
        <v>0.65</v>
      </c>
      <c r="J20" s="64">
        <v>0.05</v>
      </c>
      <c r="K20" s="64">
        <v>10.5</v>
      </c>
      <c r="L20" s="64">
        <v>25.27</v>
      </c>
      <c r="M20" s="64">
        <v>38.74</v>
      </c>
      <c r="N20" s="64">
        <v>4.8</v>
      </c>
      <c r="O20" s="64">
        <v>0</v>
      </c>
      <c r="P20" s="64">
        <v>1.33</v>
      </c>
      <c r="Q20" s="64">
        <v>20.350000000000001</v>
      </c>
      <c r="R20" s="198"/>
      <c r="S20" s="198"/>
      <c r="T20" s="198"/>
      <c r="U20" s="198"/>
    </row>
    <row r="21" spans="1:21" s="12" customFormat="1" x14ac:dyDescent="0.25">
      <c r="A21" s="218" t="s">
        <v>1990</v>
      </c>
      <c r="B21" s="64">
        <v>8.0399999999999991</v>
      </c>
      <c r="C21" s="64">
        <v>47.48</v>
      </c>
      <c r="D21" s="64">
        <v>33.299999999999997</v>
      </c>
      <c r="E21" s="64">
        <v>8.43</v>
      </c>
      <c r="F21" s="64">
        <v>11.84</v>
      </c>
      <c r="G21" s="64">
        <v>87.21</v>
      </c>
      <c r="H21" s="64">
        <v>30.99</v>
      </c>
      <c r="I21" s="64">
        <v>0.62</v>
      </c>
      <c r="J21" s="64">
        <v>0.17</v>
      </c>
      <c r="K21" s="64">
        <v>7.34</v>
      </c>
      <c r="L21" s="64">
        <v>25.28</v>
      </c>
      <c r="M21" s="64">
        <v>36.42</v>
      </c>
      <c r="N21" s="64">
        <v>4.4000000000000004</v>
      </c>
      <c r="O21" s="64">
        <v>0</v>
      </c>
      <c r="P21" s="64">
        <v>1.29</v>
      </c>
      <c r="Q21" s="64">
        <v>19.54</v>
      </c>
      <c r="R21" s="198"/>
      <c r="S21" s="198"/>
      <c r="T21" s="198"/>
      <c r="U21" s="198"/>
    </row>
    <row r="22" spans="1:21" s="12" customFormat="1" x14ac:dyDescent="0.25">
      <c r="A22" s="218" t="s">
        <v>1991</v>
      </c>
      <c r="B22" s="64">
        <v>7.72</v>
      </c>
      <c r="C22" s="64">
        <v>45.28</v>
      </c>
      <c r="D22" s="64">
        <v>31.83</v>
      </c>
      <c r="E22" s="64">
        <v>6.38</v>
      </c>
      <c r="F22" s="64">
        <v>12.51</v>
      </c>
      <c r="G22" s="64">
        <v>71.53</v>
      </c>
      <c r="H22" s="64">
        <v>33.119999999999997</v>
      </c>
      <c r="I22" s="64">
        <v>0.61</v>
      </c>
      <c r="J22" s="64">
        <v>0.14000000000000001</v>
      </c>
      <c r="K22" s="64">
        <v>44.66</v>
      </c>
      <c r="L22" s="64">
        <v>25.64</v>
      </c>
      <c r="M22" s="64">
        <v>32.49</v>
      </c>
      <c r="N22" s="64">
        <v>4.2</v>
      </c>
      <c r="O22" s="64">
        <v>0</v>
      </c>
      <c r="P22" s="64">
        <v>1.24</v>
      </c>
      <c r="Q22" s="64">
        <v>18.510000000000002</v>
      </c>
      <c r="R22" s="198"/>
      <c r="S22" s="198"/>
      <c r="T22" s="198"/>
      <c r="U22" s="198"/>
    </row>
    <row r="23" spans="1:21" s="12" customFormat="1" x14ac:dyDescent="0.25">
      <c r="A23" s="218" t="s">
        <v>1992</v>
      </c>
      <c r="B23" s="64">
        <v>7.13</v>
      </c>
      <c r="C23" s="64">
        <v>44.45</v>
      </c>
      <c r="D23" s="64">
        <v>30.9</v>
      </c>
      <c r="E23" s="64">
        <v>6.52</v>
      </c>
      <c r="F23" s="64">
        <v>12.48</v>
      </c>
      <c r="G23" s="64">
        <v>71.53</v>
      </c>
      <c r="H23" s="64">
        <v>33.119999999999997</v>
      </c>
      <c r="I23" s="64">
        <v>0.62</v>
      </c>
      <c r="J23" s="64">
        <v>0.08</v>
      </c>
      <c r="K23" s="64">
        <v>40.5</v>
      </c>
      <c r="L23" s="64">
        <v>25.73</v>
      </c>
      <c r="M23" s="64">
        <v>32.049999999999997</v>
      </c>
      <c r="N23" s="64">
        <v>4.4000000000000004</v>
      </c>
      <c r="O23" s="64">
        <v>0</v>
      </c>
      <c r="P23" s="64">
        <v>1.19</v>
      </c>
      <c r="Q23" s="64">
        <v>18.29</v>
      </c>
      <c r="R23" s="198"/>
      <c r="S23" s="198"/>
      <c r="T23" s="198"/>
      <c r="U23" s="198"/>
    </row>
    <row r="24" spans="1:21" s="12" customFormat="1" x14ac:dyDescent="0.25">
      <c r="A24" s="218" t="s">
        <v>1993</v>
      </c>
      <c r="B24" s="64">
        <v>7.96</v>
      </c>
      <c r="C24" s="64">
        <v>46.65</v>
      </c>
      <c r="D24" s="64">
        <v>32.770000000000003</v>
      </c>
      <c r="E24" s="64">
        <v>3.25</v>
      </c>
      <c r="F24" s="64">
        <v>12.55</v>
      </c>
      <c r="G24" s="64">
        <v>71.53</v>
      </c>
      <c r="H24" s="64">
        <v>33.119999999999997</v>
      </c>
      <c r="I24" s="64">
        <v>0.64</v>
      </c>
      <c r="J24" s="64">
        <v>0.16</v>
      </c>
      <c r="K24" s="64">
        <v>13.11</v>
      </c>
      <c r="L24" s="64">
        <v>25.25</v>
      </c>
      <c r="M24" s="64">
        <v>34.630000000000003</v>
      </c>
      <c r="N24" s="64">
        <v>4.8</v>
      </c>
      <c r="O24" s="64">
        <v>0</v>
      </c>
      <c r="P24" s="64">
        <v>1.19</v>
      </c>
      <c r="Q24" s="64">
        <v>18.55</v>
      </c>
      <c r="R24" s="198"/>
      <c r="S24" s="198"/>
      <c r="T24" s="198"/>
      <c r="U24" s="198"/>
    </row>
    <row r="25" spans="1:21" s="12" customFormat="1" x14ac:dyDescent="0.25">
      <c r="A25" s="218" t="s">
        <v>1994</v>
      </c>
      <c r="B25" s="64">
        <v>7.78</v>
      </c>
      <c r="C25" s="64">
        <v>42.67</v>
      </c>
      <c r="D25" s="64">
        <v>30.43</v>
      </c>
      <c r="E25" s="64">
        <v>4.07</v>
      </c>
      <c r="F25" s="64">
        <v>7.7</v>
      </c>
      <c r="G25" s="64">
        <v>71.84</v>
      </c>
      <c r="H25" s="64">
        <v>33</v>
      </c>
      <c r="I25" s="64">
        <v>0.61</v>
      </c>
      <c r="J25" s="64">
        <v>0.55000000000000004</v>
      </c>
      <c r="K25" s="64">
        <v>249.8</v>
      </c>
      <c r="L25" s="64">
        <v>25.44</v>
      </c>
      <c r="M25" s="64">
        <v>36.06</v>
      </c>
      <c r="N25" s="64">
        <v>3.8</v>
      </c>
      <c r="O25" s="64">
        <v>0</v>
      </c>
      <c r="P25" s="64">
        <v>1.24</v>
      </c>
      <c r="Q25" s="64">
        <v>18.54</v>
      </c>
      <c r="R25" s="198"/>
      <c r="S25" s="198"/>
      <c r="T25" s="198"/>
      <c r="U25" s="198"/>
    </row>
    <row r="26" spans="1:21" s="12" customFormat="1" x14ac:dyDescent="0.25">
      <c r="A26" s="218" t="s">
        <v>1995</v>
      </c>
      <c r="B26" s="64">
        <v>8.2799999999999994</v>
      </c>
      <c r="C26" s="64">
        <v>42.92</v>
      </c>
      <c r="D26" s="64">
        <v>30.97</v>
      </c>
      <c r="E26" s="64">
        <v>3.71</v>
      </c>
      <c r="F26" s="64">
        <v>6.46</v>
      </c>
      <c r="G26" s="64">
        <v>73.67</v>
      </c>
      <c r="H26" s="64">
        <v>32.29</v>
      </c>
      <c r="I26" s="64">
        <v>0.61</v>
      </c>
      <c r="J26" s="64">
        <v>0.1</v>
      </c>
      <c r="K26" s="64">
        <v>23.18</v>
      </c>
      <c r="L26" s="64">
        <v>24.43</v>
      </c>
      <c r="M26" s="64">
        <v>41.08</v>
      </c>
      <c r="N26" s="64">
        <v>5.2</v>
      </c>
      <c r="O26" s="64">
        <v>0</v>
      </c>
      <c r="P26" s="64">
        <v>1.26</v>
      </c>
      <c r="Q26" s="64">
        <v>18.12</v>
      </c>
      <c r="R26" s="198"/>
      <c r="S26" s="198"/>
      <c r="T26" s="198"/>
      <c r="U26" s="198"/>
    </row>
    <row r="27" spans="1:21" s="12" customFormat="1" x14ac:dyDescent="0.25">
      <c r="A27" s="218" t="s">
        <v>1996</v>
      </c>
      <c r="B27" s="64">
        <v>9.57</v>
      </c>
      <c r="C27" s="64">
        <v>45.02</v>
      </c>
      <c r="D27" s="64">
        <v>33.159999999999997</v>
      </c>
      <c r="E27" s="64">
        <v>3.06</v>
      </c>
      <c r="F27" s="64">
        <v>5.63</v>
      </c>
      <c r="G27" s="64">
        <v>73.67</v>
      </c>
      <c r="H27" s="64">
        <v>32.29</v>
      </c>
      <c r="I27" s="64">
        <v>0.64</v>
      </c>
      <c r="J27" s="64">
        <v>0.25</v>
      </c>
      <c r="K27" s="64">
        <v>2.93</v>
      </c>
      <c r="L27" s="64">
        <v>24.31</v>
      </c>
      <c r="M27" s="64">
        <v>40.69</v>
      </c>
      <c r="N27" s="64">
        <v>4.4000000000000004</v>
      </c>
      <c r="O27" s="64">
        <v>0</v>
      </c>
      <c r="P27" s="64">
        <v>1.29</v>
      </c>
      <c r="Q27" s="64">
        <v>18.7</v>
      </c>
      <c r="R27" s="198"/>
      <c r="S27" s="198"/>
      <c r="T27" s="198"/>
      <c r="U27" s="198"/>
    </row>
    <row r="28" spans="1:21" s="12" customFormat="1" x14ac:dyDescent="0.25">
      <c r="A28" s="218" t="s">
        <v>1997</v>
      </c>
      <c r="B28" s="64">
        <v>8.3000000000000007</v>
      </c>
      <c r="C28" s="64">
        <v>42.98</v>
      </c>
      <c r="D28" s="64">
        <v>31.02</v>
      </c>
      <c r="E28" s="64">
        <v>4.6900000000000004</v>
      </c>
      <c r="F28" s="64">
        <v>7.39</v>
      </c>
      <c r="G28" s="64">
        <v>73.67</v>
      </c>
      <c r="H28" s="64">
        <v>32.29</v>
      </c>
      <c r="I28" s="64">
        <v>0.65</v>
      </c>
      <c r="J28" s="64">
        <v>0.14000000000000001</v>
      </c>
      <c r="K28" s="64">
        <v>26.85</v>
      </c>
      <c r="L28" s="64">
        <v>24.09</v>
      </c>
      <c r="M28" s="64">
        <v>40.72</v>
      </c>
      <c r="N28" s="64">
        <v>4.7</v>
      </c>
      <c r="O28" s="64">
        <v>0</v>
      </c>
      <c r="P28" s="64">
        <v>1.33</v>
      </c>
      <c r="Q28" s="64">
        <v>17.420000000000002</v>
      </c>
      <c r="R28" s="198"/>
      <c r="S28" s="198"/>
      <c r="T28" s="198"/>
      <c r="U28" s="198"/>
    </row>
    <row r="29" spans="1:21" s="12" customFormat="1" x14ac:dyDescent="0.25">
      <c r="A29" s="218" t="s">
        <v>1998</v>
      </c>
      <c r="B29" s="64">
        <v>7.92</v>
      </c>
      <c r="C29" s="64">
        <v>43.25</v>
      </c>
      <c r="D29" s="64">
        <v>30.87</v>
      </c>
      <c r="E29" s="64">
        <v>5.51</v>
      </c>
      <c r="F29" s="64">
        <v>6.99</v>
      </c>
      <c r="G29" s="64">
        <v>74.97</v>
      </c>
      <c r="H29" s="64">
        <v>32.15</v>
      </c>
      <c r="I29" s="64">
        <v>0.66</v>
      </c>
      <c r="J29" s="64">
        <v>0.18</v>
      </c>
      <c r="K29" s="64">
        <v>18.239999999999998</v>
      </c>
      <c r="L29" s="64">
        <v>24.28</v>
      </c>
      <c r="M29" s="64">
        <v>38.79</v>
      </c>
      <c r="N29" s="64">
        <v>4.3</v>
      </c>
      <c r="O29" s="64">
        <v>0</v>
      </c>
      <c r="P29" s="64">
        <v>1.36</v>
      </c>
      <c r="Q29" s="64">
        <v>16.36</v>
      </c>
      <c r="R29" s="198"/>
      <c r="S29" s="198"/>
      <c r="T29" s="198"/>
      <c r="U29" s="198"/>
    </row>
    <row r="30" spans="1:21" s="12" customFormat="1" x14ac:dyDescent="0.25">
      <c r="A30" s="218" t="s">
        <v>1999</v>
      </c>
      <c r="B30" s="64">
        <v>9.66</v>
      </c>
      <c r="C30" s="64">
        <v>45.69</v>
      </c>
      <c r="D30" s="64">
        <v>33.61</v>
      </c>
      <c r="E30" s="64">
        <v>4.12</v>
      </c>
      <c r="F30" s="64">
        <v>5.46</v>
      </c>
      <c r="G30" s="64">
        <v>82.04</v>
      </c>
      <c r="H30" s="64">
        <v>31.57</v>
      </c>
      <c r="I30" s="64">
        <v>0.61</v>
      </c>
      <c r="J30" s="64">
        <v>0.42</v>
      </c>
      <c r="K30" s="64">
        <v>10.039999999999999</v>
      </c>
      <c r="L30" s="64">
        <v>24.39</v>
      </c>
      <c r="M30" s="64">
        <v>37.14</v>
      </c>
      <c r="N30" s="64">
        <v>3.9</v>
      </c>
      <c r="O30" s="64">
        <v>0</v>
      </c>
      <c r="P30" s="64">
        <v>1.34</v>
      </c>
      <c r="Q30" s="64">
        <v>15.78</v>
      </c>
      <c r="R30" s="198"/>
      <c r="S30" s="198"/>
      <c r="T30" s="198"/>
      <c r="U30" s="198"/>
    </row>
    <row r="31" spans="1:21" s="12" customFormat="1" x14ac:dyDescent="0.25">
      <c r="A31" s="218" t="s">
        <v>2000</v>
      </c>
      <c r="B31" s="64">
        <v>8.34</v>
      </c>
      <c r="C31" s="64">
        <v>44.04</v>
      </c>
      <c r="D31" s="64">
        <v>31.64</v>
      </c>
      <c r="E31" s="64">
        <v>2.2599999999999998</v>
      </c>
      <c r="F31" s="64">
        <v>3.76</v>
      </c>
      <c r="G31" s="64">
        <v>82.04</v>
      </c>
      <c r="H31" s="64">
        <v>31.57</v>
      </c>
      <c r="I31" s="64">
        <v>0.62</v>
      </c>
      <c r="J31" s="64">
        <v>0.53</v>
      </c>
      <c r="K31" s="64">
        <v>3.35</v>
      </c>
      <c r="L31" s="64">
        <v>24.77</v>
      </c>
      <c r="M31" s="64">
        <v>34.4</v>
      </c>
      <c r="N31" s="64">
        <v>8</v>
      </c>
      <c r="O31" s="64">
        <v>0</v>
      </c>
      <c r="P31" s="64">
        <v>1.32</v>
      </c>
      <c r="Q31" s="64">
        <v>15.31</v>
      </c>
      <c r="R31" s="198"/>
      <c r="S31" s="198"/>
      <c r="T31" s="198"/>
      <c r="U31" s="198"/>
    </row>
    <row r="32" spans="1:21" s="12" customFormat="1" x14ac:dyDescent="0.25">
      <c r="A32" s="218" t="s">
        <v>2001</v>
      </c>
      <c r="B32" s="64">
        <v>8.7899999999999991</v>
      </c>
      <c r="C32" s="64">
        <v>44.27</v>
      </c>
      <c r="D32" s="64">
        <v>32.119999999999997</v>
      </c>
      <c r="E32" s="64">
        <v>3.58</v>
      </c>
      <c r="F32" s="64">
        <v>6</v>
      </c>
      <c r="G32" s="64">
        <v>82.04</v>
      </c>
      <c r="H32" s="64">
        <v>31.57</v>
      </c>
      <c r="I32" s="64">
        <v>0.66</v>
      </c>
      <c r="J32" s="64">
        <v>0.43</v>
      </c>
      <c r="K32" s="64">
        <v>3.72</v>
      </c>
      <c r="L32" s="64">
        <v>24.92</v>
      </c>
      <c r="M32" s="64">
        <v>33.450000000000003</v>
      </c>
      <c r="N32" s="64">
        <v>20.9</v>
      </c>
      <c r="O32" s="64">
        <v>0</v>
      </c>
      <c r="P32" s="64">
        <v>1.28</v>
      </c>
      <c r="Q32" s="64">
        <v>14.64</v>
      </c>
      <c r="R32" s="198"/>
      <c r="S32" s="198"/>
      <c r="T32" s="198"/>
      <c r="U32" s="198"/>
    </row>
    <row r="33" spans="1:21" s="12" customFormat="1" x14ac:dyDescent="0.25">
      <c r="A33" s="218" t="s">
        <v>2002</v>
      </c>
      <c r="B33" s="64">
        <v>9.43</v>
      </c>
      <c r="C33" s="64">
        <v>45.44</v>
      </c>
      <c r="D33" s="64">
        <v>33.29</v>
      </c>
      <c r="E33" s="64">
        <v>2.84</v>
      </c>
      <c r="F33" s="64">
        <v>5.52</v>
      </c>
      <c r="G33" s="64">
        <v>79.33</v>
      </c>
      <c r="H33" s="64">
        <v>31.59</v>
      </c>
      <c r="I33" s="64">
        <v>0.63</v>
      </c>
      <c r="J33" s="64">
        <v>0.49</v>
      </c>
      <c r="K33" s="64">
        <v>8.9600000000000009</v>
      </c>
      <c r="L33" s="64">
        <v>25.27</v>
      </c>
      <c r="M33" s="64">
        <v>32.71</v>
      </c>
      <c r="N33" s="64">
        <v>48.7</v>
      </c>
      <c r="O33" s="64">
        <v>0</v>
      </c>
      <c r="P33" s="64">
        <v>1.27</v>
      </c>
      <c r="Q33" s="64">
        <v>13.89</v>
      </c>
      <c r="R33" s="198"/>
      <c r="S33" s="198"/>
      <c r="T33" s="198"/>
      <c r="U33" s="198"/>
    </row>
    <row r="34" spans="1:21" s="12" customFormat="1" x14ac:dyDescent="0.25">
      <c r="A34" s="218" t="s">
        <v>2003</v>
      </c>
      <c r="B34" s="64">
        <v>9.4</v>
      </c>
      <c r="C34" s="64">
        <v>45.84</v>
      </c>
      <c r="D34" s="64">
        <v>33.49</v>
      </c>
      <c r="E34" s="64">
        <v>4.3499999999999996</v>
      </c>
      <c r="F34" s="64">
        <v>8.0299999999999994</v>
      </c>
      <c r="G34" s="64">
        <v>63.3</v>
      </c>
      <c r="H34" s="64">
        <v>31.67</v>
      </c>
      <c r="I34" s="64">
        <v>0.61</v>
      </c>
      <c r="J34" s="64">
        <v>0.56999999999999995</v>
      </c>
      <c r="K34" s="64">
        <v>20.63</v>
      </c>
      <c r="L34" s="64">
        <v>26.43</v>
      </c>
      <c r="M34" s="64">
        <v>31.34</v>
      </c>
      <c r="N34" s="64">
        <v>96.2</v>
      </c>
      <c r="O34" s="64">
        <v>0</v>
      </c>
      <c r="P34" s="64">
        <v>1.23</v>
      </c>
      <c r="Q34" s="64">
        <v>13.12</v>
      </c>
      <c r="R34" s="198"/>
      <c r="S34" s="198"/>
      <c r="T34" s="198"/>
      <c r="U34" s="198"/>
    </row>
    <row r="35" spans="1:21" s="12" customFormat="1" x14ac:dyDescent="0.25">
      <c r="A35" s="218" t="s">
        <v>2004</v>
      </c>
      <c r="B35" s="64">
        <v>9.75</v>
      </c>
      <c r="C35" s="64">
        <v>48.6</v>
      </c>
      <c r="D35" s="64">
        <v>35.29</v>
      </c>
      <c r="E35" s="64">
        <v>4.4000000000000004</v>
      </c>
      <c r="F35" s="64">
        <v>7.53</v>
      </c>
      <c r="G35" s="64">
        <v>63.3</v>
      </c>
      <c r="H35" s="64">
        <v>31.67</v>
      </c>
      <c r="I35" s="64">
        <v>0.61</v>
      </c>
      <c r="J35" s="64">
        <v>0.59</v>
      </c>
      <c r="K35" s="64">
        <v>14</v>
      </c>
      <c r="L35" s="64">
        <v>27.86</v>
      </c>
      <c r="M35" s="64">
        <v>29.29</v>
      </c>
      <c r="N35" s="64">
        <v>127.2</v>
      </c>
      <c r="O35" s="64">
        <v>0</v>
      </c>
      <c r="P35" s="64">
        <v>1.23</v>
      </c>
      <c r="Q35" s="64">
        <v>13.51</v>
      </c>
      <c r="R35" s="198"/>
      <c r="S35" s="198"/>
      <c r="T35" s="198"/>
      <c r="U35" s="198"/>
    </row>
    <row r="36" spans="1:21" s="12" customFormat="1" x14ac:dyDescent="0.25">
      <c r="A36" s="218" t="s">
        <v>2005</v>
      </c>
      <c r="B36" s="64">
        <v>10.3</v>
      </c>
      <c r="C36" s="64">
        <v>44.89</v>
      </c>
      <c r="D36" s="64">
        <v>33.68</v>
      </c>
      <c r="E36" s="64">
        <v>4</v>
      </c>
      <c r="F36" s="64">
        <v>7.02</v>
      </c>
      <c r="G36" s="64">
        <v>63.3</v>
      </c>
      <c r="H36" s="64">
        <v>31.67</v>
      </c>
      <c r="I36" s="64">
        <v>0.61</v>
      </c>
      <c r="J36" s="64">
        <v>0.78</v>
      </c>
      <c r="K36" s="64">
        <v>20.02</v>
      </c>
      <c r="L36" s="64">
        <v>28.92</v>
      </c>
      <c r="M36" s="64">
        <v>27.97</v>
      </c>
      <c r="N36" s="64">
        <v>125.8</v>
      </c>
      <c r="O36" s="64">
        <v>0</v>
      </c>
      <c r="P36" s="64">
        <v>1.24</v>
      </c>
      <c r="Q36" s="64">
        <v>13.95</v>
      </c>
      <c r="R36" s="198"/>
      <c r="S36" s="198"/>
      <c r="T36" s="198"/>
      <c r="U36" s="198"/>
    </row>
    <row r="37" spans="1:21" s="12" customFormat="1" x14ac:dyDescent="0.25">
      <c r="A37" s="218" t="s">
        <v>2006</v>
      </c>
      <c r="B37" s="64">
        <v>12.16</v>
      </c>
      <c r="C37" s="64">
        <v>48.79</v>
      </c>
      <c r="D37" s="64">
        <v>37.32</v>
      </c>
      <c r="E37" s="64">
        <v>7.85</v>
      </c>
      <c r="F37" s="64">
        <v>10.85</v>
      </c>
      <c r="G37" s="64">
        <v>66.64</v>
      </c>
      <c r="H37" s="64">
        <v>32.200000000000003</v>
      </c>
      <c r="I37" s="64">
        <v>0.6</v>
      </c>
      <c r="J37" s="64">
        <v>0.65</v>
      </c>
      <c r="K37" s="64">
        <v>21.05</v>
      </c>
      <c r="L37" s="64">
        <v>29.29</v>
      </c>
      <c r="M37" s="64">
        <v>28.16</v>
      </c>
      <c r="N37" s="64">
        <v>156.80000000000001</v>
      </c>
      <c r="O37" s="64">
        <v>0</v>
      </c>
      <c r="P37" s="64">
        <v>1.1399999999999999</v>
      </c>
      <c r="Q37" s="64">
        <v>14.16</v>
      </c>
      <c r="R37" s="198"/>
      <c r="S37" s="198"/>
      <c r="T37" s="198"/>
      <c r="U37" s="198"/>
    </row>
    <row r="38" spans="1:21" s="12" customFormat="1" x14ac:dyDescent="0.25">
      <c r="A38" s="218" t="s">
        <v>2007</v>
      </c>
      <c r="B38" s="64">
        <v>11.37</v>
      </c>
      <c r="C38" s="64">
        <v>48.34</v>
      </c>
      <c r="D38" s="64">
        <v>36.450000000000003</v>
      </c>
      <c r="E38" s="64">
        <v>6.87</v>
      </c>
      <c r="F38" s="64">
        <v>10.96</v>
      </c>
      <c r="G38" s="64">
        <v>84.81</v>
      </c>
      <c r="H38" s="64">
        <v>34.409999999999997</v>
      </c>
      <c r="I38" s="64">
        <v>0.61</v>
      </c>
      <c r="J38" s="64">
        <v>0.68</v>
      </c>
      <c r="K38" s="64">
        <v>19.12</v>
      </c>
      <c r="L38" s="64">
        <v>30.79</v>
      </c>
      <c r="M38" s="64">
        <v>25.78</v>
      </c>
      <c r="N38" s="64">
        <v>261.10000000000002</v>
      </c>
      <c r="O38" s="64">
        <v>0</v>
      </c>
      <c r="P38" s="64">
        <v>1.24</v>
      </c>
      <c r="Q38" s="64">
        <v>15.05</v>
      </c>
      <c r="R38" s="198"/>
      <c r="S38" s="198"/>
      <c r="T38" s="198"/>
      <c r="U38" s="198"/>
    </row>
    <row r="39" spans="1:21" s="12" customFormat="1" x14ac:dyDescent="0.25">
      <c r="A39" s="218" t="s">
        <v>2008</v>
      </c>
      <c r="B39" s="64">
        <v>12.35</v>
      </c>
      <c r="C39" s="64">
        <v>49.59</v>
      </c>
      <c r="D39" s="64">
        <v>37.92</v>
      </c>
      <c r="E39" s="64">
        <v>6.46</v>
      </c>
      <c r="F39" s="64">
        <v>10.99</v>
      </c>
      <c r="G39" s="64">
        <v>84.81</v>
      </c>
      <c r="H39" s="64">
        <v>34.409999999999997</v>
      </c>
      <c r="I39" s="64">
        <v>0.59</v>
      </c>
      <c r="J39" s="64">
        <v>0.73</v>
      </c>
      <c r="K39" s="64">
        <v>29.79</v>
      </c>
      <c r="L39" s="64">
        <v>32.68</v>
      </c>
      <c r="M39" s="64">
        <v>23.33</v>
      </c>
      <c r="N39" s="64">
        <v>316.60000000000002</v>
      </c>
      <c r="O39" s="64">
        <v>0</v>
      </c>
      <c r="P39" s="64">
        <v>1.25</v>
      </c>
      <c r="Q39" s="64">
        <v>16.079999999999998</v>
      </c>
      <c r="R39" s="198"/>
      <c r="S39" s="198"/>
      <c r="T39" s="198"/>
      <c r="U39" s="198"/>
    </row>
    <row r="40" spans="1:21" s="12" customFormat="1" x14ac:dyDescent="0.25">
      <c r="A40" s="218" t="s">
        <v>2009</v>
      </c>
      <c r="B40" s="64">
        <v>12.55</v>
      </c>
      <c r="C40" s="64">
        <v>54.4</v>
      </c>
      <c r="D40" s="64">
        <v>40.729999999999997</v>
      </c>
      <c r="E40" s="64">
        <v>5.3</v>
      </c>
      <c r="F40" s="64">
        <v>13.78</v>
      </c>
      <c r="G40" s="64">
        <v>84.81</v>
      </c>
      <c r="H40" s="64">
        <v>34.409999999999997</v>
      </c>
      <c r="I40" s="64">
        <v>0.6</v>
      </c>
      <c r="J40" s="64">
        <v>0.78</v>
      </c>
      <c r="K40" s="64">
        <v>28.63</v>
      </c>
      <c r="L40" s="64">
        <v>33.93</v>
      </c>
      <c r="M40" s="64">
        <v>21.98</v>
      </c>
      <c r="N40" s="64">
        <v>361.6</v>
      </c>
      <c r="O40" s="64">
        <v>0</v>
      </c>
      <c r="P40" s="64">
        <v>1.21</v>
      </c>
      <c r="Q40" s="64">
        <v>15.98</v>
      </c>
      <c r="R40" s="198"/>
      <c r="S40" s="198"/>
      <c r="T40" s="198"/>
      <c r="U40" s="198"/>
    </row>
    <row r="41" spans="1:21" s="12" customFormat="1" x14ac:dyDescent="0.25">
      <c r="A41" s="218" t="s">
        <v>2010</v>
      </c>
      <c r="B41" s="64">
        <v>11.24</v>
      </c>
      <c r="C41" s="64">
        <v>52.19</v>
      </c>
      <c r="D41" s="64">
        <v>38.47</v>
      </c>
      <c r="E41" s="64">
        <v>8.8800000000000008</v>
      </c>
      <c r="F41" s="64">
        <v>17.760000000000002</v>
      </c>
      <c r="G41" s="64">
        <v>86.48</v>
      </c>
      <c r="H41" s="64">
        <v>34.799999999999997</v>
      </c>
      <c r="I41" s="64">
        <v>0.6</v>
      </c>
      <c r="J41" s="64">
        <v>0.97</v>
      </c>
      <c r="K41" s="64">
        <v>36.61</v>
      </c>
      <c r="L41" s="64">
        <v>35.01</v>
      </c>
      <c r="M41" s="64">
        <v>20.43</v>
      </c>
      <c r="N41" s="64">
        <v>417</v>
      </c>
      <c r="O41" s="64">
        <v>0</v>
      </c>
      <c r="P41" s="64">
        <v>1.18</v>
      </c>
      <c r="Q41" s="64">
        <v>15.78</v>
      </c>
      <c r="R41" s="198"/>
      <c r="S41" s="198"/>
      <c r="T41" s="198"/>
      <c r="U41" s="198"/>
    </row>
    <row r="42" spans="1:21" s="12" customFormat="1" x14ac:dyDescent="0.25">
      <c r="A42" s="218" t="s">
        <v>2011</v>
      </c>
      <c r="B42" s="64">
        <v>10.26</v>
      </c>
      <c r="C42" s="64">
        <v>54.49</v>
      </c>
      <c r="D42" s="64">
        <v>38.94</v>
      </c>
      <c r="E42" s="64">
        <v>8.2799999999999994</v>
      </c>
      <c r="F42" s="64">
        <v>16.420000000000002</v>
      </c>
      <c r="G42" s="64">
        <v>95.55</v>
      </c>
      <c r="H42" s="64">
        <v>36.909999999999997</v>
      </c>
      <c r="I42" s="64">
        <v>0.59</v>
      </c>
      <c r="J42" s="64">
        <v>0.79</v>
      </c>
      <c r="K42" s="64">
        <v>22.64</v>
      </c>
      <c r="L42" s="64">
        <v>36.44</v>
      </c>
      <c r="M42" s="64">
        <v>19.05</v>
      </c>
      <c r="N42" s="64">
        <v>465.3</v>
      </c>
      <c r="O42" s="64">
        <v>0</v>
      </c>
      <c r="P42" s="64">
        <v>1.1399999999999999</v>
      </c>
      <c r="Q42" s="64">
        <v>15.6</v>
      </c>
      <c r="R42" s="198"/>
      <c r="S42" s="198"/>
      <c r="T42" s="198"/>
      <c r="U42" s="198"/>
    </row>
    <row r="43" spans="1:21" s="12" customFormat="1" x14ac:dyDescent="0.25">
      <c r="A43" s="218" t="s">
        <v>2012</v>
      </c>
      <c r="B43" s="64">
        <v>9.24</v>
      </c>
      <c r="C43" s="64">
        <v>52.33</v>
      </c>
      <c r="D43" s="64">
        <v>36.93</v>
      </c>
      <c r="E43" s="64">
        <v>7.05</v>
      </c>
      <c r="F43" s="64">
        <v>21.14</v>
      </c>
      <c r="G43" s="64">
        <v>95.55</v>
      </c>
      <c r="H43" s="64">
        <v>36.909999999999997</v>
      </c>
      <c r="I43" s="64">
        <v>0.57999999999999996</v>
      </c>
      <c r="J43" s="64">
        <v>0.94</v>
      </c>
      <c r="K43" s="64">
        <v>20.57</v>
      </c>
      <c r="L43" s="64">
        <v>37.33</v>
      </c>
      <c r="M43" s="64">
        <v>17.95</v>
      </c>
      <c r="N43" s="64">
        <v>494</v>
      </c>
      <c r="O43" s="64">
        <v>0</v>
      </c>
      <c r="P43" s="64">
        <v>1.1299999999999999</v>
      </c>
      <c r="Q43" s="64">
        <v>15.82</v>
      </c>
      <c r="R43" s="198"/>
      <c r="S43" s="198"/>
      <c r="T43" s="198"/>
      <c r="U43" s="198"/>
    </row>
    <row r="44" spans="1:21" s="12" customFormat="1" x14ac:dyDescent="0.25">
      <c r="A44" s="218" t="s">
        <v>2013</v>
      </c>
      <c r="B44" s="64">
        <v>9.26</v>
      </c>
      <c r="C44" s="64">
        <v>55.14</v>
      </c>
      <c r="D44" s="64">
        <v>38.5</v>
      </c>
      <c r="E44" s="64">
        <v>6.1</v>
      </c>
      <c r="F44" s="64">
        <v>13.42</v>
      </c>
      <c r="G44" s="64">
        <v>95.55</v>
      </c>
      <c r="H44" s="64">
        <v>36.909999999999997</v>
      </c>
      <c r="I44" s="64">
        <v>0.57999999999999996</v>
      </c>
      <c r="J44" s="64">
        <v>1.18</v>
      </c>
      <c r="K44" s="64">
        <v>22.2</v>
      </c>
      <c r="L44" s="64">
        <v>37.909999999999997</v>
      </c>
      <c r="M44" s="64">
        <v>17.25</v>
      </c>
      <c r="N44" s="64">
        <v>556.70000000000005</v>
      </c>
      <c r="O44" s="64">
        <v>0</v>
      </c>
      <c r="P44" s="64">
        <v>1.1399999999999999</v>
      </c>
      <c r="Q44" s="64">
        <v>16.3</v>
      </c>
      <c r="R44" s="198"/>
      <c r="S44" s="198"/>
      <c r="T44" s="198"/>
      <c r="U44" s="198"/>
    </row>
    <row r="45" spans="1:21" s="12" customFormat="1" x14ac:dyDescent="0.25">
      <c r="A45" s="218" t="s">
        <v>2014</v>
      </c>
      <c r="B45" s="64">
        <v>6.62</v>
      </c>
      <c r="C45" s="64">
        <v>57.55</v>
      </c>
      <c r="D45" s="64">
        <v>37.72</v>
      </c>
      <c r="E45" s="64">
        <v>3.14</v>
      </c>
      <c r="F45" s="64">
        <v>9.1300000000000008</v>
      </c>
      <c r="G45" s="64">
        <v>92.28</v>
      </c>
      <c r="H45" s="64">
        <v>36.5</v>
      </c>
      <c r="I45" s="64">
        <v>0.59</v>
      </c>
      <c r="J45" s="64">
        <v>1.6</v>
      </c>
      <c r="K45" s="64">
        <v>25.33</v>
      </c>
      <c r="L45" s="64">
        <v>38.270000000000003</v>
      </c>
      <c r="M45" s="64">
        <v>16.38</v>
      </c>
      <c r="N45" s="64">
        <v>603.4</v>
      </c>
      <c r="O45" s="64">
        <v>0</v>
      </c>
      <c r="P45" s="64">
        <v>1.1599999999999999</v>
      </c>
      <c r="Q45" s="64">
        <v>15.71</v>
      </c>
      <c r="R45" s="198"/>
      <c r="S45" s="198"/>
      <c r="T45" s="198"/>
      <c r="U45" s="198"/>
    </row>
    <row r="46" spans="1:21" s="12" customFormat="1" x14ac:dyDescent="0.25">
      <c r="A46" s="218" t="s">
        <v>2015</v>
      </c>
      <c r="B46" s="64">
        <v>4.91</v>
      </c>
      <c r="C46" s="64">
        <v>56.3</v>
      </c>
      <c r="D46" s="64">
        <v>35.659999999999997</v>
      </c>
      <c r="E46" s="64">
        <v>2.69</v>
      </c>
      <c r="F46" s="64">
        <v>10.44</v>
      </c>
      <c r="G46" s="64">
        <v>74.53</v>
      </c>
      <c r="H46" s="64">
        <v>34.78</v>
      </c>
      <c r="I46" s="64">
        <v>0.6</v>
      </c>
      <c r="J46" s="64">
        <v>2.0699999999999998</v>
      </c>
      <c r="K46" s="64">
        <v>22.82</v>
      </c>
      <c r="L46" s="64">
        <v>38.01</v>
      </c>
      <c r="M46" s="64">
        <v>15.67</v>
      </c>
      <c r="N46" s="64">
        <v>648.79999999999995</v>
      </c>
      <c r="O46" s="64">
        <v>0</v>
      </c>
      <c r="P46" s="64">
        <v>1.1200000000000001</v>
      </c>
      <c r="Q46" s="64">
        <v>14.56</v>
      </c>
      <c r="R46" s="198"/>
      <c r="S46" s="198"/>
      <c r="T46" s="198"/>
      <c r="U46" s="198"/>
    </row>
    <row r="47" spans="1:21" s="12" customFormat="1" x14ac:dyDescent="0.25">
      <c r="A47" s="218" t="s">
        <v>2016</v>
      </c>
      <c r="B47" s="64">
        <v>4.79</v>
      </c>
      <c r="C47" s="64">
        <v>54.49</v>
      </c>
      <c r="D47" s="64">
        <v>34.56</v>
      </c>
      <c r="E47" s="64">
        <v>3.08</v>
      </c>
      <c r="F47" s="64">
        <v>9.86</v>
      </c>
      <c r="G47" s="64">
        <v>74.53</v>
      </c>
      <c r="H47" s="64">
        <v>34.78</v>
      </c>
      <c r="I47" s="64">
        <v>0.62</v>
      </c>
      <c r="J47" s="64">
        <v>1.38</v>
      </c>
      <c r="K47" s="64">
        <v>7.44</v>
      </c>
      <c r="L47" s="64">
        <v>39.04</v>
      </c>
      <c r="M47" s="64">
        <v>14.99</v>
      </c>
      <c r="N47" s="64">
        <v>686.4</v>
      </c>
      <c r="O47" s="64">
        <v>0</v>
      </c>
      <c r="P47" s="64">
        <v>1.0900000000000001</v>
      </c>
      <c r="Q47" s="64">
        <v>13.41</v>
      </c>
      <c r="R47" s="198"/>
      <c r="S47" s="198"/>
      <c r="T47" s="198"/>
      <c r="U47" s="198"/>
    </row>
    <row r="48" spans="1:21" s="12" customFormat="1" x14ac:dyDescent="0.25">
      <c r="A48" s="218" t="s">
        <v>2017</v>
      </c>
      <c r="B48" s="64">
        <v>4.04</v>
      </c>
      <c r="C48" s="64">
        <v>54.48</v>
      </c>
      <c r="D48" s="64">
        <v>33.950000000000003</v>
      </c>
      <c r="E48" s="64">
        <v>1.99</v>
      </c>
      <c r="F48" s="64">
        <v>8.9</v>
      </c>
      <c r="G48" s="64">
        <v>74.53</v>
      </c>
      <c r="H48" s="64">
        <v>34.78</v>
      </c>
      <c r="I48" s="64">
        <v>0.63</v>
      </c>
      <c r="J48" s="64">
        <v>1.5</v>
      </c>
      <c r="K48" s="64">
        <v>5.22</v>
      </c>
      <c r="L48" s="64">
        <v>40</v>
      </c>
      <c r="M48" s="64">
        <v>13.38</v>
      </c>
      <c r="N48" s="64">
        <v>725.6</v>
      </c>
      <c r="O48" s="64">
        <v>0</v>
      </c>
      <c r="P48" s="64">
        <v>1.06</v>
      </c>
      <c r="Q48" s="64">
        <v>12.63</v>
      </c>
      <c r="R48" s="198"/>
      <c r="S48" s="198"/>
      <c r="T48" s="198"/>
      <c r="U48" s="198"/>
    </row>
    <row r="49" spans="1:21" s="12" customFormat="1" x14ac:dyDescent="0.25">
      <c r="A49" s="218" t="s">
        <v>2018</v>
      </c>
      <c r="B49" s="64">
        <v>4</v>
      </c>
      <c r="C49" s="64">
        <v>52.29</v>
      </c>
      <c r="D49" s="64">
        <v>32.71</v>
      </c>
      <c r="E49" s="64">
        <v>2.12</v>
      </c>
      <c r="F49" s="64">
        <v>10.029999999999999</v>
      </c>
      <c r="G49" s="64">
        <v>73.540000000000006</v>
      </c>
      <c r="H49" s="64">
        <v>34.369999999999997</v>
      </c>
      <c r="I49" s="64">
        <v>0.59</v>
      </c>
      <c r="J49" s="64">
        <v>1.91</v>
      </c>
      <c r="K49" s="64">
        <v>15.42</v>
      </c>
      <c r="L49" s="64">
        <v>39.880000000000003</v>
      </c>
      <c r="M49" s="64">
        <v>12.7</v>
      </c>
      <c r="N49" s="64">
        <v>750.6</v>
      </c>
      <c r="O49" s="64">
        <v>0</v>
      </c>
      <c r="P49" s="64">
        <v>1.02</v>
      </c>
      <c r="Q49" s="64">
        <v>11.22</v>
      </c>
      <c r="R49" s="198"/>
      <c r="S49" s="198"/>
      <c r="T49" s="198"/>
      <c r="U49" s="198"/>
    </row>
    <row r="50" spans="1:21" s="12" customFormat="1" x14ac:dyDescent="0.25">
      <c r="A50" s="218" t="s">
        <v>2019</v>
      </c>
      <c r="B50" s="64">
        <v>3.26</v>
      </c>
      <c r="C50" s="64">
        <v>53.03</v>
      </c>
      <c r="D50" s="64">
        <v>32.520000000000003</v>
      </c>
      <c r="E50" s="64">
        <v>1.95</v>
      </c>
      <c r="F50" s="64">
        <v>9.2799999999999994</v>
      </c>
      <c r="G50" s="64">
        <v>68.16</v>
      </c>
      <c r="H50" s="64">
        <v>32.72</v>
      </c>
      <c r="I50" s="64">
        <v>0.59</v>
      </c>
      <c r="J50" s="64">
        <v>2.2599999999999998</v>
      </c>
      <c r="K50" s="64">
        <v>26.86</v>
      </c>
      <c r="L50" s="64">
        <v>39.79</v>
      </c>
      <c r="M50" s="64">
        <v>12.4</v>
      </c>
      <c r="N50" s="64">
        <v>799.7</v>
      </c>
      <c r="O50" s="64">
        <v>0</v>
      </c>
      <c r="P50" s="64">
        <v>0.98</v>
      </c>
      <c r="Q50" s="64">
        <v>10.31</v>
      </c>
      <c r="R50" s="198"/>
      <c r="S50" s="198"/>
      <c r="T50" s="198"/>
      <c r="U50" s="198"/>
    </row>
    <row r="51" spans="1:21" s="12" customFormat="1" x14ac:dyDescent="0.25">
      <c r="A51" s="218" t="s">
        <v>2020</v>
      </c>
      <c r="B51" s="64">
        <v>3.2</v>
      </c>
      <c r="C51" s="64">
        <v>53.57</v>
      </c>
      <c r="D51" s="64">
        <v>32.78</v>
      </c>
      <c r="E51" s="64">
        <v>1.69</v>
      </c>
      <c r="F51" s="64">
        <v>12.52</v>
      </c>
      <c r="G51" s="64">
        <v>68.16</v>
      </c>
      <c r="H51" s="64">
        <v>32.72</v>
      </c>
      <c r="I51" s="64">
        <v>0.57999999999999996</v>
      </c>
      <c r="J51" s="64">
        <v>2.21</v>
      </c>
      <c r="K51" s="64">
        <v>25.42</v>
      </c>
      <c r="L51" s="64">
        <v>40.11</v>
      </c>
      <c r="M51" s="64">
        <v>11.89</v>
      </c>
      <c r="N51" s="64">
        <v>807.5</v>
      </c>
      <c r="O51" s="64">
        <v>0</v>
      </c>
      <c r="P51" s="64">
        <v>0.95</v>
      </c>
      <c r="Q51" s="64">
        <v>10.47</v>
      </c>
      <c r="R51" s="198"/>
      <c r="S51" s="198"/>
      <c r="T51" s="198"/>
      <c r="U51" s="198"/>
    </row>
    <row r="52" spans="1:21" s="12" customFormat="1" x14ac:dyDescent="0.25">
      <c r="A52" s="218" t="s">
        <v>2021</v>
      </c>
      <c r="B52" s="64">
        <v>3.12</v>
      </c>
      <c r="C52" s="64">
        <v>50.8</v>
      </c>
      <c r="D52" s="64">
        <v>31.18</v>
      </c>
      <c r="E52" s="64">
        <v>1.74</v>
      </c>
      <c r="F52" s="64">
        <v>11.25</v>
      </c>
      <c r="G52" s="64">
        <v>68.16</v>
      </c>
      <c r="H52" s="64">
        <v>32.72</v>
      </c>
      <c r="I52" s="64">
        <v>0.57999999999999996</v>
      </c>
      <c r="J52" s="64">
        <v>1.81</v>
      </c>
      <c r="K52" s="64">
        <v>12.81</v>
      </c>
      <c r="L52" s="64">
        <v>40.4</v>
      </c>
      <c r="M52" s="64">
        <v>11.96</v>
      </c>
      <c r="N52" s="64">
        <v>742.7</v>
      </c>
      <c r="O52" s="64">
        <v>0</v>
      </c>
      <c r="P52" s="64">
        <v>0.92</v>
      </c>
      <c r="Q52" s="64">
        <v>10</v>
      </c>
      <c r="R52" s="198"/>
      <c r="S52" s="198"/>
      <c r="T52" s="198"/>
      <c r="U52" s="198"/>
    </row>
    <row r="53" spans="1:21" s="12" customFormat="1" x14ac:dyDescent="0.25">
      <c r="A53" s="218" t="s">
        <v>2022</v>
      </c>
      <c r="B53" s="64">
        <v>3.9</v>
      </c>
      <c r="C53" s="64">
        <v>50.75</v>
      </c>
      <c r="D53" s="64">
        <v>31.78</v>
      </c>
      <c r="E53" s="64">
        <v>2.2799999999999998</v>
      </c>
      <c r="F53" s="64">
        <v>13.49</v>
      </c>
      <c r="G53" s="64">
        <v>67.06</v>
      </c>
      <c r="H53" s="64">
        <v>32.049999999999997</v>
      </c>
      <c r="I53" s="64">
        <v>0.56999999999999995</v>
      </c>
      <c r="J53" s="64">
        <v>1.9</v>
      </c>
      <c r="K53" s="64">
        <v>21.11</v>
      </c>
      <c r="L53" s="64">
        <v>40.93</v>
      </c>
      <c r="M53" s="64">
        <v>11.24</v>
      </c>
      <c r="N53" s="64">
        <v>850.2</v>
      </c>
      <c r="O53" s="64">
        <v>0</v>
      </c>
      <c r="P53" s="64">
        <v>0.89</v>
      </c>
      <c r="Q53" s="64">
        <v>8.84</v>
      </c>
      <c r="R53" s="198"/>
      <c r="S53" s="198"/>
      <c r="T53" s="198"/>
      <c r="U53" s="198"/>
    </row>
    <row r="54" spans="1:21" s="12" customFormat="1" x14ac:dyDescent="0.25">
      <c r="A54" s="218" t="s">
        <v>2023</v>
      </c>
      <c r="B54" s="64">
        <v>3.32</v>
      </c>
      <c r="C54" s="64">
        <v>50.2</v>
      </c>
      <c r="D54" s="64">
        <v>31.01</v>
      </c>
      <c r="E54" s="64">
        <v>2.02</v>
      </c>
      <c r="F54" s="64">
        <v>13.03</v>
      </c>
      <c r="G54" s="64">
        <v>61.13</v>
      </c>
      <c r="H54" s="64">
        <v>29.03</v>
      </c>
      <c r="I54" s="64">
        <v>0.56000000000000005</v>
      </c>
      <c r="J54" s="64">
        <v>1.01</v>
      </c>
      <c r="K54" s="64">
        <v>348.29</v>
      </c>
      <c r="L54" s="64">
        <v>40.93</v>
      </c>
      <c r="M54" s="64">
        <v>11.4</v>
      </c>
      <c r="N54" s="64">
        <v>545.70000000000005</v>
      </c>
      <c r="O54" s="64">
        <v>0</v>
      </c>
      <c r="P54" s="64">
        <v>0.88</v>
      </c>
      <c r="Q54" s="64">
        <v>7.86</v>
      </c>
      <c r="R54" s="198"/>
      <c r="S54" s="198"/>
      <c r="T54" s="198"/>
      <c r="U54" s="198"/>
    </row>
    <row r="55" spans="1:21" s="12" customFormat="1" x14ac:dyDescent="0.25">
      <c r="A55" s="218" t="s">
        <v>2024</v>
      </c>
      <c r="B55" s="64">
        <v>5.56</v>
      </c>
      <c r="C55" s="64">
        <v>46.78</v>
      </c>
      <c r="D55" s="64">
        <v>30.92</v>
      </c>
      <c r="E55" s="64">
        <v>3.47</v>
      </c>
      <c r="F55" s="64">
        <v>30.2</v>
      </c>
      <c r="G55" s="64">
        <v>61.13</v>
      </c>
      <c r="H55" s="64">
        <v>29.03</v>
      </c>
      <c r="I55" s="64">
        <v>0.57999999999999996</v>
      </c>
      <c r="J55" s="64">
        <v>1.19</v>
      </c>
      <c r="K55" s="64">
        <v>18.43</v>
      </c>
      <c r="L55" s="64">
        <v>41.3</v>
      </c>
      <c r="M55" s="64">
        <v>10.76</v>
      </c>
      <c r="N55" s="64">
        <v>781.2</v>
      </c>
      <c r="O55" s="64">
        <v>0</v>
      </c>
      <c r="P55" s="64">
        <v>0.83</v>
      </c>
      <c r="Q55" s="64">
        <v>7.38</v>
      </c>
      <c r="R55" s="198"/>
      <c r="S55" s="198"/>
      <c r="T55" s="198"/>
      <c r="U55" s="198"/>
    </row>
    <row r="56" spans="1:21" s="12" customFormat="1" x14ac:dyDescent="0.25">
      <c r="A56" s="218" t="s">
        <v>2025</v>
      </c>
      <c r="B56" s="64">
        <v>4.92</v>
      </c>
      <c r="C56" s="64">
        <v>50.73</v>
      </c>
      <c r="D56" s="64">
        <v>32.590000000000003</v>
      </c>
      <c r="E56" s="64">
        <v>1.56</v>
      </c>
      <c r="F56" s="64">
        <v>24.34</v>
      </c>
      <c r="G56" s="64">
        <v>61.13</v>
      </c>
      <c r="H56" s="64">
        <v>29.03</v>
      </c>
      <c r="I56" s="64">
        <v>0.55000000000000004</v>
      </c>
      <c r="J56" s="64">
        <v>1.1000000000000001</v>
      </c>
      <c r="K56" s="64">
        <v>13.88</v>
      </c>
      <c r="L56" s="64">
        <v>42.31</v>
      </c>
      <c r="M56" s="64">
        <v>9.8699999999999992</v>
      </c>
      <c r="N56" s="64">
        <v>782.6</v>
      </c>
      <c r="O56" s="64">
        <v>0</v>
      </c>
      <c r="P56" s="64">
        <v>0.83</v>
      </c>
      <c r="Q56" s="64">
        <v>7.47</v>
      </c>
      <c r="R56" s="198"/>
      <c r="S56" s="198"/>
      <c r="T56" s="198"/>
      <c r="U56" s="198"/>
    </row>
    <row r="57" spans="1:21" s="12" customFormat="1" x14ac:dyDescent="0.25">
      <c r="A57" s="218" t="s">
        <v>2026</v>
      </c>
      <c r="B57" s="64">
        <v>4.99</v>
      </c>
      <c r="C57" s="64">
        <v>50.74</v>
      </c>
      <c r="D57" s="64">
        <v>32.65</v>
      </c>
      <c r="E57" s="64">
        <v>2.83</v>
      </c>
      <c r="F57" s="64">
        <v>24.88</v>
      </c>
      <c r="G57" s="64">
        <v>59.4</v>
      </c>
      <c r="H57" s="64">
        <v>28.05</v>
      </c>
      <c r="I57" s="64">
        <v>0.54</v>
      </c>
      <c r="J57" s="64">
        <v>0.8</v>
      </c>
      <c r="K57" s="64">
        <v>5.77</v>
      </c>
      <c r="L57" s="64">
        <v>42.59</v>
      </c>
      <c r="M57" s="64">
        <v>10.31</v>
      </c>
      <c r="N57" s="64">
        <v>776.1</v>
      </c>
      <c r="O57" s="64">
        <v>0</v>
      </c>
      <c r="P57" s="64">
        <v>0.83</v>
      </c>
      <c r="Q57" s="64">
        <v>7.26</v>
      </c>
      <c r="R57" s="198"/>
      <c r="S57" s="198"/>
      <c r="T57" s="198"/>
      <c r="U57" s="198"/>
    </row>
    <row r="58" spans="1:21" s="12" customFormat="1" x14ac:dyDescent="0.25">
      <c r="A58" s="218" t="s">
        <v>2027</v>
      </c>
      <c r="B58" s="64">
        <v>4.0999999999999996</v>
      </c>
      <c r="C58" s="64">
        <v>44.43</v>
      </c>
      <c r="D58" s="64">
        <v>28.45</v>
      </c>
      <c r="E58" s="64">
        <v>5.0599999999999996</v>
      </c>
      <c r="F58" s="64">
        <v>32.82</v>
      </c>
      <c r="G58" s="64">
        <v>49.13</v>
      </c>
      <c r="H58" s="64">
        <v>22.8</v>
      </c>
      <c r="I58" s="64">
        <v>0.56999999999999995</v>
      </c>
      <c r="J58" s="64">
        <v>1.08</v>
      </c>
      <c r="K58" s="64">
        <v>13.42</v>
      </c>
      <c r="L58" s="64">
        <v>40.57</v>
      </c>
      <c r="M58" s="64">
        <v>10.43</v>
      </c>
      <c r="N58" s="64">
        <v>647.4</v>
      </c>
      <c r="O58" s="64">
        <v>0</v>
      </c>
      <c r="P58" s="64">
        <v>0.78</v>
      </c>
      <c r="Q58" s="64">
        <v>7.41</v>
      </c>
      <c r="R58" s="198"/>
      <c r="S58" s="198"/>
      <c r="T58" s="198"/>
      <c r="U58" s="198"/>
    </row>
    <row r="59" spans="1:21" s="12" customFormat="1" x14ac:dyDescent="0.25">
      <c r="A59" s="218" t="s">
        <v>2028</v>
      </c>
      <c r="B59" s="64">
        <v>4.5999999999999996</v>
      </c>
      <c r="C59" s="64">
        <v>48.46</v>
      </c>
      <c r="D59" s="64">
        <v>31.08</v>
      </c>
      <c r="E59" s="64">
        <v>3.91</v>
      </c>
      <c r="F59" s="64">
        <v>31.13</v>
      </c>
      <c r="G59" s="64">
        <v>49.13</v>
      </c>
      <c r="H59" s="64">
        <v>22.8</v>
      </c>
      <c r="I59" s="64">
        <v>0.59</v>
      </c>
      <c r="J59" s="64">
        <v>0.57999999999999996</v>
      </c>
      <c r="K59" s="64">
        <v>0.79</v>
      </c>
      <c r="L59" s="64">
        <v>41.08</v>
      </c>
      <c r="M59" s="64">
        <v>10.47</v>
      </c>
      <c r="N59" s="64">
        <v>571.70000000000005</v>
      </c>
      <c r="O59" s="64">
        <v>0</v>
      </c>
      <c r="P59" s="64">
        <v>0.79</v>
      </c>
      <c r="Q59" s="64">
        <v>7.7</v>
      </c>
      <c r="R59" s="198"/>
      <c r="S59" s="198"/>
      <c r="T59" s="198"/>
      <c r="U59" s="198"/>
    </row>
    <row r="60" spans="1:21" s="12" customFormat="1" x14ac:dyDescent="0.25">
      <c r="A60" s="218" t="s">
        <v>2029</v>
      </c>
      <c r="B60" s="64">
        <v>5.3</v>
      </c>
      <c r="C60" s="64">
        <v>42.54</v>
      </c>
      <c r="D60" s="64">
        <v>28.37</v>
      </c>
      <c r="E60" s="64">
        <v>6.96</v>
      </c>
      <c r="F60" s="64">
        <v>47.83</v>
      </c>
      <c r="G60" s="64">
        <v>49.13</v>
      </c>
      <c r="H60" s="64">
        <v>22.8</v>
      </c>
      <c r="I60" s="64">
        <v>0.57999999999999996</v>
      </c>
      <c r="J60" s="64">
        <v>0.5</v>
      </c>
      <c r="K60" s="64">
        <v>82.82</v>
      </c>
      <c r="L60" s="64">
        <v>39.94</v>
      </c>
      <c r="M60" s="64">
        <v>10.86</v>
      </c>
      <c r="N60" s="64">
        <v>800.5</v>
      </c>
      <c r="O60" s="64">
        <v>0</v>
      </c>
      <c r="P60" s="64">
        <v>0.69</v>
      </c>
      <c r="Q60" s="64">
        <v>8.19</v>
      </c>
      <c r="R60" s="198"/>
      <c r="S60" s="198"/>
      <c r="T60" s="198"/>
      <c r="U60" s="198"/>
    </row>
    <row r="61" spans="1:21" s="12" customFormat="1" x14ac:dyDescent="0.25">
      <c r="A61" s="218" t="s">
        <v>2030</v>
      </c>
      <c r="B61" s="64">
        <v>5.27</v>
      </c>
      <c r="C61" s="64">
        <v>45.32</v>
      </c>
      <c r="D61" s="64">
        <v>29.89</v>
      </c>
      <c r="E61" s="64">
        <v>5.82</v>
      </c>
      <c r="F61" s="64">
        <v>40.42</v>
      </c>
      <c r="G61" s="64">
        <v>48.42</v>
      </c>
      <c r="H61" s="64">
        <v>23.51</v>
      </c>
      <c r="I61" s="64">
        <v>0.6</v>
      </c>
      <c r="J61" s="64">
        <v>0.79</v>
      </c>
      <c r="K61" s="64">
        <v>38.65</v>
      </c>
      <c r="L61" s="64">
        <v>40.11</v>
      </c>
      <c r="M61" s="64">
        <v>9.9600000000000009</v>
      </c>
      <c r="N61" s="64">
        <v>307.7</v>
      </c>
      <c r="O61" s="64">
        <v>0</v>
      </c>
      <c r="P61" s="64">
        <v>0.73</v>
      </c>
      <c r="Q61" s="64">
        <v>9.41</v>
      </c>
      <c r="R61" s="198"/>
      <c r="S61" s="198"/>
      <c r="T61" s="198"/>
      <c r="U61" s="198"/>
    </row>
    <row r="62" spans="1:21" s="12" customFormat="1" x14ac:dyDescent="0.25">
      <c r="A62" s="218" t="s">
        <v>2031</v>
      </c>
      <c r="B62" s="64">
        <v>2.95</v>
      </c>
      <c r="C62" s="64">
        <v>41.1</v>
      </c>
      <c r="D62" s="64">
        <v>25.7</v>
      </c>
      <c r="E62" s="64">
        <v>6.21</v>
      </c>
      <c r="F62" s="64">
        <v>35.64</v>
      </c>
      <c r="G62" s="64">
        <v>44.56</v>
      </c>
      <c r="H62" s="64">
        <v>26.41</v>
      </c>
      <c r="I62" s="64">
        <v>0.59</v>
      </c>
      <c r="J62" s="64">
        <v>1.26</v>
      </c>
      <c r="K62" s="64">
        <v>119.32</v>
      </c>
      <c r="L62" s="64">
        <v>37.369999999999997</v>
      </c>
      <c r="M62" s="64">
        <v>10.79</v>
      </c>
      <c r="N62" s="64">
        <v>552</v>
      </c>
      <c r="O62" s="64">
        <v>0</v>
      </c>
      <c r="P62" s="64">
        <v>0.69</v>
      </c>
      <c r="Q62" s="64">
        <v>11.01</v>
      </c>
      <c r="R62" s="198"/>
      <c r="S62" s="198"/>
      <c r="T62" s="198"/>
      <c r="U62" s="198"/>
    </row>
    <row r="63" spans="1:21" s="12" customFormat="1" x14ac:dyDescent="0.25">
      <c r="A63" s="218" t="s">
        <v>2032</v>
      </c>
      <c r="B63" s="64">
        <v>3.57</v>
      </c>
      <c r="C63" s="64">
        <v>45.11</v>
      </c>
      <c r="D63" s="64">
        <v>28.4</v>
      </c>
      <c r="E63" s="64">
        <v>3.76</v>
      </c>
      <c r="F63" s="64">
        <v>29.82</v>
      </c>
      <c r="G63" s="64">
        <v>44.56</v>
      </c>
      <c r="H63" s="64">
        <v>26.41</v>
      </c>
      <c r="I63" s="64">
        <v>0.65</v>
      </c>
      <c r="J63" s="64">
        <v>0.7</v>
      </c>
      <c r="K63" s="64">
        <v>165.05</v>
      </c>
      <c r="L63" s="64">
        <v>38.15</v>
      </c>
      <c r="M63" s="64">
        <v>11.02</v>
      </c>
      <c r="N63" s="64">
        <v>689.5</v>
      </c>
      <c r="O63" s="64">
        <v>0</v>
      </c>
      <c r="P63" s="64">
        <v>0.69</v>
      </c>
      <c r="Q63" s="64">
        <v>12.51</v>
      </c>
      <c r="R63" s="198"/>
      <c r="S63" s="198"/>
      <c r="T63" s="198"/>
      <c r="U63" s="198"/>
    </row>
    <row r="64" spans="1:21" s="12" customFormat="1" x14ac:dyDescent="0.25">
      <c r="A64" s="218" t="s">
        <v>2033</v>
      </c>
      <c r="B64" s="64">
        <v>5.04</v>
      </c>
      <c r="C64" s="64">
        <v>47.58</v>
      </c>
      <c r="D64" s="64">
        <v>30.95</v>
      </c>
      <c r="E64" s="64">
        <v>6.14</v>
      </c>
      <c r="F64" s="64">
        <v>46.74</v>
      </c>
      <c r="G64" s="64">
        <v>44.56</v>
      </c>
      <c r="H64" s="64">
        <v>26.41</v>
      </c>
      <c r="I64" s="64">
        <v>0.71</v>
      </c>
      <c r="J64" s="64">
        <v>0.59</v>
      </c>
      <c r="K64" s="64">
        <v>29.02</v>
      </c>
      <c r="L64" s="64">
        <v>40.659999999999997</v>
      </c>
      <c r="M64" s="64">
        <v>9.74</v>
      </c>
      <c r="N64" s="64">
        <v>647.20000000000005</v>
      </c>
      <c r="O64" s="64">
        <v>0</v>
      </c>
      <c r="P64" s="64">
        <v>0.75</v>
      </c>
      <c r="Q64" s="64">
        <v>12.49</v>
      </c>
      <c r="R64" s="198"/>
      <c r="S64" s="198"/>
      <c r="T64" s="198"/>
      <c r="U64" s="198"/>
    </row>
    <row r="65" spans="1:21" s="12" customFormat="1" x14ac:dyDescent="0.25">
      <c r="A65" s="218" t="s">
        <v>2034</v>
      </c>
      <c r="B65" s="64">
        <v>5.0999999999999996</v>
      </c>
      <c r="C65" s="64">
        <v>42.86</v>
      </c>
      <c r="D65" s="64">
        <v>28.39</v>
      </c>
      <c r="E65" s="64">
        <v>7.1</v>
      </c>
      <c r="F65" s="64">
        <v>44.32</v>
      </c>
      <c r="G65" s="64">
        <v>44.78</v>
      </c>
      <c r="H65" s="64">
        <v>26.03</v>
      </c>
      <c r="I65" s="64">
        <v>0.69</v>
      </c>
      <c r="J65" s="64">
        <v>0.31</v>
      </c>
      <c r="K65" s="64">
        <v>41.03</v>
      </c>
      <c r="L65" s="64">
        <v>41.17</v>
      </c>
      <c r="M65" s="64">
        <v>9.5</v>
      </c>
      <c r="N65" s="64">
        <v>606.6</v>
      </c>
      <c r="O65" s="64">
        <v>0</v>
      </c>
      <c r="P65" s="64">
        <v>0.65</v>
      </c>
      <c r="Q65" s="64">
        <v>12.23</v>
      </c>
      <c r="R65" s="198"/>
      <c r="S65" s="198"/>
      <c r="T65" s="198"/>
      <c r="U65" s="198"/>
    </row>
    <row r="66" spans="1:21" s="12" customFormat="1" x14ac:dyDescent="0.25">
      <c r="A66" s="218" t="s">
        <v>2035</v>
      </c>
      <c r="B66" s="64">
        <v>5.16</v>
      </c>
      <c r="C66" s="64">
        <v>47.2</v>
      </c>
      <c r="D66" s="64">
        <v>30.84</v>
      </c>
      <c r="E66" s="64">
        <v>4.1399999999999997</v>
      </c>
      <c r="F66" s="64">
        <v>35.49</v>
      </c>
      <c r="G66" s="64">
        <v>46.09</v>
      </c>
      <c r="H66" s="64">
        <v>24.49</v>
      </c>
      <c r="I66" s="64">
        <v>0.69</v>
      </c>
      <c r="J66" s="64">
        <v>0.45</v>
      </c>
      <c r="K66" s="64">
        <v>15.44</v>
      </c>
      <c r="L66" s="64">
        <v>40.53</v>
      </c>
      <c r="M66" s="64">
        <v>10.029999999999999</v>
      </c>
      <c r="N66" s="64">
        <v>469.1</v>
      </c>
      <c r="O66" s="64">
        <v>0</v>
      </c>
      <c r="P66" s="64">
        <v>0.65</v>
      </c>
      <c r="Q66" s="64">
        <v>11.67</v>
      </c>
      <c r="R66" s="198"/>
      <c r="S66" s="198"/>
      <c r="T66" s="198"/>
      <c r="U66" s="198"/>
    </row>
    <row r="67" spans="1:21" s="12" customFormat="1" x14ac:dyDescent="0.25">
      <c r="A67" s="218" t="s">
        <v>2036</v>
      </c>
      <c r="B67" s="64">
        <v>5</v>
      </c>
      <c r="C67" s="64">
        <v>43.46</v>
      </c>
      <c r="D67" s="64">
        <v>28.64</v>
      </c>
      <c r="E67" s="64">
        <v>4.41</v>
      </c>
      <c r="F67" s="64">
        <v>39.94</v>
      </c>
      <c r="G67" s="64">
        <v>46.09</v>
      </c>
      <c r="H67" s="64">
        <v>24.49</v>
      </c>
      <c r="I67" s="64">
        <v>0.67</v>
      </c>
      <c r="J67" s="64">
        <v>0.26</v>
      </c>
      <c r="K67" s="64">
        <v>27.79</v>
      </c>
      <c r="L67" s="64">
        <v>40.78</v>
      </c>
      <c r="M67" s="64">
        <v>10.199999999999999</v>
      </c>
      <c r="N67" s="64">
        <v>545.5</v>
      </c>
      <c r="O67" s="64">
        <v>0</v>
      </c>
      <c r="P67" s="64">
        <v>0.61</v>
      </c>
      <c r="Q67" s="64">
        <v>11.25</v>
      </c>
      <c r="R67" s="198"/>
      <c r="S67" s="198"/>
      <c r="T67" s="198"/>
      <c r="U67" s="198"/>
    </row>
    <row r="68" spans="1:21" s="12" customFormat="1" x14ac:dyDescent="0.25">
      <c r="A68" s="218" t="s">
        <v>2037</v>
      </c>
      <c r="B68" s="64">
        <v>2.23</v>
      </c>
      <c r="C68" s="64">
        <v>37.42</v>
      </c>
      <c r="D68" s="64">
        <v>23.09</v>
      </c>
      <c r="E68" s="64">
        <v>3.36</v>
      </c>
      <c r="F68" s="64">
        <v>32.24</v>
      </c>
      <c r="G68" s="64">
        <v>46.09</v>
      </c>
      <c r="H68" s="64">
        <v>24.49</v>
      </c>
      <c r="I68" s="64">
        <v>0.7</v>
      </c>
      <c r="J68" s="64">
        <v>0.33</v>
      </c>
      <c r="K68" s="64">
        <v>203.76</v>
      </c>
      <c r="L68" s="64">
        <v>38.72</v>
      </c>
      <c r="M68" s="64">
        <v>9.56</v>
      </c>
      <c r="N68" s="64">
        <v>503</v>
      </c>
      <c r="O68" s="64">
        <v>0</v>
      </c>
      <c r="P68" s="64">
        <v>0.61</v>
      </c>
      <c r="Q68" s="64">
        <v>10.59</v>
      </c>
      <c r="R68" s="198"/>
      <c r="S68" s="198"/>
      <c r="T68" s="198"/>
      <c r="U68" s="198"/>
    </row>
    <row r="69" spans="1:21" s="12" customFormat="1" x14ac:dyDescent="0.25">
      <c r="A69" s="218" t="s">
        <v>2038</v>
      </c>
      <c r="B69" s="64">
        <v>5.71</v>
      </c>
      <c r="C69" s="64">
        <v>42.87</v>
      </c>
      <c r="D69" s="64">
        <v>28.88</v>
      </c>
      <c r="E69" s="64">
        <v>4.7300000000000004</v>
      </c>
      <c r="F69" s="64">
        <v>48.22</v>
      </c>
      <c r="G69" s="64">
        <v>45.44</v>
      </c>
      <c r="H69" s="64">
        <v>23.86</v>
      </c>
      <c r="I69" s="64">
        <v>0.72</v>
      </c>
      <c r="J69" s="64">
        <v>0.56999999999999995</v>
      </c>
      <c r="K69" s="64">
        <v>9.6999999999999993</v>
      </c>
      <c r="L69" s="64">
        <v>39.54</v>
      </c>
      <c r="M69" s="64">
        <v>10.91</v>
      </c>
      <c r="N69" s="64">
        <v>382.6</v>
      </c>
      <c r="O69" s="64">
        <v>0</v>
      </c>
      <c r="P69" s="64">
        <v>0.61</v>
      </c>
      <c r="Q69" s="64">
        <v>9.69</v>
      </c>
      <c r="R69" s="198"/>
      <c r="S69" s="198"/>
      <c r="T69" s="198"/>
      <c r="U69" s="198"/>
    </row>
    <row r="70" spans="1:21" s="12" customFormat="1" x14ac:dyDescent="0.25">
      <c r="A70" s="218" t="s">
        <v>2039</v>
      </c>
      <c r="B70" s="64">
        <v>4.13</v>
      </c>
      <c r="C70" s="64">
        <v>41.72</v>
      </c>
      <c r="D70" s="64">
        <v>26.98</v>
      </c>
      <c r="E70" s="64">
        <v>4.51</v>
      </c>
      <c r="F70" s="64">
        <v>44.22</v>
      </c>
      <c r="G70" s="64">
        <v>41.93</v>
      </c>
      <c r="H70" s="64">
        <v>21.21</v>
      </c>
      <c r="I70" s="64">
        <v>0.74</v>
      </c>
      <c r="J70" s="64">
        <v>0.37</v>
      </c>
      <c r="K70" s="64">
        <v>14.9</v>
      </c>
      <c r="L70" s="64">
        <v>39.26</v>
      </c>
      <c r="M70" s="64">
        <v>10.44</v>
      </c>
      <c r="N70" s="64">
        <v>169.8</v>
      </c>
      <c r="O70" s="64">
        <v>0</v>
      </c>
      <c r="P70" s="64">
        <v>0.61</v>
      </c>
      <c r="Q70" s="64">
        <v>9.39</v>
      </c>
      <c r="R70" s="198"/>
      <c r="S70" s="198"/>
      <c r="T70" s="198"/>
      <c r="U70" s="198"/>
    </row>
    <row r="71" spans="1:21" s="12" customFormat="1" x14ac:dyDescent="0.25">
      <c r="A71" s="218" t="s">
        <v>2040</v>
      </c>
      <c r="B71" s="64">
        <v>4.18</v>
      </c>
      <c r="C71" s="64">
        <v>32.85</v>
      </c>
      <c r="D71" s="64">
        <v>22.13</v>
      </c>
      <c r="E71" s="64">
        <v>5.0999999999999996</v>
      </c>
      <c r="F71" s="64">
        <v>58.67</v>
      </c>
      <c r="G71" s="64">
        <v>41.93</v>
      </c>
      <c r="H71" s="64">
        <v>21.21</v>
      </c>
      <c r="I71" s="64">
        <v>0.67</v>
      </c>
      <c r="J71" s="64">
        <v>0.16</v>
      </c>
      <c r="K71" s="64">
        <v>7.4</v>
      </c>
      <c r="L71" s="64">
        <v>38.46</v>
      </c>
      <c r="M71" s="64">
        <v>10.18</v>
      </c>
      <c r="N71" s="64">
        <v>134.1</v>
      </c>
      <c r="O71" s="64">
        <v>0</v>
      </c>
      <c r="P71" s="64">
        <v>0.49</v>
      </c>
      <c r="Q71" s="64">
        <v>8.93</v>
      </c>
      <c r="R71" s="198"/>
      <c r="S71" s="198"/>
      <c r="T71" s="198"/>
      <c r="U71" s="198"/>
    </row>
    <row r="72" spans="1:21" s="12" customFormat="1" x14ac:dyDescent="0.25">
      <c r="A72" s="218" t="s">
        <v>2041</v>
      </c>
      <c r="B72" s="64">
        <v>4</v>
      </c>
      <c r="C72" s="64">
        <v>41.57</v>
      </c>
      <c r="D72" s="64">
        <v>26.79</v>
      </c>
      <c r="E72" s="64">
        <v>2.5099999999999998</v>
      </c>
      <c r="F72" s="64">
        <v>45.72</v>
      </c>
      <c r="G72" s="64">
        <v>41.93</v>
      </c>
      <c r="H72" s="64">
        <v>21.21</v>
      </c>
      <c r="I72" s="64">
        <v>0.69</v>
      </c>
      <c r="J72" s="64">
        <v>0.09</v>
      </c>
      <c r="K72" s="64">
        <v>356.42</v>
      </c>
      <c r="L72" s="64">
        <v>37.33</v>
      </c>
      <c r="M72" s="64">
        <v>11.04</v>
      </c>
      <c r="N72" s="64">
        <v>101.4</v>
      </c>
      <c r="O72" s="64">
        <v>0</v>
      </c>
      <c r="P72" s="64">
        <v>0.63</v>
      </c>
      <c r="Q72" s="64">
        <v>8.5</v>
      </c>
      <c r="R72" s="198"/>
      <c r="S72" s="198"/>
      <c r="T72" s="198"/>
      <c r="U72" s="198"/>
    </row>
    <row r="73" spans="1:21" s="12" customFormat="1" x14ac:dyDescent="0.25">
      <c r="A73" s="218" t="s">
        <v>2042</v>
      </c>
      <c r="B73" s="64">
        <v>3.84</v>
      </c>
      <c r="C73" s="64">
        <v>39.92</v>
      </c>
      <c r="D73" s="64">
        <v>25.75</v>
      </c>
      <c r="E73" s="64">
        <v>4.93</v>
      </c>
      <c r="F73" s="64">
        <v>52.44</v>
      </c>
      <c r="G73" s="64">
        <v>41.92</v>
      </c>
      <c r="H73" s="64">
        <v>21.24</v>
      </c>
      <c r="I73" s="64">
        <v>0.62</v>
      </c>
      <c r="J73" s="64">
        <v>0.09</v>
      </c>
      <c r="K73" s="64">
        <v>22.92</v>
      </c>
      <c r="L73" s="64">
        <v>37.22</v>
      </c>
      <c r="M73" s="64">
        <v>11.1</v>
      </c>
      <c r="N73" s="64">
        <v>109.5</v>
      </c>
      <c r="O73" s="64">
        <v>0</v>
      </c>
      <c r="P73" s="64">
        <v>0.6</v>
      </c>
      <c r="Q73" s="64">
        <v>8.1</v>
      </c>
      <c r="R73" s="198"/>
      <c r="S73" s="198"/>
      <c r="T73" s="198"/>
      <c r="U73" s="198"/>
    </row>
    <row r="74" spans="1:21" s="12" customFormat="1" x14ac:dyDescent="0.25">
      <c r="A74" s="218" t="s">
        <v>2043</v>
      </c>
      <c r="B74" s="64">
        <v>7.99</v>
      </c>
      <c r="C74" s="64">
        <v>52.25</v>
      </c>
      <c r="D74" s="64">
        <v>35.89</v>
      </c>
      <c r="E74" s="64">
        <v>4.4000000000000004</v>
      </c>
      <c r="F74" s="64">
        <v>35.409999999999997</v>
      </c>
      <c r="G74" s="64">
        <v>41.86</v>
      </c>
      <c r="H74" s="64">
        <v>21.36</v>
      </c>
      <c r="I74" s="64">
        <v>0.68</v>
      </c>
      <c r="J74" s="64">
        <v>0.33</v>
      </c>
      <c r="K74" s="64">
        <v>17.61</v>
      </c>
      <c r="L74" s="64">
        <v>36.75</v>
      </c>
      <c r="M74" s="64">
        <v>13.47</v>
      </c>
      <c r="N74" s="64">
        <v>87.4</v>
      </c>
      <c r="O74" s="64">
        <v>0</v>
      </c>
      <c r="P74" s="64">
        <v>0.7</v>
      </c>
      <c r="Q74" s="64">
        <v>8.3800000000000008</v>
      </c>
      <c r="R74" s="198"/>
      <c r="S74" s="198"/>
      <c r="T74" s="198"/>
      <c r="U74" s="198"/>
    </row>
    <row r="75" spans="1:21" s="12" customFormat="1" x14ac:dyDescent="0.25">
      <c r="A75" s="218" t="s">
        <v>2044</v>
      </c>
      <c r="B75" s="64">
        <v>9.08</v>
      </c>
      <c r="C75" s="64">
        <v>52.34</v>
      </c>
      <c r="D75" s="64">
        <v>36.82</v>
      </c>
      <c r="E75" s="64">
        <v>3.24</v>
      </c>
      <c r="F75" s="64">
        <v>31.29</v>
      </c>
      <c r="G75" s="64">
        <v>41.86</v>
      </c>
      <c r="H75" s="64">
        <v>21.36</v>
      </c>
      <c r="I75" s="64">
        <v>0.6</v>
      </c>
      <c r="J75" s="64">
        <v>0.56999999999999995</v>
      </c>
      <c r="K75" s="64">
        <v>20.309999999999999</v>
      </c>
      <c r="L75" s="64">
        <v>36.65</v>
      </c>
      <c r="M75" s="64">
        <v>13.82</v>
      </c>
      <c r="N75" s="64">
        <v>114.1</v>
      </c>
      <c r="O75" s="64">
        <v>0</v>
      </c>
      <c r="P75" s="64">
        <v>0.7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18" t="s">
        <v>2045</v>
      </c>
      <c r="B76" s="64">
        <v>6.02</v>
      </c>
      <c r="C76" s="64">
        <v>49.69</v>
      </c>
      <c r="D76" s="64">
        <v>32.9</v>
      </c>
      <c r="E76" s="64">
        <v>3.07</v>
      </c>
      <c r="F76" s="64">
        <v>30.18</v>
      </c>
      <c r="G76" s="64">
        <v>41.86</v>
      </c>
      <c r="H76" s="64">
        <v>21.36</v>
      </c>
      <c r="I76" s="64">
        <v>0.68</v>
      </c>
      <c r="J76" s="64">
        <v>0.36</v>
      </c>
      <c r="K76" s="64">
        <v>3.98</v>
      </c>
      <c r="L76" s="64">
        <v>36.729999999999997</v>
      </c>
      <c r="M76" s="64">
        <v>13.39</v>
      </c>
      <c r="N76" s="64">
        <v>100.6</v>
      </c>
      <c r="O76" s="64">
        <v>0</v>
      </c>
      <c r="P76" s="64">
        <v>0.68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8" t="s">
        <v>2046</v>
      </c>
      <c r="B77" s="64">
        <v>10.76</v>
      </c>
      <c r="C77" s="64">
        <v>59.11</v>
      </c>
      <c r="D77" s="64">
        <v>41.9</v>
      </c>
      <c r="E77" s="64">
        <v>3.27</v>
      </c>
      <c r="F77" s="64">
        <v>30.78</v>
      </c>
      <c r="G77" s="64">
        <v>38.11</v>
      </c>
      <c r="H77" s="64">
        <v>21.2</v>
      </c>
      <c r="I77" s="64">
        <v>0.72</v>
      </c>
      <c r="J77" s="64">
        <v>0.41</v>
      </c>
      <c r="K77" s="64">
        <v>17.399999999999999</v>
      </c>
      <c r="L77" s="64">
        <v>36.450000000000003</v>
      </c>
      <c r="M77" s="64">
        <v>13.95</v>
      </c>
      <c r="N77" s="64">
        <v>77.400000000000006</v>
      </c>
      <c r="O77" s="64">
        <v>0</v>
      </c>
      <c r="P77" s="64">
        <v>0.85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8" t="s">
        <v>2047</v>
      </c>
      <c r="B78" s="64">
        <v>10.46</v>
      </c>
      <c r="C78" s="64">
        <v>64.209999999999994</v>
      </c>
      <c r="D78" s="64">
        <v>44.47</v>
      </c>
      <c r="E78" s="64">
        <v>4.2699999999999996</v>
      </c>
      <c r="F78" s="64">
        <v>32.869999999999997</v>
      </c>
      <c r="G78" s="211" t="s">
        <v>43</v>
      </c>
      <c r="H78" s="211" t="s">
        <v>43</v>
      </c>
      <c r="I78" s="64">
        <v>0.74</v>
      </c>
      <c r="J78" s="64">
        <v>0.22</v>
      </c>
      <c r="K78" s="64">
        <v>357.93</v>
      </c>
      <c r="L78" s="64">
        <v>35.99</v>
      </c>
      <c r="M78" s="64">
        <v>14.71</v>
      </c>
      <c r="N78" s="64">
        <v>58.7</v>
      </c>
      <c r="O78" s="64">
        <v>0</v>
      </c>
      <c r="P78" s="64">
        <v>0.89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18" t="s">
        <v>2048</v>
      </c>
      <c r="B79" s="64">
        <v>10.98</v>
      </c>
      <c r="C79" s="64">
        <v>75.59</v>
      </c>
      <c r="D79" s="64">
        <v>51.17</v>
      </c>
      <c r="E79" s="64">
        <v>4.51</v>
      </c>
      <c r="F79" s="64">
        <v>30.18</v>
      </c>
      <c r="G79" s="211" t="s">
        <v>43</v>
      </c>
      <c r="H79" s="211" t="s">
        <v>43</v>
      </c>
      <c r="I79" s="64">
        <v>0.72</v>
      </c>
      <c r="J79" s="64">
        <v>0.13</v>
      </c>
      <c r="K79" s="64">
        <v>341.21</v>
      </c>
      <c r="L79" s="64">
        <v>35.42</v>
      </c>
      <c r="M79" s="64">
        <v>15.1</v>
      </c>
      <c r="N79" s="64">
        <v>40.799999999999997</v>
      </c>
      <c r="O79" s="64">
        <v>0</v>
      </c>
      <c r="P79" s="64">
        <v>1.1200000000000001</v>
      </c>
      <c r="Q79" s="64">
        <v>9.89</v>
      </c>
      <c r="R79" s="198"/>
      <c r="S79" s="198"/>
      <c r="T79" s="198"/>
      <c r="U79" s="198"/>
    </row>
    <row r="80" spans="1:21" s="12" customFormat="1" x14ac:dyDescent="0.25">
      <c r="A80" s="218" t="s">
        <v>2049</v>
      </c>
      <c r="B80" s="64">
        <v>11.57</v>
      </c>
      <c r="C80" s="64">
        <v>90.28</v>
      </c>
      <c r="D80" s="64">
        <v>59.75</v>
      </c>
      <c r="E80" s="64">
        <v>5.34</v>
      </c>
      <c r="F80" s="64">
        <v>25.13</v>
      </c>
      <c r="G80" s="211" t="s">
        <v>43</v>
      </c>
      <c r="H80" s="211" t="s">
        <v>43</v>
      </c>
      <c r="I80" s="64">
        <v>0.68</v>
      </c>
      <c r="J80" s="64">
        <v>0.09</v>
      </c>
      <c r="K80" s="64">
        <v>309.83999999999997</v>
      </c>
      <c r="L80" s="64">
        <v>34.770000000000003</v>
      </c>
      <c r="M80" s="64">
        <v>16.149999999999999</v>
      </c>
      <c r="N80" s="64">
        <v>25.4</v>
      </c>
      <c r="O80" s="64">
        <v>0</v>
      </c>
      <c r="P80" s="64">
        <v>1.35</v>
      </c>
      <c r="Q80" s="64">
        <v>10.81</v>
      </c>
      <c r="R80" s="198"/>
      <c r="S80" s="198"/>
      <c r="T80" s="198"/>
      <c r="U80" s="198"/>
    </row>
    <row r="81" spans="1:26" s="12" customFormat="1" x14ac:dyDescent="0.25">
      <c r="A81" s="218" t="s">
        <v>2050</v>
      </c>
      <c r="B81" s="64">
        <v>17.86</v>
      </c>
      <c r="C81" s="64">
        <v>119.43</v>
      </c>
      <c r="D81" s="64">
        <v>80.88</v>
      </c>
      <c r="E81" s="64">
        <v>7.21</v>
      </c>
      <c r="F81" s="64">
        <v>19.579999999999998</v>
      </c>
      <c r="G81" s="64">
        <v>24.33</v>
      </c>
      <c r="H81" s="64">
        <v>20.420000000000002</v>
      </c>
      <c r="I81" s="64">
        <v>0.78</v>
      </c>
      <c r="J81" s="64">
        <v>0.11</v>
      </c>
      <c r="K81" s="64">
        <v>309.06</v>
      </c>
      <c r="L81" s="64">
        <v>34.409999999999997</v>
      </c>
      <c r="M81" s="64">
        <v>15.72</v>
      </c>
      <c r="N81" s="64">
        <v>10.3</v>
      </c>
      <c r="O81" s="64">
        <v>0</v>
      </c>
      <c r="P81" s="64">
        <v>1.75</v>
      </c>
      <c r="Q81" s="64">
        <v>12.02</v>
      </c>
      <c r="R81" s="198"/>
      <c r="S81" s="198"/>
      <c r="T81" s="198"/>
      <c r="U81" s="198"/>
    </row>
    <row r="82" spans="1:26" s="12" customFormat="1" x14ac:dyDescent="0.25">
      <c r="A82" s="218" t="s">
        <v>2051</v>
      </c>
      <c r="B82" s="64">
        <v>3.54</v>
      </c>
      <c r="C82" s="64">
        <v>79.11</v>
      </c>
      <c r="D82" s="64">
        <v>47.14</v>
      </c>
      <c r="E82" s="64">
        <v>7.78</v>
      </c>
      <c r="F82" s="64">
        <v>35.33</v>
      </c>
      <c r="G82" s="64">
        <v>60.1</v>
      </c>
      <c r="H82" s="64">
        <v>20.399999999999999</v>
      </c>
      <c r="I82" s="64">
        <v>0.79</v>
      </c>
      <c r="J82" s="64">
        <v>0.06</v>
      </c>
      <c r="K82" s="64">
        <v>8.65</v>
      </c>
      <c r="L82" s="64">
        <v>34.409999999999997</v>
      </c>
      <c r="M82" s="64">
        <v>15.08</v>
      </c>
      <c r="N82" s="64">
        <v>5.5</v>
      </c>
      <c r="O82" s="64">
        <v>0</v>
      </c>
      <c r="P82" s="64">
        <v>1.1499999999999999</v>
      </c>
      <c r="Q82" s="64">
        <v>12.68</v>
      </c>
      <c r="R82" s="198"/>
      <c r="S82" s="198"/>
      <c r="T82" s="198"/>
      <c r="U82" s="198"/>
    </row>
    <row r="83" spans="1:26" s="12" customFormat="1" x14ac:dyDescent="0.25">
      <c r="A83" s="218" t="s">
        <v>2052</v>
      </c>
      <c r="B83" s="64">
        <v>3.87</v>
      </c>
      <c r="C83" s="64">
        <v>68.55</v>
      </c>
      <c r="D83" s="64">
        <v>41.58</v>
      </c>
      <c r="E83" s="64">
        <v>8.09</v>
      </c>
      <c r="F83" s="64">
        <v>32.950000000000003</v>
      </c>
      <c r="G83" s="64">
        <v>60.1</v>
      </c>
      <c r="H83" s="64">
        <v>20.399999999999999</v>
      </c>
      <c r="I83" s="64">
        <v>0.82</v>
      </c>
      <c r="J83" s="64">
        <v>0.09</v>
      </c>
      <c r="K83" s="64">
        <v>23.03</v>
      </c>
      <c r="L83" s="64">
        <v>34.5</v>
      </c>
      <c r="M83" s="64">
        <v>15.22</v>
      </c>
      <c r="N83" s="64">
        <v>3.9</v>
      </c>
      <c r="O83" s="64">
        <v>0</v>
      </c>
      <c r="P83" s="64">
        <v>1.1000000000000001</v>
      </c>
      <c r="Q83" s="64">
        <v>12.6</v>
      </c>
      <c r="R83" s="198"/>
      <c r="S83" s="198"/>
      <c r="T83" s="198"/>
      <c r="U83" s="198"/>
    </row>
    <row r="84" spans="1:26" s="12" customFormat="1" x14ac:dyDescent="0.25">
      <c r="A84" s="218" t="s">
        <v>2053</v>
      </c>
      <c r="B84" s="64">
        <v>7.14</v>
      </c>
      <c r="C84" s="64">
        <v>80.62</v>
      </c>
      <c r="D84" s="64">
        <v>50.86</v>
      </c>
      <c r="E84" s="64">
        <v>7.98</v>
      </c>
      <c r="F84" s="64">
        <v>30.91</v>
      </c>
      <c r="G84" s="64">
        <v>60.1</v>
      </c>
      <c r="H84" s="64">
        <v>20.399999999999999</v>
      </c>
      <c r="I84" s="64">
        <v>0.74</v>
      </c>
      <c r="J84" s="64">
        <v>0.08</v>
      </c>
      <c r="K84" s="64">
        <v>36.46</v>
      </c>
      <c r="L84" s="64">
        <v>34.049999999999997</v>
      </c>
      <c r="M84" s="64">
        <v>16.37</v>
      </c>
      <c r="N84" s="64">
        <v>4.7</v>
      </c>
      <c r="O84" s="64">
        <v>0</v>
      </c>
      <c r="P84" s="64">
        <v>1.31</v>
      </c>
      <c r="Q84" s="64">
        <v>12.23</v>
      </c>
      <c r="R84" s="198"/>
      <c r="S84" s="198"/>
      <c r="T84" s="198"/>
      <c r="U84" s="198"/>
    </row>
    <row r="85" spans="1:26" s="12" customFormat="1" x14ac:dyDescent="0.25">
      <c r="A85" s="218" t="s">
        <v>2054</v>
      </c>
      <c r="B85" s="64">
        <v>18.920000000000002</v>
      </c>
      <c r="C85" s="64">
        <v>99.29</v>
      </c>
      <c r="D85" s="64">
        <v>70.61</v>
      </c>
      <c r="E85" s="64">
        <v>7.39</v>
      </c>
      <c r="F85" s="64">
        <v>15.31</v>
      </c>
      <c r="G85" s="64">
        <v>61.82</v>
      </c>
      <c r="H85" s="64">
        <v>20.66</v>
      </c>
      <c r="I85" s="64">
        <v>0.71</v>
      </c>
      <c r="J85" s="64">
        <v>0.08</v>
      </c>
      <c r="K85" s="64">
        <v>345.37</v>
      </c>
      <c r="L85" s="64">
        <v>33.42</v>
      </c>
      <c r="M85" s="64">
        <v>17.989999999999998</v>
      </c>
      <c r="N85" s="64">
        <v>4.5999999999999996</v>
      </c>
      <c r="O85" s="64">
        <v>0</v>
      </c>
      <c r="P85" s="64">
        <v>1.87</v>
      </c>
      <c r="Q85" s="64">
        <v>12.28</v>
      </c>
      <c r="R85" s="198"/>
      <c r="S85" s="198"/>
      <c r="T85" s="198"/>
      <c r="U85" s="198"/>
    </row>
    <row r="86" spans="1:26" s="12" customFormat="1" x14ac:dyDescent="0.25">
      <c r="A86" s="218" t="s">
        <v>2055</v>
      </c>
      <c r="B86" s="64">
        <v>17.670000000000002</v>
      </c>
      <c r="C86" s="64">
        <v>88.7</v>
      </c>
      <c r="D86" s="64">
        <v>63.77</v>
      </c>
      <c r="E86" s="64">
        <v>6.08</v>
      </c>
      <c r="F86" s="64">
        <v>15.14</v>
      </c>
      <c r="G86" s="64">
        <v>71.14</v>
      </c>
      <c r="H86" s="64">
        <v>21.88</v>
      </c>
      <c r="I86" s="64">
        <v>0.79</v>
      </c>
      <c r="J86" s="64">
        <v>0.11</v>
      </c>
      <c r="K86" s="64">
        <v>13.42</v>
      </c>
      <c r="L86" s="64">
        <v>32.64</v>
      </c>
      <c r="M86" s="64">
        <v>19.63</v>
      </c>
      <c r="N86" s="64">
        <v>4.9000000000000004</v>
      </c>
      <c r="O86" s="64">
        <v>0</v>
      </c>
      <c r="P86" s="64">
        <v>1.76</v>
      </c>
      <c r="Q86" s="64">
        <v>13.38</v>
      </c>
      <c r="R86" s="198"/>
      <c r="S86" s="198"/>
      <c r="T86" s="198"/>
      <c r="U86" s="198"/>
    </row>
    <row r="87" spans="1:26" s="12" customFormat="1" x14ac:dyDescent="0.25">
      <c r="A87" s="218" t="s">
        <v>2056</v>
      </c>
      <c r="B87" s="64">
        <v>32.880000000000003</v>
      </c>
      <c r="C87" s="64">
        <v>97.58</v>
      </c>
      <c r="D87" s="64">
        <v>80.86</v>
      </c>
      <c r="E87" s="64">
        <v>6.27</v>
      </c>
      <c r="F87" s="64">
        <v>12.57</v>
      </c>
      <c r="G87" s="64">
        <v>71.14</v>
      </c>
      <c r="H87" s="64">
        <v>21.88</v>
      </c>
      <c r="I87" s="64">
        <v>0.89</v>
      </c>
      <c r="J87" s="64">
        <v>0.14000000000000001</v>
      </c>
      <c r="K87" s="64">
        <v>11.76</v>
      </c>
      <c r="L87" s="64">
        <v>32.01</v>
      </c>
      <c r="M87" s="64">
        <v>21.27</v>
      </c>
      <c r="N87" s="64">
        <v>4.9000000000000004</v>
      </c>
      <c r="O87" s="64">
        <v>0</v>
      </c>
      <c r="P87" s="64">
        <v>2.09</v>
      </c>
      <c r="Q87" s="64">
        <v>14.6</v>
      </c>
      <c r="R87" s="198"/>
      <c r="S87" s="198"/>
      <c r="T87" s="198"/>
      <c r="U87" s="198"/>
    </row>
    <row r="88" spans="1:26" s="12" customFormat="1" x14ac:dyDescent="0.25">
      <c r="A88" s="218" t="s">
        <v>2057</v>
      </c>
      <c r="B88" s="64">
        <v>40.81</v>
      </c>
      <c r="C88" s="64">
        <v>101.25</v>
      </c>
      <c r="D88" s="64">
        <v>89.25</v>
      </c>
      <c r="E88" s="64">
        <v>3.15</v>
      </c>
      <c r="F88" s="64">
        <v>9.4700000000000006</v>
      </c>
      <c r="G88" s="64">
        <v>71.14</v>
      </c>
      <c r="H88" s="64">
        <v>21.88</v>
      </c>
      <c r="I88" s="64">
        <v>0.92</v>
      </c>
      <c r="J88" s="64">
        <v>7.0000000000000007E-2</v>
      </c>
      <c r="K88" s="64">
        <v>32.049999999999997</v>
      </c>
      <c r="L88" s="64">
        <v>31.16</v>
      </c>
      <c r="M88" s="64">
        <v>23.53</v>
      </c>
      <c r="N88" s="64">
        <v>5.0999999999999996</v>
      </c>
      <c r="O88" s="64">
        <v>0</v>
      </c>
      <c r="P88" s="64">
        <v>2.2000000000000002</v>
      </c>
      <c r="Q88" s="64">
        <v>16.14</v>
      </c>
      <c r="R88" s="198"/>
      <c r="S88" s="198"/>
      <c r="T88" s="198"/>
      <c r="U88" s="198"/>
    </row>
    <row r="89" spans="1:26" s="12" customFormat="1" x14ac:dyDescent="0.25">
      <c r="A89" s="218" t="s">
        <v>2058</v>
      </c>
      <c r="B89" s="64">
        <v>33.799999999999997</v>
      </c>
      <c r="C89" s="64">
        <v>82.61</v>
      </c>
      <c r="D89" s="64">
        <v>73.34</v>
      </c>
      <c r="E89" s="64">
        <v>6.04</v>
      </c>
      <c r="F89" s="64">
        <v>11.54</v>
      </c>
      <c r="G89" s="64">
        <v>72.84</v>
      </c>
      <c r="H89" s="64">
        <v>22.94</v>
      </c>
      <c r="I89" s="64">
        <v>0.93</v>
      </c>
      <c r="J89" s="64">
        <v>0.44</v>
      </c>
      <c r="K89" s="64">
        <v>32.29</v>
      </c>
      <c r="L89" s="64">
        <v>30.54</v>
      </c>
      <c r="M89" s="64">
        <v>27.04</v>
      </c>
      <c r="N89" s="64">
        <v>4.5999999999999996</v>
      </c>
      <c r="O89" s="64">
        <v>0</v>
      </c>
      <c r="P89" s="64">
        <v>2.08</v>
      </c>
      <c r="Q89" s="64">
        <v>17.73</v>
      </c>
      <c r="R89" s="198"/>
      <c r="S89" s="198"/>
      <c r="T89" s="198"/>
      <c r="U89" s="198"/>
    </row>
    <row r="90" spans="1:26" s="12" customFormat="1" x14ac:dyDescent="0.25">
      <c r="A90" s="218" t="s">
        <v>2059</v>
      </c>
      <c r="B90" s="64">
        <v>37.840000000000003</v>
      </c>
      <c r="C90" s="64">
        <v>89.6</v>
      </c>
      <c r="D90" s="64">
        <v>80.44</v>
      </c>
      <c r="E90" s="64">
        <v>8.86</v>
      </c>
      <c r="F90" s="64">
        <v>11.89</v>
      </c>
      <c r="G90" s="64">
        <v>82.08</v>
      </c>
      <c r="H90" s="64">
        <v>28.53</v>
      </c>
      <c r="I90" s="64">
        <v>0.93</v>
      </c>
      <c r="J90" s="64">
        <v>0.45</v>
      </c>
      <c r="K90" s="64">
        <v>34.450000000000003</v>
      </c>
      <c r="L90" s="64">
        <v>30.45</v>
      </c>
      <c r="M90" s="64">
        <v>26.02</v>
      </c>
      <c r="N90" s="64">
        <v>4</v>
      </c>
      <c r="O90" s="64">
        <v>0</v>
      </c>
      <c r="P90" s="64">
        <v>2.35</v>
      </c>
      <c r="Q90" s="64">
        <v>18.3</v>
      </c>
      <c r="R90" s="198"/>
      <c r="S90" s="198"/>
      <c r="T90" s="198"/>
      <c r="U90" s="198"/>
    </row>
    <row r="91" spans="1:26" s="12" customFormat="1" x14ac:dyDescent="0.25">
      <c r="A91" s="218" t="s">
        <v>2060</v>
      </c>
      <c r="B91" s="64">
        <v>28.53</v>
      </c>
      <c r="C91" s="64">
        <v>78.25</v>
      </c>
      <c r="D91" s="64">
        <v>66.72</v>
      </c>
      <c r="E91" s="64">
        <v>8.75</v>
      </c>
      <c r="F91" s="64">
        <v>14.62</v>
      </c>
      <c r="G91" s="64">
        <v>82.08</v>
      </c>
      <c r="H91" s="64">
        <v>28.53</v>
      </c>
      <c r="I91" s="64">
        <v>0.9</v>
      </c>
      <c r="J91" s="64">
        <v>0.81</v>
      </c>
      <c r="K91" s="64">
        <v>37.340000000000003</v>
      </c>
      <c r="L91" s="64">
        <v>30.57</v>
      </c>
      <c r="M91" s="64">
        <v>25.2</v>
      </c>
      <c r="N91" s="64">
        <v>3.7</v>
      </c>
      <c r="O91" s="64">
        <v>0</v>
      </c>
      <c r="P91" s="64">
        <v>1.97</v>
      </c>
      <c r="Q91" s="64">
        <v>20.38</v>
      </c>
      <c r="R91" s="198"/>
      <c r="S91" s="198"/>
      <c r="T91" s="198"/>
      <c r="U91" s="198"/>
    </row>
    <row r="92" spans="1:26" s="12" customFormat="1" x14ac:dyDescent="0.25">
      <c r="A92" s="218" t="s">
        <v>2061</v>
      </c>
      <c r="B92" s="64">
        <v>22.3</v>
      </c>
      <c r="C92" s="64">
        <v>72.739999999999995</v>
      </c>
      <c r="D92" s="64">
        <v>58.67</v>
      </c>
      <c r="E92" s="64">
        <v>10.210000000000001</v>
      </c>
      <c r="F92" s="64">
        <v>14.99</v>
      </c>
      <c r="G92" s="64">
        <v>82.08</v>
      </c>
      <c r="H92" s="64">
        <v>28.53</v>
      </c>
      <c r="I92" s="64">
        <v>1</v>
      </c>
      <c r="J92" s="64">
        <v>0.96</v>
      </c>
      <c r="K92" s="64">
        <v>29.7</v>
      </c>
      <c r="L92" s="64">
        <v>30.47</v>
      </c>
      <c r="M92" s="64">
        <v>23.83</v>
      </c>
      <c r="N92" s="64">
        <v>3.8</v>
      </c>
      <c r="O92" s="64">
        <v>0</v>
      </c>
      <c r="P92" s="64">
        <v>1.9</v>
      </c>
      <c r="Q92" s="64">
        <v>21.13</v>
      </c>
      <c r="R92" s="198"/>
      <c r="S92" s="198"/>
      <c r="T92" s="198"/>
      <c r="U92" s="198"/>
    </row>
    <row r="93" spans="1:26" s="12" customFormat="1" x14ac:dyDescent="0.25">
      <c r="A93" s="218" t="s">
        <v>2062</v>
      </c>
      <c r="B93" s="64">
        <v>27.28</v>
      </c>
      <c r="C93" s="64">
        <v>76</v>
      </c>
      <c r="D93" s="64">
        <v>64.459999999999994</v>
      </c>
      <c r="E93" s="64">
        <v>21.59</v>
      </c>
      <c r="F93" s="64">
        <v>15.64</v>
      </c>
      <c r="G93" s="64">
        <v>80.52</v>
      </c>
      <c r="H93" s="64">
        <v>28.91</v>
      </c>
      <c r="I93" s="64">
        <v>0.88</v>
      </c>
      <c r="J93" s="64">
        <v>0.88</v>
      </c>
      <c r="K93" s="64">
        <v>30.17</v>
      </c>
      <c r="L93" s="64">
        <v>30.52</v>
      </c>
      <c r="M93" s="64">
        <v>23.75</v>
      </c>
      <c r="N93" s="64">
        <v>4.3</v>
      </c>
      <c r="O93" s="64">
        <v>0</v>
      </c>
      <c r="P93" s="64">
        <v>1.86</v>
      </c>
      <c r="Q93" s="64">
        <v>21.19</v>
      </c>
      <c r="R93" s="198"/>
      <c r="S93" s="198"/>
      <c r="T93" s="198"/>
      <c r="U93" s="198"/>
    </row>
    <row r="94" spans="1:26" s="12" customFormat="1" x14ac:dyDescent="0.25">
      <c r="A94" s="218" t="s">
        <v>2063</v>
      </c>
      <c r="B94" s="64">
        <v>34.450000000000003</v>
      </c>
      <c r="C94" s="64">
        <v>80.02</v>
      </c>
      <c r="D94" s="64">
        <v>72.44</v>
      </c>
      <c r="E94" s="64">
        <v>29.84</v>
      </c>
      <c r="F94" s="64">
        <v>15.74</v>
      </c>
      <c r="G94" s="64">
        <v>72.069999999999993</v>
      </c>
      <c r="H94" s="64">
        <v>30.45</v>
      </c>
      <c r="I94" s="64">
        <v>0.87</v>
      </c>
      <c r="J94" s="64">
        <v>0.71</v>
      </c>
      <c r="K94" s="64">
        <v>25.19</v>
      </c>
      <c r="L94" s="64">
        <v>30.17</v>
      </c>
      <c r="M94" s="64">
        <v>24.59</v>
      </c>
      <c r="N94" s="64">
        <v>4.7</v>
      </c>
      <c r="O94" s="64">
        <v>0</v>
      </c>
      <c r="P94" s="64">
        <v>1.98</v>
      </c>
      <c r="Q94" s="64">
        <v>21.94</v>
      </c>
      <c r="R94" s="198"/>
      <c r="S94" s="198"/>
      <c r="T94" s="198"/>
      <c r="U94" s="198"/>
    </row>
    <row r="95" spans="1:26" s="12" customFormat="1" x14ac:dyDescent="0.25">
      <c r="A95" s="218" t="s">
        <v>2064</v>
      </c>
      <c r="B95" s="64">
        <v>31.78</v>
      </c>
      <c r="C95" s="64">
        <v>95.04</v>
      </c>
      <c r="D95" s="64">
        <v>78.58</v>
      </c>
      <c r="E95" s="64">
        <v>37.950000000000003</v>
      </c>
      <c r="F95" s="64">
        <v>8.89</v>
      </c>
      <c r="G95" s="64">
        <v>72.069999999999993</v>
      </c>
      <c r="H95" s="64">
        <v>30.45</v>
      </c>
      <c r="I95" s="64">
        <v>0.83</v>
      </c>
      <c r="J95" s="64">
        <v>0.19</v>
      </c>
      <c r="K95" s="64">
        <v>66.37</v>
      </c>
      <c r="L95" s="64">
        <v>30.09</v>
      </c>
      <c r="M95" s="64">
        <v>24.14</v>
      </c>
      <c r="N95" s="64">
        <v>5.0999999999999996</v>
      </c>
      <c r="O95" s="64">
        <v>0</v>
      </c>
      <c r="P95" s="64">
        <v>2.31</v>
      </c>
      <c r="Q95" s="64">
        <v>20.73</v>
      </c>
      <c r="R95" s="198"/>
      <c r="S95" s="198"/>
      <c r="T95" s="198"/>
      <c r="U95" s="198"/>
    </row>
    <row r="96" spans="1:26" s="12" customFormat="1" x14ac:dyDescent="0.25">
      <c r="A96" s="218" t="s">
        <v>2065</v>
      </c>
      <c r="B96" s="64">
        <v>61.04</v>
      </c>
      <c r="C96" s="64">
        <v>104.61</v>
      </c>
      <c r="D96" s="64">
        <v>107.33</v>
      </c>
      <c r="E96" s="64">
        <v>42.18</v>
      </c>
      <c r="F96" s="64">
        <v>6.35</v>
      </c>
      <c r="G96" s="64">
        <v>72.069999999999993</v>
      </c>
      <c r="H96" s="64">
        <v>30.45</v>
      </c>
      <c r="I96" s="64">
        <v>0.85</v>
      </c>
      <c r="J96" s="64">
        <v>0.22</v>
      </c>
      <c r="K96" s="64">
        <v>25.42</v>
      </c>
      <c r="L96" s="64">
        <v>29.95</v>
      </c>
      <c r="M96" s="64">
        <v>24.09</v>
      </c>
      <c r="N96" s="64">
        <v>4.8</v>
      </c>
      <c r="O96" s="64">
        <v>0</v>
      </c>
      <c r="P96" s="64">
        <v>2.6</v>
      </c>
      <c r="Q96" s="64">
        <v>17.43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2066</v>
      </c>
      <c r="B97" s="64">
        <v>41.99</v>
      </c>
      <c r="C97" s="64">
        <v>85.73</v>
      </c>
      <c r="D97" s="64">
        <v>81.63</v>
      </c>
      <c r="E97" s="64">
        <v>23.49</v>
      </c>
      <c r="F97" s="64">
        <v>10.46</v>
      </c>
      <c r="G97" s="64">
        <v>77.989999999999995</v>
      </c>
      <c r="H97" s="64">
        <v>32.630000000000003</v>
      </c>
      <c r="I97" s="64">
        <v>0.99</v>
      </c>
      <c r="J97" s="64">
        <v>0.27</v>
      </c>
      <c r="K97" s="64">
        <v>34.64</v>
      </c>
      <c r="L97" s="64">
        <v>29.96</v>
      </c>
      <c r="M97" s="64">
        <v>23.1</v>
      </c>
      <c r="N97" s="64">
        <v>4.4000000000000004</v>
      </c>
      <c r="O97" s="64">
        <v>0</v>
      </c>
      <c r="P97" s="64">
        <v>2.12</v>
      </c>
      <c r="Q97" s="64">
        <v>20.46</v>
      </c>
      <c r="R97" s="198"/>
      <c r="S97" s="198"/>
      <c r="T97" s="198"/>
      <c r="U97" s="198"/>
    </row>
    <row r="98" spans="1:33" s="12" customFormat="1" x14ac:dyDescent="0.25">
      <c r="A98" s="218" t="s">
        <v>2067</v>
      </c>
      <c r="B98" s="64">
        <v>37.81</v>
      </c>
      <c r="C98" s="64">
        <v>95.61</v>
      </c>
      <c r="D98" s="64">
        <v>83.73</v>
      </c>
      <c r="E98" s="64">
        <v>29.72</v>
      </c>
      <c r="F98" s="64">
        <v>9.1300000000000008</v>
      </c>
      <c r="G98" s="64">
        <v>110.13</v>
      </c>
      <c r="H98" s="64">
        <v>41.5</v>
      </c>
      <c r="I98" s="64">
        <v>1.04</v>
      </c>
      <c r="J98" s="64">
        <v>0.28999999999999998</v>
      </c>
      <c r="K98" s="64">
        <v>68.89</v>
      </c>
      <c r="L98" s="64">
        <v>29.92</v>
      </c>
      <c r="M98" s="64">
        <v>23.31</v>
      </c>
      <c r="N98" s="64">
        <v>4.4000000000000004</v>
      </c>
      <c r="O98" s="64">
        <v>0</v>
      </c>
      <c r="P98" s="64">
        <v>1.95</v>
      </c>
      <c r="Q98" s="64">
        <v>22.53</v>
      </c>
      <c r="R98" s="198"/>
      <c r="S98" s="198"/>
      <c r="T98" s="198"/>
      <c r="U98" s="198"/>
    </row>
    <row r="99" spans="1:33" s="12" customFormat="1" x14ac:dyDescent="0.25">
      <c r="A99" s="218" t="s">
        <v>2068</v>
      </c>
      <c r="B99" s="64">
        <v>34.15</v>
      </c>
      <c r="C99" s="64">
        <v>75.98</v>
      </c>
      <c r="D99" s="64">
        <v>69.97</v>
      </c>
      <c r="E99" s="64">
        <v>25.79</v>
      </c>
      <c r="F99" s="64">
        <v>9.77</v>
      </c>
      <c r="G99" s="64">
        <v>110.13</v>
      </c>
      <c r="H99" s="64">
        <v>41.5</v>
      </c>
      <c r="I99" s="64">
        <v>0.88</v>
      </c>
      <c r="J99" s="64">
        <v>0.52</v>
      </c>
      <c r="K99" s="64">
        <v>46.48</v>
      </c>
      <c r="L99" s="64">
        <v>30.46</v>
      </c>
      <c r="M99" s="64">
        <v>21.63</v>
      </c>
      <c r="N99" s="64">
        <v>3.2</v>
      </c>
      <c r="O99" s="64">
        <v>0</v>
      </c>
      <c r="P99" s="64">
        <v>1.89</v>
      </c>
      <c r="Q99" s="64">
        <v>23.79</v>
      </c>
      <c r="R99" s="198"/>
      <c r="S99" s="198"/>
      <c r="T99" s="198"/>
      <c r="U99" s="198"/>
    </row>
    <row r="100" spans="1:33" s="12" customFormat="1" x14ac:dyDescent="0.25">
      <c r="A100" s="218" t="s">
        <v>2069</v>
      </c>
      <c r="B100" s="64">
        <v>32.21</v>
      </c>
      <c r="C100" s="64">
        <v>73.319999999999993</v>
      </c>
      <c r="D100" s="64">
        <v>66.94</v>
      </c>
      <c r="E100" s="64">
        <v>16.2</v>
      </c>
      <c r="F100" s="64">
        <v>12.05</v>
      </c>
      <c r="G100" s="64">
        <v>110.13</v>
      </c>
      <c r="H100" s="64">
        <v>41.5</v>
      </c>
      <c r="I100" s="64">
        <v>0.85</v>
      </c>
      <c r="J100" s="64">
        <v>0.51</v>
      </c>
      <c r="K100" s="64">
        <v>94.67</v>
      </c>
      <c r="L100" s="64">
        <v>30.12</v>
      </c>
      <c r="M100" s="64">
        <v>22.33</v>
      </c>
      <c r="N100" s="64">
        <v>4.5999999999999996</v>
      </c>
      <c r="O100" s="64">
        <v>0</v>
      </c>
      <c r="P100" s="64">
        <v>1.68</v>
      </c>
      <c r="Q100" s="64">
        <v>24.54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2070</v>
      </c>
      <c r="B101" s="64">
        <v>19.86</v>
      </c>
      <c r="C101" s="64">
        <v>61.55</v>
      </c>
      <c r="D101" s="64">
        <v>50.54</v>
      </c>
      <c r="E101" s="64">
        <v>14.58</v>
      </c>
      <c r="F101" s="64">
        <v>17.36</v>
      </c>
      <c r="G101" s="64">
        <v>111.98</v>
      </c>
      <c r="H101" s="64">
        <v>41.36</v>
      </c>
      <c r="I101" s="64">
        <v>0.86</v>
      </c>
      <c r="J101" s="64">
        <v>0.62</v>
      </c>
      <c r="K101" s="64">
        <v>99.29</v>
      </c>
      <c r="L101" s="64">
        <v>29.71</v>
      </c>
      <c r="M101" s="64">
        <v>23.09</v>
      </c>
      <c r="N101" s="64">
        <v>4.3</v>
      </c>
      <c r="O101" s="64">
        <v>0</v>
      </c>
      <c r="P101" s="64">
        <v>1.45</v>
      </c>
      <c r="Q101" s="64">
        <v>24.65</v>
      </c>
      <c r="R101" s="198"/>
      <c r="S101" s="198"/>
      <c r="T101" s="198"/>
      <c r="U101" s="198"/>
    </row>
    <row r="102" spans="1:33" s="12" customFormat="1" x14ac:dyDescent="0.25">
      <c r="A102" s="218" t="s">
        <v>2071</v>
      </c>
      <c r="B102" s="64">
        <v>23.1</v>
      </c>
      <c r="C102" s="64">
        <v>69.209999999999994</v>
      </c>
      <c r="D102" s="64">
        <v>57.36</v>
      </c>
      <c r="E102" s="64">
        <v>11.9</v>
      </c>
      <c r="F102" s="64">
        <v>13.68</v>
      </c>
      <c r="G102" s="64">
        <v>122.02</v>
      </c>
      <c r="H102" s="64">
        <v>40.799999999999997</v>
      </c>
      <c r="I102" s="64">
        <v>0.77</v>
      </c>
      <c r="J102" s="64">
        <v>0.32</v>
      </c>
      <c r="K102" s="64">
        <v>87.81</v>
      </c>
      <c r="L102" s="64">
        <v>29.4</v>
      </c>
      <c r="M102" s="64">
        <v>23.65</v>
      </c>
      <c r="N102" s="64">
        <v>4.8</v>
      </c>
      <c r="O102" s="64">
        <v>0</v>
      </c>
      <c r="P102" s="64">
        <v>1.4</v>
      </c>
      <c r="Q102" s="64">
        <v>24.8</v>
      </c>
      <c r="R102" s="198"/>
      <c r="S102" s="198"/>
      <c r="T102" s="198"/>
      <c r="U102" s="198"/>
    </row>
    <row r="103" spans="1:33" s="12" customFormat="1" x14ac:dyDescent="0.25">
      <c r="A103" s="218" t="s">
        <v>2072</v>
      </c>
      <c r="B103" s="64">
        <v>18.260000000000002</v>
      </c>
      <c r="C103" s="64">
        <v>64.61</v>
      </c>
      <c r="D103" s="64">
        <v>50.95</v>
      </c>
      <c r="E103" s="64">
        <v>11.67</v>
      </c>
      <c r="F103" s="64">
        <v>15.47</v>
      </c>
      <c r="G103" s="64">
        <v>122.02</v>
      </c>
      <c r="H103" s="64">
        <v>40.799999999999997</v>
      </c>
      <c r="I103" s="64">
        <v>0.72</v>
      </c>
      <c r="J103" s="64">
        <v>0.39</v>
      </c>
      <c r="K103" s="64">
        <v>99.39</v>
      </c>
      <c r="L103" s="64">
        <v>29.02</v>
      </c>
      <c r="M103" s="64">
        <v>24.22</v>
      </c>
      <c r="N103" s="64">
        <v>4.5999999999999996</v>
      </c>
      <c r="O103" s="64">
        <v>0</v>
      </c>
      <c r="P103" s="64">
        <v>1.3</v>
      </c>
      <c r="Q103" s="64">
        <v>24.71</v>
      </c>
      <c r="R103" s="198"/>
      <c r="S103" s="198"/>
      <c r="T103" s="198"/>
      <c r="U103" s="198"/>
    </row>
    <row r="104" spans="1:33" s="12" customFormat="1" x14ac:dyDescent="0.25">
      <c r="A104" s="218" t="s">
        <v>2073</v>
      </c>
      <c r="B104" s="64">
        <v>15.7</v>
      </c>
      <c r="C104" s="64">
        <v>56.01</v>
      </c>
      <c r="D104" s="64">
        <v>44.15</v>
      </c>
      <c r="E104" s="64">
        <v>8.17</v>
      </c>
      <c r="F104" s="64">
        <v>15.11</v>
      </c>
      <c r="G104" s="64">
        <v>122.02</v>
      </c>
      <c r="H104" s="64">
        <v>40.799999999999997</v>
      </c>
      <c r="I104" s="64">
        <v>0.7</v>
      </c>
      <c r="J104" s="64">
        <v>0.73</v>
      </c>
      <c r="K104" s="64">
        <v>170.85</v>
      </c>
      <c r="L104" s="64">
        <v>29.02</v>
      </c>
      <c r="M104" s="64">
        <v>24.4</v>
      </c>
      <c r="N104" s="64">
        <v>3.7</v>
      </c>
      <c r="O104" s="64">
        <v>0</v>
      </c>
      <c r="P104" s="64">
        <v>1.3</v>
      </c>
      <c r="Q104" s="64">
        <v>23.57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2.23</v>
      </c>
      <c r="C106" s="67">
        <f>MIN(C9:C104)</f>
        <v>32.85</v>
      </c>
      <c r="D106" s="67">
        <f t="shared" ref="D106:Q106" si="0">MIN(D9:D104)</f>
        <v>22.13</v>
      </c>
      <c r="E106" s="67">
        <f t="shared" si="0"/>
        <v>1.56</v>
      </c>
      <c r="F106" s="67">
        <f t="shared" si="0"/>
        <v>3.76</v>
      </c>
      <c r="G106" s="67">
        <f t="shared" si="0"/>
        <v>24.33</v>
      </c>
      <c r="H106" s="67">
        <f t="shared" si="0"/>
        <v>20.399999999999999</v>
      </c>
      <c r="I106" s="67">
        <f t="shared" si="0"/>
        <v>0.54</v>
      </c>
      <c r="J106" s="67">
        <f t="shared" si="0"/>
        <v>0.05</v>
      </c>
      <c r="K106" s="67">
        <f t="shared" si="0"/>
        <v>0.79</v>
      </c>
      <c r="L106" s="67">
        <f t="shared" si="0"/>
        <v>24.09</v>
      </c>
      <c r="M106" s="67">
        <f t="shared" si="0"/>
        <v>9.5</v>
      </c>
      <c r="N106" s="67">
        <f t="shared" si="0"/>
        <v>3.2</v>
      </c>
      <c r="O106" s="67">
        <f t="shared" si="0"/>
        <v>0</v>
      </c>
      <c r="P106" s="67">
        <f t="shared" si="0"/>
        <v>0.49</v>
      </c>
      <c r="Q106" s="67">
        <f t="shared" si="0"/>
        <v>7.26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61.04</v>
      </c>
      <c r="C107" s="66">
        <f t="shared" ref="C107:Q107" si="1">MAX(C9:C104)</f>
        <v>119.43</v>
      </c>
      <c r="D107" s="66">
        <f t="shared" si="1"/>
        <v>107.33</v>
      </c>
      <c r="E107" s="66">
        <f t="shared" si="1"/>
        <v>42.18</v>
      </c>
      <c r="F107" s="66">
        <f t="shared" si="1"/>
        <v>58.67</v>
      </c>
      <c r="G107" s="66">
        <f t="shared" si="1"/>
        <v>122.02</v>
      </c>
      <c r="H107" s="66">
        <f t="shared" si="1"/>
        <v>41.5</v>
      </c>
      <c r="I107" s="66">
        <f t="shared" si="1"/>
        <v>1.04</v>
      </c>
      <c r="J107" s="66">
        <f t="shared" si="1"/>
        <v>2.2599999999999998</v>
      </c>
      <c r="K107" s="66">
        <f t="shared" si="1"/>
        <v>357.93</v>
      </c>
      <c r="L107" s="66">
        <f t="shared" si="1"/>
        <v>42.59</v>
      </c>
      <c r="M107" s="66">
        <f t="shared" si="1"/>
        <v>41.08</v>
      </c>
      <c r="N107" s="66">
        <f t="shared" si="1"/>
        <v>850.2</v>
      </c>
      <c r="O107" s="66">
        <f t="shared" si="1"/>
        <v>0</v>
      </c>
      <c r="P107" s="66">
        <f t="shared" si="1"/>
        <v>2.6</v>
      </c>
      <c r="Q107" s="66">
        <f t="shared" si="1"/>
        <v>25.68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12.407708333333334</v>
      </c>
      <c r="C108" s="67">
        <f t="shared" ref="C108:Q108" si="2">AVERAGE(C9:C104)</f>
        <v>57.961874999999992</v>
      </c>
      <c r="D108" s="67">
        <f t="shared" si="2"/>
        <v>42.584062500000009</v>
      </c>
      <c r="E108" s="67">
        <f t="shared" si="2"/>
        <v>7.236562499999998</v>
      </c>
      <c r="F108" s="67">
        <f t="shared" si="2"/>
        <v>19.68822916666667</v>
      </c>
      <c r="G108" s="67">
        <f t="shared" si="2"/>
        <v>70.477956989247346</v>
      </c>
      <c r="H108" s="67">
        <f t="shared" si="2"/>
        <v>29.940752688172054</v>
      </c>
      <c r="I108" s="67">
        <f t="shared" si="2"/>
        <v>0.68614583333333334</v>
      </c>
      <c r="J108" s="67">
        <f t="shared" si="2"/>
        <v>0.55770833333333336</v>
      </c>
      <c r="K108" s="67">
        <f t="shared" si="2"/>
        <v>76.457708333333343</v>
      </c>
      <c r="L108" s="67">
        <f t="shared" si="2"/>
        <v>32.815520833333316</v>
      </c>
      <c r="M108" s="67">
        <f t="shared" si="2"/>
        <v>21.961145833333333</v>
      </c>
      <c r="N108" s="67">
        <f t="shared" si="2"/>
        <v>217.82708333333332</v>
      </c>
      <c r="O108" s="67">
        <f t="shared" si="2"/>
        <v>0</v>
      </c>
      <c r="P108" s="67">
        <f t="shared" si="2"/>
        <v>1.221875</v>
      </c>
      <c r="Q108" s="67">
        <f t="shared" si="2"/>
        <v>15.480729166666672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10.926113044991336</v>
      </c>
      <c r="C109" s="67">
        <f t="shared" ref="C109:Q109" si="3">STDEV(C9:C104)</f>
        <v>17.831526918265908</v>
      </c>
      <c r="D109" s="67">
        <f t="shared" si="3"/>
        <v>17.506267964909295</v>
      </c>
      <c r="E109" s="67">
        <f t="shared" si="3"/>
        <v>7.2194947815838066</v>
      </c>
      <c r="F109" s="67">
        <f t="shared" si="3"/>
        <v>12.733223926719511</v>
      </c>
      <c r="G109" s="67">
        <f t="shared" si="3"/>
        <v>20.443294242278707</v>
      </c>
      <c r="H109" s="67">
        <f t="shared" si="3"/>
        <v>5.8522523045403556</v>
      </c>
      <c r="I109" s="67">
        <f t="shared" si="3"/>
        <v>0.11354915273888661</v>
      </c>
      <c r="J109" s="67">
        <f t="shared" si="3"/>
        <v>0.52796626520354717</v>
      </c>
      <c r="K109" s="67">
        <f t="shared" si="3"/>
        <v>107.16317344153914</v>
      </c>
      <c r="L109" s="67">
        <f t="shared" si="3"/>
        <v>5.8025311844858809</v>
      </c>
      <c r="M109" s="67">
        <f t="shared" si="3"/>
        <v>9.88658174867561</v>
      </c>
      <c r="N109" s="67">
        <f t="shared" si="3"/>
        <v>287.82589528326668</v>
      </c>
      <c r="O109" s="67">
        <f t="shared" si="3"/>
        <v>0</v>
      </c>
      <c r="P109" s="67">
        <f t="shared" si="3"/>
        <v>0.45116297090495933</v>
      </c>
      <c r="Q109" s="67">
        <f t="shared" si="3"/>
        <v>5.5034800941703885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93</v>
      </c>
      <c r="H110" s="66">
        <f>COUNT(H9:H104)</f>
        <v>93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2074</v>
      </c>
      <c r="B9" s="64">
        <v>17.149999999999999</v>
      </c>
      <c r="C9" s="64">
        <v>54.81</v>
      </c>
      <c r="D9" s="64">
        <v>44.65</v>
      </c>
      <c r="E9" s="64">
        <v>4.5999999999999996</v>
      </c>
      <c r="F9" s="64">
        <v>8.58</v>
      </c>
      <c r="G9" s="64">
        <v>119.34</v>
      </c>
      <c r="H9" s="64">
        <v>40.299999999999997</v>
      </c>
      <c r="I9" s="64">
        <v>0.67</v>
      </c>
      <c r="J9" s="64">
        <v>1.23</v>
      </c>
      <c r="K9" s="64">
        <v>190.68</v>
      </c>
      <c r="L9" s="64">
        <v>28.32</v>
      </c>
      <c r="M9" s="64">
        <v>27.95</v>
      </c>
      <c r="N9" s="64">
        <v>5.0999999999999996</v>
      </c>
      <c r="O9" s="64">
        <v>0</v>
      </c>
      <c r="P9" s="64">
        <v>1.48</v>
      </c>
      <c r="Q9" s="64">
        <v>22.45</v>
      </c>
      <c r="R9" s="198"/>
      <c r="S9" s="198"/>
      <c r="T9" s="198"/>
      <c r="U9" s="198"/>
    </row>
    <row r="10" spans="1:21" s="12" customFormat="1" x14ac:dyDescent="0.25">
      <c r="A10" s="218" t="s">
        <v>2075</v>
      </c>
      <c r="B10" s="64">
        <v>15.22</v>
      </c>
      <c r="C10" s="64">
        <v>51.89</v>
      </c>
      <c r="D10" s="64">
        <v>41.49</v>
      </c>
      <c r="E10" s="64">
        <v>5.91</v>
      </c>
      <c r="F10" s="64">
        <v>11.19</v>
      </c>
      <c r="G10" s="64">
        <v>104.76</v>
      </c>
      <c r="H10" s="64">
        <v>37.630000000000003</v>
      </c>
      <c r="I10" s="64">
        <v>0.68</v>
      </c>
      <c r="J10" s="64">
        <v>0.86</v>
      </c>
      <c r="K10" s="64">
        <v>196.42</v>
      </c>
      <c r="L10" s="64">
        <v>28.07</v>
      </c>
      <c r="M10" s="64">
        <v>28.48</v>
      </c>
      <c r="N10" s="64">
        <v>4.5999999999999996</v>
      </c>
      <c r="O10" s="64">
        <v>0</v>
      </c>
      <c r="P10" s="64">
        <v>1.36</v>
      </c>
      <c r="Q10" s="64">
        <v>21.59</v>
      </c>
      <c r="R10" s="198"/>
      <c r="S10" s="198"/>
      <c r="T10" s="198"/>
      <c r="U10" s="198"/>
    </row>
    <row r="11" spans="1:21" s="12" customFormat="1" x14ac:dyDescent="0.25">
      <c r="A11" s="218" t="s">
        <v>2076</v>
      </c>
      <c r="B11" s="64">
        <v>13.08</v>
      </c>
      <c r="C11" s="64">
        <v>48.27</v>
      </c>
      <c r="D11" s="64">
        <v>37.78</v>
      </c>
      <c r="E11" s="64">
        <v>10.039999999999999</v>
      </c>
      <c r="F11" s="64">
        <v>16.420000000000002</v>
      </c>
      <c r="G11" s="64">
        <v>104.76</v>
      </c>
      <c r="H11" s="64">
        <v>37.630000000000003</v>
      </c>
      <c r="I11" s="64">
        <v>0.77</v>
      </c>
      <c r="J11" s="64">
        <v>0.26</v>
      </c>
      <c r="K11" s="64">
        <v>200.04</v>
      </c>
      <c r="L11" s="64">
        <v>28.01</v>
      </c>
      <c r="M11" s="64">
        <v>27.65</v>
      </c>
      <c r="N11" s="64">
        <v>4.5999999999999996</v>
      </c>
      <c r="O11" s="64">
        <v>0</v>
      </c>
      <c r="P11" s="64">
        <v>1.1399999999999999</v>
      </c>
      <c r="Q11" s="64">
        <v>21.02</v>
      </c>
      <c r="R11" s="198"/>
      <c r="S11" s="198"/>
      <c r="T11" s="198"/>
      <c r="U11" s="198"/>
    </row>
    <row r="12" spans="1:21" s="12" customFormat="1" x14ac:dyDescent="0.25">
      <c r="A12" s="218" t="s">
        <v>2077</v>
      </c>
      <c r="B12" s="64">
        <v>10.93</v>
      </c>
      <c r="C12" s="64">
        <v>47.15</v>
      </c>
      <c r="D12" s="64">
        <v>35.43</v>
      </c>
      <c r="E12" s="64">
        <v>11.15</v>
      </c>
      <c r="F12" s="64">
        <v>15.67</v>
      </c>
      <c r="G12" s="64">
        <v>104.76</v>
      </c>
      <c r="H12" s="64">
        <v>37.630000000000003</v>
      </c>
      <c r="I12" s="64">
        <v>0.72</v>
      </c>
      <c r="J12" s="64">
        <v>0.12</v>
      </c>
      <c r="K12" s="64">
        <v>328.92</v>
      </c>
      <c r="L12" s="64">
        <v>27.27</v>
      </c>
      <c r="M12" s="64">
        <v>29.92</v>
      </c>
      <c r="N12" s="64">
        <v>5.4</v>
      </c>
      <c r="O12" s="64">
        <v>0</v>
      </c>
      <c r="P12" s="64">
        <v>1.1100000000000001</v>
      </c>
      <c r="Q12" s="64">
        <v>20.39</v>
      </c>
      <c r="R12" s="198"/>
      <c r="S12" s="198"/>
      <c r="T12" s="198"/>
      <c r="U12" s="198"/>
    </row>
    <row r="13" spans="1:21" s="12" customFormat="1" x14ac:dyDescent="0.25">
      <c r="A13" s="218" t="s">
        <v>2078</v>
      </c>
      <c r="B13" s="64">
        <v>11.74</v>
      </c>
      <c r="C13" s="64">
        <v>49.31</v>
      </c>
      <c r="D13" s="64">
        <v>37.28</v>
      </c>
      <c r="E13" s="64">
        <v>8.57</v>
      </c>
      <c r="F13" s="64">
        <v>13.14</v>
      </c>
      <c r="G13" s="64">
        <v>99.86</v>
      </c>
      <c r="H13" s="64">
        <v>37.69</v>
      </c>
      <c r="I13" s="64">
        <v>0.65</v>
      </c>
      <c r="J13" s="64">
        <v>0.12</v>
      </c>
      <c r="K13" s="64">
        <v>14.54</v>
      </c>
      <c r="L13" s="64">
        <v>26.71</v>
      </c>
      <c r="M13" s="64">
        <v>31.25</v>
      </c>
      <c r="N13" s="64">
        <v>5.0999999999999996</v>
      </c>
      <c r="O13" s="64">
        <v>0</v>
      </c>
      <c r="P13" s="64">
        <v>1.1000000000000001</v>
      </c>
      <c r="Q13" s="64">
        <v>20.48</v>
      </c>
      <c r="R13" s="198"/>
      <c r="S13" s="198"/>
      <c r="T13" s="198"/>
      <c r="U13" s="198"/>
    </row>
    <row r="14" spans="1:21" s="12" customFormat="1" x14ac:dyDescent="0.25">
      <c r="A14" s="218" t="s">
        <v>2079</v>
      </c>
      <c r="B14" s="64">
        <v>10.64</v>
      </c>
      <c r="C14" s="64">
        <v>46.48</v>
      </c>
      <c r="D14" s="64">
        <v>34.840000000000003</v>
      </c>
      <c r="E14" s="64">
        <v>9.01</v>
      </c>
      <c r="F14" s="64">
        <v>15.15</v>
      </c>
      <c r="G14" s="64">
        <v>70.81</v>
      </c>
      <c r="H14" s="64">
        <v>37.92</v>
      </c>
      <c r="I14" s="64">
        <v>0.65</v>
      </c>
      <c r="J14" s="64">
        <v>0.14000000000000001</v>
      </c>
      <c r="K14" s="64">
        <v>238.22</v>
      </c>
      <c r="L14" s="64">
        <v>26.47</v>
      </c>
      <c r="M14" s="64">
        <v>31.63</v>
      </c>
      <c r="N14" s="64">
        <v>4.5</v>
      </c>
      <c r="O14" s="64">
        <v>0</v>
      </c>
      <c r="P14" s="64">
        <v>1.07</v>
      </c>
      <c r="Q14" s="64">
        <v>19.170000000000002</v>
      </c>
      <c r="R14" s="198"/>
      <c r="S14" s="198"/>
      <c r="T14" s="198"/>
      <c r="U14" s="198"/>
    </row>
    <row r="15" spans="1:21" s="12" customFormat="1" x14ac:dyDescent="0.25">
      <c r="A15" s="218" t="s">
        <v>2080</v>
      </c>
      <c r="B15" s="64">
        <v>10.01</v>
      </c>
      <c r="C15" s="64">
        <v>43.68</v>
      </c>
      <c r="D15" s="64">
        <v>32.770000000000003</v>
      </c>
      <c r="E15" s="64">
        <v>6.96</v>
      </c>
      <c r="F15" s="64">
        <v>12.76</v>
      </c>
      <c r="G15" s="64">
        <v>70.81</v>
      </c>
      <c r="H15" s="64">
        <v>37.92</v>
      </c>
      <c r="I15" s="64">
        <v>0.73</v>
      </c>
      <c r="J15" s="64">
        <v>0.34</v>
      </c>
      <c r="K15" s="64">
        <v>209.77</v>
      </c>
      <c r="L15" s="64">
        <v>26.75</v>
      </c>
      <c r="M15" s="64">
        <v>32.44</v>
      </c>
      <c r="N15" s="64">
        <v>3.8</v>
      </c>
      <c r="O15" s="64">
        <v>0</v>
      </c>
      <c r="P15" s="64">
        <v>1.17</v>
      </c>
      <c r="Q15" s="64">
        <v>17.38</v>
      </c>
      <c r="R15" s="198"/>
      <c r="S15" s="198"/>
      <c r="T15" s="198"/>
      <c r="U15" s="198"/>
    </row>
    <row r="16" spans="1:21" s="12" customFormat="1" x14ac:dyDescent="0.25">
      <c r="A16" s="218" t="s">
        <v>2081</v>
      </c>
      <c r="B16" s="64">
        <v>9.5500000000000007</v>
      </c>
      <c r="C16" s="64">
        <v>42.95</v>
      </c>
      <c r="D16" s="64">
        <v>32</v>
      </c>
      <c r="E16" s="64">
        <v>4.6500000000000004</v>
      </c>
      <c r="F16" s="64">
        <v>14.47</v>
      </c>
      <c r="G16" s="64">
        <v>70.81</v>
      </c>
      <c r="H16" s="64">
        <v>37.92</v>
      </c>
      <c r="I16" s="64">
        <v>0.7</v>
      </c>
      <c r="J16" s="64">
        <v>0.25</v>
      </c>
      <c r="K16" s="64">
        <v>249.31</v>
      </c>
      <c r="L16" s="64">
        <v>26.73</v>
      </c>
      <c r="M16" s="64">
        <v>33.5</v>
      </c>
      <c r="N16" s="64">
        <v>4.5</v>
      </c>
      <c r="O16" s="64">
        <v>0</v>
      </c>
      <c r="P16" s="64">
        <v>1.1200000000000001</v>
      </c>
      <c r="Q16" s="64">
        <v>16.13</v>
      </c>
      <c r="R16" s="198"/>
      <c r="S16" s="198"/>
      <c r="T16" s="198"/>
      <c r="U16" s="198"/>
    </row>
    <row r="17" spans="1:21" s="12" customFormat="1" x14ac:dyDescent="0.25">
      <c r="A17" s="218" t="s">
        <v>2082</v>
      </c>
      <c r="B17" s="64">
        <v>8.0299999999999994</v>
      </c>
      <c r="C17" s="64">
        <v>40.94</v>
      </c>
      <c r="D17" s="64">
        <v>29.68</v>
      </c>
      <c r="E17" s="64">
        <v>4.41</v>
      </c>
      <c r="F17" s="64">
        <v>13.94</v>
      </c>
      <c r="G17" s="64">
        <v>70.41</v>
      </c>
      <c r="H17" s="64">
        <v>37.31</v>
      </c>
      <c r="I17" s="64">
        <v>0.69</v>
      </c>
      <c r="J17" s="64">
        <v>0.52</v>
      </c>
      <c r="K17" s="64">
        <v>215.29</v>
      </c>
      <c r="L17" s="64">
        <v>26.46</v>
      </c>
      <c r="M17" s="64">
        <v>35.799999999999997</v>
      </c>
      <c r="N17" s="64">
        <v>4.2</v>
      </c>
      <c r="O17" s="64">
        <v>0</v>
      </c>
      <c r="P17" s="64">
        <v>1.1399999999999999</v>
      </c>
      <c r="Q17" s="64">
        <v>14.61</v>
      </c>
      <c r="R17" s="198"/>
      <c r="S17" s="198"/>
      <c r="T17" s="198"/>
      <c r="U17" s="198"/>
    </row>
    <row r="18" spans="1:21" s="12" customFormat="1" x14ac:dyDescent="0.25">
      <c r="A18" s="218" t="s">
        <v>2083</v>
      </c>
      <c r="B18" s="64">
        <v>6.58</v>
      </c>
      <c r="C18" s="64">
        <v>39.56</v>
      </c>
      <c r="D18" s="64">
        <v>27.76</v>
      </c>
      <c r="E18" s="64">
        <v>3.37</v>
      </c>
      <c r="F18" s="64">
        <v>16.11</v>
      </c>
      <c r="G18" s="64">
        <v>68.03</v>
      </c>
      <c r="H18" s="64">
        <v>34.82</v>
      </c>
      <c r="I18" s="64">
        <v>0.68</v>
      </c>
      <c r="J18" s="64">
        <v>0.06</v>
      </c>
      <c r="K18" s="64">
        <v>339.74</v>
      </c>
      <c r="L18" s="64">
        <v>26.32</v>
      </c>
      <c r="M18" s="64">
        <v>36.69</v>
      </c>
      <c r="N18" s="64">
        <v>5.0999999999999996</v>
      </c>
      <c r="O18" s="64">
        <v>0</v>
      </c>
      <c r="P18" s="64">
        <v>1.07</v>
      </c>
      <c r="Q18" s="64">
        <v>13.14</v>
      </c>
      <c r="R18" s="198"/>
      <c r="S18" s="198"/>
      <c r="T18" s="198"/>
      <c r="U18" s="198"/>
    </row>
    <row r="19" spans="1:21" s="12" customFormat="1" x14ac:dyDescent="0.25">
      <c r="A19" s="218" t="s">
        <v>2084</v>
      </c>
      <c r="B19" s="64">
        <v>5.17</v>
      </c>
      <c r="C19" s="64">
        <v>36.44</v>
      </c>
      <c r="D19" s="64">
        <v>24.9</v>
      </c>
      <c r="E19" s="64">
        <v>3.61</v>
      </c>
      <c r="F19" s="64">
        <v>19.670000000000002</v>
      </c>
      <c r="G19" s="64">
        <v>68.03</v>
      </c>
      <c r="H19" s="64">
        <v>34.82</v>
      </c>
      <c r="I19" s="64">
        <v>0.66</v>
      </c>
      <c r="J19" s="64">
        <v>0.36</v>
      </c>
      <c r="K19" s="64">
        <v>330.74</v>
      </c>
      <c r="L19" s="64">
        <v>25.95</v>
      </c>
      <c r="M19" s="64">
        <v>38.630000000000003</v>
      </c>
      <c r="N19" s="64">
        <v>4.9000000000000004</v>
      </c>
      <c r="O19" s="64">
        <v>0</v>
      </c>
      <c r="P19" s="64">
        <v>1</v>
      </c>
      <c r="Q19" s="64">
        <v>12.49</v>
      </c>
      <c r="R19" s="198"/>
      <c r="S19" s="198"/>
      <c r="T19" s="198"/>
      <c r="U19" s="198"/>
    </row>
    <row r="20" spans="1:21" s="12" customFormat="1" x14ac:dyDescent="0.25">
      <c r="A20" s="218" t="s">
        <v>2085</v>
      </c>
      <c r="B20" s="64">
        <v>4.75</v>
      </c>
      <c r="C20" s="64">
        <v>37.31</v>
      </c>
      <c r="D20" s="64">
        <v>25.05</v>
      </c>
      <c r="E20" s="64">
        <v>3.25</v>
      </c>
      <c r="F20" s="64">
        <v>14.08</v>
      </c>
      <c r="G20" s="64">
        <v>68.03</v>
      </c>
      <c r="H20" s="64">
        <v>34.82</v>
      </c>
      <c r="I20" s="64">
        <v>0.65</v>
      </c>
      <c r="J20" s="64">
        <v>0.5</v>
      </c>
      <c r="K20" s="64">
        <v>216.59</v>
      </c>
      <c r="L20" s="64">
        <v>25.91</v>
      </c>
      <c r="M20" s="64">
        <v>38.21</v>
      </c>
      <c r="N20" s="64">
        <v>4.8</v>
      </c>
      <c r="O20" s="64">
        <v>0</v>
      </c>
      <c r="P20" s="64">
        <v>1.03</v>
      </c>
      <c r="Q20" s="64">
        <v>11.54</v>
      </c>
      <c r="R20" s="198"/>
      <c r="S20" s="198"/>
      <c r="T20" s="198"/>
      <c r="U20" s="198"/>
    </row>
    <row r="21" spans="1:21" s="12" customFormat="1" x14ac:dyDescent="0.25">
      <c r="A21" s="218" t="s">
        <v>2086</v>
      </c>
      <c r="B21" s="64">
        <v>5.0599999999999996</v>
      </c>
      <c r="C21" s="64">
        <v>38.630000000000003</v>
      </c>
      <c r="D21" s="64">
        <v>26.02</v>
      </c>
      <c r="E21" s="64">
        <v>3.18</v>
      </c>
      <c r="F21" s="64">
        <v>17.21</v>
      </c>
      <c r="G21" s="64">
        <v>67.349999999999994</v>
      </c>
      <c r="H21" s="64">
        <v>33.94</v>
      </c>
      <c r="I21" s="64">
        <v>0.59</v>
      </c>
      <c r="J21" s="64">
        <v>0.19</v>
      </c>
      <c r="K21" s="64">
        <v>326.83</v>
      </c>
      <c r="L21" s="64">
        <v>25.49</v>
      </c>
      <c r="M21" s="64">
        <v>42.57</v>
      </c>
      <c r="N21" s="64">
        <v>3.7</v>
      </c>
      <c r="O21" s="64">
        <v>0</v>
      </c>
      <c r="P21" s="64">
        <v>0.95</v>
      </c>
      <c r="Q21" s="64">
        <v>11.41</v>
      </c>
      <c r="R21" s="198"/>
      <c r="S21" s="198"/>
      <c r="T21" s="198"/>
      <c r="U21" s="198"/>
    </row>
    <row r="22" spans="1:21" s="12" customFormat="1" x14ac:dyDescent="0.25">
      <c r="A22" s="218" t="s">
        <v>2087</v>
      </c>
      <c r="B22" s="64">
        <v>4.0599999999999996</v>
      </c>
      <c r="C22" s="64">
        <v>35.68</v>
      </c>
      <c r="D22" s="64">
        <v>23.59</v>
      </c>
      <c r="E22" s="64">
        <v>3.54</v>
      </c>
      <c r="F22" s="64">
        <v>23.54</v>
      </c>
      <c r="G22" s="64">
        <v>63.32</v>
      </c>
      <c r="H22" s="64">
        <v>30.36</v>
      </c>
      <c r="I22" s="64">
        <v>0.63</v>
      </c>
      <c r="J22" s="64">
        <v>0.28999999999999998</v>
      </c>
      <c r="K22" s="64">
        <v>214.61</v>
      </c>
      <c r="L22" s="64">
        <v>25.5</v>
      </c>
      <c r="M22" s="64">
        <v>41.31</v>
      </c>
      <c r="N22" s="64">
        <v>4.5</v>
      </c>
      <c r="O22" s="64">
        <v>0</v>
      </c>
      <c r="P22" s="64">
        <v>0.89</v>
      </c>
      <c r="Q22" s="64">
        <v>11.95</v>
      </c>
      <c r="R22" s="198"/>
      <c r="S22" s="198"/>
      <c r="T22" s="198"/>
      <c r="U22" s="198"/>
    </row>
    <row r="23" spans="1:21" s="12" customFormat="1" x14ac:dyDescent="0.25">
      <c r="A23" s="218" t="s">
        <v>2088</v>
      </c>
      <c r="B23" s="64">
        <v>4.1500000000000004</v>
      </c>
      <c r="C23" s="64">
        <v>35.33</v>
      </c>
      <c r="D23" s="64">
        <v>23.48</v>
      </c>
      <c r="E23" s="64">
        <v>3.7</v>
      </c>
      <c r="F23" s="64">
        <v>23.25</v>
      </c>
      <c r="G23" s="64">
        <v>63.32</v>
      </c>
      <c r="H23" s="64">
        <v>30.36</v>
      </c>
      <c r="I23" s="64">
        <v>0.6</v>
      </c>
      <c r="J23" s="64">
        <v>0.19</v>
      </c>
      <c r="K23" s="64">
        <v>218.57</v>
      </c>
      <c r="L23" s="64">
        <v>25.04</v>
      </c>
      <c r="M23" s="64">
        <v>44.41</v>
      </c>
      <c r="N23" s="64">
        <v>5.3</v>
      </c>
      <c r="O23" s="64">
        <v>0</v>
      </c>
      <c r="P23" s="64">
        <v>0.86</v>
      </c>
      <c r="Q23" s="64">
        <v>12.3</v>
      </c>
      <c r="R23" s="198"/>
      <c r="S23" s="198"/>
      <c r="T23" s="198"/>
      <c r="U23" s="198"/>
    </row>
    <row r="24" spans="1:21" s="12" customFormat="1" x14ac:dyDescent="0.25">
      <c r="A24" s="218" t="s">
        <v>2089</v>
      </c>
      <c r="B24" s="64">
        <v>3.79</v>
      </c>
      <c r="C24" s="64">
        <v>36.39</v>
      </c>
      <c r="D24" s="64">
        <v>23.77</v>
      </c>
      <c r="E24" s="64">
        <v>2.0499999999999998</v>
      </c>
      <c r="F24" s="64">
        <v>16.82</v>
      </c>
      <c r="G24" s="64">
        <v>63.32</v>
      </c>
      <c r="H24" s="64">
        <v>30.36</v>
      </c>
      <c r="I24" s="64">
        <v>0.55000000000000004</v>
      </c>
      <c r="J24" s="64">
        <v>0.15</v>
      </c>
      <c r="K24" s="64">
        <v>276.08999999999997</v>
      </c>
      <c r="L24" s="64">
        <v>24.63</v>
      </c>
      <c r="M24" s="64">
        <v>46.55</v>
      </c>
      <c r="N24" s="64">
        <v>4.9000000000000004</v>
      </c>
      <c r="O24" s="64">
        <v>0</v>
      </c>
      <c r="P24" s="64">
        <v>0.91</v>
      </c>
      <c r="Q24" s="64">
        <v>12.81</v>
      </c>
      <c r="R24" s="198"/>
      <c r="S24" s="198"/>
      <c r="T24" s="198"/>
      <c r="U24" s="198"/>
    </row>
    <row r="25" spans="1:21" s="12" customFormat="1" x14ac:dyDescent="0.25">
      <c r="A25" s="218" t="s">
        <v>2090</v>
      </c>
      <c r="B25" s="64">
        <v>5.09</v>
      </c>
      <c r="C25" s="64">
        <v>40.98</v>
      </c>
      <c r="D25" s="64">
        <v>27.34</v>
      </c>
      <c r="E25" s="64">
        <v>2.92</v>
      </c>
      <c r="F25" s="64">
        <v>14.6</v>
      </c>
      <c r="G25" s="64">
        <v>61.97</v>
      </c>
      <c r="H25" s="64">
        <v>29.84</v>
      </c>
      <c r="I25" s="64">
        <v>0.56999999999999995</v>
      </c>
      <c r="J25" s="64">
        <v>0.13</v>
      </c>
      <c r="K25" s="64">
        <v>322.5</v>
      </c>
      <c r="L25" s="64">
        <v>24.37</v>
      </c>
      <c r="M25" s="64">
        <v>46.51</v>
      </c>
      <c r="N25" s="64">
        <v>4.9000000000000004</v>
      </c>
      <c r="O25" s="64">
        <v>0</v>
      </c>
      <c r="P25" s="64">
        <v>0.89</v>
      </c>
      <c r="Q25" s="64">
        <v>13.29</v>
      </c>
      <c r="R25" s="198"/>
      <c r="S25" s="198"/>
      <c r="T25" s="198"/>
      <c r="U25" s="198"/>
    </row>
    <row r="26" spans="1:21" s="12" customFormat="1" x14ac:dyDescent="0.25">
      <c r="A26" s="218" t="s">
        <v>2091</v>
      </c>
      <c r="B26" s="64">
        <v>4.7300000000000004</v>
      </c>
      <c r="C26" s="64">
        <v>40.43</v>
      </c>
      <c r="D26" s="64">
        <v>26.75</v>
      </c>
      <c r="E26" s="64">
        <v>1.99</v>
      </c>
      <c r="F26" s="64">
        <v>8.6199999999999992</v>
      </c>
      <c r="G26" s="64">
        <v>54</v>
      </c>
      <c r="H26" s="64">
        <v>27.11</v>
      </c>
      <c r="I26" s="64">
        <v>0.63</v>
      </c>
      <c r="J26" s="64">
        <v>0.11</v>
      </c>
      <c r="K26" s="64">
        <v>327.14</v>
      </c>
      <c r="L26" s="64">
        <v>24.97</v>
      </c>
      <c r="M26" s="64">
        <v>42.62</v>
      </c>
      <c r="N26" s="64">
        <v>4</v>
      </c>
      <c r="O26" s="64">
        <v>0</v>
      </c>
      <c r="P26" s="64">
        <v>0.98</v>
      </c>
      <c r="Q26" s="64">
        <v>12.1</v>
      </c>
      <c r="R26" s="198"/>
      <c r="S26" s="198"/>
      <c r="T26" s="198"/>
      <c r="U26" s="198"/>
    </row>
    <row r="27" spans="1:21" s="12" customFormat="1" x14ac:dyDescent="0.25">
      <c r="A27" s="218" t="s">
        <v>2092</v>
      </c>
      <c r="B27" s="64">
        <v>3.74</v>
      </c>
      <c r="C27" s="64">
        <v>39.950000000000003</v>
      </c>
      <c r="D27" s="64">
        <v>25.69</v>
      </c>
      <c r="E27" s="64">
        <v>1.76</v>
      </c>
      <c r="F27" s="64">
        <v>9.2899999999999991</v>
      </c>
      <c r="G27" s="64">
        <v>54</v>
      </c>
      <c r="H27" s="64">
        <v>27.11</v>
      </c>
      <c r="I27" s="64">
        <v>0.65</v>
      </c>
      <c r="J27" s="64">
        <v>0.12</v>
      </c>
      <c r="K27" s="64">
        <v>263.95</v>
      </c>
      <c r="L27" s="64">
        <v>25.11</v>
      </c>
      <c r="M27" s="64">
        <v>41.84</v>
      </c>
      <c r="N27" s="64">
        <v>4.4000000000000004</v>
      </c>
      <c r="O27" s="64">
        <v>0</v>
      </c>
      <c r="P27" s="64">
        <v>0.96</v>
      </c>
      <c r="Q27" s="64">
        <v>11.24</v>
      </c>
      <c r="R27" s="198"/>
      <c r="S27" s="198"/>
      <c r="T27" s="198"/>
      <c r="U27" s="198"/>
    </row>
    <row r="28" spans="1:21" s="12" customFormat="1" x14ac:dyDescent="0.25">
      <c r="A28" s="218" t="s">
        <v>2093</v>
      </c>
      <c r="B28" s="64">
        <v>2.96</v>
      </c>
      <c r="C28" s="64">
        <v>37.61</v>
      </c>
      <c r="D28" s="64">
        <v>23.78</v>
      </c>
      <c r="E28" s="64">
        <v>2.7</v>
      </c>
      <c r="F28" s="64">
        <v>12.37</v>
      </c>
      <c r="G28" s="64">
        <v>54</v>
      </c>
      <c r="H28" s="64">
        <v>27.11</v>
      </c>
      <c r="I28" s="64">
        <v>0.69</v>
      </c>
      <c r="J28" s="64">
        <v>0.05</v>
      </c>
      <c r="K28" s="64">
        <v>275.54000000000002</v>
      </c>
      <c r="L28" s="64">
        <v>24.92</v>
      </c>
      <c r="M28" s="64">
        <v>42.07</v>
      </c>
      <c r="N28" s="64">
        <v>4.7</v>
      </c>
      <c r="O28" s="64">
        <v>0</v>
      </c>
      <c r="P28" s="64">
        <v>0.88</v>
      </c>
      <c r="Q28" s="64">
        <v>10.43</v>
      </c>
      <c r="R28" s="198"/>
      <c r="S28" s="198"/>
      <c r="T28" s="198"/>
      <c r="U28" s="198"/>
    </row>
    <row r="29" spans="1:21" s="12" customFormat="1" x14ac:dyDescent="0.25">
      <c r="A29" s="218" t="s">
        <v>2094</v>
      </c>
      <c r="B29" s="64">
        <v>2.85</v>
      </c>
      <c r="C29" s="64">
        <v>39.04</v>
      </c>
      <c r="D29" s="64">
        <v>24.48</v>
      </c>
      <c r="E29" s="64">
        <v>1.82</v>
      </c>
      <c r="F29" s="64">
        <v>11.06</v>
      </c>
      <c r="G29" s="64">
        <v>50.03</v>
      </c>
      <c r="H29" s="64">
        <v>26.79</v>
      </c>
      <c r="I29" s="64">
        <v>0.69</v>
      </c>
      <c r="J29" s="64">
        <v>0.14000000000000001</v>
      </c>
      <c r="K29" s="64">
        <v>348.47</v>
      </c>
      <c r="L29" s="64">
        <v>25.39</v>
      </c>
      <c r="M29" s="64">
        <v>40.090000000000003</v>
      </c>
      <c r="N29" s="64">
        <v>4.8</v>
      </c>
      <c r="O29" s="64">
        <v>0</v>
      </c>
      <c r="P29" s="64">
        <v>0.9</v>
      </c>
      <c r="Q29" s="64">
        <v>9.8800000000000008</v>
      </c>
      <c r="R29" s="198"/>
      <c r="S29" s="198"/>
      <c r="T29" s="198"/>
      <c r="U29" s="198"/>
    </row>
    <row r="30" spans="1:21" s="12" customFormat="1" x14ac:dyDescent="0.25">
      <c r="A30" s="218" t="s">
        <v>2095</v>
      </c>
      <c r="B30" s="64">
        <v>2.8</v>
      </c>
      <c r="C30" s="64">
        <v>39.75</v>
      </c>
      <c r="D30" s="64">
        <v>24.83</v>
      </c>
      <c r="E30" s="64">
        <v>1.72</v>
      </c>
      <c r="F30" s="64">
        <v>5.87</v>
      </c>
      <c r="G30" s="64">
        <v>26.57</v>
      </c>
      <c r="H30" s="64">
        <v>25.52</v>
      </c>
      <c r="I30" s="64">
        <v>0.63</v>
      </c>
      <c r="J30" s="64">
        <v>1.1100000000000001</v>
      </c>
      <c r="K30" s="64">
        <v>321.76</v>
      </c>
      <c r="L30" s="64">
        <v>25</v>
      </c>
      <c r="M30" s="64">
        <v>42.72</v>
      </c>
      <c r="N30" s="64">
        <v>3.5</v>
      </c>
      <c r="O30" s="64">
        <v>0</v>
      </c>
      <c r="P30" s="64">
        <v>0.91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8" t="s">
        <v>2096</v>
      </c>
      <c r="B31" s="64">
        <v>2.75</v>
      </c>
      <c r="C31" s="64">
        <v>39.549999999999997</v>
      </c>
      <c r="D31" s="64">
        <v>24.68</v>
      </c>
      <c r="E31" s="64">
        <v>1.34</v>
      </c>
      <c r="F31" s="64">
        <v>5.59</v>
      </c>
      <c r="G31" s="64">
        <v>26.57</v>
      </c>
      <c r="H31" s="64">
        <v>25.52</v>
      </c>
      <c r="I31" s="64">
        <v>0.64</v>
      </c>
      <c r="J31" s="64">
        <v>1.21</v>
      </c>
      <c r="K31" s="64">
        <v>320</v>
      </c>
      <c r="L31" s="64">
        <v>25.19</v>
      </c>
      <c r="M31" s="64">
        <v>40.79</v>
      </c>
      <c r="N31" s="64">
        <v>5.7</v>
      </c>
      <c r="O31" s="64">
        <v>0</v>
      </c>
      <c r="P31" s="64">
        <v>0.89</v>
      </c>
      <c r="Q31" s="64">
        <v>8.6300000000000008</v>
      </c>
      <c r="R31" s="198"/>
      <c r="S31" s="198"/>
      <c r="T31" s="198"/>
      <c r="U31" s="198"/>
    </row>
    <row r="32" spans="1:21" s="12" customFormat="1" x14ac:dyDescent="0.25">
      <c r="A32" s="218" t="s">
        <v>2097</v>
      </c>
      <c r="B32" s="64">
        <v>3.12</v>
      </c>
      <c r="C32" s="64">
        <v>40.520000000000003</v>
      </c>
      <c r="D32" s="64">
        <v>25.51</v>
      </c>
      <c r="E32" s="64">
        <v>2.08</v>
      </c>
      <c r="F32" s="64">
        <v>5.66</v>
      </c>
      <c r="G32" s="64">
        <v>26.57</v>
      </c>
      <c r="H32" s="64">
        <v>25.52</v>
      </c>
      <c r="I32" s="64">
        <v>0.65</v>
      </c>
      <c r="J32" s="64">
        <v>0.7</v>
      </c>
      <c r="K32" s="64">
        <v>322.76</v>
      </c>
      <c r="L32" s="64">
        <v>25.47</v>
      </c>
      <c r="M32" s="64">
        <v>39.159999999999997</v>
      </c>
      <c r="N32" s="64">
        <v>12.4</v>
      </c>
      <c r="O32" s="64">
        <v>0</v>
      </c>
      <c r="P32" s="64">
        <v>0.88</v>
      </c>
      <c r="Q32" s="64">
        <v>8.06</v>
      </c>
      <c r="R32" s="198"/>
      <c r="S32" s="198"/>
      <c r="T32" s="198"/>
      <c r="U32" s="198"/>
    </row>
    <row r="33" spans="1:21" s="12" customFormat="1" x14ac:dyDescent="0.25">
      <c r="A33" s="218" t="s">
        <v>2098</v>
      </c>
      <c r="B33" s="64">
        <v>3.22</v>
      </c>
      <c r="C33" s="64">
        <v>40.46</v>
      </c>
      <c r="D33" s="64">
        <v>25.56</v>
      </c>
      <c r="E33" s="64">
        <v>2.2599999999999998</v>
      </c>
      <c r="F33" s="64">
        <v>5.54</v>
      </c>
      <c r="G33" s="64">
        <v>31.66</v>
      </c>
      <c r="H33" s="64">
        <v>25.62</v>
      </c>
      <c r="I33" s="64">
        <v>0.6</v>
      </c>
      <c r="J33" s="64">
        <v>0.36</v>
      </c>
      <c r="K33" s="64">
        <v>336.99</v>
      </c>
      <c r="L33" s="64">
        <v>25.99</v>
      </c>
      <c r="M33" s="64">
        <v>37.18</v>
      </c>
      <c r="N33" s="64">
        <v>30.5</v>
      </c>
      <c r="O33" s="64">
        <v>0</v>
      </c>
      <c r="P33" s="64">
        <v>0.88</v>
      </c>
      <c r="Q33" s="64">
        <v>7.99</v>
      </c>
      <c r="R33" s="198"/>
      <c r="S33" s="198"/>
      <c r="T33" s="198"/>
      <c r="U33" s="198"/>
    </row>
    <row r="34" spans="1:21" s="12" customFormat="1" x14ac:dyDescent="0.25">
      <c r="A34" s="218" t="s">
        <v>2099</v>
      </c>
      <c r="B34" s="64">
        <v>5.24</v>
      </c>
      <c r="C34" s="64">
        <v>43.41</v>
      </c>
      <c r="D34" s="64">
        <v>28.8</v>
      </c>
      <c r="E34" s="64">
        <v>2.4900000000000002</v>
      </c>
      <c r="F34" s="64">
        <v>6.88</v>
      </c>
      <c r="G34" s="64">
        <v>61.82</v>
      </c>
      <c r="H34" s="64">
        <v>26.04</v>
      </c>
      <c r="I34" s="64">
        <v>0.56999999999999995</v>
      </c>
      <c r="J34" s="64">
        <v>0.38</v>
      </c>
      <c r="K34" s="64">
        <v>323.60000000000002</v>
      </c>
      <c r="L34" s="64">
        <v>26.17</v>
      </c>
      <c r="M34" s="64">
        <v>38.15</v>
      </c>
      <c r="N34" s="64">
        <v>38.799999999999997</v>
      </c>
      <c r="O34" s="64">
        <v>0</v>
      </c>
      <c r="P34" s="64">
        <v>0.89</v>
      </c>
      <c r="Q34" s="64">
        <v>7.9</v>
      </c>
      <c r="R34" s="198"/>
      <c r="S34" s="198"/>
      <c r="T34" s="198"/>
      <c r="U34" s="198"/>
    </row>
    <row r="35" spans="1:21" s="12" customFormat="1" x14ac:dyDescent="0.25">
      <c r="A35" s="218" t="s">
        <v>2100</v>
      </c>
      <c r="B35" s="64">
        <v>4.49</v>
      </c>
      <c r="C35" s="64">
        <v>41.95</v>
      </c>
      <c r="D35" s="64">
        <v>27.4</v>
      </c>
      <c r="E35" s="64">
        <v>2.82</v>
      </c>
      <c r="F35" s="64">
        <v>6.56</v>
      </c>
      <c r="G35" s="64">
        <v>61.82</v>
      </c>
      <c r="H35" s="64">
        <v>26.04</v>
      </c>
      <c r="I35" s="64">
        <v>0.56000000000000005</v>
      </c>
      <c r="J35" s="64">
        <v>0.37</v>
      </c>
      <c r="K35" s="64">
        <v>328.93</v>
      </c>
      <c r="L35" s="64">
        <v>26.15</v>
      </c>
      <c r="M35" s="64">
        <v>39.08</v>
      </c>
      <c r="N35" s="64">
        <v>48.3</v>
      </c>
      <c r="O35" s="64">
        <v>0</v>
      </c>
      <c r="P35" s="64">
        <v>0.9</v>
      </c>
      <c r="Q35" s="64">
        <v>8.07</v>
      </c>
      <c r="R35" s="198"/>
      <c r="S35" s="198"/>
      <c r="T35" s="198"/>
      <c r="U35" s="198"/>
    </row>
    <row r="36" spans="1:21" s="12" customFormat="1" x14ac:dyDescent="0.25">
      <c r="A36" s="218" t="s">
        <v>2101</v>
      </c>
      <c r="B36" s="64">
        <v>4.45</v>
      </c>
      <c r="C36" s="64">
        <v>41.63</v>
      </c>
      <c r="D36" s="64">
        <v>27.19</v>
      </c>
      <c r="E36" s="64">
        <v>2.6</v>
      </c>
      <c r="F36" s="64">
        <v>6.09</v>
      </c>
      <c r="G36" s="64">
        <v>61.82</v>
      </c>
      <c r="H36" s="64">
        <v>26.04</v>
      </c>
      <c r="I36" s="64">
        <v>0.56000000000000005</v>
      </c>
      <c r="J36" s="64">
        <v>0.21</v>
      </c>
      <c r="K36" s="64">
        <v>341.3</v>
      </c>
      <c r="L36" s="64">
        <v>26.45</v>
      </c>
      <c r="M36" s="64">
        <v>37.85</v>
      </c>
      <c r="N36" s="64">
        <v>63.6</v>
      </c>
      <c r="O36" s="64">
        <v>0</v>
      </c>
      <c r="P36" s="64">
        <v>0.91</v>
      </c>
      <c r="Q36" s="64">
        <v>8.5500000000000007</v>
      </c>
      <c r="R36" s="198"/>
      <c r="S36" s="198"/>
      <c r="T36" s="198"/>
      <c r="U36" s="198"/>
    </row>
    <row r="37" spans="1:21" s="12" customFormat="1" x14ac:dyDescent="0.25">
      <c r="A37" s="218" t="s">
        <v>2102</v>
      </c>
      <c r="B37" s="64">
        <v>4.8499999999999996</v>
      </c>
      <c r="C37" s="64">
        <v>43.52</v>
      </c>
      <c r="D37" s="64">
        <v>28.55</v>
      </c>
      <c r="E37" s="64">
        <v>2.71</v>
      </c>
      <c r="F37" s="64">
        <v>6.24</v>
      </c>
      <c r="G37" s="64">
        <v>61.86</v>
      </c>
      <c r="H37" s="64">
        <v>26.48</v>
      </c>
      <c r="I37" s="64">
        <v>0.56000000000000005</v>
      </c>
      <c r="J37" s="64">
        <v>0.16</v>
      </c>
      <c r="K37" s="64">
        <v>335.65</v>
      </c>
      <c r="L37" s="64">
        <v>26.69</v>
      </c>
      <c r="M37" s="64">
        <v>37.65</v>
      </c>
      <c r="N37" s="64">
        <v>89.9</v>
      </c>
      <c r="O37" s="64">
        <v>0</v>
      </c>
      <c r="P37" s="64">
        <v>0.92</v>
      </c>
      <c r="Q37" s="64">
        <v>8.84</v>
      </c>
      <c r="R37" s="198"/>
      <c r="S37" s="198"/>
      <c r="T37" s="198"/>
      <c r="U37" s="198"/>
    </row>
    <row r="38" spans="1:21" s="12" customFormat="1" x14ac:dyDescent="0.25">
      <c r="A38" s="218" t="s">
        <v>2103</v>
      </c>
      <c r="B38" s="64">
        <v>4.8600000000000003</v>
      </c>
      <c r="C38" s="64">
        <v>44.68</v>
      </c>
      <c r="D38" s="64">
        <v>29.2</v>
      </c>
      <c r="E38" s="64">
        <v>3.17</v>
      </c>
      <c r="F38" s="64">
        <v>5.81</v>
      </c>
      <c r="G38" s="64">
        <v>62.14</v>
      </c>
      <c r="H38" s="64">
        <v>28.3</v>
      </c>
      <c r="I38" s="64">
        <v>0.56000000000000005</v>
      </c>
      <c r="J38" s="64">
        <v>0.12</v>
      </c>
      <c r="K38" s="64">
        <v>355.09</v>
      </c>
      <c r="L38" s="64">
        <v>26.81</v>
      </c>
      <c r="M38" s="64">
        <v>36.89</v>
      </c>
      <c r="N38" s="64">
        <v>106.6</v>
      </c>
      <c r="O38" s="64">
        <v>0</v>
      </c>
      <c r="P38" s="64">
        <v>0.97</v>
      </c>
      <c r="Q38" s="64">
        <v>8.08</v>
      </c>
      <c r="R38" s="198"/>
      <c r="S38" s="198"/>
      <c r="T38" s="198"/>
      <c r="U38" s="198"/>
    </row>
    <row r="39" spans="1:21" s="12" customFormat="1" x14ac:dyDescent="0.25">
      <c r="A39" s="218" t="s">
        <v>2104</v>
      </c>
      <c r="B39" s="64">
        <v>4.33</v>
      </c>
      <c r="C39" s="64">
        <v>44.92</v>
      </c>
      <c r="D39" s="64">
        <v>28.91</v>
      </c>
      <c r="E39" s="64">
        <v>2.37</v>
      </c>
      <c r="F39" s="64">
        <v>5.16</v>
      </c>
      <c r="G39" s="64">
        <v>62.14</v>
      </c>
      <c r="H39" s="64">
        <v>28.3</v>
      </c>
      <c r="I39" s="64">
        <v>0.55000000000000004</v>
      </c>
      <c r="J39" s="64">
        <v>0.17</v>
      </c>
      <c r="K39" s="64">
        <v>302.92</v>
      </c>
      <c r="L39" s="64">
        <v>26.77</v>
      </c>
      <c r="M39" s="64">
        <v>38.44</v>
      </c>
      <c r="N39" s="64">
        <v>134.4</v>
      </c>
      <c r="O39" s="64">
        <v>0</v>
      </c>
      <c r="P39" s="64">
        <v>1.03</v>
      </c>
      <c r="Q39" s="64">
        <v>7.94</v>
      </c>
      <c r="R39" s="198"/>
      <c r="S39" s="198"/>
      <c r="T39" s="198"/>
      <c r="U39" s="198"/>
    </row>
    <row r="40" spans="1:21" s="12" customFormat="1" x14ac:dyDescent="0.25">
      <c r="A40" s="218" t="s">
        <v>2105</v>
      </c>
      <c r="B40" s="64">
        <v>3.81</v>
      </c>
      <c r="C40" s="64">
        <v>45.45</v>
      </c>
      <c r="D40" s="64">
        <v>28.78</v>
      </c>
      <c r="E40" s="64">
        <v>0.95</v>
      </c>
      <c r="F40" s="64">
        <v>5.18</v>
      </c>
      <c r="G40" s="64">
        <v>62.14</v>
      </c>
      <c r="H40" s="64">
        <v>28.3</v>
      </c>
      <c r="I40" s="64">
        <v>0.56000000000000005</v>
      </c>
      <c r="J40" s="64">
        <v>0.31</v>
      </c>
      <c r="K40" s="64">
        <v>295.39</v>
      </c>
      <c r="L40" s="64">
        <v>27.1</v>
      </c>
      <c r="M40" s="64">
        <v>37.28</v>
      </c>
      <c r="N40" s="64">
        <v>184.4</v>
      </c>
      <c r="O40" s="64">
        <v>0</v>
      </c>
      <c r="P40" s="64">
        <v>1.05</v>
      </c>
      <c r="Q40" s="64">
        <v>8.11</v>
      </c>
      <c r="R40" s="198"/>
      <c r="S40" s="198"/>
      <c r="T40" s="198"/>
      <c r="U40" s="198"/>
    </row>
    <row r="41" spans="1:21" s="12" customFormat="1" x14ac:dyDescent="0.25">
      <c r="A41" s="218" t="s">
        <v>2106</v>
      </c>
      <c r="B41" s="64">
        <v>3.26</v>
      </c>
      <c r="C41" s="64">
        <v>45.66</v>
      </c>
      <c r="D41" s="64">
        <v>28.46</v>
      </c>
      <c r="E41" s="64">
        <v>2.25</v>
      </c>
      <c r="F41" s="64">
        <v>5.77</v>
      </c>
      <c r="G41" s="64">
        <v>63.51</v>
      </c>
      <c r="H41" s="64">
        <v>28.76</v>
      </c>
      <c r="I41" s="64">
        <v>0.56000000000000005</v>
      </c>
      <c r="J41" s="64">
        <v>0.23</v>
      </c>
      <c r="K41" s="64">
        <v>29.26</v>
      </c>
      <c r="L41" s="64">
        <v>27.39</v>
      </c>
      <c r="M41" s="64">
        <v>35.89</v>
      </c>
      <c r="N41" s="64">
        <v>197.4</v>
      </c>
      <c r="O41" s="64">
        <v>0</v>
      </c>
      <c r="P41" s="64">
        <v>1.04</v>
      </c>
      <c r="Q41" s="64">
        <v>7.46</v>
      </c>
      <c r="R41" s="198"/>
      <c r="S41" s="198"/>
      <c r="T41" s="198"/>
      <c r="U41" s="198"/>
    </row>
    <row r="42" spans="1:21" s="12" customFormat="1" x14ac:dyDescent="0.25">
      <c r="A42" s="218" t="s">
        <v>2107</v>
      </c>
      <c r="B42" s="64">
        <v>2.66</v>
      </c>
      <c r="C42" s="64">
        <v>45.65</v>
      </c>
      <c r="D42" s="64">
        <v>27.97</v>
      </c>
      <c r="E42" s="64">
        <v>2.25</v>
      </c>
      <c r="F42" s="64">
        <v>6.88</v>
      </c>
      <c r="G42" s="64">
        <v>71.69</v>
      </c>
      <c r="H42" s="64">
        <v>31.17</v>
      </c>
      <c r="I42" s="64">
        <v>0.55000000000000004</v>
      </c>
      <c r="J42" s="64">
        <v>0.35</v>
      </c>
      <c r="K42" s="64">
        <v>40.28</v>
      </c>
      <c r="L42" s="64">
        <v>27.89</v>
      </c>
      <c r="M42" s="64">
        <v>34.880000000000003</v>
      </c>
      <c r="N42" s="64">
        <v>220.2</v>
      </c>
      <c r="O42" s="64">
        <v>0</v>
      </c>
      <c r="P42" s="64">
        <v>1</v>
      </c>
      <c r="Q42" s="64">
        <v>6.15</v>
      </c>
      <c r="R42" s="198"/>
      <c r="S42" s="198"/>
      <c r="T42" s="198"/>
      <c r="U42" s="198"/>
    </row>
    <row r="43" spans="1:21" s="12" customFormat="1" x14ac:dyDescent="0.25">
      <c r="A43" s="218" t="s">
        <v>2108</v>
      </c>
      <c r="B43" s="64">
        <v>2.4</v>
      </c>
      <c r="C43" s="64">
        <v>45.48</v>
      </c>
      <c r="D43" s="64">
        <v>27.67</v>
      </c>
      <c r="E43" s="64">
        <v>2.14</v>
      </c>
      <c r="F43" s="64">
        <v>7.17</v>
      </c>
      <c r="G43" s="64">
        <v>71.69</v>
      </c>
      <c r="H43" s="64">
        <v>31.17</v>
      </c>
      <c r="I43" s="64">
        <v>0.54</v>
      </c>
      <c r="J43" s="64">
        <v>0.28999999999999998</v>
      </c>
      <c r="K43" s="64">
        <v>18.09</v>
      </c>
      <c r="L43" s="64">
        <v>28.59</v>
      </c>
      <c r="M43" s="64">
        <v>33.18</v>
      </c>
      <c r="N43" s="64">
        <v>247.5</v>
      </c>
      <c r="O43" s="64">
        <v>0</v>
      </c>
      <c r="P43" s="64">
        <v>0.95</v>
      </c>
      <c r="Q43" s="64">
        <v>5.46</v>
      </c>
      <c r="R43" s="198"/>
      <c r="S43" s="198"/>
      <c r="T43" s="198"/>
      <c r="U43" s="198"/>
    </row>
    <row r="44" spans="1:21" s="12" customFormat="1" x14ac:dyDescent="0.25">
      <c r="A44" s="218" t="s">
        <v>2109</v>
      </c>
      <c r="B44" s="64">
        <v>2.42</v>
      </c>
      <c r="C44" s="64">
        <v>45.79</v>
      </c>
      <c r="D44" s="64">
        <v>27.86</v>
      </c>
      <c r="E44" s="64">
        <v>3.18</v>
      </c>
      <c r="F44" s="64">
        <v>8.1</v>
      </c>
      <c r="G44" s="64">
        <v>71.69</v>
      </c>
      <c r="H44" s="64">
        <v>31.17</v>
      </c>
      <c r="I44" s="64">
        <v>0.53</v>
      </c>
      <c r="J44" s="64">
        <v>0.28000000000000003</v>
      </c>
      <c r="K44" s="64">
        <v>21.5</v>
      </c>
      <c r="L44" s="64">
        <v>29.42</v>
      </c>
      <c r="M44" s="64">
        <v>31.95</v>
      </c>
      <c r="N44" s="64">
        <v>364.9</v>
      </c>
      <c r="O44" s="64">
        <v>0</v>
      </c>
      <c r="P44" s="64">
        <v>0.91</v>
      </c>
      <c r="Q44" s="64">
        <v>5.19</v>
      </c>
      <c r="R44" s="198"/>
      <c r="S44" s="198"/>
      <c r="T44" s="198"/>
      <c r="U44" s="198"/>
    </row>
    <row r="45" spans="1:21" s="12" customFormat="1" x14ac:dyDescent="0.25">
      <c r="A45" s="218" t="s">
        <v>2110</v>
      </c>
      <c r="B45" s="64">
        <v>2.5499999999999998</v>
      </c>
      <c r="C45" s="64">
        <v>46.79</v>
      </c>
      <c r="D45" s="64">
        <v>28.51</v>
      </c>
      <c r="E45" s="64">
        <v>2.68</v>
      </c>
      <c r="F45" s="64">
        <v>7.58</v>
      </c>
      <c r="G45" s="64">
        <v>70.709999999999994</v>
      </c>
      <c r="H45" s="64">
        <v>31.04</v>
      </c>
      <c r="I45" s="64">
        <v>0.52</v>
      </c>
      <c r="J45" s="64">
        <v>0.48</v>
      </c>
      <c r="K45" s="64">
        <v>347.73</v>
      </c>
      <c r="L45" s="64">
        <v>31.08</v>
      </c>
      <c r="M45" s="64">
        <v>30.22</v>
      </c>
      <c r="N45" s="64">
        <v>495.1</v>
      </c>
      <c r="O45" s="64">
        <v>0</v>
      </c>
      <c r="P45" s="64">
        <v>0.91</v>
      </c>
      <c r="Q45" s="64">
        <v>5.3</v>
      </c>
      <c r="R45" s="198"/>
      <c r="S45" s="198"/>
      <c r="T45" s="198"/>
      <c r="U45" s="198"/>
    </row>
    <row r="46" spans="1:21" s="12" customFormat="1" x14ac:dyDescent="0.25">
      <c r="A46" s="218" t="s">
        <v>2111</v>
      </c>
      <c r="B46" s="64">
        <v>2.69</v>
      </c>
      <c r="C46" s="64">
        <v>47.9</v>
      </c>
      <c r="D46" s="64">
        <v>29.23</v>
      </c>
      <c r="E46" s="64">
        <v>3.13</v>
      </c>
      <c r="F46" s="64">
        <v>7.05</v>
      </c>
      <c r="G46" s="64">
        <v>64.900000000000006</v>
      </c>
      <c r="H46" s="64">
        <v>30.49</v>
      </c>
      <c r="I46" s="64">
        <v>0.51</v>
      </c>
      <c r="J46" s="64">
        <v>0.56000000000000005</v>
      </c>
      <c r="K46" s="64">
        <v>336.79</v>
      </c>
      <c r="L46" s="64">
        <v>33.03</v>
      </c>
      <c r="M46" s="64">
        <v>27.84</v>
      </c>
      <c r="N46" s="64">
        <v>568.6</v>
      </c>
      <c r="O46" s="64">
        <v>0</v>
      </c>
      <c r="P46" s="64">
        <v>0.96</v>
      </c>
      <c r="Q46" s="64">
        <v>5.45</v>
      </c>
      <c r="R46" s="198"/>
      <c r="S46" s="198"/>
      <c r="T46" s="198"/>
      <c r="U46" s="198"/>
    </row>
    <row r="47" spans="1:21" s="12" customFormat="1" x14ac:dyDescent="0.25">
      <c r="A47" s="218" t="s">
        <v>2112</v>
      </c>
      <c r="B47" s="64">
        <v>2.73</v>
      </c>
      <c r="C47" s="64">
        <v>48.09</v>
      </c>
      <c r="D47" s="64">
        <v>29.37</v>
      </c>
      <c r="E47" s="64">
        <v>3.11</v>
      </c>
      <c r="F47" s="64">
        <v>6.58</v>
      </c>
      <c r="G47" s="64">
        <v>64.900000000000006</v>
      </c>
      <c r="H47" s="64">
        <v>30.49</v>
      </c>
      <c r="I47" s="64">
        <v>0.51</v>
      </c>
      <c r="J47" s="64">
        <v>1.21</v>
      </c>
      <c r="K47" s="64">
        <v>336.54</v>
      </c>
      <c r="L47" s="64">
        <v>34.36</v>
      </c>
      <c r="M47" s="64">
        <v>24.2</v>
      </c>
      <c r="N47" s="64">
        <v>617</v>
      </c>
      <c r="O47" s="64">
        <v>0</v>
      </c>
      <c r="P47" s="64">
        <v>0.95</v>
      </c>
      <c r="Q47" s="64">
        <v>5.41</v>
      </c>
      <c r="R47" s="198"/>
      <c r="S47" s="198"/>
      <c r="T47" s="198"/>
      <c r="U47" s="198"/>
    </row>
    <row r="48" spans="1:21" s="12" customFormat="1" x14ac:dyDescent="0.25">
      <c r="A48" s="218" t="s">
        <v>2113</v>
      </c>
      <c r="B48" s="64">
        <v>2.9</v>
      </c>
      <c r="C48" s="64">
        <v>46.94</v>
      </c>
      <c r="D48" s="64">
        <v>28.88</v>
      </c>
      <c r="E48" s="64">
        <v>2.56</v>
      </c>
      <c r="F48" s="64">
        <v>7.7</v>
      </c>
      <c r="G48" s="64">
        <v>64.900000000000006</v>
      </c>
      <c r="H48" s="64">
        <v>30.49</v>
      </c>
      <c r="I48" s="64">
        <v>0.5</v>
      </c>
      <c r="J48" s="64">
        <v>1.18</v>
      </c>
      <c r="K48" s="64">
        <v>334.99</v>
      </c>
      <c r="L48" s="64">
        <v>34.4</v>
      </c>
      <c r="M48" s="64">
        <v>23.18</v>
      </c>
      <c r="N48" s="64">
        <v>572.20000000000005</v>
      </c>
      <c r="O48" s="64">
        <v>0</v>
      </c>
      <c r="P48" s="64">
        <v>0.91</v>
      </c>
      <c r="Q48" s="64">
        <v>5.12</v>
      </c>
      <c r="R48" s="198"/>
      <c r="S48" s="198"/>
      <c r="T48" s="198"/>
      <c r="U48" s="198"/>
    </row>
    <row r="49" spans="1:21" s="12" customFormat="1" x14ac:dyDescent="0.25">
      <c r="A49" s="218" t="s">
        <v>2114</v>
      </c>
      <c r="B49" s="64">
        <v>3.56</v>
      </c>
      <c r="C49" s="64">
        <v>44.92</v>
      </c>
      <c r="D49" s="64">
        <v>28.29</v>
      </c>
      <c r="E49" s="64">
        <v>2.0699999999999998</v>
      </c>
      <c r="F49" s="64">
        <v>8.32</v>
      </c>
      <c r="G49" s="64">
        <v>64.510000000000005</v>
      </c>
      <c r="H49" s="64">
        <v>30.14</v>
      </c>
      <c r="I49" s="64">
        <v>0.5</v>
      </c>
      <c r="J49" s="64">
        <v>1.1599999999999999</v>
      </c>
      <c r="K49" s="64">
        <v>334.62</v>
      </c>
      <c r="L49" s="64">
        <v>34.799999999999997</v>
      </c>
      <c r="M49" s="64">
        <v>22.65</v>
      </c>
      <c r="N49" s="64">
        <v>544.6</v>
      </c>
      <c r="O49" s="64">
        <v>0</v>
      </c>
      <c r="P49" s="64">
        <v>0.86</v>
      </c>
      <c r="Q49" s="64">
        <v>4.37</v>
      </c>
      <c r="R49" s="198"/>
      <c r="S49" s="198"/>
      <c r="T49" s="198"/>
      <c r="U49" s="198"/>
    </row>
    <row r="50" spans="1:21" s="12" customFormat="1" x14ac:dyDescent="0.25">
      <c r="A50" s="218" t="s">
        <v>2115</v>
      </c>
      <c r="B50" s="64">
        <v>2.54</v>
      </c>
      <c r="C50" s="64">
        <v>45.58</v>
      </c>
      <c r="D50" s="64">
        <v>27.84</v>
      </c>
      <c r="E50" s="64">
        <v>2.0099999999999998</v>
      </c>
      <c r="F50" s="64">
        <v>8.92</v>
      </c>
      <c r="G50" s="64">
        <v>62.4</v>
      </c>
      <c r="H50" s="64">
        <v>28.35</v>
      </c>
      <c r="I50" s="64">
        <v>0.5</v>
      </c>
      <c r="J50" s="64">
        <v>1.43</v>
      </c>
      <c r="K50" s="64">
        <v>333.61</v>
      </c>
      <c r="L50" s="64">
        <v>34.770000000000003</v>
      </c>
      <c r="M50" s="64">
        <v>22.2</v>
      </c>
      <c r="N50" s="64">
        <v>635</v>
      </c>
      <c r="O50" s="64">
        <v>0</v>
      </c>
      <c r="P50" s="64">
        <v>0.83</v>
      </c>
      <c r="Q50" s="64">
        <v>3.26</v>
      </c>
      <c r="R50" s="198"/>
      <c r="S50" s="198"/>
      <c r="T50" s="198"/>
      <c r="U50" s="198"/>
    </row>
    <row r="51" spans="1:21" s="12" customFormat="1" x14ac:dyDescent="0.25">
      <c r="A51" s="218" t="s">
        <v>2116</v>
      </c>
      <c r="B51" s="64">
        <v>2.33</v>
      </c>
      <c r="C51" s="64">
        <v>45.29</v>
      </c>
      <c r="D51" s="64">
        <v>27.5</v>
      </c>
      <c r="E51" s="64">
        <v>1.92</v>
      </c>
      <c r="F51" s="64">
        <v>10.44</v>
      </c>
      <c r="G51" s="64">
        <v>62.4</v>
      </c>
      <c r="H51" s="64">
        <v>28.35</v>
      </c>
      <c r="I51" s="64">
        <v>0.5</v>
      </c>
      <c r="J51" s="64">
        <v>0.93</v>
      </c>
      <c r="K51" s="64">
        <v>339.17</v>
      </c>
      <c r="L51" s="64">
        <v>35.43</v>
      </c>
      <c r="M51" s="64">
        <v>20.93</v>
      </c>
      <c r="N51" s="64">
        <v>564.70000000000005</v>
      </c>
      <c r="O51" s="64">
        <v>0</v>
      </c>
      <c r="P51" s="64">
        <v>0.78</v>
      </c>
      <c r="Q51" s="64">
        <v>2.81</v>
      </c>
      <c r="R51" s="198"/>
      <c r="S51" s="198"/>
      <c r="T51" s="198"/>
      <c r="U51" s="198"/>
    </row>
    <row r="52" spans="1:21" s="12" customFormat="1" x14ac:dyDescent="0.25">
      <c r="A52" s="218" t="s">
        <v>2117</v>
      </c>
      <c r="B52" s="64">
        <v>2.2599999999999998</v>
      </c>
      <c r="C52" s="64">
        <v>45.18</v>
      </c>
      <c r="D52" s="64">
        <v>27.39</v>
      </c>
      <c r="E52" s="64">
        <v>1.91</v>
      </c>
      <c r="F52" s="64">
        <v>9.19</v>
      </c>
      <c r="G52" s="64">
        <v>62.4</v>
      </c>
      <c r="H52" s="64">
        <v>28.35</v>
      </c>
      <c r="I52" s="64">
        <v>0.5</v>
      </c>
      <c r="J52" s="64">
        <v>1.95</v>
      </c>
      <c r="K52" s="64">
        <v>333.88</v>
      </c>
      <c r="L52" s="64">
        <v>36.1</v>
      </c>
      <c r="M52" s="64">
        <v>20.170000000000002</v>
      </c>
      <c r="N52" s="64">
        <v>619.6</v>
      </c>
      <c r="O52" s="64">
        <v>0</v>
      </c>
      <c r="P52" s="64">
        <v>0.76</v>
      </c>
      <c r="Q52" s="64">
        <v>2.25</v>
      </c>
      <c r="R52" s="198"/>
      <c r="S52" s="198"/>
      <c r="T52" s="198"/>
      <c r="U52" s="198"/>
    </row>
    <row r="53" spans="1:21" s="12" customFormat="1" x14ac:dyDescent="0.25">
      <c r="A53" s="218" t="s">
        <v>2118</v>
      </c>
      <c r="B53" s="64">
        <v>2.27</v>
      </c>
      <c r="C53" s="64">
        <v>45.18</v>
      </c>
      <c r="D53" s="64">
        <v>27.4</v>
      </c>
      <c r="E53" s="64">
        <v>2.38</v>
      </c>
      <c r="F53" s="64">
        <v>9.56</v>
      </c>
      <c r="G53" s="64">
        <v>61.5</v>
      </c>
      <c r="H53" s="64">
        <v>27.71</v>
      </c>
      <c r="I53" s="64">
        <v>0.49</v>
      </c>
      <c r="J53" s="64">
        <v>1</v>
      </c>
      <c r="K53" s="64">
        <v>335.43</v>
      </c>
      <c r="L53" s="64">
        <v>35.380000000000003</v>
      </c>
      <c r="M53" s="64">
        <v>19.88</v>
      </c>
      <c r="N53" s="64">
        <v>545</v>
      </c>
      <c r="O53" s="64">
        <v>0</v>
      </c>
      <c r="P53" s="64">
        <v>0.73</v>
      </c>
      <c r="Q53" s="64">
        <v>1.7</v>
      </c>
      <c r="R53" s="198"/>
      <c r="S53" s="198"/>
      <c r="T53" s="198"/>
      <c r="U53" s="198"/>
    </row>
    <row r="54" spans="1:21" s="12" customFormat="1" x14ac:dyDescent="0.25">
      <c r="A54" s="218" t="s">
        <v>2119</v>
      </c>
      <c r="B54" s="64">
        <v>2.19</v>
      </c>
      <c r="C54" s="64">
        <v>44.83</v>
      </c>
      <c r="D54" s="64">
        <v>27.15</v>
      </c>
      <c r="E54" s="64">
        <v>2.09</v>
      </c>
      <c r="F54" s="64">
        <v>10.47</v>
      </c>
      <c r="G54" s="64">
        <v>56.16</v>
      </c>
      <c r="H54" s="64">
        <v>25.09</v>
      </c>
      <c r="I54" s="64">
        <v>0.49</v>
      </c>
      <c r="J54" s="64">
        <v>0.79</v>
      </c>
      <c r="K54" s="64">
        <v>338.3</v>
      </c>
      <c r="L54" s="64">
        <v>35.520000000000003</v>
      </c>
      <c r="M54" s="64">
        <v>20.13</v>
      </c>
      <c r="N54" s="64">
        <v>657.3</v>
      </c>
      <c r="O54" s="64">
        <v>0</v>
      </c>
      <c r="P54" s="64">
        <v>0.71</v>
      </c>
      <c r="Q54" s="64">
        <v>1.06</v>
      </c>
      <c r="R54" s="198"/>
      <c r="S54" s="198"/>
      <c r="T54" s="198"/>
      <c r="U54" s="198"/>
    </row>
    <row r="55" spans="1:21" s="12" customFormat="1" x14ac:dyDescent="0.25">
      <c r="A55" s="218" t="s">
        <v>2120</v>
      </c>
      <c r="B55" s="64">
        <v>3.07</v>
      </c>
      <c r="C55" s="64">
        <v>44.42</v>
      </c>
      <c r="D55" s="64">
        <v>27.63</v>
      </c>
      <c r="E55" s="64">
        <v>3.24</v>
      </c>
      <c r="F55" s="64">
        <v>12.19</v>
      </c>
      <c r="G55" s="64">
        <v>56.16</v>
      </c>
      <c r="H55" s="64">
        <v>25.09</v>
      </c>
      <c r="I55" s="64">
        <v>0.49</v>
      </c>
      <c r="J55" s="64">
        <v>0.81</v>
      </c>
      <c r="K55" s="64">
        <v>338.13</v>
      </c>
      <c r="L55" s="64">
        <v>36.56</v>
      </c>
      <c r="M55" s="64">
        <v>19.940000000000001</v>
      </c>
      <c r="N55" s="64">
        <v>603.70000000000005</v>
      </c>
      <c r="O55" s="64">
        <v>0</v>
      </c>
      <c r="P55" s="64">
        <v>0.69</v>
      </c>
      <c r="Q55" s="64">
        <v>0.45</v>
      </c>
      <c r="R55" s="198"/>
      <c r="S55" s="198"/>
      <c r="T55" s="198"/>
      <c r="U55" s="198"/>
    </row>
    <row r="56" spans="1:21" s="12" customFormat="1" x14ac:dyDescent="0.25">
      <c r="A56" s="218" t="s">
        <v>2121</v>
      </c>
      <c r="B56" s="64">
        <v>4.18</v>
      </c>
      <c r="C56" s="64">
        <v>44.24</v>
      </c>
      <c r="D56" s="64">
        <v>28.42</v>
      </c>
      <c r="E56" s="64">
        <v>1.73</v>
      </c>
      <c r="F56" s="64">
        <v>12.02</v>
      </c>
      <c r="G56" s="64">
        <v>56.16</v>
      </c>
      <c r="H56" s="64">
        <v>25.09</v>
      </c>
      <c r="I56" s="64">
        <v>0.49</v>
      </c>
      <c r="J56" s="64">
        <v>1.18</v>
      </c>
      <c r="K56" s="64">
        <v>342.6</v>
      </c>
      <c r="L56" s="64">
        <v>37.36</v>
      </c>
      <c r="M56" s="64">
        <v>18.5</v>
      </c>
      <c r="N56" s="64">
        <v>649.29999999999995</v>
      </c>
      <c r="O56" s="64">
        <v>0</v>
      </c>
      <c r="P56" s="64">
        <v>0.68</v>
      </c>
      <c r="Q56" s="64">
        <v>0.63</v>
      </c>
      <c r="R56" s="198"/>
      <c r="S56" s="198"/>
      <c r="T56" s="198"/>
      <c r="U56" s="198"/>
    </row>
    <row r="57" spans="1:21" s="12" customFormat="1" x14ac:dyDescent="0.25">
      <c r="A57" s="218" t="s">
        <v>2122</v>
      </c>
      <c r="B57" s="64">
        <v>3.4</v>
      </c>
      <c r="C57" s="64">
        <v>45.23</v>
      </c>
      <c r="D57" s="64">
        <v>28.33</v>
      </c>
      <c r="E57" s="64">
        <v>2.35</v>
      </c>
      <c r="F57" s="64">
        <v>8.9600000000000009</v>
      </c>
      <c r="G57" s="64">
        <v>54.4</v>
      </c>
      <c r="H57" s="64">
        <v>24.51</v>
      </c>
      <c r="I57" s="64">
        <v>0.49</v>
      </c>
      <c r="J57" s="64">
        <v>1.18</v>
      </c>
      <c r="K57" s="64">
        <v>337.18</v>
      </c>
      <c r="L57" s="64">
        <v>37.020000000000003</v>
      </c>
      <c r="M57" s="64">
        <v>18.34</v>
      </c>
      <c r="N57" s="64">
        <v>555.20000000000005</v>
      </c>
      <c r="O57" s="64">
        <v>0</v>
      </c>
      <c r="P57" s="64">
        <v>0.68</v>
      </c>
      <c r="Q57" s="64">
        <v>0.85</v>
      </c>
      <c r="R57" s="198"/>
      <c r="S57" s="198"/>
      <c r="T57" s="198"/>
      <c r="U57" s="198"/>
    </row>
    <row r="58" spans="1:21" s="12" customFormat="1" x14ac:dyDescent="0.25">
      <c r="A58" s="218" t="s">
        <v>2123</v>
      </c>
      <c r="B58" s="64">
        <v>3.29</v>
      </c>
      <c r="C58" s="64">
        <v>46.27</v>
      </c>
      <c r="D58" s="64">
        <v>28.82</v>
      </c>
      <c r="E58" s="64">
        <v>2.0299999999999998</v>
      </c>
      <c r="F58" s="64">
        <v>10.75</v>
      </c>
      <c r="G58" s="64">
        <v>44.85</v>
      </c>
      <c r="H58" s="64">
        <v>21.45</v>
      </c>
      <c r="I58" s="64">
        <v>0.49</v>
      </c>
      <c r="J58" s="64">
        <v>1.53</v>
      </c>
      <c r="K58" s="64">
        <v>338.1</v>
      </c>
      <c r="L58" s="64">
        <v>36.76</v>
      </c>
      <c r="M58" s="64">
        <v>18.809999999999999</v>
      </c>
      <c r="N58" s="64">
        <v>648.4</v>
      </c>
      <c r="O58" s="64">
        <v>0</v>
      </c>
      <c r="P58" s="64">
        <v>0.68</v>
      </c>
      <c r="Q58" s="64">
        <v>1.0900000000000001</v>
      </c>
      <c r="R58" s="198"/>
      <c r="S58" s="198"/>
      <c r="T58" s="198"/>
      <c r="U58" s="198"/>
    </row>
    <row r="59" spans="1:21" s="12" customFormat="1" x14ac:dyDescent="0.25">
      <c r="A59" s="218" t="s">
        <v>2124</v>
      </c>
      <c r="B59" s="64">
        <v>3.65</v>
      </c>
      <c r="C59" s="64">
        <v>45.71</v>
      </c>
      <c r="D59" s="64">
        <v>28.8</v>
      </c>
      <c r="E59" s="64">
        <v>2.61</v>
      </c>
      <c r="F59" s="64">
        <v>13.72</v>
      </c>
      <c r="G59" s="64">
        <v>44.85</v>
      </c>
      <c r="H59" s="64">
        <v>21.45</v>
      </c>
      <c r="I59" s="64">
        <v>0.49</v>
      </c>
      <c r="J59" s="64">
        <v>1.92</v>
      </c>
      <c r="K59" s="64">
        <v>345.82</v>
      </c>
      <c r="L59" s="64">
        <v>38.01</v>
      </c>
      <c r="M59" s="64">
        <v>16.670000000000002</v>
      </c>
      <c r="N59" s="64">
        <v>726.3</v>
      </c>
      <c r="O59" s="64">
        <v>0</v>
      </c>
      <c r="P59" s="64">
        <v>0.67</v>
      </c>
      <c r="Q59" s="64">
        <v>1.38</v>
      </c>
      <c r="R59" s="198"/>
      <c r="S59" s="198"/>
      <c r="T59" s="198"/>
      <c r="U59" s="198"/>
    </row>
    <row r="60" spans="1:21" s="12" customFormat="1" x14ac:dyDescent="0.25">
      <c r="A60" s="218" t="s">
        <v>2125</v>
      </c>
      <c r="B60" s="64">
        <v>4.5</v>
      </c>
      <c r="C60" s="64">
        <v>44.7</v>
      </c>
      <c r="D60" s="64">
        <v>28.93</v>
      </c>
      <c r="E60" s="64">
        <v>2.88</v>
      </c>
      <c r="F60" s="64">
        <v>14.59</v>
      </c>
      <c r="G60" s="64">
        <v>44.85</v>
      </c>
      <c r="H60" s="64">
        <v>21.45</v>
      </c>
      <c r="I60" s="64">
        <v>0.49</v>
      </c>
      <c r="J60" s="64">
        <v>1.46</v>
      </c>
      <c r="K60" s="64">
        <v>347.87</v>
      </c>
      <c r="L60" s="64">
        <v>37.119999999999997</v>
      </c>
      <c r="M60" s="64">
        <v>16.899999999999999</v>
      </c>
      <c r="N60" s="64">
        <v>464.5</v>
      </c>
      <c r="O60" s="64">
        <v>0</v>
      </c>
      <c r="P60" s="64">
        <v>0.67</v>
      </c>
      <c r="Q60" s="64">
        <v>2.35</v>
      </c>
      <c r="R60" s="198"/>
      <c r="S60" s="198"/>
      <c r="T60" s="198"/>
      <c r="U60" s="198"/>
    </row>
    <row r="61" spans="1:21" s="12" customFormat="1" x14ac:dyDescent="0.25">
      <c r="A61" s="218" t="s">
        <v>2126</v>
      </c>
      <c r="B61" s="64">
        <v>7.25</v>
      </c>
      <c r="C61" s="64">
        <v>43.01</v>
      </c>
      <c r="D61" s="64">
        <v>30.2</v>
      </c>
      <c r="E61" s="64">
        <v>3.15</v>
      </c>
      <c r="F61" s="64">
        <v>14.84</v>
      </c>
      <c r="G61" s="64">
        <v>42.06</v>
      </c>
      <c r="H61" s="64">
        <v>21.62</v>
      </c>
      <c r="I61" s="64">
        <v>0.5</v>
      </c>
      <c r="J61" s="64">
        <v>1.48</v>
      </c>
      <c r="K61" s="64">
        <v>350.95</v>
      </c>
      <c r="L61" s="64">
        <v>37.479999999999997</v>
      </c>
      <c r="M61" s="64">
        <v>16.190000000000001</v>
      </c>
      <c r="N61" s="64">
        <v>444.9</v>
      </c>
      <c r="O61" s="64">
        <v>0</v>
      </c>
      <c r="P61" s="64">
        <v>0.66</v>
      </c>
      <c r="Q61" s="64">
        <v>3.08</v>
      </c>
      <c r="R61" s="198"/>
      <c r="S61" s="198"/>
      <c r="T61" s="198"/>
      <c r="U61" s="198"/>
    </row>
    <row r="62" spans="1:21" s="12" customFormat="1" x14ac:dyDescent="0.25">
      <c r="A62" s="218" t="s">
        <v>2127</v>
      </c>
      <c r="B62" s="64">
        <v>5.17</v>
      </c>
      <c r="C62" s="64">
        <v>44.07</v>
      </c>
      <c r="D62" s="64">
        <v>29.12</v>
      </c>
      <c r="E62" s="64">
        <v>2.93</v>
      </c>
      <c r="F62" s="64">
        <v>15.18</v>
      </c>
      <c r="G62" s="64">
        <v>26.94</v>
      </c>
      <c r="H62" s="64">
        <v>22.33</v>
      </c>
      <c r="I62" s="64">
        <v>0.5</v>
      </c>
      <c r="J62" s="64">
        <v>1.5</v>
      </c>
      <c r="K62" s="64">
        <v>342.08</v>
      </c>
      <c r="L62" s="64">
        <v>38.54</v>
      </c>
      <c r="M62" s="64">
        <v>15.7</v>
      </c>
      <c r="N62" s="64">
        <v>791.5</v>
      </c>
      <c r="O62" s="64">
        <v>0</v>
      </c>
      <c r="P62" s="64">
        <v>0.66</v>
      </c>
      <c r="Q62" s="64">
        <v>3.24</v>
      </c>
      <c r="R62" s="198"/>
      <c r="S62" s="198"/>
      <c r="T62" s="198"/>
      <c r="U62" s="198"/>
    </row>
    <row r="63" spans="1:21" s="12" customFormat="1" x14ac:dyDescent="0.25">
      <c r="A63" s="218" t="s">
        <v>2128</v>
      </c>
      <c r="B63" s="64">
        <v>4.68</v>
      </c>
      <c r="C63" s="64">
        <v>46.13</v>
      </c>
      <c r="D63" s="64">
        <v>29.86</v>
      </c>
      <c r="E63" s="64">
        <v>3.03</v>
      </c>
      <c r="F63" s="64">
        <v>18.54</v>
      </c>
      <c r="G63" s="64">
        <v>26.94</v>
      </c>
      <c r="H63" s="64">
        <v>22.33</v>
      </c>
      <c r="I63" s="64">
        <v>0.5</v>
      </c>
      <c r="J63" s="64">
        <v>1.24</v>
      </c>
      <c r="K63" s="64">
        <v>340.99</v>
      </c>
      <c r="L63" s="64">
        <v>39.369999999999997</v>
      </c>
      <c r="M63" s="64">
        <v>15.21</v>
      </c>
      <c r="N63" s="64">
        <v>657.7</v>
      </c>
      <c r="O63" s="64">
        <v>0</v>
      </c>
      <c r="P63" s="64">
        <v>0.65</v>
      </c>
      <c r="Q63" s="64">
        <v>3.2</v>
      </c>
      <c r="R63" s="198"/>
      <c r="S63" s="198"/>
      <c r="T63" s="198"/>
      <c r="U63" s="198"/>
    </row>
    <row r="64" spans="1:21" s="12" customFormat="1" x14ac:dyDescent="0.25">
      <c r="A64" s="218" t="s">
        <v>2129</v>
      </c>
      <c r="B64" s="64">
        <v>4.8099999999999996</v>
      </c>
      <c r="C64" s="64">
        <v>48.13</v>
      </c>
      <c r="D64" s="64">
        <v>31.06</v>
      </c>
      <c r="E64" s="64">
        <v>3.15</v>
      </c>
      <c r="F64" s="64">
        <v>21.89</v>
      </c>
      <c r="G64" s="64">
        <v>26.94</v>
      </c>
      <c r="H64" s="64">
        <v>22.33</v>
      </c>
      <c r="I64" s="64">
        <v>0.5</v>
      </c>
      <c r="J64" s="64">
        <v>1.1599999999999999</v>
      </c>
      <c r="K64" s="64">
        <v>349.21</v>
      </c>
      <c r="L64" s="64">
        <v>38.450000000000003</v>
      </c>
      <c r="M64" s="64">
        <v>15.65</v>
      </c>
      <c r="N64" s="64">
        <v>558.4</v>
      </c>
      <c r="O64" s="64">
        <v>0</v>
      </c>
      <c r="P64" s="64">
        <v>0.68</v>
      </c>
      <c r="Q64" s="64">
        <v>3.24</v>
      </c>
      <c r="R64" s="198"/>
      <c r="S64" s="198"/>
      <c r="T64" s="198"/>
      <c r="U64" s="198"/>
    </row>
    <row r="65" spans="1:21" s="12" customFormat="1" x14ac:dyDescent="0.25">
      <c r="A65" s="218" t="s">
        <v>2130</v>
      </c>
      <c r="B65" s="64">
        <v>4.66</v>
      </c>
      <c r="C65" s="64">
        <v>50.41</v>
      </c>
      <c r="D65" s="64">
        <v>32.21</v>
      </c>
      <c r="E65" s="64">
        <v>4.38</v>
      </c>
      <c r="F65" s="64">
        <v>28.58</v>
      </c>
      <c r="G65" s="64">
        <v>31.15</v>
      </c>
      <c r="H65" s="64">
        <v>21.78</v>
      </c>
      <c r="I65" s="64">
        <v>0.5</v>
      </c>
      <c r="J65" s="64">
        <v>0.97</v>
      </c>
      <c r="K65" s="64">
        <v>356.5</v>
      </c>
      <c r="L65" s="64">
        <v>38.04</v>
      </c>
      <c r="M65" s="64">
        <v>15.88</v>
      </c>
      <c r="N65" s="64">
        <v>381.3</v>
      </c>
      <c r="O65" s="64">
        <v>0</v>
      </c>
      <c r="P65" s="64">
        <v>0.71</v>
      </c>
      <c r="Q65" s="64">
        <v>4.1399999999999997</v>
      </c>
      <c r="R65" s="198"/>
      <c r="S65" s="198"/>
      <c r="T65" s="198"/>
      <c r="U65" s="198"/>
    </row>
    <row r="66" spans="1:21" s="12" customFormat="1" x14ac:dyDescent="0.25">
      <c r="A66" s="218" t="s">
        <v>2131</v>
      </c>
      <c r="B66" s="64">
        <v>4.54</v>
      </c>
      <c r="C66" s="64">
        <v>48.21</v>
      </c>
      <c r="D66" s="64">
        <v>30.89</v>
      </c>
      <c r="E66" s="64">
        <v>4.8600000000000003</v>
      </c>
      <c r="F66" s="64">
        <v>28.45</v>
      </c>
      <c r="G66" s="64">
        <v>54.02</v>
      </c>
      <c r="H66" s="64">
        <v>19.29</v>
      </c>
      <c r="I66" s="64">
        <v>0.5</v>
      </c>
      <c r="J66" s="64">
        <v>0.45</v>
      </c>
      <c r="K66" s="64">
        <v>5.9</v>
      </c>
      <c r="L66" s="64">
        <v>35.880000000000003</v>
      </c>
      <c r="M66" s="64">
        <v>17.8</v>
      </c>
      <c r="N66" s="64">
        <v>403.8</v>
      </c>
      <c r="O66" s="64">
        <v>0</v>
      </c>
      <c r="P66" s="64">
        <v>0.71</v>
      </c>
      <c r="Q66" s="64">
        <v>4.97</v>
      </c>
      <c r="R66" s="198"/>
      <c r="S66" s="198"/>
      <c r="T66" s="198"/>
      <c r="U66" s="198"/>
    </row>
    <row r="67" spans="1:21" s="12" customFormat="1" x14ac:dyDescent="0.25">
      <c r="A67" s="218" t="s">
        <v>2132</v>
      </c>
      <c r="B67" s="64">
        <v>5.78</v>
      </c>
      <c r="C67" s="64">
        <v>47.12</v>
      </c>
      <c r="D67" s="64">
        <v>31.29</v>
      </c>
      <c r="E67" s="64">
        <v>5.25</v>
      </c>
      <c r="F67" s="64">
        <v>39.14</v>
      </c>
      <c r="G67" s="64">
        <v>54.02</v>
      </c>
      <c r="H67" s="64">
        <v>19.29</v>
      </c>
      <c r="I67" s="64">
        <v>0.5</v>
      </c>
      <c r="J67" s="64">
        <v>0.5</v>
      </c>
      <c r="K67" s="64">
        <v>5.75</v>
      </c>
      <c r="L67" s="64">
        <v>36.47</v>
      </c>
      <c r="M67" s="64">
        <v>17.23</v>
      </c>
      <c r="N67" s="64">
        <v>560.20000000000005</v>
      </c>
      <c r="O67" s="64">
        <v>0</v>
      </c>
      <c r="P67" s="64">
        <v>0.73</v>
      </c>
      <c r="Q67" s="64">
        <v>5.83</v>
      </c>
      <c r="R67" s="198"/>
      <c r="S67" s="198"/>
      <c r="T67" s="198"/>
      <c r="U67" s="198"/>
    </row>
    <row r="68" spans="1:21" s="12" customFormat="1" x14ac:dyDescent="0.25">
      <c r="A68" s="218" t="s">
        <v>2133</v>
      </c>
      <c r="B68" s="64">
        <v>4.3499999999999996</v>
      </c>
      <c r="C68" s="64">
        <v>42.36</v>
      </c>
      <c r="D68" s="64">
        <v>27.51</v>
      </c>
      <c r="E68" s="64">
        <v>7.34</v>
      </c>
      <c r="F68" s="64">
        <v>46.91</v>
      </c>
      <c r="G68" s="64">
        <v>54.02</v>
      </c>
      <c r="H68" s="64">
        <v>19.29</v>
      </c>
      <c r="I68" s="64">
        <v>0.51</v>
      </c>
      <c r="J68" s="64">
        <v>0.44</v>
      </c>
      <c r="K68" s="64">
        <v>19.170000000000002</v>
      </c>
      <c r="L68" s="64">
        <v>36.159999999999997</v>
      </c>
      <c r="M68" s="64">
        <v>16.309999999999999</v>
      </c>
      <c r="N68" s="64">
        <v>462.8</v>
      </c>
      <c r="O68" s="64">
        <v>0</v>
      </c>
      <c r="P68" s="64">
        <v>0.66</v>
      </c>
      <c r="Q68" s="64">
        <v>6.63</v>
      </c>
      <c r="R68" s="198"/>
      <c r="S68" s="198"/>
      <c r="T68" s="198"/>
      <c r="U68" s="198"/>
    </row>
    <row r="69" spans="1:21" s="12" customFormat="1" x14ac:dyDescent="0.25">
      <c r="A69" s="218" t="s">
        <v>2134</v>
      </c>
      <c r="B69" s="64">
        <v>5.33</v>
      </c>
      <c r="C69" s="64">
        <v>43.63</v>
      </c>
      <c r="D69" s="64">
        <v>29</v>
      </c>
      <c r="E69" s="64">
        <v>13.07</v>
      </c>
      <c r="F69" s="64">
        <v>50.1</v>
      </c>
      <c r="G69" s="64">
        <v>53.88</v>
      </c>
      <c r="H69" s="64">
        <v>19.71</v>
      </c>
      <c r="I69" s="64">
        <v>0.5</v>
      </c>
      <c r="J69" s="64">
        <v>0.24</v>
      </c>
      <c r="K69" s="64">
        <v>13.43</v>
      </c>
      <c r="L69" s="64">
        <v>36.58</v>
      </c>
      <c r="M69" s="64">
        <v>16.329999999999998</v>
      </c>
      <c r="N69" s="64">
        <v>419.6</v>
      </c>
      <c r="O69" s="64">
        <v>0</v>
      </c>
      <c r="P69" s="64">
        <v>0.69</v>
      </c>
      <c r="Q69" s="64">
        <v>7.32</v>
      </c>
      <c r="R69" s="198"/>
      <c r="S69" s="198"/>
      <c r="T69" s="198"/>
      <c r="U69" s="198"/>
    </row>
    <row r="70" spans="1:21" s="12" customFormat="1" x14ac:dyDescent="0.25">
      <c r="A70" s="218" t="s">
        <v>2135</v>
      </c>
      <c r="B70" s="64">
        <v>5.67</v>
      </c>
      <c r="C70" s="64">
        <v>45.68</v>
      </c>
      <c r="D70" s="64">
        <v>30.4</v>
      </c>
      <c r="E70" s="64">
        <v>12.62</v>
      </c>
      <c r="F70" s="64">
        <v>30.66</v>
      </c>
      <c r="G70" s="64">
        <v>53.15</v>
      </c>
      <c r="H70" s="64">
        <v>21.3</v>
      </c>
      <c r="I70" s="64">
        <v>0.5</v>
      </c>
      <c r="J70" s="64">
        <v>1.1100000000000001</v>
      </c>
      <c r="K70" s="64">
        <v>125.4</v>
      </c>
      <c r="L70" s="64">
        <v>35.18</v>
      </c>
      <c r="M70" s="64">
        <v>17.739999999999998</v>
      </c>
      <c r="N70" s="64">
        <v>204.4</v>
      </c>
      <c r="O70" s="64">
        <v>0</v>
      </c>
      <c r="P70" s="64">
        <v>0.66</v>
      </c>
      <c r="Q70" s="64">
        <v>8.24</v>
      </c>
      <c r="R70" s="198"/>
      <c r="S70" s="198"/>
      <c r="T70" s="198"/>
      <c r="U70" s="198"/>
    </row>
    <row r="71" spans="1:21" s="12" customFormat="1" x14ac:dyDescent="0.25">
      <c r="A71" s="218" t="s">
        <v>2136</v>
      </c>
      <c r="B71" s="64">
        <v>3.86</v>
      </c>
      <c r="C71" s="64">
        <v>43.14</v>
      </c>
      <c r="D71" s="64">
        <v>27.55</v>
      </c>
      <c r="E71" s="64">
        <v>6.53</v>
      </c>
      <c r="F71" s="64">
        <v>20.59</v>
      </c>
      <c r="G71" s="64">
        <v>53.15</v>
      </c>
      <c r="H71" s="64">
        <v>21.3</v>
      </c>
      <c r="I71" s="64">
        <v>0.53</v>
      </c>
      <c r="J71" s="64">
        <v>1.38</v>
      </c>
      <c r="K71" s="64">
        <v>125.02</v>
      </c>
      <c r="L71" s="64">
        <v>34.24</v>
      </c>
      <c r="M71" s="64">
        <v>18.36</v>
      </c>
      <c r="N71" s="64">
        <v>218.4</v>
      </c>
      <c r="O71" s="64">
        <v>0</v>
      </c>
      <c r="P71" s="64">
        <v>0.65</v>
      </c>
      <c r="Q71" s="64">
        <v>9.99</v>
      </c>
      <c r="R71" s="198"/>
      <c r="S71" s="198"/>
      <c r="T71" s="198"/>
      <c r="U71" s="198"/>
    </row>
    <row r="72" spans="1:21" s="12" customFormat="1" x14ac:dyDescent="0.25">
      <c r="A72" s="218" t="s">
        <v>2137</v>
      </c>
      <c r="B72" s="64">
        <v>5.69</v>
      </c>
      <c r="C72" s="64">
        <v>49.44</v>
      </c>
      <c r="D72" s="64">
        <v>32.5</v>
      </c>
      <c r="E72" s="64">
        <v>5.71</v>
      </c>
      <c r="F72" s="64">
        <v>22.16</v>
      </c>
      <c r="G72" s="64">
        <v>53.15</v>
      </c>
      <c r="H72" s="64">
        <v>21.3</v>
      </c>
      <c r="I72" s="64">
        <v>0.57999999999999996</v>
      </c>
      <c r="J72" s="64">
        <v>0.91</v>
      </c>
      <c r="K72" s="64">
        <v>359.56</v>
      </c>
      <c r="L72" s="64">
        <v>35.11</v>
      </c>
      <c r="M72" s="64">
        <v>16.89</v>
      </c>
      <c r="N72" s="64">
        <v>126.6</v>
      </c>
      <c r="O72" s="64">
        <v>0</v>
      </c>
      <c r="P72" s="64">
        <v>0.68</v>
      </c>
      <c r="Q72" s="64">
        <v>11.51</v>
      </c>
      <c r="R72" s="198"/>
      <c r="S72" s="198"/>
      <c r="T72" s="198"/>
      <c r="U72" s="198"/>
    </row>
    <row r="73" spans="1:21" s="12" customFormat="1" x14ac:dyDescent="0.25">
      <c r="A73" s="218" t="s">
        <v>2138</v>
      </c>
      <c r="B73" s="64">
        <v>7.66</v>
      </c>
      <c r="C73" s="64">
        <v>49.48</v>
      </c>
      <c r="D73" s="64">
        <v>34.1</v>
      </c>
      <c r="E73" s="64">
        <v>9.64</v>
      </c>
      <c r="F73" s="64">
        <v>32.82</v>
      </c>
      <c r="G73" s="64">
        <v>52.13</v>
      </c>
      <c r="H73" s="64">
        <v>21.03</v>
      </c>
      <c r="I73" s="64">
        <v>0.62</v>
      </c>
      <c r="J73" s="64">
        <v>0.56999999999999995</v>
      </c>
      <c r="K73" s="64">
        <v>17.38</v>
      </c>
      <c r="L73" s="64">
        <v>35</v>
      </c>
      <c r="M73" s="64">
        <v>16.78</v>
      </c>
      <c r="N73" s="64">
        <v>132.69999999999999</v>
      </c>
      <c r="O73" s="64">
        <v>0</v>
      </c>
      <c r="P73" s="64">
        <v>0.69</v>
      </c>
      <c r="Q73" s="64">
        <v>12.07</v>
      </c>
      <c r="R73" s="198"/>
      <c r="S73" s="198"/>
      <c r="T73" s="198"/>
      <c r="U73" s="198"/>
    </row>
    <row r="74" spans="1:21" s="12" customFormat="1" x14ac:dyDescent="0.25">
      <c r="A74" s="218" t="s">
        <v>2139</v>
      </c>
      <c r="B74" s="64">
        <v>6.79</v>
      </c>
      <c r="C74" s="64">
        <v>48.03</v>
      </c>
      <c r="D74" s="64">
        <v>32.6</v>
      </c>
      <c r="E74" s="64">
        <v>6.63</v>
      </c>
      <c r="F74" s="64">
        <v>24.39</v>
      </c>
      <c r="G74" s="64">
        <v>46.63</v>
      </c>
      <c r="H74" s="64">
        <v>19.59</v>
      </c>
      <c r="I74" s="64">
        <v>0.59</v>
      </c>
      <c r="J74" s="64">
        <v>0.88</v>
      </c>
      <c r="K74" s="64">
        <v>119.21</v>
      </c>
      <c r="L74" s="64">
        <v>34.21</v>
      </c>
      <c r="M74" s="64">
        <v>17.350000000000001</v>
      </c>
      <c r="N74" s="64">
        <v>115.4</v>
      </c>
      <c r="O74" s="64">
        <v>0</v>
      </c>
      <c r="P74" s="64">
        <v>0.65</v>
      </c>
      <c r="Q74" s="64">
        <v>11.97</v>
      </c>
      <c r="R74" s="198"/>
      <c r="S74" s="198"/>
      <c r="T74" s="198"/>
      <c r="U74" s="198"/>
    </row>
    <row r="75" spans="1:21" s="12" customFormat="1" x14ac:dyDescent="0.25">
      <c r="A75" s="218" t="s">
        <v>2140</v>
      </c>
      <c r="B75" s="64">
        <v>5.67</v>
      </c>
      <c r="C75" s="64">
        <v>48.12</v>
      </c>
      <c r="D75" s="64">
        <v>31.75</v>
      </c>
      <c r="E75" s="64">
        <v>4.99</v>
      </c>
      <c r="F75" s="64">
        <v>26.55</v>
      </c>
      <c r="G75" s="64">
        <v>46.63</v>
      </c>
      <c r="H75" s="64">
        <v>19.59</v>
      </c>
      <c r="I75" s="64">
        <v>0.57999999999999996</v>
      </c>
      <c r="J75" s="64">
        <v>0.68</v>
      </c>
      <c r="K75" s="64">
        <v>106.14</v>
      </c>
      <c r="L75" s="64">
        <v>33.869999999999997</v>
      </c>
      <c r="M75" s="64">
        <v>17.309999999999999</v>
      </c>
      <c r="N75" s="64">
        <v>89.6</v>
      </c>
      <c r="O75" s="64">
        <v>0</v>
      </c>
      <c r="P75" s="64">
        <v>0.69</v>
      </c>
      <c r="Q75" s="64">
        <v>12.87</v>
      </c>
      <c r="R75" s="198"/>
      <c r="S75" s="198"/>
      <c r="T75" s="198"/>
      <c r="U75" s="198"/>
    </row>
    <row r="76" spans="1:21" s="12" customFormat="1" x14ac:dyDescent="0.25">
      <c r="A76" s="218" t="s">
        <v>2141</v>
      </c>
      <c r="B76" s="64">
        <v>5.36</v>
      </c>
      <c r="C76" s="64">
        <v>50.6</v>
      </c>
      <c r="D76" s="64">
        <v>32.869999999999997</v>
      </c>
      <c r="E76" s="64">
        <v>5.56</v>
      </c>
      <c r="F76" s="64">
        <v>21.62</v>
      </c>
      <c r="G76" s="64">
        <v>46.63</v>
      </c>
      <c r="H76" s="64">
        <v>19.59</v>
      </c>
      <c r="I76" s="64">
        <v>0.56999999999999995</v>
      </c>
      <c r="J76" s="64">
        <v>0.69</v>
      </c>
      <c r="K76" s="64">
        <v>103.55</v>
      </c>
      <c r="L76" s="64">
        <v>33.799999999999997</v>
      </c>
      <c r="M76" s="64">
        <v>17.12</v>
      </c>
      <c r="N76" s="64">
        <v>74.900000000000006</v>
      </c>
      <c r="O76" s="64">
        <v>0</v>
      </c>
      <c r="P76" s="64">
        <v>0.69</v>
      </c>
      <c r="Q76" s="64">
        <v>13.06</v>
      </c>
      <c r="R76" s="198"/>
      <c r="S76" s="198"/>
      <c r="T76" s="198"/>
      <c r="U76" s="198"/>
    </row>
    <row r="77" spans="1:21" s="12" customFormat="1" x14ac:dyDescent="0.25">
      <c r="A77" s="218" t="s">
        <v>2142</v>
      </c>
      <c r="B77" s="64">
        <v>11.6</v>
      </c>
      <c r="C77" s="64">
        <v>55.18</v>
      </c>
      <c r="D77" s="64">
        <v>40.4</v>
      </c>
      <c r="E77" s="64">
        <v>8.36</v>
      </c>
      <c r="F77" s="64">
        <v>27.88</v>
      </c>
      <c r="G77" s="64">
        <v>46.92</v>
      </c>
      <c r="H77" s="64">
        <v>19.13</v>
      </c>
      <c r="I77" s="64">
        <v>0.59</v>
      </c>
      <c r="J77" s="64">
        <v>0.6</v>
      </c>
      <c r="K77" s="64">
        <v>108.02</v>
      </c>
      <c r="L77" s="64">
        <v>33.299999999999997</v>
      </c>
      <c r="M77" s="64">
        <v>18.12</v>
      </c>
      <c r="N77" s="64">
        <v>57.8</v>
      </c>
      <c r="O77" s="64">
        <v>0</v>
      </c>
      <c r="P77" s="64">
        <v>0.74</v>
      </c>
      <c r="Q77" s="64">
        <v>13.12</v>
      </c>
      <c r="R77" s="198"/>
      <c r="S77" s="198"/>
      <c r="T77" s="198"/>
      <c r="U77" s="198"/>
    </row>
    <row r="78" spans="1:21" s="12" customFormat="1" x14ac:dyDescent="0.25">
      <c r="A78" s="218" t="s">
        <v>2143</v>
      </c>
      <c r="B78" s="64">
        <v>8.3699999999999992</v>
      </c>
      <c r="C78" s="64">
        <v>60.76</v>
      </c>
      <c r="D78" s="64">
        <v>40.89</v>
      </c>
      <c r="E78" s="64">
        <v>14.35</v>
      </c>
      <c r="F78" s="64">
        <v>25.82</v>
      </c>
      <c r="G78" s="64">
        <v>48.54</v>
      </c>
      <c r="H78" s="64">
        <v>16.72</v>
      </c>
      <c r="I78" s="64">
        <v>0.59</v>
      </c>
      <c r="J78" s="64">
        <v>0.53</v>
      </c>
      <c r="K78" s="64">
        <v>111.88</v>
      </c>
      <c r="L78" s="64">
        <v>32.950000000000003</v>
      </c>
      <c r="M78" s="64">
        <v>18.809999999999999</v>
      </c>
      <c r="N78" s="64">
        <v>45.3</v>
      </c>
      <c r="O78" s="64">
        <v>0</v>
      </c>
      <c r="P78" s="64">
        <v>0.69</v>
      </c>
      <c r="Q78" s="64">
        <v>13.89</v>
      </c>
      <c r="R78" s="198"/>
      <c r="S78" s="198"/>
      <c r="T78" s="198"/>
      <c r="U78" s="198"/>
    </row>
    <row r="79" spans="1:21" s="12" customFormat="1" x14ac:dyDescent="0.25">
      <c r="A79" s="218" t="s">
        <v>2144</v>
      </c>
      <c r="B79" s="64">
        <v>13.6</v>
      </c>
      <c r="C79" s="64">
        <v>64.75</v>
      </c>
      <c r="D79" s="64">
        <v>47.29</v>
      </c>
      <c r="E79" s="64">
        <v>19.27</v>
      </c>
      <c r="F79" s="64">
        <v>21.34</v>
      </c>
      <c r="G79" s="64">
        <v>48.54</v>
      </c>
      <c r="H79" s="64">
        <v>16.72</v>
      </c>
      <c r="I79" s="64">
        <v>0.59</v>
      </c>
      <c r="J79" s="64">
        <v>0.55000000000000004</v>
      </c>
      <c r="K79" s="64">
        <v>108.06</v>
      </c>
      <c r="L79" s="64">
        <v>32.729999999999997</v>
      </c>
      <c r="M79" s="64">
        <v>18.23</v>
      </c>
      <c r="N79" s="64">
        <v>30.6</v>
      </c>
      <c r="O79" s="64">
        <v>0</v>
      </c>
      <c r="P79" s="64">
        <v>0.76</v>
      </c>
      <c r="Q79" s="64">
        <v>14.94</v>
      </c>
      <c r="R79" s="198"/>
      <c r="S79" s="198"/>
      <c r="T79" s="198"/>
      <c r="U79" s="198"/>
    </row>
    <row r="80" spans="1:21" s="12" customFormat="1" x14ac:dyDescent="0.25">
      <c r="A80" s="218" t="s">
        <v>2145</v>
      </c>
      <c r="B80" s="64">
        <v>18.2</v>
      </c>
      <c r="C80" s="64">
        <v>85.04</v>
      </c>
      <c r="D80" s="64">
        <v>62.17</v>
      </c>
      <c r="E80" s="64">
        <v>30.8</v>
      </c>
      <c r="F80" s="64">
        <v>20.89</v>
      </c>
      <c r="G80" s="64">
        <v>48.54</v>
      </c>
      <c r="H80" s="64">
        <v>16.72</v>
      </c>
      <c r="I80" s="64">
        <v>0.62</v>
      </c>
      <c r="J80" s="64">
        <v>0.4</v>
      </c>
      <c r="K80" s="64">
        <v>104.17</v>
      </c>
      <c r="L80" s="64">
        <v>32.369999999999997</v>
      </c>
      <c r="M80" s="64">
        <v>18.62</v>
      </c>
      <c r="N80" s="64">
        <v>18.3</v>
      </c>
      <c r="O80" s="64">
        <v>0</v>
      </c>
      <c r="P80" s="64">
        <v>0.89</v>
      </c>
      <c r="Q80" s="64">
        <v>15.22</v>
      </c>
      <c r="R80" s="198"/>
      <c r="S80" s="198"/>
      <c r="T80" s="198"/>
      <c r="U80" s="198"/>
    </row>
    <row r="81" spans="1:26" s="12" customFormat="1" x14ac:dyDescent="0.25">
      <c r="A81" s="218" t="s">
        <v>2146</v>
      </c>
      <c r="B81" s="64">
        <v>5.68</v>
      </c>
      <c r="C81" s="64">
        <v>61.5</v>
      </c>
      <c r="D81" s="64">
        <v>39.14</v>
      </c>
      <c r="E81" s="64">
        <v>16.32</v>
      </c>
      <c r="F81" s="64">
        <v>33.43</v>
      </c>
      <c r="G81" s="64">
        <v>48.3</v>
      </c>
      <c r="H81" s="64">
        <v>16.579999999999998</v>
      </c>
      <c r="I81" s="64">
        <v>0.59</v>
      </c>
      <c r="J81" s="64">
        <v>0.55000000000000004</v>
      </c>
      <c r="K81" s="64">
        <v>116.96</v>
      </c>
      <c r="L81" s="64">
        <v>31.9</v>
      </c>
      <c r="M81" s="64">
        <v>19.260000000000002</v>
      </c>
      <c r="N81" s="64">
        <v>8.3000000000000007</v>
      </c>
      <c r="O81" s="64">
        <v>0</v>
      </c>
      <c r="P81" s="64">
        <v>0.7</v>
      </c>
      <c r="Q81" s="64">
        <v>15.38</v>
      </c>
      <c r="R81" s="198"/>
      <c r="S81" s="198"/>
      <c r="T81" s="198"/>
      <c r="U81" s="198"/>
    </row>
    <row r="82" spans="1:26" s="12" customFormat="1" x14ac:dyDescent="0.25">
      <c r="A82" s="218" t="s">
        <v>2147</v>
      </c>
      <c r="B82" s="64">
        <v>10.81</v>
      </c>
      <c r="C82" s="64">
        <v>73.900000000000006</v>
      </c>
      <c r="D82" s="64">
        <v>50.1</v>
      </c>
      <c r="E82" s="64">
        <v>10.69</v>
      </c>
      <c r="F82" s="64">
        <v>28.02</v>
      </c>
      <c r="G82" s="64">
        <v>47.04</v>
      </c>
      <c r="H82" s="64">
        <v>16</v>
      </c>
      <c r="I82" s="64">
        <v>0.57999999999999996</v>
      </c>
      <c r="J82" s="64">
        <v>0.35</v>
      </c>
      <c r="K82" s="64">
        <v>94.66</v>
      </c>
      <c r="L82" s="64">
        <v>31.52</v>
      </c>
      <c r="M82" s="64">
        <v>19.62</v>
      </c>
      <c r="N82" s="64">
        <v>5.4</v>
      </c>
      <c r="O82" s="64">
        <v>0</v>
      </c>
      <c r="P82" s="64">
        <v>1.1499999999999999</v>
      </c>
      <c r="Q82" s="64">
        <v>15.89</v>
      </c>
      <c r="R82" s="198"/>
      <c r="S82" s="198"/>
      <c r="T82" s="198"/>
      <c r="U82" s="198"/>
    </row>
    <row r="83" spans="1:26" s="12" customFormat="1" x14ac:dyDescent="0.25">
      <c r="A83" s="218" t="s">
        <v>2148</v>
      </c>
      <c r="B83" s="64">
        <v>7.67</v>
      </c>
      <c r="C83" s="64">
        <v>65.39</v>
      </c>
      <c r="D83" s="64">
        <v>42.88</v>
      </c>
      <c r="E83" s="64">
        <v>6.84</v>
      </c>
      <c r="F83" s="64">
        <v>15.71</v>
      </c>
      <c r="G83" s="64">
        <v>47.04</v>
      </c>
      <c r="H83" s="64">
        <v>16</v>
      </c>
      <c r="I83" s="64">
        <v>0.62</v>
      </c>
      <c r="J83" s="64">
        <v>0.83</v>
      </c>
      <c r="K83" s="64">
        <v>109.3</v>
      </c>
      <c r="L83" s="64">
        <v>31.4</v>
      </c>
      <c r="M83" s="64">
        <v>20.46</v>
      </c>
      <c r="N83" s="64">
        <v>3.9</v>
      </c>
      <c r="O83" s="64">
        <v>0</v>
      </c>
      <c r="P83" s="64">
        <v>0.94</v>
      </c>
      <c r="Q83" s="64">
        <v>16.23</v>
      </c>
      <c r="R83" s="198"/>
      <c r="S83" s="198"/>
      <c r="T83" s="198"/>
      <c r="U83" s="198"/>
    </row>
    <row r="84" spans="1:26" s="12" customFormat="1" x14ac:dyDescent="0.25">
      <c r="A84" s="218" t="s">
        <v>2149</v>
      </c>
      <c r="B84" s="64">
        <v>5.85</v>
      </c>
      <c r="C84" s="64">
        <v>54.54</v>
      </c>
      <c r="D84" s="64">
        <v>35.44</v>
      </c>
      <c r="E84" s="64">
        <v>6.32</v>
      </c>
      <c r="F84" s="64">
        <v>17.91</v>
      </c>
      <c r="G84" s="64">
        <v>47.04</v>
      </c>
      <c r="H84" s="64">
        <v>16</v>
      </c>
      <c r="I84" s="64">
        <v>0.67</v>
      </c>
      <c r="J84" s="64">
        <v>0.84</v>
      </c>
      <c r="K84" s="64">
        <v>119.77</v>
      </c>
      <c r="L84" s="64">
        <v>31.24</v>
      </c>
      <c r="M84" s="64">
        <v>21.77</v>
      </c>
      <c r="N84" s="64">
        <v>4.4000000000000004</v>
      </c>
      <c r="O84" s="64">
        <v>0</v>
      </c>
      <c r="P84" s="64">
        <v>0.83</v>
      </c>
      <c r="Q84" s="64">
        <v>16.79</v>
      </c>
      <c r="R84" s="198"/>
      <c r="S84" s="198"/>
      <c r="T84" s="198"/>
      <c r="U84" s="198"/>
    </row>
    <row r="85" spans="1:26" s="12" customFormat="1" x14ac:dyDescent="0.25">
      <c r="A85" s="218" t="s">
        <v>2150</v>
      </c>
      <c r="B85" s="64">
        <v>9.4600000000000009</v>
      </c>
      <c r="C85" s="64">
        <v>58.63</v>
      </c>
      <c r="D85" s="64">
        <v>40.590000000000003</v>
      </c>
      <c r="E85" s="64">
        <v>13.39</v>
      </c>
      <c r="F85" s="64">
        <v>19.96</v>
      </c>
      <c r="G85" s="64">
        <v>46.11</v>
      </c>
      <c r="H85" s="64">
        <v>16.29</v>
      </c>
      <c r="I85" s="64">
        <v>0.72</v>
      </c>
      <c r="J85" s="64">
        <v>0.49</v>
      </c>
      <c r="K85" s="64">
        <v>113.24</v>
      </c>
      <c r="L85" s="64">
        <v>30.84</v>
      </c>
      <c r="M85" s="64">
        <v>22.35</v>
      </c>
      <c r="N85" s="64">
        <v>4.5999999999999996</v>
      </c>
      <c r="O85" s="64">
        <v>0</v>
      </c>
      <c r="P85" s="64">
        <v>0.91</v>
      </c>
      <c r="Q85" s="64">
        <v>16.45</v>
      </c>
      <c r="R85" s="198"/>
      <c r="S85" s="198"/>
      <c r="T85" s="198"/>
      <c r="U85" s="198"/>
    </row>
    <row r="86" spans="1:26" s="12" customFormat="1" x14ac:dyDescent="0.25">
      <c r="A86" s="218" t="s">
        <v>2151</v>
      </c>
      <c r="B86" s="64">
        <v>11.86</v>
      </c>
      <c r="C86" s="64">
        <v>58.89</v>
      </c>
      <c r="D86" s="64">
        <v>42.66</v>
      </c>
      <c r="E86" s="64">
        <v>4.79</v>
      </c>
      <c r="F86" s="64">
        <v>17.079999999999998</v>
      </c>
      <c r="G86" s="64">
        <v>40.57</v>
      </c>
      <c r="H86" s="64">
        <v>17.47</v>
      </c>
      <c r="I86" s="64">
        <v>0.65</v>
      </c>
      <c r="J86" s="64">
        <v>0.26</v>
      </c>
      <c r="K86" s="64">
        <v>66.64</v>
      </c>
      <c r="L86" s="64">
        <v>30.57</v>
      </c>
      <c r="M86" s="64">
        <v>22.87</v>
      </c>
      <c r="N86" s="64">
        <v>4.5</v>
      </c>
      <c r="O86" s="64">
        <v>0</v>
      </c>
      <c r="P86" s="64">
        <v>1.03</v>
      </c>
      <c r="Q86" s="64">
        <v>15.85</v>
      </c>
      <c r="R86" s="198"/>
      <c r="S86" s="198"/>
      <c r="T86" s="198"/>
      <c r="U86" s="198"/>
    </row>
    <row r="87" spans="1:26" s="12" customFormat="1" x14ac:dyDescent="0.25">
      <c r="A87" s="218" t="s">
        <v>2152</v>
      </c>
      <c r="B87" s="64">
        <v>8.7899999999999991</v>
      </c>
      <c r="C87" s="64">
        <v>56.45</v>
      </c>
      <c r="D87" s="64">
        <v>38.85</v>
      </c>
      <c r="E87" s="64">
        <v>3.06</v>
      </c>
      <c r="F87" s="64">
        <v>11.79</v>
      </c>
      <c r="G87" s="64">
        <v>40.57</v>
      </c>
      <c r="H87" s="64">
        <v>17.47</v>
      </c>
      <c r="I87" s="64">
        <v>0.66</v>
      </c>
      <c r="J87" s="64">
        <v>1.08</v>
      </c>
      <c r="K87" s="64">
        <v>5.4</v>
      </c>
      <c r="L87" s="64">
        <v>30.32</v>
      </c>
      <c r="M87" s="64">
        <v>23.81</v>
      </c>
      <c r="N87" s="64">
        <v>4.3</v>
      </c>
      <c r="O87" s="64">
        <v>0</v>
      </c>
      <c r="P87" s="64">
        <v>1</v>
      </c>
      <c r="Q87" s="64">
        <v>15.78</v>
      </c>
      <c r="R87" s="198"/>
      <c r="S87" s="198"/>
      <c r="T87" s="198"/>
      <c r="U87" s="198"/>
    </row>
    <row r="88" spans="1:26" s="12" customFormat="1" x14ac:dyDescent="0.25">
      <c r="A88" s="218" t="s">
        <v>2153</v>
      </c>
      <c r="B88" s="64">
        <v>10.029999999999999</v>
      </c>
      <c r="C88" s="64">
        <v>59.6</v>
      </c>
      <c r="D88" s="64">
        <v>41.58</v>
      </c>
      <c r="E88" s="64">
        <v>5.97</v>
      </c>
      <c r="F88" s="64">
        <v>11.27</v>
      </c>
      <c r="G88" s="64">
        <v>40.57</v>
      </c>
      <c r="H88" s="64">
        <v>17.47</v>
      </c>
      <c r="I88" s="64">
        <v>0.69</v>
      </c>
      <c r="J88" s="64">
        <v>0.79</v>
      </c>
      <c r="K88" s="64">
        <v>4.1500000000000004</v>
      </c>
      <c r="L88" s="64">
        <v>30.17</v>
      </c>
      <c r="M88" s="64">
        <v>23.83</v>
      </c>
      <c r="N88" s="64">
        <v>4.5999999999999996</v>
      </c>
      <c r="O88" s="64">
        <v>0</v>
      </c>
      <c r="P88" s="64">
        <v>1.08</v>
      </c>
      <c r="Q88" s="64">
        <v>15.38</v>
      </c>
      <c r="R88" s="198"/>
      <c r="S88" s="198"/>
      <c r="T88" s="198"/>
      <c r="U88" s="198"/>
    </row>
    <row r="89" spans="1:26" s="12" customFormat="1" x14ac:dyDescent="0.25">
      <c r="A89" s="218" t="s">
        <v>2154</v>
      </c>
      <c r="B89" s="64">
        <v>10.71</v>
      </c>
      <c r="C89" s="64">
        <v>55.31</v>
      </c>
      <c r="D89" s="64">
        <v>39.770000000000003</v>
      </c>
      <c r="E89" s="64">
        <v>8.6300000000000008</v>
      </c>
      <c r="F89" s="64">
        <v>10.92</v>
      </c>
      <c r="G89" s="64">
        <v>41.84</v>
      </c>
      <c r="H89" s="64">
        <v>17.829999999999998</v>
      </c>
      <c r="I89" s="64">
        <v>0.69</v>
      </c>
      <c r="J89" s="64">
        <v>1.06</v>
      </c>
      <c r="K89" s="64">
        <v>359.32</v>
      </c>
      <c r="L89" s="64">
        <v>30.02</v>
      </c>
      <c r="M89" s="64">
        <v>24.07</v>
      </c>
      <c r="N89" s="64">
        <v>4.5</v>
      </c>
      <c r="O89" s="64">
        <v>0</v>
      </c>
      <c r="P89" s="64">
        <v>1.02</v>
      </c>
      <c r="Q89" s="64">
        <v>15.25</v>
      </c>
      <c r="R89" s="198"/>
      <c r="S89" s="198"/>
      <c r="T89" s="198"/>
      <c r="U89" s="198"/>
    </row>
    <row r="90" spans="1:26" s="12" customFormat="1" x14ac:dyDescent="0.25">
      <c r="A90" s="218" t="s">
        <v>2155</v>
      </c>
      <c r="B90" s="64">
        <v>9.83</v>
      </c>
      <c r="C90" s="64">
        <v>55.67</v>
      </c>
      <c r="D90" s="64">
        <v>39.26</v>
      </c>
      <c r="E90" s="64">
        <v>9.85</v>
      </c>
      <c r="F90" s="64">
        <v>8.7899999999999991</v>
      </c>
      <c r="G90" s="64">
        <v>48.72</v>
      </c>
      <c r="H90" s="64">
        <v>19.73</v>
      </c>
      <c r="I90" s="64">
        <v>0.71</v>
      </c>
      <c r="J90" s="64">
        <v>1.32</v>
      </c>
      <c r="K90" s="64">
        <v>358.29</v>
      </c>
      <c r="L90" s="64">
        <v>29.49</v>
      </c>
      <c r="M90" s="64">
        <v>26.68</v>
      </c>
      <c r="N90" s="64">
        <v>5</v>
      </c>
      <c r="O90" s="64">
        <v>0</v>
      </c>
      <c r="P90" s="64">
        <v>1.07</v>
      </c>
      <c r="Q90" s="64">
        <v>14.97</v>
      </c>
      <c r="R90" s="198"/>
      <c r="S90" s="198"/>
      <c r="T90" s="198"/>
      <c r="U90" s="198"/>
    </row>
    <row r="91" spans="1:26" s="12" customFormat="1" x14ac:dyDescent="0.25">
      <c r="A91" s="218" t="s">
        <v>2156</v>
      </c>
      <c r="B91" s="64">
        <v>18.04</v>
      </c>
      <c r="C91" s="64">
        <v>58.62</v>
      </c>
      <c r="D91" s="64">
        <v>47.47</v>
      </c>
      <c r="E91" s="64">
        <v>9.5500000000000007</v>
      </c>
      <c r="F91" s="64">
        <v>7.48</v>
      </c>
      <c r="G91" s="64">
        <v>48.72</v>
      </c>
      <c r="H91" s="64">
        <v>19.73</v>
      </c>
      <c r="I91" s="64">
        <v>0.68</v>
      </c>
      <c r="J91" s="64">
        <v>1.67</v>
      </c>
      <c r="K91" s="64">
        <v>346.67</v>
      </c>
      <c r="L91" s="64">
        <v>28.99</v>
      </c>
      <c r="M91" s="64">
        <v>28.15</v>
      </c>
      <c r="N91" s="64">
        <v>5.2</v>
      </c>
      <c r="O91" s="64">
        <v>0</v>
      </c>
      <c r="P91" s="64">
        <v>1.08</v>
      </c>
      <c r="Q91" s="64">
        <v>15.76</v>
      </c>
      <c r="R91" s="198"/>
      <c r="S91" s="198"/>
      <c r="T91" s="198"/>
      <c r="U91" s="198"/>
    </row>
    <row r="92" spans="1:26" s="12" customFormat="1" x14ac:dyDescent="0.25">
      <c r="A92" s="218" t="s">
        <v>2157</v>
      </c>
      <c r="B92" s="64">
        <v>10.95</v>
      </c>
      <c r="C92" s="64">
        <v>58.49</v>
      </c>
      <c r="D92" s="64">
        <v>41.7</v>
      </c>
      <c r="E92" s="64">
        <v>5.17</v>
      </c>
      <c r="F92" s="64">
        <v>6.65</v>
      </c>
      <c r="G92" s="64">
        <v>48.72</v>
      </c>
      <c r="H92" s="64">
        <v>19.73</v>
      </c>
      <c r="I92" s="64">
        <v>0.7</v>
      </c>
      <c r="J92" s="64">
        <v>1.86</v>
      </c>
      <c r="K92" s="64">
        <v>342.28</v>
      </c>
      <c r="L92" s="64">
        <v>28.53</v>
      </c>
      <c r="M92" s="64">
        <v>29.14</v>
      </c>
      <c r="N92" s="64">
        <v>5.3</v>
      </c>
      <c r="O92" s="64">
        <v>0</v>
      </c>
      <c r="P92" s="64">
        <v>1.03</v>
      </c>
      <c r="Q92" s="64">
        <v>16.54</v>
      </c>
      <c r="R92" s="198"/>
      <c r="S92" s="198"/>
      <c r="T92" s="198"/>
      <c r="U92" s="198"/>
    </row>
    <row r="93" spans="1:26" s="12" customFormat="1" x14ac:dyDescent="0.25">
      <c r="A93" s="218" t="s">
        <v>2158</v>
      </c>
      <c r="B93" s="64">
        <v>9.4</v>
      </c>
      <c r="C93" s="64">
        <v>57.62</v>
      </c>
      <c r="D93" s="64">
        <v>39.99</v>
      </c>
      <c r="E93" s="64">
        <v>2.79</v>
      </c>
      <c r="F93" s="64">
        <v>4.83</v>
      </c>
      <c r="G93" s="64">
        <v>52.67</v>
      </c>
      <c r="H93" s="64">
        <v>20.36</v>
      </c>
      <c r="I93" s="64">
        <v>0.67</v>
      </c>
      <c r="J93" s="64">
        <v>1.69</v>
      </c>
      <c r="K93" s="64">
        <v>334.93</v>
      </c>
      <c r="L93" s="64">
        <v>27.97</v>
      </c>
      <c r="M93" s="64">
        <v>31.54</v>
      </c>
      <c r="N93" s="64">
        <v>5.9</v>
      </c>
      <c r="O93" s="64">
        <v>0</v>
      </c>
      <c r="P93" s="64">
        <v>1.03</v>
      </c>
      <c r="Q93" s="64">
        <v>15.45</v>
      </c>
      <c r="R93" s="198"/>
      <c r="S93" s="198"/>
      <c r="T93" s="198"/>
      <c r="U93" s="198"/>
    </row>
    <row r="94" spans="1:26" s="12" customFormat="1" x14ac:dyDescent="0.25">
      <c r="A94" s="218" t="s">
        <v>2159</v>
      </c>
      <c r="B94" s="64">
        <v>7.46</v>
      </c>
      <c r="C94" s="64">
        <v>56.01</v>
      </c>
      <c r="D94" s="64">
        <v>37.53</v>
      </c>
      <c r="E94" s="64">
        <v>1.77</v>
      </c>
      <c r="F94" s="64">
        <v>5.01</v>
      </c>
      <c r="G94" s="64">
        <v>74.09</v>
      </c>
      <c r="H94" s="64">
        <v>22.92</v>
      </c>
      <c r="I94" s="64">
        <v>0.68</v>
      </c>
      <c r="J94" s="64">
        <v>1.38</v>
      </c>
      <c r="K94" s="64">
        <v>340.11</v>
      </c>
      <c r="L94" s="64">
        <v>27.41</v>
      </c>
      <c r="M94" s="64">
        <v>33.549999999999997</v>
      </c>
      <c r="N94" s="64">
        <v>5.7</v>
      </c>
      <c r="O94" s="64">
        <v>0</v>
      </c>
      <c r="P94" s="64">
        <v>0.95</v>
      </c>
      <c r="Q94" s="64">
        <v>13.1</v>
      </c>
      <c r="R94" s="198"/>
      <c r="S94" s="198"/>
      <c r="T94" s="198"/>
      <c r="U94" s="198"/>
    </row>
    <row r="95" spans="1:26" s="12" customFormat="1" x14ac:dyDescent="0.25">
      <c r="A95" s="218" t="s">
        <v>2160</v>
      </c>
      <c r="B95" s="64">
        <v>5.76</v>
      </c>
      <c r="C95" s="64">
        <v>55.49</v>
      </c>
      <c r="D95" s="64">
        <v>35.89</v>
      </c>
      <c r="E95" s="64">
        <v>1.6</v>
      </c>
      <c r="F95" s="64">
        <v>5.21</v>
      </c>
      <c r="G95" s="64">
        <v>74.09</v>
      </c>
      <c r="H95" s="64">
        <v>22.92</v>
      </c>
      <c r="I95" s="64">
        <v>0.68</v>
      </c>
      <c r="J95" s="64">
        <v>0.33</v>
      </c>
      <c r="K95" s="64">
        <v>359.56</v>
      </c>
      <c r="L95" s="64">
        <v>26.69</v>
      </c>
      <c r="M95" s="64">
        <v>37.03</v>
      </c>
      <c r="N95" s="64">
        <v>4.7</v>
      </c>
      <c r="O95" s="64">
        <v>0</v>
      </c>
      <c r="P95" s="64">
        <v>0.89</v>
      </c>
      <c r="Q95" s="64">
        <v>11.15</v>
      </c>
      <c r="R95" s="198"/>
      <c r="S95" s="198"/>
      <c r="T95" s="198"/>
      <c r="U95" s="198"/>
    </row>
    <row r="96" spans="1:26" s="12" customFormat="1" x14ac:dyDescent="0.25">
      <c r="A96" s="218" t="s">
        <v>2161</v>
      </c>
      <c r="B96" s="64">
        <v>3.72</v>
      </c>
      <c r="C96" s="64">
        <v>54.31</v>
      </c>
      <c r="D96" s="64">
        <v>33.6</v>
      </c>
      <c r="E96" s="64">
        <v>1.82</v>
      </c>
      <c r="F96" s="64">
        <v>7.04</v>
      </c>
      <c r="G96" s="64">
        <v>74.09</v>
      </c>
      <c r="H96" s="64">
        <v>22.92</v>
      </c>
      <c r="I96" s="64">
        <v>0.65</v>
      </c>
      <c r="J96" s="64">
        <v>0.5</v>
      </c>
      <c r="K96" s="64">
        <v>317.77999999999997</v>
      </c>
      <c r="L96" s="64">
        <v>26.58</v>
      </c>
      <c r="M96" s="64">
        <v>38.17</v>
      </c>
      <c r="N96" s="64">
        <v>4.4000000000000004</v>
      </c>
      <c r="O96" s="64">
        <v>0</v>
      </c>
      <c r="P96" s="64">
        <v>0.81</v>
      </c>
      <c r="Q96" s="64">
        <v>8.76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2162</v>
      </c>
      <c r="B97" s="64">
        <v>2.2599999999999998</v>
      </c>
      <c r="C97" s="64">
        <v>50.06</v>
      </c>
      <c r="D97" s="64">
        <v>30.09</v>
      </c>
      <c r="E97" s="64">
        <v>1.82</v>
      </c>
      <c r="F97" s="64">
        <v>11.07</v>
      </c>
      <c r="G97" s="64">
        <v>73.180000000000007</v>
      </c>
      <c r="H97" s="64">
        <v>22.8</v>
      </c>
      <c r="I97" s="64">
        <v>0.63</v>
      </c>
      <c r="J97" s="64">
        <v>0.65</v>
      </c>
      <c r="K97" s="64">
        <v>308.58</v>
      </c>
      <c r="L97" s="64">
        <v>25.83</v>
      </c>
      <c r="M97" s="64">
        <v>42.44</v>
      </c>
      <c r="N97" s="64">
        <v>4.4000000000000004</v>
      </c>
      <c r="O97" s="64">
        <v>0</v>
      </c>
      <c r="P97" s="64">
        <v>0.74</v>
      </c>
      <c r="Q97" s="64">
        <v>6.39</v>
      </c>
      <c r="R97" s="198"/>
      <c r="S97" s="198"/>
      <c r="T97" s="198"/>
      <c r="U97" s="198"/>
    </row>
    <row r="98" spans="1:33" s="12" customFormat="1" x14ac:dyDescent="0.25">
      <c r="A98" s="218" t="s">
        <v>2163</v>
      </c>
      <c r="B98" s="64">
        <v>1.8</v>
      </c>
      <c r="C98" s="64">
        <v>46.11</v>
      </c>
      <c r="D98" s="64">
        <v>27.54</v>
      </c>
      <c r="E98" s="64">
        <v>2</v>
      </c>
      <c r="F98" s="64">
        <v>12.35</v>
      </c>
      <c r="G98" s="64">
        <v>68.22</v>
      </c>
      <c r="H98" s="64">
        <v>22.21</v>
      </c>
      <c r="I98" s="64">
        <v>0.6</v>
      </c>
      <c r="J98" s="64">
        <v>0.21</v>
      </c>
      <c r="K98" s="64">
        <v>292.14999999999998</v>
      </c>
      <c r="L98" s="64">
        <v>25.47</v>
      </c>
      <c r="M98" s="64">
        <v>42.57</v>
      </c>
      <c r="N98" s="64">
        <v>4.5999999999999996</v>
      </c>
      <c r="O98" s="64">
        <v>0</v>
      </c>
      <c r="P98" s="64">
        <v>0.7</v>
      </c>
      <c r="Q98" s="64">
        <v>4.8</v>
      </c>
      <c r="R98" s="198"/>
      <c r="S98" s="198"/>
      <c r="T98" s="198"/>
      <c r="U98" s="198"/>
    </row>
    <row r="99" spans="1:33" s="12" customFormat="1" x14ac:dyDescent="0.25">
      <c r="A99" s="218" t="s">
        <v>2164</v>
      </c>
      <c r="B99" s="64">
        <v>2.0499999999999998</v>
      </c>
      <c r="C99" s="64">
        <v>42.49</v>
      </c>
      <c r="D99" s="64">
        <v>25.74</v>
      </c>
      <c r="E99" s="64">
        <v>2.17</v>
      </c>
      <c r="F99" s="64">
        <v>16.97</v>
      </c>
      <c r="G99" s="64">
        <v>68.22</v>
      </c>
      <c r="H99" s="64">
        <v>22.21</v>
      </c>
      <c r="I99" s="64">
        <v>0.57999999999999996</v>
      </c>
      <c r="J99" s="64">
        <v>0.1</v>
      </c>
      <c r="K99" s="64">
        <v>307.36</v>
      </c>
      <c r="L99" s="64">
        <v>25.19</v>
      </c>
      <c r="M99" s="64">
        <v>45.72</v>
      </c>
      <c r="N99" s="64">
        <v>4.9000000000000004</v>
      </c>
      <c r="O99" s="64">
        <v>0</v>
      </c>
      <c r="P99" s="64">
        <v>0.65</v>
      </c>
      <c r="Q99" s="64">
        <v>4.1399999999999997</v>
      </c>
      <c r="R99" s="198"/>
      <c r="S99" s="198"/>
      <c r="T99" s="198"/>
      <c r="U99" s="198"/>
    </row>
    <row r="100" spans="1:33" s="12" customFormat="1" x14ac:dyDescent="0.25">
      <c r="A100" s="218" t="s">
        <v>2165</v>
      </c>
      <c r="B100" s="64">
        <v>6.73</v>
      </c>
      <c r="C100" s="64">
        <v>44.41</v>
      </c>
      <c r="D100" s="64">
        <v>30.55</v>
      </c>
      <c r="E100" s="64">
        <v>1.86</v>
      </c>
      <c r="F100" s="64">
        <v>10.83</v>
      </c>
      <c r="G100" s="64">
        <v>68.22</v>
      </c>
      <c r="H100" s="64">
        <v>22.21</v>
      </c>
      <c r="I100" s="64">
        <v>0.54</v>
      </c>
      <c r="J100" s="64">
        <v>0.7</v>
      </c>
      <c r="K100" s="64">
        <v>344.5</v>
      </c>
      <c r="L100" s="64">
        <v>24.92</v>
      </c>
      <c r="M100" s="64">
        <v>46.51</v>
      </c>
      <c r="N100" s="64">
        <v>4.5999999999999996</v>
      </c>
      <c r="O100" s="64">
        <v>0</v>
      </c>
      <c r="P100" s="64">
        <v>0.69</v>
      </c>
      <c r="Q100" s="64">
        <v>4.28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2166</v>
      </c>
      <c r="B101" s="64">
        <v>4.17</v>
      </c>
      <c r="C101" s="64">
        <v>43.8</v>
      </c>
      <c r="D101" s="64">
        <v>28.17</v>
      </c>
      <c r="E101" s="64">
        <v>1.63</v>
      </c>
      <c r="F101" s="64">
        <v>7.26</v>
      </c>
      <c r="G101" s="64">
        <v>66.62</v>
      </c>
      <c r="H101" s="64">
        <v>21.97</v>
      </c>
      <c r="I101" s="64">
        <v>0.5</v>
      </c>
      <c r="J101" s="64">
        <v>1.27</v>
      </c>
      <c r="K101" s="64">
        <v>342.23</v>
      </c>
      <c r="L101" s="64">
        <v>25.2</v>
      </c>
      <c r="M101" s="64">
        <v>44.99</v>
      </c>
      <c r="N101" s="64">
        <v>4.5999999999999996</v>
      </c>
      <c r="O101" s="64">
        <v>0</v>
      </c>
      <c r="P101" s="64">
        <v>0.68</v>
      </c>
      <c r="Q101" s="64">
        <v>4.3499999999999996</v>
      </c>
      <c r="R101" s="198"/>
      <c r="S101" s="198"/>
      <c r="T101" s="198"/>
      <c r="U101" s="198"/>
    </row>
    <row r="102" spans="1:33" s="12" customFormat="1" x14ac:dyDescent="0.25">
      <c r="A102" s="218" t="s">
        <v>2167</v>
      </c>
      <c r="B102" s="64">
        <v>4.0199999999999996</v>
      </c>
      <c r="C102" s="64">
        <v>44.61</v>
      </c>
      <c r="D102" s="64">
        <v>28.48</v>
      </c>
      <c r="E102" s="64">
        <v>1.96</v>
      </c>
      <c r="F102" s="64">
        <v>5.25</v>
      </c>
      <c r="G102" s="64">
        <v>57.15</v>
      </c>
      <c r="H102" s="64">
        <v>20.99</v>
      </c>
      <c r="I102" s="64">
        <v>0.54</v>
      </c>
      <c r="J102" s="64">
        <v>0.86</v>
      </c>
      <c r="K102" s="64">
        <v>345.57</v>
      </c>
      <c r="L102" s="64">
        <v>24.58</v>
      </c>
      <c r="M102" s="64">
        <v>50.97</v>
      </c>
      <c r="N102" s="64">
        <v>4.4000000000000004</v>
      </c>
      <c r="O102" s="64">
        <v>0</v>
      </c>
      <c r="P102" s="64">
        <v>0.67</v>
      </c>
      <c r="Q102" s="64">
        <v>4.72</v>
      </c>
      <c r="R102" s="198"/>
      <c r="S102" s="198"/>
      <c r="T102" s="198"/>
      <c r="U102" s="198"/>
    </row>
    <row r="103" spans="1:33" s="12" customFormat="1" x14ac:dyDescent="0.25">
      <c r="A103" s="218" t="s">
        <v>2168</v>
      </c>
      <c r="B103" s="64">
        <v>3.1</v>
      </c>
      <c r="C103" s="64">
        <v>44.38</v>
      </c>
      <c r="D103" s="64">
        <v>27.62</v>
      </c>
      <c r="E103" s="64">
        <v>1.91</v>
      </c>
      <c r="F103" s="64">
        <v>6.61</v>
      </c>
      <c r="G103" s="64">
        <v>57.15</v>
      </c>
      <c r="H103" s="64">
        <v>20.99</v>
      </c>
      <c r="I103" s="64">
        <v>0.53</v>
      </c>
      <c r="J103" s="64">
        <v>0.4</v>
      </c>
      <c r="K103" s="64">
        <v>29.86</v>
      </c>
      <c r="L103" s="64">
        <v>23.81</v>
      </c>
      <c r="M103" s="64">
        <v>53.11</v>
      </c>
      <c r="N103" s="64">
        <v>4.4000000000000004</v>
      </c>
      <c r="O103" s="64">
        <v>0.2</v>
      </c>
      <c r="P103" s="64">
        <v>0.64</v>
      </c>
      <c r="Q103" s="64">
        <v>4.33</v>
      </c>
      <c r="R103" s="198"/>
      <c r="S103" s="198"/>
      <c r="T103" s="198"/>
      <c r="U103" s="198"/>
    </row>
    <row r="104" spans="1:33" s="12" customFormat="1" x14ac:dyDescent="0.25">
      <c r="A104" s="218" t="s">
        <v>2169</v>
      </c>
      <c r="B104" s="64">
        <v>2.2799999999999998</v>
      </c>
      <c r="C104" s="64">
        <v>42.5</v>
      </c>
      <c r="D104" s="64">
        <v>25.93</v>
      </c>
      <c r="E104" s="64">
        <v>0.83</v>
      </c>
      <c r="F104" s="64">
        <v>7.13</v>
      </c>
      <c r="G104" s="64">
        <v>57.15</v>
      </c>
      <c r="H104" s="64">
        <v>20.99</v>
      </c>
      <c r="I104" s="64">
        <v>0.56000000000000005</v>
      </c>
      <c r="J104" s="64">
        <v>0.39</v>
      </c>
      <c r="K104" s="64">
        <v>333.86</v>
      </c>
      <c r="L104" s="64">
        <v>22.42</v>
      </c>
      <c r="M104" s="64">
        <v>62.24</v>
      </c>
      <c r="N104" s="64">
        <v>3.1</v>
      </c>
      <c r="O104" s="64">
        <v>0</v>
      </c>
      <c r="P104" s="64">
        <v>0.6</v>
      </c>
      <c r="Q104" s="64">
        <v>3.49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</v>
      </c>
      <c r="C106" s="67">
        <f>MIN(C9:C104)</f>
        <v>35.33</v>
      </c>
      <c r="D106" s="67">
        <f t="shared" ref="D106:Q106" si="0">MIN(D9:D104)</f>
        <v>23.48</v>
      </c>
      <c r="E106" s="67">
        <f t="shared" si="0"/>
        <v>0.83</v>
      </c>
      <c r="F106" s="67">
        <f t="shared" si="0"/>
        <v>4.83</v>
      </c>
      <c r="G106" s="67">
        <f t="shared" si="0"/>
        <v>26.57</v>
      </c>
      <c r="H106" s="67">
        <f t="shared" si="0"/>
        <v>16</v>
      </c>
      <c r="I106" s="67">
        <f t="shared" si="0"/>
        <v>0.49</v>
      </c>
      <c r="J106" s="67">
        <f t="shared" si="0"/>
        <v>0.05</v>
      </c>
      <c r="K106" s="67">
        <f t="shared" si="0"/>
        <v>4.1500000000000004</v>
      </c>
      <c r="L106" s="67">
        <f t="shared" si="0"/>
        <v>22.42</v>
      </c>
      <c r="M106" s="67">
        <f t="shared" si="0"/>
        <v>15.21</v>
      </c>
      <c r="N106" s="67">
        <f t="shared" si="0"/>
        <v>3.1</v>
      </c>
      <c r="O106" s="67">
        <f t="shared" si="0"/>
        <v>0</v>
      </c>
      <c r="P106" s="67">
        <f t="shared" si="0"/>
        <v>0.6</v>
      </c>
      <c r="Q106" s="67">
        <f t="shared" si="0"/>
        <v>0.45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18.2</v>
      </c>
      <c r="C107" s="66">
        <f t="shared" ref="C107:Q107" si="1">MAX(C9:C104)</f>
        <v>85.04</v>
      </c>
      <c r="D107" s="66">
        <f t="shared" si="1"/>
        <v>62.17</v>
      </c>
      <c r="E107" s="66">
        <f t="shared" si="1"/>
        <v>30.8</v>
      </c>
      <c r="F107" s="66">
        <f t="shared" si="1"/>
        <v>50.1</v>
      </c>
      <c r="G107" s="66">
        <f t="shared" si="1"/>
        <v>119.34</v>
      </c>
      <c r="H107" s="66">
        <f t="shared" si="1"/>
        <v>40.299999999999997</v>
      </c>
      <c r="I107" s="66">
        <f t="shared" si="1"/>
        <v>0.77</v>
      </c>
      <c r="J107" s="66">
        <f t="shared" si="1"/>
        <v>1.95</v>
      </c>
      <c r="K107" s="66">
        <f t="shared" si="1"/>
        <v>359.56</v>
      </c>
      <c r="L107" s="66">
        <f t="shared" si="1"/>
        <v>39.369999999999997</v>
      </c>
      <c r="M107" s="66">
        <f t="shared" si="1"/>
        <v>62.24</v>
      </c>
      <c r="N107" s="66">
        <f t="shared" si="1"/>
        <v>791.5</v>
      </c>
      <c r="O107" s="66">
        <f t="shared" si="1"/>
        <v>0.2</v>
      </c>
      <c r="P107" s="66">
        <f t="shared" si="1"/>
        <v>1.48</v>
      </c>
      <c r="Q107" s="66">
        <f t="shared" si="1"/>
        <v>22.45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5.974166666666668</v>
      </c>
      <c r="C108" s="67">
        <f t="shared" ref="C108:Q108" si="2">AVERAGE(C9:C104)</f>
        <v>47.651979166666671</v>
      </c>
      <c r="D108" s="67">
        <f t="shared" si="2"/>
        <v>31.735624999999988</v>
      </c>
      <c r="E108" s="67">
        <f t="shared" si="2"/>
        <v>4.8602083333333344</v>
      </c>
      <c r="F108" s="67">
        <f t="shared" si="2"/>
        <v>14.43125</v>
      </c>
      <c r="G108" s="67">
        <f t="shared" si="2"/>
        <v>57.932604166666685</v>
      </c>
      <c r="H108" s="67">
        <f t="shared" si="2"/>
        <v>25.287812499999983</v>
      </c>
      <c r="I108" s="67">
        <f t="shared" si="2"/>
        <v>0.58770833333333328</v>
      </c>
      <c r="J108" s="67">
        <f t="shared" si="2"/>
        <v>0.6980208333333332</v>
      </c>
      <c r="K108" s="67">
        <f t="shared" si="2"/>
        <v>242.53937500000009</v>
      </c>
      <c r="L108" s="67">
        <f t="shared" si="2"/>
        <v>30.18708333333333</v>
      </c>
      <c r="M108" s="67">
        <f t="shared" si="2"/>
        <v>29.523437500000004</v>
      </c>
      <c r="N108" s="67">
        <f t="shared" si="2"/>
        <v>179.39895833333333</v>
      </c>
      <c r="O108" s="67">
        <f t="shared" si="2"/>
        <v>2.0833333333333333E-3</v>
      </c>
      <c r="P108" s="67">
        <f t="shared" si="2"/>
        <v>0.8691666666666662</v>
      </c>
      <c r="Q108" s="67">
        <f t="shared" si="2"/>
        <v>9.6743750000000013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3.7338558218342621</v>
      </c>
      <c r="C109" s="67">
        <f t="shared" ref="C109:Q109" si="3">STDEV(C9:C104)</f>
        <v>8.1062604292564533</v>
      </c>
      <c r="D109" s="67">
        <f t="shared" si="3"/>
        <v>6.8014917578116352</v>
      </c>
      <c r="E109" s="67">
        <f t="shared" si="3"/>
        <v>4.5225882154654169</v>
      </c>
      <c r="F109" s="67">
        <f t="shared" si="3"/>
        <v>9.1540829256964003</v>
      </c>
      <c r="G109" s="67">
        <f t="shared" si="3"/>
        <v>16.830567194669868</v>
      </c>
      <c r="H109" s="67">
        <f t="shared" si="3"/>
        <v>6.3095098154962201</v>
      </c>
      <c r="I109" s="67">
        <f t="shared" si="3"/>
        <v>7.5190693246418666E-2</v>
      </c>
      <c r="J109" s="67">
        <f t="shared" si="3"/>
        <v>0.49580688046788773</v>
      </c>
      <c r="K109" s="67">
        <f t="shared" si="3"/>
        <v>122.89336018047234</v>
      </c>
      <c r="L109" s="67">
        <f t="shared" si="3"/>
        <v>4.6078445507101504</v>
      </c>
      <c r="M109" s="67">
        <f t="shared" si="3"/>
        <v>10.929350809258608</v>
      </c>
      <c r="N109" s="67">
        <f t="shared" si="3"/>
        <v>244.47561862927486</v>
      </c>
      <c r="O109" s="67">
        <f t="shared" si="3"/>
        <v>2.0412414523193152E-2</v>
      </c>
      <c r="P109" s="67">
        <f t="shared" si="3"/>
        <v>0.17660939157639277</v>
      </c>
      <c r="Q109" s="67">
        <f t="shared" si="3"/>
        <v>5.5782417174137153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2172</v>
      </c>
      <c r="B9" s="64">
        <v>2.2400000000000002</v>
      </c>
      <c r="C9" s="64">
        <v>40.26</v>
      </c>
      <c r="D9" s="64">
        <v>24.66</v>
      </c>
      <c r="E9" s="64">
        <v>1.76</v>
      </c>
      <c r="F9" s="64">
        <v>9.39</v>
      </c>
      <c r="G9" s="64">
        <v>55.34</v>
      </c>
      <c r="H9" s="64">
        <v>20.27</v>
      </c>
      <c r="I9" s="64">
        <v>0.5</v>
      </c>
      <c r="J9" s="64">
        <v>0.96</v>
      </c>
      <c r="K9" s="64">
        <v>325.18</v>
      </c>
      <c r="L9" s="64">
        <v>22.15</v>
      </c>
      <c r="M9" s="64">
        <v>62.97</v>
      </c>
      <c r="N9" s="64">
        <v>3.4</v>
      </c>
      <c r="O9" s="64">
        <v>0</v>
      </c>
      <c r="P9" s="64">
        <v>0.57999999999999996</v>
      </c>
      <c r="Q9" s="64">
        <v>3.35</v>
      </c>
      <c r="R9" s="198"/>
      <c r="S9" s="198"/>
      <c r="T9" s="198"/>
      <c r="U9" s="198"/>
    </row>
    <row r="10" spans="1:21" s="12" customFormat="1" x14ac:dyDescent="0.25">
      <c r="A10" s="218" t="s">
        <v>2173</v>
      </c>
      <c r="B10" s="64">
        <v>2.35</v>
      </c>
      <c r="C10" s="64">
        <v>40.270000000000003</v>
      </c>
      <c r="D10" s="64">
        <v>24.76</v>
      </c>
      <c r="E10" s="64">
        <v>1.36</v>
      </c>
      <c r="F10" s="64">
        <v>5.75</v>
      </c>
      <c r="G10" s="64">
        <v>45.56</v>
      </c>
      <c r="H10" s="64">
        <v>16.47</v>
      </c>
      <c r="I10" s="64">
        <v>0.49</v>
      </c>
      <c r="J10" s="64">
        <v>1.1599999999999999</v>
      </c>
      <c r="K10" s="64">
        <v>320.68</v>
      </c>
      <c r="L10" s="64">
        <v>22.34</v>
      </c>
      <c r="M10" s="64">
        <v>61.2</v>
      </c>
      <c r="N10" s="64">
        <v>4.3</v>
      </c>
      <c r="O10" s="64">
        <v>0</v>
      </c>
      <c r="P10" s="64">
        <v>0.56999999999999995</v>
      </c>
      <c r="Q10" s="64">
        <v>3.67</v>
      </c>
      <c r="R10" s="198"/>
      <c r="S10" s="198"/>
      <c r="T10" s="198"/>
      <c r="U10" s="198"/>
    </row>
    <row r="11" spans="1:21" s="12" customFormat="1" x14ac:dyDescent="0.25">
      <c r="A11" s="218" t="s">
        <v>2174</v>
      </c>
      <c r="B11" s="64">
        <v>2.33</v>
      </c>
      <c r="C11" s="64">
        <v>39.78</v>
      </c>
      <c r="D11" s="64">
        <v>24.47</v>
      </c>
      <c r="E11" s="64">
        <v>1.63</v>
      </c>
      <c r="F11" s="64">
        <v>5.7</v>
      </c>
      <c r="G11" s="64">
        <v>45.56</v>
      </c>
      <c r="H11" s="64">
        <v>16.47</v>
      </c>
      <c r="I11" s="64">
        <v>0.5</v>
      </c>
      <c r="J11" s="64">
        <v>0.32</v>
      </c>
      <c r="K11" s="64">
        <v>335.77</v>
      </c>
      <c r="L11" s="64">
        <v>22.13</v>
      </c>
      <c r="M11" s="64">
        <v>59.27</v>
      </c>
      <c r="N11" s="64">
        <v>3.1</v>
      </c>
      <c r="O11" s="64">
        <v>0</v>
      </c>
      <c r="P11" s="64">
        <v>0.56000000000000005</v>
      </c>
      <c r="Q11" s="64">
        <v>4.03</v>
      </c>
      <c r="R11" s="198"/>
      <c r="S11" s="198"/>
      <c r="T11" s="198"/>
      <c r="U11" s="198"/>
    </row>
    <row r="12" spans="1:21" s="12" customFormat="1" x14ac:dyDescent="0.25">
      <c r="A12" s="218" t="s">
        <v>2175</v>
      </c>
      <c r="B12" s="64">
        <v>2.17</v>
      </c>
      <c r="C12" s="64">
        <v>37.97</v>
      </c>
      <c r="D12" s="64">
        <v>23.34</v>
      </c>
      <c r="E12" s="64">
        <v>1.42</v>
      </c>
      <c r="F12" s="64">
        <v>5.68</v>
      </c>
      <c r="G12" s="64">
        <v>45.56</v>
      </c>
      <c r="H12" s="64">
        <v>16.47</v>
      </c>
      <c r="I12" s="64">
        <v>0.52</v>
      </c>
      <c r="J12" s="64">
        <v>0.48</v>
      </c>
      <c r="K12" s="64">
        <v>331.63</v>
      </c>
      <c r="L12" s="64">
        <v>22.5</v>
      </c>
      <c r="M12" s="64">
        <v>56.29</v>
      </c>
      <c r="N12" s="64">
        <v>5.2</v>
      </c>
      <c r="O12" s="64">
        <v>0</v>
      </c>
      <c r="P12" s="64">
        <v>0.53</v>
      </c>
      <c r="Q12" s="64">
        <v>2.96</v>
      </c>
      <c r="R12" s="198"/>
      <c r="S12" s="198"/>
      <c r="T12" s="198"/>
      <c r="U12" s="198"/>
    </row>
    <row r="13" spans="1:21" s="12" customFormat="1" x14ac:dyDescent="0.25">
      <c r="A13" s="218" t="s">
        <v>2176</v>
      </c>
      <c r="B13" s="64">
        <v>1.94</v>
      </c>
      <c r="C13" s="64">
        <v>36.47</v>
      </c>
      <c r="D13" s="64">
        <v>22.32</v>
      </c>
      <c r="E13" s="64">
        <v>1.28</v>
      </c>
      <c r="F13" s="64">
        <v>6.37</v>
      </c>
      <c r="G13" s="64">
        <v>43.2</v>
      </c>
      <c r="H13" s="64">
        <v>15.91</v>
      </c>
      <c r="I13" s="64">
        <v>0.49</v>
      </c>
      <c r="J13" s="64">
        <v>1.08</v>
      </c>
      <c r="K13" s="64">
        <v>345.12</v>
      </c>
      <c r="L13" s="64">
        <v>22.3</v>
      </c>
      <c r="M13" s="64">
        <v>58.32</v>
      </c>
      <c r="N13" s="64">
        <v>4.0999999999999996</v>
      </c>
      <c r="O13" s="64">
        <v>0</v>
      </c>
      <c r="P13" s="64">
        <v>0.48</v>
      </c>
      <c r="Q13" s="64">
        <v>1.96</v>
      </c>
      <c r="R13" s="198"/>
      <c r="S13" s="198"/>
      <c r="T13" s="198"/>
      <c r="U13" s="198"/>
    </row>
    <row r="14" spans="1:21" s="12" customFormat="1" x14ac:dyDescent="0.25">
      <c r="A14" s="218" t="s">
        <v>2177</v>
      </c>
      <c r="B14" s="64">
        <v>1.89</v>
      </c>
      <c r="C14" s="64">
        <v>34.92</v>
      </c>
      <c r="D14" s="64">
        <v>21.44</v>
      </c>
      <c r="E14" s="64">
        <v>1.25</v>
      </c>
      <c r="F14" s="64">
        <v>9.77</v>
      </c>
      <c r="G14" s="64">
        <v>29.2</v>
      </c>
      <c r="H14" s="64">
        <v>13.56</v>
      </c>
      <c r="I14" s="64">
        <v>0.49</v>
      </c>
      <c r="J14" s="64">
        <v>0.36</v>
      </c>
      <c r="K14" s="64">
        <v>59.51</v>
      </c>
      <c r="L14" s="64">
        <v>22.55</v>
      </c>
      <c r="M14" s="64">
        <v>55.01</v>
      </c>
      <c r="N14" s="64">
        <v>4.4000000000000004</v>
      </c>
      <c r="O14" s="64">
        <v>0</v>
      </c>
      <c r="P14" s="64">
        <v>0.49</v>
      </c>
      <c r="Q14" s="64">
        <v>1.94</v>
      </c>
      <c r="R14" s="198"/>
      <c r="S14" s="198"/>
      <c r="T14" s="198"/>
      <c r="U14" s="198"/>
    </row>
    <row r="15" spans="1:21" s="12" customFormat="1" x14ac:dyDescent="0.25">
      <c r="A15" s="218" t="s">
        <v>2178</v>
      </c>
      <c r="B15" s="64">
        <v>1.91</v>
      </c>
      <c r="C15" s="64">
        <v>34.49</v>
      </c>
      <c r="D15" s="64">
        <v>21.21</v>
      </c>
      <c r="E15" s="64">
        <v>1.53</v>
      </c>
      <c r="F15" s="64">
        <v>8.35</v>
      </c>
      <c r="G15" s="64">
        <v>29.2</v>
      </c>
      <c r="H15" s="64">
        <v>13.56</v>
      </c>
      <c r="I15" s="64">
        <v>0.49</v>
      </c>
      <c r="J15" s="64">
        <v>0.86</v>
      </c>
      <c r="K15" s="64">
        <v>102.83</v>
      </c>
      <c r="L15" s="64">
        <v>23.03</v>
      </c>
      <c r="M15" s="64">
        <v>51.91</v>
      </c>
      <c r="N15" s="64">
        <v>3.8</v>
      </c>
      <c r="O15" s="64">
        <v>0</v>
      </c>
      <c r="P15" s="64">
        <v>0.48</v>
      </c>
      <c r="Q15" s="64">
        <v>3.28</v>
      </c>
      <c r="R15" s="198"/>
      <c r="S15" s="198"/>
      <c r="T15" s="198"/>
      <c r="U15" s="198"/>
    </row>
    <row r="16" spans="1:21" s="12" customFormat="1" x14ac:dyDescent="0.25">
      <c r="A16" s="218" t="s">
        <v>2179</v>
      </c>
      <c r="B16" s="64">
        <v>1.97</v>
      </c>
      <c r="C16" s="64">
        <v>34.29</v>
      </c>
      <c r="D16" s="64">
        <v>21.15</v>
      </c>
      <c r="E16" s="64">
        <v>1.35</v>
      </c>
      <c r="F16" s="64">
        <v>6.26</v>
      </c>
      <c r="G16" s="64">
        <v>29.2</v>
      </c>
      <c r="H16" s="64">
        <v>13.56</v>
      </c>
      <c r="I16" s="64">
        <v>0.49</v>
      </c>
      <c r="J16" s="64">
        <v>1.99</v>
      </c>
      <c r="K16" s="64">
        <v>129.74</v>
      </c>
      <c r="L16" s="64">
        <v>23.5</v>
      </c>
      <c r="M16" s="64">
        <v>49.8</v>
      </c>
      <c r="N16" s="64">
        <v>3.7</v>
      </c>
      <c r="O16" s="64">
        <v>0</v>
      </c>
      <c r="P16" s="64">
        <v>0.48</v>
      </c>
      <c r="Q16" s="64">
        <v>5.68</v>
      </c>
      <c r="R16" s="198"/>
      <c r="S16" s="198"/>
      <c r="T16" s="198"/>
      <c r="U16" s="198"/>
    </row>
    <row r="17" spans="1:21" s="12" customFormat="1" x14ac:dyDescent="0.25">
      <c r="A17" s="218" t="s">
        <v>2180</v>
      </c>
      <c r="B17" s="64">
        <v>1.99</v>
      </c>
      <c r="C17" s="64">
        <v>34.020000000000003</v>
      </c>
      <c r="D17" s="64">
        <v>21.01</v>
      </c>
      <c r="E17" s="64">
        <v>1.56</v>
      </c>
      <c r="F17" s="64">
        <v>7.95</v>
      </c>
      <c r="G17" s="64">
        <v>28.66</v>
      </c>
      <c r="H17" s="64">
        <v>13.12</v>
      </c>
      <c r="I17" s="64">
        <v>0.5</v>
      </c>
      <c r="J17" s="64">
        <v>0.67</v>
      </c>
      <c r="K17" s="64">
        <v>337.39</v>
      </c>
      <c r="L17" s="64">
        <v>22.91</v>
      </c>
      <c r="M17" s="64">
        <v>55.95</v>
      </c>
      <c r="N17" s="64">
        <v>5.0999999999999996</v>
      </c>
      <c r="O17" s="64">
        <v>0</v>
      </c>
      <c r="P17" s="64">
        <v>0.45</v>
      </c>
      <c r="Q17" s="64">
        <v>8.65</v>
      </c>
      <c r="R17" s="198"/>
      <c r="S17" s="198"/>
      <c r="T17" s="198"/>
      <c r="U17" s="198"/>
    </row>
    <row r="18" spans="1:21" s="12" customFormat="1" x14ac:dyDescent="0.25">
      <c r="A18" s="218" t="s">
        <v>2181</v>
      </c>
      <c r="B18" s="64">
        <v>2.23</v>
      </c>
      <c r="C18" s="64">
        <v>34.08</v>
      </c>
      <c r="D18" s="64">
        <v>21.25</v>
      </c>
      <c r="E18" s="64">
        <v>1.88</v>
      </c>
      <c r="F18" s="64">
        <v>9.3800000000000008</v>
      </c>
      <c r="G18" s="64">
        <v>25.42</v>
      </c>
      <c r="H18" s="64">
        <v>11.27</v>
      </c>
      <c r="I18" s="64">
        <v>0.53</v>
      </c>
      <c r="J18" s="64">
        <v>1.1200000000000001</v>
      </c>
      <c r="K18" s="64">
        <v>359.82</v>
      </c>
      <c r="L18" s="64">
        <v>23.27</v>
      </c>
      <c r="M18" s="64">
        <v>50.39</v>
      </c>
      <c r="N18" s="64">
        <v>4.2</v>
      </c>
      <c r="O18" s="64">
        <v>0</v>
      </c>
      <c r="P18" s="64">
        <v>0.44</v>
      </c>
      <c r="Q18" s="64">
        <v>8.66</v>
      </c>
      <c r="R18" s="198"/>
      <c r="S18" s="198"/>
      <c r="T18" s="198"/>
      <c r="U18" s="198"/>
    </row>
    <row r="19" spans="1:21" s="12" customFormat="1" x14ac:dyDescent="0.25">
      <c r="A19" s="218" t="s">
        <v>2182</v>
      </c>
      <c r="B19" s="64">
        <v>2.1800000000000002</v>
      </c>
      <c r="C19" s="64">
        <v>34.72</v>
      </c>
      <c r="D19" s="64">
        <v>21.55</v>
      </c>
      <c r="E19" s="64">
        <v>2.4300000000000002</v>
      </c>
      <c r="F19" s="64">
        <v>7.73</v>
      </c>
      <c r="G19" s="64">
        <v>25.42</v>
      </c>
      <c r="H19" s="64">
        <v>11.27</v>
      </c>
      <c r="I19" s="64">
        <v>0.51</v>
      </c>
      <c r="J19" s="64">
        <v>2.62</v>
      </c>
      <c r="K19" s="64">
        <v>331.83</v>
      </c>
      <c r="L19" s="64">
        <v>22.87</v>
      </c>
      <c r="M19" s="64">
        <v>55.05</v>
      </c>
      <c r="N19" s="64">
        <v>6.1</v>
      </c>
      <c r="O19" s="64">
        <v>0</v>
      </c>
      <c r="P19" s="64">
        <v>0.46</v>
      </c>
      <c r="Q19" s="64">
        <v>9.08</v>
      </c>
      <c r="R19" s="198"/>
      <c r="S19" s="198"/>
      <c r="T19" s="198"/>
      <c r="U19" s="198"/>
    </row>
    <row r="20" spans="1:21" s="12" customFormat="1" x14ac:dyDescent="0.25">
      <c r="A20" s="218" t="s">
        <v>2183</v>
      </c>
      <c r="B20" s="64">
        <v>2.14</v>
      </c>
      <c r="C20" s="64">
        <v>36.57</v>
      </c>
      <c r="D20" s="64">
        <v>22.54</v>
      </c>
      <c r="E20" s="64">
        <v>2.25</v>
      </c>
      <c r="F20" s="64">
        <v>5.94</v>
      </c>
      <c r="G20" s="64">
        <v>25.42</v>
      </c>
      <c r="H20" s="64">
        <v>11.27</v>
      </c>
      <c r="I20" s="64">
        <v>0.52</v>
      </c>
      <c r="J20" s="64">
        <v>2.2000000000000002</v>
      </c>
      <c r="K20" s="64">
        <v>326.79000000000002</v>
      </c>
      <c r="L20" s="64">
        <v>22.3</v>
      </c>
      <c r="M20" s="64">
        <v>57.04</v>
      </c>
      <c r="N20" s="64">
        <v>5.5</v>
      </c>
      <c r="O20" s="64">
        <v>0</v>
      </c>
      <c r="P20" s="64">
        <v>0.48</v>
      </c>
      <c r="Q20" s="64">
        <v>8.8699999999999992</v>
      </c>
      <c r="R20" s="198"/>
      <c r="S20" s="198"/>
      <c r="T20" s="198"/>
      <c r="U20" s="198"/>
    </row>
    <row r="21" spans="1:21" s="12" customFormat="1" x14ac:dyDescent="0.25">
      <c r="A21" s="218" t="s">
        <v>2184</v>
      </c>
      <c r="B21" s="64">
        <v>2.14</v>
      </c>
      <c r="C21" s="64">
        <v>37.32</v>
      </c>
      <c r="D21" s="64">
        <v>22.96</v>
      </c>
      <c r="E21" s="64">
        <v>1.75</v>
      </c>
      <c r="F21" s="64">
        <v>5.86</v>
      </c>
      <c r="G21" s="64">
        <v>26.58</v>
      </c>
      <c r="H21" s="64">
        <v>11.85</v>
      </c>
      <c r="I21" s="64">
        <v>0.52</v>
      </c>
      <c r="J21" s="64">
        <v>1.83</v>
      </c>
      <c r="K21" s="64">
        <v>326.38</v>
      </c>
      <c r="L21" s="64">
        <v>22.27</v>
      </c>
      <c r="M21" s="64">
        <v>56.37</v>
      </c>
      <c r="N21" s="64">
        <v>5</v>
      </c>
      <c r="O21" s="64">
        <v>0</v>
      </c>
      <c r="P21" s="64">
        <v>0.47</v>
      </c>
      <c r="Q21" s="64">
        <v>8.16</v>
      </c>
      <c r="R21" s="198"/>
      <c r="S21" s="198"/>
      <c r="T21" s="198"/>
      <c r="U21" s="198"/>
    </row>
    <row r="22" spans="1:21" s="12" customFormat="1" x14ac:dyDescent="0.25">
      <c r="A22" s="218" t="s">
        <v>2185</v>
      </c>
      <c r="B22" s="64">
        <v>2.17</v>
      </c>
      <c r="C22" s="64">
        <v>37.479999999999997</v>
      </c>
      <c r="D22" s="64">
        <v>23.07</v>
      </c>
      <c r="E22" s="64">
        <v>1.97</v>
      </c>
      <c r="F22" s="64">
        <v>5.39</v>
      </c>
      <c r="G22" s="64">
        <v>33.43</v>
      </c>
      <c r="H22" s="64">
        <v>14.26</v>
      </c>
      <c r="I22" s="64">
        <v>0.52</v>
      </c>
      <c r="J22" s="64">
        <v>1.1200000000000001</v>
      </c>
      <c r="K22" s="64">
        <v>326.73</v>
      </c>
      <c r="L22" s="64">
        <v>22.27</v>
      </c>
      <c r="M22" s="64">
        <v>56.21</v>
      </c>
      <c r="N22" s="64">
        <v>4.9000000000000004</v>
      </c>
      <c r="O22" s="64">
        <v>0</v>
      </c>
      <c r="P22" s="64">
        <v>0.48</v>
      </c>
      <c r="Q22" s="64">
        <v>7.79</v>
      </c>
      <c r="R22" s="198"/>
      <c r="S22" s="198"/>
      <c r="T22" s="198"/>
      <c r="U22" s="198"/>
    </row>
    <row r="23" spans="1:21" s="12" customFormat="1" x14ac:dyDescent="0.25">
      <c r="A23" s="218" t="s">
        <v>2186</v>
      </c>
      <c r="B23" s="64">
        <v>2.14</v>
      </c>
      <c r="C23" s="64">
        <v>34.119999999999997</v>
      </c>
      <c r="D23" s="64">
        <v>21.19</v>
      </c>
      <c r="E23" s="64">
        <v>1.7</v>
      </c>
      <c r="F23" s="64">
        <v>5.16</v>
      </c>
      <c r="G23" s="64">
        <v>33.43</v>
      </c>
      <c r="H23" s="64">
        <v>14.26</v>
      </c>
      <c r="I23" s="64">
        <v>0.51</v>
      </c>
      <c r="J23" s="64">
        <v>0.42</v>
      </c>
      <c r="K23" s="64">
        <v>331.38</v>
      </c>
      <c r="L23" s="64">
        <v>22.36</v>
      </c>
      <c r="M23" s="64">
        <v>56.38</v>
      </c>
      <c r="N23" s="64">
        <v>5.2</v>
      </c>
      <c r="O23" s="64">
        <v>0</v>
      </c>
      <c r="P23" s="64">
        <v>0.46</v>
      </c>
      <c r="Q23" s="64">
        <v>5.92</v>
      </c>
      <c r="R23" s="198"/>
      <c r="S23" s="198"/>
      <c r="T23" s="198"/>
      <c r="U23" s="198"/>
    </row>
    <row r="24" spans="1:21" s="12" customFormat="1" x14ac:dyDescent="0.25">
      <c r="A24" s="218" t="s">
        <v>2187</v>
      </c>
      <c r="B24" s="64">
        <v>2.09</v>
      </c>
      <c r="C24" s="64">
        <v>34.090000000000003</v>
      </c>
      <c r="D24" s="64">
        <v>21.13</v>
      </c>
      <c r="E24" s="64">
        <v>0.71</v>
      </c>
      <c r="F24" s="64">
        <v>5.0599999999999996</v>
      </c>
      <c r="G24" s="64">
        <v>33.43</v>
      </c>
      <c r="H24" s="64">
        <v>14.26</v>
      </c>
      <c r="I24" s="64">
        <v>0.51</v>
      </c>
      <c r="J24" s="64">
        <v>0.2</v>
      </c>
      <c r="K24" s="64">
        <v>334.92</v>
      </c>
      <c r="L24" s="64">
        <v>21.94</v>
      </c>
      <c r="M24" s="64">
        <v>61.67</v>
      </c>
      <c r="N24" s="64">
        <v>4.0999999999999996</v>
      </c>
      <c r="O24" s="64">
        <v>0</v>
      </c>
      <c r="P24" s="64">
        <v>0.45</v>
      </c>
      <c r="Q24" s="64">
        <v>5.13</v>
      </c>
      <c r="R24" s="198"/>
      <c r="S24" s="198"/>
      <c r="T24" s="198"/>
      <c r="U24" s="198"/>
    </row>
    <row r="25" spans="1:21" s="12" customFormat="1" x14ac:dyDescent="0.25">
      <c r="A25" s="218" t="s">
        <v>2188</v>
      </c>
      <c r="B25" s="64">
        <v>2.19</v>
      </c>
      <c r="C25" s="64">
        <v>35.32</v>
      </c>
      <c r="D25" s="64">
        <v>21.89</v>
      </c>
      <c r="E25" s="64">
        <v>1.35</v>
      </c>
      <c r="F25" s="64">
        <v>4.72</v>
      </c>
      <c r="G25" s="64">
        <v>32.75</v>
      </c>
      <c r="H25" s="64">
        <v>14.44</v>
      </c>
      <c r="I25" s="64">
        <v>0.51</v>
      </c>
      <c r="J25" s="64">
        <v>1.26</v>
      </c>
      <c r="K25" s="64">
        <v>313.54000000000002</v>
      </c>
      <c r="L25" s="64">
        <v>21.32</v>
      </c>
      <c r="M25" s="64">
        <v>66.55</v>
      </c>
      <c r="N25" s="64">
        <v>3.1</v>
      </c>
      <c r="O25" s="64">
        <v>0</v>
      </c>
      <c r="P25" s="64">
        <v>0.44</v>
      </c>
      <c r="Q25" s="64">
        <v>5.28</v>
      </c>
      <c r="R25" s="198"/>
      <c r="S25" s="198"/>
      <c r="T25" s="198"/>
      <c r="U25" s="198"/>
    </row>
    <row r="26" spans="1:21" s="12" customFormat="1" x14ac:dyDescent="0.25">
      <c r="A26" s="218" t="s">
        <v>2189</v>
      </c>
      <c r="B26" s="64">
        <v>2.2799999999999998</v>
      </c>
      <c r="C26" s="64">
        <v>34.979999999999997</v>
      </c>
      <c r="D26" s="64">
        <v>21.78</v>
      </c>
      <c r="E26" s="64">
        <v>1.24</v>
      </c>
      <c r="F26" s="64">
        <v>4.6399999999999997</v>
      </c>
      <c r="G26" s="64">
        <v>28.7</v>
      </c>
      <c r="H26" s="64">
        <v>15.44</v>
      </c>
      <c r="I26" s="64">
        <v>0.52</v>
      </c>
      <c r="J26" s="64">
        <v>1.39</v>
      </c>
      <c r="K26" s="64">
        <v>302.87</v>
      </c>
      <c r="L26" s="64">
        <v>21.34</v>
      </c>
      <c r="M26" s="64">
        <v>63.97</v>
      </c>
      <c r="N26" s="64">
        <v>4.5999999999999996</v>
      </c>
      <c r="O26" s="64">
        <v>0</v>
      </c>
      <c r="P26" s="64">
        <v>0.43</v>
      </c>
      <c r="Q26" s="64">
        <v>4.55</v>
      </c>
      <c r="R26" s="198"/>
      <c r="S26" s="198"/>
      <c r="T26" s="198"/>
      <c r="U26" s="198"/>
    </row>
    <row r="27" spans="1:21" s="12" customFormat="1" x14ac:dyDescent="0.25">
      <c r="A27" s="218" t="s">
        <v>2190</v>
      </c>
      <c r="B27" s="64">
        <v>2.29</v>
      </c>
      <c r="C27" s="64">
        <v>34.49</v>
      </c>
      <c r="D27" s="64">
        <v>21.52</v>
      </c>
      <c r="E27" s="64">
        <v>1.37</v>
      </c>
      <c r="F27" s="64">
        <v>5.95</v>
      </c>
      <c r="G27" s="64">
        <v>28.7</v>
      </c>
      <c r="H27" s="64">
        <v>15.44</v>
      </c>
      <c r="I27" s="64">
        <v>0.51</v>
      </c>
      <c r="J27" s="64">
        <v>0.5</v>
      </c>
      <c r="K27" s="64">
        <v>326.56</v>
      </c>
      <c r="L27" s="64">
        <v>21.32</v>
      </c>
      <c r="M27" s="64">
        <v>63.91</v>
      </c>
      <c r="N27" s="64">
        <v>4.9000000000000004</v>
      </c>
      <c r="O27" s="64">
        <v>0</v>
      </c>
      <c r="P27" s="64">
        <v>0.42</v>
      </c>
      <c r="Q27" s="64">
        <v>4.5599999999999996</v>
      </c>
      <c r="R27" s="198"/>
      <c r="S27" s="198"/>
      <c r="T27" s="198"/>
      <c r="U27" s="198"/>
    </row>
    <row r="28" spans="1:21" s="12" customFormat="1" x14ac:dyDescent="0.25">
      <c r="A28" s="218" t="s">
        <v>2191</v>
      </c>
      <c r="B28" s="64">
        <v>2.35</v>
      </c>
      <c r="C28" s="64">
        <v>34.520000000000003</v>
      </c>
      <c r="D28" s="64">
        <v>21.58</v>
      </c>
      <c r="E28" s="64">
        <v>1.59</v>
      </c>
      <c r="F28" s="64">
        <v>6.43</v>
      </c>
      <c r="G28" s="64">
        <v>28.7</v>
      </c>
      <c r="H28" s="64">
        <v>15.44</v>
      </c>
      <c r="I28" s="64">
        <v>0.5</v>
      </c>
      <c r="J28" s="64">
        <v>0.59</v>
      </c>
      <c r="K28" s="64">
        <v>172.1</v>
      </c>
      <c r="L28" s="64">
        <v>21.52</v>
      </c>
      <c r="M28" s="64">
        <v>62.23</v>
      </c>
      <c r="N28" s="64">
        <v>4.5</v>
      </c>
      <c r="O28" s="64">
        <v>0</v>
      </c>
      <c r="P28" s="64">
        <v>0.42</v>
      </c>
      <c r="Q28" s="64">
        <v>4.99</v>
      </c>
      <c r="R28" s="198"/>
      <c r="S28" s="198"/>
      <c r="T28" s="198"/>
      <c r="U28" s="198"/>
    </row>
    <row r="29" spans="1:21" s="12" customFormat="1" x14ac:dyDescent="0.25">
      <c r="A29" s="218" t="s">
        <v>2192</v>
      </c>
      <c r="B29" s="64">
        <v>2.5</v>
      </c>
      <c r="C29" s="64">
        <v>35.049999999999997</v>
      </c>
      <c r="D29" s="64">
        <v>22</v>
      </c>
      <c r="E29" s="64">
        <v>1.31</v>
      </c>
      <c r="F29" s="64">
        <v>4.43</v>
      </c>
      <c r="G29" s="64">
        <v>28.71</v>
      </c>
      <c r="H29" s="64">
        <v>14.71</v>
      </c>
      <c r="I29" s="64">
        <v>0.51</v>
      </c>
      <c r="J29" s="64">
        <v>1.3</v>
      </c>
      <c r="K29" s="64">
        <v>193.4</v>
      </c>
      <c r="L29" s="64">
        <v>21.88</v>
      </c>
      <c r="M29" s="64">
        <v>60.96</v>
      </c>
      <c r="N29" s="64">
        <v>2.8</v>
      </c>
      <c r="O29" s="64">
        <v>0</v>
      </c>
      <c r="P29" s="64">
        <v>0.42</v>
      </c>
      <c r="Q29" s="64">
        <v>4.99</v>
      </c>
      <c r="R29" s="198"/>
      <c r="S29" s="198"/>
      <c r="T29" s="198"/>
      <c r="U29" s="198"/>
    </row>
    <row r="30" spans="1:21" s="12" customFormat="1" x14ac:dyDescent="0.25">
      <c r="A30" s="218" t="s">
        <v>2193</v>
      </c>
      <c r="B30" s="64">
        <v>2.75</v>
      </c>
      <c r="C30" s="64">
        <v>36.659999999999997</v>
      </c>
      <c r="D30" s="64">
        <v>23.08</v>
      </c>
      <c r="E30" s="64">
        <v>1.41</v>
      </c>
      <c r="F30" s="64">
        <v>4.0999999999999996</v>
      </c>
      <c r="G30" s="64">
        <v>28.81</v>
      </c>
      <c r="H30" s="64">
        <v>11.7</v>
      </c>
      <c r="I30" s="64">
        <v>0.5</v>
      </c>
      <c r="J30" s="64">
        <v>1.17</v>
      </c>
      <c r="K30" s="64">
        <v>196.38</v>
      </c>
      <c r="L30" s="64">
        <v>20.94</v>
      </c>
      <c r="M30" s="64">
        <v>68.41</v>
      </c>
      <c r="N30" s="64">
        <v>5.6</v>
      </c>
      <c r="O30" s="64">
        <v>0.2</v>
      </c>
      <c r="P30" s="64">
        <v>0.42</v>
      </c>
      <c r="Q30" s="64">
        <v>5.77</v>
      </c>
      <c r="R30" s="198"/>
      <c r="S30" s="198"/>
      <c r="T30" s="198"/>
      <c r="U30" s="198"/>
    </row>
    <row r="31" spans="1:21" s="12" customFormat="1" x14ac:dyDescent="0.25">
      <c r="A31" s="218" t="s">
        <v>2194</v>
      </c>
      <c r="B31" s="64">
        <v>2.96</v>
      </c>
      <c r="C31" s="64">
        <v>36.76</v>
      </c>
      <c r="D31" s="64">
        <v>23.31</v>
      </c>
      <c r="E31" s="64">
        <v>1.64</v>
      </c>
      <c r="F31" s="64">
        <v>3.91</v>
      </c>
      <c r="G31" s="64">
        <v>28.81</v>
      </c>
      <c r="H31" s="64">
        <v>11.7</v>
      </c>
      <c r="I31" s="64">
        <v>0.5</v>
      </c>
      <c r="J31" s="64">
        <v>1.17</v>
      </c>
      <c r="K31" s="64">
        <v>194.25</v>
      </c>
      <c r="L31" s="64">
        <v>20.7</v>
      </c>
      <c r="M31" s="64">
        <v>68.84</v>
      </c>
      <c r="N31" s="64">
        <v>7.3</v>
      </c>
      <c r="O31" s="64">
        <v>0</v>
      </c>
      <c r="P31" s="64">
        <v>0.41</v>
      </c>
      <c r="Q31" s="64">
        <v>6.03</v>
      </c>
      <c r="R31" s="198"/>
      <c r="S31" s="198"/>
      <c r="T31" s="198"/>
      <c r="U31" s="198"/>
    </row>
    <row r="32" spans="1:21" s="12" customFormat="1" x14ac:dyDescent="0.25">
      <c r="A32" s="218" t="s">
        <v>2195</v>
      </c>
      <c r="B32" s="64">
        <v>3.12</v>
      </c>
      <c r="C32" s="64">
        <v>36.89</v>
      </c>
      <c r="D32" s="64">
        <v>23.5</v>
      </c>
      <c r="E32" s="64">
        <v>2.0499999999999998</v>
      </c>
      <c r="F32" s="64">
        <v>3.96</v>
      </c>
      <c r="G32" s="64">
        <v>28.81</v>
      </c>
      <c r="H32" s="64">
        <v>11.7</v>
      </c>
      <c r="I32" s="64">
        <v>0.49</v>
      </c>
      <c r="J32" s="64">
        <v>0.82</v>
      </c>
      <c r="K32" s="64">
        <v>197.16</v>
      </c>
      <c r="L32" s="64">
        <v>20.88</v>
      </c>
      <c r="M32" s="64">
        <v>66.88</v>
      </c>
      <c r="N32" s="64">
        <v>14</v>
      </c>
      <c r="O32" s="64">
        <v>0</v>
      </c>
      <c r="P32" s="64">
        <v>0.4</v>
      </c>
      <c r="Q32" s="64">
        <v>6.2</v>
      </c>
      <c r="R32" s="198"/>
      <c r="S32" s="198"/>
      <c r="T32" s="198"/>
      <c r="U32" s="198"/>
    </row>
    <row r="33" spans="1:21" s="12" customFormat="1" x14ac:dyDescent="0.25">
      <c r="A33" s="218" t="s">
        <v>2196</v>
      </c>
      <c r="B33" s="64">
        <v>3.33</v>
      </c>
      <c r="C33" s="64">
        <v>36.94</v>
      </c>
      <c r="D33" s="64">
        <v>23.71</v>
      </c>
      <c r="E33" s="64">
        <v>1.72</v>
      </c>
      <c r="F33" s="64">
        <v>3.99</v>
      </c>
      <c r="G33" s="64">
        <v>28.24</v>
      </c>
      <c r="H33" s="64">
        <v>11.87</v>
      </c>
      <c r="I33" s="64">
        <v>0.51</v>
      </c>
      <c r="J33" s="64">
        <v>0.28000000000000003</v>
      </c>
      <c r="K33" s="64">
        <v>236.78</v>
      </c>
      <c r="L33" s="64">
        <v>21.03</v>
      </c>
      <c r="M33" s="64">
        <v>66.33</v>
      </c>
      <c r="N33" s="64">
        <v>14.9</v>
      </c>
      <c r="O33" s="64">
        <v>0</v>
      </c>
      <c r="P33" s="64">
        <v>0.41</v>
      </c>
      <c r="Q33" s="64">
        <v>6.13</v>
      </c>
      <c r="R33" s="198"/>
      <c r="S33" s="198"/>
      <c r="T33" s="198"/>
      <c r="U33" s="198"/>
    </row>
    <row r="34" spans="1:21" s="12" customFormat="1" x14ac:dyDescent="0.25">
      <c r="A34" s="218" t="s">
        <v>2197</v>
      </c>
      <c r="B34" s="64">
        <v>3.36</v>
      </c>
      <c r="C34" s="64">
        <v>37.04</v>
      </c>
      <c r="D34" s="64">
        <v>23.78</v>
      </c>
      <c r="E34" s="64">
        <v>1.51</v>
      </c>
      <c r="F34" s="64">
        <v>3.74</v>
      </c>
      <c r="G34" s="64">
        <v>24.84</v>
      </c>
      <c r="H34" s="64">
        <v>12.59</v>
      </c>
      <c r="I34" s="64">
        <v>0.52</v>
      </c>
      <c r="J34" s="64">
        <v>0.31</v>
      </c>
      <c r="K34" s="64">
        <v>253.88</v>
      </c>
      <c r="L34" s="64">
        <v>20.64</v>
      </c>
      <c r="M34" s="64">
        <v>69.11</v>
      </c>
      <c r="N34" s="64">
        <v>14.6</v>
      </c>
      <c r="O34" s="64">
        <v>0</v>
      </c>
      <c r="P34" s="64">
        <v>0.41</v>
      </c>
      <c r="Q34" s="64">
        <v>6.36</v>
      </c>
      <c r="R34" s="198"/>
      <c r="S34" s="198"/>
      <c r="T34" s="198"/>
      <c r="U34" s="198"/>
    </row>
    <row r="35" spans="1:21" s="12" customFormat="1" x14ac:dyDescent="0.25">
      <c r="A35" s="218" t="s">
        <v>2198</v>
      </c>
      <c r="B35" s="64">
        <v>3.1</v>
      </c>
      <c r="C35" s="64">
        <v>33.880000000000003</v>
      </c>
      <c r="D35" s="64">
        <v>21.83</v>
      </c>
      <c r="E35" s="64">
        <v>1.61</v>
      </c>
      <c r="F35" s="64">
        <v>4.1100000000000003</v>
      </c>
      <c r="G35" s="64">
        <v>24.84</v>
      </c>
      <c r="H35" s="64">
        <v>12.59</v>
      </c>
      <c r="I35" s="64">
        <v>0.52</v>
      </c>
      <c r="J35" s="64">
        <v>0.5</v>
      </c>
      <c r="K35" s="64">
        <v>238.79</v>
      </c>
      <c r="L35" s="64">
        <v>20.16</v>
      </c>
      <c r="M35" s="64">
        <v>74.16</v>
      </c>
      <c r="N35" s="64">
        <v>20</v>
      </c>
      <c r="O35" s="64">
        <v>0</v>
      </c>
      <c r="P35" s="64">
        <v>0.41</v>
      </c>
      <c r="Q35" s="64">
        <v>4.49</v>
      </c>
      <c r="R35" s="198"/>
      <c r="S35" s="198"/>
      <c r="T35" s="198"/>
      <c r="U35" s="198"/>
    </row>
    <row r="36" spans="1:21" s="12" customFormat="1" x14ac:dyDescent="0.25">
      <c r="A36" s="218" t="s">
        <v>2199</v>
      </c>
      <c r="B36" s="64">
        <v>2.93</v>
      </c>
      <c r="C36" s="64">
        <v>36.1</v>
      </c>
      <c r="D36" s="64">
        <v>22.92</v>
      </c>
      <c r="E36" s="64">
        <v>1.75</v>
      </c>
      <c r="F36" s="64">
        <v>3.94</v>
      </c>
      <c r="G36" s="64">
        <v>24.84</v>
      </c>
      <c r="H36" s="64">
        <v>12.59</v>
      </c>
      <c r="I36" s="64">
        <v>0.49</v>
      </c>
      <c r="J36" s="64">
        <v>0.53</v>
      </c>
      <c r="K36" s="64">
        <v>227.53</v>
      </c>
      <c r="L36" s="64">
        <v>19.97</v>
      </c>
      <c r="M36" s="64">
        <v>76.13</v>
      </c>
      <c r="N36" s="64">
        <v>46.3</v>
      </c>
      <c r="O36" s="64">
        <v>0</v>
      </c>
      <c r="P36" s="64">
        <v>0.42</v>
      </c>
      <c r="Q36" s="64">
        <v>5.13</v>
      </c>
      <c r="R36" s="198"/>
      <c r="S36" s="198"/>
      <c r="T36" s="198"/>
      <c r="U36" s="198"/>
    </row>
    <row r="37" spans="1:21" s="12" customFormat="1" x14ac:dyDescent="0.25">
      <c r="A37" s="218" t="s">
        <v>2200</v>
      </c>
      <c r="B37" s="64">
        <v>2.97</v>
      </c>
      <c r="C37" s="64">
        <v>35.67</v>
      </c>
      <c r="D37" s="64">
        <v>22.71</v>
      </c>
      <c r="E37" s="64">
        <v>1.35</v>
      </c>
      <c r="F37" s="64">
        <v>3.48</v>
      </c>
      <c r="G37" s="64">
        <v>24.83</v>
      </c>
      <c r="H37" s="64">
        <v>12.9</v>
      </c>
      <c r="I37" s="64">
        <v>0.51</v>
      </c>
      <c r="J37" s="64">
        <v>0.69</v>
      </c>
      <c r="K37" s="64">
        <v>217.45</v>
      </c>
      <c r="L37" s="64">
        <v>20.100000000000001</v>
      </c>
      <c r="M37" s="64">
        <v>75.819999999999993</v>
      </c>
      <c r="N37" s="64">
        <v>66.7</v>
      </c>
      <c r="O37" s="64">
        <v>0</v>
      </c>
      <c r="P37" s="64">
        <v>0.42</v>
      </c>
      <c r="Q37" s="64">
        <v>4.9800000000000004</v>
      </c>
      <c r="R37" s="198"/>
      <c r="S37" s="198"/>
      <c r="T37" s="198"/>
      <c r="U37" s="198"/>
    </row>
    <row r="38" spans="1:21" s="12" customFormat="1" x14ac:dyDescent="0.25">
      <c r="A38" s="218" t="s">
        <v>2201</v>
      </c>
      <c r="B38" s="64">
        <v>2.95</v>
      </c>
      <c r="C38" s="64">
        <v>35.25</v>
      </c>
      <c r="D38" s="64">
        <v>22.47</v>
      </c>
      <c r="E38" s="64">
        <v>1.4</v>
      </c>
      <c r="F38" s="64">
        <v>3.58</v>
      </c>
      <c r="G38" s="64">
        <v>24.81</v>
      </c>
      <c r="H38" s="64">
        <v>14.19</v>
      </c>
      <c r="I38" s="64">
        <v>0.51</v>
      </c>
      <c r="J38" s="64">
        <v>0.97</v>
      </c>
      <c r="K38" s="64">
        <v>207.58</v>
      </c>
      <c r="L38" s="64">
        <v>20.57</v>
      </c>
      <c r="M38" s="64">
        <v>72.75</v>
      </c>
      <c r="N38" s="64">
        <v>116.9</v>
      </c>
      <c r="O38" s="64">
        <v>0</v>
      </c>
      <c r="P38" s="64">
        <v>0.44</v>
      </c>
      <c r="Q38" s="64">
        <v>4.5199999999999996</v>
      </c>
      <c r="R38" s="198"/>
      <c r="S38" s="198"/>
      <c r="T38" s="198"/>
      <c r="U38" s="198"/>
    </row>
    <row r="39" spans="1:21" s="12" customFormat="1" x14ac:dyDescent="0.25">
      <c r="A39" s="218" t="s">
        <v>2202</v>
      </c>
      <c r="B39" s="64">
        <v>2.88</v>
      </c>
      <c r="C39" s="64">
        <v>35.36</v>
      </c>
      <c r="D39" s="64">
        <v>22.47</v>
      </c>
      <c r="E39" s="64">
        <v>1.43</v>
      </c>
      <c r="F39" s="64">
        <v>4.21</v>
      </c>
      <c r="G39" s="64">
        <v>24.81</v>
      </c>
      <c r="H39" s="64">
        <v>14.19</v>
      </c>
      <c r="I39" s="64">
        <v>0.51</v>
      </c>
      <c r="J39" s="64">
        <v>0.85</v>
      </c>
      <c r="K39" s="64">
        <v>210.46</v>
      </c>
      <c r="L39" s="64">
        <v>21.12</v>
      </c>
      <c r="M39" s="64">
        <v>71.16</v>
      </c>
      <c r="N39" s="64">
        <v>224.5</v>
      </c>
      <c r="O39" s="64">
        <v>0</v>
      </c>
      <c r="P39" s="64">
        <v>0.44</v>
      </c>
      <c r="Q39" s="64">
        <v>4.5599999999999996</v>
      </c>
      <c r="R39" s="198"/>
      <c r="S39" s="198"/>
      <c r="T39" s="198"/>
      <c r="U39" s="198"/>
    </row>
    <row r="40" spans="1:21" s="12" customFormat="1" x14ac:dyDescent="0.25">
      <c r="A40" s="218" t="s">
        <v>2203</v>
      </c>
      <c r="B40" s="64">
        <v>2.77</v>
      </c>
      <c r="C40" s="64">
        <v>34.64</v>
      </c>
      <c r="D40" s="64">
        <v>21.98</v>
      </c>
      <c r="E40" s="64">
        <v>0.91</v>
      </c>
      <c r="F40" s="64">
        <v>4.3099999999999996</v>
      </c>
      <c r="G40" s="64">
        <v>24.81</v>
      </c>
      <c r="H40" s="64">
        <v>14.19</v>
      </c>
      <c r="I40" s="64">
        <v>0.5</v>
      </c>
      <c r="J40" s="64">
        <v>0.98</v>
      </c>
      <c r="K40" s="64">
        <v>203.99</v>
      </c>
      <c r="L40" s="64">
        <v>21.86</v>
      </c>
      <c r="M40" s="64">
        <v>68.12</v>
      </c>
      <c r="N40" s="64">
        <v>253</v>
      </c>
      <c r="O40" s="64">
        <v>0</v>
      </c>
      <c r="P40" s="64">
        <v>0.43</v>
      </c>
      <c r="Q40" s="64">
        <v>4.21</v>
      </c>
      <c r="R40" s="198"/>
      <c r="S40" s="198"/>
      <c r="T40" s="198"/>
      <c r="U40" s="198"/>
    </row>
    <row r="41" spans="1:21" s="12" customFormat="1" x14ac:dyDescent="0.25">
      <c r="A41" s="218" t="s">
        <v>2204</v>
      </c>
      <c r="B41" s="64">
        <v>2.61</v>
      </c>
      <c r="C41" s="64">
        <v>34.86</v>
      </c>
      <c r="D41" s="64">
        <v>21.98</v>
      </c>
      <c r="E41" s="64">
        <v>1.27</v>
      </c>
      <c r="F41" s="64">
        <v>5.17</v>
      </c>
      <c r="G41" s="64">
        <v>24.53</v>
      </c>
      <c r="H41" s="64">
        <v>14.17</v>
      </c>
      <c r="I41" s="64">
        <v>0.49</v>
      </c>
      <c r="J41" s="64">
        <v>2.61</v>
      </c>
      <c r="K41" s="64">
        <v>182.33</v>
      </c>
      <c r="L41" s="64">
        <v>22.17</v>
      </c>
      <c r="M41" s="64">
        <v>64.64</v>
      </c>
      <c r="N41" s="64">
        <v>370</v>
      </c>
      <c r="O41" s="64">
        <v>0</v>
      </c>
      <c r="P41" s="64">
        <v>0.42</v>
      </c>
      <c r="Q41" s="64">
        <v>4.08</v>
      </c>
      <c r="R41" s="198"/>
      <c r="S41" s="198"/>
      <c r="T41" s="198"/>
      <c r="U41" s="198"/>
    </row>
    <row r="42" spans="1:21" s="12" customFormat="1" x14ac:dyDescent="0.25">
      <c r="A42" s="218" t="s">
        <v>2205</v>
      </c>
      <c r="B42" s="64">
        <v>2.52</v>
      </c>
      <c r="C42" s="64">
        <v>35.049999999999997</v>
      </c>
      <c r="D42" s="64">
        <v>22.01</v>
      </c>
      <c r="E42" s="64">
        <v>1.41</v>
      </c>
      <c r="F42" s="64">
        <v>5.9</v>
      </c>
      <c r="G42" s="64">
        <v>22.91</v>
      </c>
      <c r="H42" s="64">
        <v>14.07</v>
      </c>
      <c r="I42" s="64">
        <v>0.49</v>
      </c>
      <c r="J42" s="64">
        <v>2.08</v>
      </c>
      <c r="K42" s="64">
        <v>184.62</v>
      </c>
      <c r="L42" s="64">
        <v>22.47</v>
      </c>
      <c r="M42" s="64">
        <v>63.14</v>
      </c>
      <c r="N42" s="64">
        <v>277.2</v>
      </c>
      <c r="O42" s="64">
        <v>0</v>
      </c>
      <c r="P42" s="64">
        <v>0.42</v>
      </c>
      <c r="Q42" s="64">
        <v>3.6</v>
      </c>
      <c r="R42" s="198"/>
      <c r="S42" s="198"/>
      <c r="T42" s="198"/>
      <c r="U42" s="198"/>
    </row>
    <row r="43" spans="1:21" s="12" customFormat="1" x14ac:dyDescent="0.25">
      <c r="A43" s="218" t="s">
        <v>2206</v>
      </c>
      <c r="B43" s="64">
        <v>2.52</v>
      </c>
      <c r="C43" s="64">
        <v>36.049999999999997</v>
      </c>
      <c r="D43" s="64">
        <v>22.57</v>
      </c>
      <c r="E43" s="64">
        <v>1.43</v>
      </c>
      <c r="F43" s="64">
        <v>5.65</v>
      </c>
      <c r="G43" s="64">
        <v>22.91</v>
      </c>
      <c r="H43" s="64">
        <v>14.07</v>
      </c>
      <c r="I43" s="64">
        <v>0.49</v>
      </c>
      <c r="J43" s="64">
        <v>2.5299999999999998</v>
      </c>
      <c r="K43" s="64">
        <v>182.5</v>
      </c>
      <c r="L43" s="64">
        <v>22.56</v>
      </c>
      <c r="M43" s="64">
        <v>62.12</v>
      </c>
      <c r="N43" s="64">
        <v>272.2</v>
      </c>
      <c r="O43" s="64">
        <v>0</v>
      </c>
      <c r="P43" s="64">
        <v>0.41</v>
      </c>
      <c r="Q43" s="64">
        <v>4.1100000000000003</v>
      </c>
      <c r="R43" s="198"/>
      <c r="S43" s="198"/>
      <c r="T43" s="198"/>
      <c r="U43" s="198"/>
    </row>
    <row r="44" spans="1:21" s="12" customFormat="1" x14ac:dyDescent="0.25">
      <c r="A44" s="218" t="s">
        <v>2207</v>
      </c>
      <c r="B44" s="64">
        <v>2.88</v>
      </c>
      <c r="C44" s="64">
        <v>37.450000000000003</v>
      </c>
      <c r="D44" s="64">
        <v>23.63</v>
      </c>
      <c r="E44" s="64">
        <v>1.4</v>
      </c>
      <c r="F44" s="64">
        <v>5.4</v>
      </c>
      <c r="G44" s="64">
        <v>22.91</v>
      </c>
      <c r="H44" s="64">
        <v>14.07</v>
      </c>
      <c r="I44" s="64">
        <v>0.5</v>
      </c>
      <c r="J44" s="64">
        <v>1.66</v>
      </c>
      <c r="K44" s="64">
        <v>186.32</v>
      </c>
      <c r="L44" s="64">
        <v>22.75</v>
      </c>
      <c r="M44" s="64">
        <v>61.1</v>
      </c>
      <c r="N44" s="64">
        <v>140.9</v>
      </c>
      <c r="O44" s="64">
        <v>0</v>
      </c>
      <c r="P44" s="64">
        <v>0.42</v>
      </c>
      <c r="Q44" s="64">
        <v>4.74</v>
      </c>
      <c r="R44" s="198"/>
      <c r="S44" s="198"/>
      <c r="T44" s="198"/>
      <c r="U44" s="198"/>
    </row>
    <row r="45" spans="1:21" s="12" customFormat="1" x14ac:dyDescent="0.25">
      <c r="A45" s="218" t="s">
        <v>2208</v>
      </c>
      <c r="B45" s="64">
        <v>3.08</v>
      </c>
      <c r="C45" s="64">
        <v>38.18</v>
      </c>
      <c r="D45" s="64">
        <v>24.19</v>
      </c>
      <c r="E45" s="64">
        <v>1.49</v>
      </c>
      <c r="F45" s="64">
        <v>5.86</v>
      </c>
      <c r="G45" s="64">
        <v>22.64</v>
      </c>
      <c r="H45" s="64">
        <v>13.86</v>
      </c>
      <c r="I45" s="64">
        <v>0.49</v>
      </c>
      <c r="J45" s="64">
        <v>0.98</v>
      </c>
      <c r="K45" s="64">
        <v>176.37</v>
      </c>
      <c r="L45" s="64">
        <v>22.63</v>
      </c>
      <c r="M45" s="64">
        <v>60.11</v>
      </c>
      <c r="N45" s="64">
        <v>114.2</v>
      </c>
      <c r="O45" s="64">
        <v>0</v>
      </c>
      <c r="P45" s="64">
        <v>0.43</v>
      </c>
      <c r="Q45" s="64">
        <v>5.34</v>
      </c>
      <c r="R45" s="198"/>
      <c r="S45" s="198"/>
      <c r="T45" s="198"/>
      <c r="U45" s="198"/>
    </row>
    <row r="46" spans="1:21" s="12" customFormat="1" x14ac:dyDescent="0.25">
      <c r="A46" s="218" t="s">
        <v>2209</v>
      </c>
      <c r="B46" s="64">
        <v>2.97</v>
      </c>
      <c r="C46" s="64">
        <v>38.64</v>
      </c>
      <c r="D46" s="64">
        <v>24.36</v>
      </c>
      <c r="E46" s="64">
        <v>1.17</v>
      </c>
      <c r="F46" s="64">
        <v>5.84</v>
      </c>
      <c r="G46" s="64">
        <v>21.03</v>
      </c>
      <c r="H46" s="64">
        <v>12.98</v>
      </c>
      <c r="I46" s="64">
        <v>0.49</v>
      </c>
      <c r="J46" s="64">
        <v>0.45</v>
      </c>
      <c r="K46" s="64">
        <v>131.01</v>
      </c>
      <c r="L46" s="64">
        <v>22.99</v>
      </c>
      <c r="M46" s="64">
        <v>57.64</v>
      </c>
      <c r="N46" s="64">
        <v>191.8</v>
      </c>
      <c r="O46" s="64">
        <v>0</v>
      </c>
      <c r="P46" s="64">
        <v>0.43</v>
      </c>
      <c r="Q46" s="64">
        <v>6.65</v>
      </c>
      <c r="R46" s="198"/>
      <c r="S46" s="198"/>
      <c r="T46" s="198"/>
      <c r="U46" s="198"/>
    </row>
    <row r="47" spans="1:21" s="12" customFormat="1" x14ac:dyDescent="0.25">
      <c r="A47" s="218" t="s">
        <v>2210</v>
      </c>
      <c r="B47" s="64">
        <v>2.65</v>
      </c>
      <c r="C47" s="64">
        <v>33.68</v>
      </c>
      <c r="D47" s="64">
        <v>21.36</v>
      </c>
      <c r="E47" s="64">
        <v>1.07</v>
      </c>
      <c r="F47" s="64">
        <v>7.61</v>
      </c>
      <c r="G47" s="64">
        <v>21.03</v>
      </c>
      <c r="H47" s="64">
        <v>12.98</v>
      </c>
      <c r="I47" s="64">
        <v>0.5</v>
      </c>
      <c r="J47" s="64">
        <v>0.64</v>
      </c>
      <c r="K47" s="64">
        <v>120.45</v>
      </c>
      <c r="L47" s="64">
        <v>23.46</v>
      </c>
      <c r="M47" s="64">
        <v>54.79</v>
      </c>
      <c r="N47" s="64">
        <v>226.3</v>
      </c>
      <c r="O47" s="64">
        <v>0</v>
      </c>
      <c r="P47" s="64">
        <v>0.43</v>
      </c>
      <c r="Q47" s="64">
        <v>5.24</v>
      </c>
      <c r="R47" s="198"/>
      <c r="S47" s="198"/>
      <c r="T47" s="198"/>
      <c r="U47" s="198"/>
    </row>
    <row r="48" spans="1:21" s="12" customFormat="1" x14ac:dyDescent="0.25">
      <c r="A48" s="218" t="s">
        <v>2211</v>
      </c>
      <c r="B48" s="64">
        <v>2.5099999999999998</v>
      </c>
      <c r="C48" s="64">
        <v>34.65</v>
      </c>
      <c r="D48" s="64">
        <v>21.79</v>
      </c>
      <c r="E48" s="64">
        <v>1.3</v>
      </c>
      <c r="F48" s="64">
        <v>5.54</v>
      </c>
      <c r="G48" s="64">
        <v>21.03</v>
      </c>
      <c r="H48" s="64">
        <v>12.98</v>
      </c>
      <c r="I48" s="64">
        <v>0.49</v>
      </c>
      <c r="J48" s="64">
        <v>0.5</v>
      </c>
      <c r="K48" s="64">
        <v>179.36</v>
      </c>
      <c r="L48" s="64">
        <v>23.97</v>
      </c>
      <c r="M48" s="64">
        <v>51.62</v>
      </c>
      <c r="N48" s="64">
        <v>231.2</v>
      </c>
      <c r="O48" s="64">
        <v>0</v>
      </c>
      <c r="P48" s="64">
        <v>0.43</v>
      </c>
      <c r="Q48" s="64">
        <v>5.93</v>
      </c>
      <c r="R48" s="198"/>
      <c r="S48" s="198"/>
      <c r="T48" s="198"/>
      <c r="U48" s="198"/>
    </row>
    <row r="49" spans="1:21" s="12" customFormat="1" x14ac:dyDescent="0.25">
      <c r="A49" s="218" t="s">
        <v>2212</v>
      </c>
      <c r="B49" s="64">
        <v>2.4300000000000002</v>
      </c>
      <c r="C49" s="64">
        <v>37.69</v>
      </c>
      <c r="D49" s="64">
        <v>23.4</v>
      </c>
      <c r="E49" s="64">
        <v>1.77</v>
      </c>
      <c r="F49" s="64">
        <v>7.73</v>
      </c>
      <c r="G49" s="64">
        <v>21.04</v>
      </c>
      <c r="H49" s="64">
        <v>14.2</v>
      </c>
      <c r="I49" s="64">
        <v>0.5</v>
      </c>
      <c r="J49" s="64">
        <v>0.54</v>
      </c>
      <c r="K49" s="64">
        <v>190.09</v>
      </c>
      <c r="L49" s="64">
        <v>24.45</v>
      </c>
      <c r="M49" s="64">
        <v>49.97</v>
      </c>
      <c r="N49" s="64">
        <v>270.89999999999998</v>
      </c>
      <c r="O49" s="64">
        <v>0</v>
      </c>
      <c r="P49" s="64">
        <v>0.43</v>
      </c>
      <c r="Q49" s="64">
        <v>7.23</v>
      </c>
      <c r="R49" s="198"/>
      <c r="S49" s="198"/>
      <c r="T49" s="198"/>
      <c r="U49" s="198"/>
    </row>
    <row r="50" spans="1:21" s="12" customFormat="1" x14ac:dyDescent="0.25">
      <c r="A50" s="218" t="s">
        <v>2213</v>
      </c>
      <c r="B50" s="64">
        <v>2.41</v>
      </c>
      <c r="C50" s="64">
        <v>37.869999999999997</v>
      </c>
      <c r="D50" s="64">
        <v>23.48</v>
      </c>
      <c r="E50" s="64">
        <v>1.2</v>
      </c>
      <c r="F50" s="64">
        <v>4.8499999999999996</v>
      </c>
      <c r="G50" s="64">
        <v>21.05</v>
      </c>
      <c r="H50" s="64">
        <v>19.3</v>
      </c>
      <c r="I50" s="64">
        <v>0.5</v>
      </c>
      <c r="J50" s="64">
        <v>0.54</v>
      </c>
      <c r="K50" s="64">
        <v>198.92</v>
      </c>
      <c r="L50" s="64">
        <v>25.04</v>
      </c>
      <c r="M50" s="64">
        <v>48.43</v>
      </c>
      <c r="N50" s="64">
        <v>361.4</v>
      </c>
      <c r="O50" s="64">
        <v>0</v>
      </c>
      <c r="P50" s="64">
        <v>0.43</v>
      </c>
      <c r="Q50" s="64">
        <v>7.46</v>
      </c>
      <c r="R50" s="198"/>
      <c r="S50" s="198"/>
      <c r="T50" s="198"/>
      <c r="U50" s="198"/>
    </row>
    <row r="51" spans="1:21" s="12" customFormat="1" x14ac:dyDescent="0.25">
      <c r="A51" s="218" t="s">
        <v>2214</v>
      </c>
      <c r="B51" s="64">
        <v>2.0299999999999998</v>
      </c>
      <c r="C51" s="64">
        <v>35.72</v>
      </c>
      <c r="D51" s="64">
        <v>21.99</v>
      </c>
      <c r="E51" s="64">
        <v>1.36</v>
      </c>
      <c r="F51" s="64">
        <v>28.72</v>
      </c>
      <c r="G51" s="64">
        <v>21.05</v>
      </c>
      <c r="H51" s="64">
        <v>19.3</v>
      </c>
      <c r="I51" s="64">
        <v>0.48</v>
      </c>
      <c r="J51" s="64">
        <v>1.03</v>
      </c>
      <c r="K51" s="64">
        <v>205.02</v>
      </c>
      <c r="L51" s="64">
        <v>25.18</v>
      </c>
      <c r="M51" s="64">
        <v>46.85</v>
      </c>
      <c r="N51" s="64">
        <v>356.1</v>
      </c>
      <c r="O51" s="64">
        <v>0</v>
      </c>
      <c r="P51" s="64">
        <v>0.38</v>
      </c>
      <c r="Q51" s="64">
        <v>3.51</v>
      </c>
      <c r="R51" s="198"/>
      <c r="S51" s="198"/>
      <c r="T51" s="198"/>
      <c r="U51" s="198"/>
    </row>
    <row r="52" spans="1:21" s="12" customFormat="1" x14ac:dyDescent="0.25">
      <c r="A52" s="218" t="s">
        <v>2215</v>
      </c>
      <c r="B52" s="64">
        <v>1.78</v>
      </c>
      <c r="C52" s="64">
        <v>37.69</v>
      </c>
      <c r="D52" s="64">
        <v>22.87</v>
      </c>
      <c r="E52" s="64">
        <v>74.38</v>
      </c>
      <c r="F52" s="64">
        <v>26.8</v>
      </c>
      <c r="G52" s="64">
        <v>21.05</v>
      </c>
      <c r="H52" s="64">
        <v>19.3</v>
      </c>
      <c r="I52" s="64">
        <v>0.49</v>
      </c>
      <c r="J52" s="64">
        <v>0.59</v>
      </c>
      <c r="K52" s="64">
        <v>184.59</v>
      </c>
      <c r="L52" s="64">
        <v>25.54</v>
      </c>
      <c r="M52" s="64">
        <v>46.5</v>
      </c>
      <c r="N52" s="64">
        <v>297.2</v>
      </c>
      <c r="O52" s="64">
        <v>0</v>
      </c>
      <c r="P52" s="64">
        <v>0.37</v>
      </c>
      <c r="Q52" s="64">
        <v>2.0699999999999998</v>
      </c>
      <c r="R52" s="198"/>
      <c r="S52" s="198"/>
      <c r="T52" s="198"/>
      <c r="U52" s="198"/>
    </row>
    <row r="53" spans="1:21" s="12" customFormat="1" x14ac:dyDescent="0.25">
      <c r="A53" s="218" t="s">
        <v>2216</v>
      </c>
      <c r="B53" s="64">
        <v>1.76</v>
      </c>
      <c r="C53" s="64">
        <v>40.99</v>
      </c>
      <c r="D53" s="64">
        <v>24.68</v>
      </c>
      <c r="E53" s="64">
        <v>181.31</v>
      </c>
      <c r="F53" s="64">
        <v>19.809999999999999</v>
      </c>
      <c r="G53" s="64">
        <v>21.05</v>
      </c>
      <c r="H53" s="64">
        <v>19.3</v>
      </c>
      <c r="I53" s="64">
        <v>0.45</v>
      </c>
      <c r="J53" s="64">
        <v>0.64</v>
      </c>
      <c r="K53" s="64">
        <v>197.3</v>
      </c>
      <c r="L53" s="64">
        <v>25.44</v>
      </c>
      <c r="M53" s="64">
        <v>46.28</v>
      </c>
      <c r="N53" s="64">
        <v>271.5</v>
      </c>
      <c r="O53" s="64">
        <v>0</v>
      </c>
      <c r="P53" s="64">
        <v>0.37</v>
      </c>
      <c r="Q53" s="64">
        <v>3.3</v>
      </c>
      <c r="R53" s="198"/>
      <c r="S53" s="198"/>
      <c r="T53" s="198"/>
      <c r="U53" s="198"/>
    </row>
    <row r="54" spans="1:21" s="12" customFormat="1" x14ac:dyDescent="0.25">
      <c r="A54" s="218" t="s">
        <v>2217</v>
      </c>
      <c r="B54" s="64">
        <v>1.66</v>
      </c>
      <c r="C54" s="64">
        <v>39.880000000000003</v>
      </c>
      <c r="D54" s="64">
        <v>23.99</v>
      </c>
      <c r="E54" s="64">
        <v>194.51</v>
      </c>
      <c r="F54" s="64">
        <v>13.98</v>
      </c>
      <c r="G54" s="64">
        <v>21.05</v>
      </c>
      <c r="H54" s="64">
        <v>19.3</v>
      </c>
      <c r="I54" s="64">
        <v>0.45</v>
      </c>
      <c r="J54" s="64">
        <v>0.89</v>
      </c>
      <c r="K54" s="64">
        <v>174.91</v>
      </c>
      <c r="L54" s="64">
        <v>26.14</v>
      </c>
      <c r="M54" s="64">
        <v>43.96</v>
      </c>
      <c r="N54" s="64">
        <v>698.4</v>
      </c>
      <c r="O54" s="64">
        <v>0</v>
      </c>
      <c r="P54" s="64">
        <v>0.36</v>
      </c>
      <c r="Q54" s="64">
        <v>5.72</v>
      </c>
      <c r="R54" s="198"/>
      <c r="S54" s="198"/>
      <c r="T54" s="198"/>
      <c r="U54" s="198"/>
    </row>
    <row r="55" spans="1:21" s="12" customFormat="1" x14ac:dyDescent="0.25">
      <c r="A55" s="218" t="s">
        <v>2218</v>
      </c>
      <c r="B55" s="64">
        <v>1.94</v>
      </c>
      <c r="C55" s="64">
        <v>35.06</v>
      </c>
      <c r="D55" s="64">
        <v>21.55</v>
      </c>
      <c r="E55" s="64">
        <v>3.86</v>
      </c>
      <c r="F55" s="64">
        <v>20.75</v>
      </c>
      <c r="G55" s="64">
        <v>6.08</v>
      </c>
      <c r="H55" s="64">
        <v>5.58</v>
      </c>
      <c r="I55" s="64">
        <v>0.45</v>
      </c>
      <c r="J55" s="64">
        <v>0.38</v>
      </c>
      <c r="K55" s="64">
        <v>136.13999999999999</v>
      </c>
      <c r="L55" s="64">
        <v>28.23</v>
      </c>
      <c r="M55" s="64">
        <v>40.08</v>
      </c>
      <c r="N55" s="64">
        <v>913.9</v>
      </c>
      <c r="O55" s="64">
        <v>0</v>
      </c>
      <c r="P55" s="64">
        <v>0.37</v>
      </c>
      <c r="Q55" s="64">
        <v>8.31</v>
      </c>
      <c r="R55" s="198"/>
      <c r="S55" s="198"/>
      <c r="T55" s="198"/>
      <c r="U55" s="198"/>
    </row>
    <row r="56" spans="1:21" s="12" customFormat="1" x14ac:dyDescent="0.25">
      <c r="A56" s="218" t="s">
        <v>2219</v>
      </c>
      <c r="B56" s="64">
        <v>2.6</v>
      </c>
      <c r="C56" s="64">
        <v>37.729999999999997</v>
      </c>
      <c r="D56" s="64">
        <v>23.56</v>
      </c>
      <c r="E56" s="64">
        <v>1.51</v>
      </c>
      <c r="F56" s="64">
        <v>15.4</v>
      </c>
      <c r="G56" s="214" t="s">
        <v>40</v>
      </c>
      <c r="H56" s="214" t="s">
        <v>40</v>
      </c>
      <c r="I56" s="64">
        <v>0.45</v>
      </c>
      <c r="J56" s="64">
        <v>0.13</v>
      </c>
      <c r="K56" s="64">
        <v>108.61</v>
      </c>
      <c r="L56" s="64">
        <v>28.32</v>
      </c>
      <c r="M56" s="64">
        <v>38.99</v>
      </c>
      <c r="N56" s="64">
        <v>936.5</v>
      </c>
      <c r="O56" s="64">
        <v>0</v>
      </c>
      <c r="P56" s="64">
        <v>4.71</v>
      </c>
      <c r="Q56" s="64">
        <v>10.220000000000001</v>
      </c>
      <c r="R56" s="198"/>
      <c r="S56" s="198"/>
      <c r="T56" s="198"/>
      <c r="U56" s="198"/>
    </row>
    <row r="57" spans="1:21" s="12" customFormat="1" x14ac:dyDescent="0.25">
      <c r="A57" s="218" t="s">
        <v>2220</v>
      </c>
      <c r="B57" s="64">
        <v>2.12</v>
      </c>
      <c r="C57" s="64">
        <v>31.44</v>
      </c>
      <c r="D57" s="64">
        <v>19.690000000000001</v>
      </c>
      <c r="E57" s="64">
        <v>2.08</v>
      </c>
      <c r="F57" s="64">
        <v>13.2</v>
      </c>
      <c r="G57" s="214" t="s">
        <v>40</v>
      </c>
      <c r="H57" s="214" t="s">
        <v>40</v>
      </c>
      <c r="I57" s="64">
        <v>0.45</v>
      </c>
      <c r="J57" s="64">
        <v>0.25</v>
      </c>
      <c r="K57" s="64">
        <v>267.95</v>
      </c>
      <c r="L57" s="64">
        <v>29.73</v>
      </c>
      <c r="M57" s="64">
        <v>34.94</v>
      </c>
      <c r="N57" s="64">
        <v>908.6</v>
      </c>
      <c r="O57" s="64">
        <v>0</v>
      </c>
      <c r="P57" s="64">
        <v>4.83</v>
      </c>
      <c r="Q57" s="64">
        <v>6.34</v>
      </c>
      <c r="R57" s="198"/>
      <c r="S57" s="198"/>
      <c r="T57" s="198"/>
      <c r="U57" s="198"/>
    </row>
    <row r="58" spans="1:21" s="12" customFormat="1" x14ac:dyDescent="0.25">
      <c r="A58" s="218" t="s">
        <v>2221</v>
      </c>
      <c r="B58" s="64">
        <v>1.83</v>
      </c>
      <c r="C58" s="64">
        <v>27.3</v>
      </c>
      <c r="D58" s="64">
        <v>17.18</v>
      </c>
      <c r="E58" s="64">
        <v>2.35</v>
      </c>
      <c r="F58" s="64">
        <v>19.989999999999998</v>
      </c>
      <c r="G58" s="214" t="s">
        <v>40</v>
      </c>
      <c r="H58" s="214" t="s">
        <v>40</v>
      </c>
      <c r="I58" s="64">
        <v>0.46</v>
      </c>
      <c r="J58" s="64">
        <v>0.31</v>
      </c>
      <c r="K58" s="64">
        <v>133.27000000000001</v>
      </c>
      <c r="L58" s="64">
        <v>30.34</v>
      </c>
      <c r="M58" s="64">
        <v>34.65</v>
      </c>
      <c r="N58" s="64">
        <v>919.2</v>
      </c>
      <c r="O58" s="64">
        <v>0</v>
      </c>
      <c r="P58" s="64">
        <v>4.87</v>
      </c>
      <c r="Q58" s="64">
        <v>5</v>
      </c>
      <c r="R58" s="198"/>
      <c r="S58" s="198"/>
      <c r="T58" s="198"/>
      <c r="U58" s="198"/>
    </row>
    <row r="59" spans="1:21" s="12" customFormat="1" x14ac:dyDescent="0.25">
      <c r="A59" s="218" t="s">
        <v>2222</v>
      </c>
      <c r="B59" s="64">
        <v>3.29</v>
      </c>
      <c r="C59" s="64">
        <v>30.05</v>
      </c>
      <c r="D59" s="64">
        <v>19.87</v>
      </c>
      <c r="E59" s="64">
        <v>2.31</v>
      </c>
      <c r="F59" s="64">
        <v>20.39</v>
      </c>
      <c r="G59" s="211" t="s">
        <v>43</v>
      </c>
      <c r="H59" s="211" t="s">
        <v>43</v>
      </c>
      <c r="I59" s="64">
        <v>0.47</v>
      </c>
      <c r="J59" s="64">
        <v>0.73</v>
      </c>
      <c r="K59" s="64">
        <v>335.56</v>
      </c>
      <c r="L59" s="64">
        <v>33.42</v>
      </c>
      <c r="M59" s="64">
        <v>29.73</v>
      </c>
      <c r="N59" s="64">
        <v>914.9</v>
      </c>
      <c r="O59" s="64">
        <v>0</v>
      </c>
      <c r="P59" s="64">
        <v>0.43</v>
      </c>
      <c r="Q59" s="64">
        <v>6.47</v>
      </c>
      <c r="R59" s="198"/>
      <c r="S59" s="198"/>
      <c r="T59" s="198"/>
      <c r="U59" s="198"/>
    </row>
    <row r="60" spans="1:21" s="12" customFormat="1" x14ac:dyDescent="0.25">
      <c r="A60" s="218" t="s">
        <v>2223</v>
      </c>
      <c r="B60" s="64">
        <v>119.63</v>
      </c>
      <c r="C60" s="64">
        <v>10.83</v>
      </c>
      <c r="D60" s="64">
        <v>130.47</v>
      </c>
      <c r="E60" s="64">
        <v>2.4</v>
      </c>
      <c r="F60" s="64">
        <v>14.59</v>
      </c>
      <c r="G60" s="211" t="s">
        <v>43</v>
      </c>
      <c r="H60" s="211" t="s">
        <v>43</v>
      </c>
      <c r="I60" s="64">
        <v>0.48</v>
      </c>
      <c r="J60" s="64">
        <v>0.39</v>
      </c>
      <c r="K60" s="64">
        <v>332.17</v>
      </c>
      <c r="L60" s="64">
        <v>33.950000000000003</v>
      </c>
      <c r="M60" s="64">
        <v>29.57</v>
      </c>
      <c r="N60" s="64">
        <v>893.4</v>
      </c>
      <c r="O60" s="64">
        <v>0</v>
      </c>
      <c r="P60" s="64">
        <v>0.48</v>
      </c>
      <c r="Q60" s="64">
        <v>7.05</v>
      </c>
      <c r="R60" s="198"/>
      <c r="S60" s="198"/>
      <c r="T60" s="198"/>
      <c r="U60" s="198"/>
    </row>
    <row r="61" spans="1:21" s="12" customFormat="1" x14ac:dyDescent="0.25">
      <c r="A61" s="218" t="s">
        <v>2224</v>
      </c>
      <c r="B61" s="64">
        <v>132.27000000000001</v>
      </c>
      <c r="C61" s="64">
        <v>11.91</v>
      </c>
      <c r="D61" s="64">
        <v>144.18</v>
      </c>
      <c r="E61" s="64">
        <v>2.12</v>
      </c>
      <c r="F61" s="64">
        <v>15.95</v>
      </c>
      <c r="G61" s="211" t="s">
        <v>43</v>
      </c>
      <c r="H61" s="211" t="s">
        <v>43</v>
      </c>
      <c r="I61" s="64">
        <v>0.47</v>
      </c>
      <c r="J61" s="64">
        <v>0.92</v>
      </c>
      <c r="K61" s="64">
        <v>334.74</v>
      </c>
      <c r="L61" s="64">
        <v>34.61</v>
      </c>
      <c r="M61" s="64">
        <v>27.76</v>
      </c>
      <c r="N61" s="64">
        <v>845.8</v>
      </c>
      <c r="O61" s="64">
        <v>0</v>
      </c>
      <c r="P61" s="64">
        <v>0.47</v>
      </c>
      <c r="Q61" s="64">
        <v>7.93</v>
      </c>
      <c r="R61" s="198"/>
      <c r="S61" s="198"/>
      <c r="T61" s="198"/>
      <c r="U61" s="198"/>
    </row>
    <row r="62" spans="1:21" s="12" customFormat="1" x14ac:dyDescent="0.25">
      <c r="A62" s="218" t="s">
        <v>2225</v>
      </c>
      <c r="B62" s="64">
        <v>157.85</v>
      </c>
      <c r="C62" s="64">
        <v>13.67</v>
      </c>
      <c r="D62" s="64">
        <v>171.52</v>
      </c>
      <c r="E62" s="64">
        <v>2.56</v>
      </c>
      <c r="F62" s="64">
        <v>26.13</v>
      </c>
      <c r="G62" s="211" t="s">
        <v>43</v>
      </c>
      <c r="H62" s="211" t="s">
        <v>43</v>
      </c>
      <c r="I62" s="64">
        <v>0.48</v>
      </c>
      <c r="J62" s="64">
        <v>0.56999999999999995</v>
      </c>
      <c r="K62" s="64">
        <v>339.36</v>
      </c>
      <c r="L62" s="64">
        <v>35.33</v>
      </c>
      <c r="M62" s="64">
        <v>26.21</v>
      </c>
      <c r="N62" s="64">
        <v>819.2</v>
      </c>
      <c r="O62" s="64">
        <v>0</v>
      </c>
      <c r="P62" s="64">
        <v>0.48</v>
      </c>
      <c r="Q62" s="64">
        <v>7.36</v>
      </c>
      <c r="R62" s="198"/>
      <c r="S62" s="198"/>
      <c r="T62" s="198"/>
      <c r="U62" s="198"/>
    </row>
    <row r="63" spans="1:21" s="12" customFormat="1" x14ac:dyDescent="0.25">
      <c r="A63" s="218" t="s">
        <v>2226</v>
      </c>
      <c r="B63" s="64">
        <v>169.12</v>
      </c>
      <c r="C63" s="64">
        <v>15.02</v>
      </c>
      <c r="D63" s="64">
        <v>184.14</v>
      </c>
      <c r="E63" s="64">
        <v>6.81</v>
      </c>
      <c r="F63" s="64">
        <v>20.25</v>
      </c>
      <c r="G63" s="64">
        <v>22.76</v>
      </c>
      <c r="H63" s="64">
        <v>13.05</v>
      </c>
      <c r="I63" s="64">
        <v>0.48</v>
      </c>
      <c r="J63" s="64">
        <v>0.56999999999999995</v>
      </c>
      <c r="K63" s="64">
        <v>342.15</v>
      </c>
      <c r="L63" s="64">
        <v>35.299999999999997</v>
      </c>
      <c r="M63" s="64">
        <v>26.12</v>
      </c>
      <c r="N63" s="64">
        <v>672.3</v>
      </c>
      <c r="O63" s="64">
        <v>0</v>
      </c>
      <c r="P63" s="64">
        <v>0.54</v>
      </c>
      <c r="Q63" s="64">
        <v>6.42</v>
      </c>
      <c r="R63" s="198"/>
      <c r="S63" s="198"/>
      <c r="T63" s="198"/>
      <c r="U63" s="198"/>
    </row>
    <row r="64" spans="1:21" s="12" customFormat="1" x14ac:dyDescent="0.25">
      <c r="A64" s="218" t="s">
        <v>2227</v>
      </c>
      <c r="B64" s="64">
        <v>174.42</v>
      </c>
      <c r="C64" s="64">
        <v>15.23</v>
      </c>
      <c r="D64" s="64">
        <v>189.65</v>
      </c>
      <c r="E64" s="64">
        <v>3.04</v>
      </c>
      <c r="F64" s="64">
        <v>22.74</v>
      </c>
      <c r="G64" s="64">
        <v>22.76</v>
      </c>
      <c r="H64" s="64">
        <v>13.05</v>
      </c>
      <c r="I64" s="64">
        <v>0.47</v>
      </c>
      <c r="J64" s="64">
        <v>0.34</v>
      </c>
      <c r="K64" s="64">
        <v>349.76</v>
      </c>
      <c r="L64" s="64">
        <v>34.44</v>
      </c>
      <c r="M64" s="64">
        <v>26.25</v>
      </c>
      <c r="N64" s="64">
        <v>687.9</v>
      </c>
      <c r="O64" s="64">
        <v>0</v>
      </c>
      <c r="P64" s="64">
        <v>0.52</v>
      </c>
      <c r="Q64" s="64">
        <v>8.24</v>
      </c>
      <c r="R64" s="198"/>
      <c r="S64" s="198"/>
      <c r="T64" s="198"/>
      <c r="U64" s="198"/>
    </row>
    <row r="65" spans="1:21" s="12" customFormat="1" x14ac:dyDescent="0.25">
      <c r="A65" s="218" t="s">
        <v>2228</v>
      </c>
      <c r="B65" s="64">
        <v>170.83</v>
      </c>
      <c r="C65" s="64">
        <v>15.81</v>
      </c>
      <c r="D65" s="64">
        <v>186.63</v>
      </c>
      <c r="E65" s="64">
        <v>3.16</v>
      </c>
      <c r="F65" s="64">
        <v>14.5</v>
      </c>
      <c r="G65" s="64">
        <v>22.76</v>
      </c>
      <c r="H65" s="64">
        <v>13.05</v>
      </c>
      <c r="I65" s="64">
        <v>0.48</v>
      </c>
      <c r="J65" s="64">
        <v>0.28999999999999998</v>
      </c>
      <c r="K65" s="64">
        <v>329.69</v>
      </c>
      <c r="L65" s="64">
        <v>35.200000000000003</v>
      </c>
      <c r="M65" s="64">
        <v>23.63</v>
      </c>
      <c r="N65" s="64">
        <v>696</v>
      </c>
      <c r="O65" s="64">
        <v>0</v>
      </c>
      <c r="P65" s="64">
        <v>0.53</v>
      </c>
      <c r="Q65" s="64">
        <v>10.31</v>
      </c>
      <c r="R65" s="198"/>
      <c r="S65" s="198"/>
      <c r="T65" s="198"/>
      <c r="U65" s="198"/>
    </row>
    <row r="66" spans="1:21" s="12" customFormat="1" x14ac:dyDescent="0.25">
      <c r="A66" s="218" t="s">
        <v>2229</v>
      </c>
      <c r="B66" s="64">
        <v>2.37</v>
      </c>
      <c r="C66" s="64">
        <v>40.19</v>
      </c>
      <c r="D66" s="64">
        <v>25.58</v>
      </c>
      <c r="E66" s="64">
        <v>4.82</v>
      </c>
      <c r="F66" s="64">
        <v>19.89</v>
      </c>
      <c r="G66" s="64">
        <v>22.76</v>
      </c>
      <c r="H66" s="64">
        <v>13.05</v>
      </c>
      <c r="I66" s="64">
        <v>0.48</v>
      </c>
      <c r="J66" s="64">
        <v>0.27</v>
      </c>
      <c r="K66" s="64">
        <v>271.72000000000003</v>
      </c>
      <c r="L66" s="64">
        <v>34.57</v>
      </c>
      <c r="M66" s="64">
        <v>23.05</v>
      </c>
      <c r="N66" s="64">
        <v>639.29999999999995</v>
      </c>
      <c r="O66" s="64">
        <v>0</v>
      </c>
      <c r="P66" s="64">
        <v>0.56000000000000005</v>
      </c>
      <c r="Q66" s="64">
        <v>7.69</v>
      </c>
      <c r="R66" s="198"/>
      <c r="S66" s="198"/>
      <c r="T66" s="198"/>
      <c r="U66" s="198"/>
    </row>
    <row r="67" spans="1:21" s="12" customFormat="1" x14ac:dyDescent="0.25">
      <c r="A67" s="218" t="s">
        <v>2230</v>
      </c>
      <c r="B67" s="64">
        <v>2.75</v>
      </c>
      <c r="C67" s="64">
        <v>38.57</v>
      </c>
      <c r="D67" s="64">
        <v>24.14</v>
      </c>
      <c r="E67" s="64">
        <v>8.31</v>
      </c>
      <c r="F67" s="64">
        <v>21.03</v>
      </c>
      <c r="G67" s="64">
        <v>22.36</v>
      </c>
      <c r="H67" s="64">
        <v>13.19</v>
      </c>
      <c r="I67" s="64">
        <v>0.48</v>
      </c>
      <c r="J67" s="64">
        <v>0.63</v>
      </c>
      <c r="K67" s="64">
        <v>219.73</v>
      </c>
      <c r="L67" s="64">
        <v>33.51</v>
      </c>
      <c r="M67" s="64">
        <v>22.62</v>
      </c>
      <c r="N67" s="64">
        <v>611</v>
      </c>
      <c r="O67" s="64">
        <v>0</v>
      </c>
      <c r="P67" s="64">
        <v>0.59</v>
      </c>
      <c r="Q67" s="64">
        <v>4.88</v>
      </c>
      <c r="R67" s="198"/>
      <c r="S67" s="198"/>
      <c r="T67" s="198"/>
      <c r="U67" s="198"/>
    </row>
    <row r="68" spans="1:21" s="12" customFormat="1" x14ac:dyDescent="0.25">
      <c r="A68" s="218" t="s">
        <v>2231</v>
      </c>
      <c r="B68" s="64">
        <v>2.98</v>
      </c>
      <c r="C68" s="64">
        <v>37.049999999999997</v>
      </c>
      <c r="D68" s="64">
        <v>23.48</v>
      </c>
      <c r="E68" s="64">
        <v>9.58</v>
      </c>
      <c r="F68" s="64">
        <v>21.86</v>
      </c>
      <c r="G68" s="64">
        <v>22.2</v>
      </c>
      <c r="H68" s="64">
        <v>13.19</v>
      </c>
      <c r="I68" s="64">
        <v>0.49</v>
      </c>
      <c r="J68" s="64">
        <v>0.19</v>
      </c>
      <c r="K68" s="64">
        <v>333.19</v>
      </c>
      <c r="L68" s="64">
        <v>34.01</v>
      </c>
      <c r="M68" s="64">
        <v>21.58</v>
      </c>
      <c r="N68" s="64">
        <v>551.5</v>
      </c>
      <c r="O68" s="64">
        <v>0</v>
      </c>
      <c r="P68" s="64">
        <v>0.6</v>
      </c>
      <c r="Q68" s="64">
        <v>3.55</v>
      </c>
      <c r="R68" s="198"/>
      <c r="S68" s="198"/>
      <c r="T68" s="198"/>
      <c r="U68" s="198"/>
    </row>
    <row r="69" spans="1:21" s="12" customFormat="1" x14ac:dyDescent="0.25">
      <c r="A69" s="218" t="s">
        <v>2232</v>
      </c>
      <c r="B69" s="64">
        <v>2.71</v>
      </c>
      <c r="C69" s="64">
        <v>50.51</v>
      </c>
      <c r="D69" s="64">
        <v>30.7</v>
      </c>
      <c r="E69" s="64">
        <v>9.26</v>
      </c>
      <c r="F69" s="64">
        <v>18.12</v>
      </c>
      <c r="G69" s="64">
        <v>22.2</v>
      </c>
      <c r="H69" s="64">
        <v>13.19</v>
      </c>
      <c r="I69" s="64">
        <v>0.48</v>
      </c>
      <c r="J69" s="64">
        <v>0.65</v>
      </c>
      <c r="K69" s="64">
        <v>192.66</v>
      </c>
      <c r="L69" s="64">
        <v>33.54</v>
      </c>
      <c r="M69" s="64">
        <v>21.85</v>
      </c>
      <c r="N69" s="64">
        <v>374.2</v>
      </c>
      <c r="O69" s="64">
        <v>0</v>
      </c>
      <c r="P69" s="64">
        <v>0.61</v>
      </c>
      <c r="Q69" s="64">
        <v>10.95</v>
      </c>
      <c r="R69" s="198"/>
      <c r="S69" s="198"/>
      <c r="T69" s="198"/>
      <c r="U69" s="198"/>
    </row>
    <row r="70" spans="1:21" s="12" customFormat="1" x14ac:dyDescent="0.25">
      <c r="A70" s="218" t="s">
        <v>2233</v>
      </c>
      <c r="B70" s="64">
        <v>2.14</v>
      </c>
      <c r="C70" s="64">
        <v>41.31</v>
      </c>
      <c r="D70" s="64">
        <v>25.16</v>
      </c>
      <c r="E70" s="64">
        <v>5.26</v>
      </c>
      <c r="F70" s="64">
        <v>12.01</v>
      </c>
      <c r="G70" s="64">
        <v>22.2</v>
      </c>
      <c r="H70" s="64">
        <v>13.19</v>
      </c>
      <c r="I70" s="64">
        <v>0.49</v>
      </c>
      <c r="J70" s="64">
        <v>0.35</v>
      </c>
      <c r="K70" s="64">
        <v>227</v>
      </c>
      <c r="L70" s="64">
        <v>32.909999999999997</v>
      </c>
      <c r="M70" s="64">
        <v>23.16</v>
      </c>
      <c r="N70" s="64">
        <v>178.2</v>
      </c>
      <c r="O70" s="64">
        <v>0</v>
      </c>
      <c r="P70" s="64">
        <v>0.56000000000000005</v>
      </c>
      <c r="Q70" s="64">
        <v>10.029999999999999</v>
      </c>
      <c r="R70" s="198"/>
      <c r="S70" s="198"/>
      <c r="T70" s="198"/>
      <c r="U70" s="198"/>
    </row>
    <row r="71" spans="1:21" s="12" customFormat="1" x14ac:dyDescent="0.25">
      <c r="A71" s="218" t="s">
        <v>2234</v>
      </c>
      <c r="B71" s="64">
        <v>2.4900000000000002</v>
      </c>
      <c r="C71" s="64">
        <v>36.67</v>
      </c>
      <c r="D71" s="64">
        <v>22.88</v>
      </c>
      <c r="E71" s="64">
        <v>5.04</v>
      </c>
      <c r="F71" s="64">
        <v>19.04</v>
      </c>
      <c r="G71" s="64">
        <v>26.23</v>
      </c>
      <c r="H71" s="64">
        <v>15.14</v>
      </c>
      <c r="I71" s="64">
        <v>0.5</v>
      </c>
      <c r="J71" s="64">
        <v>0.44</v>
      </c>
      <c r="K71" s="64">
        <v>196.5</v>
      </c>
      <c r="L71" s="64">
        <v>32.840000000000003</v>
      </c>
      <c r="M71" s="64">
        <v>23.99</v>
      </c>
      <c r="N71" s="64">
        <v>186.6</v>
      </c>
      <c r="O71" s="64">
        <v>0</v>
      </c>
      <c r="P71" s="64">
        <v>0.56000000000000005</v>
      </c>
      <c r="Q71" s="64">
        <v>7.41</v>
      </c>
      <c r="R71" s="198"/>
      <c r="S71" s="198"/>
      <c r="T71" s="198"/>
      <c r="U71" s="198"/>
    </row>
    <row r="72" spans="1:21" s="12" customFormat="1" x14ac:dyDescent="0.25">
      <c r="A72" s="218" t="s">
        <v>2235</v>
      </c>
      <c r="B72" s="64">
        <v>2.0699999999999998</v>
      </c>
      <c r="C72" s="64">
        <v>36.5</v>
      </c>
      <c r="D72" s="64">
        <v>22.45</v>
      </c>
      <c r="E72" s="64">
        <v>2.95</v>
      </c>
      <c r="F72" s="64">
        <v>18.73</v>
      </c>
      <c r="G72" s="64">
        <v>27.78</v>
      </c>
      <c r="H72" s="64">
        <v>15.24</v>
      </c>
      <c r="I72" s="64">
        <v>0.54</v>
      </c>
      <c r="J72" s="64">
        <v>0.64</v>
      </c>
      <c r="K72" s="64">
        <v>198.08</v>
      </c>
      <c r="L72" s="64">
        <v>32.61</v>
      </c>
      <c r="M72" s="64">
        <v>24.4</v>
      </c>
      <c r="N72" s="64">
        <v>131.80000000000001</v>
      </c>
      <c r="O72" s="64">
        <v>0</v>
      </c>
      <c r="P72" s="64">
        <v>0.55000000000000004</v>
      </c>
      <c r="Q72" s="64">
        <v>7.44</v>
      </c>
      <c r="R72" s="198"/>
      <c r="S72" s="198"/>
      <c r="T72" s="198"/>
      <c r="U72" s="198"/>
    </row>
    <row r="73" spans="1:21" s="12" customFormat="1" x14ac:dyDescent="0.25">
      <c r="A73" s="218" t="s">
        <v>2236</v>
      </c>
      <c r="B73" s="64">
        <v>3.52</v>
      </c>
      <c r="C73" s="64">
        <v>43.01</v>
      </c>
      <c r="D73" s="64">
        <v>27.2</v>
      </c>
      <c r="E73" s="64">
        <v>5.13</v>
      </c>
      <c r="F73" s="64">
        <v>31.15</v>
      </c>
      <c r="G73" s="64">
        <v>27.78</v>
      </c>
      <c r="H73" s="64">
        <v>15.24</v>
      </c>
      <c r="I73" s="64">
        <v>0.54</v>
      </c>
      <c r="J73" s="64">
        <v>0.17</v>
      </c>
      <c r="K73" s="64">
        <v>299</v>
      </c>
      <c r="L73" s="64">
        <v>32.54</v>
      </c>
      <c r="M73" s="64">
        <v>24.7</v>
      </c>
      <c r="N73" s="64">
        <v>101.4</v>
      </c>
      <c r="O73" s="64">
        <v>0</v>
      </c>
      <c r="P73" s="64">
        <v>0.62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8" t="s">
        <v>2237</v>
      </c>
      <c r="B74" s="64">
        <v>3</v>
      </c>
      <c r="C74" s="64">
        <v>44.86</v>
      </c>
      <c r="D74" s="64">
        <v>27.81</v>
      </c>
      <c r="E74" s="64">
        <v>5.26</v>
      </c>
      <c r="F74" s="64">
        <v>26.9</v>
      </c>
      <c r="G74" s="64">
        <v>27.78</v>
      </c>
      <c r="H74" s="64">
        <v>15.24</v>
      </c>
      <c r="I74" s="64">
        <v>0.52</v>
      </c>
      <c r="J74" s="64">
        <v>0.15</v>
      </c>
      <c r="K74" s="64">
        <v>303.98</v>
      </c>
      <c r="L74" s="64">
        <v>32.36</v>
      </c>
      <c r="M74" s="64">
        <v>25.85</v>
      </c>
      <c r="N74" s="64">
        <v>134.4</v>
      </c>
      <c r="O74" s="64">
        <v>0</v>
      </c>
      <c r="P74" s="64">
        <v>0.62</v>
      </c>
      <c r="Q74" s="64">
        <v>9.42</v>
      </c>
      <c r="R74" s="198"/>
      <c r="S74" s="198"/>
      <c r="T74" s="198"/>
      <c r="U74" s="198"/>
    </row>
    <row r="75" spans="1:21" s="12" customFormat="1" x14ac:dyDescent="0.25">
      <c r="A75" s="218" t="s">
        <v>2238</v>
      </c>
      <c r="B75" s="64">
        <v>5.24</v>
      </c>
      <c r="C75" s="64">
        <v>50.8</v>
      </c>
      <c r="D75" s="64">
        <v>32.89</v>
      </c>
      <c r="E75" s="64">
        <v>5.26</v>
      </c>
      <c r="F75" s="64">
        <v>21.9</v>
      </c>
      <c r="G75" s="64">
        <v>27.23</v>
      </c>
      <c r="H75" s="64">
        <v>15.77</v>
      </c>
      <c r="I75" s="64">
        <v>0.48</v>
      </c>
      <c r="J75" s="64">
        <v>0.3</v>
      </c>
      <c r="K75" s="64">
        <v>327.82</v>
      </c>
      <c r="L75" s="64">
        <v>32.880000000000003</v>
      </c>
      <c r="M75" s="64">
        <v>24.67</v>
      </c>
      <c r="N75" s="64">
        <v>94.2</v>
      </c>
      <c r="O75" s="64">
        <v>0</v>
      </c>
      <c r="P75" s="64">
        <v>0.69</v>
      </c>
      <c r="Q75" s="64">
        <v>10.48</v>
      </c>
      <c r="R75" s="198"/>
      <c r="S75" s="198"/>
      <c r="T75" s="198"/>
      <c r="U75" s="198"/>
    </row>
    <row r="76" spans="1:21" s="12" customFormat="1" x14ac:dyDescent="0.25">
      <c r="A76" s="218" t="s">
        <v>2239</v>
      </c>
      <c r="B76" s="64">
        <v>5.54</v>
      </c>
      <c r="C76" s="64">
        <v>54.88</v>
      </c>
      <c r="D76" s="64">
        <v>35.380000000000003</v>
      </c>
      <c r="E76" s="64">
        <v>6.78</v>
      </c>
      <c r="F76" s="64">
        <v>27.76</v>
      </c>
      <c r="G76" s="64">
        <v>27.01</v>
      </c>
      <c r="H76" s="64">
        <v>15.79</v>
      </c>
      <c r="I76" s="64">
        <v>0.49</v>
      </c>
      <c r="J76" s="64">
        <v>0.16</v>
      </c>
      <c r="K76" s="64">
        <v>340.54</v>
      </c>
      <c r="L76" s="64">
        <v>32.549999999999997</v>
      </c>
      <c r="M76" s="64">
        <v>25.16</v>
      </c>
      <c r="N76" s="64">
        <v>84.5</v>
      </c>
      <c r="O76" s="64">
        <v>0</v>
      </c>
      <c r="P76" s="64">
        <v>0.8</v>
      </c>
      <c r="Q76" s="64">
        <v>10.55</v>
      </c>
      <c r="R76" s="198"/>
      <c r="S76" s="198"/>
      <c r="T76" s="198"/>
      <c r="U76" s="198"/>
    </row>
    <row r="77" spans="1:21" s="12" customFormat="1" x14ac:dyDescent="0.25">
      <c r="A77" s="218" t="s">
        <v>2240</v>
      </c>
      <c r="B77" s="64">
        <v>5.79</v>
      </c>
      <c r="C77" s="64">
        <v>58.68</v>
      </c>
      <c r="D77" s="64">
        <v>37.67</v>
      </c>
      <c r="E77" s="64">
        <v>9.98</v>
      </c>
      <c r="F77" s="64">
        <v>29.7</v>
      </c>
      <c r="G77" s="64">
        <v>27.01</v>
      </c>
      <c r="H77" s="64">
        <v>15.79</v>
      </c>
      <c r="I77" s="64">
        <v>0.5</v>
      </c>
      <c r="J77" s="64">
        <v>0.16</v>
      </c>
      <c r="K77" s="64">
        <v>334.88</v>
      </c>
      <c r="L77" s="64">
        <v>32.340000000000003</v>
      </c>
      <c r="M77" s="64">
        <v>24.96</v>
      </c>
      <c r="N77" s="64">
        <v>84.7</v>
      </c>
      <c r="O77" s="64">
        <v>0</v>
      </c>
      <c r="P77" s="64">
        <v>0.85</v>
      </c>
      <c r="Q77" s="64">
        <v>12.38</v>
      </c>
      <c r="R77" s="198"/>
      <c r="S77" s="198"/>
      <c r="T77" s="198"/>
      <c r="U77" s="198"/>
    </row>
    <row r="78" spans="1:21" s="12" customFormat="1" x14ac:dyDescent="0.25">
      <c r="A78" s="218" t="s">
        <v>2241</v>
      </c>
      <c r="B78" s="64">
        <v>7.83</v>
      </c>
      <c r="C78" s="64">
        <v>65.89</v>
      </c>
      <c r="D78" s="64">
        <v>43.29</v>
      </c>
      <c r="E78" s="64">
        <v>13.13</v>
      </c>
      <c r="F78" s="64">
        <v>26.78</v>
      </c>
      <c r="G78" s="64">
        <v>27.01</v>
      </c>
      <c r="H78" s="64">
        <v>15.79</v>
      </c>
      <c r="I78" s="64">
        <v>0.5</v>
      </c>
      <c r="J78" s="64">
        <v>7.0000000000000007E-2</v>
      </c>
      <c r="K78" s="64">
        <v>327.97</v>
      </c>
      <c r="L78" s="64">
        <v>32.19</v>
      </c>
      <c r="M78" s="64">
        <v>24.18</v>
      </c>
      <c r="N78" s="64">
        <v>51.7</v>
      </c>
      <c r="O78" s="64">
        <v>0</v>
      </c>
      <c r="P78" s="64">
        <v>0.9</v>
      </c>
      <c r="Q78" s="64">
        <v>13.69</v>
      </c>
      <c r="R78" s="198"/>
      <c r="S78" s="198"/>
      <c r="T78" s="198"/>
      <c r="U78" s="198"/>
    </row>
    <row r="79" spans="1:21" s="12" customFormat="1" x14ac:dyDescent="0.25">
      <c r="A79" s="218" t="s">
        <v>2242</v>
      </c>
      <c r="B79" s="64">
        <v>3.2</v>
      </c>
      <c r="C79" s="64">
        <v>49.94</v>
      </c>
      <c r="D79" s="64">
        <v>30.77</v>
      </c>
      <c r="E79" s="64">
        <v>7.85</v>
      </c>
      <c r="F79" s="64">
        <v>17.53</v>
      </c>
      <c r="G79" s="64">
        <v>29.5</v>
      </c>
      <c r="H79" s="64">
        <v>15.74</v>
      </c>
      <c r="I79" s="64">
        <v>0.51</v>
      </c>
      <c r="J79" s="64">
        <v>0.85</v>
      </c>
      <c r="K79" s="64">
        <v>247.24</v>
      </c>
      <c r="L79" s="64">
        <v>30.97</v>
      </c>
      <c r="M79" s="64">
        <v>33.33</v>
      </c>
      <c r="N79" s="64">
        <v>34.799999999999997</v>
      </c>
      <c r="O79" s="64">
        <v>0</v>
      </c>
      <c r="P79" s="64">
        <v>0.68</v>
      </c>
      <c r="Q79" s="64">
        <v>14.69</v>
      </c>
      <c r="R79" s="198"/>
      <c r="S79" s="198"/>
      <c r="T79" s="198"/>
      <c r="U79" s="198"/>
    </row>
    <row r="80" spans="1:21" s="12" customFormat="1" x14ac:dyDescent="0.25">
      <c r="A80" s="218" t="s">
        <v>2243</v>
      </c>
      <c r="B80" s="64">
        <v>2.86</v>
      </c>
      <c r="C80" s="64">
        <v>46.18</v>
      </c>
      <c r="D80" s="64">
        <v>28.42</v>
      </c>
      <c r="E80" s="64">
        <v>3.19</v>
      </c>
      <c r="F80" s="64">
        <v>11.95</v>
      </c>
      <c r="G80" s="64">
        <v>30.41</v>
      </c>
      <c r="H80" s="64">
        <v>15.73</v>
      </c>
      <c r="I80" s="64">
        <v>0.54</v>
      </c>
      <c r="J80" s="64">
        <v>0.84</v>
      </c>
      <c r="K80" s="64">
        <v>231.41</v>
      </c>
      <c r="L80" s="64">
        <v>29.29</v>
      </c>
      <c r="M80" s="64">
        <v>41.07</v>
      </c>
      <c r="N80" s="64">
        <v>21.4</v>
      </c>
      <c r="O80" s="64">
        <v>0</v>
      </c>
      <c r="P80" s="64">
        <v>0.66</v>
      </c>
      <c r="Q80" s="64">
        <v>13.81</v>
      </c>
      <c r="R80" s="198"/>
      <c r="S80" s="198"/>
      <c r="T80" s="198"/>
      <c r="U80" s="198"/>
    </row>
    <row r="81" spans="1:26" s="12" customFormat="1" x14ac:dyDescent="0.25">
      <c r="A81" s="218" t="s">
        <v>2244</v>
      </c>
      <c r="B81" s="64">
        <v>2.63</v>
      </c>
      <c r="C81" s="64">
        <v>43.15</v>
      </c>
      <c r="D81" s="64">
        <v>26.57</v>
      </c>
      <c r="E81" s="64">
        <v>2.6</v>
      </c>
      <c r="F81" s="64">
        <v>8.43</v>
      </c>
      <c r="G81" s="64">
        <v>30.41</v>
      </c>
      <c r="H81" s="64">
        <v>15.73</v>
      </c>
      <c r="I81" s="64">
        <v>0.59</v>
      </c>
      <c r="J81" s="64">
        <v>0.92</v>
      </c>
      <c r="K81" s="64">
        <v>231.96</v>
      </c>
      <c r="L81" s="64">
        <v>28.42</v>
      </c>
      <c r="M81" s="64">
        <v>42.46</v>
      </c>
      <c r="N81" s="64">
        <v>12.3</v>
      </c>
      <c r="O81" s="64">
        <v>0</v>
      </c>
      <c r="P81" s="64">
        <v>0.65</v>
      </c>
      <c r="Q81" s="64">
        <v>11.15</v>
      </c>
      <c r="R81" s="198"/>
      <c r="S81" s="198"/>
      <c r="T81" s="198"/>
      <c r="U81" s="198"/>
    </row>
    <row r="82" spans="1:26" s="12" customFormat="1" x14ac:dyDescent="0.25">
      <c r="A82" s="218" t="s">
        <v>2245</v>
      </c>
      <c r="B82" s="64">
        <v>2.38</v>
      </c>
      <c r="C82" s="64">
        <v>40.76</v>
      </c>
      <c r="D82" s="64">
        <v>25.05</v>
      </c>
      <c r="E82" s="64">
        <v>1.83</v>
      </c>
      <c r="F82" s="64">
        <v>8.75</v>
      </c>
      <c r="G82" s="64">
        <v>30.41</v>
      </c>
      <c r="H82" s="64">
        <v>15.73</v>
      </c>
      <c r="I82" s="64">
        <v>0.57999999999999996</v>
      </c>
      <c r="J82" s="64">
        <v>0.81</v>
      </c>
      <c r="K82" s="64">
        <v>238.42</v>
      </c>
      <c r="L82" s="64">
        <v>27.87</v>
      </c>
      <c r="M82" s="64">
        <v>43.23</v>
      </c>
      <c r="N82" s="64">
        <v>6.6</v>
      </c>
      <c r="O82" s="64">
        <v>0</v>
      </c>
      <c r="P82" s="64">
        <v>0.64</v>
      </c>
      <c r="Q82" s="64">
        <v>8.8800000000000008</v>
      </c>
      <c r="R82" s="198"/>
      <c r="S82" s="198"/>
      <c r="T82" s="198"/>
      <c r="U82" s="198"/>
    </row>
    <row r="83" spans="1:26" s="12" customFormat="1" x14ac:dyDescent="0.25">
      <c r="A83" s="218" t="s">
        <v>2246</v>
      </c>
      <c r="B83" s="64">
        <v>2.2200000000000002</v>
      </c>
      <c r="C83" s="64">
        <v>40.72</v>
      </c>
      <c r="D83" s="64">
        <v>24.9</v>
      </c>
      <c r="E83" s="64">
        <v>1.63</v>
      </c>
      <c r="F83" s="64">
        <v>8.75</v>
      </c>
      <c r="G83" s="64">
        <v>34.74</v>
      </c>
      <c r="H83" s="64">
        <v>16.8</v>
      </c>
      <c r="I83" s="64">
        <v>0.59</v>
      </c>
      <c r="J83" s="64">
        <v>0.8</v>
      </c>
      <c r="K83" s="64">
        <v>231.07</v>
      </c>
      <c r="L83" s="64">
        <v>27.45</v>
      </c>
      <c r="M83" s="64">
        <v>43.37</v>
      </c>
      <c r="N83" s="64">
        <v>4.8</v>
      </c>
      <c r="O83" s="64">
        <v>0</v>
      </c>
      <c r="P83" s="64">
        <v>0.63</v>
      </c>
      <c r="Q83" s="64">
        <v>8.19</v>
      </c>
      <c r="R83" s="198"/>
      <c r="S83" s="198"/>
      <c r="T83" s="198"/>
      <c r="U83" s="198"/>
    </row>
    <row r="84" spans="1:26" s="12" customFormat="1" x14ac:dyDescent="0.25">
      <c r="A84" s="218" t="s">
        <v>2247</v>
      </c>
      <c r="B84" s="64">
        <v>2.2400000000000002</v>
      </c>
      <c r="C84" s="64">
        <v>44.01</v>
      </c>
      <c r="D84" s="64">
        <v>26.73</v>
      </c>
      <c r="E84" s="64">
        <v>1.75</v>
      </c>
      <c r="F84" s="64">
        <v>9.3699999999999992</v>
      </c>
      <c r="G84" s="64">
        <v>36.4</v>
      </c>
      <c r="H84" s="64">
        <v>16.940000000000001</v>
      </c>
      <c r="I84" s="64">
        <v>0.57999999999999996</v>
      </c>
      <c r="J84" s="64">
        <v>0.92</v>
      </c>
      <c r="K84" s="64">
        <v>209.41</v>
      </c>
      <c r="L84" s="64">
        <v>27.43</v>
      </c>
      <c r="M84" s="64">
        <v>42.83</v>
      </c>
      <c r="N84" s="64">
        <v>4.3</v>
      </c>
      <c r="O84" s="64">
        <v>0</v>
      </c>
      <c r="P84" s="64">
        <v>0.62</v>
      </c>
      <c r="Q84" s="64">
        <v>10.039999999999999</v>
      </c>
      <c r="R84" s="198"/>
      <c r="S84" s="198"/>
      <c r="T84" s="198"/>
      <c r="U84" s="198"/>
    </row>
    <row r="85" spans="1:26" s="12" customFormat="1" x14ac:dyDescent="0.25">
      <c r="A85" s="218" t="s">
        <v>2248</v>
      </c>
      <c r="B85" s="64">
        <v>2.2400000000000002</v>
      </c>
      <c r="C85" s="64">
        <v>42.31</v>
      </c>
      <c r="D85" s="64">
        <v>25.79</v>
      </c>
      <c r="E85" s="64">
        <v>1.78</v>
      </c>
      <c r="F85" s="64">
        <v>12.09</v>
      </c>
      <c r="G85" s="64">
        <v>36.4</v>
      </c>
      <c r="H85" s="64">
        <v>16.940000000000001</v>
      </c>
      <c r="I85" s="64">
        <v>0.57999999999999996</v>
      </c>
      <c r="J85" s="64">
        <v>1.19</v>
      </c>
      <c r="K85" s="64">
        <v>197.47</v>
      </c>
      <c r="L85" s="64">
        <v>27.21</v>
      </c>
      <c r="M85" s="64">
        <v>43.58</v>
      </c>
      <c r="N85" s="64">
        <v>4.4000000000000004</v>
      </c>
      <c r="O85" s="64">
        <v>0</v>
      </c>
      <c r="P85" s="64">
        <v>0.59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8" t="s">
        <v>2249</v>
      </c>
      <c r="B86" s="64">
        <v>2.33</v>
      </c>
      <c r="C86" s="64">
        <v>42.77</v>
      </c>
      <c r="D86" s="64">
        <v>26.12</v>
      </c>
      <c r="E86" s="64">
        <v>1.56</v>
      </c>
      <c r="F86" s="64">
        <v>9.8000000000000007</v>
      </c>
      <c r="G86" s="64">
        <v>36.4</v>
      </c>
      <c r="H86" s="64">
        <v>16.940000000000001</v>
      </c>
      <c r="I86" s="64">
        <v>0.56999999999999995</v>
      </c>
      <c r="J86" s="64">
        <v>1.17</v>
      </c>
      <c r="K86" s="64">
        <v>207.2</v>
      </c>
      <c r="L86" s="64">
        <v>27.13</v>
      </c>
      <c r="M86" s="64">
        <v>43.41</v>
      </c>
      <c r="N86" s="64">
        <v>4.3</v>
      </c>
      <c r="O86" s="64">
        <v>0</v>
      </c>
      <c r="P86" s="64">
        <v>0.62</v>
      </c>
      <c r="Q86" s="64">
        <v>9.8000000000000007</v>
      </c>
      <c r="R86" s="198"/>
      <c r="S86" s="198"/>
      <c r="T86" s="198"/>
      <c r="U86" s="198"/>
    </row>
    <row r="87" spans="1:26" s="12" customFormat="1" x14ac:dyDescent="0.25">
      <c r="A87" s="218" t="s">
        <v>2250</v>
      </c>
      <c r="B87" s="64">
        <v>2.34</v>
      </c>
      <c r="C87" s="64">
        <v>43.15</v>
      </c>
      <c r="D87" s="64">
        <v>26.34</v>
      </c>
      <c r="E87" s="64">
        <v>2.06</v>
      </c>
      <c r="F87" s="64">
        <v>11.44</v>
      </c>
      <c r="G87" s="64">
        <v>35.130000000000003</v>
      </c>
      <c r="H87" s="64">
        <v>16.010000000000002</v>
      </c>
      <c r="I87" s="64">
        <v>0.56999999999999995</v>
      </c>
      <c r="J87" s="64">
        <v>0.81</v>
      </c>
      <c r="K87" s="64">
        <v>205.53</v>
      </c>
      <c r="L87" s="64">
        <v>27.08</v>
      </c>
      <c r="M87" s="64">
        <v>43.44</v>
      </c>
      <c r="N87" s="64">
        <v>4.4000000000000004</v>
      </c>
      <c r="O87" s="64">
        <v>0</v>
      </c>
      <c r="P87" s="64">
        <v>0.61</v>
      </c>
      <c r="Q87" s="64">
        <v>10.02</v>
      </c>
      <c r="R87" s="198"/>
      <c r="S87" s="198"/>
      <c r="T87" s="198"/>
      <c r="U87" s="198"/>
    </row>
    <row r="88" spans="1:26" s="12" customFormat="1" x14ac:dyDescent="0.25">
      <c r="A88" s="218" t="s">
        <v>2251</v>
      </c>
      <c r="B88" s="64">
        <v>2.44</v>
      </c>
      <c r="C88" s="64">
        <v>41.74</v>
      </c>
      <c r="D88" s="64">
        <v>25.63</v>
      </c>
      <c r="E88" s="64">
        <v>1.55</v>
      </c>
      <c r="F88" s="64">
        <v>12.35</v>
      </c>
      <c r="G88" s="64">
        <v>34.65</v>
      </c>
      <c r="H88" s="64">
        <v>15.97</v>
      </c>
      <c r="I88" s="64">
        <v>0.56999999999999995</v>
      </c>
      <c r="J88" s="64">
        <v>0.78</v>
      </c>
      <c r="K88" s="64">
        <v>216.01</v>
      </c>
      <c r="L88" s="64">
        <v>26.89</v>
      </c>
      <c r="M88" s="64">
        <v>44.06</v>
      </c>
      <c r="N88" s="64">
        <v>4.5</v>
      </c>
      <c r="O88" s="64">
        <v>0</v>
      </c>
      <c r="P88" s="64">
        <v>0.61</v>
      </c>
      <c r="Q88" s="64">
        <v>8.8699999999999992</v>
      </c>
      <c r="R88" s="198"/>
      <c r="S88" s="198"/>
      <c r="T88" s="198"/>
      <c r="U88" s="198"/>
    </row>
    <row r="89" spans="1:26" s="12" customFormat="1" x14ac:dyDescent="0.25">
      <c r="A89" s="218" t="s">
        <v>2252</v>
      </c>
      <c r="B89" s="64">
        <v>2.79</v>
      </c>
      <c r="C89" s="64">
        <v>43.43</v>
      </c>
      <c r="D89" s="64">
        <v>26.85</v>
      </c>
      <c r="E89" s="64">
        <v>2.33</v>
      </c>
      <c r="F89" s="64">
        <v>9.86</v>
      </c>
      <c r="G89" s="64">
        <v>34.65</v>
      </c>
      <c r="H89" s="64">
        <v>15.97</v>
      </c>
      <c r="I89" s="64">
        <v>0.56000000000000005</v>
      </c>
      <c r="J89" s="64">
        <v>1.07</v>
      </c>
      <c r="K89" s="64">
        <v>203.83</v>
      </c>
      <c r="L89" s="64">
        <v>26.71</v>
      </c>
      <c r="M89" s="64">
        <v>44.45</v>
      </c>
      <c r="N89" s="64">
        <v>4.4000000000000004</v>
      </c>
      <c r="O89" s="64">
        <v>0</v>
      </c>
      <c r="P89" s="64">
        <v>0.62</v>
      </c>
      <c r="Q89" s="64">
        <v>10.31</v>
      </c>
      <c r="R89" s="198"/>
      <c r="S89" s="198"/>
      <c r="T89" s="198"/>
      <c r="U89" s="198"/>
    </row>
    <row r="90" spans="1:26" s="12" customFormat="1" x14ac:dyDescent="0.25">
      <c r="A90" s="218" t="s">
        <v>2253</v>
      </c>
      <c r="B90" s="64">
        <v>3.19</v>
      </c>
      <c r="C90" s="64">
        <v>44.34</v>
      </c>
      <c r="D90" s="64">
        <v>27.68</v>
      </c>
      <c r="E90" s="64">
        <v>2.6</v>
      </c>
      <c r="F90" s="64">
        <v>10.92</v>
      </c>
      <c r="G90" s="64">
        <v>34.65</v>
      </c>
      <c r="H90" s="64">
        <v>15.97</v>
      </c>
      <c r="I90" s="64">
        <v>0.56999999999999995</v>
      </c>
      <c r="J90" s="64">
        <v>0.96</v>
      </c>
      <c r="K90" s="64">
        <v>203.65</v>
      </c>
      <c r="L90" s="64">
        <v>26.47</v>
      </c>
      <c r="M90" s="64">
        <v>45.2</v>
      </c>
      <c r="N90" s="64">
        <v>4.5999999999999996</v>
      </c>
      <c r="O90" s="64">
        <v>0</v>
      </c>
      <c r="P90" s="64">
        <v>0.62</v>
      </c>
      <c r="Q90" s="64">
        <v>11.28</v>
      </c>
      <c r="R90" s="198"/>
      <c r="S90" s="198"/>
      <c r="T90" s="198"/>
      <c r="U90" s="198"/>
    </row>
    <row r="91" spans="1:26" s="12" customFormat="1" x14ac:dyDescent="0.25">
      <c r="A91" s="218" t="s">
        <v>2254</v>
      </c>
      <c r="B91" s="64">
        <v>3.64</v>
      </c>
      <c r="C91" s="64">
        <v>49.72</v>
      </c>
      <c r="D91" s="64">
        <v>31.01</v>
      </c>
      <c r="E91" s="64">
        <v>2.59</v>
      </c>
      <c r="F91" s="64">
        <v>11.79</v>
      </c>
      <c r="G91" s="64">
        <v>35.15</v>
      </c>
      <c r="H91" s="64">
        <v>15.66</v>
      </c>
      <c r="I91" s="64">
        <v>0.56000000000000005</v>
      </c>
      <c r="J91" s="64">
        <v>0.62</v>
      </c>
      <c r="K91" s="64">
        <v>217.77</v>
      </c>
      <c r="L91" s="64">
        <v>26.21</v>
      </c>
      <c r="M91" s="64">
        <v>46.4</v>
      </c>
      <c r="N91" s="64">
        <v>4.7</v>
      </c>
      <c r="O91" s="64">
        <v>0</v>
      </c>
      <c r="P91" s="64">
        <v>0.65</v>
      </c>
      <c r="Q91" s="64">
        <v>12.57</v>
      </c>
      <c r="R91" s="198"/>
      <c r="S91" s="198"/>
      <c r="T91" s="198"/>
      <c r="U91" s="198"/>
    </row>
    <row r="92" spans="1:26" s="12" customFormat="1" x14ac:dyDescent="0.25">
      <c r="A92" s="218" t="s">
        <v>2255</v>
      </c>
      <c r="B92" s="64">
        <v>4.37</v>
      </c>
      <c r="C92" s="64">
        <v>47.64</v>
      </c>
      <c r="D92" s="64">
        <v>30.44</v>
      </c>
      <c r="E92" s="64">
        <v>2.2599999999999998</v>
      </c>
      <c r="F92" s="64">
        <v>8.61</v>
      </c>
      <c r="G92" s="64">
        <v>35.340000000000003</v>
      </c>
      <c r="H92" s="64">
        <v>15.62</v>
      </c>
      <c r="I92" s="64">
        <v>0.52</v>
      </c>
      <c r="J92" s="64">
        <v>0.92</v>
      </c>
      <c r="K92" s="64">
        <v>214.73</v>
      </c>
      <c r="L92" s="64">
        <v>25.96</v>
      </c>
      <c r="M92" s="64">
        <v>47.43</v>
      </c>
      <c r="N92" s="64">
        <v>4.5</v>
      </c>
      <c r="O92" s="64">
        <v>0</v>
      </c>
      <c r="P92" s="64">
        <v>0.64</v>
      </c>
      <c r="Q92" s="64">
        <v>13</v>
      </c>
      <c r="R92" s="198"/>
      <c r="S92" s="198"/>
      <c r="T92" s="198"/>
      <c r="U92" s="198"/>
    </row>
    <row r="93" spans="1:26" s="12" customFormat="1" x14ac:dyDescent="0.25">
      <c r="A93" s="218" t="s">
        <v>2256</v>
      </c>
      <c r="B93" s="64">
        <v>4.16</v>
      </c>
      <c r="C93" s="64">
        <v>41.82</v>
      </c>
      <c r="D93" s="64">
        <v>27.06</v>
      </c>
      <c r="E93" s="64">
        <v>2.3199999999999998</v>
      </c>
      <c r="F93" s="64">
        <v>9.4700000000000006</v>
      </c>
      <c r="G93" s="64">
        <v>35.340000000000003</v>
      </c>
      <c r="H93" s="64">
        <v>15.62</v>
      </c>
      <c r="I93" s="64">
        <v>0.53</v>
      </c>
      <c r="J93" s="64">
        <v>1.19</v>
      </c>
      <c r="K93" s="64">
        <v>203.72</v>
      </c>
      <c r="L93" s="64">
        <v>25.66</v>
      </c>
      <c r="M93" s="64">
        <v>48.47</v>
      </c>
      <c r="N93" s="64">
        <v>4.5</v>
      </c>
      <c r="O93" s="64">
        <v>0</v>
      </c>
      <c r="P93" s="64">
        <v>0.63</v>
      </c>
      <c r="Q93" s="64">
        <v>11.36</v>
      </c>
      <c r="R93" s="198"/>
      <c r="S93" s="198"/>
      <c r="T93" s="198"/>
      <c r="U93" s="198"/>
    </row>
    <row r="94" spans="1:26" s="12" customFormat="1" x14ac:dyDescent="0.25">
      <c r="A94" s="218" t="s">
        <v>2257</v>
      </c>
      <c r="B94" s="64">
        <v>4.04</v>
      </c>
      <c r="C94" s="64">
        <v>38.869999999999997</v>
      </c>
      <c r="D94" s="64">
        <v>25.34</v>
      </c>
      <c r="E94" s="64">
        <v>2.0499999999999998</v>
      </c>
      <c r="F94" s="64">
        <v>9.9499999999999993</v>
      </c>
      <c r="G94" s="64">
        <v>35.340000000000003</v>
      </c>
      <c r="H94" s="64">
        <v>15.62</v>
      </c>
      <c r="I94" s="64">
        <v>0.57999999999999996</v>
      </c>
      <c r="J94" s="64">
        <v>0.36</v>
      </c>
      <c r="K94" s="64">
        <v>247.93</v>
      </c>
      <c r="L94" s="64">
        <v>25.62</v>
      </c>
      <c r="M94" s="64">
        <v>47.96</v>
      </c>
      <c r="N94" s="64">
        <v>4.5</v>
      </c>
      <c r="O94" s="64">
        <v>0</v>
      </c>
      <c r="P94" s="64">
        <v>0.64</v>
      </c>
      <c r="Q94" s="64">
        <v>8.5500000000000007</v>
      </c>
      <c r="R94" s="198"/>
      <c r="S94" s="198"/>
      <c r="T94" s="198"/>
      <c r="U94" s="198"/>
    </row>
    <row r="95" spans="1:26" s="12" customFormat="1" x14ac:dyDescent="0.25">
      <c r="A95" s="218" t="s">
        <v>2258</v>
      </c>
      <c r="B95" s="64">
        <v>3.63</v>
      </c>
      <c r="C95" s="64">
        <v>45.26</v>
      </c>
      <c r="D95" s="64">
        <v>28.54</v>
      </c>
      <c r="E95" s="64">
        <v>2.2000000000000002</v>
      </c>
      <c r="F95" s="64">
        <v>8.6</v>
      </c>
      <c r="G95" s="64">
        <v>36.81</v>
      </c>
      <c r="H95" s="64">
        <v>14.57</v>
      </c>
      <c r="I95" s="64">
        <v>0.55000000000000004</v>
      </c>
      <c r="J95" s="64">
        <v>0.44</v>
      </c>
      <c r="K95" s="64">
        <v>224.32</v>
      </c>
      <c r="L95" s="64">
        <v>25.44</v>
      </c>
      <c r="M95" s="64">
        <v>48.19</v>
      </c>
      <c r="N95" s="64">
        <v>4.5999999999999996</v>
      </c>
      <c r="O95" s="64">
        <v>0</v>
      </c>
      <c r="P95" s="64">
        <v>0.65</v>
      </c>
      <c r="Q95" s="64">
        <v>11.68</v>
      </c>
      <c r="R95" s="198"/>
      <c r="S95" s="198"/>
      <c r="T95" s="198"/>
      <c r="U95" s="198"/>
    </row>
    <row r="96" spans="1:26" s="12" customFormat="1" x14ac:dyDescent="0.25">
      <c r="A96" s="218" t="s">
        <v>2259</v>
      </c>
      <c r="B96" s="64">
        <v>3.43</v>
      </c>
      <c r="C96" s="64">
        <v>42.03</v>
      </c>
      <c r="D96" s="64">
        <v>26.59</v>
      </c>
      <c r="E96" s="64">
        <v>2.2000000000000002</v>
      </c>
      <c r="F96" s="64">
        <v>10.35</v>
      </c>
      <c r="G96" s="64">
        <v>37.380000000000003</v>
      </c>
      <c r="H96" s="64">
        <v>14.44</v>
      </c>
      <c r="I96" s="64">
        <v>0.57999999999999996</v>
      </c>
      <c r="J96" s="64">
        <v>0.39</v>
      </c>
      <c r="K96" s="64">
        <v>210.72</v>
      </c>
      <c r="L96" s="64">
        <v>25.11</v>
      </c>
      <c r="M96" s="64">
        <v>49.57</v>
      </c>
      <c r="N96" s="64">
        <v>4.7</v>
      </c>
      <c r="O96" s="64">
        <v>0</v>
      </c>
      <c r="P96" s="64">
        <v>0.64</v>
      </c>
      <c r="Q96" s="64">
        <v>11.21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2260</v>
      </c>
      <c r="B97" s="64">
        <v>3.15</v>
      </c>
      <c r="C97" s="64">
        <v>41.75</v>
      </c>
      <c r="D97" s="64">
        <v>26.21</v>
      </c>
      <c r="E97" s="64">
        <v>2.13</v>
      </c>
      <c r="F97" s="64">
        <v>10.98</v>
      </c>
      <c r="G97" s="64">
        <v>37.380000000000003</v>
      </c>
      <c r="H97" s="64">
        <v>14.44</v>
      </c>
      <c r="I97" s="64">
        <v>0.57999999999999996</v>
      </c>
      <c r="J97" s="64">
        <v>0.22</v>
      </c>
      <c r="K97" s="64">
        <v>224.6</v>
      </c>
      <c r="L97" s="64">
        <v>25</v>
      </c>
      <c r="M97" s="64">
        <v>49.87</v>
      </c>
      <c r="N97" s="64">
        <v>4.5999999999999996</v>
      </c>
      <c r="O97" s="64">
        <v>0</v>
      </c>
      <c r="P97" s="64">
        <v>0.65</v>
      </c>
      <c r="Q97" s="64">
        <v>10.87</v>
      </c>
      <c r="R97" s="198"/>
      <c r="S97" s="198"/>
      <c r="T97" s="198"/>
      <c r="U97" s="198"/>
    </row>
    <row r="98" spans="1:33" s="12" customFormat="1" x14ac:dyDescent="0.25">
      <c r="A98" s="218" t="s">
        <v>2261</v>
      </c>
      <c r="B98" s="64">
        <v>3.1</v>
      </c>
      <c r="C98" s="64">
        <v>40.229999999999997</v>
      </c>
      <c r="D98" s="64">
        <v>25.33</v>
      </c>
      <c r="E98" s="64">
        <v>2.54</v>
      </c>
      <c r="F98" s="64">
        <v>10.09</v>
      </c>
      <c r="G98" s="64">
        <v>37.380000000000003</v>
      </c>
      <c r="H98" s="64">
        <v>14.44</v>
      </c>
      <c r="I98" s="64">
        <v>0.56999999999999995</v>
      </c>
      <c r="J98" s="64">
        <v>0.19</v>
      </c>
      <c r="K98" s="64">
        <v>254.99</v>
      </c>
      <c r="L98" s="64">
        <v>24.86</v>
      </c>
      <c r="M98" s="64">
        <v>50.48</v>
      </c>
      <c r="N98" s="64">
        <v>4.7</v>
      </c>
      <c r="O98" s="64">
        <v>0</v>
      </c>
      <c r="P98" s="64">
        <v>0.65</v>
      </c>
      <c r="Q98" s="64">
        <v>11.13</v>
      </c>
      <c r="R98" s="198"/>
      <c r="S98" s="198"/>
      <c r="T98" s="198"/>
      <c r="U98" s="198"/>
    </row>
    <row r="99" spans="1:33" s="12" customFormat="1" x14ac:dyDescent="0.25">
      <c r="A99" s="218" t="s">
        <v>2262</v>
      </c>
      <c r="B99" s="64">
        <v>3.02</v>
      </c>
      <c r="C99" s="64">
        <v>40.29</v>
      </c>
      <c r="D99" s="64">
        <v>25.31</v>
      </c>
      <c r="E99" s="64">
        <v>2.37</v>
      </c>
      <c r="F99" s="64">
        <v>11.99</v>
      </c>
      <c r="G99" s="64">
        <v>35.43</v>
      </c>
      <c r="H99" s="64">
        <v>13.82</v>
      </c>
      <c r="I99" s="64">
        <v>0.56999999999999995</v>
      </c>
      <c r="J99" s="64">
        <v>0.19</v>
      </c>
      <c r="K99" s="64">
        <v>246.65</v>
      </c>
      <c r="L99" s="64">
        <v>24.67</v>
      </c>
      <c r="M99" s="64">
        <v>51.01</v>
      </c>
      <c r="N99" s="64">
        <v>4.7</v>
      </c>
      <c r="O99" s="64">
        <v>0</v>
      </c>
      <c r="P99" s="64">
        <v>0.64</v>
      </c>
      <c r="Q99" s="64">
        <v>10.83</v>
      </c>
      <c r="R99" s="198"/>
      <c r="S99" s="198"/>
      <c r="T99" s="198"/>
      <c r="U99" s="198"/>
    </row>
    <row r="100" spans="1:33" s="12" customFormat="1" x14ac:dyDescent="0.25">
      <c r="A100" s="218" t="s">
        <v>2263</v>
      </c>
      <c r="B100" s="64">
        <v>3.01</v>
      </c>
      <c r="C100" s="64">
        <v>39.31</v>
      </c>
      <c r="D100" s="64">
        <v>24.75</v>
      </c>
      <c r="E100" s="64">
        <v>2.13</v>
      </c>
      <c r="F100" s="64">
        <v>12.55</v>
      </c>
      <c r="G100" s="64">
        <v>34.68</v>
      </c>
      <c r="H100" s="64">
        <v>13.8</v>
      </c>
      <c r="I100" s="64">
        <v>0.56999999999999995</v>
      </c>
      <c r="J100" s="64">
        <v>0.26</v>
      </c>
      <c r="K100" s="64">
        <v>230.41</v>
      </c>
      <c r="L100" s="64">
        <v>24.56</v>
      </c>
      <c r="M100" s="64">
        <v>51.24</v>
      </c>
      <c r="N100" s="64">
        <v>4.5</v>
      </c>
      <c r="O100" s="64">
        <v>0</v>
      </c>
      <c r="P100" s="64">
        <v>0.64</v>
      </c>
      <c r="Q100" s="64">
        <v>11.22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2264</v>
      </c>
      <c r="B101" s="64">
        <v>4.08</v>
      </c>
      <c r="C101" s="64">
        <v>40.69</v>
      </c>
      <c r="D101" s="64">
        <v>26.38</v>
      </c>
      <c r="E101" s="64">
        <v>2.19</v>
      </c>
      <c r="F101" s="64">
        <v>15.6</v>
      </c>
      <c r="G101" s="64">
        <v>34.68</v>
      </c>
      <c r="H101" s="64">
        <v>13.8</v>
      </c>
      <c r="I101" s="64">
        <v>0.55000000000000004</v>
      </c>
      <c r="J101" s="64">
        <v>0.11</v>
      </c>
      <c r="K101" s="64">
        <v>257.95999999999998</v>
      </c>
      <c r="L101" s="64">
        <v>24.35</v>
      </c>
      <c r="M101" s="64">
        <v>52.03</v>
      </c>
      <c r="N101" s="64">
        <v>4.8</v>
      </c>
      <c r="O101" s="64">
        <v>0</v>
      </c>
      <c r="P101" s="64">
        <v>0.63</v>
      </c>
      <c r="Q101" s="64">
        <v>12.07</v>
      </c>
      <c r="R101" s="198"/>
      <c r="S101" s="198"/>
      <c r="T101" s="198"/>
      <c r="U101" s="198"/>
    </row>
    <row r="102" spans="1:33" s="12" customFormat="1" x14ac:dyDescent="0.25">
      <c r="A102" s="218" t="s">
        <v>2265</v>
      </c>
      <c r="B102" s="64">
        <v>4.71</v>
      </c>
      <c r="C102" s="64">
        <v>42.39</v>
      </c>
      <c r="D102" s="64">
        <v>27.81</v>
      </c>
      <c r="E102" s="64">
        <v>2.57</v>
      </c>
      <c r="F102" s="64">
        <v>10.59</v>
      </c>
      <c r="G102" s="64">
        <v>34.68</v>
      </c>
      <c r="H102" s="64">
        <v>13.8</v>
      </c>
      <c r="I102" s="64">
        <v>0.52</v>
      </c>
      <c r="J102" s="64">
        <v>0.17</v>
      </c>
      <c r="K102" s="64">
        <v>344.41</v>
      </c>
      <c r="L102" s="64">
        <v>24.46</v>
      </c>
      <c r="M102" s="64">
        <v>51.65</v>
      </c>
      <c r="N102" s="64">
        <v>4.7</v>
      </c>
      <c r="O102" s="64">
        <v>0</v>
      </c>
      <c r="P102" s="64">
        <v>0.69</v>
      </c>
      <c r="Q102" s="64">
        <v>12.31</v>
      </c>
      <c r="R102" s="198"/>
      <c r="S102" s="198"/>
      <c r="T102" s="198"/>
      <c r="U102" s="198"/>
    </row>
    <row r="103" spans="1:33" s="12" customFormat="1" x14ac:dyDescent="0.25">
      <c r="A103" s="218" t="s">
        <v>2266</v>
      </c>
      <c r="B103" s="64">
        <v>4.57</v>
      </c>
      <c r="C103" s="64">
        <v>42.05</v>
      </c>
      <c r="D103" s="64">
        <v>27.52</v>
      </c>
      <c r="E103" s="64">
        <v>2.5299999999999998</v>
      </c>
      <c r="F103" s="64">
        <v>6.22</v>
      </c>
      <c r="G103" s="64">
        <v>33.29</v>
      </c>
      <c r="H103" s="64">
        <v>13.77</v>
      </c>
      <c r="I103" s="64">
        <v>0.54</v>
      </c>
      <c r="J103" s="64">
        <v>1.22</v>
      </c>
      <c r="K103" s="64">
        <v>323.47000000000003</v>
      </c>
      <c r="L103" s="64">
        <v>24.75</v>
      </c>
      <c r="M103" s="64">
        <v>50.26</v>
      </c>
      <c r="N103" s="64">
        <v>3.5</v>
      </c>
      <c r="O103" s="64">
        <v>0</v>
      </c>
      <c r="P103" s="64">
        <v>0.66</v>
      </c>
      <c r="Q103" s="64">
        <v>12.88</v>
      </c>
      <c r="R103" s="198"/>
      <c r="S103" s="198"/>
      <c r="T103" s="198"/>
      <c r="U103" s="198"/>
    </row>
    <row r="104" spans="1:33" s="12" customFormat="1" x14ac:dyDescent="0.25">
      <c r="A104" s="218" t="s">
        <v>2267</v>
      </c>
      <c r="B104" s="64">
        <v>4.09</v>
      </c>
      <c r="C104" s="64">
        <v>41.05</v>
      </c>
      <c r="D104" s="64">
        <v>26.58</v>
      </c>
      <c r="E104" s="64">
        <v>1.05</v>
      </c>
      <c r="F104" s="64">
        <v>5.55</v>
      </c>
      <c r="G104" s="64">
        <v>32.76</v>
      </c>
      <c r="H104" s="64">
        <v>13.77</v>
      </c>
      <c r="I104" s="64">
        <v>0.52</v>
      </c>
      <c r="J104" s="64">
        <v>1.6</v>
      </c>
      <c r="K104" s="64">
        <v>322.01</v>
      </c>
      <c r="L104" s="64">
        <v>25.24</v>
      </c>
      <c r="M104" s="64">
        <v>46.61</v>
      </c>
      <c r="N104" s="64">
        <v>4</v>
      </c>
      <c r="O104" s="64">
        <v>0</v>
      </c>
      <c r="P104" s="64">
        <v>0.65</v>
      </c>
      <c r="Q104" s="64">
        <v>13.34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1.66</v>
      </c>
      <c r="C106" s="67">
        <f>MIN(C9:C104)</f>
        <v>10.83</v>
      </c>
      <c r="D106" s="67">
        <f t="shared" ref="D106:Q106" si="0">MIN(D9:D104)</f>
        <v>17.18</v>
      </c>
      <c r="E106" s="67">
        <f t="shared" si="0"/>
        <v>0.71</v>
      </c>
      <c r="F106" s="67">
        <f t="shared" si="0"/>
        <v>3.48</v>
      </c>
      <c r="G106" s="67">
        <f t="shared" si="0"/>
        <v>6.08</v>
      </c>
      <c r="H106" s="67">
        <f t="shared" si="0"/>
        <v>5.58</v>
      </c>
      <c r="I106" s="67">
        <f t="shared" si="0"/>
        <v>0.45</v>
      </c>
      <c r="J106" s="67">
        <f t="shared" si="0"/>
        <v>7.0000000000000007E-2</v>
      </c>
      <c r="K106" s="67">
        <f t="shared" si="0"/>
        <v>59.51</v>
      </c>
      <c r="L106" s="67">
        <f t="shared" si="0"/>
        <v>19.97</v>
      </c>
      <c r="M106" s="67">
        <f t="shared" si="0"/>
        <v>21.58</v>
      </c>
      <c r="N106" s="67">
        <f t="shared" si="0"/>
        <v>2.8</v>
      </c>
      <c r="O106" s="67">
        <f t="shared" si="0"/>
        <v>0</v>
      </c>
      <c r="P106" s="67">
        <f t="shared" si="0"/>
        <v>0.36</v>
      </c>
      <c r="Q106" s="67">
        <f t="shared" si="0"/>
        <v>1.94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174.42</v>
      </c>
      <c r="C107" s="66">
        <f t="shared" ref="C107:Q107" si="1">MAX(C9:C104)</f>
        <v>65.89</v>
      </c>
      <c r="D107" s="66">
        <f t="shared" si="1"/>
        <v>189.65</v>
      </c>
      <c r="E107" s="66">
        <f t="shared" si="1"/>
        <v>194.51</v>
      </c>
      <c r="F107" s="66">
        <f t="shared" si="1"/>
        <v>31.15</v>
      </c>
      <c r="G107" s="66">
        <f t="shared" si="1"/>
        <v>55.34</v>
      </c>
      <c r="H107" s="66">
        <f t="shared" si="1"/>
        <v>20.27</v>
      </c>
      <c r="I107" s="66">
        <f t="shared" si="1"/>
        <v>0.59</v>
      </c>
      <c r="J107" s="66">
        <f t="shared" si="1"/>
        <v>2.62</v>
      </c>
      <c r="K107" s="66">
        <f t="shared" si="1"/>
        <v>359.82</v>
      </c>
      <c r="L107" s="66">
        <f t="shared" si="1"/>
        <v>35.33</v>
      </c>
      <c r="M107" s="66">
        <f t="shared" si="1"/>
        <v>76.13</v>
      </c>
      <c r="N107" s="66">
        <f t="shared" si="1"/>
        <v>936.5</v>
      </c>
      <c r="O107" s="66">
        <f t="shared" si="1"/>
        <v>0.2</v>
      </c>
      <c r="P107" s="66">
        <f t="shared" si="1"/>
        <v>4.87</v>
      </c>
      <c r="Q107" s="66">
        <f t="shared" si="1"/>
        <v>14.69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12.298020833333332</v>
      </c>
      <c r="C108" s="67">
        <f t="shared" ref="C108:Q108" si="2">AVERAGE(C9:C104)</f>
        <v>37.785104166666677</v>
      </c>
      <c r="D108" s="67">
        <f t="shared" si="2"/>
        <v>33.621562500000003</v>
      </c>
      <c r="E108" s="67">
        <f t="shared" si="2"/>
        <v>7.2849999999999993</v>
      </c>
      <c r="F108" s="67">
        <f t="shared" si="2"/>
        <v>11.462916666666663</v>
      </c>
      <c r="G108" s="67">
        <f t="shared" si="2"/>
        <v>29.204494382022482</v>
      </c>
      <c r="H108" s="67">
        <f t="shared" si="2"/>
        <v>14.556966292134826</v>
      </c>
      <c r="I108" s="67">
        <f t="shared" si="2"/>
        <v>0.51239583333333316</v>
      </c>
      <c r="J108" s="67">
        <f t="shared" si="2"/>
        <v>0.77541666666666664</v>
      </c>
      <c r="K108" s="67">
        <f t="shared" si="2"/>
        <v>245.2246875000001</v>
      </c>
      <c r="L108" s="67">
        <f t="shared" si="2"/>
        <v>26.076666666666657</v>
      </c>
      <c r="M108" s="67">
        <f t="shared" si="2"/>
        <v>47.979270833333288</v>
      </c>
      <c r="N108" s="67">
        <f t="shared" si="2"/>
        <v>182.91770833333337</v>
      </c>
      <c r="O108" s="67">
        <f t="shared" si="2"/>
        <v>2.0833333333333333E-3</v>
      </c>
      <c r="P108" s="67">
        <f t="shared" si="2"/>
        <v>0.66333333333333311</v>
      </c>
      <c r="Q108" s="67">
        <f t="shared" si="2"/>
        <v>7.6238541666666677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37.166524655784471</v>
      </c>
      <c r="C109" s="67">
        <f t="shared" ref="C109:Q109" si="3">STDEV(C9:C104)</f>
        <v>8.469999440103269</v>
      </c>
      <c r="D109" s="67">
        <f t="shared" si="3"/>
        <v>35.475483167307907</v>
      </c>
      <c r="E109" s="67">
        <f t="shared" si="3"/>
        <v>27.582372746299207</v>
      </c>
      <c r="F109" s="67">
        <f t="shared" si="3"/>
        <v>7.2616260201238978</v>
      </c>
      <c r="G109" s="67">
        <f t="shared" si="3"/>
        <v>7.1708968329750817</v>
      </c>
      <c r="H109" s="67">
        <f t="shared" si="3"/>
        <v>2.1572222271910904</v>
      </c>
      <c r="I109" s="67">
        <f t="shared" si="3"/>
        <v>3.5857753816600522E-2</v>
      </c>
      <c r="J109" s="67">
        <f t="shared" si="3"/>
        <v>0.56121094010919481</v>
      </c>
      <c r="K109" s="67">
        <f t="shared" si="3"/>
        <v>70.574017657508762</v>
      </c>
      <c r="L109" s="67">
        <f t="shared" si="3"/>
        <v>4.5485270413194794</v>
      </c>
      <c r="M109" s="67">
        <f t="shared" si="3"/>
        <v>14.976303404820872</v>
      </c>
      <c r="N109" s="67">
        <f t="shared" si="3"/>
        <v>281.86610520256136</v>
      </c>
      <c r="O109" s="67">
        <f t="shared" si="3"/>
        <v>2.0412414523193152E-2</v>
      </c>
      <c r="P109" s="67">
        <f t="shared" si="3"/>
        <v>0.75592768613582795</v>
      </c>
      <c r="Q109" s="67">
        <f t="shared" si="3"/>
        <v>3.160710569606866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92</v>
      </c>
      <c r="H110" s="66">
        <f>COUNT(H9:H104)+3</f>
        <v>92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42" sqref="I14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2268</v>
      </c>
      <c r="B9" s="64">
        <v>3.66</v>
      </c>
      <c r="C9" s="64">
        <v>34.42</v>
      </c>
      <c r="D9" s="64">
        <v>22.57</v>
      </c>
      <c r="E9" s="64">
        <v>1.53</v>
      </c>
      <c r="F9" s="64">
        <v>4.7300000000000004</v>
      </c>
      <c r="G9" s="64">
        <v>32.76</v>
      </c>
      <c r="H9" s="64">
        <v>13.77</v>
      </c>
      <c r="I9" s="64">
        <v>0.55000000000000004</v>
      </c>
      <c r="J9" s="64">
        <v>1.75</v>
      </c>
      <c r="K9" s="64">
        <v>326.3</v>
      </c>
      <c r="L9" s="64">
        <v>25.15</v>
      </c>
      <c r="M9" s="64">
        <v>42.52</v>
      </c>
      <c r="N9" s="64">
        <v>4.9000000000000004</v>
      </c>
      <c r="O9" s="64">
        <v>0</v>
      </c>
      <c r="P9" s="64">
        <v>0.64</v>
      </c>
      <c r="Q9" s="64">
        <v>8.86</v>
      </c>
      <c r="R9" s="198"/>
      <c r="S9" s="198"/>
      <c r="T9" s="198"/>
      <c r="U9" s="198"/>
    </row>
    <row r="10" spans="1:21" s="12" customFormat="1" x14ac:dyDescent="0.25">
      <c r="A10" s="218" t="s">
        <v>2269</v>
      </c>
      <c r="B10" s="64">
        <v>3.13</v>
      </c>
      <c r="C10" s="64">
        <v>34.4</v>
      </c>
      <c r="D10" s="64">
        <v>22.14</v>
      </c>
      <c r="E10" s="64">
        <v>1.51</v>
      </c>
      <c r="F10" s="64">
        <v>5.92</v>
      </c>
      <c r="G10" s="64">
        <v>32.76</v>
      </c>
      <c r="H10" s="64">
        <v>13.77</v>
      </c>
      <c r="I10" s="64">
        <v>0.55000000000000004</v>
      </c>
      <c r="J10" s="64">
        <v>1.5</v>
      </c>
      <c r="K10" s="64">
        <v>346.85</v>
      </c>
      <c r="L10" s="64">
        <v>24.9</v>
      </c>
      <c r="M10" s="64">
        <v>39.94</v>
      </c>
      <c r="N10" s="64">
        <v>5.0999999999999996</v>
      </c>
      <c r="O10" s="64">
        <v>0</v>
      </c>
      <c r="P10" s="64">
        <v>0.62</v>
      </c>
      <c r="Q10" s="64">
        <v>8.57</v>
      </c>
      <c r="R10" s="198"/>
      <c r="S10" s="198"/>
      <c r="T10" s="198"/>
      <c r="U10" s="198"/>
    </row>
    <row r="11" spans="1:21" s="12" customFormat="1" x14ac:dyDescent="0.25">
      <c r="A11" s="218" t="s">
        <v>2270</v>
      </c>
      <c r="B11" s="64">
        <v>2.8</v>
      </c>
      <c r="C11" s="64">
        <v>37.869999999999997</v>
      </c>
      <c r="D11" s="64">
        <v>23.79</v>
      </c>
      <c r="E11" s="64">
        <v>1.72</v>
      </c>
      <c r="F11" s="64">
        <v>7.22</v>
      </c>
      <c r="G11" s="64">
        <v>35.729999999999997</v>
      </c>
      <c r="H11" s="64">
        <v>14.6</v>
      </c>
      <c r="I11" s="64">
        <v>0.55000000000000004</v>
      </c>
      <c r="J11" s="64">
        <v>1.2</v>
      </c>
      <c r="K11" s="64">
        <v>345.9</v>
      </c>
      <c r="L11" s="64">
        <v>24.69</v>
      </c>
      <c r="M11" s="64">
        <v>40</v>
      </c>
      <c r="N11" s="64">
        <v>4.9000000000000004</v>
      </c>
      <c r="O11" s="64">
        <v>0</v>
      </c>
      <c r="P11" s="64">
        <v>0.6</v>
      </c>
      <c r="Q11" s="64">
        <v>10.32</v>
      </c>
      <c r="R11" s="198"/>
      <c r="S11" s="198"/>
      <c r="T11" s="198"/>
      <c r="U11" s="198"/>
    </row>
    <row r="12" spans="1:21" s="12" customFormat="1" x14ac:dyDescent="0.25">
      <c r="A12" s="218" t="s">
        <v>2271</v>
      </c>
      <c r="B12" s="64">
        <v>2.56</v>
      </c>
      <c r="C12" s="64">
        <v>38.54</v>
      </c>
      <c r="D12" s="64">
        <v>23.97</v>
      </c>
      <c r="E12" s="64">
        <v>2.4700000000000002</v>
      </c>
      <c r="F12" s="64">
        <v>8.18</v>
      </c>
      <c r="G12" s="64">
        <v>36.869999999999997</v>
      </c>
      <c r="H12" s="64">
        <v>14.63</v>
      </c>
      <c r="I12" s="64">
        <v>0.56000000000000005</v>
      </c>
      <c r="J12" s="64">
        <v>0.56000000000000005</v>
      </c>
      <c r="K12" s="64">
        <v>342.32</v>
      </c>
      <c r="L12" s="64">
        <v>24.38</v>
      </c>
      <c r="M12" s="64">
        <v>41.42</v>
      </c>
      <c r="N12" s="64">
        <v>4.9000000000000004</v>
      </c>
      <c r="O12" s="64">
        <v>0</v>
      </c>
      <c r="P12" s="64">
        <v>0.57999999999999996</v>
      </c>
      <c r="Q12" s="64">
        <v>10.72</v>
      </c>
      <c r="R12" s="198"/>
      <c r="S12" s="198"/>
      <c r="T12" s="198"/>
      <c r="U12" s="198"/>
    </row>
    <row r="13" spans="1:21" s="12" customFormat="1" x14ac:dyDescent="0.25">
      <c r="A13" s="218" t="s">
        <v>2272</v>
      </c>
      <c r="B13" s="64">
        <v>2.42</v>
      </c>
      <c r="C13" s="64">
        <v>38.65</v>
      </c>
      <c r="D13" s="64">
        <v>23.92</v>
      </c>
      <c r="E13" s="64">
        <v>3.56</v>
      </c>
      <c r="F13" s="64">
        <v>8.93</v>
      </c>
      <c r="G13" s="64">
        <v>36.869999999999997</v>
      </c>
      <c r="H13" s="64">
        <v>14.63</v>
      </c>
      <c r="I13" s="64">
        <v>0.54</v>
      </c>
      <c r="J13" s="64">
        <v>0.18</v>
      </c>
      <c r="K13" s="64">
        <v>68.14</v>
      </c>
      <c r="L13" s="64">
        <v>24.11</v>
      </c>
      <c r="M13" s="64">
        <v>42.14</v>
      </c>
      <c r="N13" s="64">
        <v>4.9000000000000004</v>
      </c>
      <c r="O13" s="64">
        <v>0</v>
      </c>
      <c r="P13" s="64">
        <v>0.59</v>
      </c>
      <c r="Q13" s="64">
        <v>10.97</v>
      </c>
      <c r="R13" s="198"/>
      <c r="S13" s="198"/>
      <c r="T13" s="198"/>
      <c r="U13" s="198"/>
    </row>
    <row r="14" spans="1:21" s="12" customFormat="1" x14ac:dyDescent="0.25">
      <c r="A14" s="218" t="s">
        <v>2273</v>
      </c>
      <c r="B14" s="64">
        <v>2.4</v>
      </c>
      <c r="C14" s="64">
        <v>37.54</v>
      </c>
      <c r="D14" s="64">
        <v>23.29</v>
      </c>
      <c r="E14" s="64">
        <v>5.87</v>
      </c>
      <c r="F14" s="64">
        <v>10.74</v>
      </c>
      <c r="G14" s="64">
        <v>36.869999999999997</v>
      </c>
      <c r="H14" s="64">
        <v>14.63</v>
      </c>
      <c r="I14" s="64">
        <v>0.53</v>
      </c>
      <c r="J14" s="64">
        <v>0.81</v>
      </c>
      <c r="K14" s="64">
        <v>112.71</v>
      </c>
      <c r="L14" s="64">
        <v>23.92</v>
      </c>
      <c r="M14" s="64">
        <v>42.3</v>
      </c>
      <c r="N14" s="64">
        <v>4.4000000000000004</v>
      </c>
      <c r="O14" s="64">
        <v>0</v>
      </c>
      <c r="P14" s="64">
        <v>0.62</v>
      </c>
      <c r="Q14" s="64">
        <v>11.04</v>
      </c>
      <c r="R14" s="198"/>
      <c r="S14" s="198"/>
      <c r="T14" s="198"/>
      <c r="U14" s="198"/>
    </row>
    <row r="15" spans="1:21" s="12" customFormat="1" x14ac:dyDescent="0.25">
      <c r="A15" s="218" t="s">
        <v>2274</v>
      </c>
      <c r="B15" s="64">
        <v>2.56</v>
      </c>
      <c r="C15" s="64">
        <v>37.81</v>
      </c>
      <c r="D15" s="64">
        <v>23.56</v>
      </c>
      <c r="E15" s="64">
        <v>3.46</v>
      </c>
      <c r="F15" s="64">
        <v>7.43</v>
      </c>
      <c r="G15" s="64">
        <v>43.4</v>
      </c>
      <c r="H15" s="64">
        <v>14.5</v>
      </c>
      <c r="I15" s="64">
        <v>0.53</v>
      </c>
      <c r="J15" s="64">
        <v>0.86</v>
      </c>
      <c r="K15" s="64">
        <v>115.26</v>
      </c>
      <c r="L15" s="64">
        <v>23.85</v>
      </c>
      <c r="M15" s="64">
        <v>42.6</v>
      </c>
      <c r="N15" s="64">
        <v>4.5</v>
      </c>
      <c r="O15" s="64">
        <v>0</v>
      </c>
      <c r="P15" s="64">
        <v>0.59</v>
      </c>
      <c r="Q15" s="64">
        <v>13.07</v>
      </c>
      <c r="R15" s="198"/>
      <c r="S15" s="198"/>
      <c r="T15" s="198"/>
      <c r="U15" s="198"/>
    </row>
    <row r="16" spans="1:21" s="12" customFormat="1" x14ac:dyDescent="0.25">
      <c r="A16" s="218" t="s">
        <v>2275</v>
      </c>
      <c r="B16" s="64">
        <v>2.67</v>
      </c>
      <c r="C16" s="64">
        <v>36.840000000000003</v>
      </c>
      <c r="D16" s="64">
        <v>23.12</v>
      </c>
      <c r="E16" s="64">
        <v>3.33</v>
      </c>
      <c r="F16" s="64">
        <v>11.66</v>
      </c>
      <c r="G16" s="64">
        <v>45.91</v>
      </c>
      <c r="H16" s="64">
        <v>14.49</v>
      </c>
      <c r="I16" s="64">
        <v>0.54</v>
      </c>
      <c r="J16" s="64">
        <v>0.66</v>
      </c>
      <c r="K16" s="64">
        <v>118.16</v>
      </c>
      <c r="L16" s="64">
        <v>23.68</v>
      </c>
      <c r="M16" s="64">
        <v>42.97</v>
      </c>
      <c r="N16" s="64">
        <v>4.7</v>
      </c>
      <c r="O16" s="64">
        <v>0</v>
      </c>
      <c r="P16" s="64">
        <v>0.55000000000000004</v>
      </c>
      <c r="Q16" s="64">
        <v>15.62</v>
      </c>
      <c r="R16" s="198"/>
      <c r="S16" s="198"/>
      <c r="T16" s="198"/>
      <c r="U16" s="198"/>
    </row>
    <row r="17" spans="1:21" s="12" customFormat="1" x14ac:dyDescent="0.25">
      <c r="A17" s="218" t="s">
        <v>2276</v>
      </c>
      <c r="B17" s="64">
        <v>2.91</v>
      </c>
      <c r="C17" s="64">
        <v>35.39</v>
      </c>
      <c r="D17" s="64">
        <v>22.51</v>
      </c>
      <c r="E17" s="64">
        <v>3.1</v>
      </c>
      <c r="F17" s="64">
        <v>10.81</v>
      </c>
      <c r="G17" s="64">
        <v>45.91</v>
      </c>
      <c r="H17" s="64">
        <v>14.49</v>
      </c>
      <c r="I17" s="64">
        <v>0.55000000000000004</v>
      </c>
      <c r="J17" s="64">
        <v>0.81</v>
      </c>
      <c r="K17" s="64">
        <v>122.32</v>
      </c>
      <c r="L17" s="64">
        <v>23.68</v>
      </c>
      <c r="M17" s="64">
        <v>42.41</v>
      </c>
      <c r="N17" s="64">
        <v>4.4000000000000004</v>
      </c>
      <c r="O17" s="64">
        <v>0</v>
      </c>
      <c r="P17" s="64">
        <v>0.54</v>
      </c>
      <c r="Q17" s="64">
        <v>17.12</v>
      </c>
      <c r="R17" s="198"/>
      <c r="S17" s="198"/>
      <c r="T17" s="198"/>
      <c r="U17" s="198"/>
    </row>
    <row r="18" spans="1:21" s="12" customFormat="1" x14ac:dyDescent="0.25">
      <c r="A18" s="218" t="s">
        <v>2277</v>
      </c>
      <c r="B18" s="64">
        <v>3.08</v>
      </c>
      <c r="C18" s="64">
        <v>35.119999999999997</v>
      </c>
      <c r="D18" s="64">
        <v>22.49</v>
      </c>
      <c r="E18" s="64">
        <v>4.28</v>
      </c>
      <c r="F18" s="64">
        <v>13.32</v>
      </c>
      <c r="G18" s="64">
        <v>45.91</v>
      </c>
      <c r="H18" s="64">
        <v>14.49</v>
      </c>
      <c r="I18" s="64">
        <v>0.55000000000000004</v>
      </c>
      <c r="J18" s="64">
        <v>0.21</v>
      </c>
      <c r="K18" s="64">
        <v>145.62</v>
      </c>
      <c r="L18" s="64">
        <v>23.61</v>
      </c>
      <c r="M18" s="64">
        <v>43.02</v>
      </c>
      <c r="N18" s="64">
        <v>4.9000000000000004</v>
      </c>
      <c r="O18" s="64">
        <v>0</v>
      </c>
      <c r="P18" s="64">
        <v>0.53</v>
      </c>
      <c r="Q18" s="64">
        <v>18.54</v>
      </c>
      <c r="R18" s="198"/>
      <c r="S18" s="198"/>
      <c r="T18" s="198"/>
      <c r="U18" s="198"/>
    </row>
    <row r="19" spans="1:21" s="12" customFormat="1" x14ac:dyDescent="0.25">
      <c r="A19" s="218" t="s">
        <v>2278</v>
      </c>
      <c r="B19" s="64">
        <v>4.59</v>
      </c>
      <c r="C19" s="64">
        <v>37.090000000000003</v>
      </c>
      <c r="D19" s="64">
        <v>24.8</v>
      </c>
      <c r="E19" s="64">
        <v>5.04</v>
      </c>
      <c r="F19" s="64">
        <v>11.39</v>
      </c>
      <c r="G19" s="64">
        <v>42.99</v>
      </c>
      <c r="H19" s="64">
        <v>12.33</v>
      </c>
      <c r="I19" s="64">
        <v>0.54</v>
      </c>
      <c r="J19" s="64">
        <v>0.48</v>
      </c>
      <c r="K19" s="64">
        <v>130.80000000000001</v>
      </c>
      <c r="L19" s="64">
        <v>23.53</v>
      </c>
      <c r="M19" s="64">
        <v>42.83</v>
      </c>
      <c r="N19" s="64">
        <v>4.5999999999999996</v>
      </c>
      <c r="O19" s="64">
        <v>0</v>
      </c>
      <c r="P19" s="64">
        <v>0.52</v>
      </c>
      <c r="Q19" s="64">
        <v>19.39</v>
      </c>
      <c r="R19" s="198"/>
      <c r="S19" s="198"/>
      <c r="T19" s="198"/>
      <c r="U19" s="198"/>
    </row>
    <row r="20" spans="1:21" s="12" customFormat="1" x14ac:dyDescent="0.25">
      <c r="A20" s="218" t="s">
        <v>2279</v>
      </c>
      <c r="B20" s="64">
        <v>4.3499999999999996</v>
      </c>
      <c r="C20" s="64">
        <v>35.07</v>
      </c>
      <c r="D20" s="64">
        <v>23.48</v>
      </c>
      <c r="E20" s="64">
        <v>3</v>
      </c>
      <c r="F20" s="64">
        <v>9.7799999999999994</v>
      </c>
      <c r="G20" s="64">
        <v>41.87</v>
      </c>
      <c r="H20" s="64">
        <v>12.26</v>
      </c>
      <c r="I20" s="64">
        <v>0.55000000000000004</v>
      </c>
      <c r="J20" s="64">
        <v>0.46</v>
      </c>
      <c r="K20" s="64">
        <v>126.05</v>
      </c>
      <c r="L20" s="64">
        <v>23.67</v>
      </c>
      <c r="M20" s="64">
        <v>42.51</v>
      </c>
      <c r="N20" s="64">
        <v>4.5999999999999996</v>
      </c>
      <c r="O20" s="64">
        <v>0</v>
      </c>
      <c r="P20" s="64">
        <v>0.53</v>
      </c>
      <c r="Q20" s="64">
        <v>20.079999999999998</v>
      </c>
      <c r="R20" s="198"/>
      <c r="S20" s="198"/>
      <c r="T20" s="198"/>
      <c r="U20" s="198"/>
    </row>
    <row r="21" spans="1:21" s="12" customFormat="1" x14ac:dyDescent="0.25">
      <c r="A21" s="218" t="s">
        <v>2280</v>
      </c>
      <c r="B21" s="64">
        <v>3.5</v>
      </c>
      <c r="C21" s="64">
        <v>30.45</v>
      </c>
      <c r="D21" s="64">
        <v>20.260000000000002</v>
      </c>
      <c r="E21" s="64">
        <v>2.63</v>
      </c>
      <c r="F21" s="64">
        <v>11.64</v>
      </c>
      <c r="G21" s="64">
        <v>41.87</v>
      </c>
      <c r="H21" s="64">
        <v>12.26</v>
      </c>
      <c r="I21" s="64">
        <v>0.54</v>
      </c>
      <c r="J21" s="64">
        <v>0.28999999999999998</v>
      </c>
      <c r="K21" s="64">
        <v>108.1</v>
      </c>
      <c r="L21" s="64">
        <v>23.39</v>
      </c>
      <c r="M21" s="64">
        <v>43.66</v>
      </c>
      <c r="N21" s="64">
        <v>4.8</v>
      </c>
      <c r="O21" s="64">
        <v>0</v>
      </c>
      <c r="P21" s="64">
        <v>0.5</v>
      </c>
      <c r="Q21" s="64">
        <v>18.34</v>
      </c>
      <c r="R21" s="198"/>
      <c r="S21" s="198"/>
      <c r="T21" s="198"/>
      <c r="U21" s="198"/>
    </row>
    <row r="22" spans="1:21" s="12" customFormat="1" x14ac:dyDescent="0.25">
      <c r="A22" s="218" t="s">
        <v>2281</v>
      </c>
      <c r="B22" s="64">
        <v>3.31</v>
      </c>
      <c r="C22" s="64">
        <v>31.62</v>
      </c>
      <c r="D22" s="64">
        <v>20.75</v>
      </c>
      <c r="E22" s="64">
        <v>2.0499999999999998</v>
      </c>
      <c r="F22" s="64">
        <v>10.57</v>
      </c>
      <c r="G22" s="64">
        <v>41.87</v>
      </c>
      <c r="H22" s="64">
        <v>12.26</v>
      </c>
      <c r="I22" s="64">
        <v>0.53</v>
      </c>
      <c r="J22" s="64">
        <v>0.76</v>
      </c>
      <c r="K22" s="64">
        <v>348.29</v>
      </c>
      <c r="L22" s="64">
        <v>23.49</v>
      </c>
      <c r="M22" s="64">
        <v>43.84</v>
      </c>
      <c r="N22" s="64">
        <v>4.5999999999999996</v>
      </c>
      <c r="O22" s="64">
        <v>0</v>
      </c>
      <c r="P22" s="64">
        <v>0.5</v>
      </c>
      <c r="Q22" s="64">
        <v>18.13</v>
      </c>
      <c r="R22" s="198"/>
      <c r="S22" s="198"/>
      <c r="T22" s="198"/>
      <c r="U22" s="198"/>
    </row>
    <row r="23" spans="1:21" s="12" customFormat="1" x14ac:dyDescent="0.25">
      <c r="A23" s="218" t="s">
        <v>2282</v>
      </c>
      <c r="B23" s="64">
        <v>3.2</v>
      </c>
      <c r="C23" s="64">
        <v>33.97</v>
      </c>
      <c r="D23" s="64">
        <v>21.95</v>
      </c>
      <c r="E23" s="64">
        <v>1.81</v>
      </c>
      <c r="F23" s="64">
        <v>6.83</v>
      </c>
      <c r="G23" s="64">
        <v>42.77</v>
      </c>
      <c r="H23" s="64">
        <v>12.3</v>
      </c>
      <c r="I23" s="64">
        <v>0.53</v>
      </c>
      <c r="J23" s="64">
        <v>0.52</v>
      </c>
      <c r="K23" s="64">
        <v>353.81</v>
      </c>
      <c r="L23" s="64">
        <v>23.21</v>
      </c>
      <c r="M23" s="64">
        <v>44.98</v>
      </c>
      <c r="N23" s="64">
        <v>4.8</v>
      </c>
      <c r="O23" s="64">
        <v>0</v>
      </c>
      <c r="P23" s="64">
        <v>0.51</v>
      </c>
      <c r="Q23" s="64">
        <v>17.600000000000001</v>
      </c>
      <c r="R23" s="198"/>
      <c r="S23" s="198"/>
      <c r="T23" s="198"/>
      <c r="U23" s="198"/>
    </row>
    <row r="24" spans="1:21" s="12" customFormat="1" x14ac:dyDescent="0.25">
      <c r="A24" s="218" t="s">
        <v>2283</v>
      </c>
      <c r="B24" s="64">
        <v>3.07</v>
      </c>
      <c r="C24" s="64">
        <v>35.04</v>
      </c>
      <c r="D24" s="64">
        <v>22.44</v>
      </c>
      <c r="E24" s="64">
        <v>0.95</v>
      </c>
      <c r="F24" s="64">
        <v>6.84</v>
      </c>
      <c r="G24" s="64">
        <v>43.12</v>
      </c>
      <c r="H24" s="64">
        <v>12.3</v>
      </c>
      <c r="I24" s="64">
        <v>0.55000000000000004</v>
      </c>
      <c r="J24" s="64">
        <v>1.05</v>
      </c>
      <c r="K24" s="64">
        <v>1.51</v>
      </c>
      <c r="L24" s="64">
        <v>22.93</v>
      </c>
      <c r="M24" s="64">
        <v>46.07</v>
      </c>
      <c r="N24" s="64">
        <v>5.0999999999999996</v>
      </c>
      <c r="O24" s="64">
        <v>0</v>
      </c>
      <c r="P24" s="64">
        <v>0.51</v>
      </c>
      <c r="Q24" s="64">
        <v>17.18</v>
      </c>
      <c r="R24" s="198"/>
      <c r="S24" s="198"/>
      <c r="T24" s="198"/>
      <c r="U24" s="198"/>
    </row>
    <row r="25" spans="1:21" s="12" customFormat="1" x14ac:dyDescent="0.25">
      <c r="A25" s="218" t="s">
        <v>2284</v>
      </c>
      <c r="B25" s="64">
        <v>3.06</v>
      </c>
      <c r="C25" s="64">
        <v>36.880000000000003</v>
      </c>
      <c r="D25" s="64">
        <v>23.45</v>
      </c>
      <c r="E25" s="64">
        <v>1.79</v>
      </c>
      <c r="F25" s="64">
        <v>6.38</v>
      </c>
      <c r="G25" s="64">
        <v>43.12</v>
      </c>
      <c r="H25" s="64">
        <v>12.3</v>
      </c>
      <c r="I25" s="64">
        <v>0.54</v>
      </c>
      <c r="J25" s="64">
        <v>0.73</v>
      </c>
      <c r="K25" s="64">
        <v>347.43</v>
      </c>
      <c r="L25" s="64">
        <v>22.88</v>
      </c>
      <c r="M25" s="64">
        <v>46.14</v>
      </c>
      <c r="N25" s="64">
        <v>5</v>
      </c>
      <c r="O25" s="64">
        <v>0</v>
      </c>
      <c r="P25" s="64">
        <v>0.51</v>
      </c>
      <c r="Q25" s="64">
        <v>17.14</v>
      </c>
      <c r="R25" s="198"/>
      <c r="S25" s="198"/>
      <c r="T25" s="198"/>
      <c r="U25" s="198"/>
    </row>
    <row r="26" spans="1:21" s="12" customFormat="1" x14ac:dyDescent="0.25">
      <c r="A26" s="218" t="s">
        <v>2285</v>
      </c>
      <c r="B26" s="64">
        <v>3.87</v>
      </c>
      <c r="C26" s="64">
        <v>38.1</v>
      </c>
      <c r="D26" s="64">
        <v>24.77</v>
      </c>
      <c r="E26" s="64">
        <v>2.39</v>
      </c>
      <c r="F26" s="64">
        <v>6.05</v>
      </c>
      <c r="G26" s="64">
        <v>43.12</v>
      </c>
      <c r="H26" s="64">
        <v>12.3</v>
      </c>
      <c r="I26" s="64">
        <v>0.53</v>
      </c>
      <c r="J26" s="64">
        <v>0.19</v>
      </c>
      <c r="K26" s="64">
        <v>53.42</v>
      </c>
      <c r="L26" s="64">
        <v>22.79</v>
      </c>
      <c r="M26" s="64">
        <v>46.09</v>
      </c>
      <c r="N26" s="64">
        <v>4.9000000000000004</v>
      </c>
      <c r="O26" s="64">
        <v>0</v>
      </c>
      <c r="P26" s="64">
        <v>0.49</v>
      </c>
      <c r="Q26" s="64">
        <v>16.62</v>
      </c>
      <c r="R26" s="198"/>
      <c r="S26" s="198"/>
      <c r="T26" s="198"/>
      <c r="U26" s="198"/>
    </row>
    <row r="27" spans="1:21" s="12" customFormat="1" x14ac:dyDescent="0.25">
      <c r="A27" s="218" t="s">
        <v>2286</v>
      </c>
      <c r="B27" s="64">
        <v>5.98</v>
      </c>
      <c r="C27" s="64">
        <v>39.75</v>
      </c>
      <c r="D27" s="64">
        <v>27.38</v>
      </c>
      <c r="E27" s="64">
        <v>2.38</v>
      </c>
      <c r="F27" s="64">
        <v>9.69</v>
      </c>
      <c r="G27" s="64">
        <v>44.48</v>
      </c>
      <c r="H27" s="64">
        <v>14.19</v>
      </c>
      <c r="I27" s="64">
        <v>0.54</v>
      </c>
      <c r="J27" s="64">
        <v>0.21</v>
      </c>
      <c r="K27" s="64">
        <v>146.19</v>
      </c>
      <c r="L27" s="64">
        <v>22.96</v>
      </c>
      <c r="M27" s="64">
        <v>44.15</v>
      </c>
      <c r="N27" s="64">
        <v>4.5999999999999996</v>
      </c>
      <c r="O27" s="64">
        <v>0</v>
      </c>
      <c r="P27" s="64">
        <v>0.47</v>
      </c>
      <c r="Q27" s="64">
        <v>16.670000000000002</v>
      </c>
      <c r="R27" s="198"/>
      <c r="S27" s="198"/>
      <c r="T27" s="198"/>
      <c r="U27" s="198"/>
    </row>
    <row r="28" spans="1:21" s="12" customFormat="1" x14ac:dyDescent="0.25">
      <c r="A28" s="218" t="s">
        <v>2287</v>
      </c>
      <c r="B28" s="64">
        <v>6.25</v>
      </c>
      <c r="C28" s="64">
        <v>41.66</v>
      </c>
      <c r="D28" s="64">
        <v>28.65</v>
      </c>
      <c r="E28" s="64">
        <v>2.37</v>
      </c>
      <c r="F28" s="64">
        <v>6.51</v>
      </c>
      <c r="G28" s="64">
        <v>45</v>
      </c>
      <c r="H28" s="64">
        <v>14.25</v>
      </c>
      <c r="I28" s="64">
        <v>0.53</v>
      </c>
      <c r="J28" s="64">
        <v>0.36</v>
      </c>
      <c r="K28" s="64">
        <v>227.57</v>
      </c>
      <c r="L28" s="64">
        <v>22.9</v>
      </c>
      <c r="M28" s="64">
        <v>45.31</v>
      </c>
      <c r="N28" s="64">
        <v>4.7</v>
      </c>
      <c r="O28" s="64">
        <v>0</v>
      </c>
      <c r="P28" s="64">
        <v>0.51</v>
      </c>
      <c r="Q28" s="64">
        <v>17.22</v>
      </c>
      <c r="R28" s="198"/>
      <c r="S28" s="198"/>
      <c r="T28" s="198"/>
      <c r="U28" s="198"/>
    </row>
    <row r="29" spans="1:21" s="12" customFormat="1" x14ac:dyDescent="0.25">
      <c r="A29" s="218" t="s">
        <v>2288</v>
      </c>
      <c r="B29" s="64">
        <v>4.8099999999999996</v>
      </c>
      <c r="C29" s="64">
        <v>39.64</v>
      </c>
      <c r="D29" s="64">
        <v>26.38</v>
      </c>
      <c r="E29" s="64">
        <v>1.64</v>
      </c>
      <c r="F29" s="64">
        <v>5.12</v>
      </c>
      <c r="G29" s="64">
        <v>45</v>
      </c>
      <c r="H29" s="64">
        <v>14.25</v>
      </c>
      <c r="I29" s="64">
        <v>0.53</v>
      </c>
      <c r="J29" s="64">
        <v>0.93</v>
      </c>
      <c r="K29" s="64">
        <v>199.04</v>
      </c>
      <c r="L29" s="64">
        <v>22.86</v>
      </c>
      <c r="M29" s="64">
        <v>46.96</v>
      </c>
      <c r="N29" s="64">
        <v>4.7</v>
      </c>
      <c r="O29" s="64">
        <v>0</v>
      </c>
      <c r="P29" s="64">
        <v>0.5</v>
      </c>
      <c r="Q29" s="64">
        <v>17.62</v>
      </c>
      <c r="R29" s="198"/>
      <c r="S29" s="198"/>
      <c r="T29" s="198"/>
      <c r="U29" s="198"/>
    </row>
    <row r="30" spans="1:21" s="12" customFormat="1" x14ac:dyDescent="0.25">
      <c r="A30" s="218" t="s">
        <v>2289</v>
      </c>
      <c r="B30" s="64">
        <v>4.8499999999999996</v>
      </c>
      <c r="C30" s="64">
        <v>38.630000000000003</v>
      </c>
      <c r="D30" s="64">
        <v>25.86</v>
      </c>
      <c r="E30" s="64">
        <v>1.21</v>
      </c>
      <c r="F30" s="64">
        <v>4.22</v>
      </c>
      <c r="G30" s="64">
        <v>45</v>
      </c>
      <c r="H30" s="64">
        <v>14.25</v>
      </c>
      <c r="I30" s="64">
        <v>0.52</v>
      </c>
      <c r="J30" s="64">
        <v>1.02</v>
      </c>
      <c r="K30" s="64">
        <v>204.72</v>
      </c>
      <c r="L30" s="64">
        <v>22.33</v>
      </c>
      <c r="M30" s="64">
        <v>49.9</v>
      </c>
      <c r="N30" s="64">
        <v>5.9</v>
      </c>
      <c r="O30" s="64">
        <v>0</v>
      </c>
      <c r="P30" s="64">
        <v>0.49</v>
      </c>
      <c r="Q30" s="64">
        <v>17.399999999999999</v>
      </c>
      <c r="R30" s="198"/>
      <c r="S30" s="198"/>
      <c r="T30" s="198"/>
      <c r="U30" s="198"/>
    </row>
    <row r="31" spans="1:21" s="12" customFormat="1" x14ac:dyDescent="0.25">
      <c r="A31" s="218" t="s">
        <v>2290</v>
      </c>
      <c r="B31" s="64">
        <v>4.8099999999999996</v>
      </c>
      <c r="C31" s="64">
        <v>38.57</v>
      </c>
      <c r="D31" s="64">
        <v>25.79</v>
      </c>
      <c r="E31" s="64">
        <v>0.71</v>
      </c>
      <c r="F31" s="64">
        <v>4.2699999999999996</v>
      </c>
      <c r="G31" s="64">
        <v>42.78</v>
      </c>
      <c r="H31" s="64">
        <v>13.52</v>
      </c>
      <c r="I31" s="64">
        <v>0.54</v>
      </c>
      <c r="J31" s="64">
        <v>0.57999999999999996</v>
      </c>
      <c r="K31" s="64">
        <v>201.02</v>
      </c>
      <c r="L31" s="64">
        <v>22.03</v>
      </c>
      <c r="M31" s="64">
        <v>51.46</v>
      </c>
      <c r="N31" s="64">
        <v>9.4</v>
      </c>
      <c r="O31" s="64">
        <v>0</v>
      </c>
      <c r="P31" s="64">
        <v>0.48</v>
      </c>
      <c r="Q31" s="64">
        <v>17.079999999999998</v>
      </c>
      <c r="R31" s="198"/>
      <c r="S31" s="198"/>
      <c r="T31" s="198"/>
      <c r="U31" s="198"/>
    </row>
    <row r="32" spans="1:21" s="12" customFormat="1" x14ac:dyDescent="0.25">
      <c r="A32" s="218" t="s">
        <v>2291</v>
      </c>
      <c r="B32" s="64">
        <v>4.9400000000000004</v>
      </c>
      <c r="C32" s="64">
        <v>37</v>
      </c>
      <c r="D32" s="64">
        <v>25.03</v>
      </c>
      <c r="E32" s="64">
        <v>0.73</v>
      </c>
      <c r="F32" s="64">
        <v>3.99</v>
      </c>
      <c r="G32" s="64">
        <v>41.93</v>
      </c>
      <c r="H32" s="64">
        <v>13.5</v>
      </c>
      <c r="I32" s="64">
        <v>0.55000000000000004</v>
      </c>
      <c r="J32" s="64">
        <v>0.46</v>
      </c>
      <c r="K32" s="64">
        <v>197.35</v>
      </c>
      <c r="L32" s="64">
        <v>22.28</v>
      </c>
      <c r="M32" s="64">
        <v>49.47</v>
      </c>
      <c r="N32" s="64">
        <v>25.1</v>
      </c>
      <c r="O32" s="64">
        <v>0</v>
      </c>
      <c r="P32" s="64">
        <v>0.48</v>
      </c>
      <c r="Q32" s="64">
        <v>16.55</v>
      </c>
      <c r="R32" s="198"/>
      <c r="S32" s="198"/>
      <c r="T32" s="198"/>
      <c r="U32" s="198"/>
    </row>
    <row r="33" spans="1:21" s="12" customFormat="1" x14ac:dyDescent="0.25">
      <c r="A33" s="218" t="s">
        <v>2292</v>
      </c>
      <c r="B33" s="64">
        <v>5.35</v>
      </c>
      <c r="C33" s="64">
        <v>36.630000000000003</v>
      </c>
      <c r="D33" s="64">
        <v>25.15</v>
      </c>
      <c r="E33" s="64">
        <v>0.51</v>
      </c>
      <c r="F33" s="64">
        <v>3.61</v>
      </c>
      <c r="G33" s="64">
        <v>41.93</v>
      </c>
      <c r="H33" s="64">
        <v>13.5</v>
      </c>
      <c r="I33" s="64">
        <v>0.54</v>
      </c>
      <c r="J33" s="64">
        <v>0.39</v>
      </c>
      <c r="K33" s="64">
        <v>227.59</v>
      </c>
      <c r="L33" s="64">
        <v>22.63</v>
      </c>
      <c r="M33" s="64">
        <v>48.91</v>
      </c>
      <c r="N33" s="64">
        <v>42.1</v>
      </c>
      <c r="O33" s="64">
        <v>0</v>
      </c>
      <c r="P33" s="64">
        <v>0.48</v>
      </c>
      <c r="Q33" s="64">
        <v>15.34</v>
      </c>
      <c r="R33" s="198"/>
      <c r="S33" s="198"/>
      <c r="T33" s="198"/>
      <c r="U33" s="198"/>
    </row>
    <row r="34" spans="1:21" s="12" customFormat="1" x14ac:dyDescent="0.25">
      <c r="A34" s="218" t="s">
        <v>2293</v>
      </c>
      <c r="B34" s="64">
        <v>6.54</v>
      </c>
      <c r="C34" s="64">
        <v>41.66</v>
      </c>
      <c r="D34" s="64">
        <v>28.88</v>
      </c>
      <c r="E34" s="64">
        <v>0.74</v>
      </c>
      <c r="F34" s="64">
        <v>3.85</v>
      </c>
      <c r="G34" s="64">
        <v>41.93</v>
      </c>
      <c r="H34" s="64">
        <v>13.5</v>
      </c>
      <c r="I34" s="64">
        <v>0.54</v>
      </c>
      <c r="J34" s="64">
        <v>0.41</v>
      </c>
      <c r="K34" s="64">
        <v>241.48</v>
      </c>
      <c r="L34" s="64">
        <v>22.89</v>
      </c>
      <c r="M34" s="64">
        <v>48.15</v>
      </c>
      <c r="N34" s="64">
        <v>52.7</v>
      </c>
      <c r="O34" s="64">
        <v>0</v>
      </c>
      <c r="P34" s="64">
        <v>0.49</v>
      </c>
      <c r="Q34" s="64">
        <v>15.59</v>
      </c>
      <c r="R34" s="198"/>
      <c r="S34" s="198"/>
      <c r="T34" s="198"/>
      <c r="U34" s="198"/>
    </row>
    <row r="35" spans="1:21" s="12" customFormat="1" x14ac:dyDescent="0.25">
      <c r="A35" s="218" t="s">
        <v>2294</v>
      </c>
      <c r="B35" s="64">
        <v>6.76</v>
      </c>
      <c r="C35" s="64">
        <v>41.74</v>
      </c>
      <c r="D35" s="64">
        <v>29.11</v>
      </c>
      <c r="E35" s="64">
        <v>0.78</v>
      </c>
      <c r="F35" s="64">
        <v>3.74</v>
      </c>
      <c r="G35" s="64">
        <v>43.07</v>
      </c>
      <c r="H35" s="64">
        <v>14.12</v>
      </c>
      <c r="I35" s="64">
        <v>0.54</v>
      </c>
      <c r="J35" s="64">
        <v>0.13</v>
      </c>
      <c r="K35" s="64">
        <v>230.33</v>
      </c>
      <c r="L35" s="64">
        <v>23.21</v>
      </c>
      <c r="M35" s="64">
        <v>47.99</v>
      </c>
      <c r="N35" s="64">
        <v>97.7</v>
      </c>
      <c r="O35" s="64">
        <v>0</v>
      </c>
      <c r="P35" s="64">
        <v>0.49</v>
      </c>
      <c r="Q35" s="64">
        <v>14.87</v>
      </c>
      <c r="R35" s="198"/>
      <c r="S35" s="198"/>
      <c r="T35" s="198"/>
      <c r="U35" s="198"/>
    </row>
    <row r="36" spans="1:21" s="12" customFormat="1" x14ac:dyDescent="0.25">
      <c r="A36" s="218" t="s">
        <v>2295</v>
      </c>
      <c r="B36" s="64">
        <v>9.64</v>
      </c>
      <c r="C36" s="64">
        <v>42.93</v>
      </c>
      <c r="D36" s="64">
        <v>32.07</v>
      </c>
      <c r="E36" s="64">
        <v>0.57999999999999996</v>
      </c>
      <c r="F36" s="64">
        <v>4.17</v>
      </c>
      <c r="G36" s="64">
        <v>43.51</v>
      </c>
      <c r="H36" s="64">
        <v>14.14</v>
      </c>
      <c r="I36" s="64">
        <v>0.52</v>
      </c>
      <c r="J36" s="64">
        <v>0.02</v>
      </c>
      <c r="K36" s="64">
        <v>250.42</v>
      </c>
      <c r="L36" s="64">
        <v>23.82</v>
      </c>
      <c r="M36" s="64">
        <v>47.99</v>
      </c>
      <c r="N36" s="64">
        <v>75.3</v>
      </c>
      <c r="O36" s="64">
        <v>0</v>
      </c>
      <c r="P36" s="64">
        <v>0.52</v>
      </c>
      <c r="Q36" s="64">
        <v>14.87</v>
      </c>
      <c r="R36" s="198"/>
      <c r="S36" s="198"/>
      <c r="T36" s="198"/>
      <c r="U36" s="198"/>
    </row>
    <row r="37" spans="1:21" s="12" customFormat="1" x14ac:dyDescent="0.25">
      <c r="A37" s="218" t="s">
        <v>2296</v>
      </c>
      <c r="B37" s="64">
        <v>9.3000000000000007</v>
      </c>
      <c r="C37" s="64">
        <v>42.44</v>
      </c>
      <c r="D37" s="64">
        <v>31.53</v>
      </c>
      <c r="E37" s="64">
        <v>1.08</v>
      </c>
      <c r="F37" s="64">
        <v>4.0199999999999996</v>
      </c>
      <c r="G37" s="64">
        <v>43.51</v>
      </c>
      <c r="H37" s="64">
        <v>14.14</v>
      </c>
      <c r="I37" s="64">
        <v>0.54</v>
      </c>
      <c r="J37" s="64">
        <v>0.28999999999999998</v>
      </c>
      <c r="K37" s="64">
        <v>222.53</v>
      </c>
      <c r="L37" s="64">
        <v>23.59</v>
      </c>
      <c r="M37" s="64">
        <v>48</v>
      </c>
      <c r="N37" s="64">
        <v>139.80000000000001</v>
      </c>
      <c r="O37" s="64">
        <v>0</v>
      </c>
      <c r="P37" s="64">
        <v>0.45</v>
      </c>
      <c r="Q37" s="64">
        <v>15.11</v>
      </c>
      <c r="R37" s="198"/>
      <c r="S37" s="198"/>
      <c r="T37" s="198"/>
      <c r="U37" s="198"/>
    </row>
    <row r="38" spans="1:21" s="12" customFormat="1" x14ac:dyDescent="0.25">
      <c r="A38" s="218" t="s">
        <v>2297</v>
      </c>
      <c r="B38" s="64">
        <v>8.8800000000000008</v>
      </c>
      <c r="C38" s="64">
        <v>41.39</v>
      </c>
      <c r="D38" s="64">
        <v>30.61</v>
      </c>
      <c r="E38" s="64">
        <v>0.54</v>
      </c>
      <c r="F38" s="64">
        <v>4.25</v>
      </c>
      <c r="G38" s="64">
        <v>43.51</v>
      </c>
      <c r="H38" s="64">
        <v>14.14</v>
      </c>
      <c r="I38" s="64">
        <v>0.53</v>
      </c>
      <c r="J38" s="64">
        <v>0.66</v>
      </c>
      <c r="K38" s="64">
        <v>191.43</v>
      </c>
      <c r="L38" s="64">
        <v>24.97</v>
      </c>
      <c r="M38" s="64">
        <v>43.6</v>
      </c>
      <c r="N38" s="64">
        <v>304.3</v>
      </c>
      <c r="O38" s="64">
        <v>0</v>
      </c>
      <c r="P38" s="64">
        <v>0.48</v>
      </c>
      <c r="Q38" s="64">
        <v>15.04</v>
      </c>
      <c r="R38" s="198"/>
      <c r="S38" s="198"/>
      <c r="T38" s="198"/>
      <c r="U38" s="198"/>
    </row>
    <row r="39" spans="1:21" s="12" customFormat="1" x14ac:dyDescent="0.25">
      <c r="A39" s="218" t="s">
        <v>2298</v>
      </c>
      <c r="B39" s="64">
        <v>8.34</v>
      </c>
      <c r="C39" s="64">
        <v>42.19</v>
      </c>
      <c r="D39" s="64">
        <v>30.62</v>
      </c>
      <c r="E39" s="64">
        <v>1.25</v>
      </c>
      <c r="F39" s="64">
        <v>7.38</v>
      </c>
      <c r="G39" s="64">
        <v>46.71</v>
      </c>
      <c r="H39" s="64">
        <v>16.96</v>
      </c>
      <c r="I39" s="64">
        <v>0.52</v>
      </c>
      <c r="J39" s="64">
        <v>0.87</v>
      </c>
      <c r="K39" s="64">
        <v>200.64</v>
      </c>
      <c r="L39" s="64">
        <v>26</v>
      </c>
      <c r="M39" s="64">
        <v>41.78</v>
      </c>
      <c r="N39" s="64">
        <v>360.9</v>
      </c>
      <c r="O39" s="64">
        <v>0</v>
      </c>
      <c r="P39" s="64">
        <v>0.48</v>
      </c>
      <c r="Q39" s="64">
        <v>15.66</v>
      </c>
      <c r="R39" s="198"/>
      <c r="S39" s="198"/>
      <c r="T39" s="198"/>
      <c r="U39" s="198"/>
    </row>
    <row r="40" spans="1:21" s="12" customFormat="1" x14ac:dyDescent="0.25">
      <c r="A40" s="218" t="s">
        <v>2299</v>
      </c>
      <c r="B40" s="64">
        <v>7.99</v>
      </c>
      <c r="C40" s="64">
        <v>41.5</v>
      </c>
      <c r="D40" s="64">
        <v>29.96</v>
      </c>
      <c r="E40" s="64">
        <v>1.64</v>
      </c>
      <c r="F40" s="64">
        <v>6.22</v>
      </c>
      <c r="G40" s="64">
        <v>47.94</v>
      </c>
      <c r="H40" s="64">
        <v>17.09</v>
      </c>
      <c r="I40" s="64">
        <v>0.54</v>
      </c>
      <c r="J40" s="64">
        <v>1.06</v>
      </c>
      <c r="K40" s="64">
        <v>198.9</v>
      </c>
      <c r="L40" s="64">
        <v>26.16</v>
      </c>
      <c r="M40" s="64">
        <v>42.2</v>
      </c>
      <c r="N40" s="64">
        <v>417.2</v>
      </c>
      <c r="O40" s="64">
        <v>0</v>
      </c>
      <c r="P40" s="64">
        <v>0.48</v>
      </c>
      <c r="Q40" s="64">
        <v>16.36</v>
      </c>
      <c r="R40" s="198"/>
      <c r="S40" s="198"/>
      <c r="T40" s="198"/>
      <c r="U40" s="198"/>
    </row>
    <row r="41" spans="1:21" s="12" customFormat="1" x14ac:dyDescent="0.25">
      <c r="A41" s="218" t="s">
        <v>2300</v>
      </c>
      <c r="B41" s="64">
        <v>7.31</v>
      </c>
      <c r="C41" s="64">
        <v>40.5</v>
      </c>
      <c r="D41" s="64">
        <v>28.86</v>
      </c>
      <c r="E41" s="64">
        <v>2.16</v>
      </c>
      <c r="F41" s="64">
        <v>6.64</v>
      </c>
      <c r="G41" s="64">
        <v>47.94</v>
      </c>
      <c r="H41" s="64">
        <v>17.09</v>
      </c>
      <c r="I41" s="64">
        <v>0.54</v>
      </c>
      <c r="J41" s="64">
        <v>1.02</v>
      </c>
      <c r="K41" s="64">
        <v>192.76</v>
      </c>
      <c r="L41" s="64">
        <v>26.83</v>
      </c>
      <c r="M41" s="64">
        <v>41.15</v>
      </c>
      <c r="N41" s="64">
        <v>483.1</v>
      </c>
      <c r="O41" s="64">
        <v>0</v>
      </c>
      <c r="P41" s="64">
        <v>0.48</v>
      </c>
      <c r="Q41" s="64">
        <v>16.16</v>
      </c>
      <c r="R41" s="198"/>
      <c r="S41" s="198"/>
      <c r="T41" s="198"/>
      <c r="U41" s="198"/>
    </row>
    <row r="42" spans="1:21" s="12" customFormat="1" x14ac:dyDescent="0.25">
      <c r="A42" s="218" t="s">
        <v>2301</v>
      </c>
      <c r="B42" s="64">
        <v>6.49</v>
      </c>
      <c r="C42" s="64">
        <v>40.51</v>
      </c>
      <c r="D42" s="64">
        <v>28.21</v>
      </c>
      <c r="E42" s="64">
        <v>1.95</v>
      </c>
      <c r="F42" s="64">
        <v>6.66</v>
      </c>
      <c r="G42" s="64">
        <v>47.94</v>
      </c>
      <c r="H42" s="64">
        <v>17.09</v>
      </c>
      <c r="I42" s="64">
        <v>0.54</v>
      </c>
      <c r="J42" s="64">
        <v>0.47</v>
      </c>
      <c r="K42" s="64">
        <v>226.86</v>
      </c>
      <c r="L42" s="64">
        <v>27.04</v>
      </c>
      <c r="M42" s="64">
        <v>39.68</v>
      </c>
      <c r="N42" s="64">
        <v>524.5</v>
      </c>
      <c r="O42" s="64">
        <v>0</v>
      </c>
      <c r="P42" s="64">
        <v>0.47</v>
      </c>
      <c r="Q42" s="64">
        <v>15.86</v>
      </c>
      <c r="R42" s="198"/>
      <c r="S42" s="198"/>
      <c r="T42" s="198"/>
      <c r="U42" s="198"/>
    </row>
    <row r="43" spans="1:21" s="12" customFormat="1" x14ac:dyDescent="0.25">
      <c r="A43" s="218" t="s">
        <v>2302</v>
      </c>
      <c r="B43" s="64">
        <v>5.29</v>
      </c>
      <c r="C43" s="64">
        <v>40.21</v>
      </c>
      <c r="D43" s="64">
        <v>27.08</v>
      </c>
      <c r="E43" s="64">
        <v>2.02</v>
      </c>
      <c r="F43" s="64">
        <v>7.02</v>
      </c>
      <c r="G43" s="64">
        <v>43.85</v>
      </c>
      <c r="H43" s="64">
        <v>16.7</v>
      </c>
      <c r="I43" s="64">
        <v>0.52</v>
      </c>
      <c r="J43" s="64">
        <v>0.17</v>
      </c>
      <c r="K43" s="64">
        <v>238.79</v>
      </c>
      <c r="L43" s="64">
        <v>28.43</v>
      </c>
      <c r="M43" s="64">
        <v>38.630000000000003</v>
      </c>
      <c r="N43" s="64">
        <v>588.5</v>
      </c>
      <c r="O43" s="64">
        <v>0</v>
      </c>
      <c r="P43" s="64">
        <v>0.47</v>
      </c>
      <c r="Q43" s="64">
        <v>14.92</v>
      </c>
      <c r="R43" s="198"/>
      <c r="S43" s="198"/>
      <c r="T43" s="198"/>
      <c r="U43" s="198"/>
    </row>
    <row r="44" spans="1:21" s="12" customFormat="1" x14ac:dyDescent="0.25">
      <c r="A44" s="218" t="s">
        <v>2303</v>
      </c>
      <c r="B44" s="64">
        <v>4.22</v>
      </c>
      <c r="C44" s="64">
        <v>37.51</v>
      </c>
      <c r="D44" s="64">
        <v>24.73</v>
      </c>
      <c r="E44" s="64">
        <v>1.96</v>
      </c>
      <c r="F44" s="64">
        <v>7.08</v>
      </c>
      <c r="G44" s="64">
        <v>42.28</v>
      </c>
      <c r="H44" s="64">
        <v>16.690000000000001</v>
      </c>
      <c r="I44" s="64">
        <v>0.53</v>
      </c>
      <c r="J44" s="64">
        <v>0.39</v>
      </c>
      <c r="K44" s="64">
        <v>192.55</v>
      </c>
      <c r="L44" s="64">
        <v>29.22</v>
      </c>
      <c r="M44" s="64">
        <v>36.19</v>
      </c>
      <c r="N44" s="64">
        <v>647.5</v>
      </c>
      <c r="O44" s="64">
        <v>0</v>
      </c>
      <c r="P44" s="64">
        <v>0.47</v>
      </c>
      <c r="Q44" s="64">
        <v>12.65</v>
      </c>
      <c r="R44" s="198"/>
      <c r="S44" s="198"/>
      <c r="T44" s="198"/>
      <c r="U44" s="198"/>
    </row>
    <row r="45" spans="1:21" s="12" customFormat="1" x14ac:dyDescent="0.25">
      <c r="A45" s="218" t="s">
        <v>2304</v>
      </c>
      <c r="B45" s="64">
        <v>3.45</v>
      </c>
      <c r="C45" s="64">
        <v>37.83</v>
      </c>
      <c r="D45" s="64">
        <v>24.29</v>
      </c>
      <c r="E45" s="64">
        <v>2.06</v>
      </c>
      <c r="F45" s="64">
        <v>7.16</v>
      </c>
      <c r="G45" s="64">
        <v>42.28</v>
      </c>
      <c r="H45" s="64">
        <v>16.690000000000001</v>
      </c>
      <c r="I45" s="64">
        <v>0.53</v>
      </c>
      <c r="J45" s="64">
        <v>0.62</v>
      </c>
      <c r="K45" s="64">
        <v>207.18</v>
      </c>
      <c r="L45" s="64">
        <v>29.39</v>
      </c>
      <c r="M45" s="64">
        <v>36.11</v>
      </c>
      <c r="N45" s="64">
        <v>691</v>
      </c>
      <c r="O45" s="64">
        <v>0</v>
      </c>
      <c r="P45" s="64">
        <v>0.46</v>
      </c>
      <c r="Q45" s="64">
        <v>11.34</v>
      </c>
      <c r="R45" s="198"/>
      <c r="S45" s="198"/>
      <c r="T45" s="198"/>
      <c r="U45" s="198"/>
    </row>
    <row r="46" spans="1:21" s="12" customFormat="1" x14ac:dyDescent="0.25">
      <c r="A46" s="218" t="s">
        <v>2305</v>
      </c>
      <c r="B46" s="64">
        <v>2.97</v>
      </c>
      <c r="C46" s="64">
        <v>39.729999999999997</v>
      </c>
      <c r="D46" s="64">
        <v>24.95</v>
      </c>
      <c r="E46" s="64">
        <v>1.97</v>
      </c>
      <c r="F46" s="64">
        <v>6.72</v>
      </c>
      <c r="G46" s="64">
        <v>42.28</v>
      </c>
      <c r="H46" s="64">
        <v>16.690000000000001</v>
      </c>
      <c r="I46" s="64">
        <v>0.53</v>
      </c>
      <c r="J46" s="64">
        <v>1.1200000000000001</v>
      </c>
      <c r="K46" s="64">
        <v>190.99</v>
      </c>
      <c r="L46" s="64">
        <v>29.68</v>
      </c>
      <c r="M46" s="64">
        <v>35.659999999999997</v>
      </c>
      <c r="N46" s="64">
        <v>729.1</v>
      </c>
      <c r="O46" s="64">
        <v>0</v>
      </c>
      <c r="P46" s="64">
        <v>0.46</v>
      </c>
      <c r="Q46" s="64">
        <v>11.34</v>
      </c>
      <c r="R46" s="198"/>
      <c r="S46" s="198"/>
      <c r="T46" s="198"/>
      <c r="U46" s="198"/>
    </row>
    <row r="47" spans="1:21" s="12" customFormat="1" x14ac:dyDescent="0.25">
      <c r="A47" s="218" t="s">
        <v>2306</v>
      </c>
      <c r="B47" s="64">
        <v>2.63</v>
      </c>
      <c r="C47" s="64">
        <v>39.18</v>
      </c>
      <c r="D47" s="64">
        <v>24.38</v>
      </c>
      <c r="E47" s="64">
        <v>1.6</v>
      </c>
      <c r="F47" s="64">
        <v>8.91</v>
      </c>
      <c r="G47" s="64">
        <v>40.08</v>
      </c>
      <c r="H47" s="64">
        <v>17.62</v>
      </c>
      <c r="I47" s="64">
        <v>0.54</v>
      </c>
      <c r="J47" s="64">
        <v>1.45</v>
      </c>
      <c r="K47" s="64">
        <v>185.02</v>
      </c>
      <c r="L47" s="64">
        <v>29.55</v>
      </c>
      <c r="M47" s="64">
        <v>34.92</v>
      </c>
      <c r="N47" s="64">
        <v>770.4</v>
      </c>
      <c r="O47" s="64">
        <v>0</v>
      </c>
      <c r="P47" s="64">
        <v>0.46</v>
      </c>
      <c r="Q47" s="64">
        <v>10.83</v>
      </c>
      <c r="R47" s="198"/>
      <c r="S47" s="198"/>
      <c r="T47" s="198"/>
      <c r="U47" s="198"/>
    </row>
    <row r="48" spans="1:21" s="12" customFormat="1" x14ac:dyDescent="0.25">
      <c r="A48" s="218" t="s">
        <v>2307</v>
      </c>
      <c r="B48" s="64">
        <v>2.2999999999999998</v>
      </c>
      <c r="C48" s="64">
        <v>37.68</v>
      </c>
      <c r="D48" s="64">
        <v>23.29</v>
      </c>
      <c r="E48" s="64">
        <v>1.74</v>
      </c>
      <c r="F48" s="64">
        <v>7.88</v>
      </c>
      <c r="G48" s="64">
        <v>39.24</v>
      </c>
      <c r="H48" s="64">
        <v>17.649999999999999</v>
      </c>
      <c r="I48" s="64">
        <v>0.55000000000000004</v>
      </c>
      <c r="J48" s="64">
        <v>0.9</v>
      </c>
      <c r="K48" s="64">
        <v>186.05</v>
      </c>
      <c r="L48" s="64">
        <v>29.91</v>
      </c>
      <c r="M48" s="64">
        <v>33.270000000000003</v>
      </c>
      <c r="N48" s="64">
        <v>785.4</v>
      </c>
      <c r="O48" s="64">
        <v>0</v>
      </c>
      <c r="P48" s="64">
        <v>0.45</v>
      </c>
      <c r="Q48" s="64">
        <v>10.44</v>
      </c>
      <c r="R48" s="198"/>
      <c r="S48" s="198"/>
      <c r="T48" s="198"/>
      <c r="U48" s="198"/>
    </row>
    <row r="49" spans="1:21" s="12" customFormat="1" x14ac:dyDescent="0.25">
      <c r="A49" s="218" t="s">
        <v>2308</v>
      </c>
      <c r="B49" s="64">
        <v>2.1800000000000002</v>
      </c>
      <c r="C49" s="64">
        <v>37.1</v>
      </c>
      <c r="D49" s="64">
        <v>22.87</v>
      </c>
      <c r="E49" s="64">
        <v>1.77</v>
      </c>
      <c r="F49" s="64">
        <v>9.51</v>
      </c>
      <c r="G49" s="64">
        <v>39.24</v>
      </c>
      <c r="H49" s="64">
        <v>17.649999999999999</v>
      </c>
      <c r="I49" s="64">
        <v>0.54</v>
      </c>
      <c r="J49" s="64">
        <v>1.39</v>
      </c>
      <c r="K49" s="64">
        <v>183.5</v>
      </c>
      <c r="L49" s="64">
        <v>30.47</v>
      </c>
      <c r="M49" s="64">
        <v>31.11</v>
      </c>
      <c r="N49" s="64">
        <v>799.3</v>
      </c>
      <c r="O49" s="64">
        <v>0</v>
      </c>
      <c r="P49" s="64">
        <v>0.43</v>
      </c>
      <c r="Q49" s="64">
        <v>10.32</v>
      </c>
      <c r="R49" s="198"/>
      <c r="S49" s="198"/>
      <c r="T49" s="198"/>
      <c r="U49" s="198"/>
    </row>
    <row r="50" spans="1:21" s="12" customFormat="1" x14ac:dyDescent="0.25">
      <c r="A50" s="218" t="s">
        <v>2309</v>
      </c>
      <c r="B50" s="64">
        <v>2.0699999999999998</v>
      </c>
      <c r="C50" s="64">
        <v>36.020000000000003</v>
      </c>
      <c r="D50" s="64">
        <v>22.18</v>
      </c>
      <c r="E50" s="64">
        <v>1.65</v>
      </c>
      <c r="F50" s="64">
        <v>14.48</v>
      </c>
      <c r="G50" s="64">
        <v>39.24</v>
      </c>
      <c r="H50" s="64">
        <v>17.649999999999999</v>
      </c>
      <c r="I50" s="64">
        <v>0.52</v>
      </c>
      <c r="J50" s="64">
        <v>0.53</v>
      </c>
      <c r="K50" s="64">
        <v>193.86</v>
      </c>
      <c r="L50" s="64">
        <v>31.04</v>
      </c>
      <c r="M50" s="64">
        <v>30.14</v>
      </c>
      <c r="N50" s="64">
        <v>749.4</v>
      </c>
      <c r="O50" s="64">
        <v>0</v>
      </c>
      <c r="P50" s="64">
        <v>0.42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8" t="s">
        <v>2310</v>
      </c>
      <c r="B51" s="64">
        <v>1.76</v>
      </c>
      <c r="C51" s="64">
        <v>27.84</v>
      </c>
      <c r="D51" s="64">
        <v>17.420000000000002</v>
      </c>
      <c r="E51" s="64">
        <v>2.56</v>
      </c>
      <c r="F51" s="64">
        <v>32.21</v>
      </c>
      <c r="G51" s="64">
        <v>31.53</v>
      </c>
      <c r="H51" s="64">
        <v>15.59</v>
      </c>
      <c r="I51" s="64">
        <v>0.55000000000000004</v>
      </c>
      <c r="J51" s="64">
        <v>0.77</v>
      </c>
      <c r="K51" s="64">
        <v>196.44</v>
      </c>
      <c r="L51" s="64">
        <v>31.09</v>
      </c>
      <c r="M51" s="64">
        <v>29.84</v>
      </c>
      <c r="N51" s="64">
        <v>860.8</v>
      </c>
      <c r="O51" s="64">
        <v>0</v>
      </c>
      <c r="P51" s="64">
        <v>0.34</v>
      </c>
      <c r="Q51" s="64">
        <v>4.9400000000000004</v>
      </c>
      <c r="R51" s="198"/>
      <c r="S51" s="198"/>
      <c r="T51" s="198"/>
      <c r="U51" s="198"/>
    </row>
    <row r="52" spans="1:21" s="12" customFormat="1" x14ac:dyDescent="0.25">
      <c r="A52" s="218" t="s">
        <v>2311</v>
      </c>
      <c r="B52" s="64">
        <v>1.75</v>
      </c>
      <c r="C52" s="64">
        <v>27.76</v>
      </c>
      <c r="D52" s="64">
        <v>17.37</v>
      </c>
      <c r="E52" s="64">
        <v>2.0499999999999998</v>
      </c>
      <c r="F52" s="64">
        <v>19.95</v>
      </c>
      <c r="G52" s="64">
        <v>28.56</v>
      </c>
      <c r="H52" s="64">
        <v>15.53</v>
      </c>
      <c r="I52" s="64">
        <v>0.53</v>
      </c>
      <c r="J52" s="64">
        <v>0.18</v>
      </c>
      <c r="K52" s="64">
        <v>234.99</v>
      </c>
      <c r="L52" s="64">
        <v>32.159999999999997</v>
      </c>
      <c r="M52" s="64">
        <v>27.75</v>
      </c>
      <c r="N52" s="64">
        <v>881.5</v>
      </c>
      <c r="O52" s="64">
        <v>0</v>
      </c>
      <c r="P52" s="64">
        <v>0.33</v>
      </c>
      <c r="Q52" s="64">
        <v>4.24</v>
      </c>
      <c r="R52" s="198"/>
      <c r="S52" s="198"/>
      <c r="T52" s="198"/>
      <c r="U52" s="198"/>
    </row>
    <row r="53" spans="1:21" s="12" customFormat="1" x14ac:dyDescent="0.25">
      <c r="A53" s="218" t="s">
        <v>2312</v>
      </c>
      <c r="B53" s="64">
        <v>1.83</v>
      </c>
      <c r="C53" s="64">
        <v>29.3</v>
      </c>
      <c r="D53" s="64">
        <v>18.28</v>
      </c>
      <c r="E53" s="64">
        <v>1.79</v>
      </c>
      <c r="F53" s="64">
        <v>15.8</v>
      </c>
      <c r="G53" s="64">
        <v>28.56</v>
      </c>
      <c r="H53" s="64">
        <v>15.53</v>
      </c>
      <c r="I53" s="64">
        <v>0.47</v>
      </c>
      <c r="J53" s="64">
        <v>0.14000000000000001</v>
      </c>
      <c r="K53" s="64">
        <v>314.91000000000003</v>
      </c>
      <c r="L53" s="64">
        <v>33.729999999999997</v>
      </c>
      <c r="M53" s="64">
        <v>24.49</v>
      </c>
      <c r="N53" s="64">
        <v>891.8</v>
      </c>
      <c r="O53" s="64">
        <v>0</v>
      </c>
      <c r="P53" s="64">
        <v>0.34</v>
      </c>
      <c r="Q53" s="64">
        <v>4.8</v>
      </c>
      <c r="R53" s="198"/>
      <c r="S53" s="198"/>
      <c r="T53" s="198"/>
      <c r="U53" s="198"/>
    </row>
    <row r="54" spans="1:21" s="12" customFormat="1" x14ac:dyDescent="0.25">
      <c r="A54" s="218" t="s">
        <v>2313</v>
      </c>
      <c r="B54" s="64">
        <v>2.19</v>
      </c>
      <c r="C54" s="64">
        <v>32.17</v>
      </c>
      <c r="D54" s="64">
        <v>20.16</v>
      </c>
      <c r="E54" s="64">
        <v>2.52</v>
      </c>
      <c r="F54" s="64">
        <v>13.59</v>
      </c>
      <c r="G54" s="64">
        <v>28.56</v>
      </c>
      <c r="H54" s="64">
        <v>15.53</v>
      </c>
      <c r="I54" s="64">
        <v>0.45</v>
      </c>
      <c r="J54" s="64">
        <v>0.42</v>
      </c>
      <c r="K54" s="64">
        <v>336.39</v>
      </c>
      <c r="L54" s="64">
        <v>35.22</v>
      </c>
      <c r="M54" s="64">
        <v>22.38</v>
      </c>
      <c r="N54" s="64">
        <v>900</v>
      </c>
      <c r="O54" s="64">
        <v>0</v>
      </c>
      <c r="P54" s="64">
        <v>0.37</v>
      </c>
      <c r="Q54" s="64">
        <v>5.86</v>
      </c>
      <c r="R54" s="198"/>
      <c r="S54" s="198"/>
      <c r="T54" s="198"/>
      <c r="U54" s="198"/>
    </row>
    <row r="55" spans="1:21" s="12" customFormat="1" x14ac:dyDescent="0.25">
      <c r="A55" s="218" t="s">
        <v>2314</v>
      </c>
      <c r="B55" s="64">
        <v>2.21</v>
      </c>
      <c r="C55" s="64">
        <v>33.630000000000003</v>
      </c>
      <c r="D55" s="64">
        <v>20.98</v>
      </c>
      <c r="E55" s="64">
        <v>2.06</v>
      </c>
      <c r="F55" s="64">
        <v>15.82</v>
      </c>
      <c r="G55" s="64">
        <v>31.68</v>
      </c>
      <c r="H55" s="64">
        <v>15.76</v>
      </c>
      <c r="I55" s="64">
        <v>0.45</v>
      </c>
      <c r="J55" s="64">
        <v>0.27</v>
      </c>
      <c r="K55" s="64">
        <v>353.48</v>
      </c>
      <c r="L55" s="64">
        <v>34.409999999999997</v>
      </c>
      <c r="M55" s="64">
        <v>22.84</v>
      </c>
      <c r="N55" s="64">
        <v>930.2</v>
      </c>
      <c r="O55" s="64">
        <v>0</v>
      </c>
      <c r="P55" s="64">
        <v>0.37</v>
      </c>
      <c r="Q55" s="64">
        <v>5.44</v>
      </c>
      <c r="R55" s="198"/>
      <c r="S55" s="198"/>
      <c r="T55" s="198"/>
      <c r="U55" s="198"/>
    </row>
    <row r="56" spans="1:21" s="12" customFormat="1" x14ac:dyDescent="0.25">
      <c r="A56" s="218" t="s">
        <v>2315</v>
      </c>
      <c r="B56" s="64">
        <v>2.02</v>
      </c>
      <c r="C56" s="64">
        <v>35.369999999999997</v>
      </c>
      <c r="D56" s="64">
        <v>21.79</v>
      </c>
      <c r="E56" s="64">
        <v>1.37</v>
      </c>
      <c r="F56" s="64">
        <v>20.53</v>
      </c>
      <c r="G56" s="64">
        <v>32.869999999999997</v>
      </c>
      <c r="H56" s="64">
        <v>15.77</v>
      </c>
      <c r="I56" s="64">
        <v>0.46</v>
      </c>
      <c r="J56" s="64">
        <v>0.17</v>
      </c>
      <c r="K56" s="64">
        <v>329.82</v>
      </c>
      <c r="L56" s="64">
        <v>34.409999999999997</v>
      </c>
      <c r="M56" s="64">
        <v>22.52</v>
      </c>
      <c r="N56" s="64">
        <v>936</v>
      </c>
      <c r="O56" s="64">
        <v>0</v>
      </c>
      <c r="P56" s="64">
        <v>0.4</v>
      </c>
      <c r="Q56" s="64">
        <v>4.71</v>
      </c>
      <c r="R56" s="198"/>
      <c r="S56" s="198"/>
      <c r="T56" s="198"/>
      <c r="U56" s="198"/>
    </row>
    <row r="57" spans="1:21" s="12" customFormat="1" x14ac:dyDescent="0.25">
      <c r="A57" s="218" t="s">
        <v>2316</v>
      </c>
      <c r="B57" s="64">
        <v>1.7</v>
      </c>
      <c r="C57" s="64">
        <v>35.28</v>
      </c>
      <c r="D57" s="64">
        <v>21.47</v>
      </c>
      <c r="E57" s="64">
        <v>2.2400000000000002</v>
      </c>
      <c r="F57" s="64">
        <v>21.74</v>
      </c>
      <c r="G57" s="64">
        <v>32.869999999999997</v>
      </c>
      <c r="H57" s="64">
        <v>15.77</v>
      </c>
      <c r="I57" s="64">
        <v>0.45</v>
      </c>
      <c r="J57" s="64">
        <v>0.5</v>
      </c>
      <c r="K57" s="64">
        <v>328.26</v>
      </c>
      <c r="L57" s="64">
        <v>34.799999999999997</v>
      </c>
      <c r="M57" s="64">
        <v>23.1</v>
      </c>
      <c r="N57" s="64">
        <v>930.9</v>
      </c>
      <c r="O57" s="64">
        <v>0</v>
      </c>
      <c r="P57" s="64">
        <v>0.39</v>
      </c>
      <c r="Q57" s="64">
        <v>4.3</v>
      </c>
      <c r="R57" s="198"/>
      <c r="S57" s="198"/>
      <c r="T57" s="198"/>
      <c r="U57" s="198"/>
    </row>
    <row r="58" spans="1:21" s="12" customFormat="1" x14ac:dyDescent="0.25">
      <c r="A58" s="218" t="s">
        <v>2317</v>
      </c>
      <c r="B58" s="64">
        <v>1.76</v>
      </c>
      <c r="C58" s="64">
        <v>35.549999999999997</v>
      </c>
      <c r="D58" s="64">
        <v>21.67</v>
      </c>
      <c r="E58" s="64">
        <v>1.84</v>
      </c>
      <c r="F58" s="64">
        <v>15.69</v>
      </c>
      <c r="G58" s="64">
        <v>32.869999999999997</v>
      </c>
      <c r="H58" s="64">
        <v>15.77</v>
      </c>
      <c r="I58" s="64">
        <v>0.45</v>
      </c>
      <c r="J58" s="64">
        <v>0.34</v>
      </c>
      <c r="K58" s="64">
        <v>327.35000000000002</v>
      </c>
      <c r="L58" s="64">
        <v>35.119999999999997</v>
      </c>
      <c r="M58" s="64">
        <v>22.89</v>
      </c>
      <c r="N58" s="64">
        <v>933.3</v>
      </c>
      <c r="O58" s="64">
        <v>0</v>
      </c>
      <c r="P58" s="64">
        <v>0.39</v>
      </c>
      <c r="Q58" s="64">
        <v>4.41</v>
      </c>
      <c r="R58" s="198"/>
      <c r="S58" s="198"/>
      <c r="T58" s="198"/>
      <c r="U58" s="198"/>
    </row>
    <row r="59" spans="1:21" s="12" customFormat="1" x14ac:dyDescent="0.25">
      <c r="A59" s="218" t="s">
        <v>2318</v>
      </c>
      <c r="B59" s="64">
        <v>1.83</v>
      </c>
      <c r="C59" s="64">
        <v>35.06</v>
      </c>
      <c r="D59" s="64">
        <v>21.47</v>
      </c>
      <c r="E59" s="64">
        <v>2.2200000000000002</v>
      </c>
      <c r="F59" s="64">
        <v>12.43</v>
      </c>
      <c r="G59" s="64">
        <v>28.56</v>
      </c>
      <c r="H59" s="64">
        <v>15.6</v>
      </c>
      <c r="I59" s="64">
        <v>0.46</v>
      </c>
      <c r="J59" s="64">
        <v>0.39</v>
      </c>
      <c r="K59" s="64">
        <v>322.41000000000003</v>
      </c>
      <c r="L59" s="64">
        <v>35.99</v>
      </c>
      <c r="M59" s="64">
        <v>22.08</v>
      </c>
      <c r="N59" s="64">
        <v>917.5</v>
      </c>
      <c r="O59" s="64">
        <v>0</v>
      </c>
      <c r="P59" s="64">
        <v>0.4</v>
      </c>
      <c r="Q59" s="64">
        <v>4.9800000000000004</v>
      </c>
      <c r="R59" s="198"/>
      <c r="S59" s="198"/>
      <c r="T59" s="198"/>
      <c r="U59" s="198"/>
    </row>
    <row r="60" spans="1:21" s="12" customFormat="1" x14ac:dyDescent="0.25">
      <c r="A60" s="218" t="s">
        <v>2319</v>
      </c>
      <c r="B60" s="64">
        <v>1.96</v>
      </c>
      <c r="C60" s="64">
        <v>35.46</v>
      </c>
      <c r="D60" s="64">
        <v>21.79</v>
      </c>
      <c r="E60" s="64">
        <v>1.85</v>
      </c>
      <c r="F60" s="64">
        <v>10.26</v>
      </c>
      <c r="G60" s="64">
        <v>26.9</v>
      </c>
      <c r="H60" s="64">
        <v>15.6</v>
      </c>
      <c r="I60" s="64">
        <v>0.45</v>
      </c>
      <c r="J60" s="64">
        <v>0.23</v>
      </c>
      <c r="K60" s="64">
        <v>355.09</v>
      </c>
      <c r="L60" s="64">
        <v>36.36</v>
      </c>
      <c r="M60" s="64">
        <v>21.73</v>
      </c>
      <c r="N60" s="64">
        <v>881.5</v>
      </c>
      <c r="O60" s="64">
        <v>0</v>
      </c>
      <c r="P60" s="64">
        <v>0.4</v>
      </c>
      <c r="Q60" s="64">
        <v>5.62</v>
      </c>
      <c r="R60" s="198"/>
      <c r="S60" s="198"/>
      <c r="T60" s="198"/>
      <c r="U60" s="198"/>
    </row>
    <row r="61" spans="1:21" s="12" customFormat="1" x14ac:dyDescent="0.25">
      <c r="A61" s="218" t="s">
        <v>2320</v>
      </c>
      <c r="B61" s="64">
        <v>2.0499999999999998</v>
      </c>
      <c r="C61" s="64">
        <v>36.01</v>
      </c>
      <c r="D61" s="64">
        <v>22.16</v>
      </c>
      <c r="E61" s="64">
        <v>1.72</v>
      </c>
      <c r="F61" s="64">
        <v>11.46</v>
      </c>
      <c r="G61" s="64">
        <v>26.9</v>
      </c>
      <c r="H61" s="64">
        <v>15.6</v>
      </c>
      <c r="I61" s="64">
        <v>0.46</v>
      </c>
      <c r="J61" s="64">
        <v>0.24</v>
      </c>
      <c r="K61" s="64">
        <v>354.03</v>
      </c>
      <c r="L61" s="64">
        <v>36.08</v>
      </c>
      <c r="M61" s="64">
        <v>22.68</v>
      </c>
      <c r="N61" s="64">
        <v>842.9</v>
      </c>
      <c r="O61" s="64">
        <v>0</v>
      </c>
      <c r="P61" s="64">
        <v>0.43</v>
      </c>
      <c r="Q61" s="64">
        <v>6.41</v>
      </c>
      <c r="R61" s="198"/>
      <c r="S61" s="198"/>
      <c r="T61" s="198"/>
      <c r="U61" s="198"/>
    </row>
    <row r="62" spans="1:21" s="12" customFormat="1" x14ac:dyDescent="0.25">
      <c r="A62" s="218" t="s">
        <v>2321</v>
      </c>
      <c r="B62" s="64">
        <v>1.91</v>
      </c>
      <c r="C62" s="64">
        <v>35.229999999999997</v>
      </c>
      <c r="D62" s="64">
        <v>21.62</v>
      </c>
      <c r="E62" s="64">
        <v>2.2000000000000002</v>
      </c>
      <c r="F62" s="64">
        <v>11.63</v>
      </c>
      <c r="G62" s="64">
        <v>26.9</v>
      </c>
      <c r="H62" s="64">
        <v>15.6</v>
      </c>
      <c r="I62" s="64">
        <v>0.48</v>
      </c>
      <c r="J62" s="64">
        <v>0.56999999999999995</v>
      </c>
      <c r="K62" s="64">
        <v>337.71</v>
      </c>
      <c r="L62" s="64">
        <v>36.64</v>
      </c>
      <c r="M62" s="64">
        <v>22.49</v>
      </c>
      <c r="N62" s="64">
        <v>794</v>
      </c>
      <c r="O62" s="64">
        <v>0</v>
      </c>
      <c r="P62" s="64">
        <v>0.45</v>
      </c>
      <c r="Q62" s="64">
        <v>5.9</v>
      </c>
      <c r="R62" s="198"/>
      <c r="S62" s="198"/>
      <c r="T62" s="198"/>
      <c r="U62" s="198"/>
    </row>
    <row r="63" spans="1:21" s="12" customFormat="1" x14ac:dyDescent="0.25">
      <c r="A63" s="218" t="s">
        <v>2322</v>
      </c>
      <c r="B63" s="64">
        <v>1.86</v>
      </c>
      <c r="C63" s="64">
        <v>34.450000000000003</v>
      </c>
      <c r="D63" s="64">
        <v>21.15</v>
      </c>
      <c r="E63" s="64">
        <v>3.39</v>
      </c>
      <c r="F63" s="64">
        <v>26.67</v>
      </c>
      <c r="G63" s="64">
        <v>25.57</v>
      </c>
      <c r="H63" s="64">
        <v>11.28</v>
      </c>
      <c r="I63" s="64">
        <v>0.48</v>
      </c>
      <c r="J63" s="64">
        <v>0.47</v>
      </c>
      <c r="K63" s="64">
        <v>337.65</v>
      </c>
      <c r="L63" s="64">
        <v>35.24</v>
      </c>
      <c r="M63" s="64">
        <v>24.18</v>
      </c>
      <c r="N63" s="64">
        <v>795.6</v>
      </c>
      <c r="O63" s="64">
        <v>0</v>
      </c>
      <c r="P63" s="64">
        <v>0.47</v>
      </c>
      <c r="Q63" s="64">
        <v>5.08</v>
      </c>
      <c r="R63" s="198"/>
      <c r="S63" s="198"/>
      <c r="T63" s="198"/>
      <c r="U63" s="198"/>
    </row>
    <row r="64" spans="1:21" s="12" customFormat="1" x14ac:dyDescent="0.25">
      <c r="A64" s="218" t="s">
        <v>2323</v>
      </c>
      <c r="B64" s="64">
        <v>2.66</v>
      </c>
      <c r="C64" s="64">
        <v>37.71</v>
      </c>
      <c r="D64" s="64">
        <v>23.59</v>
      </c>
      <c r="E64" s="64">
        <v>3.3</v>
      </c>
      <c r="F64" s="64">
        <v>33.159999999999997</v>
      </c>
      <c r="G64" s="64">
        <v>25.06</v>
      </c>
      <c r="H64" s="64">
        <v>11.15</v>
      </c>
      <c r="I64" s="64">
        <v>0.49</v>
      </c>
      <c r="J64" s="64">
        <v>0.93</v>
      </c>
      <c r="K64" s="64">
        <v>326.14999999999998</v>
      </c>
      <c r="L64" s="64">
        <v>36.79</v>
      </c>
      <c r="M64" s="64">
        <v>23.68</v>
      </c>
      <c r="N64" s="64">
        <v>636.1</v>
      </c>
      <c r="O64" s="64">
        <v>0</v>
      </c>
      <c r="P64" s="64">
        <v>0.5</v>
      </c>
      <c r="Q64" s="64">
        <v>4.49</v>
      </c>
      <c r="R64" s="198"/>
      <c r="S64" s="198"/>
      <c r="T64" s="198"/>
      <c r="U64" s="198"/>
    </row>
    <row r="65" spans="1:21" s="12" customFormat="1" x14ac:dyDescent="0.25">
      <c r="A65" s="218" t="s">
        <v>2324</v>
      </c>
      <c r="B65" s="64">
        <v>2.0499999999999998</v>
      </c>
      <c r="C65" s="64">
        <v>35.86</v>
      </c>
      <c r="D65" s="64">
        <v>22.08</v>
      </c>
      <c r="E65" s="64">
        <v>2.48</v>
      </c>
      <c r="F65" s="64">
        <v>17.28</v>
      </c>
      <c r="G65" s="64">
        <v>25.06</v>
      </c>
      <c r="H65" s="64">
        <v>11.15</v>
      </c>
      <c r="I65" s="64">
        <v>0.48</v>
      </c>
      <c r="J65" s="64">
        <v>0.13</v>
      </c>
      <c r="K65" s="64">
        <v>332.15</v>
      </c>
      <c r="L65" s="64">
        <v>35.200000000000003</v>
      </c>
      <c r="M65" s="64">
        <v>25.07</v>
      </c>
      <c r="N65" s="64">
        <v>641.6</v>
      </c>
      <c r="O65" s="64">
        <v>0</v>
      </c>
      <c r="P65" s="64">
        <v>0.5</v>
      </c>
      <c r="Q65" s="64">
        <v>4.82</v>
      </c>
      <c r="R65" s="198"/>
      <c r="S65" s="198"/>
      <c r="T65" s="198"/>
      <c r="U65" s="198"/>
    </row>
    <row r="66" spans="1:21" s="12" customFormat="1" x14ac:dyDescent="0.25">
      <c r="A66" s="218" t="s">
        <v>2325</v>
      </c>
      <c r="B66" s="64">
        <v>1.97</v>
      </c>
      <c r="C66" s="64">
        <v>36.17</v>
      </c>
      <c r="D66" s="64">
        <v>22.18</v>
      </c>
      <c r="E66" s="64">
        <v>2.06</v>
      </c>
      <c r="F66" s="64">
        <v>13.85</v>
      </c>
      <c r="G66" s="64">
        <v>25.06</v>
      </c>
      <c r="H66" s="64">
        <v>11.15</v>
      </c>
      <c r="I66" s="64">
        <v>0.45</v>
      </c>
      <c r="J66" s="64">
        <v>0.38</v>
      </c>
      <c r="K66" s="64">
        <v>325.94</v>
      </c>
      <c r="L66" s="64">
        <v>36.04</v>
      </c>
      <c r="M66" s="64">
        <v>24.55</v>
      </c>
      <c r="N66" s="64">
        <v>649.20000000000005</v>
      </c>
      <c r="O66" s="64">
        <v>0</v>
      </c>
      <c r="P66" s="64">
        <v>0.49</v>
      </c>
      <c r="Q66" s="64">
        <v>5.03</v>
      </c>
      <c r="R66" s="198"/>
      <c r="S66" s="198"/>
      <c r="T66" s="198"/>
      <c r="U66" s="198"/>
    </row>
    <row r="67" spans="1:21" s="12" customFormat="1" x14ac:dyDescent="0.25">
      <c r="A67" s="218" t="s">
        <v>2326</v>
      </c>
      <c r="B67" s="64">
        <v>2</v>
      </c>
      <c r="C67" s="64">
        <v>37.49</v>
      </c>
      <c r="D67" s="64">
        <v>22.94</v>
      </c>
      <c r="E67" s="64">
        <v>2.81</v>
      </c>
      <c r="F67" s="64">
        <v>15.13</v>
      </c>
      <c r="G67" s="64">
        <v>28.87</v>
      </c>
      <c r="H67" s="64">
        <v>12.99</v>
      </c>
      <c r="I67" s="64">
        <v>0.45</v>
      </c>
      <c r="J67" s="64">
        <v>0.44</v>
      </c>
      <c r="K67" s="64">
        <v>349.25</v>
      </c>
      <c r="L67" s="64">
        <v>36.21</v>
      </c>
      <c r="M67" s="64">
        <v>23.85</v>
      </c>
      <c r="N67" s="64">
        <v>619.79999999999995</v>
      </c>
      <c r="O67" s="64">
        <v>0</v>
      </c>
      <c r="P67" s="64">
        <v>0.5</v>
      </c>
      <c r="Q67" s="64">
        <v>7.2</v>
      </c>
      <c r="R67" s="198"/>
      <c r="S67" s="198"/>
      <c r="T67" s="198"/>
      <c r="U67" s="198"/>
    </row>
    <row r="68" spans="1:21" s="12" customFormat="1" x14ac:dyDescent="0.25">
      <c r="A68" s="218" t="s">
        <v>2327</v>
      </c>
      <c r="B68" s="64">
        <v>1.83</v>
      </c>
      <c r="C68" s="64">
        <v>36.57</v>
      </c>
      <c r="D68" s="64">
        <v>22.3</v>
      </c>
      <c r="E68" s="64">
        <v>2.2200000000000002</v>
      </c>
      <c r="F68" s="64">
        <v>15.15</v>
      </c>
      <c r="G68" s="64">
        <v>30.33</v>
      </c>
      <c r="H68" s="64">
        <v>13.05</v>
      </c>
      <c r="I68" s="64">
        <v>0.45</v>
      </c>
      <c r="J68" s="64">
        <v>0.25</v>
      </c>
      <c r="K68" s="64">
        <v>256.62</v>
      </c>
      <c r="L68" s="64">
        <v>34.85</v>
      </c>
      <c r="M68" s="64">
        <v>23.88</v>
      </c>
      <c r="N68" s="64">
        <v>541</v>
      </c>
      <c r="O68" s="64">
        <v>0</v>
      </c>
      <c r="P68" s="64">
        <v>0.49</v>
      </c>
      <c r="Q68" s="64">
        <v>8.09</v>
      </c>
      <c r="R68" s="198"/>
      <c r="S68" s="198"/>
      <c r="T68" s="198"/>
      <c r="U68" s="198"/>
    </row>
    <row r="69" spans="1:21" s="12" customFormat="1" x14ac:dyDescent="0.25">
      <c r="A69" s="218" t="s">
        <v>2328</v>
      </c>
      <c r="B69" s="64">
        <v>1.57</v>
      </c>
      <c r="C69" s="64">
        <v>33.520000000000003</v>
      </c>
      <c r="D69" s="64">
        <v>20.41</v>
      </c>
      <c r="E69" s="64">
        <v>2.5</v>
      </c>
      <c r="F69" s="64">
        <v>33.36</v>
      </c>
      <c r="G69" s="64">
        <v>30.33</v>
      </c>
      <c r="H69" s="64">
        <v>13.05</v>
      </c>
      <c r="I69" s="64">
        <v>0.45</v>
      </c>
      <c r="J69" s="64">
        <v>0.49</v>
      </c>
      <c r="K69" s="64">
        <v>266.64</v>
      </c>
      <c r="L69" s="64">
        <v>34.53</v>
      </c>
      <c r="M69" s="64">
        <v>23.72</v>
      </c>
      <c r="N69" s="64">
        <v>457.6</v>
      </c>
      <c r="O69" s="64">
        <v>0</v>
      </c>
      <c r="P69" s="64">
        <v>0.45</v>
      </c>
      <c r="Q69" s="64">
        <v>7.09</v>
      </c>
      <c r="R69" s="198"/>
      <c r="S69" s="198"/>
      <c r="T69" s="198"/>
      <c r="U69" s="198"/>
    </row>
    <row r="70" spans="1:21" s="12" customFormat="1" x14ac:dyDescent="0.25">
      <c r="A70" s="218" t="s">
        <v>2329</v>
      </c>
      <c r="B70" s="64">
        <v>1.37</v>
      </c>
      <c r="C70" s="64">
        <v>30.9</v>
      </c>
      <c r="D70" s="64">
        <v>18.8</v>
      </c>
      <c r="E70" s="64">
        <v>2.57</v>
      </c>
      <c r="F70" s="64">
        <v>22.75</v>
      </c>
      <c r="G70" s="64">
        <v>30.33</v>
      </c>
      <c r="H70" s="64">
        <v>13.05</v>
      </c>
      <c r="I70" s="64">
        <v>0.45</v>
      </c>
      <c r="J70" s="64">
        <v>0.12</v>
      </c>
      <c r="K70" s="64">
        <v>308.93</v>
      </c>
      <c r="L70" s="64">
        <v>34.47</v>
      </c>
      <c r="M70" s="64">
        <v>23.6</v>
      </c>
      <c r="N70" s="64">
        <v>201</v>
      </c>
      <c r="O70" s="64">
        <v>0</v>
      </c>
      <c r="P70" s="64">
        <v>0.43</v>
      </c>
      <c r="Q70" s="64">
        <v>5.49</v>
      </c>
      <c r="R70" s="198"/>
      <c r="S70" s="198"/>
      <c r="T70" s="198"/>
      <c r="U70" s="198"/>
    </row>
    <row r="71" spans="1:21" s="12" customFormat="1" x14ac:dyDescent="0.25">
      <c r="A71" s="218" t="s">
        <v>2330</v>
      </c>
      <c r="B71" s="64">
        <v>1.49</v>
      </c>
      <c r="C71" s="64">
        <v>31.17</v>
      </c>
      <c r="D71" s="64">
        <v>19.04</v>
      </c>
      <c r="E71" s="64">
        <v>1.8</v>
      </c>
      <c r="F71" s="64">
        <v>15.64</v>
      </c>
      <c r="G71" s="64">
        <v>29.85</v>
      </c>
      <c r="H71" s="64">
        <v>15.66</v>
      </c>
      <c r="I71" s="64">
        <v>0.44</v>
      </c>
      <c r="J71" s="64">
        <v>0.17</v>
      </c>
      <c r="K71" s="64">
        <v>327.7</v>
      </c>
      <c r="L71" s="64">
        <v>34.36</v>
      </c>
      <c r="M71" s="64">
        <v>23.82</v>
      </c>
      <c r="N71" s="64">
        <v>214.6</v>
      </c>
      <c r="O71" s="64">
        <v>0</v>
      </c>
      <c r="P71" s="64">
        <v>0.44</v>
      </c>
      <c r="Q71" s="64">
        <v>4.9800000000000004</v>
      </c>
      <c r="R71" s="198"/>
      <c r="S71" s="198"/>
      <c r="T71" s="198"/>
      <c r="U71" s="198"/>
    </row>
    <row r="72" spans="1:21" s="12" customFormat="1" x14ac:dyDescent="0.25">
      <c r="A72" s="218" t="s">
        <v>2331</v>
      </c>
      <c r="B72" s="64">
        <v>1.78</v>
      </c>
      <c r="C72" s="64">
        <v>32.409999999999997</v>
      </c>
      <c r="D72" s="64">
        <v>19.96</v>
      </c>
      <c r="E72" s="64">
        <v>1.6</v>
      </c>
      <c r="F72" s="64">
        <v>13.55</v>
      </c>
      <c r="G72" s="64">
        <v>29.67</v>
      </c>
      <c r="H72" s="64">
        <v>15.79</v>
      </c>
      <c r="I72" s="64">
        <v>0.45</v>
      </c>
      <c r="J72" s="64">
        <v>1.65</v>
      </c>
      <c r="K72" s="64">
        <v>343.34</v>
      </c>
      <c r="L72" s="64">
        <v>34.03</v>
      </c>
      <c r="M72" s="64">
        <v>25.49</v>
      </c>
      <c r="N72" s="64">
        <v>145.80000000000001</v>
      </c>
      <c r="O72" s="64">
        <v>0</v>
      </c>
      <c r="P72" s="64">
        <v>0.46</v>
      </c>
      <c r="Q72" s="64">
        <v>4.99</v>
      </c>
      <c r="R72" s="198"/>
      <c r="S72" s="198"/>
      <c r="T72" s="198"/>
      <c r="U72" s="198"/>
    </row>
    <row r="73" spans="1:21" s="12" customFormat="1" x14ac:dyDescent="0.25">
      <c r="A73" s="218" t="s">
        <v>2332</v>
      </c>
      <c r="B73" s="64">
        <v>2.04</v>
      </c>
      <c r="C73" s="64">
        <v>32.71</v>
      </c>
      <c r="D73" s="64">
        <v>20.34</v>
      </c>
      <c r="E73" s="64">
        <v>2.0099999999999998</v>
      </c>
      <c r="F73" s="64">
        <v>13.54</v>
      </c>
      <c r="G73" s="64">
        <v>29.67</v>
      </c>
      <c r="H73" s="64">
        <v>15.79</v>
      </c>
      <c r="I73" s="64">
        <v>0.45</v>
      </c>
      <c r="J73" s="64">
        <v>1.45</v>
      </c>
      <c r="K73" s="64">
        <v>342.06</v>
      </c>
      <c r="L73" s="64">
        <v>31.55</v>
      </c>
      <c r="M73" s="64">
        <v>31.05</v>
      </c>
      <c r="N73" s="64">
        <v>129.9</v>
      </c>
      <c r="O73" s="64">
        <v>0</v>
      </c>
      <c r="P73" s="64">
        <v>0.47</v>
      </c>
      <c r="Q73" s="64">
        <v>4.79</v>
      </c>
      <c r="R73" s="198"/>
      <c r="S73" s="198"/>
      <c r="T73" s="198"/>
      <c r="U73" s="198"/>
    </row>
    <row r="74" spans="1:21" s="12" customFormat="1" x14ac:dyDescent="0.25">
      <c r="A74" s="218" t="s">
        <v>2333</v>
      </c>
      <c r="B74" s="64">
        <v>3.39</v>
      </c>
      <c r="C74" s="64">
        <v>35.4</v>
      </c>
      <c r="D74" s="64">
        <v>22.9</v>
      </c>
      <c r="E74" s="64">
        <v>4.32</v>
      </c>
      <c r="F74" s="64">
        <v>15.37</v>
      </c>
      <c r="G74" s="64">
        <v>29.67</v>
      </c>
      <c r="H74" s="64">
        <v>15.79</v>
      </c>
      <c r="I74" s="64">
        <v>0.46</v>
      </c>
      <c r="J74" s="64">
        <v>1.32</v>
      </c>
      <c r="K74" s="64">
        <v>349.48</v>
      </c>
      <c r="L74" s="64">
        <v>30.79</v>
      </c>
      <c r="M74" s="64">
        <v>32.380000000000003</v>
      </c>
      <c r="N74" s="64">
        <v>109.8</v>
      </c>
      <c r="O74" s="64">
        <v>0</v>
      </c>
      <c r="P74" s="64">
        <v>0.52</v>
      </c>
      <c r="Q74" s="64">
        <v>4.7300000000000004</v>
      </c>
      <c r="R74" s="198"/>
      <c r="S74" s="198"/>
      <c r="T74" s="198"/>
      <c r="U74" s="198"/>
    </row>
    <row r="75" spans="1:21" s="12" customFormat="1" x14ac:dyDescent="0.25">
      <c r="A75" s="218" t="s">
        <v>2334</v>
      </c>
      <c r="B75" s="64">
        <v>4.83</v>
      </c>
      <c r="C75" s="64">
        <v>38.56</v>
      </c>
      <c r="D75" s="64">
        <v>25.8</v>
      </c>
      <c r="E75" s="64">
        <v>10.87</v>
      </c>
      <c r="F75" s="64">
        <v>16.59</v>
      </c>
      <c r="G75" s="64">
        <v>49.99</v>
      </c>
      <c r="H75" s="64">
        <v>15.63</v>
      </c>
      <c r="I75" s="64">
        <v>0.46</v>
      </c>
      <c r="J75" s="64">
        <v>0.89</v>
      </c>
      <c r="K75" s="64">
        <v>346.24</v>
      </c>
      <c r="L75" s="64">
        <v>30.27</v>
      </c>
      <c r="M75" s="64">
        <v>33.29</v>
      </c>
      <c r="N75" s="64">
        <v>86.4</v>
      </c>
      <c r="O75" s="64">
        <v>0</v>
      </c>
      <c r="P75" s="64">
        <v>0.56999999999999995</v>
      </c>
      <c r="Q75" s="64">
        <v>3.86</v>
      </c>
      <c r="R75" s="198"/>
      <c r="S75" s="198"/>
      <c r="T75" s="198"/>
      <c r="U75" s="198"/>
    </row>
    <row r="76" spans="1:21" s="12" customFormat="1" x14ac:dyDescent="0.25">
      <c r="A76" s="218" t="s">
        <v>2335</v>
      </c>
      <c r="B76" s="64">
        <v>6.7</v>
      </c>
      <c r="C76" s="64">
        <v>44.42</v>
      </c>
      <c r="D76" s="64">
        <v>30.53</v>
      </c>
      <c r="E76" s="64">
        <v>16.36</v>
      </c>
      <c r="F76" s="64">
        <v>23.2</v>
      </c>
      <c r="G76" s="64">
        <v>57.37</v>
      </c>
      <c r="H76" s="64">
        <v>15.62</v>
      </c>
      <c r="I76" s="64">
        <v>0.47</v>
      </c>
      <c r="J76" s="64">
        <v>0.59</v>
      </c>
      <c r="K76" s="64">
        <v>350.15</v>
      </c>
      <c r="L76" s="64">
        <v>29.96</v>
      </c>
      <c r="M76" s="64">
        <v>33.53</v>
      </c>
      <c r="N76" s="64">
        <v>42.9</v>
      </c>
      <c r="O76" s="64">
        <v>0</v>
      </c>
      <c r="P76" s="64">
        <v>0.73</v>
      </c>
      <c r="Q76" s="64">
        <v>6.7</v>
      </c>
      <c r="R76" s="198"/>
      <c r="S76" s="198"/>
      <c r="T76" s="198"/>
      <c r="U76" s="198"/>
    </row>
    <row r="77" spans="1:21" s="12" customFormat="1" x14ac:dyDescent="0.25">
      <c r="A77" s="218" t="s">
        <v>2336</v>
      </c>
      <c r="B77" s="64">
        <v>7.01</v>
      </c>
      <c r="C77" s="64">
        <v>55.54</v>
      </c>
      <c r="D77" s="64">
        <v>36.92</v>
      </c>
      <c r="E77" s="64">
        <v>27.59</v>
      </c>
      <c r="F77" s="64">
        <v>15.32</v>
      </c>
      <c r="G77" s="64">
        <v>57.37</v>
      </c>
      <c r="H77" s="64">
        <v>15.62</v>
      </c>
      <c r="I77" s="64">
        <v>0.48</v>
      </c>
      <c r="J77" s="64">
        <v>0.6</v>
      </c>
      <c r="K77" s="64">
        <v>24.64</v>
      </c>
      <c r="L77" s="64">
        <v>29.39</v>
      </c>
      <c r="M77" s="64">
        <v>35.78</v>
      </c>
      <c r="N77" s="64">
        <v>54.6</v>
      </c>
      <c r="O77" s="64">
        <v>0</v>
      </c>
      <c r="P77" s="64">
        <v>0.82</v>
      </c>
      <c r="Q77" s="64">
        <v>8.82</v>
      </c>
      <c r="R77" s="198"/>
      <c r="S77" s="198"/>
      <c r="T77" s="198"/>
      <c r="U77" s="198"/>
    </row>
    <row r="78" spans="1:21" s="12" customFormat="1" x14ac:dyDescent="0.25">
      <c r="A78" s="218" t="s">
        <v>2337</v>
      </c>
      <c r="B78" s="64">
        <v>4.22</v>
      </c>
      <c r="C78" s="64">
        <v>43.98</v>
      </c>
      <c r="D78" s="64">
        <v>28.3</v>
      </c>
      <c r="E78" s="64">
        <v>9.8699999999999992</v>
      </c>
      <c r="F78" s="64">
        <v>11.72</v>
      </c>
      <c r="G78" s="64">
        <v>57.37</v>
      </c>
      <c r="H78" s="64">
        <v>15.62</v>
      </c>
      <c r="I78" s="64">
        <v>0.49</v>
      </c>
      <c r="J78" s="64">
        <v>2.97</v>
      </c>
      <c r="K78" s="64">
        <v>4.72</v>
      </c>
      <c r="L78" s="64">
        <v>26.77</v>
      </c>
      <c r="M78" s="64">
        <v>44.54</v>
      </c>
      <c r="N78" s="64">
        <v>28.5</v>
      </c>
      <c r="O78" s="64">
        <v>0</v>
      </c>
      <c r="P78" s="64">
        <v>0.64</v>
      </c>
      <c r="Q78" s="64">
        <v>10.3</v>
      </c>
      <c r="R78" s="198"/>
      <c r="S78" s="198"/>
      <c r="T78" s="198"/>
      <c r="U78" s="198"/>
    </row>
    <row r="79" spans="1:21" s="12" customFormat="1" x14ac:dyDescent="0.25">
      <c r="A79" s="218" t="s">
        <v>2338</v>
      </c>
      <c r="B79" s="64">
        <v>4.2699999999999996</v>
      </c>
      <c r="C79" s="64">
        <v>44.06</v>
      </c>
      <c r="D79" s="64">
        <v>28.38</v>
      </c>
      <c r="E79" s="64">
        <v>4.8600000000000003</v>
      </c>
      <c r="F79" s="64">
        <v>10.38</v>
      </c>
      <c r="G79" s="64">
        <v>80.19</v>
      </c>
      <c r="H79" s="64">
        <v>25.06</v>
      </c>
      <c r="I79" s="64">
        <v>0.5</v>
      </c>
      <c r="J79" s="64">
        <v>3.47</v>
      </c>
      <c r="K79" s="64">
        <v>333.67</v>
      </c>
      <c r="L79" s="64">
        <v>24.23</v>
      </c>
      <c r="M79" s="64">
        <v>52.74</v>
      </c>
      <c r="N79" s="64">
        <v>13.7</v>
      </c>
      <c r="O79" s="64">
        <v>0</v>
      </c>
      <c r="P79" s="64">
        <v>0.65</v>
      </c>
      <c r="Q79" s="64">
        <v>11.98</v>
      </c>
      <c r="R79" s="198"/>
      <c r="S79" s="198"/>
      <c r="T79" s="198"/>
      <c r="U79" s="198"/>
    </row>
    <row r="80" spans="1:21" s="12" customFormat="1" x14ac:dyDescent="0.25">
      <c r="A80" s="218" t="s">
        <v>2339</v>
      </c>
      <c r="B80" s="64">
        <v>2.97</v>
      </c>
      <c r="C80" s="64">
        <v>42.14</v>
      </c>
      <c r="D80" s="64">
        <v>26.28</v>
      </c>
      <c r="E80" s="64">
        <v>3.15</v>
      </c>
      <c r="F80" s="64">
        <v>11.97</v>
      </c>
      <c r="G80" s="64">
        <v>88.97</v>
      </c>
      <c r="H80" s="64">
        <v>25.35</v>
      </c>
      <c r="I80" s="64">
        <v>0.51</v>
      </c>
      <c r="J80" s="64">
        <v>3.86</v>
      </c>
      <c r="K80" s="64">
        <v>335.43</v>
      </c>
      <c r="L80" s="64">
        <v>21.51</v>
      </c>
      <c r="M80" s="64">
        <v>72.599999999999994</v>
      </c>
      <c r="N80" s="64">
        <v>12.4</v>
      </c>
      <c r="O80" s="64">
        <v>1</v>
      </c>
      <c r="P80" s="64">
        <v>0.63</v>
      </c>
      <c r="Q80" s="64">
        <v>12.55</v>
      </c>
      <c r="R80" s="198"/>
      <c r="S80" s="198"/>
      <c r="T80" s="198"/>
      <c r="U80" s="198"/>
    </row>
    <row r="81" spans="1:26" s="12" customFormat="1" x14ac:dyDescent="0.25">
      <c r="A81" s="218" t="s">
        <v>2340</v>
      </c>
      <c r="B81" s="64">
        <v>3.35</v>
      </c>
      <c r="C81" s="64">
        <v>37.6</v>
      </c>
      <c r="D81" s="64">
        <v>24.08</v>
      </c>
      <c r="E81" s="64">
        <v>2.81</v>
      </c>
      <c r="F81" s="64">
        <v>13.56</v>
      </c>
      <c r="G81" s="64">
        <v>88.97</v>
      </c>
      <c r="H81" s="64">
        <v>25.35</v>
      </c>
      <c r="I81" s="64">
        <v>0.51</v>
      </c>
      <c r="J81" s="64">
        <v>3.06</v>
      </c>
      <c r="K81" s="64">
        <v>359.52</v>
      </c>
      <c r="L81" s="64">
        <v>19.02</v>
      </c>
      <c r="M81" s="64">
        <v>87.31</v>
      </c>
      <c r="N81" s="64">
        <v>7.5</v>
      </c>
      <c r="O81" s="64">
        <v>0.8</v>
      </c>
      <c r="P81" s="64">
        <v>0.56000000000000005</v>
      </c>
      <c r="Q81" s="64">
        <v>11.91</v>
      </c>
      <c r="R81" s="198"/>
      <c r="S81" s="198"/>
      <c r="T81" s="198"/>
      <c r="U81" s="198"/>
    </row>
    <row r="82" spans="1:26" s="12" customFormat="1" x14ac:dyDescent="0.25">
      <c r="A82" s="218" t="s">
        <v>2341</v>
      </c>
      <c r="B82" s="64">
        <v>2.29</v>
      </c>
      <c r="C82" s="64">
        <v>38.4</v>
      </c>
      <c r="D82" s="64">
        <v>23.67</v>
      </c>
      <c r="E82" s="64">
        <v>2.78</v>
      </c>
      <c r="F82" s="64">
        <v>11.83</v>
      </c>
      <c r="G82" s="64">
        <v>88.97</v>
      </c>
      <c r="H82" s="64">
        <v>25.35</v>
      </c>
      <c r="I82" s="64">
        <v>0.49</v>
      </c>
      <c r="J82" s="64">
        <v>2.75</v>
      </c>
      <c r="K82" s="64">
        <v>358.69</v>
      </c>
      <c r="L82" s="64">
        <v>18.59</v>
      </c>
      <c r="M82" s="64">
        <v>86.63</v>
      </c>
      <c r="N82" s="64">
        <v>6.5</v>
      </c>
      <c r="O82" s="64">
        <v>0</v>
      </c>
      <c r="P82" s="64">
        <v>0.55000000000000004</v>
      </c>
      <c r="Q82" s="64">
        <v>12.2</v>
      </c>
      <c r="R82" s="198"/>
      <c r="S82" s="198"/>
      <c r="T82" s="198"/>
      <c r="U82" s="198"/>
    </row>
    <row r="83" spans="1:26" s="12" customFormat="1" x14ac:dyDescent="0.25">
      <c r="A83" s="218" t="s">
        <v>2342</v>
      </c>
      <c r="B83" s="64">
        <v>2.14</v>
      </c>
      <c r="C83" s="64">
        <v>39.43</v>
      </c>
      <c r="D83" s="64">
        <v>24.13</v>
      </c>
      <c r="E83" s="64">
        <v>2.9</v>
      </c>
      <c r="F83" s="64">
        <v>9.35</v>
      </c>
      <c r="G83" s="64">
        <v>88.97</v>
      </c>
      <c r="H83" s="64">
        <v>39.58</v>
      </c>
      <c r="I83" s="64">
        <v>0.48</v>
      </c>
      <c r="J83" s="64">
        <v>2.5299999999999998</v>
      </c>
      <c r="K83" s="64">
        <v>347.27</v>
      </c>
      <c r="L83" s="64">
        <v>18.920000000000002</v>
      </c>
      <c r="M83" s="64">
        <v>83.44</v>
      </c>
      <c r="N83" s="64">
        <v>6.9</v>
      </c>
      <c r="O83" s="64">
        <v>0.6</v>
      </c>
      <c r="P83" s="64">
        <v>0.56000000000000005</v>
      </c>
      <c r="Q83" s="64">
        <v>13.15</v>
      </c>
      <c r="R83" s="198"/>
      <c r="S83" s="198"/>
      <c r="T83" s="198"/>
      <c r="U83" s="198"/>
    </row>
    <row r="84" spans="1:26" s="12" customFormat="1" x14ac:dyDescent="0.25">
      <c r="A84" s="218" t="s">
        <v>2343</v>
      </c>
      <c r="B84" s="64">
        <v>2.15</v>
      </c>
      <c r="C84" s="64">
        <v>40.26</v>
      </c>
      <c r="D84" s="64">
        <v>24.59</v>
      </c>
      <c r="E84" s="64">
        <v>2.36</v>
      </c>
      <c r="F84" s="64">
        <v>6.73</v>
      </c>
      <c r="G84" s="215" t="s">
        <v>42</v>
      </c>
      <c r="H84" s="215" t="s">
        <v>42</v>
      </c>
      <c r="I84" s="64">
        <v>0.48</v>
      </c>
      <c r="J84" s="64">
        <v>1.05</v>
      </c>
      <c r="K84" s="64">
        <v>352.12</v>
      </c>
      <c r="L84" s="64">
        <v>18.36</v>
      </c>
      <c r="M84" s="64">
        <v>89.79</v>
      </c>
      <c r="N84" s="64">
        <v>5.8</v>
      </c>
      <c r="O84" s="64">
        <v>3.6</v>
      </c>
      <c r="P84" s="64">
        <v>0.56999999999999995</v>
      </c>
      <c r="Q84" s="64">
        <v>13.51</v>
      </c>
      <c r="R84" s="198"/>
      <c r="S84" s="198"/>
      <c r="T84" s="198"/>
      <c r="U84" s="198"/>
    </row>
    <row r="85" spans="1:26" s="12" customFormat="1" x14ac:dyDescent="0.25">
      <c r="A85" s="218" t="s">
        <v>2344</v>
      </c>
      <c r="B85" s="64">
        <v>2.2599999999999998</v>
      </c>
      <c r="C85" s="64">
        <v>40.69</v>
      </c>
      <c r="D85" s="64">
        <v>24.91</v>
      </c>
      <c r="E85" s="64">
        <v>2.4500000000000002</v>
      </c>
      <c r="F85" s="64">
        <v>5.61</v>
      </c>
      <c r="G85" s="215" t="s">
        <v>42</v>
      </c>
      <c r="H85" s="215" t="s">
        <v>42</v>
      </c>
      <c r="I85" s="64">
        <v>0.48</v>
      </c>
      <c r="J85" s="64">
        <v>0.44</v>
      </c>
      <c r="K85" s="64">
        <v>27.6</v>
      </c>
      <c r="L85" s="64">
        <v>17.28</v>
      </c>
      <c r="M85" s="64">
        <v>94.18</v>
      </c>
      <c r="N85" s="64">
        <v>5.9</v>
      </c>
      <c r="O85" s="64">
        <v>2.6</v>
      </c>
      <c r="P85" s="64">
        <v>0.55000000000000004</v>
      </c>
      <c r="Q85" s="64">
        <v>13.98</v>
      </c>
      <c r="R85" s="198"/>
      <c r="S85" s="198"/>
      <c r="T85" s="198"/>
      <c r="U85" s="198"/>
    </row>
    <row r="86" spans="1:26" s="12" customFormat="1" x14ac:dyDescent="0.25">
      <c r="A86" s="218" t="s">
        <v>2345</v>
      </c>
      <c r="B86" s="64">
        <v>2.72</v>
      </c>
      <c r="C86" s="64">
        <v>40.65</v>
      </c>
      <c r="D86" s="64">
        <v>25.26</v>
      </c>
      <c r="E86" s="64">
        <v>2.2799999999999998</v>
      </c>
      <c r="F86" s="64">
        <v>4.8600000000000003</v>
      </c>
      <c r="G86" s="215" t="s">
        <v>42</v>
      </c>
      <c r="H86" s="215" t="s">
        <v>42</v>
      </c>
      <c r="I86" s="64">
        <v>0.48</v>
      </c>
      <c r="J86" s="64">
        <v>1.71</v>
      </c>
      <c r="K86" s="64">
        <v>137.32</v>
      </c>
      <c r="L86" s="64">
        <v>17.2</v>
      </c>
      <c r="M86" s="64">
        <v>94.35</v>
      </c>
      <c r="N86" s="64">
        <v>5.3</v>
      </c>
      <c r="O86" s="64">
        <v>0.8</v>
      </c>
      <c r="P86" s="64">
        <v>0.59</v>
      </c>
      <c r="Q86" s="64">
        <v>12.78</v>
      </c>
      <c r="R86" s="198"/>
      <c r="S86" s="198"/>
      <c r="T86" s="198"/>
      <c r="U86" s="198"/>
    </row>
    <row r="87" spans="1:26" s="12" customFormat="1" x14ac:dyDescent="0.25">
      <c r="A87" s="218" t="s">
        <v>2346</v>
      </c>
      <c r="B87" s="64">
        <v>2.86</v>
      </c>
      <c r="C87" s="64">
        <v>37.71</v>
      </c>
      <c r="D87" s="64">
        <v>23.75</v>
      </c>
      <c r="E87" s="64">
        <v>2.04</v>
      </c>
      <c r="F87" s="64">
        <v>3.84</v>
      </c>
      <c r="G87" s="215" t="s">
        <v>42</v>
      </c>
      <c r="H87" s="215" t="s">
        <v>42</v>
      </c>
      <c r="I87" s="64">
        <v>0.48</v>
      </c>
      <c r="J87" s="64">
        <v>0.88</v>
      </c>
      <c r="K87" s="64">
        <v>133.97</v>
      </c>
      <c r="L87" s="64">
        <v>17.37</v>
      </c>
      <c r="M87" s="64">
        <v>94.03</v>
      </c>
      <c r="N87" s="64">
        <v>5</v>
      </c>
      <c r="O87" s="64">
        <v>0.2</v>
      </c>
      <c r="P87" s="64">
        <v>0.57999999999999996</v>
      </c>
      <c r="Q87" s="64">
        <v>14.38</v>
      </c>
      <c r="R87" s="198"/>
      <c r="S87" s="198"/>
      <c r="T87" s="198"/>
      <c r="U87" s="198"/>
    </row>
    <row r="88" spans="1:26" s="12" customFormat="1" x14ac:dyDescent="0.25">
      <c r="A88" s="218" t="s">
        <v>2347</v>
      </c>
      <c r="B88" s="64">
        <v>3.2</v>
      </c>
      <c r="C88" s="64">
        <v>37.119999999999997</v>
      </c>
      <c r="D88" s="64">
        <v>23.7</v>
      </c>
      <c r="E88" s="64">
        <v>0.63</v>
      </c>
      <c r="F88" s="64">
        <v>3.81</v>
      </c>
      <c r="G88" s="215" t="s">
        <v>42</v>
      </c>
      <c r="H88" s="215" t="s">
        <v>42</v>
      </c>
      <c r="I88" s="64">
        <v>0.48</v>
      </c>
      <c r="J88" s="64">
        <v>0.85</v>
      </c>
      <c r="K88" s="64">
        <v>128.71</v>
      </c>
      <c r="L88" s="64">
        <v>17.559999999999999</v>
      </c>
      <c r="M88" s="64">
        <v>94.38</v>
      </c>
      <c r="N88" s="64">
        <v>5</v>
      </c>
      <c r="O88" s="64">
        <v>0.6</v>
      </c>
      <c r="P88" s="64">
        <v>0.57999999999999996</v>
      </c>
      <c r="Q88" s="64">
        <v>16.41</v>
      </c>
      <c r="R88" s="198"/>
      <c r="S88" s="198"/>
      <c r="T88" s="198"/>
      <c r="U88" s="198"/>
    </row>
    <row r="89" spans="1:26" s="12" customFormat="1" x14ac:dyDescent="0.25">
      <c r="A89" s="218" t="s">
        <v>2348</v>
      </c>
      <c r="B89" s="64">
        <v>3.6</v>
      </c>
      <c r="C89" s="64">
        <v>35.33</v>
      </c>
      <c r="D89" s="64">
        <v>23.03</v>
      </c>
      <c r="E89" s="64">
        <v>0.32</v>
      </c>
      <c r="F89" s="64">
        <v>3.45</v>
      </c>
      <c r="G89" s="215" t="s">
        <v>42</v>
      </c>
      <c r="H89" s="215" t="s">
        <v>42</v>
      </c>
      <c r="I89" s="64">
        <v>0.49</v>
      </c>
      <c r="J89" s="64">
        <v>1.67</v>
      </c>
      <c r="K89" s="64">
        <v>136.66999999999999</v>
      </c>
      <c r="L89" s="64">
        <v>17.760000000000002</v>
      </c>
      <c r="M89" s="64">
        <v>92.36</v>
      </c>
      <c r="N89" s="64">
        <v>5.5</v>
      </c>
      <c r="O89" s="64">
        <v>0.2</v>
      </c>
      <c r="P89" s="64">
        <v>0.57999999999999996</v>
      </c>
      <c r="Q89" s="64">
        <v>16.23</v>
      </c>
      <c r="R89" s="198"/>
      <c r="S89" s="198"/>
      <c r="T89" s="198"/>
      <c r="U89" s="198"/>
    </row>
    <row r="90" spans="1:26" s="12" customFormat="1" x14ac:dyDescent="0.25">
      <c r="A90" s="218" t="s">
        <v>2349</v>
      </c>
      <c r="B90" s="64">
        <v>3.63</v>
      </c>
      <c r="C90" s="64">
        <v>34.6</v>
      </c>
      <c r="D90" s="64">
        <v>22.65</v>
      </c>
      <c r="E90" s="64">
        <v>0.62</v>
      </c>
      <c r="F90" s="64">
        <v>3.66</v>
      </c>
      <c r="G90" s="215" t="s">
        <v>42</v>
      </c>
      <c r="H90" s="215" t="s">
        <v>42</v>
      </c>
      <c r="I90" s="64">
        <v>0.5</v>
      </c>
      <c r="J90" s="64">
        <v>2.71</v>
      </c>
      <c r="K90" s="64">
        <v>137.08000000000001</v>
      </c>
      <c r="L90" s="64">
        <v>18.05</v>
      </c>
      <c r="M90" s="64">
        <v>89.65</v>
      </c>
      <c r="N90" s="64">
        <v>5.3</v>
      </c>
      <c r="O90" s="64">
        <v>0.2</v>
      </c>
      <c r="P90" s="64">
        <v>0.56999999999999995</v>
      </c>
      <c r="Q90" s="64">
        <v>18.8</v>
      </c>
      <c r="R90" s="198"/>
      <c r="S90" s="198"/>
      <c r="T90" s="198"/>
      <c r="U90" s="198"/>
    </row>
    <row r="91" spans="1:26" s="12" customFormat="1" x14ac:dyDescent="0.25">
      <c r="A91" s="218" t="s">
        <v>2350</v>
      </c>
      <c r="B91" s="64">
        <v>3.37</v>
      </c>
      <c r="C91" s="64">
        <v>30.77</v>
      </c>
      <c r="D91" s="64">
        <v>20.329999999999998</v>
      </c>
      <c r="E91" s="64">
        <v>0.61</v>
      </c>
      <c r="F91" s="64">
        <v>4.3600000000000003</v>
      </c>
      <c r="G91" s="215" t="s">
        <v>42</v>
      </c>
      <c r="H91" s="215" t="s">
        <v>42</v>
      </c>
      <c r="I91" s="64">
        <v>0.5</v>
      </c>
      <c r="J91" s="64">
        <v>2.52</v>
      </c>
      <c r="K91" s="64">
        <v>126.59</v>
      </c>
      <c r="L91" s="64">
        <v>18.18</v>
      </c>
      <c r="M91" s="64">
        <v>88.11</v>
      </c>
      <c r="N91" s="64">
        <v>5.6</v>
      </c>
      <c r="O91" s="64">
        <v>0</v>
      </c>
      <c r="P91" s="64">
        <v>0.56000000000000005</v>
      </c>
      <c r="Q91" s="64">
        <v>18.73</v>
      </c>
      <c r="R91" s="198"/>
      <c r="S91" s="198"/>
      <c r="T91" s="198"/>
      <c r="U91" s="198"/>
    </row>
    <row r="92" spans="1:26" s="12" customFormat="1" x14ac:dyDescent="0.25">
      <c r="A92" s="218" t="s">
        <v>2351</v>
      </c>
      <c r="B92" s="64">
        <v>3.1</v>
      </c>
      <c r="C92" s="64">
        <v>31.16</v>
      </c>
      <c r="D92" s="64">
        <v>20.329999999999998</v>
      </c>
      <c r="E92" s="64">
        <v>0.8</v>
      </c>
      <c r="F92" s="64">
        <v>4.91</v>
      </c>
      <c r="G92" s="215" t="s">
        <v>42</v>
      </c>
      <c r="H92" s="215" t="s">
        <v>42</v>
      </c>
      <c r="I92" s="64">
        <v>0.5</v>
      </c>
      <c r="J92" s="64">
        <v>0.48</v>
      </c>
      <c r="K92" s="64">
        <v>42.85</v>
      </c>
      <c r="L92" s="64">
        <v>18.47</v>
      </c>
      <c r="M92" s="64">
        <v>87.4</v>
      </c>
      <c r="N92" s="64">
        <v>6.1</v>
      </c>
      <c r="O92" s="64">
        <v>0</v>
      </c>
      <c r="P92" s="64">
        <v>0.54</v>
      </c>
      <c r="Q92" s="64">
        <v>20.03</v>
      </c>
      <c r="R92" s="198"/>
      <c r="S92" s="198"/>
      <c r="T92" s="198"/>
      <c r="U92" s="198"/>
    </row>
    <row r="93" spans="1:26" s="12" customFormat="1" x14ac:dyDescent="0.25">
      <c r="A93" s="218" t="s">
        <v>2352</v>
      </c>
      <c r="B93" s="64">
        <v>3.48</v>
      </c>
      <c r="C93" s="64">
        <v>32.75</v>
      </c>
      <c r="D93" s="64">
        <v>21.51</v>
      </c>
      <c r="E93" s="64">
        <v>0.46</v>
      </c>
      <c r="F93" s="64">
        <v>4.07</v>
      </c>
      <c r="G93" s="215" t="s">
        <v>42</v>
      </c>
      <c r="H93" s="215" t="s">
        <v>42</v>
      </c>
      <c r="I93" s="64">
        <v>0.5</v>
      </c>
      <c r="J93" s="64">
        <v>0.37</v>
      </c>
      <c r="K93" s="64">
        <v>2.73</v>
      </c>
      <c r="L93" s="64">
        <v>18.649999999999999</v>
      </c>
      <c r="M93" s="64">
        <v>87.07</v>
      </c>
      <c r="N93" s="64">
        <v>6.4</v>
      </c>
      <c r="O93" s="64">
        <v>0</v>
      </c>
      <c r="P93" s="64">
        <v>0.55000000000000004</v>
      </c>
      <c r="Q93" s="64">
        <v>20.2</v>
      </c>
      <c r="R93" s="198"/>
      <c r="S93" s="198"/>
      <c r="T93" s="198"/>
      <c r="U93" s="198"/>
    </row>
    <row r="94" spans="1:26" s="12" customFormat="1" x14ac:dyDescent="0.25">
      <c r="A94" s="218" t="s">
        <v>2353</v>
      </c>
      <c r="B94" s="64">
        <v>3.81</v>
      </c>
      <c r="C94" s="64">
        <v>34.18</v>
      </c>
      <c r="D94" s="64">
        <v>22.56</v>
      </c>
      <c r="E94" s="64">
        <v>0.64</v>
      </c>
      <c r="F94" s="64">
        <v>3.81</v>
      </c>
      <c r="G94" s="215" t="s">
        <v>42</v>
      </c>
      <c r="H94" s="215" t="s">
        <v>42</v>
      </c>
      <c r="I94" s="64">
        <v>0.49</v>
      </c>
      <c r="J94" s="64">
        <v>0.81</v>
      </c>
      <c r="K94" s="64">
        <v>115.89</v>
      </c>
      <c r="L94" s="64">
        <v>18.850000000000001</v>
      </c>
      <c r="M94" s="64">
        <v>84.45</v>
      </c>
      <c r="N94" s="64">
        <v>6.3</v>
      </c>
      <c r="O94" s="64">
        <v>0</v>
      </c>
      <c r="P94" s="64">
        <v>0.56999999999999995</v>
      </c>
      <c r="Q94" s="64">
        <v>20.03</v>
      </c>
      <c r="R94" s="198"/>
      <c r="S94" s="198"/>
      <c r="T94" s="198"/>
      <c r="U94" s="198"/>
    </row>
    <row r="95" spans="1:26" s="12" customFormat="1" x14ac:dyDescent="0.25">
      <c r="A95" s="218" t="s">
        <v>2354</v>
      </c>
      <c r="B95" s="64">
        <v>4.0199999999999996</v>
      </c>
      <c r="C95" s="64">
        <v>35.57</v>
      </c>
      <c r="D95" s="64">
        <v>23.5</v>
      </c>
      <c r="E95" s="64">
        <v>0.54</v>
      </c>
      <c r="F95" s="64">
        <v>3.87</v>
      </c>
      <c r="G95" s="215" t="s">
        <v>42</v>
      </c>
      <c r="H95" s="215" t="s">
        <v>42</v>
      </c>
      <c r="I95" s="64">
        <v>0.5</v>
      </c>
      <c r="J95" s="64">
        <v>1.6</v>
      </c>
      <c r="K95" s="64">
        <v>128</v>
      </c>
      <c r="L95" s="64">
        <v>19.329999999999998</v>
      </c>
      <c r="M95" s="64">
        <v>79.81</v>
      </c>
      <c r="N95" s="64">
        <v>5.9</v>
      </c>
      <c r="O95" s="64">
        <v>0</v>
      </c>
      <c r="P95" s="64">
        <v>0.56000000000000005</v>
      </c>
      <c r="Q95" s="64">
        <v>20.78</v>
      </c>
      <c r="R95" s="198"/>
      <c r="S95" s="198"/>
      <c r="T95" s="198"/>
      <c r="U95" s="198"/>
    </row>
    <row r="96" spans="1:26" s="12" customFormat="1" x14ac:dyDescent="0.25">
      <c r="A96" s="218" t="s">
        <v>2355</v>
      </c>
      <c r="B96" s="64">
        <v>3.94</v>
      </c>
      <c r="C96" s="64">
        <v>35.86</v>
      </c>
      <c r="D96" s="64">
        <v>23.6</v>
      </c>
      <c r="E96" s="64">
        <v>0.61</v>
      </c>
      <c r="F96" s="64">
        <v>3.85</v>
      </c>
      <c r="G96" s="215" t="s">
        <v>42</v>
      </c>
      <c r="H96" s="215" t="s">
        <v>42</v>
      </c>
      <c r="I96" s="64">
        <v>0.5</v>
      </c>
      <c r="J96" s="64">
        <v>0.61</v>
      </c>
      <c r="K96" s="64">
        <v>179.49</v>
      </c>
      <c r="L96" s="64">
        <v>19.11</v>
      </c>
      <c r="M96" s="64">
        <v>82.08</v>
      </c>
      <c r="N96" s="64">
        <v>6</v>
      </c>
      <c r="O96" s="64">
        <v>0</v>
      </c>
      <c r="P96" s="64">
        <v>0.55000000000000004</v>
      </c>
      <c r="Q96" s="64">
        <v>21.84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2356</v>
      </c>
      <c r="B97" s="64">
        <v>3.59</v>
      </c>
      <c r="C97" s="64">
        <v>36.82</v>
      </c>
      <c r="D97" s="64">
        <v>23.84</v>
      </c>
      <c r="E97" s="64">
        <v>0.56000000000000005</v>
      </c>
      <c r="F97" s="64">
        <v>4.18</v>
      </c>
      <c r="G97" s="215" t="s">
        <v>42</v>
      </c>
      <c r="H97" s="215" t="s">
        <v>42</v>
      </c>
      <c r="I97" s="64">
        <v>0.53</v>
      </c>
      <c r="J97" s="64">
        <v>1.46</v>
      </c>
      <c r="K97" s="64">
        <v>208.47</v>
      </c>
      <c r="L97" s="64">
        <v>18.809999999999999</v>
      </c>
      <c r="M97" s="64">
        <v>83.83</v>
      </c>
      <c r="N97" s="64">
        <v>5.4</v>
      </c>
      <c r="O97" s="64">
        <v>0</v>
      </c>
      <c r="P97" s="64">
        <v>0.53</v>
      </c>
      <c r="Q97" s="64">
        <v>21.43</v>
      </c>
      <c r="R97" s="198"/>
      <c r="S97" s="198"/>
      <c r="T97" s="198"/>
      <c r="U97" s="198"/>
    </row>
    <row r="98" spans="1:33" s="12" customFormat="1" x14ac:dyDescent="0.25">
      <c r="A98" s="218" t="s">
        <v>2357</v>
      </c>
      <c r="B98" s="64">
        <v>3.08</v>
      </c>
      <c r="C98" s="64">
        <v>35.630000000000003</v>
      </c>
      <c r="D98" s="64">
        <v>22.78</v>
      </c>
      <c r="E98" s="64">
        <v>0.49</v>
      </c>
      <c r="F98" s="64">
        <v>4.78</v>
      </c>
      <c r="G98" s="215" t="s">
        <v>42</v>
      </c>
      <c r="H98" s="215" t="s">
        <v>42</v>
      </c>
      <c r="I98" s="64">
        <v>0.53</v>
      </c>
      <c r="J98" s="64">
        <v>2.0699999999999998</v>
      </c>
      <c r="K98" s="64">
        <v>207.94</v>
      </c>
      <c r="L98" s="64">
        <v>18.71</v>
      </c>
      <c r="M98" s="64">
        <v>86.16</v>
      </c>
      <c r="N98" s="64">
        <v>5.4</v>
      </c>
      <c r="O98" s="64">
        <v>0</v>
      </c>
      <c r="P98" s="64">
        <v>0.5</v>
      </c>
      <c r="Q98" s="64">
        <v>17.149999999999999</v>
      </c>
      <c r="R98" s="198"/>
      <c r="S98" s="198"/>
      <c r="T98" s="198"/>
      <c r="U98" s="198"/>
    </row>
    <row r="99" spans="1:33" s="12" customFormat="1" x14ac:dyDescent="0.25">
      <c r="A99" s="218" t="s">
        <v>2358</v>
      </c>
      <c r="B99" s="64">
        <v>2.61</v>
      </c>
      <c r="C99" s="64">
        <v>35.89</v>
      </c>
      <c r="D99" s="64">
        <v>22.55</v>
      </c>
      <c r="E99" s="64">
        <v>0.31</v>
      </c>
      <c r="F99" s="64">
        <v>5.67</v>
      </c>
      <c r="G99" s="215" t="s">
        <v>42</v>
      </c>
      <c r="H99" s="215" t="s">
        <v>42</v>
      </c>
      <c r="I99" s="64">
        <v>0.53</v>
      </c>
      <c r="J99" s="64">
        <v>1.85</v>
      </c>
      <c r="K99" s="64">
        <v>195.6</v>
      </c>
      <c r="L99" s="64">
        <v>18.309999999999999</v>
      </c>
      <c r="M99" s="64">
        <v>88.3</v>
      </c>
      <c r="N99" s="64">
        <v>6.3</v>
      </c>
      <c r="O99" s="64">
        <v>0.2</v>
      </c>
      <c r="P99" s="64">
        <v>0.47</v>
      </c>
      <c r="Q99" s="64">
        <v>16.149999999999999</v>
      </c>
      <c r="R99" s="198"/>
      <c r="S99" s="198"/>
      <c r="T99" s="198"/>
      <c r="U99" s="198"/>
    </row>
    <row r="100" spans="1:33" s="12" customFormat="1" x14ac:dyDescent="0.25">
      <c r="A100" s="218" t="s">
        <v>2359</v>
      </c>
      <c r="B100" s="64">
        <v>2.34</v>
      </c>
      <c r="C100" s="64">
        <v>35.85</v>
      </c>
      <c r="D100" s="64">
        <v>22.3</v>
      </c>
      <c r="E100" s="64">
        <v>0.53</v>
      </c>
      <c r="F100" s="64">
        <v>5.49</v>
      </c>
      <c r="G100" s="215" t="s">
        <v>42</v>
      </c>
      <c r="H100" s="215" t="s">
        <v>42</v>
      </c>
      <c r="I100" s="64">
        <v>0.52</v>
      </c>
      <c r="J100" s="64">
        <v>2.76</v>
      </c>
      <c r="K100" s="64">
        <v>197.51</v>
      </c>
      <c r="L100" s="64">
        <v>18.05</v>
      </c>
      <c r="M100" s="64">
        <v>89.83</v>
      </c>
      <c r="N100" s="64">
        <v>5.6</v>
      </c>
      <c r="O100" s="64">
        <v>0</v>
      </c>
      <c r="P100" s="64">
        <v>0.45</v>
      </c>
      <c r="Q100" s="64">
        <v>15.56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2360</v>
      </c>
      <c r="B101" s="64">
        <v>2.1800000000000002</v>
      </c>
      <c r="C101" s="64">
        <v>33.340000000000003</v>
      </c>
      <c r="D101" s="64">
        <v>20.79</v>
      </c>
      <c r="E101" s="64">
        <v>0.5</v>
      </c>
      <c r="F101" s="64">
        <v>6.63</v>
      </c>
      <c r="G101" s="215" t="s">
        <v>42</v>
      </c>
      <c r="H101" s="215" t="s">
        <v>42</v>
      </c>
      <c r="I101" s="64">
        <v>0.49</v>
      </c>
      <c r="J101" s="64">
        <v>2.2799999999999998</v>
      </c>
      <c r="K101" s="64">
        <v>204.5</v>
      </c>
      <c r="L101" s="64">
        <v>18.12</v>
      </c>
      <c r="M101" s="64">
        <v>88.76</v>
      </c>
      <c r="N101" s="64">
        <v>5.6</v>
      </c>
      <c r="O101" s="64">
        <v>0</v>
      </c>
      <c r="P101" s="64">
        <v>0.43</v>
      </c>
      <c r="Q101" s="64">
        <v>13.23</v>
      </c>
      <c r="R101" s="198"/>
      <c r="S101" s="198"/>
      <c r="T101" s="198"/>
      <c r="U101" s="198"/>
    </row>
    <row r="102" spans="1:33" s="12" customFormat="1" x14ac:dyDescent="0.25">
      <c r="A102" s="218" t="s">
        <v>2361</v>
      </c>
      <c r="B102" s="64">
        <v>2.08</v>
      </c>
      <c r="C102" s="64">
        <v>34.96</v>
      </c>
      <c r="D102" s="64">
        <v>21.61</v>
      </c>
      <c r="E102" s="64">
        <v>0.5</v>
      </c>
      <c r="F102" s="64">
        <v>6.21</v>
      </c>
      <c r="G102" s="215" t="s">
        <v>42</v>
      </c>
      <c r="H102" s="215" t="s">
        <v>42</v>
      </c>
      <c r="I102" s="64">
        <v>0.48</v>
      </c>
      <c r="J102" s="64">
        <v>1.08</v>
      </c>
      <c r="K102" s="64">
        <v>245.27</v>
      </c>
      <c r="L102" s="64">
        <v>18.14</v>
      </c>
      <c r="M102" s="64">
        <v>88.71</v>
      </c>
      <c r="N102" s="64">
        <v>5.4</v>
      </c>
      <c r="O102" s="64">
        <v>0</v>
      </c>
      <c r="P102" s="64">
        <v>0.41</v>
      </c>
      <c r="Q102" s="64">
        <v>14.69</v>
      </c>
      <c r="R102" s="198"/>
      <c r="S102" s="198"/>
      <c r="T102" s="198"/>
      <c r="U102" s="198"/>
    </row>
    <row r="103" spans="1:33" s="12" customFormat="1" x14ac:dyDescent="0.25">
      <c r="A103" s="218" t="s">
        <v>2362</v>
      </c>
      <c r="B103" s="64">
        <v>1.97</v>
      </c>
      <c r="C103" s="64">
        <v>34.880000000000003</v>
      </c>
      <c r="D103" s="64">
        <v>21.48</v>
      </c>
      <c r="E103" s="64">
        <v>0.48</v>
      </c>
      <c r="F103" s="64">
        <v>6.28</v>
      </c>
      <c r="G103" s="215" t="s">
        <v>42</v>
      </c>
      <c r="H103" s="215" t="s">
        <v>42</v>
      </c>
      <c r="I103" s="64">
        <v>0.48</v>
      </c>
      <c r="J103" s="64">
        <v>1.45</v>
      </c>
      <c r="K103" s="64">
        <v>209.66</v>
      </c>
      <c r="L103" s="64">
        <v>18.14</v>
      </c>
      <c r="M103" s="64">
        <v>87.97</v>
      </c>
      <c r="N103" s="64">
        <v>5.0999999999999996</v>
      </c>
      <c r="O103" s="64">
        <v>0</v>
      </c>
      <c r="P103" s="64">
        <v>0.39</v>
      </c>
      <c r="Q103" s="64">
        <v>14.56</v>
      </c>
      <c r="R103" s="198"/>
      <c r="S103" s="198"/>
      <c r="T103" s="198"/>
      <c r="U103" s="198"/>
    </row>
    <row r="104" spans="1:33" s="12" customFormat="1" x14ac:dyDescent="0.25">
      <c r="A104" s="218" t="s">
        <v>2363</v>
      </c>
      <c r="B104" s="64">
        <v>1.93</v>
      </c>
      <c r="C104" s="64">
        <v>32.78</v>
      </c>
      <c r="D104" s="64">
        <v>20.28</v>
      </c>
      <c r="E104" s="64">
        <v>0.53</v>
      </c>
      <c r="F104" s="64">
        <v>5.75</v>
      </c>
      <c r="G104" s="215" t="s">
        <v>42</v>
      </c>
      <c r="H104" s="215" t="s">
        <v>42</v>
      </c>
      <c r="I104" s="64">
        <v>0.48</v>
      </c>
      <c r="J104" s="64">
        <v>1.1399999999999999</v>
      </c>
      <c r="K104" s="64">
        <v>158.97999999999999</v>
      </c>
      <c r="L104" s="64">
        <v>18.260000000000002</v>
      </c>
      <c r="M104" s="64">
        <v>85.94</v>
      </c>
      <c r="N104" s="64">
        <v>5</v>
      </c>
      <c r="O104" s="64">
        <v>0</v>
      </c>
      <c r="P104" s="64">
        <v>0.38</v>
      </c>
      <c r="Q104" s="64">
        <v>13.55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1.37</v>
      </c>
      <c r="C106" s="67">
        <f>MIN(C9:C104)</f>
        <v>27.76</v>
      </c>
      <c r="D106" s="67">
        <f t="shared" ref="D106:Q106" si="0">MIN(D9:D104)</f>
        <v>17.37</v>
      </c>
      <c r="E106" s="67">
        <f t="shared" si="0"/>
        <v>0.31</v>
      </c>
      <c r="F106" s="67">
        <f t="shared" si="0"/>
        <v>3.45</v>
      </c>
      <c r="G106" s="67">
        <f t="shared" si="0"/>
        <v>25.06</v>
      </c>
      <c r="H106" s="67">
        <f t="shared" si="0"/>
        <v>11.15</v>
      </c>
      <c r="I106" s="67">
        <f t="shared" si="0"/>
        <v>0.44</v>
      </c>
      <c r="J106" s="67">
        <f t="shared" si="0"/>
        <v>0.02</v>
      </c>
      <c r="K106" s="67">
        <f t="shared" si="0"/>
        <v>1.51</v>
      </c>
      <c r="L106" s="67">
        <f t="shared" si="0"/>
        <v>17.2</v>
      </c>
      <c r="M106" s="67">
        <f t="shared" si="0"/>
        <v>21.73</v>
      </c>
      <c r="N106" s="67">
        <f t="shared" si="0"/>
        <v>4.4000000000000004</v>
      </c>
      <c r="O106" s="67">
        <f t="shared" si="0"/>
        <v>0</v>
      </c>
      <c r="P106" s="67">
        <f t="shared" si="0"/>
        <v>0.33</v>
      </c>
      <c r="Q106" s="67">
        <f t="shared" si="0"/>
        <v>3.86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9.64</v>
      </c>
      <c r="C107" s="66">
        <f t="shared" ref="C107:Q107" si="1">MAX(C9:C104)</f>
        <v>55.54</v>
      </c>
      <c r="D107" s="66">
        <f t="shared" si="1"/>
        <v>36.92</v>
      </c>
      <c r="E107" s="66">
        <f t="shared" si="1"/>
        <v>27.59</v>
      </c>
      <c r="F107" s="66">
        <f t="shared" si="1"/>
        <v>33.36</v>
      </c>
      <c r="G107" s="66">
        <f t="shared" si="1"/>
        <v>88.97</v>
      </c>
      <c r="H107" s="66">
        <f t="shared" si="1"/>
        <v>39.58</v>
      </c>
      <c r="I107" s="66">
        <f t="shared" si="1"/>
        <v>0.56000000000000005</v>
      </c>
      <c r="J107" s="66">
        <f t="shared" si="1"/>
        <v>3.86</v>
      </c>
      <c r="K107" s="66">
        <f t="shared" si="1"/>
        <v>359.52</v>
      </c>
      <c r="L107" s="66">
        <f t="shared" si="1"/>
        <v>36.79</v>
      </c>
      <c r="M107" s="66">
        <f t="shared" si="1"/>
        <v>94.38</v>
      </c>
      <c r="N107" s="66">
        <f t="shared" si="1"/>
        <v>936</v>
      </c>
      <c r="O107" s="66">
        <f t="shared" si="1"/>
        <v>3.6</v>
      </c>
      <c r="P107" s="66">
        <f t="shared" si="1"/>
        <v>0.82</v>
      </c>
      <c r="Q107" s="66">
        <f t="shared" si="1"/>
        <v>21.84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3.5121875000000014</v>
      </c>
      <c r="C108" s="67">
        <f t="shared" ref="C108:Q108" si="2">AVERAGE(C9:C104)</f>
        <v>36.882812500000007</v>
      </c>
      <c r="D108" s="67">
        <f t="shared" si="2"/>
        <v>23.81697916666668</v>
      </c>
      <c r="E108" s="67">
        <f t="shared" si="2"/>
        <v>2.5047916666666667</v>
      </c>
      <c r="F108" s="67">
        <f t="shared" si="2"/>
        <v>10.143958333333334</v>
      </c>
      <c r="G108" s="67">
        <f t="shared" si="2"/>
        <v>41.717199999999977</v>
      </c>
      <c r="H108" s="67">
        <f t="shared" si="2"/>
        <v>15.54813333333332</v>
      </c>
      <c r="I108" s="67">
        <f t="shared" si="2"/>
        <v>0.50572916666666645</v>
      </c>
      <c r="J108" s="67">
        <f t="shared" si="2"/>
        <v>0.94791666666666652</v>
      </c>
      <c r="K108" s="67">
        <f t="shared" si="2"/>
        <v>227.53989583333328</v>
      </c>
      <c r="L108" s="67">
        <f t="shared" si="2"/>
        <v>25.828020833333337</v>
      </c>
      <c r="M108" s="67">
        <f t="shared" si="2"/>
        <v>49.638020833333343</v>
      </c>
      <c r="N108" s="67">
        <f t="shared" si="2"/>
        <v>256.44062499999995</v>
      </c>
      <c r="O108" s="67">
        <f t="shared" si="2"/>
        <v>0.11249999999999998</v>
      </c>
      <c r="P108" s="67">
        <f t="shared" si="2"/>
        <v>0.50260416666666663</v>
      </c>
      <c r="Q108" s="67">
        <f t="shared" si="2"/>
        <v>12.414479166666672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1.881104492536791</v>
      </c>
      <c r="C109" s="67">
        <f t="shared" ref="C109:Q109" si="3">STDEV(C9:C104)</f>
        <v>4.0064360598062549</v>
      </c>
      <c r="D109" s="67">
        <f t="shared" si="3"/>
        <v>3.3668855262585526</v>
      </c>
      <c r="E109" s="67">
        <f t="shared" si="3"/>
        <v>3.3935077269666638</v>
      </c>
      <c r="F109" s="67">
        <f t="shared" si="3"/>
        <v>6.5997925771499464</v>
      </c>
      <c r="G109" s="67">
        <f t="shared" si="3"/>
        <v>14.602961432346403</v>
      </c>
      <c r="H109" s="67">
        <f t="shared" si="3"/>
        <v>4.0617932044894216</v>
      </c>
      <c r="I109" s="67">
        <f t="shared" si="3"/>
        <v>3.4996083740798531E-2</v>
      </c>
      <c r="J109" s="67">
        <f t="shared" si="3"/>
        <v>0.82196672575330842</v>
      </c>
      <c r="K109" s="67">
        <f t="shared" si="3"/>
        <v>101.19994172553768</v>
      </c>
      <c r="L109" s="67">
        <f t="shared" si="3"/>
        <v>6.2047327640475798</v>
      </c>
      <c r="M109" s="67">
        <f t="shared" si="3"/>
        <v>24.172080224040606</v>
      </c>
      <c r="N109" s="67">
        <f t="shared" si="3"/>
        <v>344.70771648734706</v>
      </c>
      <c r="O109" s="67">
        <f t="shared" si="3"/>
        <v>0.47754856462871642</v>
      </c>
      <c r="P109" s="67">
        <f t="shared" si="3"/>
        <v>8.1875962562978161E-2</v>
      </c>
      <c r="Q109" s="67">
        <f t="shared" si="3"/>
        <v>5.2005620890117763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COUNT(G9:G104)+21</f>
        <v>96</v>
      </c>
      <c r="H110" s="66">
        <f>COUNT(H9:H104)+21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2364</v>
      </c>
      <c r="B9" s="60">
        <v>1.97</v>
      </c>
      <c r="C9" s="60">
        <v>31.83</v>
      </c>
      <c r="D9" s="60">
        <v>19.79</v>
      </c>
      <c r="E9" s="60">
        <v>1.58</v>
      </c>
      <c r="F9" s="60">
        <v>5.08</v>
      </c>
      <c r="G9" s="215" t="s">
        <v>42</v>
      </c>
      <c r="H9" s="215" t="s">
        <v>42</v>
      </c>
      <c r="I9" s="60">
        <v>0.47</v>
      </c>
      <c r="J9" s="60">
        <v>1.28</v>
      </c>
      <c r="K9" s="60">
        <v>122.82</v>
      </c>
      <c r="L9" s="60">
        <v>18.399999999999999</v>
      </c>
      <c r="M9" s="60">
        <v>84.91</v>
      </c>
      <c r="N9" s="60">
        <v>5</v>
      </c>
      <c r="O9" s="60">
        <v>0</v>
      </c>
      <c r="P9" s="60">
        <v>0.37</v>
      </c>
      <c r="Q9" s="60">
        <v>14.45</v>
      </c>
      <c r="S9" s="198"/>
      <c r="T9" s="198"/>
      <c r="U9" s="198"/>
    </row>
    <row r="10" spans="1:21" s="12" customFormat="1" x14ac:dyDescent="0.25">
      <c r="A10" s="201" t="s">
        <v>2365</v>
      </c>
      <c r="B10" s="60">
        <v>2.06</v>
      </c>
      <c r="C10" s="60">
        <v>30.64</v>
      </c>
      <c r="D10" s="60">
        <v>19.21</v>
      </c>
      <c r="E10" s="60">
        <v>1.29</v>
      </c>
      <c r="F10" s="60">
        <v>4.83</v>
      </c>
      <c r="G10" s="215" t="s">
        <v>42</v>
      </c>
      <c r="H10" s="215" t="s">
        <v>42</v>
      </c>
      <c r="I10" s="60">
        <v>0.46</v>
      </c>
      <c r="J10" s="60">
        <v>7.0000000000000007E-2</v>
      </c>
      <c r="K10" s="60">
        <v>1.62</v>
      </c>
      <c r="L10" s="60">
        <v>18.649999999999999</v>
      </c>
      <c r="M10" s="60">
        <v>84.25</v>
      </c>
      <c r="N10" s="60">
        <v>5.0999999999999996</v>
      </c>
      <c r="O10" s="60">
        <v>0</v>
      </c>
      <c r="P10" s="60">
        <v>0.36</v>
      </c>
      <c r="Q10" s="60">
        <v>14.68</v>
      </c>
      <c r="S10" s="198"/>
      <c r="T10" s="198"/>
      <c r="U10" s="198"/>
    </row>
    <row r="11" spans="1:21" s="12" customFormat="1" x14ac:dyDescent="0.25">
      <c r="A11" s="201" t="s">
        <v>2366</v>
      </c>
      <c r="B11" s="60">
        <v>2.19</v>
      </c>
      <c r="C11" s="60">
        <v>31.03</v>
      </c>
      <c r="D11" s="60">
        <v>19.53</v>
      </c>
      <c r="E11" s="60">
        <v>1.59</v>
      </c>
      <c r="F11" s="60">
        <v>4.33</v>
      </c>
      <c r="G11" s="215" t="s">
        <v>42</v>
      </c>
      <c r="H11" s="215" t="s">
        <v>42</v>
      </c>
      <c r="I11" s="60">
        <v>0.49</v>
      </c>
      <c r="J11" s="60">
        <v>0.33</v>
      </c>
      <c r="K11" s="60">
        <v>112.23</v>
      </c>
      <c r="L11" s="60">
        <v>18.78</v>
      </c>
      <c r="M11" s="60">
        <v>83.09</v>
      </c>
      <c r="N11" s="60">
        <v>4.5999999999999996</v>
      </c>
      <c r="O11" s="60">
        <v>0</v>
      </c>
      <c r="P11" s="60">
        <v>0.36</v>
      </c>
      <c r="Q11" s="60">
        <v>14.38</v>
      </c>
      <c r="S11" s="198"/>
      <c r="T11" s="198"/>
      <c r="U11" s="198"/>
    </row>
    <row r="12" spans="1:21" s="12" customFormat="1" x14ac:dyDescent="0.25">
      <c r="A12" s="201" t="s">
        <v>2367</v>
      </c>
      <c r="B12" s="60">
        <v>2.27</v>
      </c>
      <c r="C12" s="60">
        <v>31.13</v>
      </c>
      <c r="D12" s="60">
        <v>19.649999999999999</v>
      </c>
      <c r="E12" s="60">
        <v>1.39</v>
      </c>
      <c r="F12" s="60">
        <v>4.2699999999999996</v>
      </c>
      <c r="G12" s="215" t="s">
        <v>42</v>
      </c>
      <c r="H12" s="215" t="s">
        <v>42</v>
      </c>
      <c r="I12" s="60">
        <v>0.49</v>
      </c>
      <c r="J12" s="60">
        <v>1.06</v>
      </c>
      <c r="K12" s="60">
        <v>201.08</v>
      </c>
      <c r="L12" s="60">
        <v>18.829999999999998</v>
      </c>
      <c r="M12" s="60">
        <v>81.81</v>
      </c>
      <c r="N12" s="60">
        <v>4.9000000000000004</v>
      </c>
      <c r="O12" s="60">
        <v>0</v>
      </c>
      <c r="P12" s="60">
        <v>0.35</v>
      </c>
      <c r="Q12" s="60">
        <v>14.95</v>
      </c>
      <c r="S12" s="198"/>
      <c r="T12" s="198"/>
      <c r="U12" s="198"/>
    </row>
    <row r="13" spans="1:21" s="12" customFormat="1" x14ac:dyDescent="0.25">
      <c r="A13" s="201" t="s">
        <v>2368</v>
      </c>
      <c r="B13" s="60">
        <v>2.21</v>
      </c>
      <c r="C13" s="60">
        <v>31.28</v>
      </c>
      <c r="D13" s="60">
        <v>19.68</v>
      </c>
      <c r="E13" s="60">
        <v>1.24</v>
      </c>
      <c r="F13" s="60">
        <v>4.4800000000000004</v>
      </c>
      <c r="G13" s="215" t="s">
        <v>42</v>
      </c>
      <c r="H13" s="215" t="s">
        <v>42</v>
      </c>
      <c r="I13" s="60">
        <v>0.49</v>
      </c>
      <c r="J13" s="60">
        <v>0.79</v>
      </c>
      <c r="K13" s="60">
        <v>124.98</v>
      </c>
      <c r="L13" s="60">
        <v>18.45</v>
      </c>
      <c r="M13" s="60">
        <v>84.43</v>
      </c>
      <c r="N13" s="60">
        <v>5.4</v>
      </c>
      <c r="O13" s="60">
        <v>0</v>
      </c>
      <c r="P13" s="60">
        <v>0.35</v>
      </c>
      <c r="Q13" s="60">
        <v>14.45</v>
      </c>
      <c r="S13" s="198"/>
      <c r="T13" s="198"/>
      <c r="U13" s="198"/>
    </row>
    <row r="14" spans="1:21" s="12" customFormat="1" x14ac:dyDescent="0.25">
      <c r="A14" s="201" t="s">
        <v>2369</v>
      </c>
      <c r="B14" s="60">
        <v>2.4</v>
      </c>
      <c r="C14" s="60">
        <v>27.57</v>
      </c>
      <c r="D14" s="60">
        <v>17.78</v>
      </c>
      <c r="E14" s="60">
        <v>1.0900000000000001</v>
      </c>
      <c r="F14" s="60">
        <v>4.33</v>
      </c>
      <c r="G14" s="215" t="s">
        <v>42</v>
      </c>
      <c r="H14" s="215" t="s">
        <v>42</v>
      </c>
      <c r="I14" s="60">
        <v>0.48</v>
      </c>
      <c r="J14" s="60">
        <v>0.89</v>
      </c>
      <c r="K14" s="60">
        <v>127.81</v>
      </c>
      <c r="L14" s="60">
        <v>18.47</v>
      </c>
      <c r="M14" s="60">
        <v>83.78</v>
      </c>
      <c r="N14" s="60">
        <v>5.0999999999999996</v>
      </c>
      <c r="O14" s="60">
        <v>0</v>
      </c>
      <c r="P14" s="60">
        <v>0.34</v>
      </c>
      <c r="Q14" s="60">
        <v>12.12</v>
      </c>
      <c r="S14" s="198"/>
      <c r="T14" s="198"/>
      <c r="U14" s="198"/>
    </row>
    <row r="15" spans="1:21" s="12" customFormat="1" x14ac:dyDescent="0.25">
      <c r="A15" s="201" t="s">
        <v>2370</v>
      </c>
      <c r="B15" s="60">
        <v>2.66</v>
      </c>
      <c r="C15" s="60">
        <v>28.03</v>
      </c>
      <c r="D15" s="60">
        <v>18.239999999999998</v>
      </c>
      <c r="E15" s="60">
        <v>1.78</v>
      </c>
      <c r="F15" s="60">
        <v>4.12</v>
      </c>
      <c r="G15" s="215" t="s">
        <v>42</v>
      </c>
      <c r="H15" s="215" t="s">
        <v>42</v>
      </c>
      <c r="I15" s="60">
        <v>0.48</v>
      </c>
      <c r="J15" s="60">
        <v>0.68</v>
      </c>
      <c r="K15" s="60">
        <v>190.57</v>
      </c>
      <c r="L15" s="60">
        <v>18.32</v>
      </c>
      <c r="M15" s="60">
        <v>85.56</v>
      </c>
      <c r="N15" s="60">
        <v>5</v>
      </c>
      <c r="O15" s="60">
        <v>0</v>
      </c>
      <c r="P15" s="60">
        <v>0.34</v>
      </c>
      <c r="Q15" s="60">
        <v>13.21</v>
      </c>
      <c r="S15" s="198"/>
      <c r="T15" s="198"/>
      <c r="U15" s="198"/>
    </row>
    <row r="16" spans="1:21" s="12" customFormat="1" x14ac:dyDescent="0.25">
      <c r="A16" s="201" t="s">
        <v>2371</v>
      </c>
      <c r="B16" s="60">
        <v>2.87</v>
      </c>
      <c r="C16" s="60">
        <v>29.75</v>
      </c>
      <c r="D16" s="60">
        <v>19.37</v>
      </c>
      <c r="E16" s="60">
        <v>1.57</v>
      </c>
      <c r="F16" s="60">
        <v>3.95</v>
      </c>
      <c r="G16" s="215" t="s">
        <v>42</v>
      </c>
      <c r="H16" s="215" t="s">
        <v>42</v>
      </c>
      <c r="I16" s="60">
        <v>0.49</v>
      </c>
      <c r="J16" s="60">
        <v>0.27</v>
      </c>
      <c r="K16" s="60">
        <v>257.25</v>
      </c>
      <c r="L16" s="60">
        <v>18.36</v>
      </c>
      <c r="M16" s="60">
        <v>86.48</v>
      </c>
      <c r="N16" s="60">
        <v>4.9000000000000004</v>
      </c>
      <c r="O16" s="60">
        <v>0</v>
      </c>
      <c r="P16" s="60">
        <v>0.35</v>
      </c>
      <c r="Q16" s="60">
        <v>14.52</v>
      </c>
      <c r="S16" s="198"/>
      <c r="T16" s="198"/>
      <c r="U16" s="198"/>
    </row>
    <row r="17" spans="1:21" s="12" customFormat="1" x14ac:dyDescent="0.25">
      <c r="A17" s="201" t="s">
        <v>2372</v>
      </c>
      <c r="B17" s="60">
        <v>2.79</v>
      </c>
      <c r="C17" s="60">
        <v>30.59</v>
      </c>
      <c r="D17" s="60">
        <v>19.77</v>
      </c>
      <c r="E17" s="60">
        <v>1.81</v>
      </c>
      <c r="F17" s="60">
        <v>4.01</v>
      </c>
      <c r="G17" s="215" t="s">
        <v>42</v>
      </c>
      <c r="H17" s="215" t="s">
        <v>42</v>
      </c>
      <c r="I17" s="60">
        <v>0.49</v>
      </c>
      <c r="J17" s="60">
        <v>0.23</v>
      </c>
      <c r="K17" s="60">
        <v>68.8</v>
      </c>
      <c r="L17" s="60">
        <v>18.399999999999999</v>
      </c>
      <c r="M17" s="60">
        <v>86.92</v>
      </c>
      <c r="N17" s="60">
        <v>5.0999999999999996</v>
      </c>
      <c r="O17" s="60">
        <v>0</v>
      </c>
      <c r="P17" s="60">
        <v>0.34</v>
      </c>
      <c r="Q17" s="60">
        <v>13.85</v>
      </c>
      <c r="S17" s="198"/>
      <c r="T17" s="198"/>
      <c r="U17" s="198"/>
    </row>
    <row r="18" spans="1:21" s="12" customFormat="1" x14ac:dyDescent="0.25">
      <c r="A18" s="201" t="s">
        <v>2373</v>
      </c>
      <c r="B18" s="60">
        <v>2.56</v>
      </c>
      <c r="C18" s="60">
        <v>26.92</v>
      </c>
      <c r="D18" s="60">
        <v>17.55</v>
      </c>
      <c r="E18" s="60">
        <v>0.87</v>
      </c>
      <c r="F18" s="60">
        <v>4.43</v>
      </c>
      <c r="G18" s="215" t="s">
        <v>42</v>
      </c>
      <c r="H18" s="215" t="s">
        <v>42</v>
      </c>
      <c r="I18" s="60">
        <v>0.5</v>
      </c>
      <c r="J18" s="60">
        <v>0.11</v>
      </c>
      <c r="K18" s="60">
        <v>18.63</v>
      </c>
      <c r="L18" s="60">
        <v>18.3</v>
      </c>
      <c r="M18" s="60">
        <v>87.77</v>
      </c>
      <c r="N18" s="60">
        <v>5.4</v>
      </c>
      <c r="O18" s="60">
        <v>0</v>
      </c>
      <c r="P18" s="60">
        <v>0.33</v>
      </c>
      <c r="Q18" s="60">
        <v>10.57</v>
      </c>
      <c r="S18" s="198"/>
      <c r="T18" s="198"/>
      <c r="U18" s="198"/>
    </row>
    <row r="19" spans="1:21" s="12" customFormat="1" x14ac:dyDescent="0.25">
      <c r="A19" s="201" t="s">
        <v>2374</v>
      </c>
      <c r="B19" s="60">
        <v>2.38</v>
      </c>
      <c r="C19" s="60">
        <v>26.04</v>
      </c>
      <c r="D19" s="60">
        <v>16.920000000000002</v>
      </c>
      <c r="E19" s="60">
        <v>1.1299999999999999</v>
      </c>
      <c r="F19" s="60">
        <v>4.45</v>
      </c>
      <c r="G19" s="215" t="s">
        <v>42</v>
      </c>
      <c r="H19" s="215" t="s">
        <v>42</v>
      </c>
      <c r="I19" s="60">
        <v>0.5</v>
      </c>
      <c r="J19" s="60">
        <v>0.35</v>
      </c>
      <c r="K19" s="60">
        <v>340.17</v>
      </c>
      <c r="L19" s="60">
        <v>18.38</v>
      </c>
      <c r="M19" s="60">
        <v>88.21</v>
      </c>
      <c r="N19" s="60">
        <v>5.0999999999999996</v>
      </c>
      <c r="O19" s="60">
        <v>0</v>
      </c>
      <c r="P19" s="60">
        <v>0.33</v>
      </c>
      <c r="Q19" s="60">
        <v>10.029999999999999</v>
      </c>
      <c r="S19" s="198"/>
      <c r="T19" s="198"/>
      <c r="U19" s="198"/>
    </row>
    <row r="20" spans="1:21" s="12" customFormat="1" x14ac:dyDescent="0.25">
      <c r="A20" s="201" t="s">
        <v>2375</v>
      </c>
      <c r="B20" s="60">
        <v>2.37</v>
      </c>
      <c r="C20" s="60">
        <v>26.34</v>
      </c>
      <c r="D20" s="60">
        <v>17.079999999999998</v>
      </c>
      <c r="E20" s="60">
        <v>1.03</v>
      </c>
      <c r="F20" s="60">
        <v>4.2699999999999996</v>
      </c>
      <c r="G20" s="215" t="s">
        <v>42</v>
      </c>
      <c r="H20" s="215" t="s">
        <v>42</v>
      </c>
      <c r="I20" s="60">
        <v>0.49</v>
      </c>
      <c r="J20" s="60">
        <v>0.84</v>
      </c>
      <c r="K20" s="60">
        <v>325.75</v>
      </c>
      <c r="L20" s="60">
        <v>18.489999999999998</v>
      </c>
      <c r="M20" s="60">
        <v>87.87</v>
      </c>
      <c r="N20" s="60">
        <v>4.9000000000000004</v>
      </c>
      <c r="O20" s="60">
        <v>0</v>
      </c>
      <c r="P20" s="60">
        <v>0.33</v>
      </c>
      <c r="Q20" s="60">
        <v>10.16</v>
      </c>
      <c r="S20" s="198"/>
      <c r="T20" s="198"/>
      <c r="U20" s="198"/>
    </row>
    <row r="21" spans="1:21" s="12" customFormat="1" x14ac:dyDescent="0.25">
      <c r="A21" s="201" t="s">
        <v>2376</v>
      </c>
      <c r="B21" s="60">
        <v>2.31</v>
      </c>
      <c r="C21" s="60">
        <v>26.43</v>
      </c>
      <c r="D21" s="60">
        <v>17.079999999999998</v>
      </c>
      <c r="E21" s="60">
        <v>0.89</v>
      </c>
      <c r="F21" s="60">
        <v>4.55</v>
      </c>
      <c r="G21" s="215" t="s">
        <v>42</v>
      </c>
      <c r="H21" s="215" t="s">
        <v>42</v>
      </c>
      <c r="I21" s="60">
        <v>0.48</v>
      </c>
      <c r="J21" s="60">
        <v>1.5</v>
      </c>
      <c r="K21" s="60">
        <v>320.75</v>
      </c>
      <c r="L21" s="60">
        <v>18.38</v>
      </c>
      <c r="M21" s="60">
        <v>87.84</v>
      </c>
      <c r="N21" s="60">
        <v>4.5</v>
      </c>
      <c r="O21" s="60">
        <v>0</v>
      </c>
      <c r="P21" s="60">
        <v>0.32</v>
      </c>
      <c r="Q21" s="60">
        <v>10.15</v>
      </c>
      <c r="S21" s="198"/>
      <c r="T21" s="198"/>
      <c r="U21" s="198"/>
    </row>
    <row r="22" spans="1:21" s="12" customFormat="1" x14ac:dyDescent="0.25">
      <c r="A22" s="201" t="s">
        <v>2377</v>
      </c>
      <c r="B22" s="60">
        <v>2.1800000000000002</v>
      </c>
      <c r="C22" s="60">
        <v>26.73</v>
      </c>
      <c r="D22" s="60">
        <v>17.14</v>
      </c>
      <c r="E22" s="60">
        <v>0.87</v>
      </c>
      <c r="F22" s="60">
        <v>5</v>
      </c>
      <c r="G22" s="215" t="s">
        <v>42</v>
      </c>
      <c r="H22" s="215" t="s">
        <v>42</v>
      </c>
      <c r="I22" s="60">
        <v>0.48</v>
      </c>
      <c r="J22" s="60">
        <v>1.8</v>
      </c>
      <c r="K22" s="60">
        <v>320.86</v>
      </c>
      <c r="L22" s="60">
        <v>18.36</v>
      </c>
      <c r="M22" s="60">
        <v>87.97</v>
      </c>
      <c r="N22" s="60">
        <v>5.0999999999999996</v>
      </c>
      <c r="O22" s="60">
        <v>0</v>
      </c>
      <c r="P22" s="60">
        <v>0.33</v>
      </c>
      <c r="Q22" s="60">
        <v>9.9600000000000009</v>
      </c>
      <c r="S22" s="198"/>
      <c r="T22" s="198"/>
      <c r="U22" s="198"/>
    </row>
    <row r="23" spans="1:21" s="12" customFormat="1" x14ac:dyDescent="0.25">
      <c r="A23" s="201" t="s">
        <v>2378</v>
      </c>
      <c r="B23" s="60">
        <v>2.11</v>
      </c>
      <c r="C23" s="60">
        <v>27.66</v>
      </c>
      <c r="D23" s="60">
        <v>17.61</v>
      </c>
      <c r="E23" s="60">
        <v>1.5</v>
      </c>
      <c r="F23" s="60">
        <v>4.91</v>
      </c>
      <c r="G23" s="60">
        <v>20.25</v>
      </c>
      <c r="H23" s="60">
        <v>5.0199999999999996</v>
      </c>
      <c r="I23" s="60">
        <v>0.48</v>
      </c>
      <c r="J23" s="60">
        <v>1.42</v>
      </c>
      <c r="K23" s="60">
        <v>323.14999999999998</v>
      </c>
      <c r="L23" s="60">
        <v>18.21</v>
      </c>
      <c r="M23" s="60">
        <v>88.8</v>
      </c>
      <c r="N23" s="60">
        <v>4.9000000000000004</v>
      </c>
      <c r="O23" s="60">
        <v>0</v>
      </c>
      <c r="P23" s="60">
        <v>0.33</v>
      </c>
      <c r="Q23" s="60">
        <v>9.91</v>
      </c>
      <c r="S23" s="198"/>
      <c r="T23" s="198"/>
      <c r="U23" s="198"/>
    </row>
    <row r="24" spans="1:21" s="12" customFormat="1" x14ac:dyDescent="0.25">
      <c r="A24" s="201" t="s">
        <v>2379</v>
      </c>
      <c r="B24" s="60">
        <v>2.2599999999999998</v>
      </c>
      <c r="C24" s="60">
        <v>28.99</v>
      </c>
      <c r="D24" s="60">
        <v>18.46</v>
      </c>
      <c r="E24" s="60">
        <v>0.28000000000000003</v>
      </c>
      <c r="F24" s="60">
        <v>4.1900000000000004</v>
      </c>
      <c r="G24" s="60">
        <v>27.61</v>
      </c>
      <c r="H24" s="60">
        <v>5.01</v>
      </c>
      <c r="I24" s="60">
        <v>0.48</v>
      </c>
      <c r="J24" s="60">
        <v>0.81</v>
      </c>
      <c r="K24" s="60">
        <v>317.89</v>
      </c>
      <c r="L24" s="60">
        <v>18.13</v>
      </c>
      <c r="M24" s="60">
        <v>89.66</v>
      </c>
      <c r="N24" s="60">
        <v>4.7</v>
      </c>
      <c r="O24" s="60">
        <v>0</v>
      </c>
      <c r="P24" s="60">
        <v>0.34</v>
      </c>
      <c r="Q24" s="60">
        <v>10.199999999999999</v>
      </c>
      <c r="S24" s="198"/>
      <c r="T24" s="198"/>
      <c r="U24" s="198"/>
    </row>
    <row r="25" spans="1:21" s="12" customFormat="1" x14ac:dyDescent="0.25">
      <c r="A25" s="201" t="s">
        <v>2380</v>
      </c>
      <c r="B25" s="60">
        <v>2.54</v>
      </c>
      <c r="C25" s="60">
        <v>31.49</v>
      </c>
      <c r="D25" s="60">
        <v>20.059999999999999</v>
      </c>
      <c r="E25" s="60">
        <v>1.06</v>
      </c>
      <c r="F25" s="60">
        <v>3.97</v>
      </c>
      <c r="G25" s="60">
        <v>27.61</v>
      </c>
      <c r="H25" s="60">
        <v>5.01</v>
      </c>
      <c r="I25" s="60">
        <v>0.47</v>
      </c>
      <c r="J25" s="60">
        <v>0.63</v>
      </c>
      <c r="K25" s="60">
        <v>324.75</v>
      </c>
      <c r="L25" s="60">
        <v>18.149999999999999</v>
      </c>
      <c r="M25" s="60">
        <v>89.95</v>
      </c>
      <c r="N25" s="60">
        <v>4.9000000000000004</v>
      </c>
      <c r="O25" s="60">
        <v>0</v>
      </c>
      <c r="P25" s="60">
        <v>0.35</v>
      </c>
      <c r="Q25" s="60">
        <v>11.03</v>
      </c>
      <c r="S25" s="198"/>
      <c r="T25" s="198"/>
      <c r="U25" s="198"/>
    </row>
    <row r="26" spans="1:21" s="12" customFormat="1" x14ac:dyDescent="0.25">
      <c r="A26" s="201" t="s">
        <v>2381</v>
      </c>
      <c r="B26" s="60">
        <v>3.07</v>
      </c>
      <c r="C26" s="60">
        <v>31.65</v>
      </c>
      <c r="D26" s="60">
        <v>20.57</v>
      </c>
      <c r="E26" s="60">
        <v>0.96</v>
      </c>
      <c r="F26" s="60">
        <v>3.64</v>
      </c>
      <c r="G26" s="60">
        <v>27.61</v>
      </c>
      <c r="H26" s="60">
        <v>5.01</v>
      </c>
      <c r="I26" s="60">
        <v>0.48</v>
      </c>
      <c r="J26" s="60">
        <v>0.53</v>
      </c>
      <c r="K26" s="60">
        <v>327.42</v>
      </c>
      <c r="L26" s="60">
        <v>18.28</v>
      </c>
      <c r="M26" s="60">
        <v>89.55</v>
      </c>
      <c r="N26" s="60">
        <v>4.9000000000000004</v>
      </c>
      <c r="O26" s="60">
        <v>0</v>
      </c>
      <c r="P26" s="60">
        <v>0.37</v>
      </c>
      <c r="Q26" s="60">
        <v>10.84</v>
      </c>
      <c r="S26" s="198"/>
      <c r="T26" s="198"/>
      <c r="U26" s="198"/>
    </row>
    <row r="27" spans="1:21" s="12" customFormat="1" x14ac:dyDescent="0.25">
      <c r="A27" s="201" t="s">
        <v>2382</v>
      </c>
      <c r="B27" s="60">
        <v>3.63</v>
      </c>
      <c r="C27" s="60">
        <v>34.130000000000003</v>
      </c>
      <c r="D27" s="60">
        <v>22.4</v>
      </c>
      <c r="E27" s="60">
        <v>1.22</v>
      </c>
      <c r="F27" s="60">
        <v>3.29</v>
      </c>
      <c r="G27" s="60">
        <v>36.49</v>
      </c>
      <c r="H27" s="60">
        <v>7.14</v>
      </c>
      <c r="I27" s="60">
        <v>0.48</v>
      </c>
      <c r="J27" s="60">
        <v>0.45</v>
      </c>
      <c r="K27" s="60">
        <v>319.14</v>
      </c>
      <c r="L27" s="60">
        <v>18.28</v>
      </c>
      <c r="M27" s="60">
        <v>89.14</v>
      </c>
      <c r="N27" s="60">
        <v>4.8</v>
      </c>
      <c r="O27" s="60">
        <v>0</v>
      </c>
      <c r="P27" s="60">
        <v>0.38</v>
      </c>
      <c r="Q27" s="60">
        <v>13.29</v>
      </c>
      <c r="S27" s="198"/>
      <c r="T27" s="198"/>
      <c r="U27" s="198"/>
    </row>
    <row r="28" spans="1:21" s="12" customFormat="1" x14ac:dyDescent="0.25">
      <c r="A28" s="201" t="s">
        <v>2383</v>
      </c>
      <c r="B28" s="60">
        <v>4.38</v>
      </c>
      <c r="C28" s="60">
        <v>33.520000000000003</v>
      </c>
      <c r="D28" s="60">
        <v>22.66</v>
      </c>
      <c r="E28" s="60">
        <v>1.21</v>
      </c>
      <c r="F28" s="60">
        <v>3.17</v>
      </c>
      <c r="G28" s="60">
        <v>39.909999999999997</v>
      </c>
      <c r="H28" s="60">
        <v>7.21</v>
      </c>
      <c r="I28" s="60">
        <v>0.48</v>
      </c>
      <c r="J28" s="60">
        <v>0.32</v>
      </c>
      <c r="K28" s="60">
        <v>320.41000000000003</v>
      </c>
      <c r="L28" s="60">
        <v>18.239999999999998</v>
      </c>
      <c r="M28" s="60">
        <v>89.71</v>
      </c>
      <c r="N28" s="60">
        <v>4.8</v>
      </c>
      <c r="O28" s="60">
        <v>0</v>
      </c>
      <c r="P28" s="60">
        <v>0.4</v>
      </c>
      <c r="Q28" s="60">
        <v>12.17</v>
      </c>
      <c r="S28" s="198"/>
      <c r="T28" s="198"/>
      <c r="U28" s="198"/>
    </row>
    <row r="29" spans="1:21" s="12" customFormat="1" x14ac:dyDescent="0.25">
      <c r="A29" s="201" t="s">
        <v>2384</v>
      </c>
      <c r="B29" s="60">
        <v>4.99</v>
      </c>
      <c r="C29" s="60">
        <v>32.49</v>
      </c>
      <c r="D29" s="60">
        <v>22.58</v>
      </c>
      <c r="E29" s="60">
        <v>1.45</v>
      </c>
      <c r="F29" s="60">
        <v>3.06</v>
      </c>
      <c r="G29" s="60">
        <v>39.909999999999997</v>
      </c>
      <c r="H29" s="60">
        <v>7.21</v>
      </c>
      <c r="I29" s="60">
        <v>0.49</v>
      </c>
      <c r="J29" s="60">
        <v>0.37</v>
      </c>
      <c r="K29" s="60">
        <v>325.08999999999997</v>
      </c>
      <c r="L29" s="60">
        <v>18.29</v>
      </c>
      <c r="M29" s="60">
        <v>89.06</v>
      </c>
      <c r="N29" s="60">
        <v>4.8</v>
      </c>
      <c r="O29" s="60">
        <v>0</v>
      </c>
      <c r="P29" s="60">
        <v>0.41</v>
      </c>
      <c r="Q29" s="60">
        <v>12.01</v>
      </c>
      <c r="S29" s="198"/>
      <c r="T29" s="198"/>
      <c r="U29" s="198"/>
    </row>
    <row r="30" spans="1:21" s="12" customFormat="1" x14ac:dyDescent="0.25">
      <c r="A30" s="201" t="s">
        <v>2385</v>
      </c>
      <c r="B30" s="60">
        <v>5.45</v>
      </c>
      <c r="C30" s="60">
        <v>29.32</v>
      </c>
      <c r="D30" s="60">
        <v>21.2</v>
      </c>
      <c r="E30" s="60">
        <v>1.24</v>
      </c>
      <c r="F30" s="60">
        <v>3.31</v>
      </c>
      <c r="G30" s="60">
        <v>39.909999999999997</v>
      </c>
      <c r="H30" s="60">
        <v>7.21</v>
      </c>
      <c r="I30" s="60">
        <v>0.49</v>
      </c>
      <c r="J30" s="60">
        <v>0.27</v>
      </c>
      <c r="K30" s="60">
        <v>217.08</v>
      </c>
      <c r="L30" s="60">
        <v>18.41</v>
      </c>
      <c r="M30" s="60">
        <v>87.28</v>
      </c>
      <c r="N30" s="60">
        <v>5.3</v>
      </c>
      <c r="O30" s="60">
        <v>0</v>
      </c>
      <c r="P30" s="60">
        <v>0.43</v>
      </c>
      <c r="Q30" s="60">
        <v>9.73</v>
      </c>
      <c r="S30" s="198"/>
      <c r="T30" s="198"/>
      <c r="U30" s="198"/>
    </row>
    <row r="31" spans="1:21" s="12" customFormat="1" x14ac:dyDescent="0.25">
      <c r="A31" s="201" t="s">
        <v>2386</v>
      </c>
      <c r="B31" s="60">
        <v>5.68</v>
      </c>
      <c r="C31" s="60">
        <v>29.51</v>
      </c>
      <c r="D31" s="60">
        <v>21.48</v>
      </c>
      <c r="E31" s="60">
        <v>1.0900000000000001</v>
      </c>
      <c r="F31" s="60">
        <v>3.15</v>
      </c>
      <c r="G31" s="60">
        <v>49.05</v>
      </c>
      <c r="H31" s="60">
        <v>14.85</v>
      </c>
      <c r="I31" s="60">
        <v>0.5</v>
      </c>
      <c r="J31" s="60">
        <v>0.16</v>
      </c>
      <c r="K31" s="60">
        <v>315.83999999999997</v>
      </c>
      <c r="L31" s="60">
        <v>18.57</v>
      </c>
      <c r="M31" s="60">
        <v>86.63</v>
      </c>
      <c r="N31" s="60">
        <v>9</v>
      </c>
      <c r="O31" s="60">
        <v>0</v>
      </c>
      <c r="P31" s="60">
        <v>0.45</v>
      </c>
      <c r="Q31" s="60">
        <v>9.85</v>
      </c>
      <c r="S31" s="198"/>
      <c r="T31" s="198"/>
      <c r="U31" s="198"/>
    </row>
    <row r="32" spans="1:21" s="12" customFormat="1" x14ac:dyDescent="0.25">
      <c r="A32" s="201" t="s">
        <v>2387</v>
      </c>
      <c r="B32" s="60">
        <v>6.27</v>
      </c>
      <c r="C32" s="60">
        <v>30.46</v>
      </c>
      <c r="D32" s="60">
        <v>22.48</v>
      </c>
      <c r="E32" s="60">
        <v>0.81</v>
      </c>
      <c r="F32" s="60">
        <v>3.02</v>
      </c>
      <c r="G32" s="60">
        <v>52.57</v>
      </c>
      <c r="H32" s="60">
        <v>15.09</v>
      </c>
      <c r="I32" s="60">
        <v>0.5</v>
      </c>
      <c r="J32" s="60">
        <v>0.84</v>
      </c>
      <c r="K32" s="60">
        <v>195.57</v>
      </c>
      <c r="L32" s="60">
        <v>18.66</v>
      </c>
      <c r="M32" s="60">
        <v>85.37</v>
      </c>
      <c r="N32" s="60">
        <v>28.6</v>
      </c>
      <c r="O32" s="60">
        <v>0</v>
      </c>
      <c r="P32" s="60">
        <v>0.46</v>
      </c>
      <c r="Q32" s="60">
        <v>10.48</v>
      </c>
      <c r="S32" s="198"/>
      <c r="T32" s="198"/>
      <c r="U32" s="198"/>
    </row>
    <row r="33" spans="1:21" s="12" customFormat="1" x14ac:dyDescent="0.25">
      <c r="A33" s="201" t="s">
        <v>2388</v>
      </c>
      <c r="B33" s="60">
        <v>6.63</v>
      </c>
      <c r="C33" s="60">
        <v>31.69</v>
      </c>
      <c r="D33" s="60">
        <v>23.45</v>
      </c>
      <c r="E33" s="60">
        <v>1.17</v>
      </c>
      <c r="F33" s="60">
        <v>3.21</v>
      </c>
      <c r="G33" s="60">
        <v>52.57</v>
      </c>
      <c r="H33" s="60">
        <v>15.09</v>
      </c>
      <c r="I33" s="60">
        <v>0.5</v>
      </c>
      <c r="J33" s="60">
        <v>0.76</v>
      </c>
      <c r="K33" s="60">
        <v>216.47</v>
      </c>
      <c r="L33" s="60">
        <v>19.010000000000002</v>
      </c>
      <c r="M33" s="60">
        <v>84.58</v>
      </c>
      <c r="N33" s="60">
        <v>61.5</v>
      </c>
      <c r="O33" s="60">
        <v>0</v>
      </c>
      <c r="P33" s="60">
        <v>0.48</v>
      </c>
      <c r="Q33" s="60">
        <v>11.2</v>
      </c>
      <c r="S33" s="198"/>
      <c r="T33" s="198"/>
      <c r="U33" s="198"/>
    </row>
    <row r="34" spans="1:21" s="12" customFormat="1" x14ac:dyDescent="0.25">
      <c r="A34" s="201" t="s">
        <v>2389</v>
      </c>
      <c r="B34" s="60">
        <v>6.69</v>
      </c>
      <c r="C34" s="60">
        <v>31.65</v>
      </c>
      <c r="D34" s="60">
        <v>23.48</v>
      </c>
      <c r="E34" s="60">
        <v>0.85</v>
      </c>
      <c r="F34" s="60">
        <v>3.24</v>
      </c>
      <c r="G34" s="60">
        <v>52.57</v>
      </c>
      <c r="H34" s="60">
        <v>15.09</v>
      </c>
      <c r="I34" s="60">
        <v>0.5</v>
      </c>
      <c r="J34" s="60">
        <v>0.36</v>
      </c>
      <c r="K34" s="60">
        <v>214.73</v>
      </c>
      <c r="L34" s="60">
        <v>19.100000000000001</v>
      </c>
      <c r="M34" s="60">
        <v>85.26</v>
      </c>
      <c r="N34" s="60">
        <v>90.3</v>
      </c>
      <c r="O34" s="60">
        <v>0</v>
      </c>
      <c r="P34" s="60">
        <v>0.49</v>
      </c>
      <c r="Q34" s="60">
        <v>11.28</v>
      </c>
      <c r="S34" s="198"/>
      <c r="T34" s="198"/>
      <c r="U34" s="198"/>
    </row>
    <row r="35" spans="1:21" s="12" customFormat="1" x14ac:dyDescent="0.25">
      <c r="A35" s="201" t="s">
        <v>2390</v>
      </c>
      <c r="B35" s="60">
        <v>6.69</v>
      </c>
      <c r="C35" s="60">
        <v>32.200000000000003</v>
      </c>
      <c r="D35" s="60">
        <v>23.78</v>
      </c>
      <c r="E35" s="60">
        <v>1.17</v>
      </c>
      <c r="F35" s="60">
        <v>3.27</v>
      </c>
      <c r="G35" s="60">
        <v>47.39</v>
      </c>
      <c r="H35" s="60">
        <v>16.14</v>
      </c>
      <c r="I35" s="60">
        <v>0.5</v>
      </c>
      <c r="J35" s="60">
        <v>0.77</v>
      </c>
      <c r="K35" s="60">
        <v>208.7</v>
      </c>
      <c r="L35" s="60">
        <v>19.27</v>
      </c>
      <c r="M35" s="60">
        <v>85.31</v>
      </c>
      <c r="N35" s="60">
        <v>107.8</v>
      </c>
      <c r="O35" s="60">
        <v>0</v>
      </c>
      <c r="P35" s="60">
        <v>0.49</v>
      </c>
      <c r="Q35" s="60">
        <v>11.45</v>
      </c>
      <c r="S35" s="198"/>
      <c r="T35" s="198"/>
      <c r="U35" s="198"/>
    </row>
    <row r="36" spans="1:21" s="12" customFormat="1" x14ac:dyDescent="0.25">
      <c r="A36" s="201" t="s">
        <v>2391</v>
      </c>
      <c r="B36" s="60">
        <v>6.66</v>
      </c>
      <c r="C36" s="60">
        <v>32.9</v>
      </c>
      <c r="D36" s="60">
        <v>24.14</v>
      </c>
      <c r="E36" s="60">
        <v>1.25</v>
      </c>
      <c r="F36" s="60">
        <v>3.31</v>
      </c>
      <c r="G36" s="60">
        <v>45.4</v>
      </c>
      <c r="H36" s="60">
        <v>16.170000000000002</v>
      </c>
      <c r="I36" s="60">
        <v>0.51</v>
      </c>
      <c r="J36" s="60">
        <v>1.07</v>
      </c>
      <c r="K36" s="60">
        <v>207.42</v>
      </c>
      <c r="L36" s="60">
        <v>19.16</v>
      </c>
      <c r="M36" s="60">
        <v>85.83</v>
      </c>
      <c r="N36" s="60">
        <v>100</v>
      </c>
      <c r="O36" s="60">
        <v>0</v>
      </c>
      <c r="P36" s="60">
        <v>0.5</v>
      </c>
      <c r="Q36" s="60">
        <v>12.33</v>
      </c>
      <c r="S36" s="198"/>
      <c r="T36" s="198"/>
      <c r="U36" s="198"/>
    </row>
    <row r="37" spans="1:21" s="12" customFormat="1" x14ac:dyDescent="0.25">
      <c r="A37" s="201" t="s">
        <v>2392</v>
      </c>
      <c r="B37" s="60">
        <v>6.69</v>
      </c>
      <c r="C37" s="60">
        <v>35.53</v>
      </c>
      <c r="D37" s="60">
        <v>25.62</v>
      </c>
      <c r="E37" s="60">
        <v>1.1299999999999999</v>
      </c>
      <c r="F37" s="60">
        <v>3.35</v>
      </c>
      <c r="G37" s="60">
        <v>45.4</v>
      </c>
      <c r="H37" s="60">
        <v>16.170000000000002</v>
      </c>
      <c r="I37" s="60">
        <v>0.51</v>
      </c>
      <c r="J37" s="60">
        <v>1.28</v>
      </c>
      <c r="K37" s="60">
        <v>207.9</v>
      </c>
      <c r="L37" s="60">
        <v>19.16</v>
      </c>
      <c r="M37" s="60">
        <v>86.2</v>
      </c>
      <c r="N37" s="60">
        <v>143.30000000000001</v>
      </c>
      <c r="O37" s="60">
        <v>0.2</v>
      </c>
      <c r="P37" s="60">
        <v>0.48</v>
      </c>
      <c r="Q37" s="60">
        <v>12.12</v>
      </c>
      <c r="S37" s="198"/>
      <c r="T37" s="198"/>
      <c r="U37" s="198"/>
    </row>
    <row r="38" spans="1:21" s="12" customFormat="1" x14ac:dyDescent="0.25">
      <c r="A38" s="201" t="s">
        <v>2393</v>
      </c>
      <c r="B38" s="60">
        <v>6.78</v>
      </c>
      <c r="C38" s="60">
        <v>36.89</v>
      </c>
      <c r="D38" s="60">
        <v>26.44</v>
      </c>
      <c r="E38" s="60">
        <v>0.81</v>
      </c>
      <c r="F38" s="60">
        <v>3.01</v>
      </c>
      <c r="G38" s="60">
        <v>45.4</v>
      </c>
      <c r="H38" s="60">
        <v>16.170000000000002</v>
      </c>
      <c r="I38" s="60">
        <v>0.5</v>
      </c>
      <c r="J38" s="60">
        <v>1.26</v>
      </c>
      <c r="K38" s="60">
        <v>206.64</v>
      </c>
      <c r="L38" s="60">
        <v>19.649999999999999</v>
      </c>
      <c r="M38" s="60">
        <v>83.54</v>
      </c>
      <c r="N38" s="60">
        <v>138.4</v>
      </c>
      <c r="O38" s="60">
        <v>0</v>
      </c>
      <c r="P38" s="60">
        <v>0.51</v>
      </c>
      <c r="Q38" s="60">
        <v>12.68</v>
      </c>
      <c r="S38" s="198"/>
      <c r="T38" s="198"/>
      <c r="U38" s="198"/>
    </row>
    <row r="39" spans="1:21" s="12" customFormat="1" x14ac:dyDescent="0.25">
      <c r="A39" s="201" t="s">
        <v>2394</v>
      </c>
      <c r="B39" s="60">
        <v>6.77</v>
      </c>
      <c r="C39" s="60">
        <v>36.92</v>
      </c>
      <c r="D39" s="60">
        <v>26.45</v>
      </c>
      <c r="E39" s="60">
        <v>0.91</v>
      </c>
      <c r="F39" s="60">
        <v>3.54</v>
      </c>
      <c r="G39" s="60">
        <v>36.61</v>
      </c>
      <c r="H39" s="60">
        <v>17.38</v>
      </c>
      <c r="I39" s="60">
        <v>0.5</v>
      </c>
      <c r="J39" s="60">
        <v>1.49</v>
      </c>
      <c r="K39" s="60">
        <v>212.4</v>
      </c>
      <c r="L39" s="60">
        <v>19.690000000000001</v>
      </c>
      <c r="M39" s="60">
        <v>81.430000000000007</v>
      </c>
      <c r="N39" s="60">
        <v>146.1</v>
      </c>
      <c r="O39" s="60">
        <v>0</v>
      </c>
      <c r="P39" s="60">
        <v>0.52</v>
      </c>
      <c r="Q39" s="60">
        <v>12.75</v>
      </c>
      <c r="S39" s="198"/>
      <c r="T39" s="198"/>
      <c r="U39" s="198"/>
    </row>
    <row r="40" spans="1:21" s="12" customFormat="1" x14ac:dyDescent="0.25">
      <c r="A40" s="201" t="s">
        <v>2395</v>
      </c>
      <c r="B40" s="60">
        <v>6.29</v>
      </c>
      <c r="C40" s="60">
        <v>36.659999999999997</v>
      </c>
      <c r="D40" s="60">
        <v>25.92</v>
      </c>
      <c r="E40" s="60">
        <v>0.12</v>
      </c>
      <c r="F40" s="60">
        <v>3.82</v>
      </c>
      <c r="G40" s="60">
        <v>33.229999999999997</v>
      </c>
      <c r="H40" s="60">
        <v>17.440000000000001</v>
      </c>
      <c r="I40" s="60">
        <v>0.5</v>
      </c>
      <c r="J40" s="60">
        <v>0.73</v>
      </c>
      <c r="K40" s="60">
        <v>237.71</v>
      </c>
      <c r="L40" s="60">
        <v>19.88</v>
      </c>
      <c r="M40" s="60">
        <v>80.040000000000006</v>
      </c>
      <c r="N40" s="60">
        <v>155</v>
      </c>
      <c r="O40" s="60">
        <v>0</v>
      </c>
      <c r="P40" s="60">
        <v>0.52</v>
      </c>
      <c r="Q40" s="60">
        <v>12.19</v>
      </c>
      <c r="S40" s="198"/>
      <c r="T40" s="198"/>
      <c r="U40" s="198"/>
    </row>
    <row r="41" spans="1:21" s="12" customFormat="1" x14ac:dyDescent="0.25">
      <c r="A41" s="201" t="s">
        <v>2396</v>
      </c>
      <c r="B41" s="60">
        <v>5.51</v>
      </c>
      <c r="C41" s="60">
        <v>37.03</v>
      </c>
      <c r="D41" s="60">
        <v>25.5</v>
      </c>
      <c r="E41" s="60">
        <v>0.92</v>
      </c>
      <c r="F41" s="60">
        <v>3.99</v>
      </c>
      <c r="G41" s="60">
        <v>33.229999999999997</v>
      </c>
      <c r="H41" s="60">
        <v>17.440000000000001</v>
      </c>
      <c r="I41" s="60">
        <v>0.5</v>
      </c>
      <c r="J41" s="60">
        <v>0.34</v>
      </c>
      <c r="K41" s="60">
        <v>220.98</v>
      </c>
      <c r="L41" s="60">
        <v>20.05</v>
      </c>
      <c r="M41" s="60">
        <v>78.92</v>
      </c>
      <c r="N41" s="60">
        <v>100.1</v>
      </c>
      <c r="O41" s="60">
        <v>0</v>
      </c>
      <c r="P41" s="60">
        <v>0.52</v>
      </c>
      <c r="Q41" s="60">
        <v>12.99</v>
      </c>
      <c r="S41" s="198"/>
      <c r="T41" s="198"/>
      <c r="U41" s="198"/>
    </row>
    <row r="42" spans="1:21" s="12" customFormat="1" x14ac:dyDescent="0.25">
      <c r="A42" s="201" t="s">
        <v>2397</v>
      </c>
      <c r="B42" s="60">
        <v>4.67</v>
      </c>
      <c r="C42" s="60">
        <v>37.700000000000003</v>
      </c>
      <c r="D42" s="60">
        <v>25.2</v>
      </c>
      <c r="E42" s="60">
        <v>0.67</v>
      </c>
      <c r="F42" s="60">
        <v>3.65</v>
      </c>
      <c r="G42" s="60">
        <v>33.229999999999997</v>
      </c>
      <c r="H42" s="60">
        <v>17.440000000000001</v>
      </c>
      <c r="I42" s="60">
        <v>0.5</v>
      </c>
      <c r="J42" s="60">
        <v>0.11</v>
      </c>
      <c r="K42" s="60">
        <v>273.67</v>
      </c>
      <c r="L42" s="60">
        <v>20.18</v>
      </c>
      <c r="M42" s="60">
        <v>79.48</v>
      </c>
      <c r="N42" s="60">
        <v>90.9</v>
      </c>
      <c r="O42" s="60">
        <v>0</v>
      </c>
      <c r="P42" s="60">
        <v>0.51</v>
      </c>
      <c r="Q42" s="60">
        <v>13.29</v>
      </c>
      <c r="S42" s="198"/>
      <c r="T42" s="198"/>
      <c r="U42" s="198"/>
    </row>
    <row r="43" spans="1:21" s="12" customFormat="1" x14ac:dyDescent="0.25">
      <c r="A43" s="201" t="s">
        <v>2398</v>
      </c>
      <c r="B43" s="60">
        <v>4.16</v>
      </c>
      <c r="C43" s="60">
        <v>36.68</v>
      </c>
      <c r="D43" s="60">
        <v>24.23</v>
      </c>
      <c r="E43" s="60">
        <v>0.76</v>
      </c>
      <c r="F43" s="60">
        <v>4.5599999999999996</v>
      </c>
      <c r="G43" s="211" t="s">
        <v>43</v>
      </c>
      <c r="H43" s="211" t="s">
        <v>43</v>
      </c>
      <c r="I43" s="60">
        <v>0.5</v>
      </c>
      <c r="J43" s="60">
        <v>0.08</v>
      </c>
      <c r="K43" s="60">
        <v>307.76</v>
      </c>
      <c r="L43" s="60">
        <v>20.329999999999998</v>
      </c>
      <c r="M43" s="60">
        <v>79.14</v>
      </c>
      <c r="N43" s="60">
        <v>191.2</v>
      </c>
      <c r="O43" s="60">
        <v>0</v>
      </c>
      <c r="P43" s="60">
        <v>0.52</v>
      </c>
      <c r="Q43" s="60">
        <v>13.46</v>
      </c>
      <c r="S43" s="198"/>
      <c r="T43" s="198"/>
      <c r="U43" s="198"/>
    </row>
    <row r="44" spans="1:21" s="12" customFormat="1" x14ac:dyDescent="0.25">
      <c r="A44" s="201" t="s">
        <v>2399</v>
      </c>
      <c r="B44" s="60">
        <v>4.08</v>
      </c>
      <c r="C44" s="60">
        <v>37.270000000000003</v>
      </c>
      <c r="D44" s="60">
        <v>24.49</v>
      </c>
      <c r="E44" s="60">
        <v>0.35</v>
      </c>
      <c r="F44" s="60">
        <v>3.76</v>
      </c>
      <c r="G44" s="211" t="s">
        <v>43</v>
      </c>
      <c r="H44" s="211" t="s">
        <v>43</v>
      </c>
      <c r="I44" s="60">
        <v>0.48</v>
      </c>
      <c r="J44" s="60">
        <v>0.38</v>
      </c>
      <c r="K44" s="60">
        <v>214.63</v>
      </c>
      <c r="L44" s="60">
        <v>21.43</v>
      </c>
      <c r="M44" s="60">
        <v>75.48</v>
      </c>
      <c r="N44" s="60">
        <v>323.10000000000002</v>
      </c>
      <c r="O44" s="60">
        <v>0</v>
      </c>
      <c r="P44" s="60">
        <v>0.53</v>
      </c>
      <c r="Q44" s="60">
        <v>14.29</v>
      </c>
      <c r="S44" s="198"/>
      <c r="T44" s="198"/>
      <c r="U44" s="198"/>
    </row>
    <row r="45" spans="1:21" s="12" customFormat="1" x14ac:dyDescent="0.25">
      <c r="A45" s="201" t="s">
        <v>2400</v>
      </c>
      <c r="B45" s="60">
        <v>4.04</v>
      </c>
      <c r="C45" s="60">
        <v>35.24</v>
      </c>
      <c r="D45" s="60">
        <v>23.34</v>
      </c>
      <c r="E45" s="60">
        <v>0.46</v>
      </c>
      <c r="F45" s="60">
        <v>3.72</v>
      </c>
      <c r="G45" s="211" t="s">
        <v>43</v>
      </c>
      <c r="H45" s="211" t="s">
        <v>43</v>
      </c>
      <c r="I45" s="60">
        <v>0.5</v>
      </c>
      <c r="J45" s="60">
        <v>0.38</v>
      </c>
      <c r="K45" s="60">
        <v>230.92</v>
      </c>
      <c r="L45" s="60">
        <v>21.8</v>
      </c>
      <c r="M45" s="60">
        <v>72.849999999999994</v>
      </c>
      <c r="N45" s="60">
        <v>422.9</v>
      </c>
      <c r="O45" s="60">
        <v>0</v>
      </c>
      <c r="P45" s="60">
        <v>0.53</v>
      </c>
      <c r="Q45" s="60">
        <v>12.55</v>
      </c>
      <c r="S45" s="198"/>
      <c r="T45" s="198"/>
      <c r="U45" s="198"/>
    </row>
    <row r="46" spans="1:21" s="12" customFormat="1" x14ac:dyDescent="0.25">
      <c r="A46" s="201" t="s">
        <v>2401</v>
      </c>
      <c r="B46" s="60">
        <v>3.68</v>
      </c>
      <c r="C46" s="60">
        <v>34.36</v>
      </c>
      <c r="D46" s="60">
        <v>22.56</v>
      </c>
      <c r="E46" s="60">
        <v>0.77</v>
      </c>
      <c r="F46" s="60">
        <v>4.0999999999999996</v>
      </c>
      <c r="G46" s="211" t="s">
        <v>43</v>
      </c>
      <c r="H46" s="211" t="s">
        <v>43</v>
      </c>
      <c r="I46" s="60">
        <v>0.5</v>
      </c>
      <c r="J46" s="60">
        <v>0.54</v>
      </c>
      <c r="K46" s="60">
        <v>208.2</v>
      </c>
      <c r="L46" s="60">
        <v>22.23</v>
      </c>
      <c r="M46" s="60">
        <v>71.19</v>
      </c>
      <c r="N46" s="60">
        <v>451.1</v>
      </c>
      <c r="O46" s="60">
        <v>0</v>
      </c>
      <c r="P46" s="60">
        <v>0.53</v>
      </c>
      <c r="Q46" s="60">
        <v>12.84</v>
      </c>
      <c r="S46" s="198"/>
      <c r="T46" s="198"/>
      <c r="U46" s="198"/>
    </row>
    <row r="47" spans="1:21" s="12" customFormat="1" x14ac:dyDescent="0.25">
      <c r="A47" s="201" t="s">
        <v>2402</v>
      </c>
      <c r="B47" s="60">
        <v>3.46</v>
      </c>
      <c r="C47" s="60">
        <v>35.47</v>
      </c>
      <c r="D47" s="60">
        <v>23</v>
      </c>
      <c r="E47" s="60">
        <v>0.79</v>
      </c>
      <c r="F47" s="60">
        <v>3.76</v>
      </c>
      <c r="G47" s="211" t="s">
        <v>43</v>
      </c>
      <c r="H47" s="211" t="s">
        <v>43</v>
      </c>
      <c r="I47" s="60">
        <v>0.5</v>
      </c>
      <c r="J47" s="60">
        <v>0.28000000000000003</v>
      </c>
      <c r="K47" s="60">
        <v>321.31</v>
      </c>
      <c r="L47" s="60">
        <v>24.21</v>
      </c>
      <c r="M47" s="60">
        <v>67.84</v>
      </c>
      <c r="N47" s="60">
        <v>604.4</v>
      </c>
      <c r="O47" s="60">
        <v>0</v>
      </c>
      <c r="P47" s="60">
        <v>0.54</v>
      </c>
      <c r="Q47" s="60">
        <v>13</v>
      </c>
      <c r="S47" s="198"/>
      <c r="T47" s="198"/>
      <c r="U47" s="198"/>
    </row>
    <row r="48" spans="1:21" s="12" customFormat="1" x14ac:dyDescent="0.25">
      <c r="A48" s="201" t="s">
        <v>2403</v>
      </c>
      <c r="B48" s="60">
        <v>3.61</v>
      </c>
      <c r="C48" s="60">
        <v>34.04</v>
      </c>
      <c r="D48" s="60">
        <v>22.32</v>
      </c>
      <c r="E48" s="60">
        <v>0.5</v>
      </c>
      <c r="F48" s="60">
        <v>5.42</v>
      </c>
      <c r="G48" s="211" t="s">
        <v>43</v>
      </c>
      <c r="H48" s="211" t="s">
        <v>43</v>
      </c>
      <c r="I48" s="60">
        <v>0.49</v>
      </c>
      <c r="J48" s="60">
        <v>0.19</v>
      </c>
      <c r="K48" s="60">
        <v>251.9</v>
      </c>
      <c r="L48" s="60">
        <v>24.72</v>
      </c>
      <c r="M48" s="60">
        <v>63.98</v>
      </c>
      <c r="N48" s="60">
        <v>707.8</v>
      </c>
      <c r="O48" s="60">
        <v>0</v>
      </c>
      <c r="P48" s="60">
        <v>0.54</v>
      </c>
      <c r="Q48" s="60">
        <v>11.84</v>
      </c>
      <c r="S48" s="198"/>
      <c r="T48" s="198"/>
      <c r="U48" s="198"/>
    </row>
    <row r="49" spans="1:21" s="12" customFormat="1" x14ac:dyDescent="0.25">
      <c r="A49" s="201" t="s">
        <v>2404</v>
      </c>
      <c r="B49" s="60">
        <v>3.57</v>
      </c>
      <c r="C49" s="60">
        <v>27.06</v>
      </c>
      <c r="D49" s="60">
        <v>18.440000000000001</v>
      </c>
      <c r="E49" s="60">
        <v>0.8</v>
      </c>
      <c r="F49" s="60">
        <v>4.54</v>
      </c>
      <c r="G49" s="211" t="s">
        <v>43</v>
      </c>
      <c r="H49" s="211" t="s">
        <v>43</v>
      </c>
      <c r="I49" s="60">
        <v>0.49</v>
      </c>
      <c r="J49" s="60">
        <v>0.69</v>
      </c>
      <c r="K49" s="60">
        <v>180.93</v>
      </c>
      <c r="L49" s="60">
        <v>23.85</v>
      </c>
      <c r="M49" s="60">
        <v>65.91</v>
      </c>
      <c r="N49" s="60">
        <v>421</v>
      </c>
      <c r="O49" s="60">
        <v>0</v>
      </c>
      <c r="P49" s="60">
        <v>0.53</v>
      </c>
      <c r="Q49" s="60">
        <v>5.94</v>
      </c>
      <c r="S49" s="198"/>
      <c r="T49" s="198"/>
      <c r="U49" s="198"/>
    </row>
    <row r="50" spans="1:21" s="12" customFormat="1" x14ac:dyDescent="0.25">
      <c r="A50" s="201" t="s">
        <v>2405</v>
      </c>
      <c r="B50" s="60">
        <v>3.66</v>
      </c>
      <c r="C50" s="60">
        <v>29.33</v>
      </c>
      <c r="D50" s="60">
        <v>19.77</v>
      </c>
      <c r="E50" s="60">
        <v>0.64</v>
      </c>
      <c r="F50" s="60">
        <v>4.51</v>
      </c>
      <c r="G50" s="211" t="s">
        <v>43</v>
      </c>
      <c r="H50" s="211" t="s">
        <v>43</v>
      </c>
      <c r="I50" s="60">
        <v>0.49</v>
      </c>
      <c r="J50" s="60">
        <v>0.53</v>
      </c>
      <c r="K50" s="60">
        <v>160.88999999999999</v>
      </c>
      <c r="L50" s="60">
        <v>22.92</v>
      </c>
      <c r="M50" s="60">
        <v>68.16</v>
      </c>
      <c r="N50" s="60">
        <v>287.60000000000002</v>
      </c>
      <c r="O50" s="60">
        <v>0</v>
      </c>
      <c r="P50" s="60">
        <v>0.53</v>
      </c>
      <c r="Q50" s="60">
        <v>8.61</v>
      </c>
      <c r="S50" s="198"/>
      <c r="T50" s="198"/>
      <c r="U50" s="198"/>
    </row>
    <row r="51" spans="1:21" s="12" customFormat="1" x14ac:dyDescent="0.25">
      <c r="A51" s="201" t="s">
        <v>2406</v>
      </c>
      <c r="B51" s="60">
        <v>3.62</v>
      </c>
      <c r="C51" s="60">
        <v>30.68</v>
      </c>
      <c r="D51" s="60">
        <v>20.48</v>
      </c>
      <c r="E51" s="60">
        <v>0.38</v>
      </c>
      <c r="F51" s="60">
        <v>6.4</v>
      </c>
      <c r="G51" s="60">
        <v>19.940000000000001</v>
      </c>
      <c r="H51" s="60">
        <v>13.15</v>
      </c>
      <c r="I51" s="60">
        <v>0.5</v>
      </c>
      <c r="J51" s="60">
        <v>0.9</v>
      </c>
      <c r="K51" s="60">
        <v>132.58000000000001</v>
      </c>
      <c r="L51" s="60">
        <v>24.01</v>
      </c>
      <c r="M51" s="60">
        <v>61.75</v>
      </c>
      <c r="N51" s="60">
        <v>915</v>
      </c>
      <c r="O51" s="60">
        <v>0</v>
      </c>
      <c r="P51" s="60">
        <v>0.52</v>
      </c>
      <c r="Q51" s="60">
        <v>10.34</v>
      </c>
      <c r="S51" s="198"/>
      <c r="T51" s="198"/>
      <c r="U51" s="198"/>
    </row>
    <row r="52" spans="1:21" s="12" customFormat="1" x14ac:dyDescent="0.25">
      <c r="A52" s="201" t="s">
        <v>2407</v>
      </c>
      <c r="B52" s="60">
        <v>3.57</v>
      </c>
      <c r="C52" s="60">
        <v>30.76</v>
      </c>
      <c r="D52" s="60">
        <v>20.48</v>
      </c>
      <c r="E52" s="60">
        <v>0.79</v>
      </c>
      <c r="F52" s="60">
        <v>5.38</v>
      </c>
      <c r="G52" s="60">
        <v>26.68</v>
      </c>
      <c r="H52" s="60">
        <v>13.17</v>
      </c>
      <c r="I52" s="60">
        <v>0.52</v>
      </c>
      <c r="J52" s="60">
        <v>1.34</v>
      </c>
      <c r="K52" s="60">
        <v>176.86</v>
      </c>
      <c r="L52" s="60">
        <v>25.13</v>
      </c>
      <c r="M52" s="60">
        <v>52.36</v>
      </c>
      <c r="N52" s="60">
        <v>956.7</v>
      </c>
      <c r="O52" s="60">
        <v>0</v>
      </c>
      <c r="P52" s="60">
        <v>0.52</v>
      </c>
      <c r="Q52" s="60">
        <v>11.52</v>
      </c>
      <c r="S52" s="198"/>
      <c r="T52" s="198"/>
      <c r="U52" s="198"/>
    </row>
    <row r="53" spans="1:21" s="12" customFormat="1" x14ac:dyDescent="0.25">
      <c r="A53" s="201" t="s">
        <v>2408</v>
      </c>
      <c r="B53" s="60">
        <v>3.47</v>
      </c>
      <c r="C53" s="60">
        <v>33.799999999999997</v>
      </c>
      <c r="D53" s="60">
        <v>22.08</v>
      </c>
      <c r="E53" s="60">
        <v>1.1100000000000001</v>
      </c>
      <c r="F53" s="60">
        <v>4.67</v>
      </c>
      <c r="G53" s="60">
        <v>26.68</v>
      </c>
      <c r="H53" s="60">
        <v>13.17</v>
      </c>
      <c r="I53" s="60">
        <v>0.52</v>
      </c>
      <c r="J53" s="60">
        <v>1.1499999999999999</v>
      </c>
      <c r="K53" s="60">
        <v>181.17</v>
      </c>
      <c r="L53" s="60">
        <v>26.28</v>
      </c>
      <c r="M53" s="60">
        <v>49.29</v>
      </c>
      <c r="N53" s="60">
        <v>1012.3</v>
      </c>
      <c r="O53" s="60">
        <v>0</v>
      </c>
      <c r="P53" s="60">
        <v>0.5</v>
      </c>
      <c r="Q53" s="60">
        <v>13.51</v>
      </c>
      <c r="S53" s="198"/>
      <c r="T53" s="198"/>
      <c r="U53" s="198"/>
    </row>
    <row r="54" spans="1:21" s="12" customFormat="1" x14ac:dyDescent="0.25">
      <c r="A54" s="201" t="s">
        <v>2409</v>
      </c>
      <c r="B54" s="60">
        <v>3.05</v>
      </c>
      <c r="C54" s="60">
        <v>33.44</v>
      </c>
      <c r="D54" s="60">
        <v>21.55</v>
      </c>
      <c r="E54" s="60">
        <v>1.06</v>
      </c>
      <c r="F54" s="60">
        <v>6.13</v>
      </c>
      <c r="G54" s="60">
        <v>26.68</v>
      </c>
      <c r="H54" s="60">
        <v>13.17</v>
      </c>
      <c r="I54" s="60">
        <v>0.51</v>
      </c>
      <c r="J54" s="60">
        <v>0.68</v>
      </c>
      <c r="K54" s="60">
        <v>191.85</v>
      </c>
      <c r="L54" s="60">
        <v>26.99</v>
      </c>
      <c r="M54" s="60">
        <v>46.76</v>
      </c>
      <c r="N54" s="60">
        <v>1002.5</v>
      </c>
      <c r="O54" s="60">
        <v>0</v>
      </c>
      <c r="P54" s="60">
        <v>0.49</v>
      </c>
      <c r="Q54" s="60">
        <v>13.47</v>
      </c>
      <c r="S54" s="198"/>
      <c r="T54" s="198"/>
      <c r="U54" s="198"/>
    </row>
    <row r="55" spans="1:21" s="12" customFormat="1" x14ac:dyDescent="0.25">
      <c r="A55" s="201" t="s">
        <v>2410</v>
      </c>
      <c r="B55" s="60">
        <v>2.62</v>
      </c>
      <c r="C55" s="60">
        <v>32.74</v>
      </c>
      <c r="D55" s="60">
        <v>20.82</v>
      </c>
      <c r="E55" s="60">
        <v>0.66</v>
      </c>
      <c r="F55" s="60">
        <v>6.78</v>
      </c>
      <c r="G55" s="60">
        <v>16.91</v>
      </c>
      <c r="H55" s="60">
        <v>13.64</v>
      </c>
      <c r="I55" s="60">
        <v>0.52</v>
      </c>
      <c r="J55" s="60">
        <v>1.56</v>
      </c>
      <c r="K55" s="60">
        <v>198.27</v>
      </c>
      <c r="L55" s="60">
        <v>27.01</v>
      </c>
      <c r="M55" s="60">
        <v>49.91</v>
      </c>
      <c r="N55" s="60">
        <v>995.2</v>
      </c>
      <c r="O55" s="60">
        <v>0</v>
      </c>
      <c r="P55" s="60">
        <v>0.47</v>
      </c>
      <c r="Q55" s="60">
        <v>13.48</v>
      </c>
      <c r="S55" s="198"/>
      <c r="T55" s="198"/>
      <c r="U55" s="198"/>
    </row>
    <row r="56" spans="1:21" s="12" customFormat="1" x14ac:dyDescent="0.25">
      <c r="A56" s="201" t="s">
        <v>2411</v>
      </c>
      <c r="B56" s="60">
        <v>2.2599999999999998</v>
      </c>
      <c r="C56" s="60">
        <v>32.96</v>
      </c>
      <c r="D56" s="60">
        <v>20.65</v>
      </c>
      <c r="E56" s="60">
        <v>1.53</v>
      </c>
      <c r="F56" s="60">
        <v>7.45</v>
      </c>
      <c r="G56" s="215" t="s">
        <v>42</v>
      </c>
      <c r="H56" s="215" t="s">
        <v>42</v>
      </c>
      <c r="I56" s="60">
        <v>0.51</v>
      </c>
      <c r="J56" s="60">
        <v>1.1000000000000001</v>
      </c>
      <c r="K56" s="60">
        <v>188.42</v>
      </c>
      <c r="L56" s="60">
        <v>27.17</v>
      </c>
      <c r="M56" s="60">
        <v>45.45</v>
      </c>
      <c r="N56" s="60">
        <v>1010.8</v>
      </c>
      <c r="O56" s="60">
        <v>0</v>
      </c>
      <c r="P56" s="60">
        <v>0.46</v>
      </c>
      <c r="Q56" s="60">
        <v>12.89</v>
      </c>
      <c r="S56" s="198"/>
      <c r="T56" s="198"/>
      <c r="U56" s="198"/>
    </row>
    <row r="57" spans="1:21" s="12" customFormat="1" x14ac:dyDescent="0.25">
      <c r="A57" s="201" t="s">
        <v>2412</v>
      </c>
      <c r="B57" s="60">
        <v>2.0699999999999998</v>
      </c>
      <c r="C57" s="60">
        <v>31.01</v>
      </c>
      <c r="D57" s="60">
        <v>19.420000000000002</v>
      </c>
      <c r="E57" s="60">
        <v>2.2400000000000002</v>
      </c>
      <c r="F57" s="60">
        <v>7.39</v>
      </c>
      <c r="G57" s="215" t="s">
        <v>42</v>
      </c>
      <c r="H57" s="215" t="s">
        <v>42</v>
      </c>
      <c r="I57" s="60">
        <v>0.51</v>
      </c>
      <c r="J57" s="60">
        <v>1</v>
      </c>
      <c r="K57" s="60">
        <v>184.56</v>
      </c>
      <c r="L57" s="60">
        <v>27.63</v>
      </c>
      <c r="M57" s="60">
        <v>45.86</v>
      </c>
      <c r="N57" s="60">
        <v>996.2</v>
      </c>
      <c r="O57" s="60">
        <v>0</v>
      </c>
      <c r="P57" s="60">
        <v>0.44</v>
      </c>
      <c r="Q57" s="60">
        <v>11.41</v>
      </c>
      <c r="S57" s="198"/>
      <c r="T57" s="198"/>
      <c r="U57" s="198"/>
    </row>
    <row r="58" spans="1:21" s="12" customFormat="1" x14ac:dyDescent="0.25">
      <c r="A58" s="201" t="s">
        <v>2413</v>
      </c>
      <c r="B58" s="60">
        <v>1.98</v>
      </c>
      <c r="C58" s="60">
        <v>30.29</v>
      </c>
      <c r="D58" s="60">
        <v>18.95</v>
      </c>
      <c r="E58" s="60">
        <v>1.79</v>
      </c>
      <c r="F58" s="60">
        <v>6.8</v>
      </c>
      <c r="G58" s="215" t="s">
        <v>42</v>
      </c>
      <c r="H58" s="215" t="s">
        <v>42</v>
      </c>
      <c r="I58" s="60">
        <v>0.51</v>
      </c>
      <c r="J58" s="60">
        <v>1.27</v>
      </c>
      <c r="K58" s="60">
        <v>185.64</v>
      </c>
      <c r="L58" s="60">
        <v>28.07</v>
      </c>
      <c r="M58" s="60">
        <v>41.92</v>
      </c>
      <c r="N58" s="60">
        <v>991.3</v>
      </c>
      <c r="O58" s="60">
        <v>0</v>
      </c>
      <c r="P58" s="60">
        <v>0.44</v>
      </c>
      <c r="Q58" s="60">
        <v>11.1</v>
      </c>
      <c r="S58" s="198"/>
      <c r="T58" s="198"/>
      <c r="U58" s="198"/>
    </row>
    <row r="59" spans="1:21" s="12" customFormat="1" x14ac:dyDescent="0.25">
      <c r="A59" s="201" t="s">
        <v>2414</v>
      </c>
      <c r="B59" s="60">
        <v>2</v>
      </c>
      <c r="C59" s="60">
        <v>31.45</v>
      </c>
      <c r="D59" s="60">
        <v>19.600000000000001</v>
      </c>
      <c r="E59" s="60">
        <v>1.86</v>
      </c>
      <c r="F59" s="60">
        <v>6.97</v>
      </c>
      <c r="G59" s="215" t="s">
        <v>42</v>
      </c>
      <c r="H59" s="215" t="s">
        <v>42</v>
      </c>
      <c r="I59" s="60">
        <v>0.51</v>
      </c>
      <c r="J59" s="60">
        <v>0.56000000000000005</v>
      </c>
      <c r="K59" s="60">
        <v>189.57</v>
      </c>
      <c r="L59" s="60">
        <v>28.87</v>
      </c>
      <c r="M59" s="60">
        <v>38.630000000000003</v>
      </c>
      <c r="N59" s="60">
        <v>976.1</v>
      </c>
      <c r="O59" s="60">
        <v>0</v>
      </c>
      <c r="P59" s="60">
        <v>0.43</v>
      </c>
      <c r="Q59" s="60">
        <v>11.52</v>
      </c>
      <c r="S59" s="198"/>
      <c r="T59" s="198"/>
      <c r="U59" s="198"/>
    </row>
    <row r="60" spans="1:21" s="12" customFormat="1" x14ac:dyDescent="0.25">
      <c r="A60" s="201" t="s">
        <v>2415</v>
      </c>
      <c r="B60" s="60">
        <v>2.02</v>
      </c>
      <c r="C60" s="60">
        <v>30.95</v>
      </c>
      <c r="D60" s="60">
        <v>19.350000000000001</v>
      </c>
      <c r="E60" s="60">
        <v>1.96</v>
      </c>
      <c r="F60" s="60">
        <v>7.63</v>
      </c>
      <c r="G60" s="215" t="s">
        <v>42</v>
      </c>
      <c r="H60" s="215" t="s">
        <v>42</v>
      </c>
      <c r="I60" s="60">
        <v>0.51</v>
      </c>
      <c r="J60" s="60">
        <v>0.53</v>
      </c>
      <c r="K60" s="60">
        <v>228.78</v>
      </c>
      <c r="L60" s="60">
        <v>29.53</v>
      </c>
      <c r="M60" s="60">
        <v>37.43</v>
      </c>
      <c r="N60" s="60">
        <v>951.2</v>
      </c>
      <c r="O60" s="60">
        <v>0</v>
      </c>
      <c r="P60" s="60">
        <v>0.42</v>
      </c>
      <c r="Q60" s="60">
        <v>9.11</v>
      </c>
      <c r="S60" s="198"/>
      <c r="T60" s="198"/>
      <c r="U60" s="198"/>
    </row>
    <row r="61" spans="1:21" s="12" customFormat="1" x14ac:dyDescent="0.25">
      <c r="A61" s="201" t="s">
        <v>2416</v>
      </c>
      <c r="B61" s="60">
        <v>2.06</v>
      </c>
      <c r="C61" s="60">
        <v>24.39</v>
      </c>
      <c r="D61" s="60">
        <v>15.76</v>
      </c>
      <c r="E61" s="60">
        <v>1.65</v>
      </c>
      <c r="F61" s="60">
        <v>9.2799999999999994</v>
      </c>
      <c r="G61" s="215" t="s">
        <v>42</v>
      </c>
      <c r="H61" s="215" t="s">
        <v>42</v>
      </c>
      <c r="I61" s="60">
        <v>0.49</v>
      </c>
      <c r="J61" s="60">
        <v>0.75</v>
      </c>
      <c r="K61" s="60">
        <v>179.33</v>
      </c>
      <c r="L61" s="60">
        <v>29.46</v>
      </c>
      <c r="M61" s="60">
        <v>37.96</v>
      </c>
      <c r="N61" s="60">
        <v>921.7</v>
      </c>
      <c r="O61" s="60">
        <v>0</v>
      </c>
      <c r="P61" s="60">
        <v>0.37</v>
      </c>
      <c r="Q61" s="60">
        <v>4.0999999999999996</v>
      </c>
      <c r="S61" s="198"/>
      <c r="T61" s="198"/>
      <c r="U61" s="198"/>
    </row>
    <row r="62" spans="1:21" s="12" customFormat="1" x14ac:dyDescent="0.25">
      <c r="A62" s="201" t="s">
        <v>2417</v>
      </c>
      <c r="B62" s="60">
        <v>2.1800000000000002</v>
      </c>
      <c r="C62" s="60">
        <v>30.47</v>
      </c>
      <c r="D62" s="60">
        <v>19.21</v>
      </c>
      <c r="E62" s="60">
        <v>1.97</v>
      </c>
      <c r="F62" s="60">
        <v>9.92</v>
      </c>
      <c r="G62" s="215" t="s">
        <v>42</v>
      </c>
      <c r="H62" s="215" t="s">
        <v>42</v>
      </c>
      <c r="I62" s="60">
        <v>0.51</v>
      </c>
      <c r="J62" s="60">
        <v>0.61</v>
      </c>
      <c r="K62" s="60">
        <v>217.58</v>
      </c>
      <c r="L62" s="60">
        <v>29.91</v>
      </c>
      <c r="M62" s="60">
        <v>34.18</v>
      </c>
      <c r="N62" s="60">
        <v>898</v>
      </c>
      <c r="O62" s="60">
        <v>0</v>
      </c>
      <c r="P62" s="60">
        <v>0.4</v>
      </c>
      <c r="Q62" s="60">
        <v>6.32</v>
      </c>
      <c r="S62" s="198"/>
      <c r="T62" s="198"/>
      <c r="U62" s="198"/>
    </row>
    <row r="63" spans="1:21" s="12" customFormat="1" x14ac:dyDescent="0.25">
      <c r="A63" s="201" t="s">
        <v>2418</v>
      </c>
      <c r="B63" s="60">
        <v>2.23</v>
      </c>
      <c r="C63" s="60">
        <v>29.52</v>
      </c>
      <c r="D63" s="60">
        <v>18.73</v>
      </c>
      <c r="E63" s="60">
        <v>2.06</v>
      </c>
      <c r="F63" s="60">
        <v>11.46</v>
      </c>
      <c r="G63" s="215" t="s">
        <v>42</v>
      </c>
      <c r="H63" s="215" t="s">
        <v>42</v>
      </c>
      <c r="I63" s="60">
        <v>0.51</v>
      </c>
      <c r="J63" s="60">
        <v>0.92</v>
      </c>
      <c r="K63" s="60">
        <v>206.12</v>
      </c>
      <c r="L63" s="60">
        <v>30.18</v>
      </c>
      <c r="M63" s="60">
        <v>33.08</v>
      </c>
      <c r="N63" s="60">
        <v>862.2</v>
      </c>
      <c r="O63" s="60">
        <v>0</v>
      </c>
      <c r="P63" s="60">
        <v>0.39</v>
      </c>
      <c r="Q63" s="60">
        <v>6.07</v>
      </c>
      <c r="S63" s="198"/>
      <c r="T63" s="198"/>
      <c r="U63" s="198"/>
    </row>
    <row r="64" spans="1:21" s="12" customFormat="1" x14ac:dyDescent="0.25">
      <c r="A64" s="201" t="s">
        <v>2419</v>
      </c>
      <c r="B64" s="60">
        <v>2.29</v>
      </c>
      <c r="C64" s="60">
        <v>32.72</v>
      </c>
      <c r="D64" s="60">
        <v>20.54</v>
      </c>
      <c r="E64" s="60">
        <v>2.09</v>
      </c>
      <c r="F64" s="60">
        <v>11.39</v>
      </c>
      <c r="G64" s="215" t="s">
        <v>42</v>
      </c>
      <c r="H64" s="215" t="s">
        <v>42</v>
      </c>
      <c r="I64" s="60">
        <v>0.52</v>
      </c>
      <c r="J64" s="60">
        <v>0.73</v>
      </c>
      <c r="K64" s="60">
        <v>191.6</v>
      </c>
      <c r="L64" s="60">
        <v>30.79</v>
      </c>
      <c r="M64" s="60">
        <v>30.1</v>
      </c>
      <c r="N64" s="60">
        <v>825.4</v>
      </c>
      <c r="O64" s="60">
        <v>0</v>
      </c>
      <c r="P64" s="60">
        <v>0.38</v>
      </c>
      <c r="Q64" s="60">
        <v>7.51</v>
      </c>
      <c r="S64" s="198"/>
      <c r="T64" s="198"/>
      <c r="U64" s="198"/>
    </row>
    <row r="65" spans="1:21" s="12" customFormat="1" x14ac:dyDescent="0.25">
      <c r="A65" s="201" t="s">
        <v>2420</v>
      </c>
      <c r="B65" s="60">
        <v>2.7</v>
      </c>
      <c r="C65" s="60">
        <v>30.95</v>
      </c>
      <c r="D65" s="60">
        <v>19.89</v>
      </c>
      <c r="E65" s="60">
        <v>1.98</v>
      </c>
      <c r="F65" s="60">
        <v>9.4600000000000009</v>
      </c>
      <c r="G65" s="215" t="s">
        <v>42</v>
      </c>
      <c r="H65" s="215" t="s">
        <v>42</v>
      </c>
      <c r="I65" s="60">
        <v>0.52</v>
      </c>
      <c r="J65" s="60">
        <v>0.62</v>
      </c>
      <c r="K65" s="60">
        <v>196.07</v>
      </c>
      <c r="L65" s="60">
        <v>30.85</v>
      </c>
      <c r="M65" s="60">
        <v>29.56</v>
      </c>
      <c r="N65" s="60">
        <v>778.5</v>
      </c>
      <c r="O65" s="60">
        <v>0</v>
      </c>
      <c r="P65" s="60">
        <v>0.39</v>
      </c>
      <c r="Q65" s="60">
        <v>9.51</v>
      </c>
      <c r="S65" s="198"/>
      <c r="T65" s="198"/>
      <c r="U65" s="198"/>
    </row>
    <row r="66" spans="1:21" s="12" customFormat="1" x14ac:dyDescent="0.25">
      <c r="A66" s="201" t="s">
        <v>2421</v>
      </c>
      <c r="B66" s="60">
        <v>2.83</v>
      </c>
      <c r="C66" s="60">
        <v>33.700000000000003</v>
      </c>
      <c r="D66" s="60">
        <v>21.52</v>
      </c>
      <c r="E66" s="60">
        <v>2.23</v>
      </c>
      <c r="F66" s="60">
        <v>9.6199999999999992</v>
      </c>
      <c r="G66" s="215" t="s">
        <v>42</v>
      </c>
      <c r="H66" s="215" t="s">
        <v>42</v>
      </c>
      <c r="I66" s="60">
        <v>0.53</v>
      </c>
      <c r="J66" s="60">
        <v>0.05</v>
      </c>
      <c r="K66" s="60">
        <v>23.54</v>
      </c>
      <c r="L66" s="60">
        <v>31.4</v>
      </c>
      <c r="M66" s="60">
        <v>27.05</v>
      </c>
      <c r="N66" s="60">
        <v>734.9</v>
      </c>
      <c r="O66" s="60">
        <v>0</v>
      </c>
      <c r="P66" s="60">
        <v>0.38</v>
      </c>
      <c r="Q66" s="60">
        <v>10.6</v>
      </c>
      <c r="S66" s="198"/>
      <c r="T66" s="198"/>
      <c r="U66" s="198"/>
    </row>
    <row r="67" spans="1:21" s="12" customFormat="1" x14ac:dyDescent="0.25">
      <c r="A67" s="201" t="s">
        <v>2422</v>
      </c>
      <c r="B67" s="60">
        <v>2.4900000000000002</v>
      </c>
      <c r="C67" s="60">
        <v>33.200000000000003</v>
      </c>
      <c r="D67" s="60">
        <v>20.97</v>
      </c>
      <c r="E67" s="60">
        <v>1.68</v>
      </c>
      <c r="F67" s="60">
        <v>8.25</v>
      </c>
      <c r="G67" s="215" t="s">
        <v>42</v>
      </c>
      <c r="H67" s="215" t="s">
        <v>42</v>
      </c>
      <c r="I67" s="60">
        <v>0.54</v>
      </c>
      <c r="J67" s="60">
        <v>0.48</v>
      </c>
      <c r="K67" s="60">
        <v>171.42</v>
      </c>
      <c r="L67" s="60">
        <v>31.39</v>
      </c>
      <c r="M67" s="60">
        <v>24.69</v>
      </c>
      <c r="N67" s="60">
        <v>688.7</v>
      </c>
      <c r="O67" s="60">
        <v>0</v>
      </c>
      <c r="P67" s="60">
        <v>0.38</v>
      </c>
      <c r="Q67" s="60">
        <v>10.54</v>
      </c>
      <c r="S67" s="198"/>
      <c r="T67" s="198"/>
      <c r="U67" s="198"/>
    </row>
    <row r="68" spans="1:21" s="12" customFormat="1" x14ac:dyDescent="0.25">
      <c r="A68" s="201" t="s">
        <v>2423</v>
      </c>
      <c r="B68" s="60">
        <v>2.36</v>
      </c>
      <c r="C68" s="60">
        <v>32.869999999999997</v>
      </c>
      <c r="D68" s="60">
        <v>20.68</v>
      </c>
      <c r="E68" s="60">
        <v>2.0499999999999998</v>
      </c>
      <c r="F68" s="60">
        <v>8.7799999999999994</v>
      </c>
      <c r="G68" s="215" t="s">
        <v>42</v>
      </c>
      <c r="H68" s="215" t="s">
        <v>42</v>
      </c>
      <c r="I68" s="60">
        <v>0.54</v>
      </c>
      <c r="J68" s="60">
        <v>0.44</v>
      </c>
      <c r="K68" s="60">
        <v>232.3</v>
      </c>
      <c r="L68" s="60">
        <v>31.11</v>
      </c>
      <c r="M68" s="60">
        <v>25.68</v>
      </c>
      <c r="N68" s="60">
        <v>562.79999999999995</v>
      </c>
      <c r="O68" s="60">
        <v>0</v>
      </c>
      <c r="P68" s="60">
        <v>0.38</v>
      </c>
      <c r="Q68" s="60">
        <v>10.8</v>
      </c>
      <c r="S68" s="198"/>
      <c r="T68" s="198"/>
      <c r="U68" s="198"/>
    </row>
    <row r="69" spans="1:21" s="12" customFormat="1" x14ac:dyDescent="0.25">
      <c r="A69" s="201" t="s">
        <v>2424</v>
      </c>
      <c r="B69" s="60">
        <v>2.4500000000000002</v>
      </c>
      <c r="C69" s="60">
        <v>32.93</v>
      </c>
      <c r="D69" s="60">
        <v>20.78</v>
      </c>
      <c r="E69" s="60">
        <v>1.85</v>
      </c>
      <c r="F69" s="60">
        <v>10.7</v>
      </c>
      <c r="G69" s="215" t="s">
        <v>42</v>
      </c>
      <c r="H69" s="215" t="s">
        <v>42</v>
      </c>
      <c r="I69" s="60">
        <v>0.53</v>
      </c>
      <c r="J69" s="60">
        <v>0.44</v>
      </c>
      <c r="K69" s="60">
        <v>200.81</v>
      </c>
      <c r="L69" s="60">
        <v>30.74</v>
      </c>
      <c r="M69" s="60">
        <v>26.8</v>
      </c>
      <c r="N69" s="60">
        <v>578.6</v>
      </c>
      <c r="O69" s="60">
        <v>0</v>
      </c>
      <c r="P69" s="60">
        <v>0.38</v>
      </c>
      <c r="Q69" s="60">
        <v>10.4</v>
      </c>
      <c r="S69" s="198"/>
      <c r="T69" s="198"/>
      <c r="U69" s="198"/>
    </row>
    <row r="70" spans="1:21" s="12" customFormat="1" x14ac:dyDescent="0.25">
      <c r="A70" s="201" t="s">
        <v>2425</v>
      </c>
      <c r="B70" s="60">
        <v>4.7</v>
      </c>
      <c r="C70" s="60">
        <v>38.770000000000003</v>
      </c>
      <c r="D70" s="60">
        <v>25.81</v>
      </c>
      <c r="E70" s="60">
        <v>2.0499999999999998</v>
      </c>
      <c r="F70" s="60">
        <v>9.89</v>
      </c>
      <c r="G70" s="215" t="s">
        <v>42</v>
      </c>
      <c r="H70" s="215" t="s">
        <v>42</v>
      </c>
      <c r="I70" s="60">
        <v>0.53</v>
      </c>
      <c r="J70" s="60">
        <v>0.22</v>
      </c>
      <c r="K70" s="60">
        <v>286.44</v>
      </c>
      <c r="L70" s="60">
        <v>31.09</v>
      </c>
      <c r="M70" s="60">
        <v>26.3</v>
      </c>
      <c r="N70" s="60">
        <v>158.80000000000001</v>
      </c>
      <c r="O70" s="60">
        <v>0</v>
      </c>
      <c r="P70" s="60">
        <v>0.4</v>
      </c>
      <c r="Q70" s="60">
        <v>10.76</v>
      </c>
      <c r="S70" s="198"/>
      <c r="T70" s="198"/>
      <c r="U70" s="198"/>
    </row>
    <row r="71" spans="1:21" s="12" customFormat="1" x14ac:dyDescent="0.25">
      <c r="A71" s="201" t="s">
        <v>2426</v>
      </c>
      <c r="B71" s="60">
        <v>3.05</v>
      </c>
      <c r="C71" s="60">
        <v>36.74</v>
      </c>
      <c r="D71" s="60">
        <v>23.37</v>
      </c>
      <c r="E71" s="60">
        <v>1.97</v>
      </c>
      <c r="F71" s="60">
        <v>8.4600000000000009</v>
      </c>
      <c r="G71" s="60">
        <v>15.89</v>
      </c>
      <c r="H71" s="60">
        <v>10.02</v>
      </c>
      <c r="I71" s="60">
        <v>0.52</v>
      </c>
      <c r="J71" s="60">
        <v>0.7</v>
      </c>
      <c r="K71" s="60">
        <v>180.48</v>
      </c>
      <c r="L71" s="60">
        <v>30.64</v>
      </c>
      <c r="M71" s="60">
        <v>26.72</v>
      </c>
      <c r="N71" s="60">
        <v>144.69999999999999</v>
      </c>
      <c r="O71" s="60">
        <v>0</v>
      </c>
      <c r="P71" s="60">
        <v>0.38</v>
      </c>
      <c r="Q71" s="60">
        <v>10.71</v>
      </c>
      <c r="S71" s="198"/>
      <c r="T71" s="198"/>
      <c r="U71" s="198"/>
    </row>
    <row r="72" spans="1:21" s="12" customFormat="1" x14ac:dyDescent="0.25">
      <c r="A72" s="201" t="s">
        <v>2427</v>
      </c>
      <c r="B72" s="60">
        <v>2.61</v>
      </c>
      <c r="C72" s="60">
        <v>38.58</v>
      </c>
      <c r="D72" s="60">
        <v>24.03</v>
      </c>
      <c r="E72" s="60">
        <v>0.64</v>
      </c>
      <c r="F72" s="60">
        <v>17.7</v>
      </c>
      <c r="G72" s="60">
        <v>18.64</v>
      </c>
      <c r="H72" s="60">
        <v>10</v>
      </c>
      <c r="I72" s="60">
        <v>0.52</v>
      </c>
      <c r="J72" s="60">
        <v>0.7</v>
      </c>
      <c r="K72" s="60">
        <v>171.08</v>
      </c>
      <c r="L72" s="60">
        <v>30.2</v>
      </c>
      <c r="M72" s="60">
        <v>27.06</v>
      </c>
      <c r="N72" s="60">
        <v>97.9</v>
      </c>
      <c r="O72" s="60">
        <v>0</v>
      </c>
      <c r="P72" s="60">
        <v>0.35</v>
      </c>
      <c r="Q72" s="60">
        <v>12.82</v>
      </c>
      <c r="S72" s="198"/>
      <c r="T72" s="198"/>
      <c r="U72" s="198"/>
    </row>
    <row r="73" spans="1:21" s="12" customFormat="1" x14ac:dyDescent="0.25">
      <c r="A73" s="201" t="s">
        <v>2428</v>
      </c>
      <c r="B73" s="60">
        <v>2.37</v>
      </c>
      <c r="C73" s="60">
        <v>23.63</v>
      </c>
      <c r="D73" s="60">
        <v>15.58</v>
      </c>
      <c r="E73" s="60">
        <v>1.43</v>
      </c>
      <c r="F73" s="60">
        <v>26.13</v>
      </c>
      <c r="G73" s="60">
        <v>18.64</v>
      </c>
      <c r="H73" s="60">
        <v>10</v>
      </c>
      <c r="I73" s="60">
        <v>0.52</v>
      </c>
      <c r="J73" s="60">
        <v>0.94</v>
      </c>
      <c r="K73" s="60">
        <v>166.42</v>
      </c>
      <c r="L73" s="60">
        <v>29.87</v>
      </c>
      <c r="M73" s="60">
        <v>27.46</v>
      </c>
      <c r="N73" s="60">
        <v>88.4</v>
      </c>
      <c r="O73" s="60">
        <v>0</v>
      </c>
      <c r="P73" s="60">
        <v>0.33</v>
      </c>
      <c r="Q73" s="60">
        <v>6.24</v>
      </c>
      <c r="S73" s="198"/>
      <c r="T73" s="198"/>
      <c r="U73" s="198"/>
    </row>
    <row r="74" spans="1:21" s="12" customFormat="1" x14ac:dyDescent="0.25">
      <c r="A74" s="201" t="s">
        <v>2429</v>
      </c>
      <c r="B74" s="60">
        <v>2.67</v>
      </c>
      <c r="C74" s="60">
        <v>40.99</v>
      </c>
      <c r="D74" s="60">
        <v>25.4</v>
      </c>
      <c r="E74" s="60">
        <v>0.86</v>
      </c>
      <c r="F74" s="60">
        <v>12.85</v>
      </c>
      <c r="G74" s="60">
        <v>18.64</v>
      </c>
      <c r="H74" s="60">
        <v>10</v>
      </c>
      <c r="I74" s="60">
        <v>0.51</v>
      </c>
      <c r="J74" s="60">
        <v>0.84</v>
      </c>
      <c r="K74" s="60">
        <v>158.22</v>
      </c>
      <c r="L74" s="60">
        <v>29.85</v>
      </c>
      <c r="M74" s="60">
        <v>27.23</v>
      </c>
      <c r="N74" s="60">
        <v>102.6</v>
      </c>
      <c r="O74" s="60">
        <v>0</v>
      </c>
      <c r="P74" s="60">
        <v>0.35</v>
      </c>
      <c r="Q74" s="60">
        <v>13.3</v>
      </c>
      <c r="S74" s="198"/>
      <c r="T74" s="198"/>
      <c r="U74" s="198"/>
    </row>
    <row r="75" spans="1:21" s="12" customFormat="1" x14ac:dyDescent="0.25">
      <c r="A75" s="201" t="s">
        <v>2430</v>
      </c>
      <c r="B75" s="60">
        <v>2.73</v>
      </c>
      <c r="C75" s="60">
        <v>43.58</v>
      </c>
      <c r="D75" s="60">
        <v>26.88</v>
      </c>
      <c r="E75" s="60">
        <v>1.34</v>
      </c>
      <c r="F75" s="60">
        <v>13.23</v>
      </c>
      <c r="G75" s="60">
        <v>11.07</v>
      </c>
      <c r="H75" s="60">
        <v>9.39</v>
      </c>
      <c r="I75" s="60">
        <v>0.5</v>
      </c>
      <c r="J75" s="60">
        <v>0.6</v>
      </c>
      <c r="K75" s="60">
        <v>214.78</v>
      </c>
      <c r="L75" s="60">
        <v>29.99</v>
      </c>
      <c r="M75" s="60">
        <v>26.26</v>
      </c>
      <c r="N75" s="60">
        <v>70.3</v>
      </c>
      <c r="O75" s="60">
        <v>0</v>
      </c>
      <c r="P75" s="60">
        <v>0.35</v>
      </c>
      <c r="Q75" s="60">
        <v>14.42</v>
      </c>
      <c r="S75" s="198"/>
      <c r="T75" s="198"/>
      <c r="U75" s="198"/>
    </row>
    <row r="76" spans="1:21" s="12" customFormat="1" x14ac:dyDescent="0.25">
      <c r="A76" s="201" t="s">
        <v>2431</v>
      </c>
      <c r="B76" s="60">
        <v>2.48</v>
      </c>
      <c r="C76" s="60">
        <v>39.01</v>
      </c>
      <c r="D76" s="60">
        <v>24.16</v>
      </c>
      <c r="E76" s="60">
        <v>1.03</v>
      </c>
      <c r="F76" s="60">
        <v>17.41</v>
      </c>
      <c r="G76" s="215" t="s">
        <v>42</v>
      </c>
      <c r="H76" s="215" t="s">
        <v>42</v>
      </c>
      <c r="I76" s="60">
        <v>0.53</v>
      </c>
      <c r="J76" s="60">
        <v>0.57999999999999996</v>
      </c>
      <c r="K76" s="60">
        <v>199.06</v>
      </c>
      <c r="L76" s="60">
        <v>29.88</v>
      </c>
      <c r="M76" s="60">
        <v>26.44</v>
      </c>
      <c r="N76" s="60">
        <v>64.400000000000006</v>
      </c>
      <c r="O76" s="60">
        <v>0</v>
      </c>
      <c r="P76" s="60">
        <v>0.34</v>
      </c>
      <c r="Q76" s="60">
        <v>15.7</v>
      </c>
      <c r="S76" s="198"/>
      <c r="T76" s="198"/>
      <c r="U76" s="198"/>
    </row>
    <row r="77" spans="1:21" s="12" customFormat="1" x14ac:dyDescent="0.25">
      <c r="A77" s="201" t="s">
        <v>2432</v>
      </c>
      <c r="B77" s="60">
        <v>2.5099999999999998</v>
      </c>
      <c r="C77" s="60">
        <v>38.270000000000003</v>
      </c>
      <c r="D77" s="60">
        <v>23.78</v>
      </c>
      <c r="E77" s="60">
        <v>0.77</v>
      </c>
      <c r="F77" s="60">
        <v>8.08</v>
      </c>
      <c r="G77" s="215" t="s">
        <v>42</v>
      </c>
      <c r="H77" s="215" t="s">
        <v>42</v>
      </c>
      <c r="I77" s="60">
        <v>0.52</v>
      </c>
      <c r="J77" s="60">
        <v>0.74</v>
      </c>
      <c r="K77" s="60">
        <v>191.35</v>
      </c>
      <c r="L77" s="60">
        <v>29.81</v>
      </c>
      <c r="M77" s="60">
        <v>27.57</v>
      </c>
      <c r="N77" s="60">
        <v>54.9</v>
      </c>
      <c r="O77" s="60">
        <v>0</v>
      </c>
      <c r="P77" s="60">
        <v>0.35</v>
      </c>
      <c r="Q77" s="60">
        <v>14.95</v>
      </c>
      <c r="S77" s="198"/>
      <c r="T77" s="198"/>
      <c r="U77" s="198"/>
    </row>
    <row r="78" spans="1:21" s="12" customFormat="1" x14ac:dyDescent="0.25">
      <c r="A78" s="201" t="s">
        <v>2433</v>
      </c>
      <c r="B78" s="60">
        <v>2.37</v>
      </c>
      <c r="C78" s="60">
        <v>35.99</v>
      </c>
      <c r="D78" s="60">
        <v>22.41</v>
      </c>
      <c r="E78" s="60">
        <v>0.93</v>
      </c>
      <c r="F78" s="60">
        <v>12</v>
      </c>
      <c r="G78" s="215" t="s">
        <v>42</v>
      </c>
      <c r="H78" s="215" t="s">
        <v>42</v>
      </c>
      <c r="I78" s="60">
        <v>0.54</v>
      </c>
      <c r="J78" s="60">
        <v>0.64</v>
      </c>
      <c r="K78" s="60">
        <v>200.67</v>
      </c>
      <c r="L78" s="60">
        <v>29.65</v>
      </c>
      <c r="M78" s="60">
        <v>27.47</v>
      </c>
      <c r="N78" s="60">
        <v>46.5</v>
      </c>
      <c r="O78" s="60">
        <v>0</v>
      </c>
      <c r="P78" s="60">
        <v>0.34</v>
      </c>
      <c r="Q78" s="60">
        <v>14.2</v>
      </c>
      <c r="S78" s="198"/>
      <c r="T78" s="198"/>
      <c r="U78" s="198"/>
    </row>
    <row r="79" spans="1:21" s="12" customFormat="1" x14ac:dyDescent="0.25">
      <c r="A79" s="201" t="s">
        <v>2434</v>
      </c>
      <c r="B79" s="60">
        <v>2.2799999999999998</v>
      </c>
      <c r="C79" s="60">
        <v>35.729999999999997</v>
      </c>
      <c r="D79" s="60">
        <v>22.19</v>
      </c>
      <c r="E79" s="60">
        <v>1.49</v>
      </c>
      <c r="F79" s="60">
        <v>11.74</v>
      </c>
      <c r="G79" s="60">
        <v>10.36</v>
      </c>
      <c r="H79" s="60">
        <v>7.18</v>
      </c>
      <c r="I79" s="60">
        <v>0.54</v>
      </c>
      <c r="J79" s="60">
        <v>0.28999999999999998</v>
      </c>
      <c r="K79" s="60">
        <v>250.83</v>
      </c>
      <c r="L79" s="60">
        <v>29.46</v>
      </c>
      <c r="M79" s="60">
        <v>27.65</v>
      </c>
      <c r="N79" s="60">
        <v>35.1</v>
      </c>
      <c r="O79" s="60">
        <v>0</v>
      </c>
      <c r="P79" s="60">
        <v>0.35</v>
      </c>
      <c r="Q79" s="60">
        <v>13.97</v>
      </c>
      <c r="S79" s="198"/>
      <c r="T79" s="198"/>
      <c r="U79" s="198"/>
    </row>
    <row r="80" spans="1:21" s="12" customFormat="1" x14ac:dyDescent="0.25">
      <c r="A80" s="201" t="s">
        <v>2435</v>
      </c>
      <c r="B80" s="60">
        <v>2.2799999999999998</v>
      </c>
      <c r="C80" s="60">
        <v>38.770000000000003</v>
      </c>
      <c r="D80" s="60">
        <v>23.87</v>
      </c>
      <c r="E80" s="60">
        <v>0.8</v>
      </c>
      <c r="F80" s="60">
        <v>9.9700000000000006</v>
      </c>
      <c r="G80" s="60">
        <v>11.22</v>
      </c>
      <c r="H80" s="60">
        <v>7.11</v>
      </c>
      <c r="I80" s="60">
        <v>0.52</v>
      </c>
      <c r="J80" s="60">
        <v>0.21</v>
      </c>
      <c r="K80" s="60">
        <v>266.3</v>
      </c>
      <c r="L80" s="60">
        <v>29.14</v>
      </c>
      <c r="M80" s="60">
        <v>29.5</v>
      </c>
      <c r="N80" s="60">
        <v>24.1</v>
      </c>
      <c r="O80" s="60">
        <v>0</v>
      </c>
      <c r="P80" s="60">
        <v>0.36</v>
      </c>
      <c r="Q80" s="60">
        <v>14.13</v>
      </c>
      <c r="S80" s="198"/>
      <c r="T80" s="198"/>
      <c r="U80" s="198"/>
    </row>
    <row r="81" spans="1:26" s="12" customFormat="1" x14ac:dyDescent="0.25">
      <c r="A81" s="201" t="s">
        <v>2436</v>
      </c>
      <c r="B81" s="60">
        <v>2.36</v>
      </c>
      <c r="C81" s="60">
        <v>40.96</v>
      </c>
      <c r="D81" s="60">
        <v>25.14</v>
      </c>
      <c r="E81" s="60">
        <v>0.94</v>
      </c>
      <c r="F81" s="60">
        <v>13.21</v>
      </c>
      <c r="G81" s="60">
        <v>11.22</v>
      </c>
      <c r="H81" s="60">
        <v>7.11</v>
      </c>
      <c r="I81" s="60">
        <v>0.53</v>
      </c>
      <c r="J81" s="60">
        <v>0.39</v>
      </c>
      <c r="K81" s="60">
        <v>209.18</v>
      </c>
      <c r="L81" s="60">
        <v>28.57</v>
      </c>
      <c r="M81" s="60">
        <v>32.69</v>
      </c>
      <c r="N81" s="60">
        <v>12.7</v>
      </c>
      <c r="O81" s="60">
        <v>0</v>
      </c>
      <c r="P81" s="60">
        <v>0.38</v>
      </c>
      <c r="Q81" s="60">
        <v>13.55</v>
      </c>
      <c r="S81" s="198"/>
      <c r="T81" s="198"/>
      <c r="U81" s="198"/>
    </row>
    <row r="82" spans="1:26" s="12" customFormat="1" x14ac:dyDescent="0.25">
      <c r="A82" s="201" t="s">
        <v>2437</v>
      </c>
      <c r="B82" s="60">
        <v>2.7</v>
      </c>
      <c r="C82" s="60">
        <v>42.65</v>
      </c>
      <c r="D82" s="60">
        <v>26.35</v>
      </c>
      <c r="E82" s="60">
        <v>0.83</v>
      </c>
      <c r="F82" s="60">
        <v>8.82</v>
      </c>
      <c r="G82" s="60">
        <v>11.22</v>
      </c>
      <c r="H82" s="60">
        <v>7.11</v>
      </c>
      <c r="I82" s="60">
        <v>0.53</v>
      </c>
      <c r="J82" s="60">
        <v>0.74</v>
      </c>
      <c r="K82" s="60">
        <v>190.47</v>
      </c>
      <c r="L82" s="60">
        <v>28.23</v>
      </c>
      <c r="M82" s="60">
        <v>30.88</v>
      </c>
      <c r="N82" s="60">
        <v>6</v>
      </c>
      <c r="O82" s="60">
        <v>0</v>
      </c>
      <c r="P82" s="60">
        <v>0.4</v>
      </c>
      <c r="Q82" s="60">
        <v>13.39</v>
      </c>
      <c r="S82" s="198"/>
      <c r="T82" s="198"/>
      <c r="U82" s="198"/>
    </row>
    <row r="83" spans="1:26" s="12" customFormat="1" x14ac:dyDescent="0.25">
      <c r="A83" s="201" t="s">
        <v>2438</v>
      </c>
      <c r="B83" s="60">
        <v>3.98</v>
      </c>
      <c r="C83" s="60">
        <v>55.52</v>
      </c>
      <c r="D83" s="60">
        <v>34.479999999999997</v>
      </c>
      <c r="E83" s="60">
        <v>1.61</v>
      </c>
      <c r="F83" s="60">
        <v>10.96</v>
      </c>
      <c r="G83" s="60">
        <v>20.149999999999999</v>
      </c>
      <c r="H83" s="60">
        <v>8.65</v>
      </c>
      <c r="I83" s="60">
        <v>0.53</v>
      </c>
      <c r="J83" s="60">
        <v>0.09</v>
      </c>
      <c r="K83" s="60">
        <v>142.16999999999999</v>
      </c>
      <c r="L83" s="60">
        <v>27.64</v>
      </c>
      <c r="M83" s="60">
        <v>32.33</v>
      </c>
      <c r="N83" s="60">
        <v>5.4</v>
      </c>
      <c r="O83" s="60">
        <v>0</v>
      </c>
      <c r="P83" s="60">
        <v>0.46</v>
      </c>
      <c r="Q83" s="60">
        <v>14.58</v>
      </c>
      <c r="S83" s="198"/>
      <c r="T83" s="198"/>
      <c r="U83" s="198"/>
    </row>
    <row r="84" spans="1:26" s="12" customFormat="1" x14ac:dyDescent="0.25">
      <c r="A84" s="201" t="s">
        <v>2439</v>
      </c>
      <c r="B84" s="60">
        <v>6.32</v>
      </c>
      <c r="C84" s="60">
        <v>71.709999999999994</v>
      </c>
      <c r="D84" s="60">
        <v>45.29</v>
      </c>
      <c r="E84" s="60">
        <v>1.53</v>
      </c>
      <c r="F84" s="60">
        <v>12.15</v>
      </c>
      <c r="G84" s="60">
        <v>23.59</v>
      </c>
      <c r="H84" s="60">
        <v>8.6999999999999993</v>
      </c>
      <c r="I84" s="60">
        <v>0.54</v>
      </c>
      <c r="J84" s="60">
        <v>0.04</v>
      </c>
      <c r="K84" s="60">
        <v>195.14</v>
      </c>
      <c r="L84" s="60">
        <v>26.99</v>
      </c>
      <c r="M84" s="60">
        <v>33.5</v>
      </c>
      <c r="N84" s="60">
        <v>5.0999999999999996</v>
      </c>
      <c r="O84" s="60">
        <v>0</v>
      </c>
      <c r="P84" s="60">
        <v>0.6</v>
      </c>
      <c r="Q84" s="60">
        <v>12.1</v>
      </c>
      <c r="S84" s="198"/>
      <c r="T84" s="198"/>
      <c r="U84" s="198"/>
    </row>
    <row r="85" spans="1:26" s="12" customFormat="1" x14ac:dyDescent="0.25">
      <c r="A85" s="201" t="s">
        <v>2440</v>
      </c>
      <c r="B85" s="60">
        <v>8.8800000000000008</v>
      </c>
      <c r="C85" s="60">
        <v>60.11</v>
      </c>
      <c r="D85" s="60">
        <v>40.94</v>
      </c>
      <c r="E85" s="60">
        <v>1.78</v>
      </c>
      <c r="F85" s="60">
        <v>13.89</v>
      </c>
      <c r="G85" s="60">
        <v>23.59</v>
      </c>
      <c r="H85" s="60">
        <v>8.6999999999999993</v>
      </c>
      <c r="I85" s="60">
        <v>0.54</v>
      </c>
      <c r="J85" s="60">
        <v>0.14000000000000001</v>
      </c>
      <c r="K85" s="60">
        <v>328.66</v>
      </c>
      <c r="L85" s="60">
        <v>26.43</v>
      </c>
      <c r="M85" s="60">
        <v>35.9</v>
      </c>
      <c r="N85" s="60">
        <v>4.9000000000000004</v>
      </c>
      <c r="O85" s="60">
        <v>0</v>
      </c>
      <c r="P85" s="60">
        <v>0.86</v>
      </c>
      <c r="Q85" s="60">
        <v>13.73</v>
      </c>
      <c r="S85" s="198"/>
      <c r="T85" s="198"/>
      <c r="U85" s="198"/>
    </row>
    <row r="86" spans="1:26" s="12" customFormat="1" x14ac:dyDescent="0.25">
      <c r="A86" s="201" t="s">
        <v>2441</v>
      </c>
      <c r="B86" s="60">
        <v>56.6</v>
      </c>
      <c r="C86" s="60">
        <v>80.739999999999995</v>
      </c>
      <c r="D86" s="60">
        <v>90.59</v>
      </c>
      <c r="E86" s="60">
        <v>2.4</v>
      </c>
      <c r="F86" s="60">
        <v>5.32</v>
      </c>
      <c r="G86" s="60">
        <v>23.59</v>
      </c>
      <c r="H86" s="60">
        <v>8.6999999999999993</v>
      </c>
      <c r="I86" s="60">
        <v>0.55000000000000004</v>
      </c>
      <c r="J86" s="60">
        <v>0.11</v>
      </c>
      <c r="K86" s="60">
        <v>3.92</v>
      </c>
      <c r="L86" s="60">
        <v>25.91</v>
      </c>
      <c r="M86" s="60">
        <v>44.59</v>
      </c>
      <c r="N86" s="60">
        <v>5.0999999999999996</v>
      </c>
      <c r="O86" s="60">
        <v>0</v>
      </c>
      <c r="P86" s="60">
        <v>2.0499999999999998</v>
      </c>
      <c r="Q86" s="60">
        <v>13.55</v>
      </c>
      <c r="S86" s="198"/>
      <c r="T86" s="198"/>
      <c r="U86" s="198"/>
    </row>
    <row r="87" spans="1:26" s="12" customFormat="1" x14ac:dyDescent="0.25">
      <c r="A87" s="201" t="s">
        <v>2442</v>
      </c>
      <c r="B87" s="60">
        <v>33.19</v>
      </c>
      <c r="C87" s="60">
        <v>80.56</v>
      </c>
      <c r="D87" s="60">
        <v>71.72</v>
      </c>
      <c r="E87" s="60">
        <v>1.93</v>
      </c>
      <c r="F87" s="60">
        <v>3.88</v>
      </c>
      <c r="G87" s="60">
        <v>35.96</v>
      </c>
      <c r="H87" s="60">
        <v>14.44</v>
      </c>
      <c r="I87" s="60">
        <v>0.61</v>
      </c>
      <c r="J87" s="60">
        <v>0.2</v>
      </c>
      <c r="K87" s="60">
        <v>302.38</v>
      </c>
      <c r="L87" s="60">
        <v>25.57</v>
      </c>
      <c r="M87" s="60">
        <v>42.14</v>
      </c>
      <c r="N87" s="60">
        <v>4.5</v>
      </c>
      <c r="O87" s="60">
        <v>0</v>
      </c>
      <c r="P87" s="60">
        <v>1.46</v>
      </c>
      <c r="Q87" s="60">
        <v>16.22</v>
      </c>
      <c r="S87" s="198"/>
      <c r="T87" s="198"/>
      <c r="U87" s="198"/>
    </row>
    <row r="88" spans="1:26" s="12" customFormat="1" x14ac:dyDescent="0.25">
      <c r="A88" s="201" t="s">
        <v>2443</v>
      </c>
      <c r="B88" s="60">
        <v>47.99</v>
      </c>
      <c r="C88" s="60">
        <v>63.54</v>
      </c>
      <c r="D88" s="60">
        <v>74.2</v>
      </c>
      <c r="E88" s="60">
        <v>0.83</v>
      </c>
      <c r="F88" s="60">
        <v>3.57</v>
      </c>
      <c r="G88" s="60">
        <v>40.72</v>
      </c>
      <c r="H88" s="60">
        <v>14.72</v>
      </c>
      <c r="I88" s="60">
        <v>0.72</v>
      </c>
      <c r="J88" s="60">
        <v>0.18</v>
      </c>
      <c r="K88" s="60">
        <v>355.65</v>
      </c>
      <c r="L88" s="60">
        <v>25.43</v>
      </c>
      <c r="M88" s="60">
        <v>46.63</v>
      </c>
      <c r="N88" s="60">
        <v>4.8</v>
      </c>
      <c r="O88" s="60">
        <v>0</v>
      </c>
      <c r="P88" s="60">
        <v>1.58</v>
      </c>
      <c r="Q88" s="60">
        <v>16.95</v>
      </c>
      <c r="S88" s="198"/>
      <c r="T88" s="198"/>
      <c r="U88" s="198"/>
    </row>
    <row r="89" spans="1:26" s="12" customFormat="1" x14ac:dyDescent="0.25">
      <c r="A89" s="201" t="s">
        <v>2444</v>
      </c>
      <c r="B89" s="60">
        <v>40</v>
      </c>
      <c r="C89" s="60">
        <v>65.290000000000006</v>
      </c>
      <c r="D89" s="60">
        <v>68.75</v>
      </c>
      <c r="E89" s="60">
        <v>1.73</v>
      </c>
      <c r="F89" s="60">
        <v>3.39</v>
      </c>
      <c r="G89" s="60">
        <v>40.72</v>
      </c>
      <c r="H89" s="60">
        <v>14.72</v>
      </c>
      <c r="I89" s="60">
        <v>0.73</v>
      </c>
      <c r="J89" s="60">
        <v>7.0000000000000007E-2</v>
      </c>
      <c r="K89" s="60">
        <v>2.7</v>
      </c>
      <c r="L89" s="60">
        <v>24.95</v>
      </c>
      <c r="M89" s="60">
        <v>46.18</v>
      </c>
      <c r="N89" s="60">
        <v>4.9000000000000004</v>
      </c>
      <c r="O89" s="60">
        <v>0</v>
      </c>
      <c r="P89" s="60">
        <v>1.45</v>
      </c>
      <c r="Q89" s="60">
        <v>21.8</v>
      </c>
      <c r="S89" s="198"/>
      <c r="T89" s="198"/>
      <c r="U89" s="198"/>
    </row>
    <row r="90" spans="1:26" s="12" customFormat="1" x14ac:dyDescent="0.25">
      <c r="A90" s="201" t="s">
        <v>2445</v>
      </c>
      <c r="B90" s="60">
        <v>52.83</v>
      </c>
      <c r="C90" s="60">
        <v>68.81</v>
      </c>
      <c r="D90" s="60">
        <v>80.98</v>
      </c>
      <c r="E90" s="60">
        <v>1.96</v>
      </c>
      <c r="F90" s="60">
        <v>3.29</v>
      </c>
      <c r="G90" s="60">
        <v>40.72</v>
      </c>
      <c r="H90" s="60">
        <v>14.72</v>
      </c>
      <c r="I90" s="60">
        <v>0.75</v>
      </c>
      <c r="J90" s="60">
        <v>0.17</v>
      </c>
      <c r="K90" s="60">
        <v>350.53</v>
      </c>
      <c r="L90" s="60">
        <v>24.78</v>
      </c>
      <c r="M90" s="60">
        <v>49.97</v>
      </c>
      <c r="N90" s="60">
        <v>4.7</v>
      </c>
      <c r="O90" s="60">
        <v>0</v>
      </c>
      <c r="P90" s="60">
        <v>1.83</v>
      </c>
      <c r="Q90" s="60">
        <v>22.53</v>
      </c>
      <c r="S90" s="198"/>
      <c r="T90" s="198"/>
      <c r="U90" s="198"/>
    </row>
    <row r="91" spans="1:26" s="12" customFormat="1" x14ac:dyDescent="0.25">
      <c r="A91" s="201" t="s">
        <v>2446</v>
      </c>
      <c r="B91" s="60">
        <v>40.47</v>
      </c>
      <c r="C91" s="60">
        <v>57.81</v>
      </c>
      <c r="D91" s="60">
        <v>65</v>
      </c>
      <c r="E91" s="60">
        <v>1.97</v>
      </c>
      <c r="F91" s="60">
        <v>3.06</v>
      </c>
      <c r="G91" s="60">
        <v>95.58</v>
      </c>
      <c r="H91" s="60">
        <v>21.35</v>
      </c>
      <c r="I91" s="60">
        <v>0.75</v>
      </c>
      <c r="J91" s="60">
        <v>0.68</v>
      </c>
      <c r="K91" s="60">
        <v>122.48</v>
      </c>
      <c r="L91" s="60">
        <v>25.25</v>
      </c>
      <c r="M91" s="60">
        <v>41.84</v>
      </c>
      <c r="N91" s="60">
        <v>2.7</v>
      </c>
      <c r="O91" s="60">
        <v>0</v>
      </c>
      <c r="P91" s="60">
        <v>1.36</v>
      </c>
      <c r="Q91" s="60">
        <v>25.07</v>
      </c>
      <c r="S91" s="198"/>
      <c r="T91" s="198"/>
      <c r="U91" s="198"/>
    </row>
    <row r="92" spans="1:26" s="12" customFormat="1" x14ac:dyDescent="0.25">
      <c r="A92" s="201" t="s">
        <v>2447</v>
      </c>
      <c r="B92" s="60">
        <v>36.340000000000003</v>
      </c>
      <c r="C92" s="60">
        <v>52.57</v>
      </c>
      <c r="D92" s="60">
        <v>58.8</v>
      </c>
      <c r="E92" s="60">
        <v>1.57</v>
      </c>
      <c r="F92" s="60">
        <v>3.12</v>
      </c>
      <c r="G92" s="60">
        <v>115.52</v>
      </c>
      <c r="H92" s="60">
        <v>21.55</v>
      </c>
      <c r="I92" s="60">
        <v>0.82</v>
      </c>
      <c r="J92" s="60">
        <v>1.48</v>
      </c>
      <c r="K92" s="60">
        <v>115.62</v>
      </c>
      <c r="L92" s="60">
        <v>26.57</v>
      </c>
      <c r="M92" s="60">
        <v>36.71</v>
      </c>
      <c r="N92" s="60">
        <v>2.6</v>
      </c>
      <c r="O92" s="60">
        <v>0</v>
      </c>
      <c r="P92" s="60">
        <v>1.27</v>
      </c>
      <c r="Q92" s="60">
        <v>27.33</v>
      </c>
      <c r="S92" s="198"/>
      <c r="T92" s="198"/>
      <c r="U92" s="198"/>
    </row>
    <row r="93" spans="1:26" s="12" customFormat="1" x14ac:dyDescent="0.25">
      <c r="A93" s="201" t="s">
        <v>2448</v>
      </c>
      <c r="B93" s="60">
        <v>34.01</v>
      </c>
      <c r="C93" s="60">
        <v>53.4</v>
      </c>
      <c r="D93" s="60">
        <v>57.39</v>
      </c>
      <c r="E93" s="60">
        <v>1.65</v>
      </c>
      <c r="F93" s="60">
        <v>3.37</v>
      </c>
      <c r="G93" s="60">
        <v>115.52</v>
      </c>
      <c r="H93" s="60">
        <v>21.55</v>
      </c>
      <c r="I93" s="60">
        <v>0.75</v>
      </c>
      <c r="J93" s="60">
        <v>1.39</v>
      </c>
      <c r="K93" s="60">
        <v>120.57</v>
      </c>
      <c r="L93" s="60">
        <v>26.42</v>
      </c>
      <c r="M93" s="60">
        <v>38.36</v>
      </c>
      <c r="N93" s="60">
        <v>4.2</v>
      </c>
      <c r="O93" s="60">
        <v>0</v>
      </c>
      <c r="P93" s="60">
        <v>1.23</v>
      </c>
      <c r="Q93" s="60">
        <v>28.11</v>
      </c>
      <c r="S93" s="198"/>
      <c r="T93" s="198"/>
      <c r="U93" s="198"/>
    </row>
    <row r="94" spans="1:26" s="12" customFormat="1" x14ac:dyDescent="0.25">
      <c r="A94" s="201" t="s">
        <v>2449</v>
      </c>
      <c r="B94" s="60">
        <v>31.05</v>
      </c>
      <c r="C94" s="60">
        <v>54.96</v>
      </c>
      <c r="D94" s="60">
        <v>55.87</v>
      </c>
      <c r="E94" s="60">
        <v>1.49</v>
      </c>
      <c r="F94" s="60">
        <v>3.53</v>
      </c>
      <c r="G94" s="60">
        <v>115.52</v>
      </c>
      <c r="H94" s="60">
        <v>21.55</v>
      </c>
      <c r="I94" s="60">
        <v>0.78</v>
      </c>
      <c r="J94" s="60">
        <v>0.88</v>
      </c>
      <c r="K94" s="60">
        <v>120.68</v>
      </c>
      <c r="L94" s="60">
        <v>26.15</v>
      </c>
      <c r="M94" s="60">
        <v>41.01</v>
      </c>
      <c r="N94" s="60">
        <v>4.8</v>
      </c>
      <c r="O94" s="60">
        <v>0</v>
      </c>
      <c r="P94" s="60">
        <v>1.19</v>
      </c>
      <c r="Q94" s="60">
        <v>28.67</v>
      </c>
      <c r="S94" s="198"/>
      <c r="T94" s="198"/>
      <c r="U94" s="198"/>
    </row>
    <row r="95" spans="1:26" s="12" customFormat="1" x14ac:dyDescent="0.25">
      <c r="A95" s="201" t="s">
        <v>2450</v>
      </c>
      <c r="B95" s="60">
        <v>31.58</v>
      </c>
      <c r="C95" s="60">
        <v>61.24</v>
      </c>
      <c r="D95" s="60">
        <v>59.76</v>
      </c>
      <c r="E95" s="60">
        <v>1.34</v>
      </c>
      <c r="F95" s="60">
        <v>4.37</v>
      </c>
      <c r="G95" s="60">
        <v>65.150000000000006</v>
      </c>
      <c r="H95" s="60">
        <v>20.88</v>
      </c>
      <c r="I95" s="60">
        <v>0.76</v>
      </c>
      <c r="J95" s="60">
        <v>0.09</v>
      </c>
      <c r="K95" s="60">
        <v>66.069999999999993</v>
      </c>
      <c r="L95" s="60">
        <v>25.4</v>
      </c>
      <c r="M95" s="60">
        <v>44.89</v>
      </c>
      <c r="N95" s="60">
        <v>5.4</v>
      </c>
      <c r="O95" s="60">
        <v>0</v>
      </c>
      <c r="P95" s="60">
        <v>1.27</v>
      </c>
      <c r="Q95" s="60">
        <v>27.99</v>
      </c>
      <c r="S95" s="198"/>
      <c r="T95" s="198"/>
      <c r="U95" s="198"/>
    </row>
    <row r="96" spans="1:26" s="12" customFormat="1" x14ac:dyDescent="0.25">
      <c r="A96" s="201" t="s">
        <v>2451</v>
      </c>
      <c r="B96" s="60">
        <v>26.18</v>
      </c>
      <c r="C96" s="60">
        <v>52.28</v>
      </c>
      <c r="D96" s="60">
        <v>50.49</v>
      </c>
      <c r="E96" s="60">
        <v>1.86</v>
      </c>
      <c r="F96" s="60">
        <v>6.83</v>
      </c>
      <c r="G96" s="60">
        <v>45.78</v>
      </c>
      <c r="H96" s="60">
        <v>20.86</v>
      </c>
      <c r="I96" s="60">
        <v>0.75</v>
      </c>
      <c r="J96" s="60">
        <v>0.59</v>
      </c>
      <c r="K96" s="60">
        <v>118.68</v>
      </c>
      <c r="L96" s="60">
        <v>25.13</v>
      </c>
      <c r="M96" s="60">
        <v>46.18</v>
      </c>
      <c r="N96" s="60">
        <v>5</v>
      </c>
      <c r="O96" s="60">
        <v>0</v>
      </c>
      <c r="P96" s="60">
        <v>1.1200000000000001</v>
      </c>
      <c r="Q96" s="60">
        <v>27.26</v>
      </c>
      <c r="S96" s="198"/>
      <c r="T96" s="198"/>
      <c r="U96" s="198"/>
      <c r="Z96" s="109"/>
    </row>
    <row r="97" spans="1:33" s="12" customFormat="1" x14ac:dyDescent="0.25">
      <c r="A97" s="201" t="s">
        <v>2452</v>
      </c>
      <c r="B97" s="60">
        <v>19.95</v>
      </c>
      <c r="C97" s="60">
        <v>54.33</v>
      </c>
      <c r="D97" s="60">
        <v>46.62</v>
      </c>
      <c r="E97" s="60">
        <v>2.0299999999999998</v>
      </c>
      <c r="F97" s="60">
        <v>9.1199999999999992</v>
      </c>
      <c r="G97" s="60">
        <v>45.78</v>
      </c>
      <c r="H97" s="60">
        <v>20.86</v>
      </c>
      <c r="I97" s="60">
        <v>0.74</v>
      </c>
      <c r="J97" s="60">
        <v>0.37</v>
      </c>
      <c r="K97" s="60">
        <v>115.78</v>
      </c>
      <c r="L97" s="60">
        <v>24.95</v>
      </c>
      <c r="M97" s="60">
        <v>47.28</v>
      </c>
      <c r="N97" s="60">
        <v>4.9000000000000004</v>
      </c>
      <c r="O97" s="60">
        <v>0</v>
      </c>
      <c r="P97" s="60">
        <v>1.07</v>
      </c>
      <c r="Q97" s="60">
        <v>27.1</v>
      </c>
      <c r="S97" s="198"/>
      <c r="T97" s="198"/>
      <c r="U97" s="198"/>
    </row>
    <row r="98" spans="1:33" s="12" customFormat="1" x14ac:dyDescent="0.25">
      <c r="A98" s="201" t="s">
        <v>2453</v>
      </c>
      <c r="B98" s="60">
        <v>23.56</v>
      </c>
      <c r="C98" s="60">
        <v>50.44</v>
      </c>
      <c r="D98" s="60">
        <v>47.37</v>
      </c>
      <c r="E98" s="60">
        <v>2</v>
      </c>
      <c r="F98" s="60">
        <v>7.18</v>
      </c>
      <c r="G98" s="60">
        <v>45.78</v>
      </c>
      <c r="H98" s="60">
        <v>20.86</v>
      </c>
      <c r="I98" s="60">
        <v>0.7</v>
      </c>
      <c r="J98" s="60">
        <v>1.28</v>
      </c>
      <c r="K98" s="60">
        <v>122.71</v>
      </c>
      <c r="L98" s="60">
        <v>25.15</v>
      </c>
      <c r="M98" s="60">
        <v>46.33</v>
      </c>
      <c r="N98" s="60">
        <v>3.7</v>
      </c>
      <c r="O98" s="60">
        <v>0</v>
      </c>
      <c r="P98" s="60">
        <v>1.1000000000000001</v>
      </c>
      <c r="Q98" s="60">
        <v>26.31</v>
      </c>
      <c r="S98" s="198"/>
      <c r="T98" s="198"/>
      <c r="U98" s="198"/>
    </row>
    <row r="99" spans="1:33" s="12" customFormat="1" x14ac:dyDescent="0.25">
      <c r="A99" s="201" t="s">
        <v>2454</v>
      </c>
      <c r="B99" s="60">
        <v>21.79</v>
      </c>
      <c r="C99" s="60">
        <v>49.26</v>
      </c>
      <c r="D99" s="60">
        <v>45.31</v>
      </c>
      <c r="E99" s="60">
        <v>1.76</v>
      </c>
      <c r="F99" s="60">
        <v>6.99</v>
      </c>
      <c r="G99" s="60">
        <v>47.49</v>
      </c>
      <c r="H99" s="60">
        <v>17.079999999999998</v>
      </c>
      <c r="I99" s="60">
        <v>0.62</v>
      </c>
      <c r="J99" s="60">
        <v>0.87</v>
      </c>
      <c r="K99" s="60">
        <v>111.63</v>
      </c>
      <c r="L99" s="60">
        <v>25.16</v>
      </c>
      <c r="M99" s="60">
        <v>46.92</v>
      </c>
      <c r="N99" s="60">
        <v>4.5</v>
      </c>
      <c r="O99" s="60">
        <v>0</v>
      </c>
      <c r="P99" s="60">
        <v>1.08</v>
      </c>
      <c r="Q99" s="60">
        <v>27.17</v>
      </c>
      <c r="S99" s="198"/>
      <c r="T99" s="198"/>
      <c r="U99" s="198"/>
    </row>
    <row r="100" spans="1:33" s="12" customFormat="1" x14ac:dyDescent="0.25">
      <c r="A100" s="201" t="s">
        <v>2455</v>
      </c>
      <c r="B100" s="60">
        <v>21.45</v>
      </c>
      <c r="C100" s="60">
        <v>45.07</v>
      </c>
      <c r="D100" s="60">
        <v>42.72</v>
      </c>
      <c r="E100" s="60">
        <v>1.6</v>
      </c>
      <c r="F100" s="60">
        <v>5.95</v>
      </c>
      <c r="G100" s="60">
        <v>48.15</v>
      </c>
      <c r="H100" s="60">
        <v>16.97</v>
      </c>
      <c r="I100" s="60">
        <v>0.71</v>
      </c>
      <c r="J100" s="60">
        <v>0.66</v>
      </c>
      <c r="K100" s="60">
        <v>108.68</v>
      </c>
      <c r="L100" s="60">
        <v>24.95</v>
      </c>
      <c r="M100" s="60">
        <v>47.95</v>
      </c>
      <c r="N100" s="60">
        <v>4.7</v>
      </c>
      <c r="O100" s="60">
        <v>0</v>
      </c>
      <c r="P100" s="60">
        <v>1.0900000000000001</v>
      </c>
      <c r="Q100" s="60">
        <v>29.11</v>
      </c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2456</v>
      </c>
      <c r="B101" s="60">
        <v>21.61</v>
      </c>
      <c r="C101" s="60">
        <v>43.32</v>
      </c>
      <c r="D101" s="60">
        <v>41.89</v>
      </c>
      <c r="E101" s="60">
        <v>1.55</v>
      </c>
      <c r="F101" s="60">
        <v>5.18</v>
      </c>
      <c r="G101" s="60">
        <v>48.15</v>
      </c>
      <c r="H101" s="60">
        <v>16.97</v>
      </c>
      <c r="I101" s="60">
        <v>0.72</v>
      </c>
      <c r="J101" s="60">
        <v>0.16</v>
      </c>
      <c r="K101" s="60">
        <v>190.65</v>
      </c>
      <c r="L101" s="60">
        <v>24.8</v>
      </c>
      <c r="M101" s="60">
        <v>48.83</v>
      </c>
      <c r="N101" s="60">
        <v>4.8</v>
      </c>
      <c r="O101" s="60">
        <v>0</v>
      </c>
      <c r="P101" s="60">
        <v>1.04</v>
      </c>
      <c r="Q101" s="60">
        <v>29.83</v>
      </c>
      <c r="S101" s="198"/>
      <c r="T101" s="198"/>
      <c r="U101" s="198"/>
    </row>
    <row r="102" spans="1:33" s="12" customFormat="1" x14ac:dyDescent="0.25">
      <c r="A102" s="201" t="s">
        <v>2457</v>
      </c>
      <c r="B102" s="60">
        <v>20.62</v>
      </c>
      <c r="C102" s="60">
        <v>43.75</v>
      </c>
      <c r="D102" s="60">
        <v>41.33</v>
      </c>
      <c r="E102" s="60">
        <v>1.55</v>
      </c>
      <c r="F102" s="60">
        <v>3.84</v>
      </c>
      <c r="G102" s="60">
        <v>48.15</v>
      </c>
      <c r="H102" s="60">
        <v>16.97</v>
      </c>
      <c r="I102" s="60">
        <v>0.72</v>
      </c>
      <c r="J102" s="60">
        <v>1.22</v>
      </c>
      <c r="K102" s="60">
        <v>297.67</v>
      </c>
      <c r="L102" s="60">
        <v>24.62</v>
      </c>
      <c r="M102" s="60">
        <v>51.25</v>
      </c>
      <c r="N102" s="60">
        <v>4.7</v>
      </c>
      <c r="O102" s="60">
        <v>0</v>
      </c>
      <c r="P102" s="60">
        <v>1.03</v>
      </c>
      <c r="Q102" s="60">
        <v>29.28</v>
      </c>
      <c r="S102" s="198"/>
      <c r="T102" s="198"/>
      <c r="U102" s="198"/>
    </row>
    <row r="103" spans="1:33" s="12" customFormat="1" x14ac:dyDescent="0.25">
      <c r="A103" s="201" t="s">
        <v>2458</v>
      </c>
      <c r="B103" s="60">
        <v>17.71</v>
      </c>
      <c r="C103" s="60">
        <v>46.09</v>
      </c>
      <c r="D103" s="60">
        <v>40.29</v>
      </c>
      <c r="E103" s="60">
        <v>1.08</v>
      </c>
      <c r="F103" s="60">
        <v>4.33</v>
      </c>
      <c r="G103" s="60">
        <v>45.6</v>
      </c>
      <c r="H103" s="60">
        <v>17.18</v>
      </c>
      <c r="I103" s="60">
        <v>0.71</v>
      </c>
      <c r="J103" s="60">
        <v>2.72</v>
      </c>
      <c r="K103" s="60">
        <v>306.37</v>
      </c>
      <c r="L103" s="60">
        <v>23.75</v>
      </c>
      <c r="M103" s="60">
        <v>54.33</v>
      </c>
      <c r="N103" s="60">
        <v>9.1</v>
      </c>
      <c r="O103" s="60">
        <v>0</v>
      </c>
      <c r="P103" s="60">
        <v>0.96</v>
      </c>
      <c r="Q103" s="60">
        <v>27.01</v>
      </c>
      <c r="S103" s="198"/>
      <c r="T103" s="198"/>
      <c r="U103" s="198"/>
    </row>
    <row r="104" spans="1:33" s="12" customFormat="1" x14ac:dyDescent="0.25">
      <c r="A104" s="201" t="s">
        <v>2459</v>
      </c>
      <c r="B104" s="60">
        <v>12.47</v>
      </c>
      <c r="C104" s="60">
        <v>48.6</v>
      </c>
      <c r="D104" s="60">
        <v>37.47</v>
      </c>
      <c r="E104" s="60">
        <v>1.22</v>
      </c>
      <c r="F104" s="60">
        <v>4.32</v>
      </c>
      <c r="G104" s="60">
        <v>44.62</v>
      </c>
      <c r="H104" s="60">
        <v>17.25</v>
      </c>
      <c r="I104" s="60">
        <v>0.71</v>
      </c>
      <c r="J104" s="60">
        <v>0.99</v>
      </c>
      <c r="K104" s="60">
        <v>116.75</v>
      </c>
      <c r="L104" s="60">
        <v>19.940000000000001</v>
      </c>
      <c r="M104" s="60">
        <v>76.53</v>
      </c>
      <c r="N104" s="60">
        <v>11.1</v>
      </c>
      <c r="O104" s="60">
        <v>4.5999999999999996</v>
      </c>
      <c r="P104" s="60">
        <v>0.88</v>
      </c>
      <c r="Q104" s="60">
        <v>24.29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1.97</v>
      </c>
      <c r="C106" s="67">
        <f>MIN(C9:C104)</f>
        <v>23.63</v>
      </c>
      <c r="D106" s="67">
        <f t="shared" ref="D106:Q106" si="0">MIN(D9:D104)</f>
        <v>15.58</v>
      </c>
      <c r="E106" s="67">
        <f t="shared" si="0"/>
        <v>0.12</v>
      </c>
      <c r="F106" s="67">
        <f t="shared" si="0"/>
        <v>3.01</v>
      </c>
      <c r="G106" s="67">
        <f t="shared" si="0"/>
        <v>10.36</v>
      </c>
      <c r="H106" s="67">
        <f t="shared" si="0"/>
        <v>5.01</v>
      </c>
      <c r="I106" s="67">
        <f t="shared" si="0"/>
        <v>0.46</v>
      </c>
      <c r="J106" s="67">
        <f t="shared" si="0"/>
        <v>0.04</v>
      </c>
      <c r="K106" s="67">
        <f t="shared" si="0"/>
        <v>1.62</v>
      </c>
      <c r="L106" s="67">
        <f t="shared" si="0"/>
        <v>18.13</v>
      </c>
      <c r="M106" s="67">
        <f t="shared" si="0"/>
        <v>24.69</v>
      </c>
      <c r="N106" s="67">
        <f t="shared" si="0"/>
        <v>2.6</v>
      </c>
      <c r="O106" s="67">
        <f t="shared" si="0"/>
        <v>0</v>
      </c>
      <c r="P106" s="67">
        <f t="shared" si="0"/>
        <v>0.32</v>
      </c>
      <c r="Q106" s="67">
        <f t="shared" si="0"/>
        <v>4.0999999999999996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56.6</v>
      </c>
      <c r="C107" s="66">
        <f t="shared" ref="C107:Q107" si="1">MAX(C9:C104)</f>
        <v>80.739999999999995</v>
      </c>
      <c r="D107" s="66">
        <f t="shared" si="1"/>
        <v>90.59</v>
      </c>
      <c r="E107" s="66">
        <f t="shared" si="1"/>
        <v>2.4</v>
      </c>
      <c r="F107" s="66">
        <f t="shared" si="1"/>
        <v>26.13</v>
      </c>
      <c r="G107" s="66">
        <f t="shared" si="1"/>
        <v>115.52</v>
      </c>
      <c r="H107" s="66">
        <f t="shared" si="1"/>
        <v>21.55</v>
      </c>
      <c r="I107" s="66">
        <f t="shared" si="1"/>
        <v>0.82</v>
      </c>
      <c r="J107" s="66">
        <f t="shared" si="1"/>
        <v>2.72</v>
      </c>
      <c r="K107" s="66">
        <f t="shared" si="1"/>
        <v>355.65</v>
      </c>
      <c r="L107" s="66">
        <f t="shared" si="1"/>
        <v>31.4</v>
      </c>
      <c r="M107" s="66">
        <f t="shared" si="1"/>
        <v>89.95</v>
      </c>
      <c r="N107" s="66">
        <f t="shared" si="1"/>
        <v>1012.3</v>
      </c>
      <c r="O107" s="66">
        <f t="shared" si="1"/>
        <v>4.5999999999999996</v>
      </c>
      <c r="P107" s="66">
        <f t="shared" si="1"/>
        <v>2.0499999999999998</v>
      </c>
      <c r="Q107" s="66">
        <f t="shared" si="1"/>
        <v>29.83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8.9497916666666679</v>
      </c>
      <c r="C108" s="67">
        <f t="shared" ref="C108:Q108" si="2">AVERAGE(C9:C104)</f>
        <v>38.37552083333334</v>
      </c>
      <c r="D108" s="67">
        <f t="shared" si="2"/>
        <v>29.001145833333325</v>
      </c>
      <c r="E108" s="67">
        <f t="shared" si="2"/>
        <v>1.3070833333333334</v>
      </c>
      <c r="F108" s="67">
        <f t="shared" si="2"/>
        <v>6.4391666666666652</v>
      </c>
      <c r="G108" s="67">
        <f t="shared" si="2"/>
        <v>39.385178571428568</v>
      </c>
      <c r="H108" s="67">
        <f t="shared" si="2"/>
        <v>13.441785714285716</v>
      </c>
      <c r="I108" s="67">
        <f t="shared" si="2"/>
        <v>0.54625000000000012</v>
      </c>
      <c r="J108" s="67">
        <f t="shared" si="2"/>
        <v>0.67020833333333341</v>
      </c>
      <c r="K108" s="67">
        <f t="shared" si="2"/>
        <v>202.91729166666661</v>
      </c>
      <c r="L108" s="67">
        <f t="shared" si="2"/>
        <v>24.034062500000001</v>
      </c>
      <c r="M108" s="67">
        <f t="shared" si="2"/>
        <v>58.151249999999997</v>
      </c>
      <c r="N108" s="67">
        <f t="shared" si="2"/>
        <v>232.97291666666672</v>
      </c>
      <c r="O108" s="67">
        <f t="shared" si="2"/>
        <v>4.9999999999999996E-2</v>
      </c>
      <c r="P108" s="67">
        <f t="shared" si="2"/>
        <v>0.59156249999999999</v>
      </c>
      <c r="Q108" s="67">
        <f t="shared" si="2"/>
        <v>14.376354166666665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12.340682569125981</v>
      </c>
      <c r="C109" s="67">
        <f t="shared" ref="C109:Q109" si="3">STDEV(C9:C104)</f>
        <v>12.116224170381193</v>
      </c>
      <c r="D109" s="67">
        <f t="shared" si="3"/>
        <v>15.871559858988554</v>
      </c>
      <c r="E109" s="67">
        <f t="shared" si="3"/>
        <v>0.51416138499945829</v>
      </c>
      <c r="F109" s="67">
        <f t="shared" si="3"/>
        <v>3.9410294318180563</v>
      </c>
      <c r="G109" s="67">
        <f t="shared" si="3"/>
        <v>24.032744858256994</v>
      </c>
      <c r="H109" s="67">
        <f t="shared" si="3"/>
        <v>5.0859693300268729</v>
      </c>
      <c r="I109" s="67">
        <f t="shared" si="3"/>
        <v>9.0591622710176331E-2</v>
      </c>
      <c r="J109" s="67">
        <f t="shared" si="3"/>
        <v>0.47103241405206858</v>
      </c>
      <c r="K109" s="67">
        <f t="shared" si="3"/>
        <v>83.498412219119928</v>
      </c>
      <c r="L109" s="67">
        <f t="shared" si="3"/>
        <v>4.6088554528783297</v>
      </c>
      <c r="M109" s="67">
        <f t="shared" si="3"/>
        <v>23.817394539109031</v>
      </c>
      <c r="N109" s="67">
        <f t="shared" si="3"/>
        <v>350.15697516795518</v>
      </c>
      <c r="O109" s="67">
        <f t="shared" si="3"/>
        <v>0.4697143588899198</v>
      </c>
      <c r="P109" s="67">
        <f t="shared" si="3"/>
        <v>0.37013888751741775</v>
      </c>
      <c r="Q109" s="67">
        <f t="shared" si="3"/>
        <v>6.0843270820746236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COUNT(G9:G104)+32</f>
        <v>88</v>
      </c>
      <c r="H110" s="66">
        <f>COUNT(H9:H104)+32</f>
        <v>88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2460</v>
      </c>
      <c r="B9" s="64">
        <v>8.68</v>
      </c>
      <c r="C9" s="64">
        <v>48.74</v>
      </c>
      <c r="D9" s="64">
        <v>34.5</v>
      </c>
      <c r="E9" s="64">
        <v>2.08</v>
      </c>
      <c r="F9" s="64">
        <v>4.45</v>
      </c>
      <c r="G9" s="64">
        <v>44.62</v>
      </c>
      <c r="H9" s="64">
        <v>17.25</v>
      </c>
      <c r="I9" s="64">
        <v>0.67</v>
      </c>
      <c r="J9" s="64">
        <v>0.24</v>
      </c>
      <c r="K9" s="64">
        <v>33.9</v>
      </c>
      <c r="L9" s="64">
        <v>18.2</v>
      </c>
      <c r="M9" s="64">
        <v>90.22</v>
      </c>
      <c r="N9" s="64">
        <v>5.0999999999999996</v>
      </c>
      <c r="O9" s="64">
        <v>0</v>
      </c>
      <c r="P9" s="64">
        <v>0.83</v>
      </c>
      <c r="Q9" s="64">
        <v>23.14</v>
      </c>
      <c r="R9" s="198"/>
      <c r="S9" s="198"/>
      <c r="T9" s="198"/>
      <c r="U9" s="198"/>
    </row>
    <row r="10" spans="1:21" s="12" customFormat="1" x14ac:dyDescent="0.25">
      <c r="A10" s="218" t="s">
        <v>2461</v>
      </c>
      <c r="B10" s="64">
        <v>6.69</v>
      </c>
      <c r="C10" s="64">
        <v>47.42</v>
      </c>
      <c r="D10" s="64">
        <v>32.18</v>
      </c>
      <c r="E10" s="64">
        <v>2.36</v>
      </c>
      <c r="F10" s="64">
        <v>4.59</v>
      </c>
      <c r="G10" s="64">
        <v>44.62</v>
      </c>
      <c r="H10" s="64">
        <v>17.25</v>
      </c>
      <c r="I10" s="64">
        <v>0.63</v>
      </c>
      <c r="J10" s="64">
        <v>1.8</v>
      </c>
      <c r="K10" s="64">
        <v>121.27</v>
      </c>
      <c r="L10" s="64">
        <v>18.739999999999998</v>
      </c>
      <c r="M10" s="64">
        <v>84.29</v>
      </c>
      <c r="N10" s="64">
        <v>7</v>
      </c>
      <c r="O10" s="64">
        <v>0</v>
      </c>
      <c r="P10" s="64">
        <v>0.79</v>
      </c>
      <c r="Q10" s="64">
        <v>22.71</v>
      </c>
      <c r="R10" s="198"/>
      <c r="S10" s="198"/>
      <c r="T10" s="198"/>
      <c r="U10" s="198"/>
    </row>
    <row r="11" spans="1:21" s="12" customFormat="1" x14ac:dyDescent="0.25">
      <c r="A11" s="218" t="s">
        <v>2462</v>
      </c>
      <c r="B11" s="64">
        <v>5.38</v>
      </c>
      <c r="C11" s="64">
        <v>43.11</v>
      </c>
      <c r="D11" s="64">
        <v>28.75</v>
      </c>
      <c r="E11" s="64">
        <v>1.87</v>
      </c>
      <c r="F11" s="64">
        <v>3.99</v>
      </c>
      <c r="G11" s="64">
        <v>27.52</v>
      </c>
      <c r="H11" s="64">
        <v>11.46</v>
      </c>
      <c r="I11" s="64">
        <v>0.62</v>
      </c>
      <c r="J11" s="64">
        <v>2.87</v>
      </c>
      <c r="K11" s="64">
        <v>130.16</v>
      </c>
      <c r="L11" s="64">
        <v>19.12</v>
      </c>
      <c r="M11" s="64">
        <v>78.75</v>
      </c>
      <c r="N11" s="64">
        <v>7.4</v>
      </c>
      <c r="O11" s="64">
        <v>0</v>
      </c>
      <c r="P11" s="64">
        <v>0.75</v>
      </c>
      <c r="Q11" s="64">
        <v>21.3</v>
      </c>
      <c r="R11" s="198"/>
      <c r="S11" s="198"/>
      <c r="T11" s="198"/>
      <c r="U11" s="198"/>
    </row>
    <row r="12" spans="1:21" s="12" customFormat="1" x14ac:dyDescent="0.25">
      <c r="A12" s="218" t="s">
        <v>2463</v>
      </c>
      <c r="B12" s="64">
        <v>4.57</v>
      </c>
      <c r="C12" s="64">
        <v>40.97</v>
      </c>
      <c r="D12" s="64">
        <v>26.92</v>
      </c>
      <c r="E12" s="64">
        <v>1.9</v>
      </c>
      <c r="F12" s="64">
        <v>3.91</v>
      </c>
      <c r="G12" s="64">
        <v>20.95</v>
      </c>
      <c r="H12" s="64">
        <v>11.28</v>
      </c>
      <c r="I12" s="64">
        <v>0.61</v>
      </c>
      <c r="J12" s="64">
        <v>2.5499999999999998</v>
      </c>
      <c r="K12" s="64">
        <v>122.62</v>
      </c>
      <c r="L12" s="64">
        <v>19.190000000000001</v>
      </c>
      <c r="M12" s="64">
        <v>79.709999999999994</v>
      </c>
      <c r="N12" s="64">
        <v>6.6</v>
      </c>
      <c r="O12" s="64">
        <v>0</v>
      </c>
      <c r="P12" s="64">
        <v>0.71</v>
      </c>
      <c r="Q12" s="64">
        <v>22.27</v>
      </c>
      <c r="R12" s="198"/>
      <c r="S12" s="198"/>
      <c r="T12" s="198"/>
      <c r="U12" s="198"/>
    </row>
    <row r="13" spans="1:21" s="12" customFormat="1" x14ac:dyDescent="0.25">
      <c r="A13" s="218" t="s">
        <v>2464</v>
      </c>
      <c r="B13" s="64">
        <v>4</v>
      </c>
      <c r="C13" s="64">
        <v>41.23</v>
      </c>
      <c r="D13" s="64">
        <v>26.61</v>
      </c>
      <c r="E13" s="64">
        <v>1.85</v>
      </c>
      <c r="F13" s="64">
        <v>3.91</v>
      </c>
      <c r="G13" s="64">
        <v>20.95</v>
      </c>
      <c r="H13" s="64">
        <v>11.28</v>
      </c>
      <c r="I13" s="64">
        <v>0.61</v>
      </c>
      <c r="J13" s="64">
        <v>2.56</v>
      </c>
      <c r="K13" s="64">
        <v>120.66</v>
      </c>
      <c r="L13" s="64">
        <v>19.489999999999998</v>
      </c>
      <c r="M13" s="64">
        <v>80.540000000000006</v>
      </c>
      <c r="N13" s="64">
        <v>5.2</v>
      </c>
      <c r="O13" s="64">
        <v>0</v>
      </c>
      <c r="P13" s="64">
        <v>0.56000000000000005</v>
      </c>
      <c r="Q13" s="64">
        <v>24.47</v>
      </c>
      <c r="R13" s="198"/>
      <c r="S13" s="198"/>
      <c r="T13" s="198"/>
      <c r="U13" s="198"/>
    </row>
    <row r="14" spans="1:21" s="12" customFormat="1" x14ac:dyDescent="0.25">
      <c r="A14" s="218" t="s">
        <v>2465</v>
      </c>
      <c r="B14" s="64">
        <v>3.6</v>
      </c>
      <c r="C14" s="64">
        <v>40.130000000000003</v>
      </c>
      <c r="D14" s="64">
        <v>25.68</v>
      </c>
      <c r="E14" s="64">
        <v>1.59</v>
      </c>
      <c r="F14" s="64">
        <v>4.04</v>
      </c>
      <c r="G14" s="64">
        <v>20.95</v>
      </c>
      <c r="H14" s="64">
        <v>11.28</v>
      </c>
      <c r="I14" s="64">
        <v>0.59</v>
      </c>
      <c r="J14" s="64">
        <v>2.0099999999999998</v>
      </c>
      <c r="K14" s="64">
        <v>111.63</v>
      </c>
      <c r="L14" s="64">
        <v>19.63</v>
      </c>
      <c r="M14" s="64">
        <v>81.98</v>
      </c>
      <c r="N14" s="64">
        <v>4.9000000000000004</v>
      </c>
      <c r="O14" s="64">
        <v>0</v>
      </c>
      <c r="P14" s="64">
        <v>0.55000000000000004</v>
      </c>
      <c r="Q14" s="64">
        <v>25.04</v>
      </c>
      <c r="R14" s="198"/>
      <c r="S14" s="198"/>
      <c r="T14" s="198"/>
      <c r="U14" s="198"/>
    </row>
    <row r="15" spans="1:21" s="12" customFormat="1" x14ac:dyDescent="0.25">
      <c r="A15" s="218" t="s">
        <v>2466</v>
      </c>
      <c r="B15" s="64">
        <v>3.42</v>
      </c>
      <c r="C15" s="64">
        <v>38.369999999999997</v>
      </c>
      <c r="D15" s="64">
        <v>24.56</v>
      </c>
      <c r="E15" s="64">
        <v>1.9</v>
      </c>
      <c r="F15" s="64">
        <v>4.28</v>
      </c>
      <c r="G15" s="64">
        <v>14.42</v>
      </c>
      <c r="H15" s="64">
        <v>9.4</v>
      </c>
      <c r="I15" s="64">
        <v>0.57999999999999996</v>
      </c>
      <c r="J15" s="64">
        <v>0.96</v>
      </c>
      <c r="K15" s="64">
        <v>113.81</v>
      </c>
      <c r="L15" s="64">
        <v>19.690000000000001</v>
      </c>
      <c r="M15" s="64">
        <v>82.05</v>
      </c>
      <c r="N15" s="64">
        <v>5.2</v>
      </c>
      <c r="O15" s="64">
        <v>0</v>
      </c>
      <c r="P15" s="64">
        <v>0.51</v>
      </c>
      <c r="Q15" s="64">
        <v>24.66</v>
      </c>
      <c r="R15" s="198"/>
      <c r="S15" s="198"/>
      <c r="T15" s="198"/>
      <c r="U15" s="198"/>
    </row>
    <row r="16" spans="1:21" s="12" customFormat="1" x14ac:dyDescent="0.25">
      <c r="A16" s="218" t="s">
        <v>2467</v>
      </c>
      <c r="B16" s="64">
        <v>3.35</v>
      </c>
      <c r="C16" s="64">
        <v>32.57</v>
      </c>
      <c r="D16" s="64">
        <v>21.31</v>
      </c>
      <c r="E16" s="64">
        <v>1.57</v>
      </c>
      <c r="F16" s="64">
        <v>3.94</v>
      </c>
      <c r="G16" s="64">
        <v>11.91</v>
      </c>
      <c r="H16" s="64">
        <v>9.34</v>
      </c>
      <c r="I16" s="64">
        <v>0.56999999999999995</v>
      </c>
      <c r="J16" s="64">
        <v>0.79</v>
      </c>
      <c r="K16" s="64">
        <v>114.94</v>
      </c>
      <c r="L16" s="64">
        <v>19.489999999999998</v>
      </c>
      <c r="M16" s="64">
        <v>82.7</v>
      </c>
      <c r="N16" s="64">
        <v>5.4</v>
      </c>
      <c r="O16" s="64">
        <v>0</v>
      </c>
      <c r="P16" s="64">
        <v>0.49</v>
      </c>
      <c r="Q16" s="64">
        <v>22.69</v>
      </c>
      <c r="R16" s="198"/>
      <c r="S16" s="198"/>
      <c r="T16" s="198"/>
      <c r="U16" s="198"/>
    </row>
    <row r="17" spans="1:21" s="12" customFormat="1" x14ac:dyDescent="0.25">
      <c r="A17" s="218" t="s">
        <v>2468</v>
      </c>
      <c r="B17" s="64">
        <v>3.08</v>
      </c>
      <c r="C17" s="64">
        <v>31.88</v>
      </c>
      <c r="D17" s="64">
        <v>20.71</v>
      </c>
      <c r="E17" s="64">
        <v>1.66</v>
      </c>
      <c r="F17" s="64">
        <v>4.16</v>
      </c>
      <c r="G17" s="64">
        <v>11.91</v>
      </c>
      <c r="H17" s="64">
        <v>9.34</v>
      </c>
      <c r="I17" s="64">
        <v>0.56000000000000005</v>
      </c>
      <c r="J17" s="64">
        <v>1.95</v>
      </c>
      <c r="K17" s="64">
        <v>128.31</v>
      </c>
      <c r="L17" s="64">
        <v>19.63</v>
      </c>
      <c r="M17" s="64">
        <v>81.47</v>
      </c>
      <c r="N17" s="64">
        <v>5.0999999999999996</v>
      </c>
      <c r="O17" s="64">
        <v>0</v>
      </c>
      <c r="P17" s="64">
        <v>0.47</v>
      </c>
      <c r="Q17" s="64">
        <v>22.3</v>
      </c>
      <c r="R17" s="198"/>
      <c r="S17" s="198"/>
      <c r="T17" s="198"/>
      <c r="U17" s="198"/>
    </row>
    <row r="18" spans="1:21" s="12" customFormat="1" x14ac:dyDescent="0.25">
      <c r="A18" s="218" t="s">
        <v>2469</v>
      </c>
      <c r="B18" s="64">
        <v>2.82</v>
      </c>
      <c r="C18" s="64">
        <v>32.130000000000003</v>
      </c>
      <c r="D18" s="64">
        <v>20.64</v>
      </c>
      <c r="E18" s="64">
        <v>1.76</v>
      </c>
      <c r="F18" s="64">
        <v>4.04</v>
      </c>
      <c r="G18" s="64">
        <v>11.91</v>
      </c>
      <c r="H18" s="64">
        <v>9.34</v>
      </c>
      <c r="I18" s="64">
        <v>0.55000000000000004</v>
      </c>
      <c r="J18" s="64">
        <v>1.98</v>
      </c>
      <c r="K18" s="64">
        <v>126.63</v>
      </c>
      <c r="L18" s="64">
        <v>19.399999999999999</v>
      </c>
      <c r="M18" s="64">
        <v>84.54</v>
      </c>
      <c r="N18" s="64">
        <v>5.4</v>
      </c>
      <c r="O18" s="64">
        <v>0</v>
      </c>
      <c r="P18" s="64">
        <v>0.45</v>
      </c>
      <c r="Q18" s="64">
        <v>22.49</v>
      </c>
      <c r="R18" s="198"/>
      <c r="S18" s="198"/>
      <c r="T18" s="198"/>
      <c r="U18" s="198"/>
    </row>
    <row r="19" spans="1:21" s="12" customFormat="1" x14ac:dyDescent="0.25">
      <c r="A19" s="218" t="s">
        <v>2470</v>
      </c>
      <c r="B19" s="64">
        <v>2.64</v>
      </c>
      <c r="C19" s="64">
        <v>32.380000000000003</v>
      </c>
      <c r="D19" s="64">
        <v>20.63</v>
      </c>
      <c r="E19" s="64">
        <v>1.63</v>
      </c>
      <c r="F19" s="64">
        <v>4.21</v>
      </c>
      <c r="G19" s="64">
        <v>8.2200000000000006</v>
      </c>
      <c r="H19" s="64">
        <v>6.95</v>
      </c>
      <c r="I19" s="64">
        <v>0.55000000000000004</v>
      </c>
      <c r="J19" s="64">
        <v>2.23</v>
      </c>
      <c r="K19" s="64">
        <v>116.09</v>
      </c>
      <c r="L19" s="64">
        <v>19.53</v>
      </c>
      <c r="M19" s="64">
        <v>81.86</v>
      </c>
      <c r="N19" s="64">
        <v>4.8</v>
      </c>
      <c r="O19" s="64">
        <v>0</v>
      </c>
      <c r="P19" s="64">
        <v>0.42</v>
      </c>
      <c r="Q19" s="64">
        <v>22.8</v>
      </c>
      <c r="R19" s="198"/>
      <c r="S19" s="198"/>
      <c r="T19" s="198"/>
      <c r="U19" s="198"/>
    </row>
    <row r="20" spans="1:21" s="12" customFormat="1" x14ac:dyDescent="0.25">
      <c r="A20" s="218" t="s">
        <v>2471</v>
      </c>
      <c r="B20" s="64">
        <v>2.5099999999999998</v>
      </c>
      <c r="C20" s="64">
        <v>32.67</v>
      </c>
      <c r="D20" s="64">
        <v>20.69</v>
      </c>
      <c r="E20" s="64">
        <v>1.81</v>
      </c>
      <c r="F20" s="64">
        <v>3.96</v>
      </c>
      <c r="G20" s="215" t="s">
        <v>42</v>
      </c>
      <c r="H20" s="215" t="s">
        <v>42</v>
      </c>
      <c r="I20" s="64">
        <v>0.54</v>
      </c>
      <c r="J20" s="64">
        <v>0.91</v>
      </c>
      <c r="K20" s="64">
        <v>152.30000000000001</v>
      </c>
      <c r="L20" s="64">
        <v>19.91</v>
      </c>
      <c r="M20" s="64">
        <v>78.41</v>
      </c>
      <c r="N20" s="64">
        <v>4.8</v>
      </c>
      <c r="O20" s="64">
        <v>0</v>
      </c>
      <c r="P20" s="64">
        <v>0.39</v>
      </c>
      <c r="Q20" s="64">
        <v>23.24</v>
      </c>
      <c r="R20" s="198"/>
      <c r="S20" s="198"/>
      <c r="T20" s="198"/>
      <c r="U20" s="198"/>
    </row>
    <row r="21" spans="1:21" s="12" customFormat="1" x14ac:dyDescent="0.25">
      <c r="A21" s="218" t="s">
        <v>2472</v>
      </c>
      <c r="B21" s="64">
        <v>2.44</v>
      </c>
      <c r="C21" s="64">
        <v>31.92</v>
      </c>
      <c r="D21" s="64">
        <v>20.22</v>
      </c>
      <c r="E21" s="64">
        <v>2.12</v>
      </c>
      <c r="F21" s="64">
        <v>3.97</v>
      </c>
      <c r="G21" s="215" t="s">
        <v>42</v>
      </c>
      <c r="H21" s="215" t="s">
        <v>42</v>
      </c>
      <c r="I21" s="64">
        <v>0.53</v>
      </c>
      <c r="J21" s="64">
        <v>0.57999999999999996</v>
      </c>
      <c r="K21" s="64">
        <v>165.45</v>
      </c>
      <c r="L21" s="64">
        <v>19.8</v>
      </c>
      <c r="M21" s="64">
        <v>79.55</v>
      </c>
      <c r="N21" s="64">
        <v>5.3</v>
      </c>
      <c r="O21" s="64">
        <v>0</v>
      </c>
      <c r="P21" s="64">
        <v>0.39</v>
      </c>
      <c r="Q21" s="64">
        <v>21.87</v>
      </c>
      <c r="R21" s="198"/>
      <c r="S21" s="198"/>
      <c r="T21" s="198"/>
      <c r="U21" s="198"/>
    </row>
    <row r="22" spans="1:21" s="12" customFormat="1" x14ac:dyDescent="0.25">
      <c r="A22" s="218" t="s">
        <v>2473</v>
      </c>
      <c r="B22" s="64">
        <v>2.38</v>
      </c>
      <c r="C22" s="64">
        <v>32.53</v>
      </c>
      <c r="D22" s="64">
        <v>20.5</v>
      </c>
      <c r="E22" s="64">
        <v>1.89</v>
      </c>
      <c r="F22" s="64">
        <v>3.89</v>
      </c>
      <c r="G22" s="215" t="s">
        <v>42</v>
      </c>
      <c r="H22" s="215" t="s">
        <v>42</v>
      </c>
      <c r="I22" s="64">
        <v>0.53</v>
      </c>
      <c r="J22" s="64">
        <v>0.43</v>
      </c>
      <c r="K22" s="64">
        <v>154.58000000000001</v>
      </c>
      <c r="L22" s="64">
        <v>19.54</v>
      </c>
      <c r="M22" s="64">
        <v>81.319999999999993</v>
      </c>
      <c r="N22" s="64">
        <v>5.0999999999999996</v>
      </c>
      <c r="O22" s="64">
        <v>0</v>
      </c>
      <c r="P22" s="64">
        <v>0.37</v>
      </c>
      <c r="Q22" s="64">
        <v>21.2</v>
      </c>
      <c r="R22" s="198"/>
      <c r="S22" s="198"/>
      <c r="T22" s="198"/>
      <c r="U22" s="198"/>
    </row>
    <row r="23" spans="1:21" s="12" customFormat="1" x14ac:dyDescent="0.25">
      <c r="A23" s="218" t="s">
        <v>2474</v>
      </c>
      <c r="B23" s="64">
        <v>2.4300000000000002</v>
      </c>
      <c r="C23" s="64">
        <v>30.11</v>
      </c>
      <c r="D23" s="64">
        <v>19.21</v>
      </c>
      <c r="E23" s="64">
        <v>1.76</v>
      </c>
      <c r="F23" s="64">
        <v>5.41</v>
      </c>
      <c r="G23" s="215" t="s">
        <v>42</v>
      </c>
      <c r="H23" s="215" t="s">
        <v>42</v>
      </c>
      <c r="I23" s="64">
        <v>0.52</v>
      </c>
      <c r="J23" s="64">
        <v>0.48</v>
      </c>
      <c r="K23" s="64">
        <v>193.95</v>
      </c>
      <c r="L23" s="64">
        <v>19.36</v>
      </c>
      <c r="M23" s="64">
        <v>81.37</v>
      </c>
      <c r="N23" s="64">
        <v>4.9000000000000004</v>
      </c>
      <c r="O23" s="64">
        <v>0</v>
      </c>
      <c r="P23" s="64">
        <v>0.35</v>
      </c>
      <c r="Q23" s="64">
        <v>18.14</v>
      </c>
      <c r="R23" s="198"/>
      <c r="S23" s="198"/>
      <c r="T23" s="198"/>
      <c r="U23" s="198"/>
    </row>
    <row r="24" spans="1:21" s="12" customFormat="1" x14ac:dyDescent="0.25">
      <c r="A24" s="218" t="s">
        <v>2475</v>
      </c>
      <c r="B24" s="64">
        <v>2.7</v>
      </c>
      <c r="C24" s="64">
        <v>31.23</v>
      </c>
      <c r="D24" s="64">
        <v>20.05</v>
      </c>
      <c r="E24" s="64">
        <v>1.1399999999999999</v>
      </c>
      <c r="F24" s="64">
        <v>4.43</v>
      </c>
      <c r="G24" s="215" t="s">
        <v>42</v>
      </c>
      <c r="H24" s="215" t="s">
        <v>42</v>
      </c>
      <c r="I24" s="64">
        <v>0.53</v>
      </c>
      <c r="J24" s="64">
        <v>0.53</v>
      </c>
      <c r="K24" s="64">
        <v>195.88</v>
      </c>
      <c r="L24" s="64">
        <v>19.29</v>
      </c>
      <c r="M24" s="64">
        <v>83.39</v>
      </c>
      <c r="N24" s="64">
        <v>4.5</v>
      </c>
      <c r="O24" s="64">
        <v>0</v>
      </c>
      <c r="P24" s="64">
        <v>0.35</v>
      </c>
      <c r="Q24" s="64">
        <v>17.62</v>
      </c>
      <c r="R24" s="198"/>
      <c r="S24" s="198"/>
      <c r="T24" s="198"/>
      <c r="U24" s="198"/>
    </row>
    <row r="25" spans="1:21" s="12" customFormat="1" x14ac:dyDescent="0.25">
      <c r="A25" s="218" t="s">
        <v>2476</v>
      </c>
      <c r="B25" s="64">
        <v>3.11</v>
      </c>
      <c r="C25" s="64">
        <v>32.69</v>
      </c>
      <c r="D25" s="64">
        <v>21.18</v>
      </c>
      <c r="E25" s="64">
        <v>1.66</v>
      </c>
      <c r="F25" s="64">
        <v>4.07</v>
      </c>
      <c r="G25" s="215" t="s">
        <v>42</v>
      </c>
      <c r="H25" s="215" t="s">
        <v>42</v>
      </c>
      <c r="I25" s="64">
        <v>0.52</v>
      </c>
      <c r="J25" s="64">
        <v>0.38</v>
      </c>
      <c r="K25" s="64">
        <v>190.78</v>
      </c>
      <c r="L25" s="64">
        <v>19.350000000000001</v>
      </c>
      <c r="M25" s="64">
        <v>82.77</v>
      </c>
      <c r="N25" s="64">
        <v>4.5</v>
      </c>
      <c r="O25" s="64">
        <v>0</v>
      </c>
      <c r="P25" s="64">
        <v>0.35</v>
      </c>
      <c r="Q25" s="64">
        <v>17.8</v>
      </c>
      <c r="R25" s="198"/>
      <c r="S25" s="198"/>
      <c r="T25" s="198"/>
      <c r="U25" s="198"/>
    </row>
    <row r="26" spans="1:21" s="12" customFormat="1" x14ac:dyDescent="0.25">
      <c r="A26" s="218" t="s">
        <v>2477</v>
      </c>
      <c r="B26" s="64">
        <v>3.5</v>
      </c>
      <c r="C26" s="64">
        <v>32.68</v>
      </c>
      <c r="D26" s="64">
        <v>21.49</v>
      </c>
      <c r="E26" s="64">
        <v>1.54</v>
      </c>
      <c r="F26" s="64">
        <v>3.55</v>
      </c>
      <c r="G26" s="215" t="s">
        <v>42</v>
      </c>
      <c r="H26" s="215" t="s">
        <v>42</v>
      </c>
      <c r="I26" s="64">
        <v>0.51</v>
      </c>
      <c r="J26" s="64">
        <v>0.47</v>
      </c>
      <c r="K26" s="64">
        <v>195.73</v>
      </c>
      <c r="L26" s="64">
        <v>19.329999999999998</v>
      </c>
      <c r="M26" s="64">
        <v>82.57</v>
      </c>
      <c r="N26" s="64">
        <v>4.4000000000000004</v>
      </c>
      <c r="O26" s="64">
        <v>0</v>
      </c>
      <c r="P26" s="64">
        <v>0.35</v>
      </c>
      <c r="Q26" s="64">
        <v>18.45</v>
      </c>
      <c r="R26" s="198"/>
      <c r="S26" s="198"/>
      <c r="T26" s="198"/>
      <c r="U26" s="198"/>
    </row>
    <row r="27" spans="1:21" s="12" customFormat="1" x14ac:dyDescent="0.25">
      <c r="A27" s="218" t="s">
        <v>2478</v>
      </c>
      <c r="B27" s="64">
        <v>3.84</v>
      </c>
      <c r="C27" s="64">
        <v>35.14</v>
      </c>
      <c r="D27" s="64">
        <v>23.11</v>
      </c>
      <c r="E27" s="64">
        <v>1.88</v>
      </c>
      <c r="F27" s="64">
        <v>3.51</v>
      </c>
      <c r="G27" s="215" t="s">
        <v>42</v>
      </c>
      <c r="H27" s="215" t="s">
        <v>42</v>
      </c>
      <c r="I27" s="64">
        <v>0.51</v>
      </c>
      <c r="J27" s="64">
        <v>0.35</v>
      </c>
      <c r="K27" s="64">
        <v>221.46</v>
      </c>
      <c r="L27" s="64">
        <v>19.440000000000001</v>
      </c>
      <c r="M27" s="64">
        <v>80.2</v>
      </c>
      <c r="N27" s="64">
        <v>4.5</v>
      </c>
      <c r="O27" s="64">
        <v>0</v>
      </c>
      <c r="P27" s="64">
        <v>0.34</v>
      </c>
      <c r="Q27" s="64">
        <v>19.850000000000001</v>
      </c>
      <c r="R27" s="198"/>
      <c r="S27" s="198"/>
      <c r="T27" s="198"/>
      <c r="U27" s="198"/>
    </row>
    <row r="28" spans="1:21" s="12" customFormat="1" x14ac:dyDescent="0.25">
      <c r="A28" s="218" t="s">
        <v>2479</v>
      </c>
      <c r="B28" s="64">
        <v>3.91</v>
      </c>
      <c r="C28" s="64">
        <v>36.43</v>
      </c>
      <c r="D28" s="64">
        <v>23.89</v>
      </c>
      <c r="E28" s="64">
        <v>1.69</v>
      </c>
      <c r="F28" s="64">
        <v>3.52</v>
      </c>
      <c r="G28" s="215" t="s">
        <v>42</v>
      </c>
      <c r="H28" s="215" t="s">
        <v>42</v>
      </c>
      <c r="I28" s="64">
        <v>0.53</v>
      </c>
      <c r="J28" s="64">
        <v>0.25</v>
      </c>
      <c r="K28" s="64">
        <v>250.21</v>
      </c>
      <c r="L28" s="64">
        <v>19.43</v>
      </c>
      <c r="M28" s="64">
        <v>79.84</v>
      </c>
      <c r="N28" s="64">
        <v>4.8</v>
      </c>
      <c r="O28" s="64">
        <v>0</v>
      </c>
      <c r="P28" s="64">
        <v>0.34</v>
      </c>
      <c r="Q28" s="64">
        <v>21.05</v>
      </c>
      <c r="R28" s="198"/>
      <c r="S28" s="198"/>
      <c r="T28" s="198"/>
      <c r="U28" s="198"/>
    </row>
    <row r="29" spans="1:21" s="12" customFormat="1" x14ac:dyDescent="0.25">
      <c r="A29" s="218" t="s">
        <v>2480</v>
      </c>
      <c r="B29" s="64">
        <v>3.8</v>
      </c>
      <c r="C29" s="64">
        <v>35.950000000000003</v>
      </c>
      <c r="D29" s="64">
        <v>23.53</v>
      </c>
      <c r="E29" s="64">
        <v>2.04</v>
      </c>
      <c r="F29" s="64">
        <v>3.61</v>
      </c>
      <c r="G29" s="215" t="s">
        <v>42</v>
      </c>
      <c r="H29" s="215" t="s">
        <v>42</v>
      </c>
      <c r="I29" s="64">
        <v>0.52</v>
      </c>
      <c r="J29" s="64">
        <v>0.28999999999999998</v>
      </c>
      <c r="K29" s="64">
        <v>221.07</v>
      </c>
      <c r="L29" s="64">
        <v>19.329999999999998</v>
      </c>
      <c r="M29" s="64">
        <v>80.239999999999995</v>
      </c>
      <c r="N29" s="64">
        <v>4.7</v>
      </c>
      <c r="O29" s="64">
        <v>0</v>
      </c>
      <c r="P29" s="64">
        <v>0.33</v>
      </c>
      <c r="Q29" s="64">
        <v>20.09</v>
      </c>
      <c r="R29" s="198"/>
      <c r="S29" s="198"/>
      <c r="T29" s="198"/>
      <c r="U29" s="198"/>
    </row>
    <row r="30" spans="1:21" s="12" customFormat="1" x14ac:dyDescent="0.25">
      <c r="A30" s="218" t="s">
        <v>2481</v>
      </c>
      <c r="B30" s="64">
        <v>3.68</v>
      </c>
      <c r="C30" s="64">
        <v>35.4</v>
      </c>
      <c r="D30" s="64">
        <v>23.13</v>
      </c>
      <c r="E30" s="64">
        <v>1.8</v>
      </c>
      <c r="F30" s="64">
        <v>3.64</v>
      </c>
      <c r="G30" s="215" t="s">
        <v>42</v>
      </c>
      <c r="H30" s="215" t="s">
        <v>42</v>
      </c>
      <c r="I30" s="64">
        <v>0.52</v>
      </c>
      <c r="J30" s="64">
        <v>0.25</v>
      </c>
      <c r="K30" s="64">
        <v>239.95</v>
      </c>
      <c r="L30" s="64">
        <v>19.239999999999998</v>
      </c>
      <c r="M30" s="64">
        <v>80.61</v>
      </c>
      <c r="N30" s="64">
        <v>5.7</v>
      </c>
      <c r="O30" s="64">
        <v>0</v>
      </c>
      <c r="P30" s="64">
        <v>0.33</v>
      </c>
      <c r="Q30" s="64">
        <v>18.88</v>
      </c>
      <c r="R30" s="198"/>
      <c r="S30" s="198"/>
      <c r="T30" s="198"/>
      <c r="U30" s="198"/>
    </row>
    <row r="31" spans="1:21" s="12" customFormat="1" x14ac:dyDescent="0.25">
      <c r="A31" s="218" t="s">
        <v>2482</v>
      </c>
      <c r="B31" s="64">
        <v>3.65</v>
      </c>
      <c r="C31" s="64">
        <v>36.33</v>
      </c>
      <c r="D31" s="64">
        <v>23.63</v>
      </c>
      <c r="E31" s="64">
        <v>1.46</v>
      </c>
      <c r="F31" s="64">
        <v>3.51</v>
      </c>
      <c r="G31" s="215" t="s">
        <v>42</v>
      </c>
      <c r="H31" s="215" t="s">
        <v>42</v>
      </c>
      <c r="I31" s="64">
        <v>0.51</v>
      </c>
      <c r="J31" s="64">
        <v>0.51</v>
      </c>
      <c r="K31" s="64">
        <v>218.81</v>
      </c>
      <c r="L31" s="64">
        <v>19.27</v>
      </c>
      <c r="M31" s="64">
        <v>79.17</v>
      </c>
      <c r="N31" s="64">
        <v>14.6</v>
      </c>
      <c r="O31" s="64">
        <v>0</v>
      </c>
      <c r="P31" s="64">
        <v>0.33</v>
      </c>
      <c r="Q31" s="64">
        <v>18.5</v>
      </c>
      <c r="R31" s="198"/>
      <c r="S31" s="198"/>
      <c r="T31" s="198"/>
      <c r="U31" s="198"/>
    </row>
    <row r="32" spans="1:21" s="12" customFormat="1" x14ac:dyDescent="0.25">
      <c r="A32" s="218" t="s">
        <v>2483</v>
      </c>
      <c r="B32" s="64">
        <v>3.72</v>
      </c>
      <c r="C32" s="64">
        <v>36.79</v>
      </c>
      <c r="D32" s="64">
        <v>23.93</v>
      </c>
      <c r="E32" s="64">
        <v>1.56</v>
      </c>
      <c r="F32" s="64">
        <v>3.46</v>
      </c>
      <c r="G32" s="215" t="s">
        <v>42</v>
      </c>
      <c r="H32" s="215" t="s">
        <v>42</v>
      </c>
      <c r="I32" s="64">
        <v>0.52</v>
      </c>
      <c r="J32" s="64">
        <v>0.67</v>
      </c>
      <c r="K32" s="64">
        <v>192.82</v>
      </c>
      <c r="L32" s="64">
        <v>19.489999999999998</v>
      </c>
      <c r="M32" s="64">
        <v>77.05</v>
      </c>
      <c r="N32" s="64">
        <v>32</v>
      </c>
      <c r="O32" s="64">
        <v>0</v>
      </c>
      <c r="P32" s="64">
        <v>0.34</v>
      </c>
      <c r="Q32" s="64">
        <v>18.14</v>
      </c>
      <c r="R32" s="198"/>
      <c r="S32" s="198"/>
      <c r="T32" s="198"/>
      <c r="U32" s="198"/>
    </row>
    <row r="33" spans="1:21" s="12" customFormat="1" x14ac:dyDescent="0.25">
      <c r="A33" s="218" t="s">
        <v>2484</v>
      </c>
      <c r="B33" s="64">
        <v>3.89</v>
      </c>
      <c r="C33" s="64">
        <v>36.770000000000003</v>
      </c>
      <c r="D33" s="64">
        <v>24.06</v>
      </c>
      <c r="E33" s="64">
        <v>1.64</v>
      </c>
      <c r="F33" s="64">
        <v>3.33</v>
      </c>
      <c r="G33" s="215" t="s">
        <v>42</v>
      </c>
      <c r="H33" s="215" t="s">
        <v>42</v>
      </c>
      <c r="I33" s="64">
        <v>0.52</v>
      </c>
      <c r="J33" s="64">
        <v>1.01</v>
      </c>
      <c r="K33" s="64">
        <v>189.47</v>
      </c>
      <c r="L33" s="64">
        <v>19.96</v>
      </c>
      <c r="M33" s="64">
        <v>73.19</v>
      </c>
      <c r="N33" s="64">
        <v>58.2</v>
      </c>
      <c r="O33" s="64">
        <v>0</v>
      </c>
      <c r="P33" s="64">
        <v>0.33</v>
      </c>
      <c r="Q33" s="64">
        <v>17.63</v>
      </c>
      <c r="R33" s="198"/>
      <c r="S33" s="198"/>
      <c r="T33" s="198"/>
      <c r="U33" s="198"/>
    </row>
    <row r="34" spans="1:21" s="12" customFormat="1" x14ac:dyDescent="0.25">
      <c r="A34" s="218" t="s">
        <v>2485</v>
      </c>
      <c r="B34" s="64">
        <v>3.98</v>
      </c>
      <c r="C34" s="64">
        <v>36.630000000000003</v>
      </c>
      <c r="D34" s="64">
        <v>24.06</v>
      </c>
      <c r="E34" s="64">
        <v>1.39</v>
      </c>
      <c r="F34" s="64">
        <v>3.5</v>
      </c>
      <c r="G34" s="215" t="s">
        <v>42</v>
      </c>
      <c r="H34" s="215" t="s">
        <v>42</v>
      </c>
      <c r="I34" s="64">
        <v>0.51</v>
      </c>
      <c r="J34" s="64">
        <v>0.56999999999999995</v>
      </c>
      <c r="K34" s="64">
        <v>196.83</v>
      </c>
      <c r="L34" s="64">
        <v>20.32</v>
      </c>
      <c r="M34" s="64">
        <v>72.47</v>
      </c>
      <c r="N34" s="64">
        <v>99.3</v>
      </c>
      <c r="O34" s="64">
        <v>0</v>
      </c>
      <c r="P34" s="64">
        <v>0.33</v>
      </c>
      <c r="Q34" s="64">
        <v>16.22</v>
      </c>
      <c r="R34" s="198"/>
      <c r="S34" s="198"/>
      <c r="T34" s="198"/>
      <c r="U34" s="198"/>
    </row>
    <row r="35" spans="1:21" s="12" customFormat="1" x14ac:dyDescent="0.25">
      <c r="A35" s="218" t="s">
        <v>2486</v>
      </c>
      <c r="B35" s="64">
        <v>4.17</v>
      </c>
      <c r="C35" s="64">
        <v>31.62</v>
      </c>
      <c r="D35" s="64">
        <v>21.44</v>
      </c>
      <c r="E35" s="64">
        <v>1.46</v>
      </c>
      <c r="F35" s="64">
        <v>3.61</v>
      </c>
      <c r="G35" s="64">
        <v>14.11</v>
      </c>
      <c r="H35" s="64">
        <v>5.86</v>
      </c>
      <c r="I35" s="64">
        <v>0.51</v>
      </c>
      <c r="J35" s="64">
        <v>0.24</v>
      </c>
      <c r="K35" s="64">
        <v>229.45</v>
      </c>
      <c r="L35" s="64">
        <v>20.78</v>
      </c>
      <c r="M35" s="64">
        <v>71.52</v>
      </c>
      <c r="N35" s="64">
        <v>128.30000000000001</v>
      </c>
      <c r="O35" s="64">
        <v>0</v>
      </c>
      <c r="P35" s="64">
        <v>0.33</v>
      </c>
      <c r="Q35" s="64">
        <v>10.87</v>
      </c>
      <c r="R35" s="198"/>
      <c r="S35" s="198"/>
      <c r="T35" s="198"/>
      <c r="U35" s="198"/>
    </row>
    <row r="36" spans="1:21" s="12" customFormat="1" x14ac:dyDescent="0.25">
      <c r="A36" s="218" t="s">
        <v>2487</v>
      </c>
      <c r="B36" s="64">
        <v>4.45</v>
      </c>
      <c r="C36" s="64">
        <v>32.340000000000003</v>
      </c>
      <c r="D36" s="64">
        <v>22.07</v>
      </c>
      <c r="E36" s="64">
        <v>2.0299999999999998</v>
      </c>
      <c r="F36" s="64">
        <v>3.6</v>
      </c>
      <c r="G36" s="64">
        <v>17.53</v>
      </c>
      <c r="H36" s="64">
        <v>5.9</v>
      </c>
      <c r="I36" s="64">
        <v>0.52</v>
      </c>
      <c r="J36" s="64">
        <v>0.33</v>
      </c>
      <c r="K36" s="64">
        <v>202.52</v>
      </c>
      <c r="L36" s="64">
        <v>21.31</v>
      </c>
      <c r="M36" s="64">
        <v>69.569999999999993</v>
      </c>
      <c r="N36" s="64">
        <v>207.3</v>
      </c>
      <c r="O36" s="64">
        <v>0</v>
      </c>
      <c r="P36" s="64">
        <v>0.33</v>
      </c>
      <c r="Q36" s="64">
        <v>11.47</v>
      </c>
      <c r="R36" s="198"/>
      <c r="S36" s="198"/>
      <c r="T36" s="198"/>
      <c r="U36" s="198"/>
    </row>
    <row r="37" spans="1:21" s="12" customFormat="1" x14ac:dyDescent="0.25">
      <c r="A37" s="218" t="s">
        <v>2488</v>
      </c>
      <c r="B37" s="64">
        <v>5.21</v>
      </c>
      <c r="C37" s="64">
        <v>32.409999999999997</v>
      </c>
      <c r="D37" s="64">
        <v>22.71</v>
      </c>
      <c r="E37" s="64">
        <v>1.41</v>
      </c>
      <c r="F37" s="64">
        <v>3.59</v>
      </c>
      <c r="G37" s="64">
        <v>17.53</v>
      </c>
      <c r="H37" s="64">
        <v>5.9</v>
      </c>
      <c r="I37" s="64">
        <v>0.51</v>
      </c>
      <c r="J37" s="64">
        <v>0.06</v>
      </c>
      <c r="K37" s="64">
        <v>291.8</v>
      </c>
      <c r="L37" s="64">
        <v>22.74</v>
      </c>
      <c r="M37" s="64">
        <v>64.180000000000007</v>
      </c>
      <c r="N37" s="64">
        <v>237.5</v>
      </c>
      <c r="O37" s="64">
        <v>0</v>
      </c>
      <c r="P37" s="64">
        <v>0.33</v>
      </c>
      <c r="Q37" s="64">
        <v>11.44</v>
      </c>
      <c r="R37" s="198"/>
      <c r="S37" s="198"/>
      <c r="T37" s="198"/>
      <c r="U37" s="198"/>
    </row>
    <row r="38" spans="1:21" s="12" customFormat="1" x14ac:dyDescent="0.25">
      <c r="A38" s="218" t="s">
        <v>2489</v>
      </c>
      <c r="B38" s="64">
        <v>5.6</v>
      </c>
      <c r="C38" s="64">
        <v>34.21</v>
      </c>
      <c r="D38" s="64">
        <v>24.01</v>
      </c>
      <c r="E38" s="64">
        <v>1.78</v>
      </c>
      <c r="F38" s="64">
        <v>3.42</v>
      </c>
      <c r="G38" s="64">
        <v>17.53</v>
      </c>
      <c r="H38" s="64">
        <v>5.9</v>
      </c>
      <c r="I38" s="64">
        <v>0.5</v>
      </c>
      <c r="J38" s="64">
        <v>0.16</v>
      </c>
      <c r="K38" s="64">
        <v>252.19</v>
      </c>
      <c r="L38" s="64">
        <v>22.88</v>
      </c>
      <c r="M38" s="64">
        <v>62.73</v>
      </c>
      <c r="N38" s="64">
        <v>266.3</v>
      </c>
      <c r="O38" s="64">
        <v>0</v>
      </c>
      <c r="P38" s="64">
        <v>0.35</v>
      </c>
      <c r="Q38" s="64">
        <v>12.6</v>
      </c>
      <c r="R38" s="198"/>
      <c r="S38" s="198"/>
      <c r="T38" s="198"/>
      <c r="U38" s="198"/>
    </row>
    <row r="39" spans="1:21" s="12" customFormat="1" x14ac:dyDescent="0.25">
      <c r="A39" s="218" t="s">
        <v>2490</v>
      </c>
      <c r="B39" s="64">
        <v>5.47</v>
      </c>
      <c r="C39" s="64">
        <v>32.9</v>
      </c>
      <c r="D39" s="64">
        <v>23.19</v>
      </c>
      <c r="E39" s="64">
        <v>1.25</v>
      </c>
      <c r="F39" s="64">
        <v>3.22</v>
      </c>
      <c r="G39" s="64">
        <v>16.57</v>
      </c>
      <c r="H39" s="64">
        <v>6.07</v>
      </c>
      <c r="I39" s="64">
        <v>0.51</v>
      </c>
      <c r="J39" s="64">
        <v>0.13</v>
      </c>
      <c r="K39" s="64">
        <v>175.63</v>
      </c>
      <c r="L39" s="64">
        <v>22.84</v>
      </c>
      <c r="M39" s="64">
        <v>62.62</v>
      </c>
      <c r="N39" s="64">
        <v>218.6</v>
      </c>
      <c r="O39" s="64">
        <v>0</v>
      </c>
      <c r="P39" s="64">
        <v>0.35</v>
      </c>
      <c r="Q39" s="64">
        <v>11.51</v>
      </c>
      <c r="R39" s="198"/>
      <c r="S39" s="198"/>
      <c r="T39" s="198"/>
      <c r="U39" s="198"/>
    </row>
    <row r="40" spans="1:21" s="12" customFormat="1" x14ac:dyDescent="0.25">
      <c r="A40" s="218" t="s">
        <v>2491</v>
      </c>
      <c r="B40" s="64">
        <v>5.09</v>
      </c>
      <c r="C40" s="64">
        <v>33.33</v>
      </c>
      <c r="D40" s="64">
        <v>23.13</v>
      </c>
      <c r="E40" s="64">
        <v>1.76</v>
      </c>
      <c r="F40" s="64">
        <v>3.51</v>
      </c>
      <c r="G40" s="64">
        <v>16.190000000000001</v>
      </c>
      <c r="H40" s="64">
        <v>6.08</v>
      </c>
      <c r="I40" s="64">
        <v>0.52</v>
      </c>
      <c r="J40" s="64">
        <v>0.59</v>
      </c>
      <c r="K40" s="64">
        <v>186.99</v>
      </c>
      <c r="L40" s="64">
        <v>23.88</v>
      </c>
      <c r="M40" s="64">
        <v>60.05</v>
      </c>
      <c r="N40" s="64">
        <v>433</v>
      </c>
      <c r="O40" s="64">
        <v>0</v>
      </c>
      <c r="P40" s="64">
        <v>0.34</v>
      </c>
      <c r="Q40" s="64">
        <v>13</v>
      </c>
      <c r="R40" s="198"/>
      <c r="S40" s="198"/>
      <c r="T40" s="198"/>
      <c r="U40" s="198"/>
    </row>
    <row r="41" spans="1:21" s="12" customFormat="1" x14ac:dyDescent="0.25">
      <c r="A41" s="218" t="s">
        <v>2492</v>
      </c>
      <c r="B41" s="64">
        <v>4.6399999999999997</v>
      </c>
      <c r="C41" s="64">
        <v>33.950000000000003</v>
      </c>
      <c r="D41" s="64">
        <v>23.1</v>
      </c>
      <c r="E41" s="64">
        <v>2.74</v>
      </c>
      <c r="F41" s="64">
        <v>3.72</v>
      </c>
      <c r="G41" s="64">
        <v>16.190000000000001</v>
      </c>
      <c r="H41" s="64">
        <v>6.08</v>
      </c>
      <c r="I41" s="64">
        <v>0.52</v>
      </c>
      <c r="J41" s="64">
        <v>0.91</v>
      </c>
      <c r="K41" s="64">
        <v>188.2</v>
      </c>
      <c r="L41" s="64">
        <v>24.43</v>
      </c>
      <c r="M41" s="64">
        <v>58.48</v>
      </c>
      <c r="N41" s="64">
        <v>492.8</v>
      </c>
      <c r="O41" s="64">
        <v>0</v>
      </c>
      <c r="P41" s="64">
        <v>0.35</v>
      </c>
      <c r="Q41" s="64">
        <v>13.41</v>
      </c>
      <c r="R41" s="198"/>
      <c r="S41" s="198"/>
      <c r="T41" s="198"/>
      <c r="U41" s="198"/>
    </row>
    <row r="42" spans="1:21" s="12" customFormat="1" x14ac:dyDescent="0.25">
      <c r="A42" s="218" t="s">
        <v>2493</v>
      </c>
      <c r="B42" s="64">
        <v>4.16</v>
      </c>
      <c r="C42" s="64">
        <v>34.64</v>
      </c>
      <c r="D42" s="64">
        <v>23.1</v>
      </c>
      <c r="E42" s="64">
        <v>2.0699999999999998</v>
      </c>
      <c r="F42" s="64">
        <v>3.93</v>
      </c>
      <c r="G42" s="64">
        <v>16.190000000000001</v>
      </c>
      <c r="H42" s="64">
        <v>6.08</v>
      </c>
      <c r="I42" s="64">
        <v>0.52</v>
      </c>
      <c r="J42" s="64">
        <v>0.68</v>
      </c>
      <c r="K42" s="64">
        <v>190.43</v>
      </c>
      <c r="L42" s="64">
        <v>24.82</v>
      </c>
      <c r="M42" s="64">
        <v>58.19</v>
      </c>
      <c r="N42" s="64">
        <v>550.5</v>
      </c>
      <c r="O42" s="64">
        <v>0</v>
      </c>
      <c r="P42" s="64">
        <v>0.35</v>
      </c>
      <c r="Q42" s="64">
        <v>13.56</v>
      </c>
      <c r="R42" s="198"/>
      <c r="S42" s="198"/>
      <c r="T42" s="198"/>
      <c r="U42" s="198"/>
    </row>
    <row r="43" spans="1:21" s="12" customFormat="1" x14ac:dyDescent="0.25">
      <c r="A43" s="218" t="s">
        <v>2494</v>
      </c>
      <c r="B43" s="64">
        <v>3.75</v>
      </c>
      <c r="C43" s="64">
        <v>35.44</v>
      </c>
      <c r="D43" s="64">
        <v>23.22</v>
      </c>
      <c r="E43" s="64">
        <v>2.64</v>
      </c>
      <c r="F43" s="64">
        <v>3.85</v>
      </c>
      <c r="G43" s="64">
        <v>7.7</v>
      </c>
      <c r="H43" s="64">
        <v>5.68</v>
      </c>
      <c r="I43" s="64">
        <v>0.51</v>
      </c>
      <c r="J43" s="64">
        <v>0.68</v>
      </c>
      <c r="K43" s="64">
        <v>195.71</v>
      </c>
      <c r="L43" s="64">
        <v>25.34</v>
      </c>
      <c r="M43" s="64">
        <v>55.64</v>
      </c>
      <c r="N43" s="64">
        <v>601.70000000000005</v>
      </c>
      <c r="O43" s="64">
        <v>0</v>
      </c>
      <c r="P43" s="64">
        <v>0.34</v>
      </c>
      <c r="Q43" s="64">
        <v>13.59</v>
      </c>
      <c r="R43" s="198"/>
      <c r="S43" s="198"/>
      <c r="T43" s="198"/>
      <c r="U43" s="198"/>
    </row>
    <row r="44" spans="1:21" s="12" customFormat="1" x14ac:dyDescent="0.25">
      <c r="A44" s="218" t="s">
        <v>2495</v>
      </c>
      <c r="B44" s="64">
        <v>3.43</v>
      </c>
      <c r="C44" s="64">
        <v>35.14</v>
      </c>
      <c r="D44" s="64">
        <v>22.79</v>
      </c>
      <c r="E44" s="64">
        <v>2.48</v>
      </c>
      <c r="F44" s="64">
        <v>3.85</v>
      </c>
      <c r="G44" s="215" t="s">
        <v>42</v>
      </c>
      <c r="H44" s="215" t="s">
        <v>42</v>
      </c>
      <c r="I44" s="64">
        <v>0.52</v>
      </c>
      <c r="J44" s="64">
        <v>0.56000000000000005</v>
      </c>
      <c r="K44" s="64">
        <v>186.88</v>
      </c>
      <c r="L44" s="64">
        <v>25.99</v>
      </c>
      <c r="M44" s="64">
        <v>53.65</v>
      </c>
      <c r="N44" s="64">
        <v>654</v>
      </c>
      <c r="O44" s="64">
        <v>0</v>
      </c>
      <c r="P44" s="64">
        <v>0.34</v>
      </c>
      <c r="Q44" s="64">
        <v>13.7</v>
      </c>
      <c r="R44" s="198"/>
      <c r="S44" s="198"/>
      <c r="T44" s="198"/>
      <c r="U44" s="198"/>
    </row>
    <row r="45" spans="1:21" s="12" customFormat="1" x14ac:dyDescent="0.25">
      <c r="A45" s="218" t="s">
        <v>2496</v>
      </c>
      <c r="B45" s="64">
        <v>3.21</v>
      </c>
      <c r="C45" s="64">
        <v>35.39</v>
      </c>
      <c r="D45" s="64">
        <v>22.75</v>
      </c>
      <c r="E45" s="64">
        <v>2.38</v>
      </c>
      <c r="F45" s="64">
        <v>3.94</v>
      </c>
      <c r="G45" s="215" t="s">
        <v>42</v>
      </c>
      <c r="H45" s="215" t="s">
        <v>42</v>
      </c>
      <c r="I45" s="64">
        <v>0.51</v>
      </c>
      <c r="J45" s="64">
        <v>0.05</v>
      </c>
      <c r="K45" s="64">
        <v>239.41</v>
      </c>
      <c r="L45" s="64">
        <v>27.76</v>
      </c>
      <c r="M45" s="64">
        <v>48.96</v>
      </c>
      <c r="N45" s="64">
        <v>692.2</v>
      </c>
      <c r="O45" s="64">
        <v>0</v>
      </c>
      <c r="P45" s="64">
        <v>0.33</v>
      </c>
      <c r="Q45" s="64">
        <v>12.98</v>
      </c>
      <c r="R45" s="198"/>
      <c r="S45" s="198"/>
      <c r="T45" s="198"/>
      <c r="U45" s="198"/>
    </row>
    <row r="46" spans="1:21" s="12" customFormat="1" x14ac:dyDescent="0.25">
      <c r="A46" s="218" t="s">
        <v>2497</v>
      </c>
      <c r="B46" s="64">
        <v>3.19</v>
      </c>
      <c r="C46" s="64">
        <v>37.369999999999997</v>
      </c>
      <c r="D46" s="64">
        <v>23.83</v>
      </c>
      <c r="E46" s="64">
        <v>2.1</v>
      </c>
      <c r="F46" s="64">
        <v>4.68</v>
      </c>
      <c r="G46" s="215" t="s">
        <v>42</v>
      </c>
      <c r="H46" s="215" t="s">
        <v>42</v>
      </c>
      <c r="I46" s="64">
        <v>0.5</v>
      </c>
      <c r="J46" s="64">
        <v>0.28999999999999998</v>
      </c>
      <c r="K46" s="64">
        <v>274.54000000000002</v>
      </c>
      <c r="L46" s="64">
        <v>28.87</v>
      </c>
      <c r="M46" s="64">
        <v>46.1</v>
      </c>
      <c r="N46" s="64">
        <v>744.3</v>
      </c>
      <c r="O46" s="64">
        <v>0</v>
      </c>
      <c r="P46" s="64">
        <v>0.35</v>
      </c>
      <c r="Q46" s="64">
        <v>14.31</v>
      </c>
      <c r="R46" s="198"/>
      <c r="S46" s="198"/>
      <c r="T46" s="198"/>
      <c r="U46" s="198"/>
    </row>
    <row r="47" spans="1:21" s="12" customFormat="1" x14ac:dyDescent="0.25">
      <c r="A47" s="218" t="s">
        <v>2498</v>
      </c>
      <c r="B47" s="64">
        <v>4.07</v>
      </c>
      <c r="C47" s="64">
        <v>30.2</v>
      </c>
      <c r="D47" s="64">
        <v>20.58</v>
      </c>
      <c r="E47" s="64">
        <v>2.64</v>
      </c>
      <c r="F47" s="64">
        <v>7.92</v>
      </c>
      <c r="G47" s="215" t="s">
        <v>42</v>
      </c>
      <c r="H47" s="215" t="s">
        <v>42</v>
      </c>
      <c r="I47" s="64">
        <v>0.5</v>
      </c>
      <c r="J47" s="64">
        <v>0.2</v>
      </c>
      <c r="K47" s="64">
        <v>184.04</v>
      </c>
      <c r="L47" s="64">
        <v>27.52</v>
      </c>
      <c r="M47" s="64">
        <v>48.77</v>
      </c>
      <c r="N47" s="64">
        <v>787.8</v>
      </c>
      <c r="O47" s="64">
        <v>0</v>
      </c>
      <c r="P47" s="64">
        <v>0.36</v>
      </c>
      <c r="Q47" s="64">
        <v>9.01</v>
      </c>
      <c r="R47" s="198"/>
      <c r="S47" s="198"/>
      <c r="T47" s="198"/>
      <c r="U47" s="198"/>
    </row>
    <row r="48" spans="1:21" s="12" customFormat="1" x14ac:dyDescent="0.25">
      <c r="A48" s="218" t="s">
        <v>2499</v>
      </c>
      <c r="B48" s="64">
        <v>3.61</v>
      </c>
      <c r="C48" s="64">
        <v>37.89</v>
      </c>
      <c r="D48" s="64">
        <v>24.45</v>
      </c>
      <c r="E48" s="64">
        <v>2.4500000000000002</v>
      </c>
      <c r="F48" s="64">
        <v>4.58</v>
      </c>
      <c r="G48" s="64">
        <v>11.67</v>
      </c>
      <c r="H48" s="64">
        <v>8.1199999999999992</v>
      </c>
      <c r="I48" s="64">
        <v>0.51</v>
      </c>
      <c r="J48" s="64">
        <v>0.15</v>
      </c>
      <c r="K48" s="64">
        <v>222.38</v>
      </c>
      <c r="L48" s="64">
        <v>29.08</v>
      </c>
      <c r="M48" s="64">
        <v>46.61</v>
      </c>
      <c r="N48" s="64">
        <v>823.1</v>
      </c>
      <c r="O48" s="64">
        <v>0</v>
      </c>
      <c r="P48" s="64">
        <v>0.35</v>
      </c>
      <c r="Q48" s="64">
        <v>11.3</v>
      </c>
      <c r="R48" s="198"/>
      <c r="S48" s="198"/>
      <c r="T48" s="198"/>
      <c r="U48" s="198"/>
    </row>
    <row r="49" spans="1:21" s="12" customFormat="1" x14ac:dyDescent="0.25">
      <c r="A49" s="218" t="s">
        <v>2500</v>
      </c>
      <c r="B49" s="64">
        <v>3.64</v>
      </c>
      <c r="C49" s="64">
        <v>38.380000000000003</v>
      </c>
      <c r="D49" s="64">
        <v>24.74</v>
      </c>
      <c r="E49" s="64">
        <v>2.63</v>
      </c>
      <c r="F49" s="64">
        <v>6.12</v>
      </c>
      <c r="G49" s="64">
        <v>11.67</v>
      </c>
      <c r="H49" s="64">
        <v>8.1199999999999992</v>
      </c>
      <c r="I49" s="64">
        <v>0.52</v>
      </c>
      <c r="J49" s="64">
        <v>0.25</v>
      </c>
      <c r="K49" s="64">
        <v>194.27</v>
      </c>
      <c r="L49" s="64">
        <v>28.87</v>
      </c>
      <c r="M49" s="64">
        <v>47.38</v>
      </c>
      <c r="N49" s="64">
        <v>859.3</v>
      </c>
      <c r="O49" s="64">
        <v>0</v>
      </c>
      <c r="P49" s="64">
        <v>0.36</v>
      </c>
      <c r="Q49" s="64">
        <v>12.62</v>
      </c>
      <c r="R49" s="198"/>
      <c r="S49" s="198"/>
      <c r="T49" s="198"/>
      <c r="U49" s="198"/>
    </row>
    <row r="50" spans="1:21" s="12" customFormat="1" x14ac:dyDescent="0.25">
      <c r="A50" s="218" t="s">
        <v>2501</v>
      </c>
      <c r="B50" s="64">
        <v>3.57</v>
      </c>
      <c r="C50" s="64">
        <v>35.200000000000003</v>
      </c>
      <c r="D50" s="64">
        <v>22.94</v>
      </c>
      <c r="E50" s="64">
        <v>2.4900000000000002</v>
      </c>
      <c r="F50" s="64">
        <v>6.48</v>
      </c>
      <c r="G50" s="64">
        <v>11.67</v>
      </c>
      <c r="H50" s="64">
        <v>8.1199999999999992</v>
      </c>
      <c r="I50" s="64">
        <v>0.53</v>
      </c>
      <c r="J50" s="64">
        <v>0.28999999999999998</v>
      </c>
      <c r="K50" s="64">
        <v>147.68</v>
      </c>
      <c r="L50" s="64">
        <v>28.42</v>
      </c>
      <c r="M50" s="64">
        <v>47.87</v>
      </c>
      <c r="N50" s="64">
        <v>889</v>
      </c>
      <c r="O50" s="64">
        <v>0</v>
      </c>
      <c r="P50" s="64">
        <v>0.36</v>
      </c>
      <c r="Q50" s="64">
        <v>11.44</v>
      </c>
      <c r="R50" s="198"/>
      <c r="S50" s="198"/>
      <c r="T50" s="198"/>
      <c r="U50" s="198"/>
    </row>
    <row r="51" spans="1:21" s="12" customFormat="1" x14ac:dyDescent="0.25">
      <c r="A51" s="218" t="s">
        <v>2502</v>
      </c>
      <c r="B51" s="64">
        <v>3.34</v>
      </c>
      <c r="C51" s="64">
        <v>43.24</v>
      </c>
      <c r="D51" s="64">
        <v>27.19</v>
      </c>
      <c r="E51" s="64">
        <v>2.5499999999999998</v>
      </c>
      <c r="F51" s="64">
        <v>4.7300000000000004</v>
      </c>
      <c r="G51" s="64">
        <v>16.79</v>
      </c>
      <c r="H51" s="64">
        <v>6.02</v>
      </c>
      <c r="I51" s="64">
        <v>0.53</v>
      </c>
      <c r="J51" s="64">
        <v>1.1499999999999999</v>
      </c>
      <c r="K51" s="64">
        <v>176.64</v>
      </c>
      <c r="L51" s="64">
        <v>28.09</v>
      </c>
      <c r="M51" s="64">
        <v>47.71</v>
      </c>
      <c r="N51" s="64">
        <v>914.4</v>
      </c>
      <c r="O51" s="64">
        <v>0</v>
      </c>
      <c r="P51" s="64">
        <v>0.36</v>
      </c>
      <c r="Q51" s="64">
        <v>16.420000000000002</v>
      </c>
      <c r="R51" s="198"/>
      <c r="S51" s="198"/>
      <c r="T51" s="198"/>
      <c r="U51" s="198"/>
    </row>
    <row r="52" spans="1:21" s="12" customFormat="1" x14ac:dyDescent="0.25">
      <c r="A52" s="218" t="s">
        <v>2503</v>
      </c>
      <c r="B52" s="64">
        <v>3.04</v>
      </c>
      <c r="C52" s="64">
        <v>33.950000000000003</v>
      </c>
      <c r="D52" s="64">
        <v>21.82</v>
      </c>
      <c r="E52" s="64">
        <v>2.1</v>
      </c>
      <c r="F52" s="64">
        <v>5.54</v>
      </c>
      <c r="G52" s="64">
        <v>18.760000000000002</v>
      </c>
      <c r="H52" s="64">
        <v>5.96</v>
      </c>
      <c r="I52" s="64">
        <v>0.55000000000000004</v>
      </c>
      <c r="J52" s="64">
        <v>1.64</v>
      </c>
      <c r="K52" s="64">
        <v>188.93</v>
      </c>
      <c r="L52" s="64">
        <v>28.13</v>
      </c>
      <c r="M52" s="64">
        <v>47.04</v>
      </c>
      <c r="N52" s="64">
        <v>934.1</v>
      </c>
      <c r="O52" s="64">
        <v>0</v>
      </c>
      <c r="P52" s="64">
        <v>0.36</v>
      </c>
      <c r="Q52" s="64">
        <v>13.86</v>
      </c>
      <c r="R52" s="198"/>
      <c r="S52" s="198"/>
      <c r="T52" s="198"/>
      <c r="U52" s="198"/>
    </row>
    <row r="53" spans="1:21" s="12" customFormat="1" x14ac:dyDescent="0.25">
      <c r="A53" s="218" t="s">
        <v>2504</v>
      </c>
      <c r="B53" s="64">
        <v>2.65</v>
      </c>
      <c r="C53" s="64">
        <v>32.369999999999997</v>
      </c>
      <c r="D53" s="64">
        <v>20.64</v>
      </c>
      <c r="E53" s="64">
        <v>1.99</v>
      </c>
      <c r="F53" s="64">
        <v>5.94</v>
      </c>
      <c r="G53" s="64">
        <v>18.760000000000002</v>
      </c>
      <c r="H53" s="64">
        <v>5.96</v>
      </c>
      <c r="I53" s="64">
        <v>0.55000000000000004</v>
      </c>
      <c r="J53" s="64">
        <v>1.37</v>
      </c>
      <c r="K53" s="64">
        <v>182.02</v>
      </c>
      <c r="L53" s="64">
        <v>28.15</v>
      </c>
      <c r="M53" s="64">
        <v>48.02</v>
      </c>
      <c r="N53" s="64">
        <v>937.2</v>
      </c>
      <c r="O53" s="64">
        <v>0</v>
      </c>
      <c r="P53" s="64">
        <v>0.35</v>
      </c>
      <c r="Q53" s="64">
        <v>13.28</v>
      </c>
      <c r="R53" s="198"/>
      <c r="S53" s="198"/>
      <c r="T53" s="198"/>
      <c r="U53" s="198"/>
    </row>
    <row r="54" spans="1:21" s="12" customFormat="1" x14ac:dyDescent="0.25">
      <c r="A54" s="218" t="s">
        <v>2505</v>
      </c>
      <c r="B54" s="64">
        <v>2.33</v>
      </c>
      <c r="C54" s="64">
        <v>33.83</v>
      </c>
      <c r="D54" s="64">
        <v>21.19</v>
      </c>
      <c r="E54" s="64">
        <v>2.35</v>
      </c>
      <c r="F54" s="64">
        <v>6.65</v>
      </c>
      <c r="G54" s="64">
        <v>18.760000000000002</v>
      </c>
      <c r="H54" s="64">
        <v>5.96</v>
      </c>
      <c r="I54" s="64">
        <v>0.55000000000000004</v>
      </c>
      <c r="J54" s="64">
        <v>1.07</v>
      </c>
      <c r="K54" s="64">
        <v>181.14</v>
      </c>
      <c r="L54" s="64">
        <v>28.73</v>
      </c>
      <c r="M54" s="64">
        <v>46.4</v>
      </c>
      <c r="N54" s="64">
        <v>906</v>
      </c>
      <c r="O54" s="64">
        <v>0</v>
      </c>
      <c r="P54" s="64">
        <v>0.35</v>
      </c>
      <c r="Q54" s="64">
        <v>13.29</v>
      </c>
      <c r="R54" s="198"/>
      <c r="S54" s="198"/>
      <c r="T54" s="198"/>
      <c r="U54" s="198"/>
    </row>
    <row r="55" spans="1:21" s="12" customFormat="1" x14ac:dyDescent="0.25">
      <c r="A55" s="218" t="s">
        <v>2506</v>
      </c>
      <c r="B55" s="64">
        <v>2.1800000000000002</v>
      </c>
      <c r="C55" s="64">
        <v>34.229999999999997</v>
      </c>
      <c r="D55" s="64">
        <v>21.28</v>
      </c>
      <c r="E55" s="64">
        <v>2.31</v>
      </c>
      <c r="F55" s="64">
        <v>7.45</v>
      </c>
      <c r="G55" s="64">
        <v>15.76</v>
      </c>
      <c r="H55" s="64">
        <v>6.21</v>
      </c>
      <c r="I55" s="64">
        <v>0.55000000000000004</v>
      </c>
      <c r="J55" s="64">
        <v>0.77</v>
      </c>
      <c r="K55" s="64">
        <v>190.79</v>
      </c>
      <c r="L55" s="64">
        <v>29.04</v>
      </c>
      <c r="M55" s="64">
        <v>45.86</v>
      </c>
      <c r="N55" s="64">
        <v>929.2</v>
      </c>
      <c r="O55" s="64">
        <v>0</v>
      </c>
      <c r="P55" s="64">
        <v>0.33</v>
      </c>
      <c r="Q55" s="64">
        <v>13.02</v>
      </c>
      <c r="R55" s="198"/>
      <c r="S55" s="198"/>
      <c r="T55" s="198"/>
      <c r="U55" s="198"/>
    </row>
    <row r="56" spans="1:21" s="12" customFormat="1" x14ac:dyDescent="0.25">
      <c r="A56" s="218" t="s">
        <v>2507</v>
      </c>
      <c r="B56" s="64">
        <v>2.08</v>
      </c>
      <c r="C56" s="64">
        <v>32.11</v>
      </c>
      <c r="D56" s="64">
        <v>20.03</v>
      </c>
      <c r="E56" s="64">
        <v>0.66</v>
      </c>
      <c r="F56" s="64">
        <v>6.7</v>
      </c>
      <c r="G56" s="64">
        <v>14.6</v>
      </c>
      <c r="H56" s="64">
        <v>6.22</v>
      </c>
      <c r="I56" s="64">
        <v>0.54</v>
      </c>
      <c r="J56" s="64">
        <v>1.01</v>
      </c>
      <c r="K56" s="64">
        <v>168.47</v>
      </c>
      <c r="L56" s="64">
        <v>29.03</v>
      </c>
      <c r="M56" s="64">
        <v>46.38</v>
      </c>
      <c r="N56" s="64">
        <v>909.4</v>
      </c>
      <c r="O56" s="64">
        <v>0</v>
      </c>
      <c r="P56" s="64">
        <v>0.33</v>
      </c>
      <c r="Q56" s="64">
        <v>11.43</v>
      </c>
      <c r="R56" s="198"/>
      <c r="S56" s="198"/>
      <c r="T56" s="198"/>
      <c r="U56" s="198"/>
    </row>
    <row r="57" spans="1:21" s="12" customFormat="1" x14ac:dyDescent="0.25">
      <c r="A57" s="218" t="s">
        <v>2508</v>
      </c>
      <c r="B57" s="64">
        <v>2.36</v>
      </c>
      <c r="C57" s="64">
        <v>35.729999999999997</v>
      </c>
      <c r="D57" s="64">
        <v>22.26</v>
      </c>
      <c r="E57" s="64">
        <v>1.03</v>
      </c>
      <c r="F57" s="64">
        <v>7.67</v>
      </c>
      <c r="G57" s="64">
        <v>14.6</v>
      </c>
      <c r="H57" s="64">
        <v>6.22</v>
      </c>
      <c r="I57" s="64">
        <v>0.54</v>
      </c>
      <c r="J57" s="64">
        <v>0.39</v>
      </c>
      <c r="K57" s="64">
        <v>142.19</v>
      </c>
      <c r="L57" s="64">
        <v>29.9</v>
      </c>
      <c r="M57" s="64">
        <v>44.43</v>
      </c>
      <c r="N57" s="64">
        <v>914.6</v>
      </c>
      <c r="O57" s="64">
        <v>0</v>
      </c>
      <c r="P57" s="64">
        <v>0.34</v>
      </c>
      <c r="Q57" s="64">
        <v>12.74</v>
      </c>
      <c r="R57" s="198"/>
      <c r="S57" s="198"/>
      <c r="T57" s="198"/>
      <c r="U57" s="198"/>
    </row>
    <row r="58" spans="1:21" s="12" customFormat="1" x14ac:dyDescent="0.25">
      <c r="A58" s="218" t="s">
        <v>2509</v>
      </c>
      <c r="B58" s="64">
        <v>2.31</v>
      </c>
      <c r="C58" s="64">
        <v>27.32</v>
      </c>
      <c r="D58" s="64">
        <v>17.579999999999998</v>
      </c>
      <c r="E58" s="64">
        <v>1.81</v>
      </c>
      <c r="F58" s="64">
        <v>11.87</v>
      </c>
      <c r="G58" s="64">
        <v>14.6</v>
      </c>
      <c r="H58" s="64">
        <v>6.22</v>
      </c>
      <c r="I58" s="64">
        <v>0.54</v>
      </c>
      <c r="J58" s="64">
        <v>0.94</v>
      </c>
      <c r="K58" s="64">
        <v>157.22</v>
      </c>
      <c r="L58" s="64">
        <v>29.32</v>
      </c>
      <c r="M58" s="64">
        <v>45.35</v>
      </c>
      <c r="N58" s="64">
        <v>917</v>
      </c>
      <c r="O58" s="64">
        <v>0</v>
      </c>
      <c r="P58" s="64">
        <v>0.33</v>
      </c>
      <c r="Q58" s="64">
        <v>8</v>
      </c>
      <c r="R58" s="198"/>
      <c r="S58" s="198"/>
      <c r="T58" s="198"/>
      <c r="U58" s="198"/>
    </row>
    <row r="59" spans="1:21" s="12" customFormat="1" x14ac:dyDescent="0.25">
      <c r="A59" s="218" t="s">
        <v>2510</v>
      </c>
      <c r="B59" s="64">
        <v>2.23</v>
      </c>
      <c r="C59" s="64">
        <v>21.02</v>
      </c>
      <c r="D59" s="64">
        <v>14.03</v>
      </c>
      <c r="E59" s="64">
        <v>1.54</v>
      </c>
      <c r="F59" s="64">
        <v>14.77</v>
      </c>
      <c r="G59" s="64">
        <v>8.3800000000000008</v>
      </c>
      <c r="H59" s="64">
        <v>4.8099999999999996</v>
      </c>
      <c r="I59" s="64">
        <v>0.54</v>
      </c>
      <c r="J59" s="64">
        <v>0.85</v>
      </c>
      <c r="K59" s="64">
        <v>155.97999999999999</v>
      </c>
      <c r="L59" s="64">
        <v>29.65</v>
      </c>
      <c r="M59" s="64">
        <v>44.04</v>
      </c>
      <c r="N59" s="64">
        <v>883.2</v>
      </c>
      <c r="O59" s="64">
        <v>0</v>
      </c>
      <c r="P59" s="64">
        <v>0.32</v>
      </c>
      <c r="Q59" s="64">
        <v>4.6100000000000003</v>
      </c>
      <c r="R59" s="198"/>
      <c r="S59" s="198"/>
      <c r="T59" s="198"/>
      <c r="U59" s="198"/>
    </row>
    <row r="60" spans="1:21" s="12" customFormat="1" x14ac:dyDescent="0.25">
      <c r="A60" s="218" t="s">
        <v>2511</v>
      </c>
      <c r="B60" s="64">
        <v>2.31</v>
      </c>
      <c r="C60" s="64">
        <v>27.63</v>
      </c>
      <c r="D60" s="64">
        <v>17.75</v>
      </c>
      <c r="E60" s="64">
        <v>1.69</v>
      </c>
      <c r="F60" s="64">
        <v>9.26</v>
      </c>
      <c r="G60" s="64">
        <v>5.99</v>
      </c>
      <c r="H60" s="64">
        <v>4.7699999999999996</v>
      </c>
      <c r="I60" s="64">
        <v>0.53</v>
      </c>
      <c r="J60" s="64">
        <v>1.03</v>
      </c>
      <c r="K60" s="64">
        <v>182.79</v>
      </c>
      <c r="L60" s="64">
        <v>29.67</v>
      </c>
      <c r="M60" s="64">
        <v>43.63</v>
      </c>
      <c r="N60" s="64">
        <v>898.2</v>
      </c>
      <c r="O60" s="64">
        <v>0</v>
      </c>
      <c r="P60" s="64">
        <v>0.33</v>
      </c>
      <c r="Q60" s="64">
        <v>8.39</v>
      </c>
      <c r="R60" s="198"/>
      <c r="S60" s="198"/>
      <c r="T60" s="198"/>
      <c r="U60" s="198"/>
    </row>
    <row r="61" spans="1:21" s="12" customFormat="1" x14ac:dyDescent="0.25">
      <c r="A61" s="218" t="s">
        <v>2512</v>
      </c>
      <c r="B61" s="64">
        <v>2.4500000000000002</v>
      </c>
      <c r="C61" s="64">
        <v>23.22</v>
      </c>
      <c r="D61" s="64">
        <v>15.42</v>
      </c>
      <c r="E61" s="64">
        <v>1.72</v>
      </c>
      <c r="F61" s="64">
        <v>20.04</v>
      </c>
      <c r="G61" s="64">
        <v>5.99</v>
      </c>
      <c r="H61" s="64">
        <v>4.7699999999999996</v>
      </c>
      <c r="I61" s="64">
        <v>0.52</v>
      </c>
      <c r="J61" s="64">
        <v>0.77</v>
      </c>
      <c r="K61" s="64">
        <v>173.2</v>
      </c>
      <c r="L61" s="64">
        <v>30.21</v>
      </c>
      <c r="M61" s="64">
        <v>42.35</v>
      </c>
      <c r="N61" s="64">
        <v>742.6</v>
      </c>
      <c r="O61" s="64">
        <v>0</v>
      </c>
      <c r="P61" s="64">
        <v>0.28999999999999998</v>
      </c>
      <c r="Q61" s="64">
        <v>7.04</v>
      </c>
      <c r="R61" s="198"/>
      <c r="S61" s="198"/>
      <c r="T61" s="198"/>
      <c r="U61" s="198"/>
    </row>
    <row r="62" spans="1:21" s="12" customFormat="1" x14ac:dyDescent="0.25">
      <c r="A62" s="218" t="s">
        <v>2513</v>
      </c>
      <c r="B62" s="64">
        <v>2.94</v>
      </c>
      <c r="C62" s="64">
        <v>32.65</v>
      </c>
      <c r="D62" s="64">
        <v>21.02</v>
      </c>
      <c r="E62" s="64">
        <v>1.62</v>
      </c>
      <c r="F62" s="64">
        <v>8.6199999999999992</v>
      </c>
      <c r="G62" s="64">
        <v>5.99</v>
      </c>
      <c r="H62" s="64">
        <v>4.7699999999999996</v>
      </c>
      <c r="I62" s="64">
        <v>0.55000000000000004</v>
      </c>
      <c r="J62" s="64">
        <v>0.15</v>
      </c>
      <c r="K62" s="64">
        <v>141.58000000000001</v>
      </c>
      <c r="L62" s="64">
        <v>30.47</v>
      </c>
      <c r="M62" s="64">
        <v>42.96</v>
      </c>
      <c r="N62" s="64">
        <v>335.6</v>
      </c>
      <c r="O62" s="64">
        <v>0</v>
      </c>
      <c r="P62" s="64">
        <v>0.34</v>
      </c>
      <c r="Q62" s="64">
        <v>11.17</v>
      </c>
      <c r="R62" s="198"/>
      <c r="S62" s="198"/>
      <c r="T62" s="198"/>
      <c r="U62" s="198"/>
    </row>
    <row r="63" spans="1:21" s="12" customFormat="1" x14ac:dyDescent="0.25">
      <c r="A63" s="218" t="s">
        <v>2514</v>
      </c>
      <c r="B63" s="64">
        <v>2.77</v>
      </c>
      <c r="C63" s="64">
        <v>38.69</v>
      </c>
      <c r="D63" s="64">
        <v>24.22</v>
      </c>
      <c r="E63" s="64">
        <v>2.0099999999999998</v>
      </c>
      <c r="F63" s="64">
        <v>8.84</v>
      </c>
      <c r="G63" s="64">
        <v>9.27</v>
      </c>
      <c r="H63" s="64">
        <v>5.24</v>
      </c>
      <c r="I63" s="64">
        <v>0.54</v>
      </c>
      <c r="J63" s="64">
        <v>0.64</v>
      </c>
      <c r="K63" s="64">
        <v>179.14</v>
      </c>
      <c r="L63" s="64">
        <v>29.42</v>
      </c>
      <c r="M63" s="64">
        <v>44.35</v>
      </c>
      <c r="N63" s="64">
        <v>153</v>
      </c>
      <c r="O63" s="64">
        <v>0</v>
      </c>
      <c r="P63" s="64">
        <v>0.33</v>
      </c>
      <c r="Q63" s="64">
        <v>15.88</v>
      </c>
      <c r="R63" s="198"/>
      <c r="S63" s="198"/>
      <c r="T63" s="198"/>
      <c r="U63" s="198"/>
    </row>
    <row r="64" spans="1:21" s="12" customFormat="1" x14ac:dyDescent="0.25">
      <c r="A64" s="218" t="s">
        <v>2515</v>
      </c>
      <c r="B64" s="64">
        <v>2.31</v>
      </c>
      <c r="C64" s="64">
        <v>36.950000000000003</v>
      </c>
      <c r="D64" s="64">
        <v>22.89</v>
      </c>
      <c r="E64" s="64">
        <v>2.15</v>
      </c>
      <c r="F64" s="64">
        <v>9.0299999999999994</v>
      </c>
      <c r="G64" s="64">
        <v>10.54</v>
      </c>
      <c r="H64" s="64">
        <v>5.25</v>
      </c>
      <c r="I64" s="64">
        <v>0.57999999999999996</v>
      </c>
      <c r="J64" s="64">
        <v>0.34</v>
      </c>
      <c r="K64" s="64">
        <v>136.82</v>
      </c>
      <c r="L64" s="64">
        <v>30.55</v>
      </c>
      <c r="M64" s="64">
        <v>42.16</v>
      </c>
      <c r="N64" s="64">
        <v>626.70000000000005</v>
      </c>
      <c r="O64" s="64">
        <v>0</v>
      </c>
      <c r="P64" s="64">
        <v>0.33</v>
      </c>
      <c r="Q64" s="64">
        <v>16.16</v>
      </c>
      <c r="R64" s="198"/>
      <c r="S64" s="198"/>
      <c r="T64" s="198"/>
      <c r="U64" s="198"/>
    </row>
    <row r="65" spans="1:21" s="12" customFormat="1" x14ac:dyDescent="0.25">
      <c r="A65" s="218" t="s">
        <v>2516</v>
      </c>
      <c r="B65" s="64">
        <v>2.29</v>
      </c>
      <c r="C65" s="64">
        <v>32.97</v>
      </c>
      <c r="D65" s="64">
        <v>20.68</v>
      </c>
      <c r="E65" s="64">
        <v>1.72</v>
      </c>
      <c r="F65" s="64">
        <v>8.0299999999999994</v>
      </c>
      <c r="G65" s="64">
        <v>10.54</v>
      </c>
      <c r="H65" s="64">
        <v>5.25</v>
      </c>
      <c r="I65" s="64">
        <v>0.57999999999999996</v>
      </c>
      <c r="J65" s="64">
        <v>0.97</v>
      </c>
      <c r="K65" s="64">
        <v>162.46</v>
      </c>
      <c r="L65" s="64">
        <v>29.92</v>
      </c>
      <c r="M65" s="64">
        <v>43</v>
      </c>
      <c r="N65" s="64">
        <v>361.5</v>
      </c>
      <c r="O65" s="64">
        <v>0</v>
      </c>
      <c r="P65" s="64">
        <v>0.33</v>
      </c>
      <c r="Q65" s="64">
        <v>13.02</v>
      </c>
      <c r="R65" s="198"/>
      <c r="S65" s="198"/>
      <c r="T65" s="198"/>
      <c r="U65" s="198"/>
    </row>
    <row r="66" spans="1:21" s="12" customFormat="1" x14ac:dyDescent="0.25">
      <c r="A66" s="218" t="s">
        <v>2517</v>
      </c>
      <c r="B66" s="64">
        <v>2.88</v>
      </c>
      <c r="C66" s="64">
        <v>34.450000000000003</v>
      </c>
      <c r="D66" s="64">
        <v>21.96</v>
      </c>
      <c r="E66" s="64">
        <v>1.4</v>
      </c>
      <c r="F66" s="64">
        <v>10.38</v>
      </c>
      <c r="G66" s="64">
        <v>10.54</v>
      </c>
      <c r="H66" s="64">
        <v>5.25</v>
      </c>
      <c r="I66" s="64">
        <v>0.56999999999999995</v>
      </c>
      <c r="J66" s="64">
        <v>0.49</v>
      </c>
      <c r="K66" s="64">
        <v>167.58</v>
      </c>
      <c r="L66" s="64">
        <v>30.71</v>
      </c>
      <c r="M66" s="64">
        <v>40.840000000000003</v>
      </c>
      <c r="N66" s="64">
        <v>645.1</v>
      </c>
      <c r="O66" s="64">
        <v>0</v>
      </c>
      <c r="P66" s="64">
        <v>0.33</v>
      </c>
      <c r="Q66" s="64">
        <v>14.79</v>
      </c>
      <c r="R66" s="198"/>
      <c r="S66" s="198"/>
      <c r="T66" s="198"/>
      <c r="U66" s="198"/>
    </row>
    <row r="67" spans="1:21" s="12" customFormat="1" x14ac:dyDescent="0.25">
      <c r="A67" s="218" t="s">
        <v>2518</v>
      </c>
      <c r="B67" s="64">
        <v>3.92</v>
      </c>
      <c r="C67" s="64">
        <v>32.99</v>
      </c>
      <c r="D67" s="64">
        <v>22</v>
      </c>
      <c r="E67" s="64">
        <v>1.68</v>
      </c>
      <c r="F67" s="64">
        <v>10.6</v>
      </c>
      <c r="G67" s="64">
        <v>16.489999999999998</v>
      </c>
      <c r="H67" s="64">
        <v>5.05</v>
      </c>
      <c r="I67" s="64">
        <v>0.56000000000000005</v>
      </c>
      <c r="J67" s="64">
        <v>0.79</v>
      </c>
      <c r="K67" s="64">
        <v>171.01</v>
      </c>
      <c r="L67" s="64">
        <v>30.77</v>
      </c>
      <c r="M67" s="64">
        <v>40.81</v>
      </c>
      <c r="N67" s="64">
        <v>590.70000000000005</v>
      </c>
      <c r="O67" s="64">
        <v>0</v>
      </c>
      <c r="P67" s="64">
        <v>0.34</v>
      </c>
      <c r="Q67" s="64">
        <v>13.43</v>
      </c>
      <c r="R67" s="198"/>
      <c r="S67" s="198"/>
      <c r="T67" s="198"/>
      <c r="U67" s="198"/>
    </row>
    <row r="68" spans="1:21" s="12" customFormat="1" x14ac:dyDescent="0.25">
      <c r="A68" s="218" t="s">
        <v>2519</v>
      </c>
      <c r="B68" s="64">
        <v>2.46</v>
      </c>
      <c r="C68" s="64">
        <v>35.51</v>
      </c>
      <c r="D68" s="64">
        <v>22.22</v>
      </c>
      <c r="E68" s="64">
        <v>1.51</v>
      </c>
      <c r="F68" s="64">
        <v>7.08</v>
      </c>
      <c r="G68" s="64">
        <v>18.78</v>
      </c>
      <c r="H68" s="64">
        <v>5.04</v>
      </c>
      <c r="I68" s="64">
        <v>0.56000000000000005</v>
      </c>
      <c r="J68" s="64">
        <v>0.72</v>
      </c>
      <c r="K68" s="64">
        <v>193.08</v>
      </c>
      <c r="L68" s="64">
        <v>30.57</v>
      </c>
      <c r="M68" s="64">
        <v>39.880000000000003</v>
      </c>
      <c r="N68" s="64">
        <v>528.9</v>
      </c>
      <c r="O68" s="64">
        <v>0</v>
      </c>
      <c r="P68" s="64">
        <v>0.34</v>
      </c>
      <c r="Q68" s="64">
        <v>14.15</v>
      </c>
      <c r="R68" s="198"/>
      <c r="S68" s="198"/>
      <c r="T68" s="198"/>
      <c r="U68" s="198"/>
    </row>
    <row r="69" spans="1:21" s="12" customFormat="1" x14ac:dyDescent="0.25">
      <c r="A69" s="218" t="s">
        <v>2520</v>
      </c>
      <c r="B69" s="64">
        <v>2.14</v>
      </c>
      <c r="C69" s="64">
        <v>34.97</v>
      </c>
      <c r="D69" s="64">
        <v>21.66</v>
      </c>
      <c r="E69" s="64">
        <v>1.22</v>
      </c>
      <c r="F69" s="64">
        <v>8.73</v>
      </c>
      <c r="G69" s="64">
        <v>18.78</v>
      </c>
      <c r="H69" s="64">
        <v>5.04</v>
      </c>
      <c r="I69" s="64">
        <v>0.56000000000000005</v>
      </c>
      <c r="J69" s="64">
        <v>1.1299999999999999</v>
      </c>
      <c r="K69" s="64">
        <v>201.81</v>
      </c>
      <c r="L69" s="64">
        <v>30.53</v>
      </c>
      <c r="M69" s="64">
        <v>38.549999999999997</v>
      </c>
      <c r="N69" s="64">
        <v>491.4</v>
      </c>
      <c r="O69" s="64">
        <v>0</v>
      </c>
      <c r="P69" s="64">
        <v>0.33</v>
      </c>
      <c r="Q69" s="64">
        <v>12.5</v>
      </c>
      <c r="R69" s="198"/>
      <c r="S69" s="198"/>
      <c r="T69" s="198"/>
      <c r="U69" s="198"/>
    </row>
    <row r="70" spans="1:21" s="12" customFormat="1" x14ac:dyDescent="0.25">
      <c r="A70" s="218" t="s">
        <v>2521</v>
      </c>
      <c r="B70" s="64">
        <v>2.06</v>
      </c>
      <c r="C70" s="64">
        <v>25.47</v>
      </c>
      <c r="D70" s="64">
        <v>16.350000000000001</v>
      </c>
      <c r="E70" s="64">
        <v>1.38</v>
      </c>
      <c r="F70" s="64">
        <v>12.94</v>
      </c>
      <c r="G70" s="64">
        <v>18.78</v>
      </c>
      <c r="H70" s="64">
        <v>5.04</v>
      </c>
      <c r="I70" s="64">
        <v>0.56999999999999995</v>
      </c>
      <c r="J70" s="64">
        <v>1.1200000000000001</v>
      </c>
      <c r="K70" s="64">
        <v>198.36</v>
      </c>
      <c r="L70" s="64">
        <v>30.54</v>
      </c>
      <c r="M70" s="64">
        <v>38.33</v>
      </c>
      <c r="N70" s="64">
        <v>208.8</v>
      </c>
      <c r="O70" s="64">
        <v>0</v>
      </c>
      <c r="P70" s="64">
        <v>0.31</v>
      </c>
      <c r="Q70" s="64">
        <v>6.98</v>
      </c>
      <c r="R70" s="198"/>
      <c r="S70" s="198"/>
      <c r="T70" s="198"/>
      <c r="U70" s="198"/>
    </row>
    <row r="71" spans="1:21" s="12" customFormat="1" x14ac:dyDescent="0.25">
      <c r="A71" s="218" t="s">
        <v>2522</v>
      </c>
      <c r="B71" s="64">
        <v>2.1</v>
      </c>
      <c r="C71" s="64">
        <v>25</v>
      </c>
      <c r="D71" s="64">
        <v>16.12</v>
      </c>
      <c r="E71" s="64">
        <v>1.76</v>
      </c>
      <c r="F71" s="64">
        <v>14.81</v>
      </c>
      <c r="G71" s="64">
        <v>17.989999999999998</v>
      </c>
      <c r="H71" s="64">
        <v>6.87</v>
      </c>
      <c r="I71" s="64">
        <v>0.56999999999999995</v>
      </c>
      <c r="J71" s="64">
        <v>1.06</v>
      </c>
      <c r="K71" s="64">
        <v>198.64</v>
      </c>
      <c r="L71" s="64">
        <v>30.55</v>
      </c>
      <c r="M71" s="64">
        <v>37.880000000000003</v>
      </c>
      <c r="N71" s="64">
        <v>166.5</v>
      </c>
      <c r="O71" s="64">
        <v>0</v>
      </c>
      <c r="P71" s="64">
        <v>0.31</v>
      </c>
      <c r="Q71" s="64">
        <v>5.63</v>
      </c>
      <c r="R71" s="198"/>
      <c r="S71" s="198"/>
      <c r="T71" s="198"/>
      <c r="U71" s="198"/>
    </row>
    <row r="72" spans="1:21" s="12" customFormat="1" x14ac:dyDescent="0.25">
      <c r="A72" s="218" t="s">
        <v>2523</v>
      </c>
      <c r="B72" s="64">
        <v>2.2000000000000002</v>
      </c>
      <c r="C72" s="64">
        <v>25.68</v>
      </c>
      <c r="D72" s="64">
        <v>16.59</v>
      </c>
      <c r="E72" s="64">
        <v>1.57</v>
      </c>
      <c r="F72" s="64">
        <v>13.26</v>
      </c>
      <c r="G72" s="64">
        <v>17.690000000000001</v>
      </c>
      <c r="H72" s="64">
        <v>6.96</v>
      </c>
      <c r="I72" s="64">
        <v>0.54</v>
      </c>
      <c r="J72" s="64">
        <v>1</v>
      </c>
      <c r="K72" s="64">
        <v>182.44</v>
      </c>
      <c r="L72" s="64">
        <v>30.26</v>
      </c>
      <c r="M72" s="64">
        <v>39.869999999999997</v>
      </c>
      <c r="N72" s="64">
        <v>123.6</v>
      </c>
      <c r="O72" s="64">
        <v>0</v>
      </c>
      <c r="P72" s="64">
        <v>0.32</v>
      </c>
      <c r="Q72" s="64">
        <v>5.61</v>
      </c>
      <c r="R72" s="198"/>
      <c r="S72" s="198"/>
      <c r="T72" s="198"/>
      <c r="U72" s="198"/>
    </row>
    <row r="73" spans="1:21" s="12" customFormat="1" x14ac:dyDescent="0.25">
      <c r="A73" s="218" t="s">
        <v>2524</v>
      </c>
      <c r="B73" s="64">
        <v>2.33</v>
      </c>
      <c r="C73" s="64">
        <v>29.31</v>
      </c>
      <c r="D73" s="64">
        <v>18.690000000000001</v>
      </c>
      <c r="E73" s="64">
        <v>1.87</v>
      </c>
      <c r="F73" s="64">
        <v>19.670000000000002</v>
      </c>
      <c r="G73" s="64">
        <v>17.690000000000001</v>
      </c>
      <c r="H73" s="64">
        <v>6.96</v>
      </c>
      <c r="I73" s="64">
        <v>0.54</v>
      </c>
      <c r="J73" s="64">
        <v>0.74</v>
      </c>
      <c r="K73" s="64">
        <v>177.49</v>
      </c>
      <c r="L73" s="64">
        <v>30.06</v>
      </c>
      <c r="M73" s="64">
        <v>39.61</v>
      </c>
      <c r="N73" s="64">
        <v>116.4</v>
      </c>
      <c r="O73" s="64">
        <v>0</v>
      </c>
      <c r="P73" s="64">
        <v>0.31</v>
      </c>
      <c r="Q73" s="64">
        <v>8.1199999999999992</v>
      </c>
      <c r="R73" s="198"/>
      <c r="S73" s="198"/>
      <c r="T73" s="198"/>
      <c r="U73" s="198"/>
    </row>
    <row r="74" spans="1:21" s="12" customFormat="1" x14ac:dyDescent="0.25">
      <c r="A74" s="218" t="s">
        <v>2525</v>
      </c>
      <c r="B74" s="64">
        <v>2.37</v>
      </c>
      <c r="C74" s="64">
        <v>31.12</v>
      </c>
      <c r="D74" s="64">
        <v>19.72</v>
      </c>
      <c r="E74" s="64">
        <v>2.34</v>
      </c>
      <c r="F74" s="64">
        <v>11.76</v>
      </c>
      <c r="G74" s="64">
        <v>17.690000000000001</v>
      </c>
      <c r="H74" s="64">
        <v>6.96</v>
      </c>
      <c r="I74" s="64">
        <v>0.55000000000000004</v>
      </c>
      <c r="J74" s="64">
        <v>0.76</v>
      </c>
      <c r="K74" s="64">
        <v>198.22</v>
      </c>
      <c r="L74" s="64">
        <v>30.01</v>
      </c>
      <c r="M74" s="64">
        <v>40.14</v>
      </c>
      <c r="N74" s="64">
        <v>112.6</v>
      </c>
      <c r="O74" s="64">
        <v>0</v>
      </c>
      <c r="P74" s="64">
        <v>0.32</v>
      </c>
      <c r="Q74" s="64">
        <v>11.23</v>
      </c>
      <c r="R74" s="198"/>
      <c r="S74" s="198"/>
      <c r="T74" s="198"/>
      <c r="U74" s="198"/>
    </row>
    <row r="75" spans="1:21" s="12" customFormat="1" x14ac:dyDescent="0.25">
      <c r="A75" s="218" t="s">
        <v>2526</v>
      </c>
      <c r="B75" s="64">
        <v>2.2599999999999998</v>
      </c>
      <c r="C75" s="64">
        <v>35.99</v>
      </c>
      <c r="D75" s="64">
        <v>22.32</v>
      </c>
      <c r="E75" s="64">
        <v>2.19</v>
      </c>
      <c r="F75" s="64">
        <v>8.34</v>
      </c>
      <c r="G75" s="64">
        <v>16.760000000000002</v>
      </c>
      <c r="H75" s="64">
        <v>7.87</v>
      </c>
      <c r="I75" s="64">
        <v>0.54</v>
      </c>
      <c r="J75" s="64">
        <v>2.42</v>
      </c>
      <c r="K75" s="64">
        <v>209.84</v>
      </c>
      <c r="L75" s="64">
        <v>27.88</v>
      </c>
      <c r="M75" s="64">
        <v>42.34</v>
      </c>
      <c r="N75" s="64">
        <v>77.099999999999994</v>
      </c>
      <c r="O75" s="64">
        <v>0</v>
      </c>
      <c r="P75" s="64">
        <v>0.32</v>
      </c>
      <c r="Q75" s="64">
        <v>13.05</v>
      </c>
      <c r="R75" s="198"/>
      <c r="S75" s="198"/>
      <c r="T75" s="198"/>
      <c r="U75" s="198"/>
    </row>
    <row r="76" spans="1:21" s="12" customFormat="1" x14ac:dyDescent="0.25">
      <c r="A76" s="218" t="s">
        <v>2527</v>
      </c>
      <c r="B76" s="64">
        <v>1.89</v>
      </c>
      <c r="C76" s="64">
        <v>36.28</v>
      </c>
      <c r="D76" s="64">
        <v>22.19</v>
      </c>
      <c r="E76" s="64">
        <v>1.96</v>
      </c>
      <c r="F76" s="64">
        <v>8.32</v>
      </c>
      <c r="G76" s="64">
        <v>16.399999999999999</v>
      </c>
      <c r="H76" s="64">
        <v>7.92</v>
      </c>
      <c r="I76" s="64">
        <v>0.54</v>
      </c>
      <c r="J76" s="64">
        <v>2.02</v>
      </c>
      <c r="K76" s="64">
        <v>197.24</v>
      </c>
      <c r="L76" s="64">
        <v>26.42</v>
      </c>
      <c r="M76" s="64">
        <v>43.42</v>
      </c>
      <c r="N76" s="64">
        <v>51.6</v>
      </c>
      <c r="O76" s="64">
        <v>0</v>
      </c>
      <c r="P76" s="64">
        <v>0.31</v>
      </c>
      <c r="Q76" s="64">
        <v>12.82</v>
      </c>
      <c r="R76" s="198"/>
      <c r="S76" s="198"/>
      <c r="T76" s="198"/>
      <c r="U76" s="198"/>
    </row>
    <row r="77" spans="1:21" s="12" customFormat="1" x14ac:dyDescent="0.25">
      <c r="A77" s="218" t="s">
        <v>2528</v>
      </c>
      <c r="B77" s="64">
        <v>1.76</v>
      </c>
      <c r="C77" s="64">
        <v>36.700000000000003</v>
      </c>
      <c r="D77" s="64">
        <v>22.31</v>
      </c>
      <c r="E77" s="64">
        <v>2.4300000000000002</v>
      </c>
      <c r="F77" s="64">
        <v>7.27</v>
      </c>
      <c r="G77" s="64">
        <v>16.399999999999999</v>
      </c>
      <c r="H77" s="64">
        <v>7.92</v>
      </c>
      <c r="I77" s="64">
        <v>0.56000000000000005</v>
      </c>
      <c r="J77" s="64">
        <v>1.33</v>
      </c>
      <c r="K77" s="64">
        <v>192.78</v>
      </c>
      <c r="L77" s="64">
        <v>25.46</v>
      </c>
      <c r="M77" s="64">
        <v>49.72</v>
      </c>
      <c r="N77" s="64">
        <v>82.3</v>
      </c>
      <c r="O77" s="64">
        <v>0.4</v>
      </c>
      <c r="P77" s="64">
        <v>0.3</v>
      </c>
      <c r="Q77" s="64">
        <v>11.86</v>
      </c>
      <c r="R77" s="198"/>
      <c r="S77" s="198"/>
      <c r="T77" s="198"/>
      <c r="U77" s="198"/>
    </row>
    <row r="78" spans="1:21" s="12" customFormat="1" x14ac:dyDescent="0.25">
      <c r="A78" s="218" t="s">
        <v>2529</v>
      </c>
      <c r="B78" s="64">
        <v>1.8</v>
      </c>
      <c r="C78" s="64">
        <v>36</v>
      </c>
      <c r="D78" s="64">
        <v>21.96</v>
      </c>
      <c r="E78" s="64">
        <v>1.89</v>
      </c>
      <c r="F78" s="64">
        <v>7.33</v>
      </c>
      <c r="G78" s="64">
        <v>16.399999999999999</v>
      </c>
      <c r="H78" s="64">
        <v>7.92</v>
      </c>
      <c r="I78" s="64">
        <v>0.54</v>
      </c>
      <c r="J78" s="64">
        <v>0.69</v>
      </c>
      <c r="K78" s="64">
        <v>168.36</v>
      </c>
      <c r="L78" s="64">
        <v>24.7</v>
      </c>
      <c r="M78" s="64">
        <v>54.45</v>
      </c>
      <c r="N78" s="64">
        <v>70.7</v>
      </c>
      <c r="O78" s="64">
        <v>0</v>
      </c>
      <c r="P78" s="64">
        <v>0.28999999999999998</v>
      </c>
      <c r="Q78" s="64">
        <v>11.99</v>
      </c>
      <c r="R78" s="198"/>
      <c r="S78" s="198"/>
      <c r="T78" s="198"/>
      <c r="U78" s="198"/>
    </row>
    <row r="79" spans="1:21" s="12" customFormat="1" x14ac:dyDescent="0.25">
      <c r="A79" s="218" t="s">
        <v>2530</v>
      </c>
      <c r="B79" s="64">
        <v>1.86</v>
      </c>
      <c r="C79" s="64">
        <v>35.36</v>
      </c>
      <c r="D79" s="64">
        <v>21.65</v>
      </c>
      <c r="E79" s="64">
        <v>2.0499999999999998</v>
      </c>
      <c r="F79" s="64">
        <v>6.71</v>
      </c>
      <c r="G79" s="64">
        <v>20.98</v>
      </c>
      <c r="H79" s="64">
        <v>6.61</v>
      </c>
      <c r="I79" s="64">
        <v>0.53</v>
      </c>
      <c r="J79" s="64">
        <v>1.59</v>
      </c>
      <c r="K79" s="64">
        <v>194.77</v>
      </c>
      <c r="L79" s="64">
        <v>24.77</v>
      </c>
      <c r="M79" s="64">
        <v>47</v>
      </c>
      <c r="N79" s="64">
        <v>37.799999999999997</v>
      </c>
      <c r="O79" s="64">
        <v>0</v>
      </c>
      <c r="P79" s="64">
        <v>0.28999999999999998</v>
      </c>
      <c r="Q79" s="64">
        <v>12.13</v>
      </c>
      <c r="R79" s="198"/>
      <c r="S79" s="198"/>
      <c r="T79" s="198"/>
      <c r="U79" s="198"/>
    </row>
    <row r="80" spans="1:21" s="12" customFormat="1" x14ac:dyDescent="0.25">
      <c r="A80" s="218" t="s">
        <v>2531</v>
      </c>
      <c r="B80" s="64">
        <v>1.9</v>
      </c>
      <c r="C80" s="64">
        <v>35.549999999999997</v>
      </c>
      <c r="D80" s="64">
        <v>21.79</v>
      </c>
      <c r="E80" s="64">
        <v>1.81</v>
      </c>
      <c r="F80" s="64">
        <v>6.01</v>
      </c>
      <c r="G80" s="64">
        <v>22.74</v>
      </c>
      <c r="H80" s="64">
        <v>6.35</v>
      </c>
      <c r="I80" s="64">
        <v>0.52</v>
      </c>
      <c r="J80" s="64">
        <v>1.28</v>
      </c>
      <c r="K80" s="64">
        <v>192.74</v>
      </c>
      <c r="L80" s="64">
        <v>25.02</v>
      </c>
      <c r="M80" s="64">
        <v>46.48</v>
      </c>
      <c r="N80" s="64">
        <v>33.700000000000003</v>
      </c>
      <c r="O80" s="64">
        <v>0</v>
      </c>
      <c r="P80" s="64">
        <v>0.28000000000000003</v>
      </c>
      <c r="Q80" s="64">
        <v>11.47</v>
      </c>
      <c r="R80" s="198"/>
      <c r="S80" s="198"/>
      <c r="T80" s="198"/>
      <c r="U80" s="198"/>
    </row>
    <row r="81" spans="1:26" s="12" customFormat="1" x14ac:dyDescent="0.25">
      <c r="A81" s="218" t="s">
        <v>2532</v>
      </c>
      <c r="B81" s="64">
        <v>1.95</v>
      </c>
      <c r="C81" s="64">
        <v>41.44</v>
      </c>
      <c r="D81" s="64">
        <v>25.08</v>
      </c>
      <c r="E81" s="64">
        <v>1.92</v>
      </c>
      <c r="F81" s="64">
        <v>6.59</v>
      </c>
      <c r="G81" s="64">
        <v>22.74</v>
      </c>
      <c r="H81" s="64">
        <v>6.35</v>
      </c>
      <c r="I81" s="64">
        <v>0.51</v>
      </c>
      <c r="J81" s="64">
        <v>1.6</v>
      </c>
      <c r="K81" s="64">
        <v>117.04</v>
      </c>
      <c r="L81" s="64">
        <v>24.58</v>
      </c>
      <c r="M81" s="64">
        <v>51.21</v>
      </c>
      <c r="N81" s="64">
        <v>15.1</v>
      </c>
      <c r="O81" s="64">
        <v>0</v>
      </c>
      <c r="P81" s="64">
        <v>0.28000000000000003</v>
      </c>
      <c r="Q81" s="64">
        <v>14.8</v>
      </c>
      <c r="R81" s="198"/>
      <c r="S81" s="198"/>
      <c r="T81" s="198"/>
      <c r="U81" s="198"/>
    </row>
    <row r="82" spans="1:26" s="12" customFormat="1" x14ac:dyDescent="0.25">
      <c r="A82" s="218" t="s">
        <v>2533</v>
      </c>
      <c r="B82" s="64">
        <v>2.08</v>
      </c>
      <c r="C82" s="64">
        <v>38.299999999999997</v>
      </c>
      <c r="D82" s="64">
        <v>23.45</v>
      </c>
      <c r="E82" s="64">
        <v>1.94</v>
      </c>
      <c r="F82" s="64">
        <v>5.73</v>
      </c>
      <c r="G82" s="64">
        <v>22.74</v>
      </c>
      <c r="H82" s="64">
        <v>6.35</v>
      </c>
      <c r="I82" s="64">
        <v>0.51</v>
      </c>
      <c r="J82" s="64">
        <v>3.01</v>
      </c>
      <c r="K82" s="64">
        <v>124.01</v>
      </c>
      <c r="L82" s="64">
        <v>24.35</v>
      </c>
      <c r="M82" s="64">
        <v>53.66</v>
      </c>
      <c r="N82" s="64">
        <v>8.3000000000000007</v>
      </c>
      <c r="O82" s="64">
        <v>0</v>
      </c>
      <c r="P82" s="64">
        <v>0.28000000000000003</v>
      </c>
      <c r="Q82" s="64">
        <v>12.5</v>
      </c>
      <c r="R82" s="198"/>
      <c r="S82" s="198"/>
      <c r="T82" s="198"/>
      <c r="U82" s="198"/>
    </row>
    <row r="83" spans="1:26" s="12" customFormat="1" x14ac:dyDescent="0.25">
      <c r="A83" s="218" t="s">
        <v>2534</v>
      </c>
      <c r="B83" s="64">
        <v>2.2799999999999998</v>
      </c>
      <c r="C83" s="64">
        <v>41.34</v>
      </c>
      <c r="D83" s="64">
        <v>25.29</v>
      </c>
      <c r="E83" s="64">
        <v>2.02</v>
      </c>
      <c r="F83" s="64">
        <v>7.76</v>
      </c>
      <c r="G83" s="64">
        <v>23.75</v>
      </c>
      <c r="H83" s="64">
        <v>6.4</v>
      </c>
      <c r="I83" s="64">
        <v>0.51</v>
      </c>
      <c r="J83" s="64">
        <v>2.21</v>
      </c>
      <c r="K83" s="64">
        <v>130.13</v>
      </c>
      <c r="L83" s="64">
        <v>24.28</v>
      </c>
      <c r="M83" s="64">
        <v>53.86</v>
      </c>
      <c r="N83" s="64">
        <v>5.2</v>
      </c>
      <c r="O83" s="64">
        <v>0</v>
      </c>
      <c r="P83" s="64">
        <v>0.28999999999999998</v>
      </c>
      <c r="Q83" s="64">
        <v>16.41</v>
      </c>
      <c r="R83" s="198"/>
      <c r="S83" s="198"/>
      <c r="T83" s="198"/>
      <c r="U83" s="198"/>
    </row>
    <row r="84" spans="1:26" s="12" customFormat="1" x14ac:dyDescent="0.25">
      <c r="A84" s="218" t="s">
        <v>2535</v>
      </c>
      <c r="B84" s="64">
        <v>2.62</v>
      </c>
      <c r="C84" s="64">
        <v>39.340000000000003</v>
      </c>
      <c r="D84" s="64">
        <v>24.45</v>
      </c>
      <c r="E84" s="64">
        <v>1.79</v>
      </c>
      <c r="F84" s="64">
        <v>5.71</v>
      </c>
      <c r="G84" s="64">
        <v>24.14</v>
      </c>
      <c r="H84" s="64">
        <v>6.4</v>
      </c>
      <c r="I84" s="64">
        <v>0.52</v>
      </c>
      <c r="J84" s="64">
        <v>1.5</v>
      </c>
      <c r="K84" s="64">
        <v>121.36</v>
      </c>
      <c r="L84" s="64">
        <v>23.89</v>
      </c>
      <c r="M84" s="64">
        <v>56.87</v>
      </c>
      <c r="N84" s="64">
        <v>5.2</v>
      </c>
      <c r="O84" s="64">
        <v>0</v>
      </c>
      <c r="P84" s="64">
        <v>0.28999999999999998</v>
      </c>
      <c r="Q84" s="64">
        <v>16.77</v>
      </c>
      <c r="R84" s="198"/>
      <c r="S84" s="198"/>
      <c r="T84" s="198"/>
      <c r="U84" s="198"/>
    </row>
    <row r="85" spans="1:26" s="12" customFormat="1" x14ac:dyDescent="0.25">
      <c r="A85" s="218" t="s">
        <v>2536</v>
      </c>
      <c r="B85" s="64">
        <v>3.06</v>
      </c>
      <c r="C85" s="64">
        <v>40.26</v>
      </c>
      <c r="D85" s="64">
        <v>25.32</v>
      </c>
      <c r="E85" s="64">
        <v>2.21</v>
      </c>
      <c r="F85" s="64">
        <v>5.47</v>
      </c>
      <c r="G85" s="64">
        <v>24.14</v>
      </c>
      <c r="H85" s="64">
        <v>6.4</v>
      </c>
      <c r="I85" s="64">
        <v>0.51</v>
      </c>
      <c r="J85" s="64">
        <v>1.23</v>
      </c>
      <c r="K85" s="64">
        <v>130.12</v>
      </c>
      <c r="L85" s="64">
        <v>23.76</v>
      </c>
      <c r="M85" s="64">
        <v>58.02</v>
      </c>
      <c r="N85" s="64">
        <v>5.0999999999999996</v>
      </c>
      <c r="O85" s="64">
        <v>0</v>
      </c>
      <c r="P85" s="64">
        <v>0.3</v>
      </c>
      <c r="Q85" s="64">
        <v>17.46</v>
      </c>
      <c r="R85" s="198"/>
      <c r="S85" s="198"/>
      <c r="T85" s="198"/>
      <c r="U85" s="198"/>
    </row>
    <row r="86" spans="1:26" s="12" customFormat="1" x14ac:dyDescent="0.25">
      <c r="A86" s="218" t="s">
        <v>2537</v>
      </c>
      <c r="B86" s="64">
        <v>3.23</v>
      </c>
      <c r="C86" s="64">
        <v>37.18</v>
      </c>
      <c r="D86" s="64">
        <v>23.76</v>
      </c>
      <c r="E86" s="64">
        <v>1.91</v>
      </c>
      <c r="F86" s="64">
        <v>4.38</v>
      </c>
      <c r="G86" s="64">
        <v>24.14</v>
      </c>
      <c r="H86" s="64">
        <v>6.4</v>
      </c>
      <c r="I86" s="64">
        <v>0.51</v>
      </c>
      <c r="J86" s="64">
        <v>1.98</v>
      </c>
      <c r="K86" s="64">
        <v>124.08</v>
      </c>
      <c r="L86" s="64">
        <v>23.64</v>
      </c>
      <c r="M86" s="64">
        <v>57.95</v>
      </c>
      <c r="N86" s="64">
        <v>4.8</v>
      </c>
      <c r="O86" s="64">
        <v>0</v>
      </c>
      <c r="P86" s="64">
        <v>0.3</v>
      </c>
      <c r="Q86" s="64">
        <v>17.72</v>
      </c>
      <c r="R86" s="198"/>
      <c r="S86" s="198"/>
      <c r="T86" s="198"/>
      <c r="U86" s="198"/>
    </row>
    <row r="87" spans="1:26" s="12" customFormat="1" x14ac:dyDescent="0.25">
      <c r="A87" s="218" t="s">
        <v>2538</v>
      </c>
      <c r="B87" s="64">
        <v>3.15</v>
      </c>
      <c r="C87" s="64">
        <v>36.54</v>
      </c>
      <c r="D87" s="64">
        <v>23.34</v>
      </c>
      <c r="E87" s="64">
        <v>1.92</v>
      </c>
      <c r="F87" s="64">
        <v>4.22</v>
      </c>
      <c r="G87" s="64">
        <v>23.25</v>
      </c>
      <c r="H87" s="64">
        <v>7.71</v>
      </c>
      <c r="I87" s="64">
        <v>0.52</v>
      </c>
      <c r="J87" s="64">
        <v>0.54</v>
      </c>
      <c r="K87" s="64">
        <v>159.09</v>
      </c>
      <c r="L87" s="64">
        <v>23.67</v>
      </c>
      <c r="M87" s="64">
        <v>57.31</v>
      </c>
      <c r="N87" s="64">
        <v>4.5999999999999996</v>
      </c>
      <c r="O87" s="64">
        <v>0</v>
      </c>
      <c r="P87" s="64">
        <v>0.3</v>
      </c>
      <c r="Q87" s="64">
        <v>18.649999999999999</v>
      </c>
      <c r="R87" s="198"/>
      <c r="S87" s="198"/>
      <c r="T87" s="198"/>
      <c r="U87" s="198"/>
    </row>
    <row r="88" spans="1:26" s="12" customFormat="1" x14ac:dyDescent="0.25">
      <c r="A88" s="218" t="s">
        <v>2539</v>
      </c>
      <c r="B88" s="64">
        <v>3.01</v>
      </c>
      <c r="C88" s="64">
        <v>36.729999999999997</v>
      </c>
      <c r="D88" s="64">
        <v>23.33</v>
      </c>
      <c r="E88" s="64">
        <v>0.87</v>
      </c>
      <c r="F88" s="64">
        <v>5.81</v>
      </c>
      <c r="G88" s="64">
        <v>22.9</v>
      </c>
      <c r="H88" s="64">
        <v>7.77</v>
      </c>
      <c r="I88" s="64">
        <v>0.52</v>
      </c>
      <c r="J88" s="64">
        <v>1.29</v>
      </c>
      <c r="K88" s="64">
        <v>118.86</v>
      </c>
      <c r="L88" s="64">
        <v>23.86</v>
      </c>
      <c r="M88" s="64">
        <v>55.38</v>
      </c>
      <c r="N88" s="64">
        <v>4.4000000000000004</v>
      </c>
      <c r="O88" s="64">
        <v>0</v>
      </c>
      <c r="P88" s="64">
        <v>0.32</v>
      </c>
      <c r="Q88" s="64">
        <v>18.940000000000001</v>
      </c>
      <c r="R88" s="198"/>
      <c r="S88" s="198"/>
      <c r="T88" s="198"/>
      <c r="U88" s="198"/>
    </row>
    <row r="89" spans="1:26" s="12" customFormat="1" x14ac:dyDescent="0.25">
      <c r="A89" s="218" t="s">
        <v>2540</v>
      </c>
      <c r="B89" s="64">
        <v>2.92</v>
      </c>
      <c r="C89" s="64">
        <v>36.6</v>
      </c>
      <c r="D89" s="64">
        <v>23.18</v>
      </c>
      <c r="E89" s="64">
        <v>1.34</v>
      </c>
      <c r="F89" s="64">
        <v>4.66</v>
      </c>
      <c r="G89" s="64">
        <v>22.9</v>
      </c>
      <c r="H89" s="64">
        <v>7.77</v>
      </c>
      <c r="I89" s="64">
        <v>0.51</v>
      </c>
      <c r="J89" s="64">
        <v>0.86</v>
      </c>
      <c r="K89" s="64">
        <v>187.89</v>
      </c>
      <c r="L89" s="64">
        <v>23.62</v>
      </c>
      <c r="M89" s="64">
        <v>56.73</v>
      </c>
      <c r="N89" s="64">
        <v>4.8</v>
      </c>
      <c r="O89" s="64">
        <v>0</v>
      </c>
      <c r="P89" s="64">
        <v>0.32</v>
      </c>
      <c r="Q89" s="64">
        <v>18.690000000000001</v>
      </c>
      <c r="R89" s="198"/>
      <c r="S89" s="198"/>
      <c r="T89" s="198"/>
      <c r="U89" s="198"/>
    </row>
    <row r="90" spans="1:26" s="12" customFormat="1" x14ac:dyDescent="0.25">
      <c r="A90" s="218" t="s">
        <v>2541</v>
      </c>
      <c r="B90" s="64">
        <v>2.94</v>
      </c>
      <c r="C90" s="64">
        <v>36.909999999999997</v>
      </c>
      <c r="D90" s="64">
        <v>23.37</v>
      </c>
      <c r="E90" s="64">
        <v>1.36</v>
      </c>
      <c r="F90" s="64">
        <v>2.93</v>
      </c>
      <c r="G90" s="64">
        <v>22.9</v>
      </c>
      <c r="H90" s="64">
        <v>7.77</v>
      </c>
      <c r="I90" s="64">
        <v>0.52</v>
      </c>
      <c r="J90" s="64">
        <v>1.29</v>
      </c>
      <c r="K90" s="64">
        <v>190.48</v>
      </c>
      <c r="L90" s="64">
        <v>23.49</v>
      </c>
      <c r="M90" s="64">
        <v>56.59</v>
      </c>
      <c r="N90" s="64">
        <v>4.8</v>
      </c>
      <c r="O90" s="64">
        <v>0</v>
      </c>
      <c r="P90" s="64">
        <v>0.33</v>
      </c>
      <c r="Q90" s="64">
        <v>18.010000000000002</v>
      </c>
      <c r="R90" s="198"/>
      <c r="S90" s="198"/>
      <c r="T90" s="198"/>
      <c r="U90" s="198"/>
    </row>
    <row r="91" spans="1:26" s="12" customFormat="1" x14ac:dyDescent="0.25">
      <c r="A91" s="218" t="s">
        <v>2542</v>
      </c>
      <c r="B91" s="64">
        <v>3.09</v>
      </c>
      <c r="C91" s="64">
        <v>38.15</v>
      </c>
      <c r="D91" s="64">
        <v>24.18</v>
      </c>
      <c r="E91" s="64">
        <v>1.1599999999999999</v>
      </c>
      <c r="F91" s="64">
        <v>5.18</v>
      </c>
      <c r="G91" s="64">
        <v>17.350000000000001</v>
      </c>
      <c r="H91" s="64">
        <v>9.0500000000000007</v>
      </c>
      <c r="I91" s="64">
        <v>0.52</v>
      </c>
      <c r="J91" s="64">
        <v>0.67</v>
      </c>
      <c r="K91" s="64">
        <v>206.99</v>
      </c>
      <c r="L91" s="64">
        <v>23.19</v>
      </c>
      <c r="M91" s="64">
        <v>57.62</v>
      </c>
      <c r="N91" s="64">
        <v>4.9000000000000004</v>
      </c>
      <c r="O91" s="64">
        <v>0</v>
      </c>
      <c r="P91" s="64">
        <v>0.34</v>
      </c>
      <c r="Q91" s="64">
        <v>18.190000000000001</v>
      </c>
      <c r="R91" s="198"/>
      <c r="S91" s="198"/>
      <c r="T91" s="198"/>
      <c r="U91" s="198"/>
    </row>
    <row r="92" spans="1:26" s="12" customFormat="1" x14ac:dyDescent="0.25">
      <c r="A92" s="218" t="s">
        <v>2543</v>
      </c>
      <c r="B92" s="64">
        <v>3.31</v>
      </c>
      <c r="C92" s="64">
        <v>38.270000000000003</v>
      </c>
      <c r="D92" s="64">
        <v>24.42</v>
      </c>
      <c r="E92" s="64">
        <v>0.97</v>
      </c>
      <c r="F92" s="64">
        <v>4.04</v>
      </c>
      <c r="G92" s="64">
        <v>15.21</v>
      </c>
      <c r="H92" s="64">
        <v>9.09</v>
      </c>
      <c r="I92" s="64">
        <v>0.52</v>
      </c>
      <c r="J92" s="64">
        <v>0.97</v>
      </c>
      <c r="K92" s="64">
        <v>201.19</v>
      </c>
      <c r="L92" s="64">
        <v>23.11</v>
      </c>
      <c r="M92" s="64">
        <v>57.88</v>
      </c>
      <c r="N92" s="64">
        <v>4.5999999999999996</v>
      </c>
      <c r="O92" s="64">
        <v>0</v>
      </c>
      <c r="P92" s="64">
        <v>0.34</v>
      </c>
      <c r="Q92" s="64">
        <v>17.73</v>
      </c>
      <c r="R92" s="198"/>
      <c r="S92" s="198"/>
      <c r="T92" s="198"/>
      <c r="U92" s="198"/>
    </row>
    <row r="93" spans="1:26" s="12" customFormat="1" x14ac:dyDescent="0.25">
      <c r="A93" s="218" t="s">
        <v>2544</v>
      </c>
      <c r="B93" s="64">
        <v>3.6</v>
      </c>
      <c r="C93" s="64">
        <v>45.14</v>
      </c>
      <c r="D93" s="64">
        <v>28.45</v>
      </c>
      <c r="E93" s="64">
        <v>1.35</v>
      </c>
      <c r="F93" s="64">
        <v>4.84</v>
      </c>
      <c r="G93" s="64">
        <v>15.21</v>
      </c>
      <c r="H93" s="64">
        <v>9.09</v>
      </c>
      <c r="I93" s="64">
        <v>0.52</v>
      </c>
      <c r="J93" s="64">
        <v>0.41</v>
      </c>
      <c r="K93" s="64">
        <v>201.62</v>
      </c>
      <c r="L93" s="64">
        <v>22.96</v>
      </c>
      <c r="M93" s="64">
        <v>59</v>
      </c>
      <c r="N93" s="64">
        <v>4.9000000000000004</v>
      </c>
      <c r="O93" s="64">
        <v>0</v>
      </c>
      <c r="P93" s="64">
        <v>0.35</v>
      </c>
      <c r="Q93" s="64">
        <v>18.399999999999999</v>
      </c>
      <c r="R93" s="198"/>
      <c r="S93" s="198"/>
      <c r="T93" s="198"/>
      <c r="U93" s="198"/>
    </row>
    <row r="94" spans="1:26" s="12" customFormat="1" x14ac:dyDescent="0.25">
      <c r="A94" s="218" t="s">
        <v>2545</v>
      </c>
      <c r="B94" s="64">
        <v>3.92</v>
      </c>
      <c r="C94" s="64">
        <v>43.4</v>
      </c>
      <c r="D94" s="64">
        <v>27.74</v>
      </c>
      <c r="E94" s="64">
        <v>1.24</v>
      </c>
      <c r="F94" s="64">
        <v>4.26</v>
      </c>
      <c r="G94" s="64">
        <v>15.21</v>
      </c>
      <c r="H94" s="64">
        <v>9.09</v>
      </c>
      <c r="I94" s="64">
        <v>0.52</v>
      </c>
      <c r="J94" s="64">
        <v>0.23</v>
      </c>
      <c r="K94" s="64">
        <v>155.47</v>
      </c>
      <c r="L94" s="64">
        <v>22.85</v>
      </c>
      <c r="M94" s="64">
        <v>59.92</v>
      </c>
      <c r="N94" s="64">
        <v>4.8</v>
      </c>
      <c r="O94" s="64">
        <v>0</v>
      </c>
      <c r="P94" s="64">
        <v>0.35</v>
      </c>
      <c r="Q94" s="64">
        <v>16.88</v>
      </c>
      <c r="R94" s="198"/>
      <c r="S94" s="198"/>
      <c r="T94" s="198"/>
      <c r="U94" s="198"/>
    </row>
    <row r="95" spans="1:26" s="12" customFormat="1" x14ac:dyDescent="0.25">
      <c r="A95" s="218" t="s">
        <v>2546</v>
      </c>
      <c r="B95" s="64">
        <v>8.01</v>
      </c>
      <c r="C95" s="64">
        <v>41.85</v>
      </c>
      <c r="D95" s="64">
        <v>30.17</v>
      </c>
      <c r="E95" s="64">
        <v>1.31</v>
      </c>
      <c r="F95" s="64">
        <v>6.9</v>
      </c>
      <c r="G95" s="64">
        <v>14.18</v>
      </c>
      <c r="H95" s="64">
        <v>9.94</v>
      </c>
      <c r="I95" s="64">
        <v>0.52</v>
      </c>
      <c r="J95" s="64">
        <v>0.54</v>
      </c>
      <c r="K95" s="64">
        <v>312.27999999999997</v>
      </c>
      <c r="L95" s="64">
        <v>22.91</v>
      </c>
      <c r="M95" s="64">
        <v>59.72</v>
      </c>
      <c r="N95" s="64">
        <v>4.5</v>
      </c>
      <c r="O95" s="64">
        <v>0</v>
      </c>
      <c r="P95" s="64">
        <v>0.41</v>
      </c>
      <c r="Q95" s="64">
        <v>17.25</v>
      </c>
      <c r="R95" s="198"/>
      <c r="S95" s="198"/>
      <c r="T95" s="198"/>
      <c r="U95" s="198"/>
    </row>
    <row r="96" spans="1:26" s="12" customFormat="1" x14ac:dyDescent="0.25">
      <c r="A96" s="218" t="s">
        <v>2547</v>
      </c>
      <c r="B96" s="64">
        <v>8.7899999999999991</v>
      </c>
      <c r="C96" s="64">
        <v>40.92</v>
      </c>
      <c r="D96" s="64">
        <v>30.28</v>
      </c>
      <c r="E96" s="64">
        <v>1.43</v>
      </c>
      <c r="F96" s="64">
        <v>6.21</v>
      </c>
      <c r="G96" s="64">
        <v>13.78</v>
      </c>
      <c r="H96" s="64">
        <v>9.9600000000000009</v>
      </c>
      <c r="I96" s="64">
        <v>0.52</v>
      </c>
      <c r="J96" s="64">
        <v>0.52</v>
      </c>
      <c r="K96" s="64">
        <v>298.3</v>
      </c>
      <c r="L96" s="64">
        <v>23.02</v>
      </c>
      <c r="M96" s="64">
        <v>58.96</v>
      </c>
      <c r="N96" s="64">
        <v>5</v>
      </c>
      <c r="O96" s="64">
        <v>0</v>
      </c>
      <c r="P96" s="64">
        <v>0.43</v>
      </c>
      <c r="Q96" s="64">
        <v>18.82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2548</v>
      </c>
      <c r="B97" s="64">
        <v>9.49</v>
      </c>
      <c r="C97" s="64">
        <v>45.72</v>
      </c>
      <c r="D97" s="64">
        <v>33.49</v>
      </c>
      <c r="E97" s="64">
        <v>1.27</v>
      </c>
      <c r="F97" s="64">
        <v>4.75</v>
      </c>
      <c r="G97" s="64">
        <v>13.78</v>
      </c>
      <c r="H97" s="64">
        <v>9.9600000000000009</v>
      </c>
      <c r="I97" s="64">
        <v>0.52</v>
      </c>
      <c r="J97" s="64">
        <v>0.11</v>
      </c>
      <c r="K97" s="64">
        <v>47.87</v>
      </c>
      <c r="L97" s="64">
        <v>22.94</v>
      </c>
      <c r="M97" s="64">
        <v>58.89</v>
      </c>
      <c r="N97" s="64">
        <v>5</v>
      </c>
      <c r="O97" s="64">
        <v>0</v>
      </c>
      <c r="P97" s="64">
        <v>0.45</v>
      </c>
      <c r="Q97" s="64">
        <v>20.11</v>
      </c>
      <c r="R97" s="198"/>
      <c r="S97" s="198"/>
      <c r="T97" s="198"/>
      <c r="U97" s="198"/>
    </row>
    <row r="98" spans="1:33" s="12" customFormat="1" x14ac:dyDescent="0.25">
      <c r="A98" s="218" t="s">
        <v>2549</v>
      </c>
      <c r="B98" s="64">
        <v>8.98</v>
      </c>
      <c r="C98" s="64">
        <v>41.01</v>
      </c>
      <c r="D98" s="64">
        <v>30.48</v>
      </c>
      <c r="E98" s="64">
        <v>1.41</v>
      </c>
      <c r="F98" s="64">
        <v>4.1399999999999997</v>
      </c>
      <c r="G98" s="64">
        <v>13.78</v>
      </c>
      <c r="H98" s="64">
        <v>9.9600000000000009</v>
      </c>
      <c r="I98" s="64">
        <v>0.53</v>
      </c>
      <c r="J98" s="64">
        <v>0.15</v>
      </c>
      <c r="K98" s="64">
        <v>29.46</v>
      </c>
      <c r="L98" s="64">
        <v>22.86</v>
      </c>
      <c r="M98" s="64">
        <v>60.56</v>
      </c>
      <c r="N98" s="64">
        <v>5.0999999999999996</v>
      </c>
      <c r="O98" s="64">
        <v>0</v>
      </c>
      <c r="P98" s="64">
        <v>0.45</v>
      </c>
      <c r="Q98" s="64">
        <v>19.5</v>
      </c>
      <c r="R98" s="198"/>
      <c r="S98" s="198"/>
      <c r="T98" s="198"/>
      <c r="U98" s="198"/>
    </row>
    <row r="99" spans="1:33" s="12" customFormat="1" x14ac:dyDescent="0.25">
      <c r="A99" s="218" t="s">
        <v>2550</v>
      </c>
      <c r="B99" s="64">
        <v>8.8800000000000008</v>
      </c>
      <c r="C99" s="64">
        <v>42.27</v>
      </c>
      <c r="D99" s="64">
        <v>31.09</v>
      </c>
      <c r="E99" s="64">
        <v>1.2</v>
      </c>
      <c r="F99" s="64">
        <v>3.97</v>
      </c>
      <c r="G99" s="64">
        <v>23.21</v>
      </c>
      <c r="H99" s="64">
        <v>10.48</v>
      </c>
      <c r="I99" s="64">
        <v>0.54</v>
      </c>
      <c r="J99" s="64">
        <v>0.57999999999999996</v>
      </c>
      <c r="K99" s="64">
        <v>110.81</v>
      </c>
      <c r="L99" s="64">
        <v>22.55</v>
      </c>
      <c r="M99" s="64">
        <v>62.87</v>
      </c>
      <c r="N99" s="64">
        <v>5</v>
      </c>
      <c r="O99" s="64">
        <v>0</v>
      </c>
      <c r="P99" s="64">
        <v>0.45</v>
      </c>
      <c r="Q99" s="64">
        <v>19.510000000000002</v>
      </c>
      <c r="R99" s="198"/>
      <c r="S99" s="198"/>
      <c r="T99" s="198"/>
      <c r="U99" s="198"/>
    </row>
    <row r="100" spans="1:33" s="12" customFormat="1" x14ac:dyDescent="0.25">
      <c r="A100" s="218" t="s">
        <v>2551</v>
      </c>
      <c r="B100" s="64">
        <v>10.4</v>
      </c>
      <c r="C100" s="64">
        <v>39.700000000000003</v>
      </c>
      <c r="D100" s="64">
        <v>30.9</v>
      </c>
      <c r="E100" s="64">
        <v>1.44</v>
      </c>
      <c r="F100" s="64">
        <v>4.12</v>
      </c>
      <c r="G100" s="64">
        <v>26.84</v>
      </c>
      <c r="H100" s="64">
        <v>10.5</v>
      </c>
      <c r="I100" s="64">
        <v>0.52</v>
      </c>
      <c r="J100" s="64">
        <v>0.85</v>
      </c>
      <c r="K100" s="64">
        <v>125.05</v>
      </c>
      <c r="L100" s="64">
        <v>22.47</v>
      </c>
      <c r="M100" s="64">
        <v>63.55</v>
      </c>
      <c r="N100" s="64">
        <v>4.5999999999999996</v>
      </c>
      <c r="O100" s="64">
        <v>0</v>
      </c>
      <c r="P100" s="64">
        <v>0.46</v>
      </c>
      <c r="Q100" s="64">
        <v>20.43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2552</v>
      </c>
      <c r="B101" s="64">
        <v>9.65</v>
      </c>
      <c r="C101" s="64">
        <v>39.630000000000003</v>
      </c>
      <c r="D101" s="64">
        <v>30.26</v>
      </c>
      <c r="E101" s="64">
        <v>1.1399999999999999</v>
      </c>
      <c r="F101" s="64">
        <v>3.56</v>
      </c>
      <c r="G101" s="64">
        <v>26.84</v>
      </c>
      <c r="H101" s="64">
        <v>10.5</v>
      </c>
      <c r="I101" s="64">
        <v>0.55000000000000004</v>
      </c>
      <c r="J101" s="64">
        <v>1.27</v>
      </c>
      <c r="K101" s="64">
        <v>136.37</v>
      </c>
      <c r="L101" s="64">
        <v>22.55</v>
      </c>
      <c r="M101" s="64">
        <v>63.73</v>
      </c>
      <c r="N101" s="64">
        <v>4.5</v>
      </c>
      <c r="O101" s="64">
        <v>0</v>
      </c>
      <c r="P101" s="64">
        <v>0.45</v>
      </c>
      <c r="Q101" s="64">
        <v>20.59</v>
      </c>
      <c r="R101" s="198"/>
      <c r="S101" s="198"/>
      <c r="T101" s="198"/>
      <c r="U101" s="198"/>
    </row>
    <row r="102" spans="1:33" s="12" customFormat="1" x14ac:dyDescent="0.25">
      <c r="A102" s="218" t="s">
        <v>2553</v>
      </c>
      <c r="B102" s="64">
        <v>9.0500000000000007</v>
      </c>
      <c r="C102" s="64">
        <v>39.03</v>
      </c>
      <c r="D102" s="64">
        <v>29.44</v>
      </c>
      <c r="E102" s="64">
        <v>1.59</v>
      </c>
      <c r="F102" s="64">
        <v>3.62</v>
      </c>
      <c r="G102" s="64">
        <v>26.84</v>
      </c>
      <c r="H102" s="64">
        <v>10.5</v>
      </c>
      <c r="I102" s="64">
        <v>0.54</v>
      </c>
      <c r="J102" s="64">
        <v>0.18</v>
      </c>
      <c r="K102" s="64">
        <v>121.71</v>
      </c>
      <c r="L102" s="64">
        <v>22.33</v>
      </c>
      <c r="M102" s="64">
        <v>65.72</v>
      </c>
      <c r="N102" s="64">
        <v>5</v>
      </c>
      <c r="O102" s="64">
        <v>0</v>
      </c>
      <c r="P102" s="64">
        <v>0.44</v>
      </c>
      <c r="Q102" s="64">
        <v>21.15</v>
      </c>
      <c r="R102" s="198"/>
      <c r="S102" s="198"/>
      <c r="T102" s="198"/>
      <c r="U102" s="198"/>
    </row>
    <row r="103" spans="1:33" s="12" customFormat="1" x14ac:dyDescent="0.25">
      <c r="A103" s="218" t="s">
        <v>2554</v>
      </c>
      <c r="B103" s="64">
        <v>9.25</v>
      </c>
      <c r="C103" s="64">
        <v>39.72</v>
      </c>
      <c r="D103" s="64">
        <v>29.98</v>
      </c>
      <c r="E103" s="64">
        <v>1.36</v>
      </c>
      <c r="F103" s="64">
        <v>3.66</v>
      </c>
      <c r="G103" s="64">
        <v>28.26</v>
      </c>
      <c r="H103" s="64">
        <v>8.33</v>
      </c>
      <c r="I103" s="64">
        <v>0.56000000000000005</v>
      </c>
      <c r="J103" s="64">
        <v>0.15</v>
      </c>
      <c r="K103" s="64">
        <v>22.64</v>
      </c>
      <c r="L103" s="64">
        <v>21.99</v>
      </c>
      <c r="M103" s="64">
        <v>68.16</v>
      </c>
      <c r="N103" s="64">
        <v>4.9000000000000004</v>
      </c>
      <c r="O103" s="64">
        <v>0</v>
      </c>
      <c r="P103" s="64">
        <v>0.44</v>
      </c>
      <c r="Q103" s="64">
        <v>20.61</v>
      </c>
      <c r="R103" s="198"/>
      <c r="S103" s="198"/>
      <c r="T103" s="198"/>
      <c r="U103" s="198"/>
    </row>
    <row r="104" spans="1:33" s="12" customFormat="1" x14ac:dyDescent="0.25">
      <c r="A104" s="218" t="s">
        <v>2555</v>
      </c>
      <c r="B104" s="64">
        <v>9.02</v>
      </c>
      <c r="C104" s="64">
        <v>42.2</v>
      </c>
      <c r="D104" s="64">
        <v>31.17</v>
      </c>
      <c r="E104" s="64">
        <v>1</v>
      </c>
      <c r="F104" s="64">
        <v>3.78</v>
      </c>
      <c r="G104" s="64">
        <v>28.78</v>
      </c>
      <c r="H104" s="64">
        <v>8.23</v>
      </c>
      <c r="I104" s="64">
        <v>0.54</v>
      </c>
      <c r="J104" s="64">
        <v>0.46</v>
      </c>
      <c r="K104" s="64">
        <v>114.05</v>
      </c>
      <c r="L104" s="64">
        <v>21.66</v>
      </c>
      <c r="M104" s="64">
        <v>70.22</v>
      </c>
      <c r="N104" s="64">
        <v>4.9000000000000004</v>
      </c>
      <c r="O104" s="64">
        <v>0</v>
      </c>
      <c r="P104" s="64">
        <v>0.44</v>
      </c>
      <c r="Q104" s="64">
        <v>22.05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1.76</v>
      </c>
      <c r="C106" s="67">
        <f>MIN(C9:C104)</f>
        <v>21.02</v>
      </c>
      <c r="D106" s="67">
        <f t="shared" ref="D106:Q106" si="0">MIN(D9:D104)</f>
        <v>14.03</v>
      </c>
      <c r="E106" s="67">
        <f t="shared" si="0"/>
        <v>0.66</v>
      </c>
      <c r="F106" s="67">
        <f t="shared" si="0"/>
        <v>2.93</v>
      </c>
      <c r="G106" s="67">
        <f t="shared" si="0"/>
        <v>5.99</v>
      </c>
      <c r="H106" s="67">
        <f t="shared" si="0"/>
        <v>4.7699999999999996</v>
      </c>
      <c r="I106" s="67">
        <f t="shared" si="0"/>
        <v>0.5</v>
      </c>
      <c r="J106" s="67">
        <f t="shared" si="0"/>
        <v>0.05</v>
      </c>
      <c r="K106" s="67">
        <f t="shared" si="0"/>
        <v>22.64</v>
      </c>
      <c r="L106" s="67">
        <f t="shared" si="0"/>
        <v>18.2</v>
      </c>
      <c r="M106" s="67">
        <f t="shared" si="0"/>
        <v>37.880000000000003</v>
      </c>
      <c r="N106" s="67">
        <f t="shared" si="0"/>
        <v>4.4000000000000004</v>
      </c>
      <c r="O106" s="67">
        <f t="shared" si="0"/>
        <v>0</v>
      </c>
      <c r="P106" s="67">
        <f t="shared" si="0"/>
        <v>0.28000000000000003</v>
      </c>
      <c r="Q106" s="67">
        <f t="shared" si="0"/>
        <v>4.6100000000000003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10.4</v>
      </c>
      <c r="C107" s="66">
        <f t="shared" ref="C107:Q107" si="1">MAX(C9:C104)</f>
        <v>48.74</v>
      </c>
      <c r="D107" s="66">
        <f t="shared" si="1"/>
        <v>34.5</v>
      </c>
      <c r="E107" s="66">
        <f t="shared" si="1"/>
        <v>2.74</v>
      </c>
      <c r="F107" s="66">
        <f t="shared" si="1"/>
        <v>20.04</v>
      </c>
      <c r="G107" s="66">
        <f t="shared" si="1"/>
        <v>44.62</v>
      </c>
      <c r="H107" s="66">
        <f t="shared" si="1"/>
        <v>17.25</v>
      </c>
      <c r="I107" s="66">
        <f t="shared" si="1"/>
        <v>0.67</v>
      </c>
      <c r="J107" s="66">
        <f t="shared" si="1"/>
        <v>3.01</v>
      </c>
      <c r="K107" s="66">
        <f t="shared" si="1"/>
        <v>312.27999999999997</v>
      </c>
      <c r="L107" s="66">
        <f t="shared" si="1"/>
        <v>30.77</v>
      </c>
      <c r="M107" s="66">
        <f t="shared" si="1"/>
        <v>90.22</v>
      </c>
      <c r="N107" s="66">
        <f t="shared" si="1"/>
        <v>937.2</v>
      </c>
      <c r="O107" s="66">
        <f t="shared" si="1"/>
        <v>0.4</v>
      </c>
      <c r="P107" s="66">
        <f t="shared" si="1"/>
        <v>0.83</v>
      </c>
      <c r="Q107" s="66">
        <f t="shared" si="1"/>
        <v>25.04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3.8461458333333334</v>
      </c>
      <c r="C108" s="67">
        <f t="shared" ref="C108:Q108" si="2">AVERAGE(C9:C104)</f>
        <v>35.734895833333333</v>
      </c>
      <c r="D108" s="67">
        <f t="shared" si="2"/>
        <v>23.451770833333342</v>
      </c>
      <c r="E108" s="67">
        <f t="shared" si="2"/>
        <v>1.7637499999999999</v>
      </c>
      <c r="F108" s="67">
        <f t="shared" si="2"/>
        <v>6.0160416666666627</v>
      </c>
      <c r="G108" s="67">
        <f t="shared" si="2"/>
        <v>17.907012987012987</v>
      </c>
      <c r="H108" s="67">
        <f t="shared" si="2"/>
        <v>7.6294805194805217</v>
      </c>
      <c r="I108" s="67">
        <f t="shared" si="2"/>
        <v>0.53718750000000026</v>
      </c>
      <c r="J108" s="67">
        <f t="shared" si="2"/>
        <v>0.89604166666666696</v>
      </c>
      <c r="K108" s="67">
        <f t="shared" si="2"/>
        <v>171.16697916666669</v>
      </c>
      <c r="L108" s="67">
        <f t="shared" si="2"/>
        <v>24.330833333333334</v>
      </c>
      <c r="M108" s="67">
        <f t="shared" si="2"/>
        <v>59.791250000000012</v>
      </c>
      <c r="N108" s="67">
        <f t="shared" si="2"/>
        <v>247.23958333333326</v>
      </c>
      <c r="O108" s="67">
        <f t="shared" si="2"/>
        <v>4.1666666666666666E-3</v>
      </c>
      <c r="P108" s="67">
        <f t="shared" si="2"/>
        <v>0.37291666666666656</v>
      </c>
      <c r="Q108" s="67">
        <f t="shared" si="2"/>
        <v>15.881250000000001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2.1289089717711565</v>
      </c>
      <c r="C109" s="67">
        <f t="shared" ref="C109:Q109" si="3">STDEV(C9:C104)</f>
        <v>4.9564520406376076</v>
      </c>
      <c r="D109" s="67">
        <f t="shared" si="3"/>
        <v>3.9150320277755761</v>
      </c>
      <c r="E109" s="67">
        <f t="shared" si="3"/>
        <v>0.43486295481873805</v>
      </c>
      <c r="F109" s="67">
        <f t="shared" si="3"/>
        <v>3.3477091866298165</v>
      </c>
      <c r="G109" s="67">
        <f t="shared" si="3"/>
        <v>7.00454665592944</v>
      </c>
      <c r="H109" s="67">
        <f t="shared" si="3"/>
        <v>2.4530024009814557</v>
      </c>
      <c r="I109" s="67">
        <f t="shared" si="3"/>
        <v>2.9936885363430144E-2</v>
      </c>
      <c r="J109" s="67">
        <f t="shared" si="3"/>
        <v>0.68117774041368007</v>
      </c>
      <c r="K109" s="67">
        <f t="shared" si="3"/>
        <v>51.508918821374273</v>
      </c>
      <c r="L109" s="67">
        <f t="shared" si="3"/>
        <v>4.0409583716494328</v>
      </c>
      <c r="M109" s="67">
        <f t="shared" si="3"/>
        <v>15.064191787498084</v>
      </c>
      <c r="N109" s="67">
        <f t="shared" si="3"/>
        <v>336.55816967436903</v>
      </c>
      <c r="O109" s="67">
        <f t="shared" si="3"/>
        <v>4.0824829046386304E-2</v>
      </c>
      <c r="P109" s="67">
        <f t="shared" si="3"/>
        <v>0.10133754608048352</v>
      </c>
      <c r="Q109" s="67">
        <f t="shared" si="3"/>
        <v>4.7834225249952107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COUNT(G9:G104)+19</f>
        <v>96</v>
      </c>
      <c r="H110" s="66">
        <f>COUNT(H9:H104)+19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32" sqref="I1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2556</v>
      </c>
      <c r="B9" s="64">
        <v>8.5399999999999991</v>
      </c>
      <c r="C9" s="64">
        <v>43.26</v>
      </c>
      <c r="D9" s="64">
        <v>31.37</v>
      </c>
      <c r="E9" s="64">
        <v>1.47</v>
      </c>
      <c r="F9" s="64">
        <v>5.72</v>
      </c>
      <c r="G9" s="64">
        <v>28.78</v>
      </c>
      <c r="H9" s="64">
        <v>8.23</v>
      </c>
      <c r="I9" s="64">
        <v>0.54</v>
      </c>
      <c r="J9" s="64">
        <v>0.13</v>
      </c>
      <c r="K9" s="64">
        <v>337.86</v>
      </c>
      <c r="L9" s="64">
        <v>21.46</v>
      </c>
      <c r="M9" s="64">
        <v>72.11</v>
      </c>
      <c r="N9" s="64">
        <v>4.9000000000000004</v>
      </c>
      <c r="O9" s="64">
        <v>0</v>
      </c>
      <c r="P9" s="64">
        <v>0.42</v>
      </c>
      <c r="Q9" s="64">
        <v>20.149999999999999</v>
      </c>
      <c r="R9" s="198"/>
      <c r="S9" s="198"/>
      <c r="T9" s="198"/>
      <c r="U9" s="198"/>
    </row>
    <row r="10" spans="1:21" s="12" customFormat="1" x14ac:dyDescent="0.25">
      <c r="A10" s="218" t="s">
        <v>2557</v>
      </c>
      <c r="B10" s="64">
        <v>8.52</v>
      </c>
      <c r="C10" s="64">
        <v>45.4</v>
      </c>
      <c r="D10" s="64">
        <v>32.54</v>
      </c>
      <c r="E10" s="64">
        <v>1.52</v>
      </c>
      <c r="F10" s="64">
        <v>5.04</v>
      </c>
      <c r="G10" s="64">
        <v>28.78</v>
      </c>
      <c r="H10" s="64">
        <v>8.23</v>
      </c>
      <c r="I10" s="64">
        <v>0.54</v>
      </c>
      <c r="J10" s="64">
        <v>0.64</v>
      </c>
      <c r="K10" s="64">
        <v>348.49</v>
      </c>
      <c r="L10" s="64">
        <v>21.15</v>
      </c>
      <c r="M10" s="64">
        <v>73.03</v>
      </c>
      <c r="N10" s="64">
        <v>4.9000000000000004</v>
      </c>
      <c r="O10" s="64">
        <v>0</v>
      </c>
      <c r="P10" s="64">
        <v>0.43</v>
      </c>
      <c r="Q10" s="64">
        <v>21.16</v>
      </c>
      <c r="R10" s="198"/>
      <c r="S10" s="198"/>
      <c r="T10" s="198"/>
      <c r="U10" s="198"/>
    </row>
    <row r="11" spans="1:21" s="12" customFormat="1" x14ac:dyDescent="0.25">
      <c r="A11" s="218" t="s">
        <v>2558</v>
      </c>
      <c r="B11" s="64">
        <v>8.2799999999999994</v>
      </c>
      <c r="C11" s="64">
        <v>47.79</v>
      </c>
      <c r="D11" s="64">
        <v>33.659999999999997</v>
      </c>
      <c r="E11" s="64">
        <v>1.58</v>
      </c>
      <c r="F11" s="64">
        <v>6.34</v>
      </c>
      <c r="G11" s="64">
        <v>26.71</v>
      </c>
      <c r="H11" s="64">
        <v>6.97</v>
      </c>
      <c r="I11" s="64">
        <v>0.53</v>
      </c>
      <c r="J11" s="64">
        <v>0.56000000000000005</v>
      </c>
      <c r="K11" s="64">
        <v>341.58</v>
      </c>
      <c r="L11" s="64">
        <v>20.79</v>
      </c>
      <c r="M11" s="64">
        <v>73.36</v>
      </c>
      <c r="N11" s="64">
        <v>5.0999999999999996</v>
      </c>
      <c r="O11" s="64">
        <v>0</v>
      </c>
      <c r="P11" s="64">
        <v>0.42</v>
      </c>
      <c r="Q11" s="64">
        <v>22.31</v>
      </c>
      <c r="R11" s="198"/>
      <c r="S11" s="198"/>
      <c r="T11" s="198"/>
      <c r="U11" s="198"/>
    </row>
    <row r="12" spans="1:21" s="12" customFormat="1" x14ac:dyDescent="0.25">
      <c r="A12" s="218" t="s">
        <v>2559</v>
      </c>
      <c r="B12" s="64">
        <v>7.62</v>
      </c>
      <c r="C12" s="64">
        <v>47.19</v>
      </c>
      <c r="D12" s="64">
        <v>32.799999999999997</v>
      </c>
      <c r="E12" s="64">
        <v>2.0299999999999998</v>
      </c>
      <c r="F12" s="64">
        <v>6.08</v>
      </c>
      <c r="G12" s="64">
        <v>25.92</v>
      </c>
      <c r="H12" s="64">
        <v>6.93</v>
      </c>
      <c r="I12" s="64">
        <v>0.54</v>
      </c>
      <c r="J12" s="64">
        <v>0.65</v>
      </c>
      <c r="K12" s="64">
        <v>331.39</v>
      </c>
      <c r="L12" s="64">
        <v>20.39</v>
      </c>
      <c r="M12" s="64">
        <v>73.13</v>
      </c>
      <c r="N12" s="64">
        <v>5.0999999999999996</v>
      </c>
      <c r="O12" s="64">
        <v>0</v>
      </c>
      <c r="P12" s="64">
        <v>0.4</v>
      </c>
      <c r="Q12" s="64">
        <v>22.89</v>
      </c>
      <c r="R12" s="198"/>
      <c r="S12" s="198"/>
      <c r="T12" s="198"/>
      <c r="U12" s="198"/>
    </row>
    <row r="13" spans="1:21" s="12" customFormat="1" x14ac:dyDescent="0.25">
      <c r="A13" s="218" t="s">
        <v>2560</v>
      </c>
      <c r="B13" s="64">
        <v>7</v>
      </c>
      <c r="C13" s="64">
        <v>44.93</v>
      </c>
      <c r="D13" s="64">
        <v>31.06</v>
      </c>
      <c r="E13" s="64">
        <v>1.86</v>
      </c>
      <c r="F13" s="64">
        <v>6.12</v>
      </c>
      <c r="G13" s="64">
        <v>25.92</v>
      </c>
      <c r="H13" s="64">
        <v>6.93</v>
      </c>
      <c r="I13" s="64">
        <v>0.53</v>
      </c>
      <c r="J13" s="64">
        <v>0.54</v>
      </c>
      <c r="K13" s="64">
        <v>335.73</v>
      </c>
      <c r="L13" s="64">
        <v>20.170000000000002</v>
      </c>
      <c r="M13" s="64">
        <v>73.08</v>
      </c>
      <c r="N13" s="64">
        <v>4.9000000000000004</v>
      </c>
      <c r="O13" s="64">
        <v>0</v>
      </c>
      <c r="P13" s="64">
        <v>0.37</v>
      </c>
      <c r="Q13" s="64">
        <v>22.62</v>
      </c>
      <c r="R13" s="198"/>
      <c r="S13" s="198"/>
      <c r="T13" s="198"/>
      <c r="U13" s="198"/>
    </row>
    <row r="14" spans="1:21" s="12" customFormat="1" x14ac:dyDescent="0.25">
      <c r="A14" s="218" t="s">
        <v>2561</v>
      </c>
      <c r="B14" s="64">
        <v>6.38</v>
      </c>
      <c r="C14" s="64">
        <v>45.68</v>
      </c>
      <c r="D14" s="64">
        <v>30.97</v>
      </c>
      <c r="E14" s="64">
        <v>2.1</v>
      </c>
      <c r="F14" s="64">
        <v>5.36</v>
      </c>
      <c r="G14" s="64">
        <v>25.92</v>
      </c>
      <c r="H14" s="64">
        <v>6.93</v>
      </c>
      <c r="I14" s="64">
        <v>0.53</v>
      </c>
      <c r="J14" s="64">
        <v>0.48</v>
      </c>
      <c r="K14" s="64">
        <v>80.38</v>
      </c>
      <c r="L14" s="64">
        <v>20.07</v>
      </c>
      <c r="M14" s="64">
        <v>72.489999999999995</v>
      </c>
      <c r="N14" s="64">
        <v>4.5999999999999996</v>
      </c>
      <c r="O14" s="64">
        <v>0</v>
      </c>
      <c r="P14" s="64">
        <v>0.39</v>
      </c>
      <c r="Q14" s="64">
        <v>24.47</v>
      </c>
      <c r="R14" s="198"/>
      <c r="S14" s="198"/>
      <c r="T14" s="198"/>
      <c r="U14" s="198"/>
    </row>
    <row r="15" spans="1:21" s="12" customFormat="1" x14ac:dyDescent="0.25">
      <c r="A15" s="218" t="s">
        <v>2562</v>
      </c>
      <c r="B15" s="64">
        <v>5.48</v>
      </c>
      <c r="C15" s="64">
        <v>45.45</v>
      </c>
      <c r="D15" s="64">
        <v>30.13</v>
      </c>
      <c r="E15" s="64">
        <v>1.57</v>
      </c>
      <c r="F15" s="64">
        <v>4.97</v>
      </c>
      <c r="G15" s="64">
        <v>26.59</v>
      </c>
      <c r="H15" s="64">
        <v>6.21</v>
      </c>
      <c r="I15" s="64">
        <v>0.52</v>
      </c>
      <c r="J15" s="64">
        <v>0.94</v>
      </c>
      <c r="K15" s="64">
        <v>111.6</v>
      </c>
      <c r="L15" s="64">
        <v>20.02</v>
      </c>
      <c r="M15" s="64">
        <v>71.930000000000007</v>
      </c>
      <c r="N15" s="64">
        <v>4.5999999999999996</v>
      </c>
      <c r="O15" s="64">
        <v>0</v>
      </c>
      <c r="P15" s="64">
        <v>0.38</v>
      </c>
      <c r="Q15" s="64">
        <v>25.06</v>
      </c>
      <c r="R15" s="198"/>
      <c r="S15" s="198"/>
      <c r="T15" s="198"/>
      <c r="U15" s="198"/>
    </row>
    <row r="16" spans="1:21" s="12" customFormat="1" x14ac:dyDescent="0.25">
      <c r="A16" s="218" t="s">
        <v>2563</v>
      </c>
      <c r="B16" s="64">
        <v>4.8</v>
      </c>
      <c r="C16" s="64">
        <v>43.85</v>
      </c>
      <c r="D16" s="64">
        <v>28.69</v>
      </c>
      <c r="E16" s="64">
        <v>2.0499999999999998</v>
      </c>
      <c r="F16" s="64">
        <v>4.6900000000000004</v>
      </c>
      <c r="G16" s="64">
        <v>26.85</v>
      </c>
      <c r="H16" s="64">
        <v>6.19</v>
      </c>
      <c r="I16" s="64">
        <v>0.53</v>
      </c>
      <c r="J16" s="64">
        <v>0.49</v>
      </c>
      <c r="K16" s="64">
        <v>90.25</v>
      </c>
      <c r="L16" s="64">
        <v>20.02</v>
      </c>
      <c r="M16" s="64">
        <v>71.099999999999994</v>
      </c>
      <c r="N16" s="64">
        <v>4.7</v>
      </c>
      <c r="O16" s="64">
        <v>0</v>
      </c>
      <c r="P16" s="64">
        <v>0.37</v>
      </c>
      <c r="Q16" s="64">
        <v>24.99</v>
      </c>
      <c r="R16" s="198"/>
      <c r="S16" s="198"/>
      <c r="T16" s="198"/>
      <c r="U16" s="198"/>
    </row>
    <row r="17" spans="1:21" s="12" customFormat="1" x14ac:dyDescent="0.25">
      <c r="A17" s="218" t="s">
        <v>2564</v>
      </c>
      <c r="B17" s="64">
        <v>4.29</v>
      </c>
      <c r="C17" s="64">
        <v>43.55</v>
      </c>
      <c r="D17" s="64">
        <v>28.12</v>
      </c>
      <c r="E17" s="64">
        <v>2.33</v>
      </c>
      <c r="F17" s="64">
        <v>4.93</v>
      </c>
      <c r="G17" s="64">
        <v>26.85</v>
      </c>
      <c r="H17" s="64">
        <v>6.19</v>
      </c>
      <c r="I17" s="64">
        <v>0.52</v>
      </c>
      <c r="J17" s="64">
        <v>0.79</v>
      </c>
      <c r="K17" s="64">
        <v>111.46</v>
      </c>
      <c r="L17" s="64">
        <v>20.04</v>
      </c>
      <c r="M17" s="64">
        <v>70.510000000000005</v>
      </c>
      <c r="N17" s="64">
        <v>4.5999999999999996</v>
      </c>
      <c r="O17" s="64">
        <v>0</v>
      </c>
      <c r="P17" s="64">
        <v>0.36</v>
      </c>
      <c r="Q17" s="64">
        <v>24.3</v>
      </c>
      <c r="R17" s="198"/>
      <c r="S17" s="198"/>
      <c r="T17" s="198"/>
      <c r="U17" s="198"/>
    </row>
    <row r="18" spans="1:21" s="12" customFormat="1" x14ac:dyDescent="0.25">
      <c r="A18" s="218" t="s">
        <v>2565</v>
      </c>
      <c r="B18" s="64">
        <v>3.92</v>
      </c>
      <c r="C18" s="64">
        <v>42.64</v>
      </c>
      <c r="D18" s="64">
        <v>27.32</v>
      </c>
      <c r="E18" s="64">
        <v>2.12</v>
      </c>
      <c r="F18" s="64">
        <v>6.53</v>
      </c>
      <c r="G18" s="64">
        <v>26.85</v>
      </c>
      <c r="H18" s="64">
        <v>6.19</v>
      </c>
      <c r="I18" s="64">
        <v>0.51</v>
      </c>
      <c r="J18" s="64">
        <v>0.66</v>
      </c>
      <c r="K18" s="64">
        <v>98.68</v>
      </c>
      <c r="L18" s="64">
        <v>20.059999999999999</v>
      </c>
      <c r="M18" s="64">
        <v>69.67</v>
      </c>
      <c r="N18" s="64">
        <v>4.5999999999999996</v>
      </c>
      <c r="O18" s="64">
        <v>0</v>
      </c>
      <c r="P18" s="64">
        <v>0.37</v>
      </c>
      <c r="Q18" s="64">
        <v>24.73</v>
      </c>
      <c r="R18" s="198"/>
      <c r="S18" s="198"/>
      <c r="T18" s="198"/>
      <c r="U18" s="198"/>
    </row>
    <row r="19" spans="1:21" s="12" customFormat="1" x14ac:dyDescent="0.25">
      <c r="A19" s="218" t="s">
        <v>2566</v>
      </c>
      <c r="B19" s="64">
        <v>3.69</v>
      </c>
      <c r="C19" s="64">
        <v>41.95</v>
      </c>
      <c r="D19" s="64">
        <v>26.75</v>
      </c>
      <c r="E19" s="64">
        <v>2.31</v>
      </c>
      <c r="F19" s="64">
        <v>5.46</v>
      </c>
      <c r="G19" s="64">
        <v>25.23</v>
      </c>
      <c r="H19" s="64">
        <v>7.18</v>
      </c>
      <c r="I19" s="64">
        <v>0.5</v>
      </c>
      <c r="J19" s="64">
        <v>1.06</v>
      </c>
      <c r="K19" s="64">
        <v>116.27</v>
      </c>
      <c r="L19" s="64">
        <v>20.059999999999999</v>
      </c>
      <c r="M19" s="64">
        <v>69.180000000000007</v>
      </c>
      <c r="N19" s="64">
        <v>4.7</v>
      </c>
      <c r="O19" s="64">
        <v>0</v>
      </c>
      <c r="P19" s="64">
        <v>0.35</v>
      </c>
      <c r="Q19" s="64">
        <v>24.38</v>
      </c>
      <c r="R19" s="198"/>
      <c r="S19" s="198"/>
      <c r="T19" s="198"/>
      <c r="U19" s="198"/>
    </row>
    <row r="20" spans="1:21" s="12" customFormat="1" x14ac:dyDescent="0.25">
      <c r="A20" s="218" t="s">
        <v>2567</v>
      </c>
      <c r="B20" s="64">
        <v>3.49</v>
      </c>
      <c r="C20" s="64">
        <v>41.47</v>
      </c>
      <c r="D20" s="64">
        <v>26.33</v>
      </c>
      <c r="E20" s="64">
        <v>2.5099999999999998</v>
      </c>
      <c r="F20" s="64">
        <v>4.68</v>
      </c>
      <c r="G20" s="64">
        <v>24.61</v>
      </c>
      <c r="H20" s="64">
        <v>7.21</v>
      </c>
      <c r="I20" s="64">
        <v>0.5</v>
      </c>
      <c r="J20" s="64">
        <v>1.3</v>
      </c>
      <c r="K20" s="64">
        <v>123.87</v>
      </c>
      <c r="L20" s="64">
        <v>20</v>
      </c>
      <c r="M20" s="64">
        <v>69.91</v>
      </c>
      <c r="N20" s="64">
        <v>4.7</v>
      </c>
      <c r="O20" s="64">
        <v>0</v>
      </c>
      <c r="P20" s="64">
        <v>0.36</v>
      </c>
      <c r="Q20" s="64">
        <v>24.03</v>
      </c>
      <c r="R20" s="198"/>
      <c r="S20" s="198"/>
      <c r="T20" s="198"/>
      <c r="U20" s="198"/>
    </row>
    <row r="21" spans="1:21" s="12" customFormat="1" x14ac:dyDescent="0.25">
      <c r="A21" s="218" t="s">
        <v>2568</v>
      </c>
      <c r="B21" s="64">
        <v>3.43</v>
      </c>
      <c r="C21" s="64">
        <v>34.630000000000003</v>
      </c>
      <c r="D21" s="64">
        <v>22.51</v>
      </c>
      <c r="E21" s="64">
        <v>2.41</v>
      </c>
      <c r="F21" s="64">
        <v>5.86</v>
      </c>
      <c r="G21" s="64">
        <v>24.61</v>
      </c>
      <c r="H21" s="64">
        <v>7.21</v>
      </c>
      <c r="I21" s="64">
        <v>0.52</v>
      </c>
      <c r="J21" s="64">
        <v>0.61</v>
      </c>
      <c r="K21" s="64">
        <v>98.73</v>
      </c>
      <c r="L21" s="64">
        <v>19.93</v>
      </c>
      <c r="M21" s="64">
        <v>69.3</v>
      </c>
      <c r="N21" s="64">
        <v>4.7</v>
      </c>
      <c r="O21" s="64">
        <v>0</v>
      </c>
      <c r="P21" s="64">
        <v>0.35</v>
      </c>
      <c r="Q21" s="64">
        <v>20.09</v>
      </c>
      <c r="R21" s="198"/>
      <c r="S21" s="198"/>
      <c r="T21" s="198"/>
      <c r="U21" s="198"/>
    </row>
    <row r="22" spans="1:21" s="12" customFormat="1" x14ac:dyDescent="0.25">
      <c r="A22" s="218" t="s">
        <v>2569</v>
      </c>
      <c r="B22" s="64">
        <v>3.6</v>
      </c>
      <c r="C22" s="64">
        <v>35.28</v>
      </c>
      <c r="D22" s="64">
        <v>23</v>
      </c>
      <c r="E22" s="64">
        <v>2.33</v>
      </c>
      <c r="F22" s="64">
        <v>6.08</v>
      </c>
      <c r="G22" s="64">
        <v>24.61</v>
      </c>
      <c r="H22" s="64">
        <v>7.21</v>
      </c>
      <c r="I22" s="64">
        <v>0.51</v>
      </c>
      <c r="J22" s="64">
        <v>0.97</v>
      </c>
      <c r="K22" s="64">
        <v>122.13</v>
      </c>
      <c r="L22" s="64">
        <v>19.87</v>
      </c>
      <c r="M22" s="64">
        <v>70.13</v>
      </c>
      <c r="N22" s="64">
        <v>4.7</v>
      </c>
      <c r="O22" s="64">
        <v>0</v>
      </c>
      <c r="P22" s="64">
        <v>0.34</v>
      </c>
      <c r="Q22" s="64">
        <v>20.83</v>
      </c>
      <c r="R22" s="198"/>
      <c r="S22" s="198"/>
      <c r="T22" s="198"/>
      <c r="U22" s="198"/>
    </row>
    <row r="23" spans="1:21" s="12" customFormat="1" x14ac:dyDescent="0.25">
      <c r="A23" s="218" t="s">
        <v>2570</v>
      </c>
      <c r="B23" s="64">
        <v>3.74</v>
      </c>
      <c r="C23" s="64">
        <v>37.32</v>
      </c>
      <c r="D23" s="64">
        <v>24.24</v>
      </c>
      <c r="E23" s="64">
        <v>1.51</v>
      </c>
      <c r="F23" s="64">
        <v>3.39</v>
      </c>
      <c r="G23" s="64">
        <v>25.75</v>
      </c>
      <c r="H23" s="64">
        <v>9.58</v>
      </c>
      <c r="I23" s="64">
        <v>0.49</v>
      </c>
      <c r="J23" s="64">
        <v>1.43</v>
      </c>
      <c r="K23" s="64">
        <v>126.25</v>
      </c>
      <c r="L23" s="64">
        <v>19.760000000000002</v>
      </c>
      <c r="M23" s="64">
        <v>71.290000000000006</v>
      </c>
      <c r="N23" s="64">
        <v>4.8</v>
      </c>
      <c r="O23" s="64">
        <v>0</v>
      </c>
      <c r="P23" s="64">
        <v>0.35</v>
      </c>
      <c r="Q23" s="64">
        <v>23.68</v>
      </c>
      <c r="R23" s="198"/>
      <c r="S23" s="198"/>
      <c r="T23" s="198"/>
      <c r="U23" s="198"/>
    </row>
    <row r="24" spans="1:21" s="12" customFormat="1" x14ac:dyDescent="0.25">
      <c r="A24" s="218" t="s">
        <v>2571</v>
      </c>
      <c r="B24" s="64">
        <v>3.86</v>
      </c>
      <c r="C24" s="64">
        <v>38.07</v>
      </c>
      <c r="D24" s="64">
        <v>24.75</v>
      </c>
      <c r="E24" s="64">
        <v>1.22</v>
      </c>
      <c r="F24" s="64">
        <v>5.33</v>
      </c>
      <c r="G24" s="64">
        <v>26.19</v>
      </c>
      <c r="H24" s="64">
        <v>9.69</v>
      </c>
      <c r="I24" s="64">
        <v>0.51</v>
      </c>
      <c r="J24" s="64">
        <v>0.88</v>
      </c>
      <c r="K24" s="64">
        <v>110.63</v>
      </c>
      <c r="L24" s="64">
        <v>19.7</v>
      </c>
      <c r="M24" s="64">
        <v>71.44</v>
      </c>
      <c r="N24" s="64">
        <v>4.7</v>
      </c>
      <c r="O24" s="64">
        <v>0</v>
      </c>
      <c r="P24" s="64">
        <v>0.34</v>
      </c>
      <c r="Q24" s="64">
        <v>25.09</v>
      </c>
      <c r="R24" s="198"/>
      <c r="S24" s="198"/>
      <c r="T24" s="198"/>
      <c r="U24" s="198"/>
    </row>
    <row r="25" spans="1:21" s="12" customFormat="1" x14ac:dyDescent="0.25">
      <c r="A25" s="218" t="s">
        <v>2572</v>
      </c>
      <c r="B25" s="64">
        <v>4.05</v>
      </c>
      <c r="C25" s="64">
        <v>34.1</v>
      </c>
      <c r="D25" s="64">
        <v>22.71</v>
      </c>
      <c r="E25" s="64">
        <v>1.37</v>
      </c>
      <c r="F25" s="64">
        <v>6.48</v>
      </c>
      <c r="G25" s="64">
        <v>26.19</v>
      </c>
      <c r="H25" s="64">
        <v>9.69</v>
      </c>
      <c r="I25" s="64">
        <v>0.51</v>
      </c>
      <c r="J25" s="64">
        <v>0.21</v>
      </c>
      <c r="K25" s="64">
        <v>93.71</v>
      </c>
      <c r="L25" s="64">
        <v>19.600000000000001</v>
      </c>
      <c r="M25" s="64">
        <v>72.23</v>
      </c>
      <c r="N25" s="64">
        <v>4.8</v>
      </c>
      <c r="O25" s="64">
        <v>0</v>
      </c>
      <c r="P25" s="64">
        <v>0.35</v>
      </c>
      <c r="Q25" s="64">
        <v>23.89</v>
      </c>
      <c r="R25" s="198"/>
      <c r="S25" s="198"/>
      <c r="T25" s="198"/>
      <c r="U25" s="198"/>
    </row>
    <row r="26" spans="1:21" s="12" customFormat="1" x14ac:dyDescent="0.25">
      <c r="A26" s="218" t="s">
        <v>2573</v>
      </c>
      <c r="B26" s="64">
        <v>4.01</v>
      </c>
      <c r="C26" s="64">
        <v>34.54</v>
      </c>
      <c r="D26" s="64">
        <v>22.92</v>
      </c>
      <c r="E26" s="64">
        <v>1.46</v>
      </c>
      <c r="F26" s="64">
        <v>6.4</v>
      </c>
      <c r="G26" s="64">
        <v>26.19</v>
      </c>
      <c r="H26" s="64">
        <v>9.69</v>
      </c>
      <c r="I26" s="64">
        <v>0.51</v>
      </c>
      <c r="J26" s="64">
        <v>0.14000000000000001</v>
      </c>
      <c r="K26" s="64">
        <v>45.07</v>
      </c>
      <c r="L26" s="64">
        <v>19.57</v>
      </c>
      <c r="M26" s="64">
        <v>72.36</v>
      </c>
      <c r="N26" s="64">
        <v>4.5999999999999996</v>
      </c>
      <c r="O26" s="64">
        <v>0</v>
      </c>
      <c r="P26" s="64">
        <v>0.35</v>
      </c>
      <c r="Q26" s="64">
        <v>24.37</v>
      </c>
      <c r="R26" s="198"/>
      <c r="S26" s="198"/>
      <c r="T26" s="198"/>
      <c r="U26" s="198"/>
    </row>
    <row r="27" spans="1:21" s="12" customFormat="1" x14ac:dyDescent="0.25">
      <c r="A27" s="218" t="s">
        <v>2574</v>
      </c>
      <c r="B27" s="64">
        <v>3.9</v>
      </c>
      <c r="C27" s="64">
        <v>35.78</v>
      </c>
      <c r="D27" s="64">
        <v>23.52</v>
      </c>
      <c r="E27" s="64">
        <v>1.28</v>
      </c>
      <c r="F27" s="64">
        <v>5.65</v>
      </c>
      <c r="G27" s="64">
        <v>20.67</v>
      </c>
      <c r="H27" s="64">
        <v>10.46</v>
      </c>
      <c r="I27" s="64">
        <v>0.52</v>
      </c>
      <c r="J27" s="64">
        <v>0.25</v>
      </c>
      <c r="K27" s="64">
        <v>353.4</v>
      </c>
      <c r="L27" s="64">
        <v>19.510000000000002</v>
      </c>
      <c r="M27" s="64">
        <v>72.81</v>
      </c>
      <c r="N27" s="64">
        <v>4.8</v>
      </c>
      <c r="O27" s="64">
        <v>0</v>
      </c>
      <c r="P27" s="64">
        <v>0.35</v>
      </c>
      <c r="Q27" s="64">
        <v>24.63</v>
      </c>
      <c r="R27" s="198"/>
      <c r="S27" s="198"/>
      <c r="T27" s="198"/>
      <c r="U27" s="198"/>
    </row>
    <row r="28" spans="1:21" s="12" customFormat="1" x14ac:dyDescent="0.25">
      <c r="A28" s="218" t="s">
        <v>2575</v>
      </c>
      <c r="B28" s="64">
        <v>4.05</v>
      </c>
      <c r="C28" s="64">
        <v>37.61</v>
      </c>
      <c r="D28" s="64">
        <v>24.65</v>
      </c>
      <c r="E28" s="64">
        <v>1.38</v>
      </c>
      <c r="F28" s="64">
        <v>3.3</v>
      </c>
      <c r="G28" s="64">
        <v>18.55</v>
      </c>
      <c r="H28" s="64">
        <v>10.49</v>
      </c>
      <c r="I28" s="64">
        <v>0.51</v>
      </c>
      <c r="J28" s="64">
        <v>0.55000000000000004</v>
      </c>
      <c r="K28" s="64">
        <v>355.9</v>
      </c>
      <c r="L28" s="64">
        <v>19.559999999999999</v>
      </c>
      <c r="M28" s="64">
        <v>73.28</v>
      </c>
      <c r="N28" s="64">
        <v>4.7</v>
      </c>
      <c r="O28" s="64">
        <v>0</v>
      </c>
      <c r="P28" s="64">
        <v>0.36</v>
      </c>
      <c r="Q28" s="64">
        <v>24.38</v>
      </c>
      <c r="R28" s="198"/>
      <c r="S28" s="198"/>
      <c r="T28" s="198"/>
      <c r="U28" s="198"/>
    </row>
    <row r="29" spans="1:21" s="12" customFormat="1" x14ac:dyDescent="0.25">
      <c r="A29" s="218" t="s">
        <v>2576</v>
      </c>
      <c r="B29" s="64">
        <v>4.41</v>
      </c>
      <c r="C29" s="64">
        <v>38.68</v>
      </c>
      <c r="D29" s="64">
        <v>25.53</v>
      </c>
      <c r="E29" s="64">
        <v>1.5</v>
      </c>
      <c r="F29" s="64">
        <v>3.93</v>
      </c>
      <c r="G29" s="64">
        <v>18.55</v>
      </c>
      <c r="H29" s="64">
        <v>10.49</v>
      </c>
      <c r="I29" s="64">
        <v>0.51</v>
      </c>
      <c r="J29" s="64">
        <v>0.22</v>
      </c>
      <c r="K29" s="64">
        <v>18.670000000000002</v>
      </c>
      <c r="L29" s="64">
        <v>19.579999999999998</v>
      </c>
      <c r="M29" s="64">
        <v>72.86</v>
      </c>
      <c r="N29" s="64">
        <v>4.9000000000000004</v>
      </c>
      <c r="O29" s="64">
        <v>0</v>
      </c>
      <c r="P29" s="64">
        <v>0.36</v>
      </c>
      <c r="Q29" s="64">
        <v>23.87</v>
      </c>
      <c r="R29" s="198"/>
      <c r="S29" s="198"/>
      <c r="T29" s="198"/>
      <c r="U29" s="198"/>
    </row>
    <row r="30" spans="1:21" s="12" customFormat="1" x14ac:dyDescent="0.25">
      <c r="A30" s="218" t="s">
        <v>2577</v>
      </c>
      <c r="B30" s="64">
        <v>4.6100000000000003</v>
      </c>
      <c r="C30" s="64">
        <v>39.26</v>
      </c>
      <c r="D30" s="64">
        <v>26.01</v>
      </c>
      <c r="E30" s="64">
        <v>1.32</v>
      </c>
      <c r="F30" s="64">
        <v>3.11</v>
      </c>
      <c r="G30" s="64">
        <v>18.55</v>
      </c>
      <c r="H30" s="64">
        <v>10.49</v>
      </c>
      <c r="I30" s="64">
        <v>0.52</v>
      </c>
      <c r="J30" s="64">
        <v>0.13</v>
      </c>
      <c r="K30" s="64">
        <v>82.06</v>
      </c>
      <c r="L30" s="64">
        <v>19.48</v>
      </c>
      <c r="M30" s="64">
        <v>72.72</v>
      </c>
      <c r="N30" s="64">
        <v>6.1</v>
      </c>
      <c r="O30" s="64">
        <v>0</v>
      </c>
      <c r="P30" s="64">
        <v>0.35</v>
      </c>
      <c r="Q30" s="64">
        <v>23.77</v>
      </c>
      <c r="R30" s="198"/>
      <c r="S30" s="198"/>
      <c r="T30" s="198"/>
      <c r="U30" s="198"/>
    </row>
    <row r="31" spans="1:21" s="12" customFormat="1" x14ac:dyDescent="0.25">
      <c r="A31" s="218" t="s">
        <v>2578</v>
      </c>
      <c r="B31" s="64">
        <v>4.72</v>
      </c>
      <c r="C31" s="64">
        <v>39.950000000000003</v>
      </c>
      <c r="D31" s="64">
        <v>26.47</v>
      </c>
      <c r="E31" s="64">
        <v>1.4</v>
      </c>
      <c r="F31" s="64">
        <v>3.19</v>
      </c>
      <c r="G31" s="64">
        <v>22.63</v>
      </c>
      <c r="H31" s="64">
        <v>10.42</v>
      </c>
      <c r="I31" s="64">
        <v>0.51</v>
      </c>
      <c r="J31" s="64">
        <v>0.75</v>
      </c>
      <c r="K31" s="64">
        <v>132.03</v>
      </c>
      <c r="L31" s="64">
        <v>19.37</v>
      </c>
      <c r="M31" s="64">
        <v>72.599999999999994</v>
      </c>
      <c r="N31" s="64">
        <v>13.1</v>
      </c>
      <c r="O31" s="64">
        <v>0</v>
      </c>
      <c r="P31" s="64">
        <v>0.36</v>
      </c>
      <c r="Q31" s="64">
        <v>23.66</v>
      </c>
      <c r="R31" s="198"/>
      <c r="S31" s="198"/>
      <c r="T31" s="198"/>
      <c r="U31" s="198"/>
    </row>
    <row r="32" spans="1:21" s="12" customFormat="1" x14ac:dyDescent="0.25">
      <c r="A32" s="218" t="s">
        <v>2579</v>
      </c>
      <c r="B32" s="64">
        <v>4.8499999999999996</v>
      </c>
      <c r="C32" s="64">
        <v>37.119999999999997</v>
      </c>
      <c r="D32" s="64">
        <v>25.02</v>
      </c>
      <c r="E32" s="64">
        <v>1.53</v>
      </c>
      <c r="F32" s="64">
        <v>4.59</v>
      </c>
      <c r="G32" s="64">
        <v>24.21</v>
      </c>
      <c r="H32" s="64">
        <v>10.42</v>
      </c>
      <c r="I32" s="64">
        <v>0.52</v>
      </c>
      <c r="J32" s="64">
        <v>1.19</v>
      </c>
      <c r="K32" s="64">
        <v>129.59</v>
      </c>
      <c r="L32" s="64">
        <v>19.489999999999998</v>
      </c>
      <c r="M32" s="64">
        <v>71.989999999999995</v>
      </c>
      <c r="N32" s="64">
        <v>27.1</v>
      </c>
      <c r="O32" s="64">
        <v>0</v>
      </c>
      <c r="P32" s="64">
        <v>0.36</v>
      </c>
      <c r="Q32" s="64">
        <v>20.88</v>
      </c>
      <c r="R32" s="198"/>
      <c r="S32" s="198"/>
      <c r="T32" s="198"/>
      <c r="U32" s="198"/>
    </row>
    <row r="33" spans="1:21" s="12" customFormat="1" x14ac:dyDescent="0.25">
      <c r="A33" s="218" t="s">
        <v>2580</v>
      </c>
      <c r="B33" s="64">
        <v>5.08</v>
      </c>
      <c r="C33" s="64">
        <v>35.630000000000003</v>
      </c>
      <c r="D33" s="64">
        <v>24.38</v>
      </c>
      <c r="E33" s="64">
        <v>1.1599999999999999</v>
      </c>
      <c r="F33" s="64">
        <v>3.06</v>
      </c>
      <c r="G33" s="64">
        <v>24.21</v>
      </c>
      <c r="H33" s="64">
        <v>10.42</v>
      </c>
      <c r="I33" s="64">
        <v>0.51</v>
      </c>
      <c r="J33" s="64">
        <v>1.48</v>
      </c>
      <c r="K33" s="64">
        <v>138.29</v>
      </c>
      <c r="L33" s="64">
        <v>19.63</v>
      </c>
      <c r="M33" s="64">
        <v>71.430000000000007</v>
      </c>
      <c r="N33" s="64">
        <v>57.6</v>
      </c>
      <c r="O33" s="64">
        <v>0</v>
      </c>
      <c r="P33" s="64">
        <v>0.36</v>
      </c>
      <c r="Q33" s="64">
        <v>22.15</v>
      </c>
      <c r="R33" s="198"/>
      <c r="S33" s="198"/>
      <c r="T33" s="198"/>
      <c r="U33" s="198"/>
    </row>
    <row r="34" spans="1:21" s="12" customFormat="1" x14ac:dyDescent="0.25">
      <c r="A34" s="218" t="s">
        <v>2581</v>
      </c>
      <c r="B34" s="64">
        <v>5.56</v>
      </c>
      <c r="C34" s="64">
        <v>37.64</v>
      </c>
      <c r="D34" s="64">
        <v>25.88</v>
      </c>
      <c r="E34" s="64">
        <v>1.35</v>
      </c>
      <c r="F34" s="64">
        <v>3.5</v>
      </c>
      <c r="G34" s="64">
        <v>24.21</v>
      </c>
      <c r="H34" s="64">
        <v>10.42</v>
      </c>
      <c r="I34" s="64">
        <v>0.51</v>
      </c>
      <c r="J34" s="64">
        <v>1.27</v>
      </c>
      <c r="K34" s="64">
        <v>129.16999999999999</v>
      </c>
      <c r="L34" s="64">
        <v>19.8</v>
      </c>
      <c r="M34" s="64">
        <v>71.349999999999994</v>
      </c>
      <c r="N34" s="64">
        <v>89.4</v>
      </c>
      <c r="O34" s="64">
        <v>0</v>
      </c>
      <c r="P34" s="64">
        <v>0.36</v>
      </c>
      <c r="Q34" s="64">
        <v>24.19</v>
      </c>
      <c r="R34" s="198"/>
      <c r="S34" s="198"/>
      <c r="T34" s="198"/>
      <c r="U34" s="198"/>
    </row>
    <row r="35" spans="1:21" s="12" customFormat="1" x14ac:dyDescent="0.25">
      <c r="A35" s="218" t="s">
        <v>2582</v>
      </c>
      <c r="B35" s="64">
        <v>5.61</v>
      </c>
      <c r="C35" s="64">
        <v>37.44</v>
      </c>
      <c r="D35" s="64">
        <v>25.8</v>
      </c>
      <c r="E35" s="64">
        <v>0.99</v>
      </c>
      <c r="F35" s="64">
        <v>2.91</v>
      </c>
      <c r="G35" s="64">
        <v>23.19</v>
      </c>
      <c r="H35" s="64">
        <v>10.220000000000001</v>
      </c>
      <c r="I35" s="64">
        <v>0.51</v>
      </c>
      <c r="J35" s="64">
        <v>1.59</v>
      </c>
      <c r="K35" s="64">
        <v>137.01</v>
      </c>
      <c r="L35" s="64">
        <v>19.86</v>
      </c>
      <c r="M35" s="64">
        <v>70.88</v>
      </c>
      <c r="N35" s="64">
        <v>92.5</v>
      </c>
      <c r="O35" s="64">
        <v>0</v>
      </c>
      <c r="P35" s="64">
        <v>0.36</v>
      </c>
      <c r="Q35" s="64">
        <v>25.64</v>
      </c>
      <c r="R35" s="198"/>
      <c r="S35" s="198"/>
      <c r="T35" s="198"/>
      <c r="U35" s="198"/>
    </row>
    <row r="36" spans="1:21" s="12" customFormat="1" x14ac:dyDescent="0.25">
      <c r="A36" s="218" t="s">
        <v>2583</v>
      </c>
      <c r="B36" s="64">
        <v>5.55</v>
      </c>
      <c r="C36" s="64">
        <v>37.5</v>
      </c>
      <c r="D36" s="64">
        <v>25.8</v>
      </c>
      <c r="E36" s="64">
        <v>1.78</v>
      </c>
      <c r="F36" s="64">
        <v>3.85</v>
      </c>
      <c r="G36" s="64">
        <v>22.81</v>
      </c>
      <c r="H36" s="64">
        <v>10.210000000000001</v>
      </c>
      <c r="I36" s="64">
        <v>0.52</v>
      </c>
      <c r="J36" s="64">
        <v>1.22</v>
      </c>
      <c r="K36" s="64">
        <v>125.01</v>
      </c>
      <c r="L36" s="64">
        <v>20.07</v>
      </c>
      <c r="M36" s="64">
        <v>68.989999999999995</v>
      </c>
      <c r="N36" s="64">
        <v>107.1</v>
      </c>
      <c r="O36" s="64">
        <v>0</v>
      </c>
      <c r="P36" s="64">
        <v>0.37</v>
      </c>
      <c r="Q36" s="64">
        <v>26.91</v>
      </c>
      <c r="R36" s="198"/>
      <c r="S36" s="198"/>
      <c r="T36" s="198"/>
      <c r="U36" s="198"/>
    </row>
    <row r="37" spans="1:21" s="12" customFormat="1" x14ac:dyDescent="0.25">
      <c r="A37" s="218" t="s">
        <v>2584</v>
      </c>
      <c r="B37" s="64">
        <v>5.61</v>
      </c>
      <c r="C37" s="64">
        <v>33.07</v>
      </c>
      <c r="D37" s="64">
        <v>23.4</v>
      </c>
      <c r="E37" s="64">
        <v>1.67</v>
      </c>
      <c r="F37" s="64">
        <v>3.63</v>
      </c>
      <c r="G37" s="64">
        <v>22.81</v>
      </c>
      <c r="H37" s="64">
        <v>10.210000000000001</v>
      </c>
      <c r="I37" s="64">
        <v>0.53</v>
      </c>
      <c r="J37" s="64">
        <v>0.76</v>
      </c>
      <c r="K37" s="64">
        <v>118.9</v>
      </c>
      <c r="L37" s="64">
        <v>20.41</v>
      </c>
      <c r="M37" s="64">
        <v>68.510000000000005</v>
      </c>
      <c r="N37" s="64">
        <v>163.80000000000001</v>
      </c>
      <c r="O37" s="64">
        <v>0</v>
      </c>
      <c r="P37" s="64">
        <v>0.34</v>
      </c>
      <c r="Q37" s="64">
        <v>25.97</v>
      </c>
      <c r="R37" s="198"/>
      <c r="S37" s="198"/>
      <c r="T37" s="198"/>
      <c r="U37" s="198"/>
    </row>
    <row r="38" spans="1:21" s="12" customFormat="1" x14ac:dyDescent="0.25">
      <c r="A38" s="218" t="s">
        <v>2585</v>
      </c>
      <c r="B38" s="64">
        <v>5.77</v>
      </c>
      <c r="C38" s="64">
        <v>33.19</v>
      </c>
      <c r="D38" s="64">
        <v>23.59</v>
      </c>
      <c r="E38" s="64">
        <v>1.57</v>
      </c>
      <c r="F38" s="64">
        <v>3.28</v>
      </c>
      <c r="G38" s="64">
        <v>22.81</v>
      </c>
      <c r="H38" s="64">
        <v>10.210000000000001</v>
      </c>
      <c r="I38" s="64">
        <v>0.52</v>
      </c>
      <c r="J38" s="64">
        <v>1.1499999999999999</v>
      </c>
      <c r="K38" s="64">
        <v>117.53</v>
      </c>
      <c r="L38" s="64">
        <v>21.17</v>
      </c>
      <c r="M38" s="64">
        <v>65.84</v>
      </c>
      <c r="N38" s="64">
        <v>271.60000000000002</v>
      </c>
      <c r="O38" s="64">
        <v>0</v>
      </c>
      <c r="P38" s="64">
        <v>0.38</v>
      </c>
      <c r="Q38" s="64">
        <v>25.48</v>
      </c>
      <c r="R38" s="198"/>
      <c r="S38" s="198"/>
      <c r="T38" s="198"/>
      <c r="U38" s="198"/>
    </row>
    <row r="39" spans="1:21" s="12" customFormat="1" x14ac:dyDescent="0.25">
      <c r="A39" s="218" t="s">
        <v>2586</v>
      </c>
      <c r="B39" s="64">
        <v>5.82</v>
      </c>
      <c r="C39" s="64">
        <v>34.69</v>
      </c>
      <c r="D39" s="64">
        <v>24.46</v>
      </c>
      <c r="E39" s="64">
        <v>1.93</v>
      </c>
      <c r="F39" s="64">
        <v>2.88</v>
      </c>
      <c r="G39" s="64">
        <v>23.83</v>
      </c>
      <c r="H39" s="64">
        <v>9.8000000000000007</v>
      </c>
      <c r="I39" s="64">
        <v>0.53</v>
      </c>
      <c r="J39" s="64">
        <v>1.1499999999999999</v>
      </c>
      <c r="K39" s="64">
        <v>116.93</v>
      </c>
      <c r="L39" s="64">
        <v>21.72</v>
      </c>
      <c r="M39" s="64">
        <v>63.92</v>
      </c>
      <c r="N39" s="64">
        <v>353</v>
      </c>
      <c r="O39" s="64">
        <v>0</v>
      </c>
      <c r="P39" s="64">
        <v>0.38</v>
      </c>
      <c r="Q39" s="64">
        <v>26.03</v>
      </c>
      <c r="R39" s="198"/>
      <c r="S39" s="198"/>
      <c r="T39" s="198"/>
      <c r="U39" s="198"/>
    </row>
    <row r="40" spans="1:21" s="12" customFormat="1" x14ac:dyDescent="0.25">
      <c r="A40" s="218" t="s">
        <v>2587</v>
      </c>
      <c r="B40" s="64">
        <v>5.74</v>
      </c>
      <c r="C40" s="64">
        <v>35.67</v>
      </c>
      <c r="D40" s="64">
        <v>24.94</v>
      </c>
      <c r="E40" s="64">
        <v>0.67</v>
      </c>
      <c r="F40" s="64">
        <v>2.16</v>
      </c>
      <c r="G40" s="64">
        <v>24.23</v>
      </c>
      <c r="H40" s="64">
        <v>9.7799999999999994</v>
      </c>
      <c r="I40" s="64">
        <v>0.53</v>
      </c>
      <c r="J40" s="64">
        <v>1.56</v>
      </c>
      <c r="K40" s="64">
        <v>132.36000000000001</v>
      </c>
      <c r="L40" s="64">
        <v>22.23</v>
      </c>
      <c r="M40" s="64">
        <v>61.9</v>
      </c>
      <c r="N40" s="64">
        <v>409.5</v>
      </c>
      <c r="O40" s="64">
        <v>0</v>
      </c>
      <c r="P40" s="64">
        <v>0.38</v>
      </c>
      <c r="Q40" s="64">
        <v>26.58</v>
      </c>
      <c r="R40" s="198"/>
      <c r="S40" s="198"/>
      <c r="T40" s="198"/>
      <c r="U40" s="198"/>
    </row>
    <row r="41" spans="1:21" s="12" customFormat="1" x14ac:dyDescent="0.25">
      <c r="A41" s="218" t="s">
        <v>2588</v>
      </c>
      <c r="B41" s="64">
        <v>5.55</v>
      </c>
      <c r="C41" s="64">
        <v>36.33</v>
      </c>
      <c r="D41" s="64">
        <v>25.15</v>
      </c>
      <c r="E41" s="64">
        <v>1.55</v>
      </c>
      <c r="F41" s="64">
        <v>3.41</v>
      </c>
      <c r="G41" s="64">
        <v>24.23</v>
      </c>
      <c r="H41" s="64">
        <v>9.7799999999999994</v>
      </c>
      <c r="I41" s="64">
        <v>0.51</v>
      </c>
      <c r="J41" s="64">
        <v>1.61</v>
      </c>
      <c r="K41" s="64">
        <v>126.9</v>
      </c>
      <c r="L41" s="64">
        <v>22.47</v>
      </c>
      <c r="M41" s="64">
        <v>60.86</v>
      </c>
      <c r="N41" s="64">
        <v>394.6</v>
      </c>
      <c r="O41" s="64">
        <v>0</v>
      </c>
      <c r="P41" s="64">
        <v>0.38</v>
      </c>
      <c r="Q41" s="64">
        <v>26.77</v>
      </c>
      <c r="R41" s="198"/>
      <c r="S41" s="198"/>
      <c r="T41" s="198"/>
      <c r="U41" s="198"/>
    </row>
    <row r="42" spans="1:21" s="12" customFormat="1" x14ac:dyDescent="0.25">
      <c r="A42" s="218" t="s">
        <v>2589</v>
      </c>
      <c r="B42" s="64">
        <v>5.45</v>
      </c>
      <c r="C42" s="64">
        <v>36.54</v>
      </c>
      <c r="D42" s="64">
        <v>25.18</v>
      </c>
      <c r="E42" s="64">
        <v>1.7</v>
      </c>
      <c r="F42" s="64">
        <v>3.68</v>
      </c>
      <c r="G42" s="64">
        <v>24.23</v>
      </c>
      <c r="H42" s="64">
        <v>9.7799999999999994</v>
      </c>
      <c r="I42" s="64">
        <v>0.52</v>
      </c>
      <c r="J42" s="64">
        <v>1.69</v>
      </c>
      <c r="K42" s="64">
        <v>121.53</v>
      </c>
      <c r="L42" s="64">
        <v>22.91</v>
      </c>
      <c r="M42" s="64">
        <v>58.95</v>
      </c>
      <c r="N42" s="64">
        <v>522.29999999999995</v>
      </c>
      <c r="O42" s="64">
        <v>0</v>
      </c>
      <c r="P42" s="64">
        <v>0.38</v>
      </c>
      <c r="Q42" s="64">
        <v>26.67</v>
      </c>
      <c r="R42" s="198"/>
      <c r="S42" s="198"/>
      <c r="T42" s="198"/>
      <c r="U42" s="198"/>
    </row>
    <row r="43" spans="1:21" s="12" customFormat="1" x14ac:dyDescent="0.25">
      <c r="A43" s="218" t="s">
        <v>2590</v>
      </c>
      <c r="B43" s="64">
        <v>4.95</v>
      </c>
      <c r="C43" s="64">
        <v>37.6</v>
      </c>
      <c r="D43" s="64">
        <v>25.37</v>
      </c>
      <c r="E43" s="64">
        <v>1.63</v>
      </c>
      <c r="F43" s="64">
        <v>3.22</v>
      </c>
      <c r="G43" s="64">
        <v>25.86</v>
      </c>
      <c r="H43" s="64">
        <v>9.67</v>
      </c>
      <c r="I43" s="64">
        <v>0.52</v>
      </c>
      <c r="J43" s="64">
        <v>1.82</v>
      </c>
      <c r="K43" s="64">
        <v>124.33</v>
      </c>
      <c r="L43" s="64">
        <v>23.44</v>
      </c>
      <c r="M43" s="64">
        <v>56.47</v>
      </c>
      <c r="N43" s="64">
        <v>569.79999999999995</v>
      </c>
      <c r="O43" s="64">
        <v>0</v>
      </c>
      <c r="P43" s="64">
        <v>0.38</v>
      </c>
      <c r="Q43" s="64">
        <v>27.25</v>
      </c>
      <c r="R43" s="198"/>
      <c r="S43" s="198"/>
      <c r="T43" s="198"/>
      <c r="U43" s="198"/>
    </row>
    <row r="44" spans="1:21" s="12" customFormat="1" x14ac:dyDescent="0.25">
      <c r="A44" s="218" t="s">
        <v>2591</v>
      </c>
      <c r="B44" s="64">
        <v>4.55</v>
      </c>
      <c r="C44" s="64">
        <v>40.729999999999997</v>
      </c>
      <c r="D44" s="64">
        <v>26.77</v>
      </c>
      <c r="E44" s="64">
        <v>2.04</v>
      </c>
      <c r="F44" s="64">
        <v>4.95</v>
      </c>
      <c r="G44" s="64">
        <v>26.48</v>
      </c>
      <c r="H44" s="64">
        <v>9.67</v>
      </c>
      <c r="I44" s="64">
        <v>0.52</v>
      </c>
      <c r="J44" s="64">
        <v>1.33</v>
      </c>
      <c r="K44" s="64">
        <v>123.08</v>
      </c>
      <c r="L44" s="64">
        <v>24.23</v>
      </c>
      <c r="M44" s="64">
        <v>53.5</v>
      </c>
      <c r="N44" s="64">
        <v>594.4</v>
      </c>
      <c r="O44" s="64">
        <v>0</v>
      </c>
      <c r="P44" s="64">
        <v>0.37</v>
      </c>
      <c r="Q44" s="64">
        <v>27.05</v>
      </c>
      <c r="R44" s="198"/>
      <c r="S44" s="198"/>
      <c r="T44" s="198"/>
      <c r="U44" s="198"/>
    </row>
    <row r="45" spans="1:21" s="12" customFormat="1" x14ac:dyDescent="0.25">
      <c r="A45" s="218" t="s">
        <v>2592</v>
      </c>
      <c r="B45" s="64">
        <v>4.29</v>
      </c>
      <c r="C45" s="64">
        <v>39.200000000000003</v>
      </c>
      <c r="D45" s="64">
        <v>25.72</v>
      </c>
      <c r="E45" s="64">
        <v>2.82</v>
      </c>
      <c r="F45" s="64">
        <v>6.64</v>
      </c>
      <c r="G45" s="64">
        <v>26.48</v>
      </c>
      <c r="H45" s="64">
        <v>9.67</v>
      </c>
      <c r="I45" s="64">
        <v>0.52</v>
      </c>
      <c r="J45" s="64">
        <v>1.1399999999999999</v>
      </c>
      <c r="K45" s="64">
        <v>121.29</v>
      </c>
      <c r="L45" s="64">
        <v>25.06</v>
      </c>
      <c r="M45" s="64">
        <v>52.08</v>
      </c>
      <c r="N45" s="64">
        <v>670.7</v>
      </c>
      <c r="O45" s="64">
        <v>0</v>
      </c>
      <c r="P45" s="64">
        <v>0.37</v>
      </c>
      <c r="Q45" s="64">
        <v>24.77</v>
      </c>
      <c r="R45" s="198"/>
      <c r="S45" s="198"/>
      <c r="T45" s="198"/>
      <c r="U45" s="198"/>
    </row>
    <row r="46" spans="1:21" s="12" customFormat="1" x14ac:dyDescent="0.25">
      <c r="A46" s="218" t="s">
        <v>2593</v>
      </c>
      <c r="B46" s="64">
        <v>4.09</v>
      </c>
      <c r="C46" s="64">
        <v>42.37</v>
      </c>
      <c r="D46" s="64">
        <v>27.31</v>
      </c>
      <c r="E46" s="64">
        <v>2.78</v>
      </c>
      <c r="F46" s="64">
        <v>5.05</v>
      </c>
      <c r="G46" s="64">
        <v>26.48</v>
      </c>
      <c r="H46" s="64">
        <v>9.67</v>
      </c>
      <c r="I46" s="64">
        <v>0.52</v>
      </c>
      <c r="J46" s="64">
        <v>0.91</v>
      </c>
      <c r="K46" s="64">
        <v>160.28</v>
      </c>
      <c r="L46" s="64">
        <v>25.54</v>
      </c>
      <c r="M46" s="64">
        <v>51.19</v>
      </c>
      <c r="N46" s="64">
        <v>722.9</v>
      </c>
      <c r="O46" s="64">
        <v>0</v>
      </c>
      <c r="P46" s="64">
        <v>0.38</v>
      </c>
      <c r="Q46" s="64">
        <v>25.48</v>
      </c>
      <c r="R46" s="198"/>
      <c r="S46" s="198"/>
      <c r="T46" s="198"/>
      <c r="U46" s="198"/>
    </row>
    <row r="47" spans="1:21" s="12" customFormat="1" x14ac:dyDescent="0.25">
      <c r="A47" s="218" t="s">
        <v>2594</v>
      </c>
      <c r="B47" s="64">
        <v>3.83</v>
      </c>
      <c r="C47" s="64">
        <v>42.96</v>
      </c>
      <c r="D47" s="64">
        <v>27.43</v>
      </c>
      <c r="E47" s="64">
        <v>2.31</v>
      </c>
      <c r="F47" s="64">
        <v>6.65</v>
      </c>
      <c r="G47" s="64">
        <v>25.34</v>
      </c>
      <c r="H47" s="64">
        <v>9.2899999999999991</v>
      </c>
      <c r="I47" s="64">
        <v>0.52</v>
      </c>
      <c r="J47" s="64">
        <v>0.98</v>
      </c>
      <c r="K47" s="64">
        <v>138.37</v>
      </c>
      <c r="L47" s="64">
        <v>25.74</v>
      </c>
      <c r="M47" s="64">
        <v>51.63</v>
      </c>
      <c r="N47" s="64">
        <v>590.4</v>
      </c>
      <c r="O47" s="64">
        <v>0</v>
      </c>
      <c r="P47" s="64">
        <v>0.37</v>
      </c>
      <c r="Q47" s="64">
        <v>25.47</v>
      </c>
      <c r="R47" s="198"/>
      <c r="S47" s="198"/>
      <c r="T47" s="198"/>
      <c r="U47" s="198"/>
    </row>
    <row r="48" spans="1:21" s="12" customFormat="1" x14ac:dyDescent="0.25">
      <c r="A48" s="218" t="s">
        <v>2595</v>
      </c>
      <c r="B48" s="64">
        <v>3.76</v>
      </c>
      <c r="C48" s="64">
        <v>42.32</v>
      </c>
      <c r="D48" s="64">
        <v>27.01</v>
      </c>
      <c r="E48" s="64">
        <v>2.36</v>
      </c>
      <c r="F48" s="64">
        <v>7.11</v>
      </c>
      <c r="G48" s="64">
        <v>24.9</v>
      </c>
      <c r="H48" s="64">
        <v>9.2799999999999994</v>
      </c>
      <c r="I48" s="64">
        <v>0.52</v>
      </c>
      <c r="J48" s="64">
        <v>1.4</v>
      </c>
      <c r="K48" s="64">
        <v>117.07</v>
      </c>
      <c r="L48" s="64">
        <v>26.05</v>
      </c>
      <c r="M48" s="64">
        <v>50.69</v>
      </c>
      <c r="N48" s="64">
        <v>738.6</v>
      </c>
      <c r="O48" s="64">
        <v>0</v>
      </c>
      <c r="P48" s="64">
        <v>0.38</v>
      </c>
      <c r="Q48" s="64">
        <v>26.35</v>
      </c>
      <c r="R48" s="198"/>
      <c r="S48" s="198"/>
      <c r="T48" s="198"/>
      <c r="U48" s="198"/>
    </row>
    <row r="49" spans="1:21" s="12" customFormat="1" x14ac:dyDescent="0.25">
      <c r="A49" s="218" t="s">
        <v>2596</v>
      </c>
      <c r="B49" s="64">
        <v>3.48</v>
      </c>
      <c r="C49" s="64">
        <v>38.119999999999997</v>
      </c>
      <c r="D49" s="64">
        <v>24.48</v>
      </c>
      <c r="E49" s="64">
        <v>2.13</v>
      </c>
      <c r="F49" s="64">
        <v>6.48</v>
      </c>
      <c r="G49" s="64">
        <v>24.9</v>
      </c>
      <c r="H49" s="64">
        <v>9.2799999999999994</v>
      </c>
      <c r="I49" s="64">
        <v>0.51</v>
      </c>
      <c r="J49" s="64">
        <v>0.89</v>
      </c>
      <c r="K49" s="64">
        <v>136.81</v>
      </c>
      <c r="L49" s="64">
        <v>26.07</v>
      </c>
      <c r="M49" s="64">
        <v>50.24</v>
      </c>
      <c r="N49" s="64">
        <v>834.8</v>
      </c>
      <c r="O49" s="64">
        <v>0</v>
      </c>
      <c r="P49" s="64">
        <v>0.36</v>
      </c>
      <c r="Q49" s="64">
        <v>26.74</v>
      </c>
      <c r="R49" s="198"/>
      <c r="S49" s="198"/>
      <c r="T49" s="198"/>
      <c r="U49" s="198"/>
    </row>
    <row r="50" spans="1:21" s="12" customFormat="1" x14ac:dyDescent="0.25">
      <c r="A50" s="218" t="s">
        <v>2597</v>
      </c>
      <c r="B50" s="64">
        <v>3.14</v>
      </c>
      <c r="C50" s="64">
        <v>33.99</v>
      </c>
      <c r="D50" s="64">
        <v>21.92</v>
      </c>
      <c r="E50" s="64">
        <v>2.33</v>
      </c>
      <c r="F50" s="64">
        <v>6.77</v>
      </c>
      <c r="G50" s="64">
        <v>24.9</v>
      </c>
      <c r="H50" s="64">
        <v>9.2799999999999994</v>
      </c>
      <c r="I50" s="64">
        <v>0.51</v>
      </c>
      <c r="J50" s="64">
        <v>0.54</v>
      </c>
      <c r="K50" s="64">
        <v>185.08</v>
      </c>
      <c r="L50" s="64">
        <v>27.27</v>
      </c>
      <c r="M50" s="64">
        <v>47.59</v>
      </c>
      <c r="N50" s="64">
        <v>746.4</v>
      </c>
      <c r="O50" s="64">
        <v>0</v>
      </c>
      <c r="P50" s="64">
        <v>0.37</v>
      </c>
      <c r="Q50" s="64">
        <v>25.35</v>
      </c>
      <c r="R50" s="198"/>
      <c r="S50" s="198"/>
      <c r="T50" s="198"/>
      <c r="U50" s="198"/>
    </row>
    <row r="51" spans="1:21" s="12" customFormat="1" x14ac:dyDescent="0.25">
      <c r="A51" s="218" t="s">
        <v>2598</v>
      </c>
      <c r="B51" s="64">
        <v>2.57</v>
      </c>
      <c r="C51" s="64">
        <v>34.479999999999997</v>
      </c>
      <c r="D51" s="64">
        <v>21.73</v>
      </c>
      <c r="E51" s="64">
        <v>3.27</v>
      </c>
      <c r="F51" s="64">
        <v>20.52</v>
      </c>
      <c r="G51" s="64">
        <v>25.52</v>
      </c>
      <c r="H51" s="64">
        <v>11.84</v>
      </c>
      <c r="I51" s="64">
        <v>0.52</v>
      </c>
      <c r="J51" s="64">
        <v>0.86</v>
      </c>
      <c r="K51" s="64">
        <v>177.41</v>
      </c>
      <c r="L51" s="64">
        <v>27.68</v>
      </c>
      <c r="M51" s="64">
        <v>46.45</v>
      </c>
      <c r="N51" s="64">
        <v>798</v>
      </c>
      <c r="O51" s="64">
        <v>0</v>
      </c>
      <c r="P51" s="64">
        <v>0.35</v>
      </c>
      <c r="Q51" s="64">
        <v>19.23</v>
      </c>
      <c r="R51" s="198"/>
      <c r="S51" s="198"/>
      <c r="T51" s="198"/>
      <c r="U51" s="198"/>
    </row>
    <row r="52" spans="1:21" s="12" customFormat="1" x14ac:dyDescent="0.25">
      <c r="A52" s="218" t="s">
        <v>2599</v>
      </c>
      <c r="B52" s="64">
        <v>1.73</v>
      </c>
      <c r="C52" s="64">
        <v>32.47</v>
      </c>
      <c r="D52" s="64">
        <v>19.96</v>
      </c>
      <c r="E52" s="64">
        <v>5.07</v>
      </c>
      <c r="F52" s="64">
        <v>37.64</v>
      </c>
      <c r="G52" s="64">
        <v>25.76</v>
      </c>
      <c r="H52" s="64">
        <v>11.92</v>
      </c>
      <c r="I52" s="64">
        <v>0.52</v>
      </c>
      <c r="J52" s="64">
        <v>0.66</v>
      </c>
      <c r="K52" s="64">
        <v>195.36</v>
      </c>
      <c r="L52" s="64">
        <v>27.98</v>
      </c>
      <c r="M52" s="64">
        <v>45.63</v>
      </c>
      <c r="N52" s="64">
        <v>888</v>
      </c>
      <c r="O52" s="64">
        <v>0</v>
      </c>
      <c r="P52" s="64">
        <v>0.33</v>
      </c>
      <c r="Q52" s="64">
        <v>5.04</v>
      </c>
      <c r="R52" s="198"/>
      <c r="S52" s="198"/>
      <c r="T52" s="198"/>
      <c r="U52" s="198"/>
    </row>
    <row r="53" spans="1:21" s="12" customFormat="1" x14ac:dyDescent="0.25">
      <c r="A53" s="218" t="s">
        <v>2600</v>
      </c>
      <c r="B53" s="64">
        <v>1.43</v>
      </c>
      <c r="C53" s="64">
        <v>31.3</v>
      </c>
      <c r="D53" s="64">
        <v>19.07</v>
      </c>
      <c r="E53" s="64">
        <v>3.66</v>
      </c>
      <c r="F53" s="64">
        <v>18.75</v>
      </c>
      <c r="G53" s="64">
        <v>25.76</v>
      </c>
      <c r="H53" s="64">
        <v>11.92</v>
      </c>
      <c r="I53" s="64">
        <v>0.49</v>
      </c>
      <c r="J53" s="64">
        <v>0.31</v>
      </c>
      <c r="K53" s="64">
        <v>189.59</v>
      </c>
      <c r="L53" s="64">
        <v>28.98</v>
      </c>
      <c r="M53" s="64">
        <v>44.77</v>
      </c>
      <c r="N53" s="64">
        <v>813.8</v>
      </c>
      <c r="O53" s="64">
        <v>0</v>
      </c>
      <c r="P53" s="64">
        <v>0.33</v>
      </c>
      <c r="Q53" s="64">
        <v>2.02</v>
      </c>
      <c r="R53" s="198"/>
      <c r="S53" s="198"/>
      <c r="T53" s="198"/>
      <c r="U53" s="198"/>
    </row>
    <row r="54" spans="1:21" s="12" customFormat="1" x14ac:dyDescent="0.25">
      <c r="A54" s="218" t="s">
        <v>2601</v>
      </c>
      <c r="B54" s="64">
        <v>1.6</v>
      </c>
      <c r="C54" s="64">
        <v>29.17</v>
      </c>
      <c r="D54" s="64">
        <v>18.03</v>
      </c>
      <c r="E54" s="64">
        <v>3.11</v>
      </c>
      <c r="F54" s="64">
        <v>14.31</v>
      </c>
      <c r="G54" s="64">
        <v>25.76</v>
      </c>
      <c r="H54" s="64">
        <v>11.92</v>
      </c>
      <c r="I54" s="64">
        <v>0.43</v>
      </c>
      <c r="J54" s="64">
        <v>0.56999999999999995</v>
      </c>
      <c r="K54" s="64">
        <v>190.92</v>
      </c>
      <c r="L54" s="64">
        <v>29.65</v>
      </c>
      <c r="M54" s="64">
        <v>42.96</v>
      </c>
      <c r="N54" s="64">
        <v>668.3</v>
      </c>
      <c r="O54" s="64">
        <v>0</v>
      </c>
      <c r="P54" s="64">
        <v>0.35</v>
      </c>
      <c r="Q54" s="64">
        <v>1.46</v>
      </c>
      <c r="R54" s="198"/>
      <c r="S54" s="198"/>
      <c r="T54" s="198"/>
      <c r="U54" s="198"/>
    </row>
    <row r="55" spans="1:21" s="12" customFormat="1" x14ac:dyDescent="0.25">
      <c r="A55" s="218" t="s">
        <v>2602</v>
      </c>
      <c r="B55" s="64">
        <v>1.5</v>
      </c>
      <c r="C55" s="64">
        <v>30.28</v>
      </c>
      <c r="D55" s="64">
        <v>18.559999999999999</v>
      </c>
      <c r="E55" s="64">
        <v>2.68</v>
      </c>
      <c r="F55" s="64">
        <v>11.5</v>
      </c>
      <c r="G55" s="64">
        <v>22.02</v>
      </c>
      <c r="H55" s="64">
        <v>9.6300000000000008</v>
      </c>
      <c r="I55" s="64">
        <v>0.44</v>
      </c>
      <c r="J55" s="64">
        <v>0.44</v>
      </c>
      <c r="K55" s="64">
        <v>189.86</v>
      </c>
      <c r="L55" s="64">
        <v>28.32</v>
      </c>
      <c r="M55" s="64">
        <v>45.24</v>
      </c>
      <c r="N55" s="64">
        <v>683.8</v>
      </c>
      <c r="O55" s="64">
        <v>0</v>
      </c>
      <c r="P55" s="64">
        <v>0.34</v>
      </c>
      <c r="Q55" s="64">
        <v>4.09</v>
      </c>
      <c r="R55" s="198"/>
      <c r="S55" s="198"/>
      <c r="T55" s="198"/>
      <c r="U55" s="198"/>
    </row>
    <row r="56" spans="1:21" s="12" customFormat="1" x14ac:dyDescent="0.25">
      <c r="A56" s="218" t="s">
        <v>2603</v>
      </c>
      <c r="B56" s="64">
        <v>1.66</v>
      </c>
      <c r="C56" s="64">
        <v>27.51</v>
      </c>
      <c r="D56" s="64">
        <v>17.16</v>
      </c>
      <c r="E56" s="64">
        <v>1.8</v>
      </c>
      <c r="F56" s="64">
        <v>11.72</v>
      </c>
      <c r="G56" s="64">
        <v>20.59</v>
      </c>
      <c r="H56" s="64">
        <v>9.5299999999999994</v>
      </c>
      <c r="I56" s="64">
        <v>0.45</v>
      </c>
      <c r="J56" s="64">
        <v>0.59</v>
      </c>
      <c r="K56" s="64">
        <v>196.24</v>
      </c>
      <c r="L56" s="64">
        <v>28.83</v>
      </c>
      <c r="M56" s="64">
        <v>44.39</v>
      </c>
      <c r="N56" s="64">
        <v>822.5</v>
      </c>
      <c r="O56" s="64">
        <v>0</v>
      </c>
      <c r="P56" s="64">
        <v>0.33</v>
      </c>
      <c r="Q56" s="64">
        <v>2.7</v>
      </c>
      <c r="R56" s="198"/>
      <c r="S56" s="198"/>
      <c r="T56" s="198"/>
      <c r="U56" s="198"/>
    </row>
    <row r="57" spans="1:21" s="12" customFormat="1" x14ac:dyDescent="0.25">
      <c r="A57" s="218" t="s">
        <v>2604</v>
      </c>
      <c r="B57" s="64">
        <v>2.1</v>
      </c>
      <c r="C57" s="64">
        <v>23.3</v>
      </c>
      <c r="D57" s="64">
        <v>15.18</v>
      </c>
      <c r="E57" s="64">
        <v>2.84</v>
      </c>
      <c r="F57" s="64">
        <v>8.51</v>
      </c>
      <c r="G57" s="64">
        <v>20.59</v>
      </c>
      <c r="H57" s="64">
        <v>9.5299999999999994</v>
      </c>
      <c r="I57" s="64">
        <v>0.45</v>
      </c>
      <c r="J57" s="64">
        <v>0.25</v>
      </c>
      <c r="K57" s="64">
        <v>233.57</v>
      </c>
      <c r="L57" s="64">
        <v>29.55</v>
      </c>
      <c r="M57" s="64">
        <v>43.25</v>
      </c>
      <c r="N57" s="64">
        <v>619.70000000000005</v>
      </c>
      <c r="O57" s="64">
        <v>0</v>
      </c>
      <c r="P57" s="64">
        <v>0.34</v>
      </c>
      <c r="Q57" s="64">
        <v>0.32</v>
      </c>
      <c r="R57" s="198"/>
      <c r="S57" s="198"/>
      <c r="T57" s="198"/>
      <c r="U57" s="198"/>
    </row>
    <row r="58" spans="1:21" s="12" customFormat="1" x14ac:dyDescent="0.25">
      <c r="A58" s="218" t="s">
        <v>2605</v>
      </c>
      <c r="B58" s="64">
        <v>2.2200000000000002</v>
      </c>
      <c r="C58" s="64">
        <v>24.73</v>
      </c>
      <c r="D58" s="64">
        <v>16.079999999999998</v>
      </c>
      <c r="E58" s="64">
        <v>3.04</v>
      </c>
      <c r="F58" s="64">
        <v>11.83</v>
      </c>
      <c r="G58" s="64">
        <v>20.59</v>
      </c>
      <c r="H58" s="64">
        <v>9.5299999999999994</v>
      </c>
      <c r="I58" s="64">
        <v>0.46</v>
      </c>
      <c r="J58" s="64">
        <v>0.36</v>
      </c>
      <c r="K58" s="64">
        <v>213.89</v>
      </c>
      <c r="L58" s="64">
        <v>29.91</v>
      </c>
      <c r="M58" s="64">
        <v>42.65</v>
      </c>
      <c r="N58" s="64">
        <v>891</v>
      </c>
      <c r="O58" s="64">
        <v>0</v>
      </c>
      <c r="P58" s="64">
        <v>0.33</v>
      </c>
      <c r="Q58" s="64">
        <v>3.74</v>
      </c>
      <c r="R58" s="198"/>
      <c r="S58" s="198"/>
      <c r="T58" s="198"/>
      <c r="U58" s="198"/>
    </row>
    <row r="59" spans="1:21" s="12" customFormat="1" x14ac:dyDescent="0.25">
      <c r="A59" s="218" t="s">
        <v>2606</v>
      </c>
      <c r="B59" s="64">
        <v>2.37</v>
      </c>
      <c r="C59" s="64">
        <v>22.59</v>
      </c>
      <c r="D59" s="64">
        <v>15.01</v>
      </c>
      <c r="E59" s="64">
        <v>3.04</v>
      </c>
      <c r="F59" s="64">
        <v>12.91</v>
      </c>
      <c r="G59" s="64">
        <v>22.12</v>
      </c>
      <c r="H59" s="64">
        <v>11.58</v>
      </c>
      <c r="I59" s="64">
        <v>0.48</v>
      </c>
      <c r="J59" s="64">
        <v>0.35</v>
      </c>
      <c r="K59" s="64">
        <v>183.67</v>
      </c>
      <c r="L59" s="64">
        <v>30.35</v>
      </c>
      <c r="M59" s="64">
        <v>41.96</v>
      </c>
      <c r="N59" s="64">
        <v>819.7</v>
      </c>
      <c r="O59" s="64">
        <v>0</v>
      </c>
      <c r="P59" s="64">
        <v>0.34</v>
      </c>
      <c r="Q59" s="64">
        <v>2.27</v>
      </c>
      <c r="R59" s="198"/>
      <c r="S59" s="198"/>
      <c r="T59" s="198"/>
      <c r="U59" s="198"/>
    </row>
    <row r="60" spans="1:21" s="12" customFormat="1" x14ac:dyDescent="0.25">
      <c r="A60" s="218" t="s">
        <v>2607</v>
      </c>
      <c r="B60" s="64">
        <v>2.71</v>
      </c>
      <c r="C60" s="64">
        <v>20.27</v>
      </c>
      <c r="D60" s="64">
        <v>14.01</v>
      </c>
      <c r="E60" s="64">
        <v>3.49</v>
      </c>
      <c r="F60" s="64">
        <v>10.72</v>
      </c>
      <c r="G60" s="64">
        <v>22.71</v>
      </c>
      <c r="H60" s="64">
        <v>11.64</v>
      </c>
      <c r="I60" s="64">
        <v>0.47</v>
      </c>
      <c r="J60" s="64">
        <v>0.33</v>
      </c>
      <c r="K60" s="64">
        <v>297.67</v>
      </c>
      <c r="L60" s="64">
        <v>31.75</v>
      </c>
      <c r="M60" s="64">
        <v>39.97</v>
      </c>
      <c r="N60" s="64">
        <v>874.3</v>
      </c>
      <c r="O60" s="64">
        <v>0</v>
      </c>
      <c r="P60" s="64">
        <v>0.35</v>
      </c>
      <c r="Q60" s="64">
        <v>3.87</v>
      </c>
      <c r="R60" s="198"/>
      <c r="S60" s="198"/>
      <c r="T60" s="198"/>
      <c r="U60" s="198"/>
    </row>
    <row r="61" spans="1:21" s="12" customFormat="1" x14ac:dyDescent="0.25">
      <c r="A61" s="218" t="s">
        <v>2608</v>
      </c>
      <c r="B61" s="64">
        <v>2.5499999999999998</v>
      </c>
      <c r="C61" s="64">
        <v>31.79</v>
      </c>
      <c r="D61" s="64">
        <v>20.23</v>
      </c>
      <c r="E61" s="64">
        <v>2.59</v>
      </c>
      <c r="F61" s="64">
        <v>11.6</v>
      </c>
      <c r="G61" s="64">
        <v>22.71</v>
      </c>
      <c r="H61" s="64">
        <v>11.64</v>
      </c>
      <c r="I61" s="64">
        <v>0.5</v>
      </c>
      <c r="J61" s="64">
        <v>0.24</v>
      </c>
      <c r="K61" s="64">
        <v>268.14</v>
      </c>
      <c r="L61" s="64">
        <v>32.6</v>
      </c>
      <c r="M61" s="64">
        <v>38.71</v>
      </c>
      <c r="N61" s="64">
        <v>862.9</v>
      </c>
      <c r="O61" s="64">
        <v>0</v>
      </c>
      <c r="P61" s="64">
        <v>0.4</v>
      </c>
      <c r="Q61" s="64">
        <v>8.19</v>
      </c>
      <c r="R61" s="198"/>
      <c r="S61" s="198"/>
      <c r="T61" s="198"/>
      <c r="U61" s="198"/>
    </row>
    <row r="62" spans="1:21" s="12" customFormat="1" x14ac:dyDescent="0.25">
      <c r="A62" s="218" t="s">
        <v>2609</v>
      </c>
      <c r="B62" s="64">
        <v>3.22</v>
      </c>
      <c r="C62" s="64">
        <v>28.6</v>
      </c>
      <c r="D62" s="64">
        <v>19.010000000000002</v>
      </c>
      <c r="E62" s="64">
        <v>2.6</v>
      </c>
      <c r="F62" s="64">
        <v>14.94</v>
      </c>
      <c r="G62" s="64">
        <v>22.71</v>
      </c>
      <c r="H62" s="64">
        <v>11.64</v>
      </c>
      <c r="I62" s="64">
        <v>0.51</v>
      </c>
      <c r="J62" s="64">
        <v>0.98</v>
      </c>
      <c r="K62" s="64">
        <v>304.31</v>
      </c>
      <c r="L62" s="64">
        <v>34.65</v>
      </c>
      <c r="M62" s="64">
        <v>35.369999999999997</v>
      </c>
      <c r="N62" s="64">
        <v>811.3</v>
      </c>
      <c r="O62" s="64">
        <v>0</v>
      </c>
      <c r="P62" s="64">
        <v>0.47</v>
      </c>
      <c r="Q62" s="64">
        <v>4.17</v>
      </c>
      <c r="R62" s="198"/>
      <c r="S62" s="198"/>
      <c r="T62" s="198"/>
      <c r="U62" s="198"/>
    </row>
    <row r="63" spans="1:21" s="12" customFormat="1" x14ac:dyDescent="0.25">
      <c r="A63" s="218" t="s">
        <v>2610</v>
      </c>
      <c r="B63" s="64">
        <v>3.03</v>
      </c>
      <c r="C63" s="64">
        <v>30.42</v>
      </c>
      <c r="D63" s="64">
        <v>19.86</v>
      </c>
      <c r="E63" s="64">
        <v>3.1</v>
      </c>
      <c r="F63" s="64">
        <v>22.87</v>
      </c>
      <c r="G63" s="64">
        <v>24.78</v>
      </c>
      <c r="H63" s="64">
        <v>11.6</v>
      </c>
      <c r="I63" s="64">
        <v>0.52</v>
      </c>
      <c r="J63" s="64">
        <v>0.15</v>
      </c>
      <c r="K63" s="64">
        <v>286.66000000000003</v>
      </c>
      <c r="L63" s="64">
        <v>34.42</v>
      </c>
      <c r="M63" s="64">
        <v>35.880000000000003</v>
      </c>
      <c r="N63" s="64">
        <v>768.6</v>
      </c>
      <c r="O63" s="64">
        <v>0</v>
      </c>
      <c r="P63" s="64">
        <v>0.5</v>
      </c>
      <c r="Q63" s="64">
        <v>2.54</v>
      </c>
      <c r="R63" s="198"/>
      <c r="S63" s="198"/>
      <c r="T63" s="198"/>
      <c r="U63" s="198"/>
    </row>
    <row r="64" spans="1:21" s="12" customFormat="1" x14ac:dyDescent="0.25">
      <c r="A64" s="218" t="s">
        <v>2611</v>
      </c>
      <c r="B64" s="64">
        <v>2.37</v>
      </c>
      <c r="C64" s="64">
        <v>26.21</v>
      </c>
      <c r="D64" s="64">
        <v>17.010000000000002</v>
      </c>
      <c r="E64" s="64">
        <v>3.72</v>
      </c>
      <c r="F64" s="64">
        <v>16.510000000000002</v>
      </c>
      <c r="G64" s="64">
        <v>25.58</v>
      </c>
      <c r="H64" s="64">
        <v>11.6</v>
      </c>
      <c r="I64" s="64">
        <v>0.51</v>
      </c>
      <c r="J64" s="64">
        <v>0.6</v>
      </c>
      <c r="K64" s="64">
        <v>202.87</v>
      </c>
      <c r="L64" s="64">
        <v>31.63</v>
      </c>
      <c r="M64" s="64">
        <v>39.119999999999997</v>
      </c>
      <c r="N64" s="64">
        <v>744.8</v>
      </c>
      <c r="O64" s="64">
        <v>0</v>
      </c>
      <c r="P64" s="64">
        <v>0.48</v>
      </c>
      <c r="Q64" s="64">
        <v>1.62</v>
      </c>
      <c r="R64" s="198"/>
      <c r="S64" s="198"/>
      <c r="T64" s="198"/>
      <c r="U64" s="198"/>
    </row>
    <row r="65" spans="1:21" s="12" customFormat="1" x14ac:dyDescent="0.25">
      <c r="A65" s="218" t="s">
        <v>2612</v>
      </c>
      <c r="B65" s="64">
        <v>2.0499999999999998</v>
      </c>
      <c r="C65" s="64">
        <v>24.54</v>
      </c>
      <c r="D65" s="64">
        <v>15.83</v>
      </c>
      <c r="E65" s="64">
        <v>3.41</v>
      </c>
      <c r="F65" s="64">
        <v>16.45</v>
      </c>
      <c r="G65" s="64">
        <v>25.58</v>
      </c>
      <c r="H65" s="64">
        <v>11.6</v>
      </c>
      <c r="I65" s="64">
        <v>0.51</v>
      </c>
      <c r="J65" s="64">
        <v>0.26</v>
      </c>
      <c r="K65" s="64">
        <v>251.48</v>
      </c>
      <c r="L65" s="64">
        <v>31.61</v>
      </c>
      <c r="M65" s="64">
        <v>39.869999999999997</v>
      </c>
      <c r="N65" s="64">
        <v>704.9</v>
      </c>
      <c r="O65" s="64">
        <v>0</v>
      </c>
      <c r="P65" s="64">
        <v>0.48</v>
      </c>
      <c r="Q65" s="64">
        <v>0.49</v>
      </c>
      <c r="R65" s="198"/>
      <c r="S65" s="198"/>
      <c r="T65" s="198"/>
      <c r="U65" s="198"/>
    </row>
    <row r="66" spans="1:21" s="12" customFormat="1" x14ac:dyDescent="0.25">
      <c r="A66" s="218" t="s">
        <v>2613</v>
      </c>
      <c r="B66" s="64">
        <v>3.6</v>
      </c>
      <c r="C66" s="64">
        <v>25.27</v>
      </c>
      <c r="D66" s="64">
        <v>17.48</v>
      </c>
      <c r="E66" s="64">
        <v>4.6100000000000003</v>
      </c>
      <c r="F66" s="64">
        <v>19.149999999999999</v>
      </c>
      <c r="G66" s="64">
        <v>25.58</v>
      </c>
      <c r="H66" s="64">
        <v>11.6</v>
      </c>
      <c r="I66" s="64">
        <v>0.51</v>
      </c>
      <c r="J66" s="64">
        <v>0.46</v>
      </c>
      <c r="K66" s="64">
        <v>305.94</v>
      </c>
      <c r="L66" s="64">
        <v>33.409999999999997</v>
      </c>
      <c r="M66" s="64">
        <v>36.9</v>
      </c>
      <c r="N66" s="64">
        <v>654.1</v>
      </c>
      <c r="O66" s="64">
        <v>0</v>
      </c>
      <c r="P66" s="64">
        <v>0.52</v>
      </c>
      <c r="Q66" s="64">
        <v>0.01</v>
      </c>
      <c r="R66" s="198"/>
      <c r="S66" s="198"/>
      <c r="T66" s="198"/>
      <c r="U66" s="198"/>
    </row>
    <row r="67" spans="1:21" s="12" customFormat="1" x14ac:dyDescent="0.25">
      <c r="A67" s="218" t="s">
        <v>2614</v>
      </c>
      <c r="B67" s="64">
        <v>4.25</v>
      </c>
      <c r="C67" s="64">
        <v>30.95</v>
      </c>
      <c r="D67" s="64">
        <v>21.13</v>
      </c>
      <c r="E67" s="64">
        <v>3.88</v>
      </c>
      <c r="F67" s="64">
        <v>18.04</v>
      </c>
      <c r="G67" s="64">
        <v>26.33</v>
      </c>
      <c r="H67" s="64">
        <v>12.76</v>
      </c>
      <c r="I67" s="64">
        <v>0.51</v>
      </c>
      <c r="J67" s="64">
        <v>0.61</v>
      </c>
      <c r="K67" s="64">
        <v>172.1</v>
      </c>
      <c r="L67" s="64">
        <v>31.88</v>
      </c>
      <c r="M67" s="64">
        <v>39.47</v>
      </c>
      <c r="N67" s="64">
        <v>592.9</v>
      </c>
      <c r="O67" s="64">
        <v>0</v>
      </c>
      <c r="P67" s="64">
        <v>0.57999999999999996</v>
      </c>
      <c r="Q67" s="64">
        <v>5.25</v>
      </c>
      <c r="R67" s="198"/>
      <c r="S67" s="198"/>
      <c r="T67" s="198"/>
      <c r="U67" s="198"/>
    </row>
    <row r="68" spans="1:21" s="12" customFormat="1" x14ac:dyDescent="0.25">
      <c r="A68" s="218" t="s">
        <v>2615</v>
      </c>
      <c r="B68" s="64">
        <v>2.61</v>
      </c>
      <c r="C68" s="64">
        <v>30.94</v>
      </c>
      <c r="D68" s="64">
        <v>19.809999999999999</v>
      </c>
      <c r="E68" s="64">
        <v>4.4800000000000004</v>
      </c>
      <c r="F68" s="64">
        <v>18.27</v>
      </c>
      <c r="G68" s="64">
        <v>26.62</v>
      </c>
      <c r="H68" s="64">
        <v>12.79</v>
      </c>
      <c r="I68" s="64">
        <v>0.52</v>
      </c>
      <c r="J68" s="64">
        <v>0.25</v>
      </c>
      <c r="K68" s="64">
        <v>216.06</v>
      </c>
      <c r="L68" s="64">
        <v>31.38</v>
      </c>
      <c r="M68" s="64">
        <v>39.380000000000003</v>
      </c>
      <c r="N68" s="64">
        <v>500.8</v>
      </c>
      <c r="O68" s="64">
        <v>0</v>
      </c>
      <c r="P68" s="64">
        <v>0.53</v>
      </c>
      <c r="Q68" s="64">
        <v>7.31</v>
      </c>
      <c r="R68" s="198"/>
      <c r="S68" s="198"/>
      <c r="T68" s="198"/>
      <c r="U68" s="198"/>
    </row>
    <row r="69" spans="1:21" s="12" customFormat="1" x14ac:dyDescent="0.25">
      <c r="A69" s="218" t="s">
        <v>2616</v>
      </c>
      <c r="B69" s="64">
        <v>2.87</v>
      </c>
      <c r="C69" s="64">
        <v>27.35</v>
      </c>
      <c r="D69" s="64">
        <v>18.05</v>
      </c>
      <c r="E69" s="64">
        <v>5.22</v>
      </c>
      <c r="F69" s="64">
        <v>22.33</v>
      </c>
      <c r="G69" s="64">
        <v>26.62</v>
      </c>
      <c r="H69" s="64">
        <v>12.79</v>
      </c>
      <c r="I69" s="64">
        <v>0.53</v>
      </c>
      <c r="J69" s="64">
        <v>0.5</v>
      </c>
      <c r="K69" s="64">
        <v>249.51</v>
      </c>
      <c r="L69" s="64">
        <v>32.11</v>
      </c>
      <c r="M69" s="64">
        <v>37.81</v>
      </c>
      <c r="N69" s="64">
        <v>429.8</v>
      </c>
      <c r="O69" s="64">
        <v>0</v>
      </c>
      <c r="P69" s="64">
        <v>0.56000000000000005</v>
      </c>
      <c r="Q69" s="64">
        <v>2.87</v>
      </c>
      <c r="R69" s="198"/>
      <c r="S69" s="198"/>
      <c r="T69" s="198"/>
      <c r="U69" s="198"/>
    </row>
    <row r="70" spans="1:21" s="12" customFormat="1" x14ac:dyDescent="0.25">
      <c r="A70" s="218" t="s">
        <v>2617</v>
      </c>
      <c r="B70" s="64">
        <v>5.8</v>
      </c>
      <c r="C70" s="64">
        <v>25.57</v>
      </c>
      <c r="D70" s="64">
        <v>19.41</v>
      </c>
      <c r="E70" s="64">
        <v>8.9600000000000009</v>
      </c>
      <c r="F70" s="64">
        <v>39.15</v>
      </c>
      <c r="G70" s="64">
        <v>26.62</v>
      </c>
      <c r="H70" s="64">
        <v>12.79</v>
      </c>
      <c r="I70" s="64">
        <v>0.52</v>
      </c>
      <c r="J70" s="64">
        <v>0.41</v>
      </c>
      <c r="K70" s="64">
        <v>303.08999999999997</v>
      </c>
      <c r="L70" s="64">
        <v>31.71</v>
      </c>
      <c r="M70" s="64">
        <v>38.18</v>
      </c>
      <c r="N70" s="64">
        <v>237.4</v>
      </c>
      <c r="O70" s="64">
        <v>0</v>
      </c>
      <c r="P70" s="64">
        <v>0.56000000000000005</v>
      </c>
      <c r="Q70" s="64">
        <v>0.12</v>
      </c>
      <c r="R70" s="198"/>
      <c r="S70" s="198"/>
      <c r="T70" s="198"/>
      <c r="U70" s="198"/>
    </row>
    <row r="71" spans="1:21" s="12" customFormat="1" x14ac:dyDescent="0.25">
      <c r="A71" s="218" t="s">
        <v>2618</v>
      </c>
      <c r="B71" s="64">
        <v>2.38</v>
      </c>
      <c r="C71" s="64">
        <v>22.42</v>
      </c>
      <c r="D71" s="64">
        <v>14.93</v>
      </c>
      <c r="E71" s="64">
        <v>8.52</v>
      </c>
      <c r="F71" s="64">
        <v>31.89</v>
      </c>
      <c r="G71" s="64">
        <v>28.5</v>
      </c>
      <c r="H71" s="64">
        <v>12.67</v>
      </c>
      <c r="I71" s="64">
        <v>0.52</v>
      </c>
      <c r="J71" s="64">
        <v>0.46</v>
      </c>
      <c r="K71" s="64">
        <v>205.36</v>
      </c>
      <c r="L71" s="64">
        <v>31.18</v>
      </c>
      <c r="M71" s="64">
        <v>38.369999999999997</v>
      </c>
      <c r="N71" s="64">
        <v>179.8</v>
      </c>
      <c r="O71" s="64">
        <v>0</v>
      </c>
      <c r="P71" s="64">
        <v>0.52</v>
      </c>
      <c r="Q71" s="64">
        <v>0.11</v>
      </c>
      <c r="R71" s="198"/>
      <c r="S71" s="198"/>
      <c r="T71" s="198"/>
      <c r="U71" s="198"/>
    </row>
    <row r="72" spans="1:21" s="12" customFormat="1" x14ac:dyDescent="0.25">
      <c r="A72" s="218" t="s">
        <v>2619</v>
      </c>
      <c r="B72" s="64">
        <v>1.83</v>
      </c>
      <c r="C72" s="64">
        <v>26.64</v>
      </c>
      <c r="D72" s="64">
        <v>16.82</v>
      </c>
      <c r="E72" s="64">
        <v>1.87</v>
      </c>
      <c r="F72" s="64">
        <v>15.34</v>
      </c>
      <c r="G72" s="64">
        <v>29.22</v>
      </c>
      <c r="H72" s="64">
        <v>12.66</v>
      </c>
      <c r="I72" s="64">
        <v>0.5</v>
      </c>
      <c r="J72" s="64">
        <v>1.1000000000000001</v>
      </c>
      <c r="K72" s="64">
        <v>189.78</v>
      </c>
      <c r="L72" s="64">
        <v>30.91</v>
      </c>
      <c r="M72" s="64">
        <v>38.47</v>
      </c>
      <c r="N72" s="64">
        <v>136.19999999999999</v>
      </c>
      <c r="O72" s="64">
        <v>0</v>
      </c>
      <c r="P72" s="64">
        <v>0.56999999999999995</v>
      </c>
      <c r="Q72" s="64">
        <v>6.76</v>
      </c>
      <c r="R72" s="198"/>
      <c r="S72" s="198"/>
      <c r="T72" s="198"/>
      <c r="U72" s="198"/>
    </row>
    <row r="73" spans="1:21" s="12" customFormat="1" x14ac:dyDescent="0.25">
      <c r="A73" s="218" t="s">
        <v>2620</v>
      </c>
      <c r="B73" s="64">
        <v>1.53</v>
      </c>
      <c r="C73" s="64">
        <v>25.5</v>
      </c>
      <c r="D73" s="64">
        <v>15.94</v>
      </c>
      <c r="E73" s="64">
        <v>2.41</v>
      </c>
      <c r="F73" s="64">
        <v>12.79</v>
      </c>
      <c r="G73" s="64">
        <v>29.22</v>
      </c>
      <c r="H73" s="64">
        <v>12.66</v>
      </c>
      <c r="I73" s="64">
        <v>0.51</v>
      </c>
      <c r="J73" s="64">
        <v>1.7</v>
      </c>
      <c r="K73" s="64">
        <v>193.69</v>
      </c>
      <c r="L73" s="64">
        <v>30.71</v>
      </c>
      <c r="M73" s="64">
        <v>38.659999999999997</v>
      </c>
      <c r="N73" s="64">
        <v>151.30000000000001</v>
      </c>
      <c r="O73" s="64">
        <v>0</v>
      </c>
      <c r="P73" s="64">
        <v>0.55000000000000004</v>
      </c>
      <c r="Q73" s="64">
        <v>4.33</v>
      </c>
      <c r="R73" s="198"/>
      <c r="S73" s="198"/>
      <c r="T73" s="198"/>
      <c r="U73" s="198"/>
    </row>
    <row r="74" spans="1:21" s="12" customFormat="1" x14ac:dyDescent="0.25">
      <c r="A74" s="218" t="s">
        <v>2621</v>
      </c>
      <c r="B74" s="64">
        <v>1.44</v>
      </c>
      <c r="C74" s="64">
        <v>22.63</v>
      </c>
      <c r="D74" s="64">
        <v>14.29</v>
      </c>
      <c r="E74" s="64">
        <v>2.09</v>
      </c>
      <c r="F74" s="64">
        <v>12.41</v>
      </c>
      <c r="G74" s="64">
        <v>29.22</v>
      </c>
      <c r="H74" s="64">
        <v>12.66</v>
      </c>
      <c r="I74" s="64">
        <v>0.53</v>
      </c>
      <c r="J74" s="64">
        <v>1.2</v>
      </c>
      <c r="K74" s="64">
        <v>198.47</v>
      </c>
      <c r="L74" s="64">
        <v>30.59</v>
      </c>
      <c r="M74" s="64">
        <v>38.659999999999997</v>
      </c>
      <c r="N74" s="64">
        <v>115.7</v>
      </c>
      <c r="O74" s="64">
        <v>0</v>
      </c>
      <c r="P74" s="64">
        <v>0.55000000000000004</v>
      </c>
      <c r="Q74" s="64">
        <v>2.13</v>
      </c>
      <c r="R74" s="198"/>
      <c r="S74" s="198"/>
      <c r="T74" s="198"/>
      <c r="U74" s="198"/>
    </row>
    <row r="75" spans="1:21" s="12" customFormat="1" x14ac:dyDescent="0.25">
      <c r="A75" s="218" t="s">
        <v>2622</v>
      </c>
      <c r="B75" s="64">
        <v>1.45</v>
      </c>
      <c r="C75" s="64">
        <v>23.64</v>
      </c>
      <c r="D75" s="64">
        <v>14.86</v>
      </c>
      <c r="E75" s="64">
        <v>2.37</v>
      </c>
      <c r="F75" s="64">
        <v>13.98</v>
      </c>
      <c r="G75" s="64">
        <v>32.880000000000003</v>
      </c>
      <c r="H75" s="64">
        <v>15.45</v>
      </c>
      <c r="I75" s="64">
        <v>0.51</v>
      </c>
      <c r="J75" s="64">
        <v>0.6</v>
      </c>
      <c r="K75" s="64">
        <v>212.67</v>
      </c>
      <c r="L75" s="64">
        <v>30.53</v>
      </c>
      <c r="M75" s="64">
        <v>38.71</v>
      </c>
      <c r="N75" s="64">
        <v>119.7</v>
      </c>
      <c r="O75" s="64">
        <v>0</v>
      </c>
      <c r="P75" s="64">
        <v>0.55000000000000004</v>
      </c>
      <c r="Q75" s="64">
        <v>3.39</v>
      </c>
      <c r="R75" s="198"/>
      <c r="S75" s="198"/>
      <c r="T75" s="198"/>
      <c r="U75" s="198"/>
    </row>
    <row r="76" spans="1:21" s="12" customFormat="1" x14ac:dyDescent="0.25">
      <c r="A76" s="218" t="s">
        <v>2623</v>
      </c>
      <c r="B76" s="64">
        <v>1.53</v>
      </c>
      <c r="C76" s="64">
        <v>21.84</v>
      </c>
      <c r="D76" s="64">
        <v>13.93</v>
      </c>
      <c r="E76" s="64">
        <v>2.36</v>
      </c>
      <c r="F76" s="64">
        <v>14.96</v>
      </c>
      <c r="G76" s="64">
        <v>34.28</v>
      </c>
      <c r="H76" s="64">
        <v>15.54</v>
      </c>
      <c r="I76" s="64">
        <v>0.51</v>
      </c>
      <c r="J76" s="64">
        <v>0.73</v>
      </c>
      <c r="K76" s="64">
        <v>206.85</v>
      </c>
      <c r="L76" s="64">
        <v>30.59</v>
      </c>
      <c r="M76" s="64">
        <v>39.270000000000003</v>
      </c>
      <c r="N76" s="64">
        <v>124.6</v>
      </c>
      <c r="O76" s="64">
        <v>0</v>
      </c>
      <c r="P76" s="64">
        <v>0.53</v>
      </c>
      <c r="Q76" s="64">
        <v>1.05</v>
      </c>
      <c r="R76" s="198"/>
      <c r="S76" s="198"/>
      <c r="T76" s="198"/>
      <c r="U76" s="198"/>
    </row>
    <row r="77" spans="1:21" s="12" customFormat="1" x14ac:dyDescent="0.25">
      <c r="A77" s="218" t="s">
        <v>2624</v>
      </c>
      <c r="B77" s="64">
        <v>1.61</v>
      </c>
      <c r="C77" s="64">
        <v>21.31</v>
      </c>
      <c r="D77" s="64">
        <v>13.7</v>
      </c>
      <c r="E77" s="64">
        <v>2.09</v>
      </c>
      <c r="F77" s="64">
        <v>11.98</v>
      </c>
      <c r="G77" s="64">
        <v>34.28</v>
      </c>
      <c r="H77" s="64">
        <v>15.54</v>
      </c>
      <c r="I77" s="64">
        <v>0.51</v>
      </c>
      <c r="J77" s="64">
        <v>0.99</v>
      </c>
      <c r="K77" s="64">
        <v>199.96</v>
      </c>
      <c r="L77" s="64">
        <v>30.52</v>
      </c>
      <c r="M77" s="64">
        <v>39.659999999999997</v>
      </c>
      <c r="N77" s="64">
        <v>102.1</v>
      </c>
      <c r="O77" s="64">
        <v>0</v>
      </c>
      <c r="P77" s="64">
        <v>0.51</v>
      </c>
      <c r="Q77" s="215" t="s">
        <v>42</v>
      </c>
      <c r="R77" s="198"/>
      <c r="S77" s="198"/>
      <c r="T77" s="198"/>
      <c r="U77" s="198"/>
    </row>
    <row r="78" spans="1:21" s="12" customFormat="1" x14ac:dyDescent="0.25">
      <c r="A78" s="218" t="s">
        <v>2625</v>
      </c>
      <c r="B78" s="64">
        <v>1.73</v>
      </c>
      <c r="C78" s="64">
        <v>21.4</v>
      </c>
      <c r="D78" s="64">
        <v>13.84</v>
      </c>
      <c r="E78" s="64">
        <v>1.72</v>
      </c>
      <c r="F78" s="64">
        <v>12.48</v>
      </c>
      <c r="G78" s="64">
        <v>34.28</v>
      </c>
      <c r="H78" s="64">
        <v>15.54</v>
      </c>
      <c r="I78" s="64">
        <v>0.51</v>
      </c>
      <c r="J78" s="64">
        <v>0.66</v>
      </c>
      <c r="K78" s="64">
        <v>216.84</v>
      </c>
      <c r="L78" s="64">
        <v>30.45</v>
      </c>
      <c r="M78" s="64">
        <v>39.07</v>
      </c>
      <c r="N78" s="64">
        <v>64.400000000000006</v>
      </c>
      <c r="O78" s="64">
        <v>0</v>
      </c>
      <c r="P78" s="64">
        <v>0.51</v>
      </c>
      <c r="Q78" s="215" t="s">
        <v>42</v>
      </c>
      <c r="R78" s="198"/>
      <c r="S78" s="198"/>
      <c r="T78" s="198"/>
      <c r="U78" s="198"/>
    </row>
    <row r="79" spans="1:21" s="12" customFormat="1" x14ac:dyDescent="0.25">
      <c r="A79" s="218" t="s">
        <v>2626</v>
      </c>
      <c r="B79" s="64">
        <v>1.82</v>
      </c>
      <c r="C79" s="64">
        <v>31.21</v>
      </c>
      <c r="D79" s="64">
        <v>19.34</v>
      </c>
      <c r="E79" s="64">
        <v>2.09</v>
      </c>
      <c r="F79" s="64">
        <v>23.09</v>
      </c>
      <c r="G79" s="64">
        <v>31.74</v>
      </c>
      <c r="H79" s="64">
        <v>11.57</v>
      </c>
      <c r="I79" s="64">
        <v>0.51</v>
      </c>
      <c r="J79" s="64">
        <v>0.69</v>
      </c>
      <c r="K79" s="64">
        <v>209.09</v>
      </c>
      <c r="L79" s="64">
        <v>30.11</v>
      </c>
      <c r="M79" s="64">
        <v>39.86</v>
      </c>
      <c r="N79" s="64">
        <v>43.9</v>
      </c>
      <c r="O79" s="64">
        <v>0</v>
      </c>
      <c r="P79" s="64">
        <v>0.49</v>
      </c>
      <c r="Q79" s="64">
        <v>3.94</v>
      </c>
      <c r="R79" s="198"/>
      <c r="S79" s="198"/>
      <c r="T79" s="198"/>
      <c r="U79" s="198"/>
    </row>
    <row r="80" spans="1:21" s="12" customFormat="1" x14ac:dyDescent="0.25">
      <c r="A80" s="218" t="s">
        <v>2627</v>
      </c>
      <c r="B80" s="64">
        <v>2.9</v>
      </c>
      <c r="C80" s="64">
        <v>34</v>
      </c>
      <c r="D80" s="64">
        <v>21.73</v>
      </c>
      <c r="E80" s="64">
        <v>2.86</v>
      </c>
      <c r="F80" s="64">
        <v>24.16</v>
      </c>
      <c r="G80" s="64">
        <v>30.76</v>
      </c>
      <c r="H80" s="64">
        <v>11.45</v>
      </c>
      <c r="I80" s="64">
        <v>0.51</v>
      </c>
      <c r="J80" s="64">
        <v>0.73</v>
      </c>
      <c r="K80" s="64">
        <v>204.07</v>
      </c>
      <c r="L80" s="64">
        <v>29.84</v>
      </c>
      <c r="M80" s="64">
        <v>40.840000000000003</v>
      </c>
      <c r="N80" s="64">
        <v>28.2</v>
      </c>
      <c r="O80" s="64">
        <v>0</v>
      </c>
      <c r="P80" s="64">
        <v>0.49</v>
      </c>
      <c r="Q80" s="64">
        <v>0.92</v>
      </c>
      <c r="R80" s="198"/>
      <c r="S80" s="198"/>
      <c r="T80" s="198"/>
      <c r="U80" s="198"/>
    </row>
    <row r="81" spans="1:26" s="12" customFormat="1" x14ac:dyDescent="0.25">
      <c r="A81" s="218" t="s">
        <v>2628</v>
      </c>
      <c r="B81" s="64">
        <v>4</v>
      </c>
      <c r="C81" s="64">
        <v>37.659999999999997</v>
      </c>
      <c r="D81" s="64">
        <v>24.63</v>
      </c>
      <c r="E81" s="64">
        <v>2.78</v>
      </c>
      <c r="F81" s="64">
        <v>17.23</v>
      </c>
      <c r="G81" s="64">
        <v>30.76</v>
      </c>
      <c r="H81" s="64">
        <v>11.45</v>
      </c>
      <c r="I81" s="64">
        <v>0.5</v>
      </c>
      <c r="J81" s="64">
        <v>0.7</v>
      </c>
      <c r="K81" s="64">
        <v>210.76</v>
      </c>
      <c r="L81" s="64">
        <v>29.61</v>
      </c>
      <c r="M81" s="64">
        <v>42.71</v>
      </c>
      <c r="N81" s="64">
        <v>11.8</v>
      </c>
      <c r="O81" s="64">
        <v>0</v>
      </c>
      <c r="P81" s="64">
        <v>0.54</v>
      </c>
      <c r="Q81" s="64">
        <v>0.64</v>
      </c>
      <c r="R81" s="198"/>
      <c r="S81" s="198"/>
      <c r="T81" s="198"/>
      <c r="U81" s="198"/>
    </row>
    <row r="82" spans="1:26" s="12" customFormat="1" x14ac:dyDescent="0.25">
      <c r="A82" s="218" t="s">
        <v>2629</v>
      </c>
      <c r="B82" s="64">
        <v>2.33</v>
      </c>
      <c r="C82" s="64">
        <v>38.29</v>
      </c>
      <c r="D82" s="64">
        <v>23.64</v>
      </c>
      <c r="E82" s="64">
        <v>2.0099999999999998</v>
      </c>
      <c r="F82" s="64">
        <v>11.11</v>
      </c>
      <c r="G82" s="64">
        <v>30.76</v>
      </c>
      <c r="H82" s="64">
        <v>11.45</v>
      </c>
      <c r="I82" s="64">
        <v>0.47</v>
      </c>
      <c r="J82" s="64">
        <v>1.05</v>
      </c>
      <c r="K82" s="64">
        <v>208.68</v>
      </c>
      <c r="L82" s="64">
        <v>28.99</v>
      </c>
      <c r="M82" s="64">
        <v>47.57</v>
      </c>
      <c r="N82" s="64">
        <v>6.4</v>
      </c>
      <c r="O82" s="64">
        <v>0</v>
      </c>
      <c r="P82" s="64">
        <v>0.52</v>
      </c>
      <c r="Q82" s="64">
        <v>4.17</v>
      </c>
      <c r="R82" s="198"/>
      <c r="S82" s="198"/>
      <c r="T82" s="198"/>
      <c r="U82" s="198"/>
    </row>
    <row r="83" spans="1:26" s="12" customFormat="1" x14ac:dyDescent="0.25">
      <c r="A83" s="218" t="s">
        <v>2630</v>
      </c>
      <c r="B83" s="64">
        <v>2.29</v>
      </c>
      <c r="C83" s="64">
        <v>30.53</v>
      </c>
      <c r="D83" s="64">
        <v>19.329999999999998</v>
      </c>
      <c r="E83" s="64">
        <v>1.98</v>
      </c>
      <c r="F83" s="64">
        <v>8.99</v>
      </c>
      <c r="G83" s="64">
        <v>33.86</v>
      </c>
      <c r="H83" s="64">
        <v>12.89</v>
      </c>
      <c r="I83" s="64">
        <v>0.52</v>
      </c>
      <c r="J83" s="64">
        <v>1.05</v>
      </c>
      <c r="K83" s="64">
        <v>212.35</v>
      </c>
      <c r="L83" s="64">
        <v>28.55</v>
      </c>
      <c r="M83" s="64">
        <v>48.55</v>
      </c>
      <c r="N83" s="64">
        <v>5.2</v>
      </c>
      <c r="O83" s="64">
        <v>0</v>
      </c>
      <c r="P83" s="64">
        <v>0.51</v>
      </c>
      <c r="Q83" s="64">
        <v>3.11</v>
      </c>
      <c r="R83" s="198"/>
      <c r="S83" s="198"/>
      <c r="T83" s="198"/>
      <c r="U83" s="198"/>
    </row>
    <row r="84" spans="1:26" s="12" customFormat="1" x14ac:dyDescent="0.25">
      <c r="A84" s="218" t="s">
        <v>2631</v>
      </c>
      <c r="B84" s="64">
        <v>2.2400000000000002</v>
      </c>
      <c r="C84" s="64">
        <v>32.880000000000003</v>
      </c>
      <c r="D84" s="64">
        <v>20.59</v>
      </c>
      <c r="E84" s="64">
        <v>1.38</v>
      </c>
      <c r="F84" s="64">
        <v>6.01</v>
      </c>
      <c r="G84" s="64">
        <v>35.06</v>
      </c>
      <c r="H84" s="64">
        <v>12.93</v>
      </c>
      <c r="I84" s="64">
        <v>0.54</v>
      </c>
      <c r="J84" s="64">
        <v>1.35</v>
      </c>
      <c r="K84" s="64">
        <v>206.35</v>
      </c>
      <c r="L84" s="64">
        <v>28.32</v>
      </c>
      <c r="M84" s="64">
        <v>48.79</v>
      </c>
      <c r="N84" s="64">
        <v>5.0999999999999996</v>
      </c>
      <c r="O84" s="64">
        <v>0</v>
      </c>
      <c r="P84" s="64">
        <v>0.51</v>
      </c>
      <c r="Q84" s="64">
        <v>7.31</v>
      </c>
      <c r="R84" s="198"/>
      <c r="S84" s="198"/>
      <c r="T84" s="198"/>
      <c r="U84" s="198"/>
    </row>
    <row r="85" spans="1:26" s="12" customFormat="1" x14ac:dyDescent="0.25">
      <c r="A85" s="218" t="s">
        <v>2632</v>
      </c>
      <c r="B85" s="64">
        <v>2.1</v>
      </c>
      <c r="C85" s="64">
        <v>27.57</v>
      </c>
      <c r="D85" s="64">
        <v>17.55</v>
      </c>
      <c r="E85" s="64">
        <v>0.93</v>
      </c>
      <c r="F85" s="64">
        <v>6.08</v>
      </c>
      <c r="G85" s="64">
        <v>35.06</v>
      </c>
      <c r="H85" s="64">
        <v>12.93</v>
      </c>
      <c r="I85" s="64">
        <v>0.54</v>
      </c>
      <c r="J85" s="64">
        <v>1.1200000000000001</v>
      </c>
      <c r="K85" s="64">
        <v>237.89</v>
      </c>
      <c r="L85" s="64">
        <v>26.83</v>
      </c>
      <c r="M85" s="64">
        <v>49.62</v>
      </c>
      <c r="N85" s="64">
        <v>7.2</v>
      </c>
      <c r="O85" s="64">
        <v>0</v>
      </c>
      <c r="P85" s="64">
        <v>0.49</v>
      </c>
      <c r="Q85" s="64">
        <v>3.83</v>
      </c>
      <c r="R85" s="198"/>
      <c r="S85" s="198"/>
      <c r="T85" s="198"/>
      <c r="U85" s="198"/>
    </row>
    <row r="86" spans="1:26" s="12" customFormat="1" x14ac:dyDescent="0.25">
      <c r="A86" s="218" t="s">
        <v>2633</v>
      </c>
      <c r="B86" s="64">
        <v>1.95</v>
      </c>
      <c r="C86" s="64">
        <v>27</v>
      </c>
      <c r="D86" s="64">
        <v>17.11</v>
      </c>
      <c r="E86" s="64">
        <v>1.06</v>
      </c>
      <c r="F86" s="64">
        <v>6.45</v>
      </c>
      <c r="G86" s="64">
        <v>35.06</v>
      </c>
      <c r="H86" s="64">
        <v>12.93</v>
      </c>
      <c r="I86" s="64">
        <v>0.54</v>
      </c>
      <c r="J86" s="64">
        <v>1.22</v>
      </c>
      <c r="K86" s="64">
        <v>220.69</v>
      </c>
      <c r="L86" s="64">
        <v>25.8</v>
      </c>
      <c r="M86" s="64">
        <v>50.32</v>
      </c>
      <c r="N86" s="64">
        <v>6.1</v>
      </c>
      <c r="O86" s="64">
        <v>0</v>
      </c>
      <c r="P86" s="64">
        <v>0.49</v>
      </c>
      <c r="Q86" s="64">
        <v>3.16</v>
      </c>
      <c r="R86" s="198"/>
      <c r="S86" s="198"/>
      <c r="T86" s="198"/>
      <c r="U86" s="198"/>
    </row>
    <row r="87" spans="1:26" s="12" customFormat="1" x14ac:dyDescent="0.25">
      <c r="A87" s="218" t="s">
        <v>2634</v>
      </c>
      <c r="B87" s="64">
        <v>1.85</v>
      </c>
      <c r="C87" s="64">
        <v>27.29</v>
      </c>
      <c r="D87" s="64">
        <v>17.18</v>
      </c>
      <c r="E87" s="64">
        <v>0.85</v>
      </c>
      <c r="F87" s="64">
        <v>5.5</v>
      </c>
      <c r="G87" s="64">
        <v>33.5</v>
      </c>
      <c r="H87" s="64">
        <v>12.21</v>
      </c>
      <c r="I87" s="64">
        <v>0.54</v>
      </c>
      <c r="J87" s="64">
        <v>1.93</v>
      </c>
      <c r="K87" s="64">
        <v>202.72</v>
      </c>
      <c r="L87" s="64">
        <v>25.31</v>
      </c>
      <c r="M87" s="64">
        <v>51.62</v>
      </c>
      <c r="N87" s="64">
        <v>5.5</v>
      </c>
      <c r="O87" s="64">
        <v>0</v>
      </c>
      <c r="P87" s="64">
        <v>0.49</v>
      </c>
      <c r="Q87" s="64">
        <v>3.44</v>
      </c>
      <c r="R87" s="198"/>
      <c r="S87" s="198"/>
      <c r="T87" s="198"/>
      <c r="U87" s="198"/>
    </row>
    <row r="88" spans="1:26" s="12" customFormat="1" x14ac:dyDescent="0.25">
      <c r="A88" s="218" t="s">
        <v>2635</v>
      </c>
      <c r="B88" s="64">
        <v>1.84</v>
      </c>
      <c r="C88" s="64">
        <v>27.4</v>
      </c>
      <c r="D88" s="64">
        <v>17.239999999999998</v>
      </c>
      <c r="E88" s="64">
        <v>0.56999999999999995</v>
      </c>
      <c r="F88" s="64">
        <v>4.5999999999999996</v>
      </c>
      <c r="G88" s="64">
        <v>32.9</v>
      </c>
      <c r="H88" s="64">
        <v>12.17</v>
      </c>
      <c r="I88" s="64">
        <v>0.53</v>
      </c>
      <c r="J88" s="64">
        <v>1.91</v>
      </c>
      <c r="K88" s="64">
        <v>197.52</v>
      </c>
      <c r="L88" s="64">
        <v>25.12</v>
      </c>
      <c r="M88" s="64">
        <v>51.13</v>
      </c>
      <c r="N88" s="64">
        <v>4.9000000000000004</v>
      </c>
      <c r="O88" s="64">
        <v>0</v>
      </c>
      <c r="P88" s="64">
        <v>0.47</v>
      </c>
      <c r="Q88" s="64">
        <v>4.1399999999999997</v>
      </c>
      <c r="R88" s="198"/>
      <c r="S88" s="198"/>
      <c r="T88" s="198"/>
      <c r="U88" s="198"/>
    </row>
    <row r="89" spans="1:26" s="12" customFormat="1" x14ac:dyDescent="0.25">
      <c r="A89" s="218" t="s">
        <v>2636</v>
      </c>
      <c r="B89" s="64">
        <v>1.87</v>
      </c>
      <c r="C89" s="64">
        <v>27.18</v>
      </c>
      <c r="D89" s="64">
        <v>17.149999999999999</v>
      </c>
      <c r="E89" s="64">
        <v>0.7</v>
      </c>
      <c r="F89" s="64">
        <v>4.87</v>
      </c>
      <c r="G89" s="64">
        <v>32.9</v>
      </c>
      <c r="H89" s="64">
        <v>12.17</v>
      </c>
      <c r="I89" s="64">
        <v>0.53</v>
      </c>
      <c r="J89" s="64">
        <v>2.02</v>
      </c>
      <c r="K89" s="64">
        <v>195.18</v>
      </c>
      <c r="L89" s="64">
        <v>24.78</v>
      </c>
      <c r="M89" s="64">
        <v>53.17</v>
      </c>
      <c r="N89" s="64">
        <v>5.3</v>
      </c>
      <c r="O89" s="64">
        <v>0</v>
      </c>
      <c r="P89" s="64">
        <v>0.47</v>
      </c>
      <c r="Q89" s="64">
        <v>4.25</v>
      </c>
      <c r="R89" s="198"/>
      <c r="S89" s="198"/>
      <c r="T89" s="198"/>
      <c r="U89" s="198"/>
    </row>
    <row r="90" spans="1:26" s="12" customFormat="1" x14ac:dyDescent="0.25">
      <c r="A90" s="218" t="s">
        <v>2637</v>
      </c>
      <c r="B90" s="64">
        <v>1.88</v>
      </c>
      <c r="C90" s="64">
        <v>27.05</v>
      </c>
      <c r="D90" s="64">
        <v>17.079999999999998</v>
      </c>
      <c r="E90" s="64">
        <v>0.82</v>
      </c>
      <c r="F90" s="64">
        <v>5.08</v>
      </c>
      <c r="G90" s="64">
        <v>32.9</v>
      </c>
      <c r="H90" s="64">
        <v>12.17</v>
      </c>
      <c r="I90" s="64">
        <v>0.53</v>
      </c>
      <c r="J90" s="64">
        <v>1.31</v>
      </c>
      <c r="K90" s="64">
        <v>203.28</v>
      </c>
      <c r="L90" s="64">
        <v>24.4</v>
      </c>
      <c r="M90" s="64">
        <v>54.96</v>
      </c>
      <c r="N90" s="64">
        <v>5.3</v>
      </c>
      <c r="O90" s="64">
        <v>0</v>
      </c>
      <c r="P90" s="64">
        <v>0.46</v>
      </c>
      <c r="Q90" s="64">
        <v>4.3600000000000003</v>
      </c>
      <c r="R90" s="198"/>
      <c r="S90" s="198"/>
      <c r="T90" s="198"/>
      <c r="U90" s="198"/>
    </row>
    <row r="91" spans="1:26" s="12" customFormat="1" x14ac:dyDescent="0.25">
      <c r="A91" s="218" t="s">
        <v>2638</v>
      </c>
      <c r="B91" s="64">
        <v>2.13</v>
      </c>
      <c r="C91" s="64">
        <v>29.45</v>
      </c>
      <c r="D91" s="64">
        <v>18.600000000000001</v>
      </c>
      <c r="E91" s="64">
        <v>0.57999999999999996</v>
      </c>
      <c r="F91" s="64">
        <v>5.47</v>
      </c>
      <c r="G91" s="64">
        <v>26.33</v>
      </c>
      <c r="H91" s="64">
        <v>11.96</v>
      </c>
      <c r="I91" s="64">
        <v>0.51</v>
      </c>
      <c r="J91" s="64">
        <v>1.27</v>
      </c>
      <c r="K91" s="64">
        <v>199.03</v>
      </c>
      <c r="L91" s="64">
        <v>24.11</v>
      </c>
      <c r="M91" s="64">
        <v>56.39</v>
      </c>
      <c r="N91" s="64">
        <v>5.0999999999999996</v>
      </c>
      <c r="O91" s="64">
        <v>0</v>
      </c>
      <c r="P91" s="64">
        <v>0.45</v>
      </c>
      <c r="Q91" s="64">
        <v>4.87</v>
      </c>
      <c r="R91" s="198"/>
      <c r="S91" s="198"/>
      <c r="T91" s="198"/>
      <c r="U91" s="198"/>
    </row>
    <row r="92" spans="1:26" s="12" customFormat="1" x14ac:dyDescent="0.25">
      <c r="A92" s="218" t="s">
        <v>2639</v>
      </c>
      <c r="B92" s="64">
        <v>2.56</v>
      </c>
      <c r="C92" s="64">
        <v>28.36</v>
      </c>
      <c r="D92" s="64">
        <v>18.350000000000001</v>
      </c>
      <c r="E92" s="64">
        <v>0.75</v>
      </c>
      <c r="F92" s="64">
        <v>5.04</v>
      </c>
      <c r="G92" s="64">
        <v>23.8</v>
      </c>
      <c r="H92" s="64">
        <v>11.95</v>
      </c>
      <c r="I92" s="64">
        <v>0.51</v>
      </c>
      <c r="J92" s="64">
        <v>0.53</v>
      </c>
      <c r="K92" s="64">
        <v>227.54</v>
      </c>
      <c r="L92" s="64">
        <v>23.97</v>
      </c>
      <c r="M92" s="64">
        <v>56.67</v>
      </c>
      <c r="N92" s="64">
        <v>4.9000000000000004</v>
      </c>
      <c r="O92" s="64">
        <v>0</v>
      </c>
      <c r="P92" s="64">
        <v>0.45</v>
      </c>
      <c r="Q92" s="64">
        <v>2.9</v>
      </c>
      <c r="R92" s="198"/>
      <c r="S92" s="198"/>
      <c r="T92" s="198"/>
      <c r="U92" s="198"/>
    </row>
    <row r="93" spans="1:26" s="12" customFormat="1" x14ac:dyDescent="0.25">
      <c r="A93" s="218" t="s">
        <v>2640</v>
      </c>
      <c r="B93" s="64">
        <v>2.79</v>
      </c>
      <c r="C93" s="64">
        <v>28.47</v>
      </c>
      <c r="D93" s="64">
        <v>18.59</v>
      </c>
      <c r="E93" s="64">
        <v>0.51</v>
      </c>
      <c r="F93" s="64">
        <v>6.26</v>
      </c>
      <c r="G93" s="64">
        <v>23.8</v>
      </c>
      <c r="H93" s="64">
        <v>11.95</v>
      </c>
      <c r="I93" s="64">
        <v>0.51</v>
      </c>
      <c r="J93" s="64">
        <v>0.3</v>
      </c>
      <c r="K93" s="64">
        <v>252.17</v>
      </c>
      <c r="L93" s="64">
        <v>23.63</v>
      </c>
      <c r="M93" s="64">
        <v>58.33</v>
      </c>
      <c r="N93" s="64">
        <v>5.0999999999999996</v>
      </c>
      <c r="O93" s="64">
        <v>0</v>
      </c>
      <c r="P93" s="64">
        <v>0.45</v>
      </c>
      <c r="Q93" s="64">
        <v>2.4300000000000002</v>
      </c>
      <c r="R93" s="198"/>
      <c r="S93" s="198"/>
      <c r="T93" s="198"/>
      <c r="U93" s="198"/>
    </row>
    <row r="94" spans="1:26" s="12" customFormat="1" x14ac:dyDescent="0.25">
      <c r="A94" s="218" t="s">
        <v>2641</v>
      </c>
      <c r="B94" s="64">
        <v>3.08</v>
      </c>
      <c r="C94" s="64">
        <v>29.39</v>
      </c>
      <c r="D94" s="64">
        <v>19.34</v>
      </c>
      <c r="E94" s="64">
        <v>0.59</v>
      </c>
      <c r="F94" s="64">
        <v>5.19</v>
      </c>
      <c r="G94" s="64">
        <v>23.8</v>
      </c>
      <c r="H94" s="64">
        <v>11.95</v>
      </c>
      <c r="I94" s="64">
        <v>0.52</v>
      </c>
      <c r="J94" s="64">
        <v>0.05</v>
      </c>
      <c r="K94" s="64">
        <v>308.23</v>
      </c>
      <c r="L94" s="64">
        <v>23.27</v>
      </c>
      <c r="M94" s="64">
        <v>59.34</v>
      </c>
      <c r="N94" s="64">
        <v>5</v>
      </c>
      <c r="O94" s="64">
        <v>0</v>
      </c>
      <c r="P94" s="64">
        <v>0.45</v>
      </c>
      <c r="Q94" s="64">
        <v>2.83</v>
      </c>
      <c r="R94" s="198"/>
      <c r="S94" s="198"/>
      <c r="T94" s="198"/>
      <c r="U94" s="198"/>
    </row>
    <row r="95" spans="1:26" s="12" customFormat="1" x14ac:dyDescent="0.25">
      <c r="A95" s="218" t="s">
        <v>2642</v>
      </c>
      <c r="B95" s="64">
        <v>3.73</v>
      </c>
      <c r="C95" s="64">
        <v>31.28</v>
      </c>
      <c r="D95" s="64">
        <v>20.9</v>
      </c>
      <c r="E95" s="64">
        <v>0.74</v>
      </c>
      <c r="F95" s="64">
        <v>6.27</v>
      </c>
      <c r="G95" s="64">
        <v>24.98</v>
      </c>
      <c r="H95" s="64">
        <v>10.27</v>
      </c>
      <c r="I95" s="64">
        <v>0.52</v>
      </c>
      <c r="J95" s="64">
        <v>1.53</v>
      </c>
      <c r="K95" s="64">
        <v>286.36</v>
      </c>
      <c r="L95" s="64">
        <v>23.24</v>
      </c>
      <c r="M95" s="64">
        <v>58.93</v>
      </c>
      <c r="N95" s="64">
        <v>4.0999999999999996</v>
      </c>
      <c r="O95" s="64">
        <v>0</v>
      </c>
      <c r="P95" s="64">
        <v>0.45</v>
      </c>
      <c r="Q95" s="64">
        <v>4.51</v>
      </c>
      <c r="R95" s="198"/>
      <c r="S95" s="198"/>
      <c r="T95" s="198"/>
      <c r="U95" s="198"/>
    </row>
    <row r="96" spans="1:26" s="12" customFormat="1" x14ac:dyDescent="0.25">
      <c r="A96" s="218" t="s">
        <v>2643</v>
      </c>
      <c r="B96" s="64">
        <v>3.62</v>
      </c>
      <c r="C96" s="64">
        <v>32.79</v>
      </c>
      <c r="D96" s="64">
        <v>21.65</v>
      </c>
      <c r="E96" s="64">
        <v>0.71</v>
      </c>
      <c r="F96" s="64">
        <v>8.9499999999999993</v>
      </c>
      <c r="G96" s="64">
        <v>25.41</v>
      </c>
      <c r="H96" s="64">
        <v>10.220000000000001</v>
      </c>
      <c r="I96" s="64">
        <v>0.52</v>
      </c>
      <c r="J96" s="64">
        <v>2.97</v>
      </c>
      <c r="K96" s="64">
        <v>326.64</v>
      </c>
      <c r="L96" s="64">
        <v>22.99</v>
      </c>
      <c r="M96" s="64">
        <v>58.69</v>
      </c>
      <c r="N96" s="64">
        <v>6.9</v>
      </c>
      <c r="O96" s="64">
        <v>0</v>
      </c>
      <c r="P96" s="64">
        <v>0.46</v>
      </c>
      <c r="Q96" s="64">
        <v>7.81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2644</v>
      </c>
      <c r="B97" s="64">
        <v>2.31</v>
      </c>
      <c r="C97" s="64">
        <v>35.35</v>
      </c>
      <c r="D97" s="64">
        <v>22</v>
      </c>
      <c r="E97" s="64">
        <v>0.73</v>
      </c>
      <c r="F97" s="64">
        <v>7.91</v>
      </c>
      <c r="G97" s="64">
        <v>25.41</v>
      </c>
      <c r="H97" s="64">
        <v>10.220000000000001</v>
      </c>
      <c r="I97" s="64">
        <v>0.51</v>
      </c>
      <c r="J97" s="64">
        <v>3.1</v>
      </c>
      <c r="K97" s="64">
        <v>293.27999999999997</v>
      </c>
      <c r="L97" s="64">
        <v>22.03</v>
      </c>
      <c r="M97" s="64">
        <v>64.25</v>
      </c>
      <c r="N97" s="64">
        <v>6.1</v>
      </c>
      <c r="O97" s="64">
        <v>0</v>
      </c>
      <c r="P97" s="64">
        <v>0.45</v>
      </c>
      <c r="Q97" s="64">
        <v>7.9</v>
      </c>
      <c r="R97" s="198"/>
      <c r="S97" s="198"/>
      <c r="T97" s="198"/>
      <c r="U97" s="198"/>
    </row>
    <row r="98" spans="1:33" s="12" customFormat="1" x14ac:dyDescent="0.25">
      <c r="A98" s="218" t="s">
        <v>2645</v>
      </c>
      <c r="B98" s="64">
        <v>1.98</v>
      </c>
      <c r="C98" s="64">
        <v>35.64</v>
      </c>
      <c r="D98" s="64">
        <v>21.9</v>
      </c>
      <c r="E98" s="64">
        <v>0.69</v>
      </c>
      <c r="F98" s="64">
        <v>10.07</v>
      </c>
      <c r="G98" s="64">
        <v>25.41</v>
      </c>
      <c r="H98" s="64">
        <v>10.220000000000001</v>
      </c>
      <c r="I98" s="64">
        <v>0.51</v>
      </c>
      <c r="J98" s="64">
        <v>3.12</v>
      </c>
      <c r="K98" s="64">
        <v>294.74</v>
      </c>
      <c r="L98" s="64">
        <v>21.75</v>
      </c>
      <c r="M98" s="64">
        <v>67.52</v>
      </c>
      <c r="N98" s="64">
        <v>5.4</v>
      </c>
      <c r="O98" s="64">
        <v>0</v>
      </c>
      <c r="P98" s="64">
        <v>0.45</v>
      </c>
      <c r="Q98" s="64">
        <v>7.57</v>
      </c>
      <c r="R98" s="198"/>
      <c r="S98" s="198"/>
      <c r="T98" s="198"/>
      <c r="U98" s="198"/>
    </row>
    <row r="99" spans="1:33" s="12" customFormat="1" x14ac:dyDescent="0.25">
      <c r="A99" s="218" t="s">
        <v>2646</v>
      </c>
      <c r="B99" s="64">
        <v>1.97</v>
      </c>
      <c r="C99" s="64">
        <v>35.119999999999997</v>
      </c>
      <c r="D99" s="64">
        <v>21.6</v>
      </c>
      <c r="E99" s="64">
        <v>0.91</v>
      </c>
      <c r="F99" s="64">
        <v>10.06</v>
      </c>
      <c r="G99" s="64">
        <v>35.71</v>
      </c>
      <c r="H99" s="64">
        <v>9.1999999999999993</v>
      </c>
      <c r="I99" s="64">
        <v>0.5</v>
      </c>
      <c r="J99" s="64">
        <v>3.04</v>
      </c>
      <c r="K99" s="64">
        <v>291.61</v>
      </c>
      <c r="L99" s="64">
        <v>21.31</v>
      </c>
      <c r="M99" s="64">
        <v>69.91</v>
      </c>
      <c r="N99" s="64">
        <v>6.5</v>
      </c>
      <c r="O99" s="64">
        <v>0</v>
      </c>
      <c r="P99" s="64">
        <v>0.45</v>
      </c>
      <c r="Q99" s="64">
        <v>7.02</v>
      </c>
      <c r="R99" s="198"/>
      <c r="S99" s="198"/>
      <c r="T99" s="198"/>
      <c r="U99" s="198"/>
    </row>
    <row r="100" spans="1:33" s="12" customFormat="1" x14ac:dyDescent="0.25">
      <c r="A100" s="218" t="s">
        <v>2647</v>
      </c>
      <c r="B100" s="64">
        <v>2.38</v>
      </c>
      <c r="C100" s="64">
        <v>34.69</v>
      </c>
      <c r="D100" s="64">
        <v>21.7</v>
      </c>
      <c r="E100" s="64">
        <v>1.0900000000000001</v>
      </c>
      <c r="F100" s="64">
        <v>9.18</v>
      </c>
      <c r="G100" s="64">
        <v>39.450000000000003</v>
      </c>
      <c r="H100" s="64">
        <v>9.16</v>
      </c>
      <c r="I100" s="64">
        <v>0.49</v>
      </c>
      <c r="J100" s="64">
        <v>2.06</v>
      </c>
      <c r="K100" s="64">
        <v>318.27999999999997</v>
      </c>
      <c r="L100" s="64">
        <v>20.61</v>
      </c>
      <c r="M100" s="64">
        <v>73.349999999999994</v>
      </c>
      <c r="N100" s="64">
        <v>6.1</v>
      </c>
      <c r="O100" s="64">
        <v>0</v>
      </c>
      <c r="P100" s="64">
        <v>0.43</v>
      </c>
      <c r="Q100" s="64">
        <v>6.33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2648</v>
      </c>
      <c r="B101" s="64">
        <v>2.02</v>
      </c>
      <c r="C101" s="64">
        <v>35.1</v>
      </c>
      <c r="D101" s="64">
        <v>21.63</v>
      </c>
      <c r="E101" s="64">
        <v>1.04</v>
      </c>
      <c r="F101" s="64">
        <v>8.15</v>
      </c>
      <c r="G101" s="64">
        <v>39.450000000000003</v>
      </c>
      <c r="H101" s="64">
        <v>9.16</v>
      </c>
      <c r="I101" s="64">
        <v>0.49</v>
      </c>
      <c r="J101" s="64">
        <v>1.1200000000000001</v>
      </c>
      <c r="K101" s="64">
        <v>334.29</v>
      </c>
      <c r="L101" s="64">
        <v>20.3</v>
      </c>
      <c r="M101" s="64">
        <v>74.87</v>
      </c>
      <c r="N101" s="64">
        <v>5.3</v>
      </c>
      <c r="O101" s="64">
        <v>0</v>
      </c>
      <c r="P101" s="64">
        <v>0.43</v>
      </c>
      <c r="Q101" s="64">
        <v>6.42</v>
      </c>
      <c r="R101" s="198"/>
      <c r="S101" s="198"/>
      <c r="T101" s="198"/>
      <c r="U101" s="198"/>
    </row>
    <row r="102" spans="1:33" s="12" customFormat="1" x14ac:dyDescent="0.25">
      <c r="A102" s="218" t="s">
        <v>2649</v>
      </c>
      <c r="B102" s="64">
        <v>2</v>
      </c>
      <c r="C102" s="64">
        <v>38.08</v>
      </c>
      <c r="D102" s="64">
        <v>23.27</v>
      </c>
      <c r="E102" s="64">
        <v>0.59</v>
      </c>
      <c r="F102" s="64">
        <v>6.86</v>
      </c>
      <c r="G102" s="64">
        <v>39.450000000000003</v>
      </c>
      <c r="H102" s="64">
        <v>9.16</v>
      </c>
      <c r="I102" s="64">
        <v>0.48</v>
      </c>
      <c r="J102" s="64">
        <v>0.13</v>
      </c>
      <c r="K102" s="64">
        <v>113.14</v>
      </c>
      <c r="L102" s="64">
        <v>20.34</v>
      </c>
      <c r="M102" s="64">
        <v>67.040000000000006</v>
      </c>
      <c r="N102" s="64">
        <v>4.5</v>
      </c>
      <c r="O102" s="64">
        <v>0</v>
      </c>
      <c r="P102" s="64">
        <v>0.43</v>
      </c>
      <c r="Q102" s="64">
        <v>8.9600000000000009</v>
      </c>
      <c r="R102" s="198"/>
      <c r="S102" s="198"/>
      <c r="T102" s="198"/>
      <c r="U102" s="198"/>
    </row>
    <row r="103" spans="1:33" s="12" customFormat="1" x14ac:dyDescent="0.25">
      <c r="A103" s="218" t="s">
        <v>2650</v>
      </c>
      <c r="B103" s="64">
        <v>2.37</v>
      </c>
      <c r="C103" s="64">
        <v>39.479999999999997</v>
      </c>
      <c r="D103" s="64">
        <v>24.33</v>
      </c>
      <c r="E103" s="64">
        <v>0.89</v>
      </c>
      <c r="F103" s="64">
        <v>6.77</v>
      </c>
      <c r="G103" s="64">
        <v>38.56</v>
      </c>
      <c r="H103" s="64">
        <v>8.32</v>
      </c>
      <c r="I103" s="64">
        <v>0.49</v>
      </c>
      <c r="J103" s="64">
        <v>0.23</v>
      </c>
      <c r="K103" s="64">
        <v>120.91</v>
      </c>
      <c r="L103" s="64">
        <v>20.41</v>
      </c>
      <c r="M103" s="64">
        <v>62.95</v>
      </c>
      <c r="N103" s="64">
        <v>4.7</v>
      </c>
      <c r="O103" s="64">
        <v>0</v>
      </c>
      <c r="P103" s="64">
        <v>0.44</v>
      </c>
      <c r="Q103" s="64">
        <v>8.93</v>
      </c>
      <c r="R103" s="198"/>
      <c r="S103" s="198"/>
      <c r="T103" s="198"/>
      <c r="U103" s="198"/>
    </row>
    <row r="104" spans="1:33" s="12" customFormat="1" x14ac:dyDescent="0.25">
      <c r="A104" s="218" t="s">
        <v>2651</v>
      </c>
      <c r="B104" s="64">
        <v>2.72</v>
      </c>
      <c r="C104" s="64">
        <v>36.72</v>
      </c>
      <c r="D104" s="64">
        <v>23.09</v>
      </c>
      <c r="E104" s="64">
        <v>0.42</v>
      </c>
      <c r="F104" s="64">
        <v>3.8</v>
      </c>
      <c r="G104" s="64">
        <v>38.21</v>
      </c>
      <c r="H104" s="64">
        <v>8.2799999999999994</v>
      </c>
      <c r="I104" s="64">
        <v>0.49</v>
      </c>
      <c r="J104" s="64">
        <v>1.8</v>
      </c>
      <c r="K104" s="64">
        <v>135.52000000000001</v>
      </c>
      <c r="L104" s="64">
        <v>20.07</v>
      </c>
      <c r="M104" s="64">
        <v>62.64</v>
      </c>
      <c r="N104" s="64">
        <v>4.9000000000000004</v>
      </c>
      <c r="O104" s="64">
        <v>0</v>
      </c>
      <c r="P104" s="64">
        <v>0.43</v>
      </c>
      <c r="Q104" s="64">
        <v>10.58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1.43</v>
      </c>
      <c r="C106" s="67">
        <f>MIN(C9:C104)</f>
        <v>20.27</v>
      </c>
      <c r="D106" s="67">
        <f t="shared" ref="D106:Q106" si="0">MIN(D9:D104)</f>
        <v>13.7</v>
      </c>
      <c r="E106" s="67">
        <f t="shared" si="0"/>
        <v>0.42</v>
      </c>
      <c r="F106" s="67">
        <f t="shared" si="0"/>
        <v>2.16</v>
      </c>
      <c r="G106" s="67">
        <f t="shared" si="0"/>
        <v>18.55</v>
      </c>
      <c r="H106" s="67">
        <f t="shared" si="0"/>
        <v>6.19</v>
      </c>
      <c r="I106" s="67">
        <f t="shared" si="0"/>
        <v>0.43</v>
      </c>
      <c r="J106" s="67">
        <f t="shared" si="0"/>
        <v>0.05</v>
      </c>
      <c r="K106" s="67">
        <f t="shared" si="0"/>
        <v>18.670000000000002</v>
      </c>
      <c r="L106" s="67">
        <f t="shared" si="0"/>
        <v>19.37</v>
      </c>
      <c r="M106" s="67">
        <f t="shared" si="0"/>
        <v>35.369999999999997</v>
      </c>
      <c r="N106" s="67">
        <f t="shared" si="0"/>
        <v>4.0999999999999996</v>
      </c>
      <c r="O106" s="67">
        <f t="shared" si="0"/>
        <v>0</v>
      </c>
      <c r="P106" s="67">
        <f t="shared" si="0"/>
        <v>0.33</v>
      </c>
      <c r="Q106" s="67">
        <f t="shared" si="0"/>
        <v>0.01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8.5399999999999991</v>
      </c>
      <c r="C107" s="66">
        <f t="shared" ref="C107:Q107" si="1">MAX(C9:C104)</f>
        <v>47.79</v>
      </c>
      <c r="D107" s="66">
        <f t="shared" si="1"/>
        <v>33.659999999999997</v>
      </c>
      <c r="E107" s="66">
        <f t="shared" si="1"/>
        <v>8.9600000000000009</v>
      </c>
      <c r="F107" s="66">
        <f t="shared" si="1"/>
        <v>39.15</v>
      </c>
      <c r="G107" s="66">
        <f t="shared" si="1"/>
        <v>39.450000000000003</v>
      </c>
      <c r="H107" s="66">
        <f t="shared" si="1"/>
        <v>15.54</v>
      </c>
      <c r="I107" s="66">
        <f t="shared" si="1"/>
        <v>0.54</v>
      </c>
      <c r="J107" s="66">
        <f t="shared" si="1"/>
        <v>3.12</v>
      </c>
      <c r="K107" s="66">
        <f t="shared" si="1"/>
        <v>355.9</v>
      </c>
      <c r="L107" s="66">
        <f t="shared" si="1"/>
        <v>34.65</v>
      </c>
      <c r="M107" s="66">
        <f t="shared" si="1"/>
        <v>74.87</v>
      </c>
      <c r="N107" s="66">
        <f t="shared" si="1"/>
        <v>891</v>
      </c>
      <c r="O107" s="66">
        <f t="shared" si="1"/>
        <v>0</v>
      </c>
      <c r="P107" s="66">
        <f t="shared" si="1"/>
        <v>0.57999999999999996</v>
      </c>
      <c r="Q107" s="66">
        <f t="shared" si="1"/>
        <v>27.25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3.5160416666666667</v>
      </c>
      <c r="C108" s="67">
        <f t="shared" ref="C108:Q108" si="2">AVERAGE(C9:C104)</f>
        <v>33.662395833333328</v>
      </c>
      <c r="D108" s="67">
        <f t="shared" si="2"/>
        <v>22.042708333333334</v>
      </c>
      <c r="E108" s="67">
        <f t="shared" si="2"/>
        <v>2.0958333333333332</v>
      </c>
      <c r="F108" s="67">
        <f t="shared" si="2"/>
        <v>9.4704166666666687</v>
      </c>
      <c r="G108" s="67">
        <f t="shared" si="2"/>
        <v>27.07364583333332</v>
      </c>
      <c r="H108" s="67">
        <f t="shared" si="2"/>
        <v>10.487291666666662</v>
      </c>
      <c r="I108" s="67">
        <f t="shared" si="2"/>
        <v>0.510625</v>
      </c>
      <c r="J108" s="67">
        <f t="shared" si="2"/>
        <v>0.94802083333333309</v>
      </c>
      <c r="K108" s="67">
        <f t="shared" si="2"/>
        <v>195.08281250000002</v>
      </c>
      <c r="L108" s="67">
        <f t="shared" si="2"/>
        <v>24.9259375</v>
      </c>
      <c r="M108" s="67">
        <f t="shared" si="2"/>
        <v>56.222708333333323</v>
      </c>
      <c r="N108" s="67">
        <f t="shared" si="2"/>
        <v>244.43437499999996</v>
      </c>
      <c r="O108" s="67">
        <f t="shared" si="2"/>
        <v>0</v>
      </c>
      <c r="P108" s="67">
        <f t="shared" si="2"/>
        <v>0.42104166666666681</v>
      </c>
      <c r="Q108" s="67">
        <f t="shared" si="2"/>
        <v>13.324361702127655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1.7025537964553621</v>
      </c>
      <c r="C109" s="67">
        <f t="shared" ref="C109:Q109" si="3">STDEV(C9:C104)</f>
        <v>6.7580035583224376</v>
      </c>
      <c r="D109" s="67">
        <f t="shared" si="3"/>
        <v>4.7760079077706665</v>
      </c>
      <c r="E109" s="67">
        <f t="shared" si="3"/>
        <v>1.4139430991801967</v>
      </c>
      <c r="F109" s="67">
        <f t="shared" si="3"/>
        <v>7.2323499735805683</v>
      </c>
      <c r="G109" s="67">
        <f t="shared" si="3"/>
        <v>4.8137760907830476</v>
      </c>
      <c r="H109" s="67">
        <f t="shared" si="3"/>
        <v>2.098002297508494</v>
      </c>
      <c r="I109" s="67">
        <f t="shared" si="3"/>
        <v>2.1166632131481716E-2</v>
      </c>
      <c r="J109" s="67">
        <f t="shared" si="3"/>
        <v>0.66711573964921567</v>
      </c>
      <c r="K109" s="67">
        <f t="shared" si="3"/>
        <v>79.383922178408554</v>
      </c>
      <c r="L109" s="67">
        <f t="shared" si="3"/>
        <v>4.7028084729122082</v>
      </c>
      <c r="M109" s="67">
        <f t="shared" si="3"/>
        <v>13.316944052728816</v>
      </c>
      <c r="N109" s="67">
        <f t="shared" si="3"/>
        <v>318.89557895901487</v>
      </c>
      <c r="O109" s="67">
        <f t="shared" si="3"/>
        <v>0</v>
      </c>
      <c r="P109" s="67">
        <f t="shared" si="3"/>
        <v>7.164942673097284E-2</v>
      </c>
      <c r="Q109" s="67">
        <f t="shared" si="3"/>
        <v>10.390345141949819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26" sqref="J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2653</v>
      </c>
      <c r="B9" s="64">
        <v>2.85</v>
      </c>
      <c r="C9" s="64">
        <v>35.81</v>
      </c>
      <c r="D9" s="64">
        <v>22.7</v>
      </c>
      <c r="E9" s="64">
        <v>0.96</v>
      </c>
      <c r="F9" s="64">
        <v>5.14</v>
      </c>
      <c r="G9" s="64">
        <v>38.21</v>
      </c>
      <c r="H9" s="64">
        <v>8.2799999999999994</v>
      </c>
      <c r="I9" s="64">
        <v>0.49</v>
      </c>
      <c r="J9" s="64">
        <v>2.7</v>
      </c>
      <c r="K9" s="64">
        <v>144.02000000000001</v>
      </c>
      <c r="L9" s="64">
        <v>20.27</v>
      </c>
      <c r="M9" s="64">
        <v>63.83</v>
      </c>
      <c r="N9" s="64">
        <v>4.3</v>
      </c>
      <c r="O9" s="64">
        <v>0</v>
      </c>
      <c r="P9" s="64">
        <v>0.42</v>
      </c>
      <c r="Q9" s="64">
        <v>13.8</v>
      </c>
      <c r="R9" s="198"/>
      <c r="S9" s="198"/>
      <c r="T9" s="198"/>
      <c r="U9" s="198"/>
    </row>
    <row r="10" spans="1:21" s="12" customFormat="1" x14ac:dyDescent="0.25">
      <c r="A10" s="218" t="s">
        <v>2654</v>
      </c>
      <c r="B10" s="64">
        <v>2.88</v>
      </c>
      <c r="C10" s="64">
        <v>33.94</v>
      </c>
      <c r="D10" s="64">
        <v>21.69</v>
      </c>
      <c r="E10" s="64">
        <v>0.85</v>
      </c>
      <c r="F10" s="64">
        <v>5.28</v>
      </c>
      <c r="G10" s="64">
        <v>38.21</v>
      </c>
      <c r="H10" s="64">
        <v>8.2799999999999994</v>
      </c>
      <c r="I10" s="64">
        <v>0.5</v>
      </c>
      <c r="J10" s="64">
        <v>2.42</v>
      </c>
      <c r="K10" s="64">
        <v>143.56</v>
      </c>
      <c r="L10" s="64">
        <v>20.329999999999998</v>
      </c>
      <c r="M10" s="64">
        <v>67.790000000000006</v>
      </c>
      <c r="N10" s="64">
        <v>4.8</v>
      </c>
      <c r="O10" s="64">
        <v>0</v>
      </c>
      <c r="P10" s="64">
        <v>0.4</v>
      </c>
      <c r="Q10" s="64">
        <v>16.239999999999998</v>
      </c>
      <c r="R10" s="198"/>
      <c r="S10" s="198"/>
      <c r="T10" s="198"/>
      <c r="U10" s="198"/>
    </row>
    <row r="11" spans="1:21" s="12" customFormat="1" x14ac:dyDescent="0.25">
      <c r="A11" s="218" t="s">
        <v>2655</v>
      </c>
      <c r="B11" s="64">
        <v>2.78</v>
      </c>
      <c r="C11" s="64">
        <v>32.92</v>
      </c>
      <c r="D11" s="64">
        <v>21.04</v>
      </c>
      <c r="E11" s="64">
        <v>1.21</v>
      </c>
      <c r="F11" s="64">
        <v>4.67</v>
      </c>
      <c r="G11" s="64">
        <v>32.14</v>
      </c>
      <c r="H11" s="64">
        <v>9.0299999999999994</v>
      </c>
      <c r="I11" s="64">
        <v>0.5</v>
      </c>
      <c r="J11" s="64">
        <v>2.6</v>
      </c>
      <c r="K11" s="64">
        <v>138.91</v>
      </c>
      <c r="L11" s="64">
        <v>19.97</v>
      </c>
      <c r="M11" s="64">
        <v>68.489999999999995</v>
      </c>
      <c r="N11" s="64">
        <v>5.3</v>
      </c>
      <c r="O11" s="64">
        <v>0</v>
      </c>
      <c r="P11" s="64">
        <v>0.39</v>
      </c>
      <c r="Q11" s="64">
        <v>17.91</v>
      </c>
      <c r="R11" s="198"/>
      <c r="S11" s="198"/>
      <c r="T11" s="198"/>
      <c r="U11" s="198"/>
    </row>
    <row r="12" spans="1:21" s="12" customFormat="1" x14ac:dyDescent="0.25">
      <c r="A12" s="218" t="s">
        <v>2656</v>
      </c>
      <c r="B12" s="64">
        <v>2.66</v>
      </c>
      <c r="C12" s="64">
        <v>32.700000000000003</v>
      </c>
      <c r="D12" s="64">
        <v>20.83</v>
      </c>
      <c r="E12" s="64">
        <v>1.27</v>
      </c>
      <c r="F12" s="64">
        <v>4.84</v>
      </c>
      <c r="G12" s="64">
        <v>29.93</v>
      </c>
      <c r="H12" s="64">
        <v>9.06</v>
      </c>
      <c r="I12" s="64">
        <v>0.51</v>
      </c>
      <c r="J12" s="64">
        <v>2.84</v>
      </c>
      <c r="K12" s="64">
        <v>139.22999999999999</v>
      </c>
      <c r="L12" s="64">
        <v>19.77</v>
      </c>
      <c r="M12" s="64">
        <v>66.03</v>
      </c>
      <c r="N12" s="64">
        <v>4.8</v>
      </c>
      <c r="O12" s="64">
        <v>0</v>
      </c>
      <c r="P12" s="64">
        <v>0.38</v>
      </c>
      <c r="Q12" s="64">
        <v>20.65</v>
      </c>
      <c r="R12" s="198"/>
      <c r="S12" s="198"/>
      <c r="T12" s="198"/>
      <c r="U12" s="198"/>
    </row>
    <row r="13" spans="1:21" s="12" customFormat="1" x14ac:dyDescent="0.25">
      <c r="A13" s="218" t="s">
        <v>2657</v>
      </c>
      <c r="B13" s="64">
        <v>2.5</v>
      </c>
      <c r="C13" s="64">
        <v>33.25</v>
      </c>
      <c r="D13" s="64">
        <v>21</v>
      </c>
      <c r="E13" s="64">
        <v>0.76</v>
      </c>
      <c r="F13" s="64">
        <v>4.79</v>
      </c>
      <c r="G13" s="64">
        <v>29.93</v>
      </c>
      <c r="H13" s="64">
        <v>9.06</v>
      </c>
      <c r="I13" s="64">
        <v>0.51</v>
      </c>
      <c r="J13" s="64">
        <v>2.06</v>
      </c>
      <c r="K13" s="64">
        <v>136.86000000000001</v>
      </c>
      <c r="L13" s="64">
        <v>19.8</v>
      </c>
      <c r="M13" s="64">
        <v>65.22</v>
      </c>
      <c r="N13" s="64">
        <v>4.8</v>
      </c>
      <c r="O13" s="64">
        <v>0</v>
      </c>
      <c r="P13" s="64">
        <v>0.36</v>
      </c>
      <c r="Q13" s="64">
        <v>22.08</v>
      </c>
      <c r="R13" s="198"/>
      <c r="S13" s="198"/>
      <c r="T13" s="198"/>
      <c r="U13" s="198"/>
    </row>
    <row r="14" spans="1:21" s="12" customFormat="1" x14ac:dyDescent="0.25">
      <c r="A14" s="218" t="s">
        <v>2658</v>
      </c>
      <c r="B14" s="64">
        <v>2.36</v>
      </c>
      <c r="C14" s="64">
        <v>31.04</v>
      </c>
      <c r="D14" s="64">
        <v>19.670000000000002</v>
      </c>
      <c r="E14" s="64">
        <v>0.55000000000000004</v>
      </c>
      <c r="F14" s="64">
        <v>4.6500000000000004</v>
      </c>
      <c r="G14" s="64">
        <v>29.93</v>
      </c>
      <c r="H14" s="64">
        <v>9.06</v>
      </c>
      <c r="I14" s="64">
        <v>0.51</v>
      </c>
      <c r="J14" s="64">
        <v>1.71</v>
      </c>
      <c r="K14" s="64">
        <v>142.91</v>
      </c>
      <c r="L14" s="64">
        <v>19.7</v>
      </c>
      <c r="M14" s="64">
        <v>66.11</v>
      </c>
      <c r="N14" s="64">
        <v>4.8</v>
      </c>
      <c r="O14" s="64">
        <v>0</v>
      </c>
      <c r="P14" s="64">
        <v>0.35</v>
      </c>
      <c r="Q14" s="64">
        <v>20.84</v>
      </c>
      <c r="R14" s="198"/>
      <c r="S14" s="198"/>
      <c r="T14" s="198"/>
      <c r="U14" s="198"/>
    </row>
    <row r="15" spans="1:21" s="12" customFormat="1" x14ac:dyDescent="0.25">
      <c r="A15" s="218" t="s">
        <v>2659</v>
      </c>
      <c r="B15" s="64">
        <v>2.31</v>
      </c>
      <c r="C15" s="64">
        <v>30.87</v>
      </c>
      <c r="D15" s="64">
        <v>19.53</v>
      </c>
      <c r="E15" s="64">
        <v>0.49</v>
      </c>
      <c r="F15" s="64">
        <v>4.74</v>
      </c>
      <c r="G15" s="64">
        <v>23.2</v>
      </c>
      <c r="H15" s="64">
        <v>7.2</v>
      </c>
      <c r="I15" s="64">
        <v>0.5</v>
      </c>
      <c r="J15" s="64">
        <v>2.12</v>
      </c>
      <c r="K15" s="64">
        <v>137.81</v>
      </c>
      <c r="L15" s="64">
        <v>20.12</v>
      </c>
      <c r="M15" s="64">
        <v>62.74</v>
      </c>
      <c r="N15" s="64">
        <v>4.2</v>
      </c>
      <c r="O15" s="64">
        <v>0</v>
      </c>
      <c r="P15" s="64">
        <v>0.35</v>
      </c>
      <c r="Q15" s="64">
        <v>21.72</v>
      </c>
      <c r="R15" s="198"/>
      <c r="S15" s="198"/>
      <c r="T15" s="198"/>
      <c r="U15" s="198"/>
    </row>
    <row r="16" spans="1:21" s="12" customFormat="1" x14ac:dyDescent="0.25">
      <c r="A16" s="218" t="s">
        <v>2660</v>
      </c>
      <c r="B16" s="64">
        <v>2.29</v>
      </c>
      <c r="C16" s="64">
        <v>31.21</v>
      </c>
      <c r="D16" s="64">
        <v>19.7</v>
      </c>
      <c r="E16" s="64">
        <v>0.54</v>
      </c>
      <c r="F16" s="64">
        <v>5.14</v>
      </c>
      <c r="G16" s="64">
        <v>20.6</v>
      </c>
      <c r="H16" s="64">
        <v>7.14</v>
      </c>
      <c r="I16" s="64">
        <v>0.5</v>
      </c>
      <c r="J16" s="64">
        <v>1.54</v>
      </c>
      <c r="K16" s="64">
        <v>122.25</v>
      </c>
      <c r="L16" s="64">
        <v>20.55</v>
      </c>
      <c r="M16" s="64">
        <v>59.73</v>
      </c>
      <c r="N16" s="64">
        <v>4.5</v>
      </c>
      <c r="O16" s="64">
        <v>0</v>
      </c>
      <c r="P16" s="64">
        <v>0.33</v>
      </c>
      <c r="Q16" s="64">
        <v>22.08</v>
      </c>
      <c r="R16" s="198"/>
      <c r="S16" s="198"/>
      <c r="T16" s="198"/>
      <c r="U16" s="198"/>
    </row>
    <row r="17" spans="1:21" s="12" customFormat="1" x14ac:dyDescent="0.25">
      <c r="A17" s="218" t="s">
        <v>2661</v>
      </c>
      <c r="B17" s="64">
        <v>2.2799999999999998</v>
      </c>
      <c r="C17" s="64">
        <v>30.25</v>
      </c>
      <c r="D17" s="64">
        <v>19.170000000000002</v>
      </c>
      <c r="E17" s="64">
        <v>0.81</v>
      </c>
      <c r="F17" s="64">
        <v>4.67</v>
      </c>
      <c r="G17" s="64">
        <v>20.6</v>
      </c>
      <c r="H17" s="64">
        <v>7.14</v>
      </c>
      <c r="I17" s="64">
        <v>0.5</v>
      </c>
      <c r="J17" s="64">
        <v>0.76</v>
      </c>
      <c r="K17" s="64">
        <v>155.37</v>
      </c>
      <c r="L17" s="64">
        <v>20.63</v>
      </c>
      <c r="M17" s="64">
        <v>58.75</v>
      </c>
      <c r="N17" s="64">
        <v>4.8</v>
      </c>
      <c r="O17" s="64">
        <v>0</v>
      </c>
      <c r="P17" s="64">
        <v>0.33</v>
      </c>
      <c r="Q17" s="64">
        <v>21.08</v>
      </c>
      <c r="R17" s="198"/>
      <c r="S17" s="198"/>
      <c r="T17" s="198"/>
      <c r="U17" s="198"/>
    </row>
    <row r="18" spans="1:21" s="12" customFormat="1" x14ac:dyDescent="0.25">
      <c r="A18" s="218" t="s">
        <v>2662</v>
      </c>
      <c r="B18" s="64">
        <v>2.27</v>
      </c>
      <c r="C18" s="64">
        <v>33.1</v>
      </c>
      <c r="D18" s="64">
        <v>20.74</v>
      </c>
      <c r="E18" s="64">
        <v>0.82</v>
      </c>
      <c r="F18" s="64">
        <v>5.2</v>
      </c>
      <c r="G18" s="64">
        <v>20.6</v>
      </c>
      <c r="H18" s="64">
        <v>7.14</v>
      </c>
      <c r="I18" s="64">
        <v>0.5</v>
      </c>
      <c r="J18" s="64">
        <v>0.87</v>
      </c>
      <c r="K18" s="64">
        <v>140.94999999999999</v>
      </c>
      <c r="L18" s="64">
        <v>20.52</v>
      </c>
      <c r="M18" s="64">
        <v>59.12</v>
      </c>
      <c r="N18" s="64">
        <v>5</v>
      </c>
      <c r="O18" s="64">
        <v>0</v>
      </c>
      <c r="P18" s="64">
        <v>0.32</v>
      </c>
      <c r="Q18" s="64">
        <v>22.27</v>
      </c>
      <c r="R18" s="198"/>
      <c r="S18" s="198"/>
      <c r="T18" s="198"/>
      <c r="U18" s="198"/>
    </row>
    <row r="19" spans="1:21" s="12" customFormat="1" x14ac:dyDescent="0.25">
      <c r="A19" s="218" t="s">
        <v>2663</v>
      </c>
      <c r="B19" s="64">
        <v>2.41</v>
      </c>
      <c r="C19" s="64">
        <v>32.86</v>
      </c>
      <c r="D19" s="64">
        <v>20.71</v>
      </c>
      <c r="E19" s="64">
        <v>1.05</v>
      </c>
      <c r="F19" s="64">
        <v>5.29</v>
      </c>
      <c r="G19" s="64">
        <v>17.420000000000002</v>
      </c>
      <c r="H19" s="64">
        <v>5.21</v>
      </c>
      <c r="I19" s="64">
        <v>0.5</v>
      </c>
      <c r="J19" s="64">
        <v>1.1499999999999999</v>
      </c>
      <c r="K19" s="64">
        <v>223.38</v>
      </c>
      <c r="L19" s="64">
        <v>20.52</v>
      </c>
      <c r="M19" s="64">
        <v>59.39</v>
      </c>
      <c r="N19" s="64">
        <v>4.7</v>
      </c>
      <c r="O19" s="64">
        <v>0</v>
      </c>
      <c r="P19" s="64">
        <v>0.32</v>
      </c>
      <c r="Q19" s="64">
        <v>19.72</v>
      </c>
      <c r="R19" s="198"/>
      <c r="S19" s="198"/>
      <c r="T19" s="198"/>
      <c r="U19" s="198"/>
    </row>
    <row r="20" spans="1:21" s="12" customFormat="1" x14ac:dyDescent="0.25">
      <c r="A20" s="218" t="s">
        <v>2664</v>
      </c>
      <c r="B20" s="64">
        <v>2.46</v>
      </c>
      <c r="C20" s="64">
        <v>33.380000000000003</v>
      </c>
      <c r="D20" s="64">
        <v>21.04</v>
      </c>
      <c r="E20" s="64">
        <v>1.28</v>
      </c>
      <c r="F20" s="64">
        <v>4.83</v>
      </c>
      <c r="G20" s="64">
        <v>16.2</v>
      </c>
      <c r="H20" s="64">
        <v>5.15</v>
      </c>
      <c r="I20" s="64">
        <v>0.5</v>
      </c>
      <c r="J20" s="64">
        <v>1.3</v>
      </c>
      <c r="K20" s="64">
        <v>208.27</v>
      </c>
      <c r="L20" s="64">
        <v>20.45</v>
      </c>
      <c r="M20" s="64">
        <v>61.1</v>
      </c>
      <c r="N20" s="64">
        <v>5</v>
      </c>
      <c r="O20" s="64">
        <v>0</v>
      </c>
      <c r="P20" s="64">
        <v>0.32</v>
      </c>
      <c r="Q20" s="64">
        <v>19.61</v>
      </c>
      <c r="R20" s="198"/>
      <c r="S20" s="198"/>
      <c r="T20" s="198"/>
      <c r="U20" s="198"/>
    </row>
    <row r="21" spans="1:21" s="12" customFormat="1" x14ac:dyDescent="0.25">
      <c r="A21" s="218" t="s">
        <v>2665</v>
      </c>
      <c r="B21" s="64">
        <v>2.52</v>
      </c>
      <c r="C21" s="64">
        <v>32.950000000000003</v>
      </c>
      <c r="D21" s="64">
        <v>20.85</v>
      </c>
      <c r="E21" s="64">
        <v>1.1100000000000001</v>
      </c>
      <c r="F21" s="64">
        <v>5</v>
      </c>
      <c r="G21" s="64">
        <v>16.2</v>
      </c>
      <c r="H21" s="64">
        <v>5.15</v>
      </c>
      <c r="I21" s="64">
        <v>0.49</v>
      </c>
      <c r="J21" s="64">
        <v>1.43</v>
      </c>
      <c r="K21" s="64">
        <v>213.83</v>
      </c>
      <c r="L21" s="64">
        <v>20.29</v>
      </c>
      <c r="M21" s="64">
        <v>61.9</v>
      </c>
      <c r="N21" s="64">
        <v>4.8</v>
      </c>
      <c r="O21" s="64">
        <v>0</v>
      </c>
      <c r="P21" s="64">
        <v>0.31</v>
      </c>
      <c r="Q21" s="64">
        <v>19.27</v>
      </c>
      <c r="R21" s="198"/>
      <c r="S21" s="198"/>
      <c r="T21" s="198"/>
      <c r="U21" s="198"/>
    </row>
    <row r="22" spans="1:21" s="12" customFormat="1" x14ac:dyDescent="0.25">
      <c r="A22" s="218" t="s">
        <v>2666</v>
      </c>
      <c r="B22" s="64">
        <v>2.62</v>
      </c>
      <c r="C22" s="64">
        <v>33.42</v>
      </c>
      <c r="D22" s="64">
        <v>21.19</v>
      </c>
      <c r="E22" s="64">
        <v>0.88</v>
      </c>
      <c r="F22" s="64">
        <v>4.5599999999999996</v>
      </c>
      <c r="G22" s="64">
        <v>16.2</v>
      </c>
      <c r="H22" s="64">
        <v>5.15</v>
      </c>
      <c r="I22" s="64">
        <v>0.5</v>
      </c>
      <c r="J22" s="64">
        <v>1.54</v>
      </c>
      <c r="K22" s="64">
        <v>219.65</v>
      </c>
      <c r="L22" s="64">
        <v>20.170000000000002</v>
      </c>
      <c r="M22" s="64">
        <v>62.75</v>
      </c>
      <c r="N22" s="64">
        <v>5</v>
      </c>
      <c r="O22" s="64">
        <v>0</v>
      </c>
      <c r="P22" s="64">
        <v>0.31</v>
      </c>
      <c r="Q22" s="64">
        <v>20.64</v>
      </c>
      <c r="R22" s="198"/>
      <c r="S22" s="198"/>
      <c r="T22" s="198"/>
      <c r="U22" s="198"/>
    </row>
    <row r="23" spans="1:21" s="12" customFormat="1" x14ac:dyDescent="0.25">
      <c r="A23" s="218" t="s">
        <v>2667</v>
      </c>
      <c r="B23" s="64">
        <v>2.75</v>
      </c>
      <c r="C23" s="64">
        <v>38.5</v>
      </c>
      <c r="D23" s="64">
        <v>24.1</v>
      </c>
      <c r="E23" s="64">
        <v>0.78</v>
      </c>
      <c r="F23" s="64">
        <v>4.34</v>
      </c>
      <c r="G23" s="64">
        <v>12.17</v>
      </c>
      <c r="H23" s="64">
        <v>3.69</v>
      </c>
      <c r="I23" s="64">
        <v>0.5</v>
      </c>
      <c r="J23" s="64">
        <v>0.71</v>
      </c>
      <c r="K23" s="64">
        <v>236.3</v>
      </c>
      <c r="L23" s="64">
        <v>19.91</v>
      </c>
      <c r="M23" s="64">
        <v>65.010000000000005</v>
      </c>
      <c r="N23" s="64">
        <v>5</v>
      </c>
      <c r="O23" s="64">
        <v>0</v>
      </c>
      <c r="P23" s="64">
        <v>0.3</v>
      </c>
      <c r="Q23" s="64">
        <v>24.09</v>
      </c>
      <c r="R23" s="198"/>
      <c r="S23" s="198"/>
      <c r="T23" s="198"/>
      <c r="U23" s="198"/>
    </row>
    <row r="24" spans="1:21" s="12" customFormat="1" x14ac:dyDescent="0.25">
      <c r="A24" s="218" t="s">
        <v>2668</v>
      </c>
      <c r="B24" s="64">
        <v>2.74</v>
      </c>
      <c r="C24" s="64">
        <v>36.35</v>
      </c>
      <c r="D24" s="64">
        <v>22.9</v>
      </c>
      <c r="E24" s="64">
        <v>1.17</v>
      </c>
      <c r="F24" s="64">
        <v>4.29</v>
      </c>
      <c r="G24" s="64">
        <v>10.62</v>
      </c>
      <c r="H24" s="64">
        <v>3.62</v>
      </c>
      <c r="I24" s="64">
        <v>0.5</v>
      </c>
      <c r="J24" s="64">
        <v>0.35</v>
      </c>
      <c r="K24" s="64">
        <v>235.49</v>
      </c>
      <c r="L24" s="64">
        <v>19.55</v>
      </c>
      <c r="M24" s="64">
        <v>68.11</v>
      </c>
      <c r="N24" s="64">
        <v>5</v>
      </c>
      <c r="O24" s="64">
        <v>0</v>
      </c>
      <c r="P24" s="64">
        <v>0.3</v>
      </c>
      <c r="Q24" s="64">
        <v>23.04</v>
      </c>
      <c r="R24" s="198"/>
      <c r="S24" s="198"/>
      <c r="T24" s="198"/>
      <c r="U24" s="198"/>
    </row>
    <row r="25" spans="1:21" s="12" customFormat="1" x14ac:dyDescent="0.25">
      <c r="A25" s="218" t="s">
        <v>2669</v>
      </c>
      <c r="B25" s="64">
        <v>2.68</v>
      </c>
      <c r="C25" s="64">
        <v>34.72</v>
      </c>
      <c r="D25" s="64">
        <v>21.96</v>
      </c>
      <c r="E25" s="64">
        <v>1.75</v>
      </c>
      <c r="F25" s="64">
        <v>4.22</v>
      </c>
      <c r="G25" s="64">
        <v>10.62</v>
      </c>
      <c r="H25" s="64">
        <v>3.62</v>
      </c>
      <c r="I25" s="64">
        <v>0.51</v>
      </c>
      <c r="J25" s="64">
        <v>0.19</v>
      </c>
      <c r="K25" s="64">
        <v>276.82</v>
      </c>
      <c r="L25" s="64">
        <v>19.37</v>
      </c>
      <c r="M25" s="64">
        <v>69.63</v>
      </c>
      <c r="N25" s="64">
        <v>4.8</v>
      </c>
      <c r="O25" s="64">
        <v>0</v>
      </c>
      <c r="P25" s="64">
        <v>0.3</v>
      </c>
      <c r="Q25" s="64">
        <v>22.88</v>
      </c>
      <c r="R25" s="198"/>
      <c r="S25" s="198"/>
      <c r="T25" s="198"/>
      <c r="U25" s="198"/>
    </row>
    <row r="26" spans="1:21" s="12" customFormat="1" x14ac:dyDescent="0.25">
      <c r="A26" s="218" t="s">
        <v>2670</v>
      </c>
      <c r="B26" s="64">
        <v>2.72</v>
      </c>
      <c r="C26" s="64">
        <v>33.08</v>
      </c>
      <c r="D26" s="64">
        <v>21.08</v>
      </c>
      <c r="E26" s="64">
        <v>2.04</v>
      </c>
      <c r="F26" s="64">
        <v>4.33</v>
      </c>
      <c r="G26" s="64">
        <v>10.62</v>
      </c>
      <c r="H26" s="64">
        <v>3.62</v>
      </c>
      <c r="I26" s="64">
        <v>0.5</v>
      </c>
      <c r="J26" s="64">
        <v>0.14000000000000001</v>
      </c>
      <c r="K26" s="64">
        <v>254.71</v>
      </c>
      <c r="L26" s="64">
        <v>19.27</v>
      </c>
      <c r="M26" s="64">
        <v>71.45</v>
      </c>
      <c r="N26" s="64">
        <v>4.7</v>
      </c>
      <c r="O26" s="64">
        <v>0</v>
      </c>
      <c r="P26" s="64">
        <v>0.3</v>
      </c>
      <c r="Q26" s="64">
        <v>20.76</v>
      </c>
      <c r="R26" s="198"/>
      <c r="S26" s="198"/>
      <c r="T26" s="198"/>
      <c r="U26" s="198"/>
    </row>
    <row r="27" spans="1:21" s="12" customFormat="1" x14ac:dyDescent="0.25">
      <c r="A27" s="218" t="s">
        <v>2671</v>
      </c>
      <c r="B27" s="64">
        <v>2.77</v>
      </c>
      <c r="C27" s="64">
        <v>33.6</v>
      </c>
      <c r="D27" s="64">
        <v>21.41</v>
      </c>
      <c r="E27" s="64">
        <v>2.16</v>
      </c>
      <c r="F27" s="64">
        <v>4.1500000000000004</v>
      </c>
      <c r="G27" s="64">
        <v>13.42</v>
      </c>
      <c r="H27" s="64">
        <v>2.84</v>
      </c>
      <c r="I27" s="64">
        <v>0.51</v>
      </c>
      <c r="J27" s="64">
        <v>0.04</v>
      </c>
      <c r="K27" s="64">
        <v>8</v>
      </c>
      <c r="L27" s="64">
        <v>19.12</v>
      </c>
      <c r="M27" s="64">
        <v>73.38</v>
      </c>
      <c r="N27" s="64">
        <v>4.7</v>
      </c>
      <c r="O27" s="64">
        <v>0</v>
      </c>
      <c r="P27" s="64">
        <v>0.3</v>
      </c>
      <c r="Q27" s="64">
        <v>21.36</v>
      </c>
      <c r="R27" s="198"/>
      <c r="S27" s="198"/>
      <c r="T27" s="198"/>
      <c r="U27" s="198"/>
    </row>
    <row r="28" spans="1:21" s="12" customFormat="1" x14ac:dyDescent="0.25">
      <c r="A28" s="218" t="s">
        <v>2672</v>
      </c>
      <c r="B28" s="64">
        <v>2.86</v>
      </c>
      <c r="C28" s="64">
        <v>34.11</v>
      </c>
      <c r="D28" s="64">
        <v>21.76</v>
      </c>
      <c r="E28" s="64">
        <v>1.99</v>
      </c>
      <c r="F28" s="64">
        <v>3.72</v>
      </c>
      <c r="G28" s="64">
        <v>14.49</v>
      </c>
      <c r="H28" s="64">
        <v>2.82</v>
      </c>
      <c r="I28" s="64">
        <v>0.49</v>
      </c>
      <c r="J28" s="64">
        <v>0.28000000000000003</v>
      </c>
      <c r="K28" s="64">
        <v>284.24</v>
      </c>
      <c r="L28" s="64">
        <v>19</v>
      </c>
      <c r="M28" s="64">
        <v>75.44</v>
      </c>
      <c r="N28" s="64">
        <v>4.5999999999999996</v>
      </c>
      <c r="O28" s="64">
        <v>0</v>
      </c>
      <c r="P28" s="64">
        <v>0.3</v>
      </c>
      <c r="Q28" s="64">
        <v>20.41</v>
      </c>
      <c r="R28" s="198"/>
      <c r="S28" s="198"/>
      <c r="T28" s="198"/>
      <c r="U28" s="198"/>
    </row>
    <row r="29" spans="1:21" s="12" customFormat="1" x14ac:dyDescent="0.25">
      <c r="A29" s="218" t="s">
        <v>2673</v>
      </c>
      <c r="B29" s="64">
        <v>3.09</v>
      </c>
      <c r="C29" s="64">
        <v>33.1</v>
      </c>
      <c r="D29" s="64">
        <v>21.39</v>
      </c>
      <c r="E29" s="64">
        <v>1.71</v>
      </c>
      <c r="F29" s="64">
        <v>4</v>
      </c>
      <c r="G29" s="64">
        <v>14.49</v>
      </c>
      <c r="H29" s="64">
        <v>2.82</v>
      </c>
      <c r="I29" s="64">
        <v>0.48</v>
      </c>
      <c r="J29" s="64">
        <v>0.83</v>
      </c>
      <c r="K29" s="64">
        <v>283.88</v>
      </c>
      <c r="L29" s="64">
        <v>18.87</v>
      </c>
      <c r="M29" s="64">
        <v>76.48</v>
      </c>
      <c r="N29" s="64">
        <v>4.2</v>
      </c>
      <c r="O29" s="64">
        <v>0</v>
      </c>
      <c r="P29" s="64">
        <v>0.3</v>
      </c>
      <c r="Q29" s="64">
        <v>19.05</v>
      </c>
      <c r="R29" s="198"/>
      <c r="S29" s="198"/>
      <c r="T29" s="198"/>
      <c r="U29" s="198"/>
    </row>
    <row r="30" spans="1:21" s="12" customFormat="1" x14ac:dyDescent="0.25">
      <c r="A30" s="218" t="s">
        <v>2674</v>
      </c>
      <c r="B30" s="64">
        <v>3.53</v>
      </c>
      <c r="C30" s="64">
        <v>33.33</v>
      </c>
      <c r="D30" s="64">
        <v>21.87</v>
      </c>
      <c r="E30" s="64">
        <v>1.86</v>
      </c>
      <c r="F30" s="64">
        <v>3.89</v>
      </c>
      <c r="G30" s="64">
        <v>14.49</v>
      </c>
      <c r="H30" s="64">
        <v>2.82</v>
      </c>
      <c r="I30" s="64">
        <v>0.49</v>
      </c>
      <c r="J30" s="64">
        <v>0.31</v>
      </c>
      <c r="K30" s="64">
        <v>281.10000000000002</v>
      </c>
      <c r="L30" s="64">
        <v>18.82</v>
      </c>
      <c r="M30" s="64">
        <v>76.11</v>
      </c>
      <c r="N30" s="64">
        <v>5.9</v>
      </c>
      <c r="O30" s="64">
        <v>0</v>
      </c>
      <c r="P30" s="64">
        <v>0.3</v>
      </c>
      <c r="Q30" s="64">
        <v>17.22</v>
      </c>
      <c r="R30" s="198"/>
      <c r="S30" s="198"/>
      <c r="T30" s="198"/>
      <c r="U30" s="198"/>
    </row>
    <row r="31" spans="1:21" s="12" customFormat="1" x14ac:dyDescent="0.25">
      <c r="A31" s="218" t="s">
        <v>2675</v>
      </c>
      <c r="B31" s="64">
        <v>4.2300000000000004</v>
      </c>
      <c r="C31" s="64">
        <v>30.55</v>
      </c>
      <c r="D31" s="64">
        <v>20.9</v>
      </c>
      <c r="E31" s="64">
        <v>2.2000000000000002</v>
      </c>
      <c r="F31" s="64">
        <v>3.48</v>
      </c>
      <c r="G31" s="64">
        <v>14.35</v>
      </c>
      <c r="H31" s="64">
        <v>4.12</v>
      </c>
      <c r="I31" s="64">
        <v>0.5</v>
      </c>
      <c r="J31" s="64">
        <v>0.21</v>
      </c>
      <c r="K31" s="64">
        <v>285.04000000000002</v>
      </c>
      <c r="L31" s="64">
        <v>18.79</v>
      </c>
      <c r="M31" s="64">
        <v>76.14</v>
      </c>
      <c r="N31" s="64">
        <v>12.1</v>
      </c>
      <c r="O31" s="64">
        <v>0</v>
      </c>
      <c r="P31" s="64">
        <v>0.32</v>
      </c>
      <c r="Q31" s="64">
        <v>15.67</v>
      </c>
      <c r="R31" s="198"/>
      <c r="S31" s="198"/>
      <c r="T31" s="198"/>
      <c r="U31" s="198"/>
    </row>
    <row r="32" spans="1:21" s="12" customFormat="1" x14ac:dyDescent="0.25">
      <c r="A32" s="218" t="s">
        <v>2676</v>
      </c>
      <c r="B32" s="64">
        <v>4.84</v>
      </c>
      <c r="C32" s="64">
        <v>33.020000000000003</v>
      </c>
      <c r="D32" s="64">
        <v>22.75</v>
      </c>
      <c r="E32" s="64">
        <v>2.2999999999999998</v>
      </c>
      <c r="F32" s="64">
        <v>3.36</v>
      </c>
      <c r="G32" s="64">
        <v>14.29</v>
      </c>
      <c r="H32" s="64">
        <v>4.16</v>
      </c>
      <c r="I32" s="64">
        <v>0.5</v>
      </c>
      <c r="J32" s="64">
        <v>0.18</v>
      </c>
      <c r="K32" s="64">
        <v>289.57</v>
      </c>
      <c r="L32" s="64">
        <v>19.11</v>
      </c>
      <c r="M32" s="64">
        <v>74.52</v>
      </c>
      <c r="N32" s="64">
        <v>22.9</v>
      </c>
      <c r="O32" s="64">
        <v>0</v>
      </c>
      <c r="P32" s="64">
        <v>0.31</v>
      </c>
      <c r="Q32" s="64">
        <v>17.399999999999999</v>
      </c>
      <c r="R32" s="198"/>
      <c r="S32" s="198"/>
      <c r="T32" s="198"/>
      <c r="U32" s="198"/>
    </row>
    <row r="33" spans="1:21" s="12" customFormat="1" x14ac:dyDescent="0.25">
      <c r="A33" s="218" t="s">
        <v>2677</v>
      </c>
      <c r="B33" s="64">
        <v>5.45</v>
      </c>
      <c r="C33" s="64">
        <v>34.75</v>
      </c>
      <c r="D33" s="64">
        <v>24.19</v>
      </c>
      <c r="E33" s="64">
        <v>2.2200000000000002</v>
      </c>
      <c r="F33" s="64">
        <v>3.19</v>
      </c>
      <c r="G33" s="64">
        <v>14.29</v>
      </c>
      <c r="H33" s="64">
        <v>4.16</v>
      </c>
      <c r="I33" s="64">
        <v>0.5</v>
      </c>
      <c r="J33" s="64">
        <v>0.17</v>
      </c>
      <c r="K33" s="64">
        <v>285.89999999999998</v>
      </c>
      <c r="L33" s="64">
        <v>19.54</v>
      </c>
      <c r="M33" s="64">
        <v>72.94</v>
      </c>
      <c r="N33" s="64">
        <v>52.9</v>
      </c>
      <c r="O33" s="64">
        <v>0</v>
      </c>
      <c r="P33" s="64">
        <v>0.33</v>
      </c>
      <c r="Q33" s="64">
        <v>18.309999999999999</v>
      </c>
      <c r="R33" s="198"/>
      <c r="S33" s="198"/>
      <c r="T33" s="198"/>
      <c r="U33" s="198"/>
    </row>
    <row r="34" spans="1:21" s="12" customFormat="1" x14ac:dyDescent="0.25">
      <c r="A34" s="218" t="s">
        <v>2678</v>
      </c>
      <c r="B34" s="64">
        <v>6.26</v>
      </c>
      <c r="C34" s="64">
        <v>35.21</v>
      </c>
      <c r="D34" s="64">
        <v>25.1</v>
      </c>
      <c r="E34" s="64">
        <v>1.97</v>
      </c>
      <c r="F34" s="64">
        <v>3.31</v>
      </c>
      <c r="G34" s="64">
        <v>14.29</v>
      </c>
      <c r="H34" s="64">
        <v>4.16</v>
      </c>
      <c r="I34" s="64">
        <v>0.5</v>
      </c>
      <c r="J34" s="64">
        <v>0.35</v>
      </c>
      <c r="K34" s="64">
        <v>284.52999999999997</v>
      </c>
      <c r="L34" s="64">
        <v>21.03</v>
      </c>
      <c r="M34" s="64">
        <v>67.150000000000006</v>
      </c>
      <c r="N34" s="64">
        <v>101.1</v>
      </c>
      <c r="O34" s="64">
        <v>0</v>
      </c>
      <c r="P34" s="64">
        <v>0.34</v>
      </c>
      <c r="Q34" s="64">
        <v>18.14</v>
      </c>
      <c r="R34" s="198"/>
      <c r="S34" s="198"/>
      <c r="T34" s="198"/>
      <c r="U34" s="198"/>
    </row>
    <row r="35" spans="1:21" s="12" customFormat="1" x14ac:dyDescent="0.25">
      <c r="A35" s="218" t="s">
        <v>2679</v>
      </c>
      <c r="B35" s="64">
        <v>6.94</v>
      </c>
      <c r="C35" s="64">
        <v>39.24</v>
      </c>
      <c r="D35" s="64">
        <v>27.87</v>
      </c>
      <c r="E35" s="64">
        <v>2.52</v>
      </c>
      <c r="F35" s="64">
        <v>3.5</v>
      </c>
      <c r="G35" s="64">
        <v>17.489999999999998</v>
      </c>
      <c r="H35" s="64">
        <v>6.89</v>
      </c>
      <c r="I35" s="64">
        <v>0.51</v>
      </c>
      <c r="J35" s="64">
        <v>0.39</v>
      </c>
      <c r="K35" s="64">
        <v>285.33</v>
      </c>
      <c r="L35" s="64">
        <v>22.71</v>
      </c>
      <c r="M35" s="64">
        <v>61.75</v>
      </c>
      <c r="N35" s="64">
        <v>163.1</v>
      </c>
      <c r="O35" s="64">
        <v>0</v>
      </c>
      <c r="P35" s="64">
        <v>0.35</v>
      </c>
      <c r="Q35" s="64">
        <v>21.48</v>
      </c>
      <c r="R35" s="198"/>
      <c r="S35" s="198"/>
      <c r="T35" s="198"/>
      <c r="U35" s="198"/>
    </row>
    <row r="36" spans="1:21" s="12" customFormat="1" x14ac:dyDescent="0.25">
      <c r="A36" s="218" t="s">
        <v>2680</v>
      </c>
      <c r="B36" s="64">
        <v>7.19</v>
      </c>
      <c r="C36" s="64">
        <v>38.549999999999997</v>
      </c>
      <c r="D36" s="64">
        <v>27.69</v>
      </c>
      <c r="E36" s="64">
        <v>1.87</v>
      </c>
      <c r="F36" s="64">
        <v>3.54</v>
      </c>
      <c r="G36" s="64">
        <v>18.71</v>
      </c>
      <c r="H36" s="64">
        <v>6.98</v>
      </c>
      <c r="I36" s="64">
        <v>0.51</v>
      </c>
      <c r="J36" s="64">
        <v>0.28999999999999998</v>
      </c>
      <c r="K36" s="64">
        <v>288.14</v>
      </c>
      <c r="L36" s="64">
        <v>24.3</v>
      </c>
      <c r="M36" s="64">
        <v>57.43</v>
      </c>
      <c r="N36" s="64">
        <v>216.5</v>
      </c>
      <c r="O36" s="64">
        <v>0</v>
      </c>
      <c r="P36" s="64">
        <v>0.37</v>
      </c>
      <c r="Q36" s="64">
        <v>22</v>
      </c>
      <c r="R36" s="198"/>
      <c r="S36" s="198"/>
      <c r="T36" s="198"/>
      <c r="U36" s="198"/>
    </row>
    <row r="37" spans="1:21" s="12" customFormat="1" x14ac:dyDescent="0.25">
      <c r="A37" s="218" t="s">
        <v>2681</v>
      </c>
      <c r="B37" s="64">
        <v>7.3</v>
      </c>
      <c r="C37" s="64">
        <v>38.71</v>
      </c>
      <c r="D37" s="64">
        <v>27.86</v>
      </c>
      <c r="E37" s="64">
        <v>2.06</v>
      </c>
      <c r="F37" s="64">
        <v>3.23</v>
      </c>
      <c r="G37" s="64">
        <v>18.71</v>
      </c>
      <c r="H37" s="64">
        <v>6.98</v>
      </c>
      <c r="I37" s="64">
        <v>0.51</v>
      </c>
      <c r="J37" s="64">
        <v>0.2</v>
      </c>
      <c r="K37" s="64">
        <v>298.89999999999998</v>
      </c>
      <c r="L37" s="64">
        <v>25.59</v>
      </c>
      <c r="M37" s="64">
        <v>53.27</v>
      </c>
      <c r="N37" s="64">
        <v>271</v>
      </c>
      <c r="O37" s="64">
        <v>0</v>
      </c>
      <c r="P37" s="64">
        <v>0.36</v>
      </c>
      <c r="Q37" s="64">
        <v>21.02</v>
      </c>
      <c r="R37" s="198"/>
      <c r="S37" s="198"/>
      <c r="T37" s="198"/>
      <c r="U37" s="198"/>
    </row>
    <row r="38" spans="1:21" s="12" customFormat="1" x14ac:dyDescent="0.25">
      <c r="A38" s="218" t="s">
        <v>2682</v>
      </c>
      <c r="B38" s="64">
        <v>7.33</v>
      </c>
      <c r="C38" s="64">
        <v>38.19</v>
      </c>
      <c r="D38" s="64">
        <v>27.6</v>
      </c>
      <c r="E38" s="64">
        <v>2.2599999999999998</v>
      </c>
      <c r="F38" s="64">
        <v>3.49</v>
      </c>
      <c r="G38" s="64">
        <v>18.71</v>
      </c>
      <c r="H38" s="64">
        <v>6.98</v>
      </c>
      <c r="I38" s="64">
        <v>0.51</v>
      </c>
      <c r="J38" s="64">
        <v>0.15</v>
      </c>
      <c r="K38" s="64">
        <v>299.89999999999998</v>
      </c>
      <c r="L38" s="64">
        <v>25.98</v>
      </c>
      <c r="M38" s="64">
        <v>51.5</v>
      </c>
      <c r="N38" s="64">
        <v>328.5</v>
      </c>
      <c r="O38" s="64">
        <v>0</v>
      </c>
      <c r="P38" s="64">
        <v>0.4</v>
      </c>
      <c r="Q38" s="64">
        <v>20.53</v>
      </c>
      <c r="R38" s="198"/>
      <c r="S38" s="198"/>
      <c r="T38" s="198"/>
      <c r="U38" s="198"/>
    </row>
    <row r="39" spans="1:21" s="12" customFormat="1" x14ac:dyDescent="0.25">
      <c r="A39" s="218" t="s">
        <v>2683</v>
      </c>
      <c r="B39" s="64">
        <v>7.12</v>
      </c>
      <c r="C39" s="64">
        <v>40.97</v>
      </c>
      <c r="D39" s="64">
        <v>28.97</v>
      </c>
      <c r="E39" s="64">
        <v>1.66</v>
      </c>
      <c r="F39" s="64">
        <v>3.37</v>
      </c>
      <c r="G39" s="64">
        <v>22.8</v>
      </c>
      <c r="H39" s="64">
        <v>9.1</v>
      </c>
      <c r="I39" s="64">
        <v>0.5</v>
      </c>
      <c r="J39" s="64">
        <v>0.21</v>
      </c>
      <c r="K39" s="64">
        <v>276.14</v>
      </c>
      <c r="L39" s="64">
        <v>25.97</v>
      </c>
      <c r="M39" s="64">
        <v>51.43</v>
      </c>
      <c r="N39" s="64">
        <v>392.3</v>
      </c>
      <c r="O39" s="64">
        <v>0</v>
      </c>
      <c r="P39" s="64">
        <v>0.41</v>
      </c>
      <c r="Q39" s="64">
        <v>21.48</v>
      </c>
      <c r="R39" s="198"/>
      <c r="S39" s="198"/>
      <c r="T39" s="198"/>
      <c r="U39" s="198"/>
    </row>
    <row r="40" spans="1:21" s="12" customFormat="1" x14ac:dyDescent="0.25">
      <c r="A40" s="218" t="s">
        <v>2684</v>
      </c>
      <c r="B40" s="64">
        <v>6.79</v>
      </c>
      <c r="C40" s="64">
        <v>40.130000000000003</v>
      </c>
      <c r="D40" s="64">
        <v>28.23</v>
      </c>
      <c r="E40" s="64">
        <v>0.96</v>
      </c>
      <c r="F40" s="64">
        <v>3.7</v>
      </c>
      <c r="G40" s="64">
        <v>24.38</v>
      </c>
      <c r="H40" s="64">
        <v>9.1999999999999993</v>
      </c>
      <c r="I40" s="64">
        <v>0.52</v>
      </c>
      <c r="J40" s="64">
        <v>0.23</v>
      </c>
      <c r="K40" s="64">
        <v>292.12</v>
      </c>
      <c r="L40" s="64">
        <v>26.85</v>
      </c>
      <c r="M40" s="64">
        <v>49.65</v>
      </c>
      <c r="N40" s="64">
        <v>449</v>
      </c>
      <c r="O40" s="64">
        <v>0</v>
      </c>
      <c r="P40" s="64">
        <v>0.42</v>
      </c>
      <c r="Q40" s="64">
        <v>20.440000000000001</v>
      </c>
      <c r="R40" s="198"/>
      <c r="S40" s="198"/>
      <c r="T40" s="198"/>
      <c r="U40" s="198"/>
    </row>
    <row r="41" spans="1:21" s="12" customFormat="1" x14ac:dyDescent="0.25">
      <c r="A41" s="218" t="s">
        <v>2685</v>
      </c>
      <c r="B41" s="64">
        <v>6.5</v>
      </c>
      <c r="C41" s="64">
        <v>40.93</v>
      </c>
      <c r="D41" s="64">
        <v>28.45</v>
      </c>
      <c r="E41" s="64">
        <v>0.89</v>
      </c>
      <c r="F41" s="64">
        <v>3.77</v>
      </c>
      <c r="G41" s="64">
        <v>24.38</v>
      </c>
      <c r="H41" s="64">
        <v>9.1999999999999993</v>
      </c>
      <c r="I41" s="64">
        <v>0.52</v>
      </c>
      <c r="J41" s="64">
        <v>0.43</v>
      </c>
      <c r="K41" s="64">
        <v>208</v>
      </c>
      <c r="L41" s="64">
        <v>25.56</v>
      </c>
      <c r="M41" s="64">
        <v>53.3</v>
      </c>
      <c r="N41" s="64">
        <v>516</v>
      </c>
      <c r="O41" s="64">
        <v>0</v>
      </c>
      <c r="P41" s="64">
        <v>0.44</v>
      </c>
      <c r="Q41" s="64">
        <v>20.27</v>
      </c>
      <c r="R41" s="198"/>
      <c r="S41" s="198"/>
      <c r="T41" s="198"/>
      <c r="U41" s="198"/>
    </row>
    <row r="42" spans="1:21" s="12" customFormat="1" x14ac:dyDescent="0.25">
      <c r="A42" s="218" t="s">
        <v>2686</v>
      </c>
      <c r="B42" s="64">
        <v>5.91</v>
      </c>
      <c r="C42" s="64">
        <v>35.020000000000003</v>
      </c>
      <c r="D42" s="64">
        <v>24.71</v>
      </c>
      <c r="E42" s="64">
        <v>1.05</v>
      </c>
      <c r="F42" s="64">
        <v>4.33</v>
      </c>
      <c r="G42" s="64">
        <v>24.38</v>
      </c>
      <c r="H42" s="64">
        <v>9.1999999999999993</v>
      </c>
      <c r="I42" s="64">
        <v>0.51</v>
      </c>
      <c r="J42" s="64">
        <v>0.22</v>
      </c>
      <c r="K42" s="64">
        <v>239.02</v>
      </c>
      <c r="L42" s="64">
        <v>25.99</v>
      </c>
      <c r="M42" s="64">
        <v>53.23</v>
      </c>
      <c r="N42" s="64">
        <v>565.20000000000005</v>
      </c>
      <c r="O42" s="64">
        <v>0</v>
      </c>
      <c r="P42" s="64">
        <v>0.43</v>
      </c>
      <c r="Q42" s="64">
        <v>14.15</v>
      </c>
      <c r="R42" s="198"/>
      <c r="S42" s="198"/>
      <c r="T42" s="198"/>
      <c r="U42" s="198"/>
    </row>
    <row r="43" spans="1:21" s="12" customFormat="1" x14ac:dyDescent="0.25">
      <c r="A43" s="218" t="s">
        <v>2687</v>
      </c>
      <c r="B43" s="64">
        <v>5.4</v>
      </c>
      <c r="C43" s="64">
        <v>34.31</v>
      </c>
      <c r="D43" s="64">
        <v>23.91</v>
      </c>
      <c r="E43" s="64">
        <v>0.78</v>
      </c>
      <c r="F43" s="64">
        <v>4.58</v>
      </c>
      <c r="G43" s="64">
        <v>20.9</v>
      </c>
      <c r="H43" s="64">
        <v>10.99</v>
      </c>
      <c r="I43" s="64">
        <v>0.52</v>
      </c>
      <c r="J43" s="64">
        <v>0.46</v>
      </c>
      <c r="K43" s="64">
        <v>222.8</v>
      </c>
      <c r="L43" s="64">
        <v>25.2</v>
      </c>
      <c r="M43" s="64">
        <v>55.71</v>
      </c>
      <c r="N43" s="64">
        <v>623.1</v>
      </c>
      <c r="O43" s="64">
        <v>0</v>
      </c>
      <c r="P43" s="64">
        <v>0.44</v>
      </c>
      <c r="Q43" s="64">
        <v>13.78</v>
      </c>
      <c r="R43" s="198"/>
      <c r="S43" s="198"/>
      <c r="T43" s="198"/>
      <c r="U43" s="198"/>
    </row>
    <row r="44" spans="1:21" s="12" customFormat="1" x14ac:dyDescent="0.25">
      <c r="A44" s="218" t="s">
        <v>2688</v>
      </c>
      <c r="B44" s="64">
        <v>6.07</v>
      </c>
      <c r="C44" s="64">
        <v>36.869999999999997</v>
      </c>
      <c r="D44" s="64">
        <v>25.86</v>
      </c>
      <c r="E44" s="64">
        <v>0.74</v>
      </c>
      <c r="F44" s="64">
        <v>5.77</v>
      </c>
      <c r="G44" s="64">
        <v>19.57</v>
      </c>
      <c r="H44" s="64">
        <v>11.04</v>
      </c>
      <c r="I44" s="64">
        <v>0.51</v>
      </c>
      <c r="J44" s="64">
        <v>0.22</v>
      </c>
      <c r="K44" s="64">
        <v>317.26</v>
      </c>
      <c r="L44" s="64">
        <v>27.6</v>
      </c>
      <c r="M44" s="64">
        <v>49.63</v>
      </c>
      <c r="N44" s="64">
        <v>666</v>
      </c>
      <c r="O44" s="64">
        <v>0</v>
      </c>
      <c r="P44" s="64">
        <v>0.44</v>
      </c>
      <c r="Q44" s="64">
        <v>14.76</v>
      </c>
      <c r="R44" s="198"/>
      <c r="S44" s="198"/>
      <c r="T44" s="198"/>
      <c r="U44" s="198"/>
    </row>
    <row r="45" spans="1:21" s="12" customFormat="1" x14ac:dyDescent="0.25">
      <c r="A45" s="218" t="s">
        <v>2689</v>
      </c>
      <c r="B45" s="64">
        <v>5.63</v>
      </c>
      <c r="C45" s="64">
        <v>37.270000000000003</v>
      </c>
      <c r="D45" s="64">
        <v>25.73</v>
      </c>
      <c r="E45" s="64">
        <v>1.1000000000000001</v>
      </c>
      <c r="F45" s="64">
        <v>5.57</v>
      </c>
      <c r="G45" s="64">
        <v>19.57</v>
      </c>
      <c r="H45" s="64">
        <v>11.04</v>
      </c>
      <c r="I45" s="64">
        <v>0.52</v>
      </c>
      <c r="J45" s="64">
        <v>0.11</v>
      </c>
      <c r="K45" s="64">
        <v>168.31</v>
      </c>
      <c r="L45" s="64">
        <v>28.73</v>
      </c>
      <c r="M45" s="64">
        <v>46.88</v>
      </c>
      <c r="N45" s="64">
        <v>512.20000000000005</v>
      </c>
      <c r="O45" s="64">
        <v>0</v>
      </c>
      <c r="P45" s="64">
        <v>0.45</v>
      </c>
      <c r="Q45" s="64">
        <v>15.38</v>
      </c>
      <c r="R45" s="198"/>
      <c r="S45" s="198"/>
      <c r="T45" s="198"/>
      <c r="U45" s="198"/>
    </row>
    <row r="46" spans="1:21" s="12" customFormat="1" x14ac:dyDescent="0.25">
      <c r="A46" s="218" t="s">
        <v>2690</v>
      </c>
      <c r="B46" s="64">
        <v>4.99</v>
      </c>
      <c r="C46" s="64">
        <v>30.33</v>
      </c>
      <c r="D46" s="64">
        <v>21.38</v>
      </c>
      <c r="E46" s="64">
        <v>0.89</v>
      </c>
      <c r="F46" s="64">
        <v>5.6</v>
      </c>
      <c r="G46" s="64">
        <v>19.57</v>
      </c>
      <c r="H46" s="64">
        <v>11.04</v>
      </c>
      <c r="I46" s="64">
        <v>0.51</v>
      </c>
      <c r="J46" s="64">
        <v>0.31</v>
      </c>
      <c r="K46" s="64">
        <v>160.61000000000001</v>
      </c>
      <c r="L46" s="64">
        <v>27.67</v>
      </c>
      <c r="M46" s="64">
        <v>50.9</v>
      </c>
      <c r="N46" s="64">
        <v>166.8</v>
      </c>
      <c r="O46" s="64">
        <v>0</v>
      </c>
      <c r="P46" s="64">
        <v>0.45</v>
      </c>
      <c r="Q46" s="64">
        <v>12.45</v>
      </c>
      <c r="R46" s="198"/>
      <c r="S46" s="198"/>
      <c r="T46" s="198"/>
      <c r="U46" s="198"/>
    </row>
    <row r="47" spans="1:21" s="12" customFormat="1" x14ac:dyDescent="0.25">
      <c r="A47" s="218" t="s">
        <v>2691</v>
      </c>
      <c r="B47" s="64">
        <v>4.84</v>
      </c>
      <c r="C47" s="64">
        <v>32.22</v>
      </c>
      <c r="D47" s="64">
        <v>22.31</v>
      </c>
      <c r="E47" s="64">
        <v>1.1100000000000001</v>
      </c>
      <c r="F47" s="64">
        <v>4.76</v>
      </c>
      <c r="G47" s="64">
        <v>20.32</v>
      </c>
      <c r="H47" s="64">
        <v>10.48</v>
      </c>
      <c r="I47" s="64">
        <v>0.51</v>
      </c>
      <c r="J47" s="64">
        <v>0.45</v>
      </c>
      <c r="K47" s="64">
        <v>171.98</v>
      </c>
      <c r="L47" s="64">
        <v>28.13</v>
      </c>
      <c r="M47" s="64">
        <v>48.04</v>
      </c>
      <c r="N47" s="64">
        <v>800.6</v>
      </c>
      <c r="O47" s="64">
        <v>0</v>
      </c>
      <c r="P47" s="64">
        <v>0.46</v>
      </c>
      <c r="Q47" s="64">
        <v>16.29</v>
      </c>
      <c r="R47" s="198"/>
      <c r="S47" s="198"/>
      <c r="T47" s="198"/>
      <c r="U47" s="198"/>
    </row>
    <row r="48" spans="1:21" s="12" customFormat="1" x14ac:dyDescent="0.25">
      <c r="A48" s="218" t="s">
        <v>2692</v>
      </c>
      <c r="B48" s="64">
        <v>4.01</v>
      </c>
      <c r="C48" s="64">
        <v>31.7</v>
      </c>
      <c r="D48" s="64">
        <v>21.35</v>
      </c>
      <c r="E48" s="64">
        <v>1.29</v>
      </c>
      <c r="F48" s="64">
        <v>4.87</v>
      </c>
      <c r="G48" s="64">
        <v>20.61</v>
      </c>
      <c r="H48" s="64">
        <v>10.46</v>
      </c>
      <c r="I48" s="64">
        <v>0.54</v>
      </c>
      <c r="J48" s="64">
        <v>0.61</v>
      </c>
      <c r="K48" s="64">
        <v>191.9</v>
      </c>
      <c r="L48" s="64">
        <v>28.2</v>
      </c>
      <c r="M48" s="64">
        <v>45.88</v>
      </c>
      <c r="N48" s="64">
        <v>833.8</v>
      </c>
      <c r="O48" s="64">
        <v>0</v>
      </c>
      <c r="P48" s="64">
        <v>0.45</v>
      </c>
      <c r="Q48" s="64">
        <v>16.22</v>
      </c>
      <c r="R48" s="198"/>
      <c r="S48" s="198"/>
      <c r="T48" s="198"/>
      <c r="U48" s="198"/>
    </row>
    <row r="49" spans="1:21" s="12" customFormat="1" x14ac:dyDescent="0.25">
      <c r="A49" s="218" t="s">
        <v>2693</v>
      </c>
      <c r="B49" s="64">
        <v>3.36</v>
      </c>
      <c r="C49" s="64">
        <v>32.130000000000003</v>
      </c>
      <c r="D49" s="64">
        <v>21.08</v>
      </c>
      <c r="E49" s="64">
        <v>0.9</v>
      </c>
      <c r="F49" s="64">
        <v>5</v>
      </c>
      <c r="G49" s="64">
        <v>20.61</v>
      </c>
      <c r="H49" s="64">
        <v>10.46</v>
      </c>
      <c r="I49" s="64">
        <v>0.54</v>
      </c>
      <c r="J49" s="64">
        <v>0.3</v>
      </c>
      <c r="K49" s="64">
        <v>296.32</v>
      </c>
      <c r="L49" s="64">
        <v>30.21</v>
      </c>
      <c r="M49" s="64">
        <v>42.23</v>
      </c>
      <c r="N49" s="64">
        <v>857.2</v>
      </c>
      <c r="O49" s="64">
        <v>0</v>
      </c>
      <c r="P49" s="64">
        <v>0.45</v>
      </c>
      <c r="Q49" s="64">
        <v>16.46</v>
      </c>
      <c r="R49" s="198"/>
      <c r="S49" s="198"/>
      <c r="T49" s="198"/>
      <c r="U49" s="198"/>
    </row>
    <row r="50" spans="1:21" s="12" customFormat="1" x14ac:dyDescent="0.25">
      <c r="A50" s="218" t="s">
        <v>2694</v>
      </c>
      <c r="B50" s="64">
        <v>4.8600000000000003</v>
      </c>
      <c r="C50" s="64">
        <v>33.94</v>
      </c>
      <c r="D50" s="64">
        <v>23.28</v>
      </c>
      <c r="E50" s="64">
        <v>1.1100000000000001</v>
      </c>
      <c r="F50" s="64">
        <v>10.66</v>
      </c>
      <c r="G50" s="64">
        <v>20.61</v>
      </c>
      <c r="H50" s="64">
        <v>10.46</v>
      </c>
      <c r="I50" s="64">
        <v>0.54</v>
      </c>
      <c r="J50" s="64">
        <v>0.65</v>
      </c>
      <c r="K50" s="64">
        <v>313.17</v>
      </c>
      <c r="L50" s="64">
        <v>33.44</v>
      </c>
      <c r="M50" s="64">
        <v>35.11</v>
      </c>
      <c r="N50" s="64">
        <v>884.3</v>
      </c>
      <c r="O50" s="64">
        <v>0</v>
      </c>
      <c r="P50" s="64">
        <v>0.52</v>
      </c>
      <c r="Q50" s="64">
        <v>15.75</v>
      </c>
      <c r="R50" s="198"/>
      <c r="S50" s="198"/>
      <c r="T50" s="198"/>
      <c r="U50" s="198"/>
    </row>
    <row r="51" spans="1:21" s="12" customFormat="1" x14ac:dyDescent="0.25">
      <c r="A51" s="218" t="s">
        <v>2695</v>
      </c>
      <c r="B51" s="64">
        <v>3.71</v>
      </c>
      <c r="C51" s="64">
        <v>56.9</v>
      </c>
      <c r="D51" s="64">
        <v>35.020000000000003</v>
      </c>
      <c r="E51" s="64">
        <v>21.3</v>
      </c>
      <c r="F51" s="64">
        <v>30.67</v>
      </c>
      <c r="G51" s="64">
        <v>20.61</v>
      </c>
      <c r="H51" s="64">
        <v>10.46</v>
      </c>
      <c r="I51" s="64">
        <v>0.53</v>
      </c>
      <c r="J51" s="64">
        <v>0.28999999999999998</v>
      </c>
      <c r="K51" s="64">
        <v>276.51</v>
      </c>
      <c r="L51" s="64">
        <v>32.479999999999997</v>
      </c>
      <c r="M51" s="64">
        <v>36.56</v>
      </c>
      <c r="N51" s="64">
        <v>891</v>
      </c>
      <c r="O51" s="64">
        <v>0</v>
      </c>
      <c r="P51" s="64">
        <v>0.74</v>
      </c>
      <c r="Q51" s="64">
        <v>13.28</v>
      </c>
      <c r="R51" s="198"/>
      <c r="S51" s="198"/>
      <c r="T51" s="198"/>
      <c r="U51" s="198"/>
    </row>
    <row r="52" spans="1:21" s="12" customFormat="1" x14ac:dyDescent="0.25">
      <c r="A52" s="218" t="s">
        <v>2696</v>
      </c>
      <c r="B52" s="64">
        <v>1.99</v>
      </c>
      <c r="C52" s="64">
        <v>42.32</v>
      </c>
      <c r="D52" s="64">
        <v>25.6</v>
      </c>
      <c r="E52" s="64">
        <v>143.24</v>
      </c>
      <c r="F52" s="64">
        <v>32.42</v>
      </c>
      <c r="G52" s="64">
        <v>20.61</v>
      </c>
      <c r="H52" s="64">
        <v>10.46</v>
      </c>
      <c r="I52" s="64">
        <v>0.54</v>
      </c>
      <c r="J52" s="64">
        <v>0.3</v>
      </c>
      <c r="K52" s="64">
        <v>305.94</v>
      </c>
      <c r="L52" s="64">
        <v>32.770000000000003</v>
      </c>
      <c r="M52" s="64">
        <v>36.57</v>
      </c>
      <c r="N52" s="64">
        <v>908.2</v>
      </c>
      <c r="O52" s="64">
        <v>0</v>
      </c>
      <c r="P52" s="64">
        <v>0.56000000000000005</v>
      </c>
      <c r="Q52" s="64">
        <v>0.19</v>
      </c>
      <c r="R52" s="198"/>
      <c r="S52" s="198"/>
      <c r="T52" s="198"/>
      <c r="U52" s="198"/>
    </row>
    <row r="53" spans="1:21" s="12" customFormat="1" x14ac:dyDescent="0.25">
      <c r="A53" s="218" t="s">
        <v>2697</v>
      </c>
      <c r="B53" s="64">
        <v>2.96</v>
      </c>
      <c r="C53" s="64">
        <v>38.28</v>
      </c>
      <c r="D53" s="64">
        <v>24.15</v>
      </c>
      <c r="E53" s="64">
        <v>6.72</v>
      </c>
      <c r="F53" s="64">
        <v>25.4</v>
      </c>
      <c r="G53" s="64">
        <v>20.61</v>
      </c>
      <c r="H53" s="64">
        <v>10.46</v>
      </c>
      <c r="I53" s="64">
        <v>0.48</v>
      </c>
      <c r="J53" s="64">
        <v>0.3</v>
      </c>
      <c r="K53" s="64">
        <v>301.48</v>
      </c>
      <c r="L53" s="64">
        <v>33.25</v>
      </c>
      <c r="M53" s="64">
        <v>34.44</v>
      </c>
      <c r="N53" s="64">
        <v>939.7</v>
      </c>
      <c r="O53" s="64">
        <v>0</v>
      </c>
      <c r="P53" s="64">
        <v>0.56000000000000005</v>
      </c>
      <c r="Q53" s="64">
        <v>6.56</v>
      </c>
      <c r="R53" s="198"/>
      <c r="S53" s="198"/>
      <c r="T53" s="198"/>
      <c r="U53" s="198"/>
    </row>
    <row r="54" spans="1:21" s="12" customFormat="1" x14ac:dyDescent="0.25">
      <c r="A54" s="218" t="s">
        <v>2698</v>
      </c>
      <c r="B54" s="64">
        <v>54.54</v>
      </c>
      <c r="C54" s="64">
        <v>6.91</v>
      </c>
      <c r="D54" s="64">
        <v>48.2</v>
      </c>
      <c r="E54" s="64">
        <v>5.25</v>
      </c>
      <c r="F54" s="64">
        <v>25.41</v>
      </c>
      <c r="G54" s="64">
        <v>20.61</v>
      </c>
      <c r="H54" s="64">
        <v>10.46</v>
      </c>
      <c r="I54" s="64">
        <v>0.47</v>
      </c>
      <c r="J54" s="64">
        <v>0.26</v>
      </c>
      <c r="K54" s="64">
        <v>259.51</v>
      </c>
      <c r="L54" s="64">
        <v>32.979999999999997</v>
      </c>
      <c r="M54" s="64">
        <v>34.880000000000003</v>
      </c>
      <c r="N54" s="64">
        <v>951.6</v>
      </c>
      <c r="O54" s="64">
        <v>0</v>
      </c>
      <c r="P54" s="64">
        <v>0.61</v>
      </c>
      <c r="Q54" s="64">
        <v>8.39</v>
      </c>
      <c r="R54" s="198"/>
      <c r="S54" s="198"/>
      <c r="T54" s="198"/>
      <c r="U54" s="198"/>
    </row>
    <row r="55" spans="1:21" s="12" customFormat="1" x14ac:dyDescent="0.25">
      <c r="A55" s="218" t="s">
        <v>2699</v>
      </c>
      <c r="B55" s="64">
        <v>146.37</v>
      </c>
      <c r="C55" s="64">
        <v>9.61</v>
      </c>
      <c r="D55" s="64">
        <v>155.97999999999999</v>
      </c>
      <c r="E55" s="64">
        <v>15.4</v>
      </c>
      <c r="F55" s="64">
        <v>28.18</v>
      </c>
      <c r="G55" s="64">
        <v>20.61</v>
      </c>
      <c r="H55" s="64">
        <v>10.46</v>
      </c>
      <c r="I55" s="64">
        <v>0.48</v>
      </c>
      <c r="J55" s="64">
        <v>0.43</v>
      </c>
      <c r="K55" s="64">
        <v>194.81</v>
      </c>
      <c r="L55" s="64">
        <v>32.22</v>
      </c>
      <c r="M55" s="64">
        <v>33.01</v>
      </c>
      <c r="N55" s="64">
        <v>954.1</v>
      </c>
      <c r="O55" s="64">
        <v>0</v>
      </c>
      <c r="P55" s="64">
        <v>0.61</v>
      </c>
      <c r="Q55" s="64">
        <v>6.57</v>
      </c>
      <c r="R55" s="198"/>
      <c r="S55" s="198"/>
      <c r="T55" s="198"/>
      <c r="U55" s="198"/>
    </row>
    <row r="56" spans="1:21" s="12" customFormat="1" x14ac:dyDescent="0.25">
      <c r="A56" s="218" t="s">
        <v>2700</v>
      </c>
      <c r="B56" s="64">
        <v>156.85</v>
      </c>
      <c r="C56" s="64">
        <v>10.88</v>
      </c>
      <c r="D56" s="64">
        <v>167.73</v>
      </c>
      <c r="E56" s="64">
        <v>2.0299999999999998</v>
      </c>
      <c r="F56" s="64">
        <v>12.74</v>
      </c>
      <c r="G56" s="64">
        <v>5.95</v>
      </c>
      <c r="H56" s="64">
        <v>3.02</v>
      </c>
      <c r="I56" s="64">
        <v>0.48</v>
      </c>
      <c r="J56" s="64">
        <v>0.35</v>
      </c>
      <c r="K56" s="64">
        <v>281.33</v>
      </c>
      <c r="L56" s="64">
        <v>31.98</v>
      </c>
      <c r="M56" s="64">
        <v>32.19</v>
      </c>
      <c r="N56" s="64">
        <v>966.8</v>
      </c>
      <c r="O56" s="64">
        <v>0</v>
      </c>
      <c r="P56" s="64">
        <v>0.62</v>
      </c>
      <c r="Q56" s="64">
        <v>4.2300000000000004</v>
      </c>
      <c r="R56" s="198"/>
      <c r="S56" s="198"/>
      <c r="T56" s="198"/>
      <c r="U56" s="198"/>
    </row>
    <row r="57" spans="1:21" s="12" customFormat="1" x14ac:dyDescent="0.25">
      <c r="A57" s="218" t="s">
        <v>2701</v>
      </c>
      <c r="B57" s="64">
        <v>169.62</v>
      </c>
      <c r="C57" s="64">
        <v>11.87</v>
      </c>
      <c r="D57" s="64">
        <v>181.5</v>
      </c>
      <c r="E57" s="64">
        <v>2.76</v>
      </c>
      <c r="F57" s="64">
        <v>14.33</v>
      </c>
      <c r="G57" s="219" t="s">
        <v>42</v>
      </c>
      <c r="H57" s="219" t="s">
        <v>42</v>
      </c>
      <c r="I57" s="64">
        <v>0.49</v>
      </c>
      <c r="J57" s="64">
        <v>0.34</v>
      </c>
      <c r="K57" s="64">
        <v>281.7</v>
      </c>
      <c r="L57" s="64">
        <v>33.85</v>
      </c>
      <c r="M57" s="64">
        <v>29.23</v>
      </c>
      <c r="N57" s="64">
        <v>952.5</v>
      </c>
      <c r="O57" s="64">
        <v>0</v>
      </c>
      <c r="P57" s="64">
        <v>0.66</v>
      </c>
      <c r="Q57" s="64">
        <v>1.84</v>
      </c>
      <c r="R57" s="198"/>
      <c r="S57" s="198"/>
      <c r="T57" s="198"/>
      <c r="U57" s="198"/>
    </row>
    <row r="58" spans="1:21" s="12" customFormat="1" x14ac:dyDescent="0.25">
      <c r="A58" s="218" t="s">
        <v>2702</v>
      </c>
      <c r="B58" s="64">
        <v>176.71</v>
      </c>
      <c r="C58" s="64">
        <v>12.51</v>
      </c>
      <c r="D58" s="64">
        <v>189.23</v>
      </c>
      <c r="E58" s="64">
        <v>2.2400000000000002</v>
      </c>
      <c r="F58" s="64">
        <v>13.46</v>
      </c>
      <c r="G58" s="219" t="s">
        <v>42</v>
      </c>
      <c r="H58" s="219" t="s">
        <v>42</v>
      </c>
      <c r="I58" s="64">
        <v>0.52</v>
      </c>
      <c r="J58" s="64">
        <v>0.34</v>
      </c>
      <c r="K58" s="64">
        <v>282.45999999999998</v>
      </c>
      <c r="L58" s="64">
        <v>33.619999999999997</v>
      </c>
      <c r="M58" s="64">
        <v>29.81</v>
      </c>
      <c r="N58" s="64">
        <v>875</v>
      </c>
      <c r="O58" s="64">
        <v>0</v>
      </c>
      <c r="P58" s="64">
        <v>0.71</v>
      </c>
      <c r="Q58" s="64">
        <v>6.98</v>
      </c>
      <c r="R58" s="198"/>
      <c r="S58" s="198"/>
      <c r="T58" s="198"/>
      <c r="U58" s="198"/>
    </row>
    <row r="59" spans="1:21" s="12" customFormat="1" x14ac:dyDescent="0.25">
      <c r="A59" s="218" t="s">
        <v>2703</v>
      </c>
      <c r="B59" s="64">
        <v>179.55</v>
      </c>
      <c r="C59" s="64">
        <v>12.82</v>
      </c>
      <c r="D59" s="64">
        <v>192.37</v>
      </c>
      <c r="E59" s="64">
        <v>2.09</v>
      </c>
      <c r="F59" s="64">
        <v>12.84</v>
      </c>
      <c r="G59" s="219" t="s">
        <v>42</v>
      </c>
      <c r="H59" s="219" t="s">
        <v>42</v>
      </c>
      <c r="I59" s="64">
        <v>0.5</v>
      </c>
      <c r="J59" s="64">
        <v>0.28999999999999998</v>
      </c>
      <c r="K59" s="64">
        <v>291.32</v>
      </c>
      <c r="L59" s="64">
        <v>32.5</v>
      </c>
      <c r="M59" s="64">
        <v>30.04</v>
      </c>
      <c r="N59" s="64">
        <v>868</v>
      </c>
      <c r="O59" s="64">
        <v>0</v>
      </c>
      <c r="P59" s="64">
        <v>0.7</v>
      </c>
      <c r="Q59" s="64">
        <v>5.93</v>
      </c>
      <c r="R59" s="198"/>
      <c r="S59" s="198"/>
      <c r="T59" s="198"/>
      <c r="U59" s="198"/>
    </row>
    <row r="60" spans="1:21" s="12" customFormat="1" x14ac:dyDescent="0.25">
      <c r="A60" s="218" t="s">
        <v>2704</v>
      </c>
      <c r="B60" s="64">
        <v>3.27</v>
      </c>
      <c r="C60" s="64">
        <v>33.69</v>
      </c>
      <c r="D60" s="64">
        <v>36.96</v>
      </c>
      <c r="E60" s="64">
        <v>1.98</v>
      </c>
      <c r="F60" s="64">
        <v>10.35</v>
      </c>
      <c r="G60" s="219" t="s">
        <v>42</v>
      </c>
      <c r="H60" s="219" t="s">
        <v>42</v>
      </c>
      <c r="I60" s="64">
        <v>0.5</v>
      </c>
      <c r="J60" s="64">
        <v>0.34</v>
      </c>
      <c r="K60" s="64">
        <v>291.38</v>
      </c>
      <c r="L60" s="64">
        <v>33.83</v>
      </c>
      <c r="M60" s="64">
        <v>29.57</v>
      </c>
      <c r="N60" s="64">
        <v>881.9</v>
      </c>
      <c r="O60" s="64">
        <v>0</v>
      </c>
      <c r="P60" s="64">
        <v>0.71</v>
      </c>
      <c r="Q60" s="64">
        <v>3.67</v>
      </c>
      <c r="R60" s="198"/>
      <c r="S60" s="198"/>
      <c r="T60" s="198"/>
      <c r="U60" s="198"/>
    </row>
    <row r="61" spans="1:21" s="12" customFormat="1" x14ac:dyDescent="0.25">
      <c r="A61" s="218" t="s">
        <v>2705</v>
      </c>
      <c r="B61" s="64">
        <v>3.72</v>
      </c>
      <c r="C61" s="64">
        <v>32.44</v>
      </c>
      <c r="D61" s="64">
        <v>36.159999999999997</v>
      </c>
      <c r="E61" s="64">
        <v>1.24</v>
      </c>
      <c r="F61" s="64">
        <v>10.75</v>
      </c>
      <c r="G61" s="219" t="s">
        <v>42</v>
      </c>
      <c r="H61" s="219" t="s">
        <v>42</v>
      </c>
      <c r="I61" s="64">
        <v>0.49</v>
      </c>
      <c r="J61" s="64">
        <v>0.46</v>
      </c>
      <c r="K61" s="64">
        <v>294.89999999999998</v>
      </c>
      <c r="L61" s="64">
        <v>34.450000000000003</v>
      </c>
      <c r="M61" s="64">
        <v>28.85</v>
      </c>
      <c r="N61" s="64">
        <v>851.1</v>
      </c>
      <c r="O61" s="64">
        <v>0</v>
      </c>
      <c r="P61" s="64">
        <v>0.69</v>
      </c>
      <c r="Q61" s="64">
        <v>2.79</v>
      </c>
      <c r="R61" s="198"/>
      <c r="S61" s="198"/>
      <c r="T61" s="198"/>
      <c r="U61" s="198"/>
    </row>
    <row r="62" spans="1:21" s="12" customFormat="1" x14ac:dyDescent="0.25">
      <c r="A62" s="218" t="s">
        <v>2706</v>
      </c>
      <c r="B62" s="64">
        <v>4.7300000000000004</v>
      </c>
      <c r="C62" s="64">
        <v>34.450000000000003</v>
      </c>
      <c r="D62" s="64">
        <v>39.18</v>
      </c>
      <c r="E62" s="64">
        <v>1.77</v>
      </c>
      <c r="F62" s="64">
        <v>12.89</v>
      </c>
      <c r="G62" s="219" t="s">
        <v>42</v>
      </c>
      <c r="H62" s="219" t="s">
        <v>42</v>
      </c>
      <c r="I62" s="64">
        <v>0.48</v>
      </c>
      <c r="J62" s="64">
        <v>0.42</v>
      </c>
      <c r="K62" s="64">
        <v>293</v>
      </c>
      <c r="L62" s="64">
        <v>35.520000000000003</v>
      </c>
      <c r="M62" s="64">
        <v>27.79</v>
      </c>
      <c r="N62" s="64">
        <v>778.8</v>
      </c>
      <c r="O62" s="64">
        <v>0</v>
      </c>
      <c r="P62" s="64">
        <v>0.78</v>
      </c>
      <c r="Q62" s="64">
        <v>2.4700000000000002</v>
      </c>
      <c r="R62" s="198"/>
      <c r="S62" s="198"/>
      <c r="T62" s="198"/>
      <c r="U62" s="198"/>
    </row>
    <row r="63" spans="1:21" s="12" customFormat="1" x14ac:dyDescent="0.25">
      <c r="A63" s="218" t="s">
        <v>2707</v>
      </c>
      <c r="B63" s="64">
        <v>2.4700000000000002</v>
      </c>
      <c r="C63" s="64">
        <v>31.04</v>
      </c>
      <c r="D63" s="64">
        <v>33.51</v>
      </c>
      <c r="E63" s="64">
        <v>2.2599999999999998</v>
      </c>
      <c r="F63" s="64">
        <v>10.33</v>
      </c>
      <c r="G63" s="219" t="s">
        <v>42</v>
      </c>
      <c r="H63" s="219" t="s">
        <v>42</v>
      </c>
      <c r="I63" s="64">
        <v>0.47</v>
      </c>
      <c r="J63" s="64">
        <v>0.21</v>
      </c>
      <c r="K63" s="64">
        <v>282.7</v>
      </c>
      <c r="L63" s="64">
        <v>34.08</v>
      </c>
      <c r="M63" s="64">
        <v>28.94</v>
      </c>
      <c r="N63" s="64">
        <v>733.2</v>
      </c>
      <c r="O63" s="64">
        <v>0</v>
      </c>
      <c r="P63" s="64">
        <v>0.72</v>
      </c>
      <c r="Q63" s="64">
        <v>1.45</v>
      </c>
      <c r="R63" s="198"/>
      <c r="S63" s="198"/>
      <c r="T63" s="198"/>
      <c r="U63" s="198"/>
    </row>
    <row r="64" spans="1:21" s="12" customFormat="1" x14ac:dyDescent="0.25">
      <c r="A64" s="218" t="s">
        <v>2708</v>
      </c>
      <c r="B64" s="64">
        <v>1.9</v>
      </c>
      <c r="C64" s="64">
        <v>29.48</v>
      </c>
      <c r="D64" s="64">
        <v>31.39</v>
      </c>
      <c r="E64" s="64">
        <v>1.37</v>
      </c>
      <c r="F64" s="64">
        <v>11.59</v>
      </c>
      <c r="G64" s="219" t="s">
        <v>42</v>
      </c>
      <c r="H64" s="219" t="s">
        <v>42</v>
      </c>
      <c r="I64" s="64">
        <v>0.47</v>
      </c>
      <c r="J64" s="64">
        <v>0.4</v>
      </c>
      <c r="K64" s="64">
        <v>288.74</v>
      </c>
      <c r="L64" s="64">
        <v>34.270000000000003</v>
      </c>
      <c r="M64" s="64">
        <v>28.81</v>
      </c>
      <c r="N64" s="64">
        <v>724.2</v>
      </c>
      <c r="O64" s="64">
        <v>0</v>
      </c>
      <c r="P64" s="64">
        <v>0.68</v>
      </c>
      <c r="Q64" s="64">
        <v>0.26</v>
      </c>
      <c r="R64" s="198"/>
      <c r="S64" s="198"/>
      <c r="T64" s="198"/>
      <c r="U64" s="198"/>
    </row>
    <row r="65" spans="1:21" s="12" customFormat="1" x14ac:dyDescent="0.25">
      <c r="A65" s="218" t="s">
        <v>2709</v>
      </c>
      <c r="B65" s="64">
        <v>3.04</v>
      </c>
      <c r="C65" s="64">
        <v>34.96</v>
      </c>
      <c r="D65" s="64">
        <v>38</v>
      </c>
      <c r="E65" s="64">
        <v>1.83</v>
      </c>
      <c r="F65" s="64">
        <v>15.76</v>
      </c>
      <c r="G65" s="64">
        <v>30.78</v>
      </c>
      <c r="H65" s="64">
        <v>8.3699999999999992</v>
      </c>
      <c r="I65" s="64">
        <v>0.47</v>
      </c>
      <c r="J65" s="64">
        <v>0.51</v>
      </c>
      <c r="K65" s="64">
        <v>279.23</v>
      </c>
      <c r="L65" s="64">
        <v>34.409999999999997</v>
      </c>
      <c r="M65" s="64">
        <v>28.64</v>
      </c>
      <c r="N65" s="64">
        <v>678.5</v>
      </c>
      <c r="O65" s="64">
        <v>0</v>
      </c>
      <c r="P65" s="64">
        <v>0.65</v>
      </c>
      <c r="Q65" s="64">
        <v>6.17</v>
      </c>
      <c r="R65" s="198"/>
      <c r="S65" s="198"/>
      <c r="T65" s="198"/>
      <c r="U65" s="198"/>
    </row>
    <row r="66" spans="1:21" s="12" customFormat="1" x14ac:dyDescent="0.25">
      <c r="A66" s="218" t="s">
        <v>2710</v>
      </c>
      <c r="B66" s="64">
        <v>3.82</v>
      </c>
      <c r="C66" s="64">
        <v>33.07</v>
      </c>
      <c r="D66" s="64">
        <v>36.89</v>
      </c>
      <c r="E66" s="64">
        <v>1.84</v>
      </c>
      <c r="F66" s="64">
        <v>15.66</v>
      </c>
      <c r="G66" s="64">
        <v>31.48</v>
      </c>
      <c r="H66" s="64">
        <v>8.56</v>
      </c>
      <c r="I66" s="64">
        <v>0.47</v>
      </c>
      <c r="J66" s="64">
        <v>0.19</v>
      </c>
      <c r="K66" s="64">
        <v>262.06</v>
      </c>
      <c r="L66" s="64">
        <v>34.21</v>
      </c>
      <c r="M66" s="64">
        <v>27.75</v>
      </c>
      <c r="N66" s="64">
        <v>587.5</v>
      </c>
      <c r="O66" s="64">
        <v>0</v>
      </c>
      <c r="P66" s="64">
        <v>0.66</v>
      </c>
      <c r="Q66" s="64">
        <v>5.41</v>
      </c>
      <c r="R66" s="198"/>
      <c r="S66" s="198"/>
      <c r="T66" s="198"/>
      <c r="U66" s="198"/>
    </row>
    <row r="67" spans="1:21" s="12" customFormat="1" x14ac:dyDescent="0.25">
      <c r="A67" s="218" t="s">
        <v>2711</v>
      </c>
      <c r="B67" s="64">
        <v>2.89</v>
      </c>
      <c r="C67" s="64">
        <v>28.23</v>
      </c>
      <c r="D67" s="64">
        <v>31.13</v>
      </c>
      <c r="E67" s="64">
        <v>2.23</v>
      </c>
      <c r="F67" s="64">
        <v>23.05</v>
      </c>
      <c r="G67" s="64">
        <v>31.48</v>
      </c>
      <c r="H67" s="64">
        <v>8.56</v>
      </c>
      <c r="I67" s="64">
        <v>0.46</v>
      </c>
      <c r="J67" s="64">
        <v>0.32</v>
      </c>
      <c r="K67" s="64">
        <v>226.51</v>
      </c>
      <c r="L67" s="64">
        <v>32.6</v>
      </c>
      <c r="M67" s="64">
        <v>29.66</v>
      </c>
      <c r="N67" s="64">
        <v>502.1</v>
      </c>
      <c r="O67" s="64">
        <v>0</v>
      </c>
      <c r="P67" s="64">
        <v>0.55000000000000004</v>
      </c>
      <c r="Q67" s="64">
        <v>2.64</v>
      </c>
      <c r="R67" s="198"/>
      <c r="S67" s="198"/>
      <c r="T67" s="198"/>
      <c r="U67" s="198"/>
    </row>
    <row r="68" spans="1:21" s="12" customFormat="1" x14ac:dyDescent="0.25">
      <c r="A68" s="218" t="s">
        <v>2712</v>
      </c>
      <c r="B68" s="64">
        <v>3.23</v>
      </c>
      <c r="C68" s="64">
        <v>26.51</v>
      </c>
      <c r="D68" s="64">
        <v>29.74</v>
      </c>
      <c r="E68" s="64">
        <v>2.35</v>
      </c>
      <c r="F68" s="64">
        <v>25.15</v>
      </c>
      <c r="G68" s="64">
        <v>31.48</v>
      </c>
      <c r="H68" s="64">
        <v>8.56</v>
      </c>
      <c r="I68" s="64">
        <v>0.46</v>
      </c>
      <c r="J68" s="64">
        <v>0.56999999999999995</v>
      </c>
      <c r="K68" s="64">
        <v>285.22000000000003</v>
      </c>
      <c r="L68" s="64">
        <v>33.700000000000003</v>
      </c>
      <c r="M68" s="64">
        <v>29.32</v>
      </c>
      <c r="N68" s="64">
        <v>422.5</v>
      </c>
      <c r="O68" s="64">
        <v>0</v>
      </c>
      <c r="P68" s="64">
        <v>0.55000000000000004</v>
      </c>
      <c r="Q68" s="64">
        <v>1.27</v>
      </c>
      <c r="R68" s="198"/>
      <c r="S68" s="198"/>
      <c r="T68" s="198"/>
      <c r="U68" s="198"/>
    </row>
    <row r="69" spans="1:21" s="12" customFormat="1" x14ac:dyDescent="0.25">
      <c r="A69" s="218" t="s">
        <v>2713</v>
      </c>
      <c r="B69" s="64">
        <v>4.7699999999999996</v>
      </c>
      <c r="C69" s="64">
        <v>30.66</v>
      </c>
      <c r="D69" s="64">
        <v>35.43</v>
      </c>
      <c r="E69" s="64">
        <v>2.96</v>
      </c>
      <c r="F69" s="64">
        <v>24.68</v>
      </c>
      <c r="G69" s="64">
        <v>28.21</v>
      </c>
      <c r="H69" s="64">
        <v>7.79</v>
      </c>
      <c r="I69" s="64">
        <v>0.46</v>
      </c>
      <c r="J69" s="64">
        <v>0.23</v>
      </c>
      <c r="K69" s="64">
        <v>232.37</v>
      </c>
      <c r="L69" s="64">
        <v>33.700000000000003</v>
      </c>
      <c r="M69" s="64">
        <v>28.85</v>
      </c>
      <c r="N69" s="64">
        <v>388.7</v>
      </c>
      <c r="O69" s="64">
        <v>0</v>
      </c>
      <c r="P69" s="64">
        <v>0.59</v>
      </c>
      <c r="Q69" s="64">
        <v>0.67</v>
      </c>
      <c r="R69" s="198"/>
      <c r="S69" s="198"/>
      <c r="T69" s="198"/>
      <c r="U69" s="198"/>
    </row>
    <row r="70" spans="1:21" s="12" customFormat="1" x14ac:dyDescent="0.25">
      <c r="A70" s="218" t="s">
        <v>2714</v>
      </c>
      <c r="B70" s="64">
        <v>2.76</v>
      </c>
      <c r="C70" s="64">
        <v>34.29</v>
      </c>
      <c r="D70" s="64">
        <v>37.049999999999997</v>
      </c>
      <c r="E70" s="64">
        <v>1.81</v>
      </c>
      <c r="F70" s="64">
        <v>12.19</v>
      </c>
      <c r="G70" s="64">
        <v>28.14</v>
      </c>
      <c r="H70" s="64">
        <v>7.78</v>
      </c>
      <c r="I70" s="64">
        <v>0.47</v>
      </c>
      <c r="J70" s="64">
        <v>0.23</v>
      </c>
      <c r="K70" s="64">
        <v>256.79000000000002</v>
      </c>
      <c r="L70" s="64">
        <v>32.130000000000003</v>
      </c>
      <c r="M70" s="64">
        <v>31.42</v>
      </c>
      <c r="N70" s="64">
        <v>227</v>
      </c>
      <c r="O70" s="64">
        <v>0</v>
      </c>
      <c r="P70" s="64">
        <v>0.56000000000000005</v>
      </c>
      <c r="Q70" s="64">
        <v>6.49</v>
      </c>
      <c r="R70" s="198"/>
      <c r="S70" s="198"/>
      <c r="T70" s="198"/>
      <c r="U70" s="198"/>
    </row>
    <row r="71" spans="1:21" s="12" customFormat="1" x14ac:dyDescent="0.25">
      <c r="A71" s="218" t="s">
        <v>2715</v>
      </c>
      <c r="B71" s="64">
        <v>2.13</v>
      </c>
      <c r="C71" s="64">
        <v>29.24</v>
      </c>
      <c r="D71" s="64">
        <v>31.36</v>
      </c>
      <c r="E71" s="64">
        <v>1.59</v>
      </c>
      <c r="F71" s="64">
        <v>9.94</v>
      </c>
      <c r="G71" s="64">
        <v>28.14</v>
      </c>
      <c r="H71" s="64">
        <v>7.78</v>
      </c>
      <c r="I71" s="64">
        <v>0.47</v>
      </c>
      <c r="J71" s="64">
        <v>0.13</v>
      </c>
      <c r="K71" s="64">
        <v>307.92</v>
      </c>
      <c r="L71" s="64">
        <v>32.19</v>
      </c>
      <c r="M71" s="64">
        <v>30.59</v>
      </c>
      <c r="N71" s="64">
        <v>146.4</v>
      </c>
      <c r="O71" s="64">
        <v>0</v>
      </c>
      <c r="P71" s="64">
        <v>0.55000000000000004</v>
      </c>
      <c r="Q71" s="64">
        <v>2.74</v>
      </c>
      <c r="R71" s="198"/>
      <c r="S71" s="198"/>
      <c r="T71" s="198"/>
      <c r="U71" s="198"/>
    </row>
    <row r="72" spans="1:21" s="12" customFormat="1" x14ac:dyDescent="0.25">
      <c r="A72" s="218" t="s">
        <v>2716</v>
      </c>
      <c r="B72" s="64">
        <v>2.36</v>
      </c>
      <c r="C72" s="64">
        <v>32.6</v>
      </c>
      <c r="D72" s="64">
        <v>34.96</v>
      </c>
      <c r="E72" s="64">
        <v>0.69</v>
      </c>
      <c r="F72" s="64">
        <v>7.42</v>
      </c>
      <c r="G72" s="64">
        <v>28.14</v>
      </c>
      <c r="H72" s="64">
        <v>7.78</v>
      </c>
      <c r="I72" s="64">
        <v>0.47</v>
      </c>
      <c r="J72" s="64">
        <v>0.57999999999999996</v>
      </c>
      <c r="K72" s="64">
        <v>286.69</v>
      </c>
      <c r="L72" s="64">
        <v>32.24</v>
      </c>
      <c r="M72" s="64">
        <v>30.45</v>
      </c>
      <c r="N72" s="64">
        <v>135.1</v>
      </c>
      <c r="O72" s="64">
        <v>0</v>
      </c>
      <c r="P72" s="64">
        <v>0.59</v>
      </c>
      <c r="Q72" s="64">
        <v>5.05</v>
      </c>
      <c r="R72" s="198"/>
      <c r="S72" s="198"/>
      <c r="T72" s="198"/>
      <c r="U72" s="198"/>
    </row>
    <row r="73" spans="1:21" s="12" customFormat="1" x14ac:dyDescent="0.25">
      <c r="A73" s="218" t="s">
        <v>2717</v>
      </c>
      <c r="B73" s="64">
        <v>2.61</v>
      </c>
      <c r="C73" s="64">
        <v>34.03</v>
      </c>
      <c r="D73" s="64">
        <v>36.65</v>
      </c>
      <c r="E73" s="64">
        <v>1.31</v>
      </c>
      <c r="F73" s="64">
        <v>7.46</v>
      </c>
      <c r="G73" s="64">
        <v>31.85</v>
      </c>
      <c r="H73" s="64">
        <v>9.7100000000000009</v>
      </c>
      <c r="I73" s="64">
        <v>0.47</v>
      </c>
      <c r="J73" s="64">
        <v>0.33</v>
      </c>
      <c r="K73" s="64">
        <v>291.60000000000002</v>
      </c>
      <c r="L73" s="64">
        <v>32.42</v>
      </c>
      <c r="M73" s="64">
        <v>28.94</v>
      </c>
      <c r="N73" s="64">
        <v>107.3</v>
      </c>
      <c r="O73" s="64">
        <v>0</v>
      </c>
      <c r="P73" s="64">
        <v>0.6</v>
      </c>
      <c r="Q73" s="64">
        <v>5.25</v>
      </c>
      <c r="R73" s="198"/>
      <c r="S73" s="198"/>
      <c r="T73" s="198"/>
      <c r="U73" s="198"/>
    </row>
    <row r="74" spans="1:21" s="12" customFormat="1" x14ac:dyDescent="0.25">
      <c r="A74" s="218" t="s">
        <v>2718</v>
      </c>
      <c r="B74" s="64">
        <v>2.58</v>
      </c>
      <c r="C74" s="64">
        <v>30.94</v>
      </c>
      <c r="D74" s="64">
        <v>33.51</v>
      </c>
      <c r="E74" s="64">
        <v>1.66</v>
      </c>
      <c r="F74" s="64">
        <v>10.15</v>
      </c>
      <c r="G74" s="64">
        <v>31.94</v>
      </c>
      <c r="H74" s="64">
        <v>9.76</v>
      </c>
      <c r="I74" s="64">
        <v>0.48</v>
      </c>
      <c r="J74" s="64">
        <v>0.38</v>
      </c>
      <c r="K74" s="64">
        <v>221.09</v>
      </c>
      <c r="L74" s="64">
        <v>31.85</v>
      </c>
      <c r="M74" s="64">
        <v>28.77</v>
      </c>
      <c r="N74" s="64">
        <v>97.1</v>
      </c>
      <c r="O74" s="64">
        <v>0</v>
      </c>
      <c r="P74" s="64">
        <v>0.59</v>
      </c>
      <c r="Q74" s="64">
        <v>2.04</v>
      </c>
      <c r="R74" s="198"/>
      <c r="S74" s="198"/>
      <c r="T74" s="198"/>
      <c r="U74" s="198"/>
    </row>
    <row r="75" spans="1:21" s="12" customFormat="1" x14ac:dyDescent="0.25">
      <c r="A75" s="218" t="s">
        <v>2719</v>
      </c>
      <c r="B75" s="64">
        <v>3.05</v>
      </c>
      <c r="C75" s="64">
        <v>36.35</v>
      </c>
      <c r="D75" s="64">
        <v>39.4</v>
      </c>
      <c r="E75" s="64">
        <v>1.65</v>
      </c>
      <c r="F75" s="64">
        <v>8.3000000000000007</v>
      </c>
      <c r="G75" s="64">
        <v>31.94</v>
      </c>
      <c r="H75" s="64">
        <v>9.76</v>
      </c>
      <c r="I75" s="64">
        <v>0.48</v>
      </c>
      <c r="J75" s="64">
        <v>0.19</v>
      </c>
      <c r="K75" s="64">
        <v>305.83999999999997</v>
      </c>
      <c r="L75" s="64">
        <v>31.93</v>
      </c>
      <c r="M75" s="64">
        <v>29.57</v>
      </c>
      <c r="N75" s="64">
        <v>86</v>
      </c>
      <c r="O75" s="64">
        <v>0</v>
      </c>
      <c r="P75" s="64">
        <v>0.61</v>
      </c>
      <c r="Q75" s="64">
        <v>6.25</v>
      </c>
      <c r="R75" s="198"/>
      <c r="S75" s="198"/>
      <c r="T75" s="198"/>
      <c r="U75" s="198"/>
    </row>
    <row r="76" spans="1:21" s="12" customFormat="1" x14ac:dyDescent="0.25">
      <c r="A76" s="218" t="s">
        <v>2720</v>
      </c>
      <c r="B76" s="64">
        <v>3</v>
      </c>
      <c r="C76" s="64">
        <v>31.95</v>
      </c>
      <c r="D76" s="64">
        <v>34.950000000000003</v>
      </c>
      <c r="E76" s="64">
        <v>1.56</v>
      </c>
      <c r="F76" s="64">
        <v>14.23</v>
      </c>
      <c r="G76" s="64">
        <v>31.94</v>
      </c>
      <c r="H76" s="64">
        <v>9.76</v>
      </c>
      <c r="I76" s="64">
        <v>0.48</v>
      </c>
      <c r="J76" s="64">
        <v>0.22</v>
      </c>
      <c r="K76" s="64">
        <v>259.94</v>
      </c>
      <c r="L76" s="64">
        <v>31.69</v>
      </c>
      <c r="M76" s="64">
        <v>30.37</v>
      </c>
      <c r="N76" s="64">
        <v>73.599999999999994</v>
      </c>
      <c r="O76" s="64">
        <v>0</v>
      </c>
      <c r="P76" s="64">
        <v>0.6</v>
      </c>
      <c r="Q76" s="64">
        <v>2.61</v>
      </c>
      <c r="R76" s="198"/>
      <c r="S76" s="198"/>
      <c r="T76" s="198"/>
      <c r="U76" s="198"/>
    </row>
    <row r="77" spans="1:21" s="12" customFormat="1" x14ac:dyDescent="0.25">
      <c r="A77" s="218" t="s">
        <v>2721</v>
      </c>
      <c r="B77" s="64">
        <v>5.28</v>
      </c>
      <c r="C77" s="64">
        <v>36.380000000000003</v>
      </c>
      <c r="D77" s="64">
        <v>41.66</v>
      </c>
      <c r="E77" s="64">
        <v>2.5299999999999998</v>
      </c>
      <c r="F77" s="64">
        <v>19.57</v>
      </c>
      <c r="G77" s="64">
        <v>31.11</v>
      </c>
      <c r="H77" s="64">
        <v>9.27</v>
      </c>
      <c r="I77" s="64">
        <v>0.5</v>
      </c>
      <c r="J77" s="64">
        <v>0.26</v>
      </c>
      <c r="K77" s="64">
        <v>247.4</v>
      </c>
      <c r="L77" s="64">
        <v>31.32</v>
      </c>
      <c r="M77" s="64">
        <v>30.67</v>
      </c>
      <c r="N77" s="64">
        <v>64.5</v>
      </c>
      <c r="O77" s="64">
        <v>0</v>
      </c>
      <c r="P77" s="64">
        <v>0.64</v>
      </c>
      <c r="Q77" s="64">
        <v>8.9600000000000009</v>
      </c>
      <c r="R77" s="198"/>
      <c r="S77" s="198"/>
      <c r="T77" s="198"/>
      <c r="U77" s="198"/>
    </row>
    <row r="78" spans="1:21" s="12" customFormat="1" x14ac:dyDescent="0.25">
      <c r="A78" s="218" t="s">
        <v>2722</v>
      </c>
      <c r="B78" s="64">
        <v>6.66</v>
      </c>
      <c r="C78" s="64">
        <v>37.159999999999997</v>
      </c>
      <c r="D78" s="64">
        <v>43.82</v>
      </c>
      <c r="E78" s="64">
        <v>2.23</v>
      </c>
      <c r="F78" s="64">
        <v>19.399999999999999</v>
      </c>
      <c r="G78" s="64">
        <v>31.09</v>
      </c>
      <c r="H78" s="64">
        <v>9.26</v>
      </c>
      <c r="I78" s="64">
        <v>0.48</v>
      </c>
      <c r="J78" s="64">
        <v>0.13</v>
      </c>
      <c r="K78" s="64">
        <v>319.19</v>
      </c>
      <c r="L78" s="64">
        <v>31.31</v>
      </c>
      <c r="M78" s="64">
        <v>30.32</v>
      </c>
      <c r="N78" s="64">
        <v>48.2</v>
      </c>
      <c r="O78" s="64">
        <v>0</v>
      </c>
      <c r="P78" s="64">
        <v>0.67</v>
      </c>
      <c r="Q78" s="64">
        <v>3.67</v>
      </c>
      <c r="R78" s="198"/>
      <c r="S78" s="198"/>
      <c r="T78" s="198"/>
      <c r="U78" s="198"/>
    </row>
    <row r="79" spans="1:21" s="12" customFormat="1" x14ac:dyDescent="0.25">
      <c r="A79" s="218" t="s">
        <v>2723</v>
      </c>
      <c r="B79" s="64">
        <v>4.09</v>
      </c>
      <c r="C79" s="64">
        <v>32.28</v>
      </c>
      <c r="D79" s="64">
        <v>36.369999999999997</v>
      </c>
      <c r="E79" s="64">
        <v>2.21</v>
      </c>
      <c r="F79" s="64">
        <v>21.42</v>
      </c>
      <c r="G79" s="64">
        <v>31.09</v>
      </c>
      <c r="H79" s="64">
        <v>9.26</v>
      </c>
      <c r="I79" s="64">
        <v>0.5</v>
      </c>
      <c r="J79" s="64">
        <v>0.32</v>
      </c>
      <c r="K79" s="64">
        <v>258.67</v>
      </c>
      <c r="L79" s="64">
        <v>30.91</v>
      </c>
      <c r="M79" s="64">
        <v>30.18</v>
      </c>
      <c r="N79" s="64">
        <v>36.799999999999997</v>
      </c>
      <c r="O79" s="64">
        <v>0</v>
      </c>
      <c r="P79" s="64">
        <v>0.56999999999999995</v>
      </c>
      <c r="Q79" s="64">
        <v>6.39</v>
      </c>
      <c r="R79" s="198"/>
      <c r="S79" s="198"/>
      <c r="T79" s="198"/>
      <c r="U79" s="198"/>
    </row>
    <row r="80" spans="1:21" s="12" customFormat="1" x14ac:dyDescent="0.25">
      <c r="A80" s="218" t="s">
        <v>2724</v>
      </c>
      <c r="B80" s="64">
        <v>3.46</v>
      </c>
      <c r="C80" s="64">
        <v>34.28</v>
      </c>
      <c r="D80" s="64">
        <v>37.74</v>
      </c>
      <c r="E80" s="64">
        <v>2.25</v>
      </c>
      <c r="F80" s="64">
        <v>31.02</v>
      </c>
      <c r="G80" s="64">
        <v>31.09</v>
      </c>
      <c r="H80" s="64">
        <v>9.26</v>
      </c>
      <c r="I80" s="64">
        <v>0.49</v>
      </c>
      <c r="J80" s="64">
        <v>0.3</v>
      </c>
      <c r="K80" s="64">
        <v>256.14</v>
      </c>
      <c r="L80" s="64">
        <v>30.65</v>
      </c>
      <c r="M80" s="64">
        <v>31.03</v>
      </c>
      <c r="N80" s="64">
        <v>25.2</v>
      </c>
      <c r="O80" s="64">
        <v>0</v>
      </c>
      <c r="P80" s="64">
        <v>0.51</v>
      </c>
      <c r="Q80" s="64">
        <v>9.36</v>
      </c>
      <c r="R80" s="198"/>
      <c r="S80" s="198"/>
      <c r="T80" s="198"/>
      <c r="U80" s="198"/>
    </row>
    <row r="81" spans="1:26" s="12" customFormat="1" x14ac:dyDescent="0.25">
      <c r="A81" s="218" t="s">
        <v>2725</v>
      </c>
      <c r="B81" s="64">
        <v>3.88</v>
      </c>
      <c r="C81" s="64">
        <v>42.67</v>
      </c>
      <c r="D81" s="64">
        <v>46.55</v>
      </c>
      <c r="E81" s="64">
        <v>2.35</v>
      </c>
      <c r="F81" s="64">
        <v>19.96</v>
      </c>
      <c r="G81" s="64">
        <v>27.24</v>
      </c>
      <c r="H81" s="64">
        <v>10.37</v>
      </c>
      <c r="I81" s="64">
        <v>0.51</v>
      </c>
      <c r="J81" s="64">
        <v>0.93</v>
      </c>
      <c r="K81" s="64">
        <v>197.5</v>
      </c>
      <c r="L81" s="64">
        <v>30.23</v>
      </c>
      <c r="M81" s="64">
        <v>31.99</v>
      </c>
      <c r="N81" s="64">
        <v>12.3</v>
      </c>
      <c r="O81" s="64">
        <v>0</v>
      </c>
      <c r="P81" s="64">
        <v>0.56000000000000005</v>
      </c>
      <c r="Q81" s="64">
        <v>8.91</v>
      </c>
      <c r="R81" s="198"/>
      <c r="S81" s="198"/>
      <c r="T81" s="198"/>
      <c r="U81" s="198"/>
    </row>
    <row r="82" spans="1:26" s="12" customFormat="1" x14ac:dyDescent="0.25">
      <c r="A82" s="218" t="s">
        <v>2726</v>
      </c>
      <c r="B82" s="64">
        <v>4.24</v>
      </c>
      <c r="C82" s="64">
        <v>43.89</v>
      </c>
      <c r="D82" s="64">
        <v>48.13</v>
      </c>
      <c r="E82" s="64">
        <v>2.25</v>
      </c>
      <c r="F82" s="64">
        <v>10.09</v>
      </c>
      <c r="G82" s="64">
        <v>27.11</v>
      </c>
      <c r="H82" s="64">
        <v>10.39</v>
      </c>
      <c r="I82" s="64">
        <v>0.51</v>
      </c>
      <c r="J82" s="64">
        <v>0.74</v>
      </c>
      <c r="K82" s="64">
        <v>198.8</v>
      </c>
      <c r="L82" s="64">
        <v>29.95</v>
      </c>
      <c r="M82" s="64">
        <v>32.6</v>
      </c>
      <c r="N82" s="64">
        <v>5.9</v>
      </c>
      <c r="O82" s="64">
        <v>0</v>
      </c>
      <c r="P82" s="64">
        <v>0.6</v>
      </c>
      <c r="Q82" s="64">
        <v>10.93</v>
      </c>
      <c r="R82" s="198"/>
      <c r="S82" s="198"/>
      <c r="T82" s="198"/>
      <c r="U82" s="198"/>
    </row>
    <row r="83" spans="1:26" s="12" customFormat="1" x14ac:dyDescent="0.25">
      <c r="A83" s="218" t="s">
        <v>2727</v>
      </c>
      <c r="B83" s="64">
        <v>5.0599999999999996</v>
      </c>
      <c r="C83" s="64">
        <v>46.07</v>
      </c>
      <c r="D83" s="64">
        <v>51.12</v>
      </c>
      <c r="E83" s="64">
        <v>1.62</v>
      </c>
      <c r="F83" s="64">
        <v>9.09</v>
      </c>
      <c r="G83" s="64">
        <v>27.11</v>
      </c>
      <c r="H83" s="64">
        <v>10.39</v>
      </c>
      <c r="I83" s="64">
        <v>0.52</v>
      </c>
      <c r="J83" s="64">
        <v>0.69</v>
      </c>
      <c r="K83" s="64">
        <v>191.64</v>
      </c>
      <c r="L83" s="64">
        <v>29.64</v>
      </c>
      <c r="M83" s="64">
        <v>33.81</v>
      </c>
      <c r="N83" s="64">
        <v>4.5999999999999996</v>
      </c>
      <c r="O83" s="64">
        <v>0</v>
      </c>
      <c r="P83" s="64">
        <v>0.63</v>
      </c>
      <c r="Q83" s="64">
        <v>11.22</v>
      </c>
      <c r="R83" s="198"/>
      <c r="S83" s="198"/>
      <c r="T83" s="198"/>
      <c r="U83" s="198"/>
    </row>
    <row r="84" spans="1:26" s="12" customFormat="1" x14ac:dyDescent="0.25">
      <c r="A84" s="218" t="s">
        <v>2728</v>
      </c>
      <c r="B84" s="64">
        <v>8.39</v>
      </c>
      <c r="C84" s="64">
        <v>54.45</v>
      </c>
      <c r="D84" s="64">
        <v>62.84</v>
      </c>
      <c r="E84" s="64">
        <v>2.19</v>
      </c>
      <c r="F84" s="64">
        <v>9.09</v>
      </c>
      <c r="G84" s="64">
        <v>27.11</v>
      </c>
      <c r="H84" s="64">
        <v>10.39</v>
      </c>
      <c r="I84" s="64">
        <v>0.55000000000000004</v>
      </c>
      <c r="J84" s="64">
        <v>0.49</v>
      </c>
      <c r="K84" s="64">
        <v>190.13</v>
      </c>
      <c r="L84" s="64">
        <v>29.31</v>
      </c>
      <c r="M84" s="64">
        <v>35.25</v>
      </c>
      <c r="N84" s="64">
        <v>4.7</v>
      </c>
      <c r="O84" s="64">
        <v>0</v>
      </c>
      <c r="P84" s="64">
        <v>0.67</v>
      </c>
      <c r="Q84" s="64">
        <v>12.13</v>
      </c>
      <c r="R84" s="198"/>
      <c r="S84" s="198"/>
      <c r="T84" s="198"/>
      <c r="U84" s="198"/>
    </row>
    <row r="85" spans="1:26" s="12" customFormat="1" x14ac:dyDescent="0.25">
      <c r="A85" s="218" t="s">
        <v>2729</v>
      </c>
      <c r="B85" s="64">
        <v>8.11</v>
      </c>
      <c r="C85" s="64">
        <v>57.35</v>
      </c>
      <c r="D85" s="64">
        <v>65.45</v>
      </c>
      <c r="E85" s="64">
        <v>1.59</v>
      </c>
      <c r="F85" s="64">
        <v>8.93</v>
      </c>
      <c r="G85" s="64">
        <v>30.39</v>
      </c>
      <c r="H85" s="64">
        <v>12.84</v>
      </c>
      <c r="I85" s="64">
        <v>0.55000000000000004</v>
      </c>
      <c r="J85" s="64">
        <v>0.26</v>
      </c>
      <c r="K85" s="64">
        <v>212.73</v>
      </c>
      <c r="L85" s="64">
        <v>28.93</v>
      </c>
      <c r="M85" s="64">
        <v>36.69</v>
      </c>
      <c r="N85" s="64">
        <v>4.9000000000000004</v>
      </c>
      <c r="O85" s="64">
        <v>0</v>
      </c>
      <c r="P85" s="64">
        <v>0.7</v>
      </c>
      <c r="Q85" s="64">
        <v>13.29</v>
      </c>
      <c r="R85" s="198"/>
      <c r="S85" s="198"/>
      <c r="T85" s="198"/>
      <c r="U85" s="198"/>
    </row>
    <row r="86" spans="1:26" s="12" customFormat="1" x14ac:dyDescent="0.25">
      <c r="A86" s="218" t="s">
        <v>2730</v>
      </c>
      <c r="B86" s="64">
        <v>11.01</v>
      </c>
      <c r="C86" s="64">
        <v>62.39</v>
      </c>
      <c r="D86" s="64">
        <v>73.400000000000006</v>
      </c>
      <c r="E86" s="64">
        <v>2.02</v>
      </c>
      <c r="F86" s="64">
        <v>6.22</v>
      </c>
      <c r="G86" s="64">
        <v>30.39</v>
      </c>
      <c r="H86" s="64">
        <v>12.84</v>
      </c>
      <c r="I86" s="64">
        <v>0.56000000000000005</v>
      </c>
      <c r="J86" s="64">
        <v>0.46</v>
      </c>
      <c r="K86" s="64">
        <v>189.16</v>
      </c>
      <c r="L86" s="64">
        <v>28.5</v>
      </c>
      <c r="M86" s="64">
        <v>37.93</v>
      </c>
      <c r="N86" s="64">
        <v>4.3</v>
      </c>
      <c r="O86" s="64">
        <v>0</v>
      </c>
      <c r="P86" s="64">
        <v>0.8</v>
      </c>
      <c r="Q86" s="64">
        <v>13.67</v>
      </c>
      <c r="R86" s="198"/>
      <c r="S86" s="198"/>
      <c r="T86" s="198"/>
      <c r="U86" s="198"/>
    </row>
    <row r="87" spans="1:26" s="12" customFormat="1" x14ac:dyDescent="0.25">
      <c r="A87" s="218" t="s">
        <v>2731</v>
      </c>
      <c r="B87" s="64">
        <v>21.88</v>
      </c>
      <c r="C87" s="64">
        <v>59.95</v>
      </c>
      <c r="D87" s="64">
        <v>81.83</v>
      </c>
      <c r="E87" s="64">
        <v>2.0299999999999998</v>
      </c>
      <c r="F87" s="64">
        <v>6.4</v>
      </c>
      <c r="G87" s="64">
        <v>30.39</v>
      </c>
      <c r="H87" s="64">
        <v>12.84</v>
      </c>
      <c r="I87" s="64">
        <v>0.54</v>
      </c>
      <c r="J87" s="64">
        <v>0.13</v>
      </c>
      <c r="K87" s="64">
        <v>277.12</v>
      </c>
      <c r="L87" s="64">
        <v>28.29</v>
      </c>
      <c r="M87" s="64">
        <v>40.130000000000003</v>
      </c>
      <c r="N87" s="64">
        <v>5.2</v>
      </c>
      <c r="O87" s="64">
        <v>0</v>
      </c>
      <c r="P87" s="64">
        <v>1.1100000000000001</v>
      </c>
      <c r="Q87" s="64">
        <v>16.350000000000001</v>
      </c>
      <c r="R87" s="198"/>
      <c r="S87" s="198"/>
      <c r="T87" s="198"/>
      <c r="U87" s="198"/>
    </row>
    <row r="88" spans="1:26" s="12" customFormat="1" x14ac:dyDescent="0.25">
      <c r="A88" s="218" t="s">
        <v>2732</v>
      </c>
      <c r="B88" s="64">
        <v>43.38</v>
      </c>
      <c r="C88" s="64">
        <v>72.599999999999994</v>
      </c>
      <c r="D88" s="64">
        <v>115.97</v>
      </c>
      <c r="E88" s="64">
        <v>1.67</v>
      </c>
      <c r="F88" s="64">
        <v>4.38</v>
      </c>
      <c r="G88" s="64">
        <v>30.39</v>
      </c>
      <c r="H88" s="64">
        <v>12.84</v>
      </c>
      <c r="I88" s="64">
        <v>0.55000000000000004</v>
      </c>
      <c r="J88" s="64">
        <v>0.08</v>
      </c>
      <c r="K88" s="64">
        <v>301.52</v>
      </c>
      <c r="L88" s="64">
        <v>27.65</v>
      </c>
      <c r="M88" s="64">
        <v>44.01</v>
      </c>
      <c r="N88" s="64">
        <v>5.2</v>
      </c>
      <c r="O88" s="64">
        <v>0</v>
      </c>
      <c r="P88" s="64">
        <v>1.77</v>
      </c>
      <c r="Q88" s="64">
        <v>15.72</v>
      </c>
      <c r="R88" s="198"/>
      <c r="S88" s="198"/>
      <c r="T88" s="198"/>
      <c r="U88" s="198"/>
    </row>
    <row r="89" spans="1:26" s="12" customFormat="1" x14ac:dyDescent="0.25">
      <c r="A89" s="218" t="s">
        <v>2733</v>
      </c>
      <c r="B89" s="64">
        <v>61.83</v>
      </c>
      <c r="C89" s="64">
        <v>90.59</v>
      </c>
      <c r="D89" s="64">
        <v>152.41999999999999</v>
      </c>
      <c r="E89" s="64">
        <v>2.89</v>
      </c>
      <c r="F89" s="64">
        <v>5.96</v>
      </c>
      <c r="G89" s="64">
        <v>45.05</v>
      </c>
      <c r="H89" s="64">
        <v>15</v>
      </c>
      <c r="I89" s="64">
        <v>0.61</v>
      </c>
      <c r="J89" s="64">
        <v>7.0000000000000007E-2</v>
      </c>
      <c r="K89" s="64">
        <v>295.83</v>
      </c>
      <c r="L89" s="64">
        <v>27.23</v>
      </c>
      <c r="M89" s="64">
        <v>43.61</v>
      </c>
      <c r="N89" s="64">
        <v>5</v>
      </c>
      <c r="O89" s="64">
        <v>0</v>
      </c>
      <c r="P89" s="64">
        <v>2.2000000000000002</v>
      </c>
      <c r="Q89" s="64">
        <v>18.07</v>
      </c>
      <c r="R89" s="198"/>
      <c r="S89" s="198"/>
      <c r="T89" s="198"/>
      <c r="U89" s="198"/>
    </row>
    <row r="90" spans="1:26" s="12" customFormat="1" x14ac:dyDescent="0.25">
      <c r="A90" s="218" t="s">
        <v>2734</v>
      </c>
      <c r="B90" s="64">
        <v>24.08</v>
      </c>
      <c r="C90" s="64">
        <v>86.25</v>
      </c>
      <c r="D90" s="64">
        <v>110.33</v>
      </c>
      <c r="E90" s="64">
        <v>2.4500000000000002</v>
      </c>
      <c r="F90" s="64">
        <v>5.81</v>
      </c>
      <c r="G90" s="64">
        <v>45.38</v>
      </c>
      <c r="H90" s="64">
        <v>15</v>
      </c>
      <c r="I90" s="64">
        <v>0.77</v>
      </c>
      <c r="J90" s="64">
        <v>0.15</v>
      </c>
      <c r="K90" s="64">
        <v>213.69</v>
      </c>
      <c r="L90" s="64">
        <v>27.15</v>
      </c>
      <c r="M90" s="64">
        <v>43.46</v>
      </c>
      <c r="N90" s="64">
        <v>4.4000000000000004</v>
      </c>
      <c r="O90" s="64">
        <v>0</v>
      </c>
      <c r="P90" s="64">
        <v>1.25</v>
      </c>
      <c r="Q90" s="64">
        <v>19.77</v>
      </c>
      <c r="R90" s="198"/>
      <c r="S90" s="198"/>
      <c r="T90" s="198"/>
      <c r="U90" s="198"/>
    </row>
    <row r="91" spans="1:26" s="12" customFormat="1" x14ac:dyDescent="0.25">
      <c r="A91" s="218" t="s">
        <v>2735</v>
      </c>
      <c r="B91" s="64">
        <v>18.489999999999998</v>
      </c>
      <c r="C91" s="64">
        <v>71.8</v>
      </c>
      <c r="D91" s="64">
        <v>90.29</v>
      </c>
      <c r="E91" s="64">
        <v>2.61</v>
      </c>
      <c r="F91" s="64">
        <v>12.46</v>
      </c>
      <c r="G91" s="64">
        <v>45.38</v>
      </c>
      <c r="H91" s="64">
        <v>15</v>
      </c>
      <c r="I91" s="64">
        <v>0.93</v>
      </c>
      <c r="J91" s="64">
        <v>0.17</v>
      </c>
      <c r="K91" s="64">
        <v>268.18</v>
      </c>
      <c r="L91" s="64">
        <v>27.41</v>
      </c>
      <c r="M91" s="64">
        <v>43.23</v>
      </c>
      <c r="N91" s="64">
        <v>4.4000000000000004</v>
      </c>
      <c r="O91" s="64">
        <v>0</v>
      </c>
      <c r="P91" s="64">
        <v>1.17</v>
      </c>
      <c r="Q91" s="64">
        <v>20.25</v>
      </c>
      <c r="R91" s="198"/>
      <c r="S91" s="198"/>
      <c r="T91" s="198"/>
      <c r="U91" s="198"/>
    </row>
    <row r="92" spans="1:26" s="12" customFormat="1" x14ac:dyDescent="0.25">
      <c r="A92" s="218" t="s">
        <v>2736</v>
      </c>
      <c r="B92" s="64">
        <v>15.03</v>
      </c>
      <c r="C92" s="64">
        <v>56.19</v>
      </c>
      <c r="D92" s="64">
        <v>71.209999999999994</v>
      </c>
      <c r="E92" s="64">
        <v>2.69</v>
      </c>
      <c r="F92" s="64">
        <v>15.28</v>
      </c>
      <c r="G92" s="64">
        <v>45.38</v>
      </c>
      <c r="H92" s="64">
        <v>15</v>
      </c>
      <c r="I92" s="64">
        <v>0.77</v>
      </c>
      <c r="J92" s="64">
        <v>0.34</v>
      </c>
      <c r="K92" s="64">
        <v>222.17</v>
      </c>
      <c r="L92" s="64">
        <v>27.68</v>
      </c>
      <c r="M92" s="64">
        <v>42.33</v>
      </c>
      <c r="N92" s="64">
        <v>3.8</v>
      </c>
      <c r="O92" s="64">
        <v>0</v>
      </c>
      <c r="P92" s="64">
        <v>0.95</v>
      </c>
      <c r="Q92" s="64">
        <v>21.27</v>
      </c>
      <c r="R92" s="198"/>
      <c r="S92" s="198"/>
      <c r="T92" s="198"/>
      <c r="U92" s="198"/>
    </row>
    <row r="93" spans="1:26" s="12" customFormat="1" x14ac:dyDescent="0.25">
      <c r="A93" s="218" t="s">
        <v>2737</v>
      </c>
      <c r="B93" s="64">
        <v>16.82</v>
      </c>
      <c r="C93" s="64">
        <v>48.97</v>
      </c>
      <c r="D93" s="64">
        <v>65.8</v>
      </c>
      <c r="E93" s="64">
        <v>2.16</v>
      </c>
      <c r="F93" s="64">
        <v>12.55</v>
      </c>
      <c r="G93" s="64">
        <v>55.36</v>
      </c>
      <c r="H93" s="64">
        <v>18.53</v>
      </c>
      <c r="I93" s="64">
        <v>0.69</v>
      </c>
      <c r="J93" s="64">
        <v>0.33</v>
      </c>
      <c r="K93" s="64">
        <v>229.61</v>
      </c>
      <c r="L93" s="64">
        <v>27.43</v>
      </c>
      <c r="M93" s="64">
        <v>43.96</v>
      </c>
      <c r="N93" s="64">
        <v>4.4000000000000004</v>
      </c>
      <c r="O93" s="64">
        <v>0</v>
      </c>
      <c r="P93" s="64">
        <v>0.96</v>
      </c>
      <c r="Q93" s="64">
        <v>24.98</v>
      </c>
      <c r="R93" s="198"/>
      <c r="S93" s="198"/>
      <c r="T93" s="198"/>
      <c r="U93" s="198"/>
    </row>
    <row r="94" spans="1:26" s="12" customFormat="1" x14ac:dyDescent="0.25">
      <c r="A94" s="218" t="s">
        <v>2738</v>
      </c>
      <c r="B94" s="64">
        <v>19.899999999999999</v>
      </c>
      <c r="C94" s="64">
        <v>50.43</v>
      </c>
      <c r="D94" s="64">
        <v>70.33</v>
      </c>
      <c r="E94" s="64">
        <v>1.87</v>
      </c>
      <c r="F94" s="64">
        <v>5.62</v>
      </c>
      <c r="G94" s="64">
        <v>55.58</v>
      </c>
      <c r="H94" s="64">
        <v>18.53</v>
      </c>
      <c r="I94" s="64">
        <v>0.62</v>
      </c>
      <c r="J94" s="64">
        <v>0.24</v>
      </c>
      <c r="K94" s="64">
        <v>267.36</v>
      </c>
      <c r="L94" s="64">
        <v>27.16</v>
      </c>
      <c r="M94" s="64">
        <v>45.31</v>
      </c>
      <c r="N94" s="64">
        <v>4.5999999999999996</v>
      </c>
      <c r="O94" s="64">
        <v>0</v>
      </c>
      <c r="P94" s="64">
        <v>0.99</v>
      </c>
      <c r="Q94" s="64">
        <v>24.46</v>
      </c>
      <c r="R94" s="198"/>
      <c r="S94" s="198"/>
      <c r="T94" s="198"/>
      <c r="U94" s="198"/>
    </row>
    <row r="95" spans="1:26" s="12" customFormat="1" x14ac:dyDescent="0.25">
      <c r="A95" s="218" t="s">
        <v>2739</v>
      </c>
      <c r="B95" s="64">
        <v>18.63</v>
      </c>
      <c r="C95" s="64">
        <v>49.05</v>
      </c>
      <c r="D95" s="64">
        <v>67.680000000000007</v>
      </c>
      <c r="E95" s="64">
        <v>1.65</v>
      </c>
      <c r="F95" s="64">
        <v>5.82</v>
      </c>
      <c r="G95" s="64">
        <v>55.58</v>
      </c>
      <c r="H95" s="64">
        <v>18.53</v>
      </c>
      <c r="I95" s="64">
        <v>0.61</v>
      </c>
      <c r="J95" s="64">
        <v>0.28999999999999998</v>
      </c>
      <c r="K95" s="64">
        <v>238.97</v>
      </c>
      <c r="L95" s="64">
        <v>27.02</v>
      </c>
      <c r="M95" s="64">
        <v>45.9</v>
      </c>
      <c r="N95" s="64">
        <v>4.4000000000000004</v>
      </c>
      <c r="O95" s="64">
        <v>0</v>
      </c>
      <c r="P95" s="64">
        <v>0.98</v>
      </c>
      <c r="Q95" s="64">
        <v>23.68</v>
      </c>
      <c r="R95" s="198"/>
      <c r="S95" s="198"/>
      <c r="T95" s="198"/>
      <c r="U95" s="198"/>
    </row>
    <row r="96" spans="1:26" s="12" customFormat="1" x14ac:dyDescent="0.25">
      <c r="A96" s="218" t="s">
        <v>2740</v>
      </c>
      <c r="B96" s="64">
        <v>17.16</v>
      </c>
      <c r="C96" s="64">
        <v>50.94</v>
      </c>
      <c r="D96" s="64">
        <v>68.099999999999994</v>
      </c>
      <c r="E96" s="64">
        <v>2</v>
      </c>
      <c r="F96" s="64">
        <v>5.72</v>
      </c>
      <c r="G96" s="64">
        <v>55.58</v>
      </c>
      <c r="H96" s="64">
        <v>18.53</v>
      </c>
      <c r="I96" s="64">
        <v>0.7</v>
      </c>
      <c r="J96" s="64">
        <v>0.22</v>
      </c>
      <c r="K96" s="64">
        <v>255.21</v>
      </c>
      <c r="L96" s="64">
        <v>26.75</v>
      </c>
      <c r="M96" s="64">
        <v>46.85</v>
      </c>
      <c r="N96" s="64">
        <v>4.7</v>
      </c>
      <c r="O96" s="64">
        <v>0</v>
      </c>
      <c r="P96" s="64">
        <v>0.97</v>
      </c>
      <c r="Q96" s="64">
        <v>22.85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2741</v>
      </c>
      <c r="B97" s="64">
        <v>15.67</v>
      </c>
      <c r="C97" s="64">
        <v>47.45</v>
      </c>
      <c r="D97" s="64">
        <v>63.12</v>
      </c>
      <c r="E97" s="64">
        <v>1.67</v>
      </c>
      <c r="F97" s="64">
        <v>5.8</v>
      </c>
      <c r="G97" s="64">
        <v>41.57</v>
      </c>
      <c r="H97" s="64">
        <v>14.55</v>
      </c>
      <c r="I97" s="64">
        <v>0.7</v>
      </c>
      <c r="J97" s="64">
        <v>0.26</v>
      </c>
      <c r="K97" s="64">
        <v>227.27</v>
      </c>
      <c r="L97" s="64">
        <v>26.42</v>
      </c>
      <c r="M97" s="64">
        <v>48.47</v>
      </c>
      <c r="N97" s="64">
        <v>4.5</v>
      </c>
      <c r="O97" s="64">
        <v>0</v>
      </c>
      <c r="P97" s="64">
        <v>0.95</v>
      </c>
      <c r="Q97" s="64">
        <v>22.39</v>
      </c>
      <c r="R97" s="198"/>
      <c r="S97" s="198"/>
      <c r="T97" s="198"/>
      <c r="U97" s="198"/>
    </row>
    <row r="98" spans="1:33" s="12" customFormat="1" x14ac:dyDescent="0.25">
      <c r="A98" s="218" t="s">
        <v>2742</v>
      </c>
      <c r="B98" s="64">
        <v>15.17</v>
      </c>
      <c r="C98" s="64">
        <v>44.24</v>
      </c>
      <c r="D98" s="64">
        <v>59.41</v>
      </c>
      <c r="E98" s="64">
        <v>1.43</v>
      </c>
      <c r="F98" s="64">
        <v>5.0199999999999996</v>
      </c>
      <c r="G98" s="64">
        <v>41.25</v>
      </c>
      <c r="H98" s="64">
        <v>14.55</v>
      </c>
      <c r="I98" s="64">
        <v>0.69</v>
      </c>
      <c r="J98" s="64">
        <v>0.21</v>
      </c>
      <c r="K98" s="64">
        <v>227.92</v>
      </c>
      <c r="L98" s="64">
        <v>26.29</v>
      </c>
      <c r="M98" s="64">
        <v>48.6</v>
      </c>
      <c r="N98" s="64">
        <v>4.5</v>
      </c>
      <c r="O98" s="64">
        <v>0</v>
      </c>
      <c r="P98" s="64">
        <v>0.92</v>
      </c>
      <c r="Q98" s="64">
        <v>21.32</v>
      </c>
      <c r="R98" s="198"/>
      <c r="S98" s="198"/>
      <c r="T98" s="198"/>
      <c r="U98" s="198"/>
    </row>
    <row r="99" spans="1:33" s="12" customFormat="1" x14ac:dyDescent="0.25">
      <c r="A99" s="218" t="s">
        <v>2743</v>
      </c>
      <c r="B99" s="64">
        <v>13.89</v>
      </c>
      <c r="C99" s="64">
        <v>41.68</v>
      </c>
      <c r="D99" s="64">
        <v>55.57</v>
      </c>
      <c r="E99" s="64">
        <v>1.29</v>
      </c>
      <c r="F99" s="64">
        <v>5.96</v>
      </c>
      <c r="G99" s="64">
        <v>41.25</v>
      </c>
      <c r="H99" s="64">
        <v>14.55</v>
      </c>
      <c r="I99" s="64">
        <v>0.68</v>
      </c>
      <c r="J99" s="64">
        <v>0.25</v>
      </c>
      <c r="K99" s="64">
        <v>229.82</v>
      </c>
      <c r="L99" s="64">
        <v>26.11</v>
      </c>
      <c r="M99" s="64">
        <v>49.2</v>
      </c>
      <c r="N99" s="64">
        <v>4.5</v>
      </c>
      <c r="O99" s="64">
        <v>0</v>
      </c>
      <c r="P99" s="64">
        <v>0.9</v>
      </c>
      <c r="Q99" s="64">
        <v>20.48</v>
      </c>
      <c r="R99" s="198"/>
      <c r="S99" s="198"/>
      <c r="T99" s="198"/>
      <c r="U99" s="198"/>
    </row>
    <row r="100" spans="1:33" s="12" customFormat="1" x14ac:dyDescent="0.25">
      <c r="A100" s="218" t="s">
        <v>2744</v>
      </c>
      <c r="B100" s="64">
        <v>11.64</v>
      </c>
      <c r="C100" s="64">
        <v>43.03</v>
      </c>
      <c r="D100" s="64">
        <v>54.67</v>
      </c>
      <c r="E100" s="64">
        <v>1.44</v>
      </c>
      <c r="F100" s="64">
        <v>9.16</v>
      </c>
      <c r="G100" s="64">
        <v>41.25</v>
      </c>
      <c r="H100" s="64">
        <v>14.55</v>
      </c>
      <c r="I100" s="64">
        <v>0.66</v>
      </c>
      <c r="J100" s="64">
        <v>0.31</v>
      </c>
      <c r="K100" s="64">
        <v>241.12</v>
      </c>
      <c r="L100" s="64">
        <v>25.94</v>
      </c>
      <c r="M100" s="64">
        <v>49.93</v>
      </c>
      <c r="N100" s="64">
        <v>4.4000000000000004</v>
      </c>
      <c r="O100" s="64">
        <v>0</v>
      </c>
      <c r="P100" s="64">
        <v>0.83</v>
      </c>
      <c r="Q100" s="64">
        <v>18.579999999999998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2745</v>
      </c>
      <c r="B101" s="64">
        <v>10.16</v>
      </c>
      <c r="C101" s="64">
        <v>41.03</v>
      </c>
      <c r="D101" s="64">
        <v>51.18</v>
      </c>
      <c r="E101" s="64">
        <v>1.81</v>
      </c>
      <c r="F101" s="64">
        <v>10.39</v>
      </c>
      <c r="G101" s="64">
        <v>37.4</v>
      </c>
      <c r="H101" s="64">
        <v>16.13</v>
      </c>
      <c r="I101" s="64">
        <v>0.65</v>
      </c>
      <c r="J101" s="64">
        <v>0.45</v>
      </c>
      <c r="K101" s="64">
        <v>219.24</v>
      </c>
      <c r="L101" s="64">
        <v>25.65</v>
      </c>
      <c r="M101" s="64">
        <v>51.61</v>
      </c>
      <c r="N101" s="64">
        <v>4.8</v>
      </c>
      <c r="O101" s="64">
        <v>0</v>
      </c>
      <c r="P101" s="64">
        <v>0.8</v>
      </c>
      <c r="Q101" s="64">
        <v>16.149999999999999</v>
      </c>
      <c r="R101" s="198"/>
      <c r="S101" s="198"/>
      <c r="T101" s="198"/>
      <c r="U101" s="198"/>
    </row>
    <row r="102" spans="1:33" s="12" customFormat="1" x14ac:dyDescent="0.25">
      <c r="A102" s="218" t="s">
        <v>2746</v>
      </c>
      <c r="B102" s="64">
        <v>9.4700000000000006</v>
      </c>
      <c r="C102" s="64">
        <v>38.74</v>
      </c>
      <c r="D102" s="64">
        <v>48.2</v>
      </c>
      <c r="E102" s="64">
        <v>1.57</v>
      </c>
      <c r="F102" s="64">
        <v>11.9</v>
      </c>
      <c r="G102" s="64">
        <v>37.31</v>
      </c>
      <c r="H102" s="64">
        <v>16.13</v>
      </c>
      <c r="I102" s="64">
        <v>0.62</v>
      </c>
      <c r="J102" s="64">
        <v>0.14000000000000001</v>
      </c>
      <c r="K102" s="64">
        <v>285.14</v>
      </c>
      <c r="L102" s="64">
        <v>25.27</v>
      </c>
      <c r="M102" s="64">
        <v>53.76</v>
      </c>
      <c r="N102" s="64">
        <v>5</v>
      </c>
      <c r="O102" s="64">
        <v>0</v>
      </c>
      <c r="P102" s="64">
        <v>0.74</v>
      </c>
      <c r="Q102" s="64">
        <v>18.760000000000002</v>
      </c>
      <c r="R102" s="198"/>
      <c r="S102" s="198"/>
      <c r="T102" s="198"/>
      <c r="U102" s="198"/>
    </row>
    <row r="103" spans="1:33" s="12" customFormat="1" x14ac:dyDescent="0.25">
      <c r="A103" s="218" t="s">
        <v>2747</v>
      </c>
      <c r="B103" s="64">
        <v>9.27</v>
      </c>
      <c r="C103" s="64">
        <v>36.85</v>
      </c>
      <c r="D103" s="64">
        <v>46.11</v>
      </c>
      <c r="E103" s="64">
        <v>2.1</v>
      </c>
      <c r="F103" s="64">
        <v>10.31</v>
      </c>
      <c r="G103" s="64">
        <v>37.31</v>
      </c>
      <c r="H103" s="64">
        <v>16.13</v>
      </c>
      <c r="I103" s="64">
        <v>0.54</v>
      </c>
      <c r="J103" s="64">
        <v>0.18</v>
      </c>
      <c r="K103" s="64">
        <v>264.3</v>
      </c>
      <c r="L103" s="64">
        <v>25.17</v>
      </c>
      <c r="M103" s="64">
        <v>54.33</v>
      </c>
      <c r="N103" s="64">
        <v>4.7</v>
      </c>
      <c r="O103" s="64">
        <v>0</v>
      </c>
      <c r="P103" s="64">
        <v>0.78</v>
      </c>
      <c r="Q103" s="64">
        <v>17.97</v>
      </c>
      <c r="R103" s="198"/>
      <c r="S103" s="198"/>
      <c r="T103" s="198"/>
      <c r="U103" s="198"/>
    </row>
    <row r="104" spans="1:33" s="12" customFormat="1" x14ac:dyDescent="0.25">
      <c r="A104" s="218" t="s">
        <v>2748</v>
      </c>
      <c r="B104" s="64">
        <v>8.68</v>
      </c>
      <c r="C104" s="64">
        <v>36.54</v>
      </c>
      <c r="D104" s="64">
        <v>45.21</v>
      </c>
      <c r="E104" s="64">
        <v>1.25</v>
      </c>
      <c r="F104" s="64">
        <v>8.94</v>
      </c>
      <c r="G104" s="64">
        <v>37.31</v>
      </c>
      <c r="H104" s="64">
        <v>16.13</v>
      </c>
      <c r="I104" s="64">
        <v>0.56000000000000005</v>
      </c>
      <c r="J104" s="64">
        <v>7.0000000000000007E-2</v>
      </c>
      <c r="K104" s="64">
        <v>18.7</v>
      </c>
      <c r="L104" s="64">
        <v>25.02</v>
      </c>
      <c r="M104" s="64">
        <v>55.24</v>
      </c>
      <c r="N104" s="64">
        <v>4.9000000000000004</v>
      </c>
      <c r="O104" s="64">
        <v>0</v>
      </c>
      <c r="P104" s="64">
        <v>0.75</v>
      </c>
      <c r="Q104" s="64">
        <v>17.18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</v>
      </c>
      <c r="C106" s="67">
        <f>MIN(C9:C104)</f>
        <v>6.91</v>
      </c>
      <c r="D106" s="67">
        <f t="shared" ref="D106:Q106" si="0">MIN(D9:D104)</f>
        <v>19.170000000000002</v>
      </c>
      <c r="E106" s="67">
        <f t="shared" si="0"/>
        <v>0.49</v>
      </c>
      <c r="F106" s="67">
        <f t="shared" si="0"/>
        <v>3.19</v>
      </c>
      <c r="G106" s="67">
        <f t="shared" si="0"/>
        <v>5.95</v>
      </c>
      <c r="H106" s="67">
        <f t="shared" si="0"/>
        <v>2.82</v>
      </c>
      <c r="I106" s="67">
        <f t="shared" si="0"/>
        <v>0.46</v>
      </c>
      <c r="J106" s="67">
        <f t="shared" si="0"/>
        <v>0.04</v>
      </c>
      <c r="K106" s="67">
        <f t="shared" si="0"/>
        <v>8</v>
      </c>
      <c r="L106" s="67">
        <f t="shared" si="0"/>
        <v>18.79</v>
      </c>
      <c r="M106" s="67">
        <f t="shared" si="0"/>
        <v>27.75</v>
      </c>
      <c r="N106" s="67">
        <f t="shared" si="0"/>
        <v>3.8</v>
      </c>
      <c r="O106" s="67">
        <f t="shared" si="0"/>
        <v>0</v>
      </c>
      <c r="P106" s="67">
        <f t="shared" si="0"/>
        <v>0.3</v>
      </c>
      <c r="Q106" s="67">
        <f t="shared" si="0"/>
        <v>0.19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179.55</v>
      </c>
      <c r="C107" s="66">
        <f t="shared" ref="C107:Q107" si="1">MAX(C9:C104)</f>
        <v>90.59</v>
      </c>
      <c r="D107" s="66">
        <f t="shared" si="1"/>
        <v>192.37</v>
      </c>
      <c r="E107" s="66">
        <f t="shared" si="1"/>
        <v>143.24</v>
      </c>
      <c r="F107" s="66">
        <f t="shared" si="1"/>
        <v>32.42</v>
      </c>
      <c r="G107" s="66">
        <f t="shared" si="1"/>
        <v>55.58</v>
      </c>
      <c r="H107" s="66">
        <f t="shared" si="1"/>
        <v>18.53</v>
      </c>
      <c r="I107" s="66">
        <f t="shared" si="1"/>
        <v>0.93</v>
      </c>
      <c r="J107" s="66">
        <f t="shared" si="1"/>
        <v>2.84</v>
      </c>
      <c r="K107" s="66">
        <f t="shared" si="1"/>
        <v>319.19</v>
      </c>
      <c r="L107" s="66">
        <f t="shared" si="1"/>
        <v>35.520000000000003</v>
      </c>
      <c r="M107" s="66">
        <f t="shared" si="1"/>
        <v>76.48</v>
      </c>
      <c r="N107" s="66">
        <f t="shared" si="1"/>
        <v>966.8</v>
      </c>
      <c r="O107" s="66">
        <f t="shared" si="1"/>
        <v>0</v>
      </c>
      <c r="P107" s="66">
        <f t="shared" si="1"/>
        <v>2.2000000000000002</v>
      </c>
      <c r="Q107" s="66">
        <f t="shared" si="1"/>
        <v>24.98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15.930312500000008</v>
      </c>
      <c r="C108" s="67">
        <f t="shared" ref="C108:Q108" si="2">AVERAGE(C9:C104)</f>
        <v>37.581354166666664</v>
      </c>
      <c r="D108" s="67">
        <f t="shared" si="2"/>
        <v>45.896979166666661</v>
      </c>
      <c r="E108" s="67">
        <f t="shared" si="2"/>
        <v>3.5715624999999993</v>
      </c>
      <c r="F108" s="67">
        <f t="shared" si="2"/>
        <v>9.5670833333333345</v>
      </c>
      <c r="G108" s="67">
        <f t="shared" si="2"/>
        <v>27.111363636363645</v>
      </c>
      <c r="H108" s="67">
        <f t="shared" si="2"/>
        <v>9.5599999999999934</v>
      </c>
      <c r="I108" s="67">
        <f t="shared" si="2"/>
        <v>0.52989583333333312</v>
      </c>
      <c r="J108" s="67">
        <f t="shared" si="2"/>
        <v>0.53239583333333329</v>
      </c>
      <c r="K108" s="67">
        <f t="shared" si="2"/>
        <v>239.45885416666661</v>
      </c>
      <c r="L108" s="67">
        <f t="shared" si="2"/>
        <v>26.967291666666672</v>
      </c>
      <c r="M108" s="67">
        <f t="shared" si="2"/>
        <v>47.194479166666696</v>
      </c>
      <c r="N108" s="67">
        <f t="shared" si="2"/>
        <v>255.8645833333334</v>
      </c>
      <c r="O108" s="67">
        <f t="shared" si="2"/>
        <v>0</v>
      </c>
      <c r="P108" s="67">
        <f t="shared" si="2"/>
        <v>0.59635416666666674</v>
      </c>
      <c r="Q108" s="67">
        <f t="shared" si="2"/>
        <v>14.256874999999999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36.727064176969151</v>
      </c>
      <c r="C109" s="67">
        <f t="shared" ref="C109:Q109" si="3">STDEV(C9:C104)</f>
        <v>13.30939846952575</v>
      </c>
      <c r="D109" s="67">
        <f t="shared" si="3"/>
        <v>38.585289400844594</v>
      </c>
      <c r="E109" s="67">
        <f t="shared" si="3"/>
        <v>14.632310558135952</v>
      </c>
      <c r="F109" s="67">
        <f t="shared" si="3"/>
        <v>7.1900420782996264</v>
      </c>
      <c r="G109" s="67">
        <f t="shared" si="3"/>
        <v>11.084400779828261</v>
      </c>
      <c r="H109" s="67">
        <f t="shared" si="3"/>
        <v>4.0196837526432958</v>
      </c>
      <c r="I109" s="67">
        <f t="shared" si="3"/>
        <v>7.7927021077641684E-2</v>
      </c>
      <c r="J109" s="67">
        <f t="shared" si="3"/>
        <v>0.60095668429888427</v>
      </c>
      <c r="K109" s="67">
        <f t="shared" si="3"/>
        <v>61.180673330714299</v>
      </c>
      <c r="L109" s="67">
        <f t="shared" si="3"/>
        <v>5.1919264205244655</v>
      </c>
      <c r="M109" s="67">
        <f t="shared" si="3"/>
        <v>15.153701015353205</v>
      </c>
      <c r="N109" s="67">
        <f t="shared" si="3"/>
        <v>344.4445025893649</v>
      </c>
      <c r="O109" s="67">
        <f t="shared" si="3"/>
        <v>0</v>
      </c>
      <c r="P109" s="67">
        <f t="shared" si="3"/>
        <v>0.30325990170554384</v>
      </c>
      <c r="Q109" s="67">
        <f t="shared" si="3"/>
        <v>7.3571502366924149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31" sqref="F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2749</v>
      </c>
      <c r="B9" s="64">
        <v>8.8000000000000007</v>
      </c>
      <c r="C9" s="64">
        <v>43.92</v>
      </c>
      <c r="D9" s="64">
        <v>52.72</v>
      </c>
      <c r="E9" s="64">
        <v>1.58</v>
      </c>
      <c r="F9" s="64">
        <v>5.93</v>
      </c>
      <c r="G9" s="64">
        <v>28.03</v>
      </c>
      <c r="H9" s="64">
        <v>11.62</v>
      </c>
      <c r="I9" s="64">
        <v>0.62</v>
      </c>
      <c r="J9" s="64">
        <v>0.26</v>
      </c>
      <c r="K9" s="64">
        <v>247.8</v>
      </c>
      <c r="L9" s="64">
        <v>24.91</v>
      </c>
      <c r="M9" s="64">
        <v>55.12</v>
      </c>
      <c r="N9" s="64">
        <v>4.5</v>
      </c>
      <c r="O9" s="64">
        <v>0</v>
      </c>
      <c r="P9" s="64">
        <v>0.78</v>
      </c>
      <c r="Q9" s="64">
        <v>22.23</v>
      </c>
      <c r="R9" s="198"/>
      <c r="S9" s="198"/>
      <c r="T9" s="198"/>
      <c r="U9" s="198"/>
    </row>
    <row r="10" spans="1:21" s="12" customFormat="1" x14ac:dyDescent="0.25">
      <c r="A10" s="218" t="s">
        <v>2750</v>
      </c>
      <c r="B10" s="64">
        <v>9.0299999999999994</v>
      </c>
      <c r="C10" s="64">
        <v>42.79</v>
      </c>
      <c r="D10" s="64">
        <v>51.82</v>
      </c>
      <c r="E10" s="64">
        <v>1.3</v>
      </c>
      <c r="F10" s="64">
        <v>4.5999999999999996</v>
      </c>
      <c r="G10" s="64">
        <v>27.82</v>
      </c>
      <c r="H10" s="64">
        <v>11.62</v>
      </c>
      <c r="I10" s="64">
        <v>0.61</v>
      </c>
      <c r="J10" s="64">
        <v>0.25</v>
      </c>
      <c r="K10" s="64">
        <v>245.97</v>
      </c>
      <c r="L10" s="64">
        <v>24.84</v>
      </c>
      <c r="M10" s="64">
        <v>55.5</v>
      </c>
      <c r="N10" s="64">
        <v>4.5999999999999996</v>
      </c>
      <c r="O10" s="64">
        <v>0</v>
      </c>
      <c r="P10" s="64">
        <v>0.77</v>
      </c>
      <c r="Q10" s="64">
        <v>20.82</v>
      </c>
      <c r="R10" s="198"/>
      <c r="S10" s="198"/>
      <c r="T10" s="198"/>
      <c r="U10" s="198"/>
    </row>
    <row r="11" spans="1:21" s="12" customFormat="1" x14ac:dyDescent="0.25">
      <c r="A11" s="218" t="s">
        <v>2751</v>
      </c>
      <c r="B11" s="64">
        <v>8.58</v>
      </c>
      <c r="C11" s="64">
        <v>39.200000000000003</v>
      </c>
      <c r="D11" s="64">
        <v>47.78</v>
      </c>
      <c r="E11" s="64">
        <v>1.52</v>
      </c>
      <c r="F11" s="64">
        <v>3.62</v>
      </c>
      <c r="G11" s="64">
        <v>27.82</v>
      </c>
      <c r="H11" s="64">
        <v>11.62</v>
      </c>
      <c r="I11" s="64">
        <v>0.59</v>
      </c>
      <c r="J11" s="64">
        <v>0.11</v>
      </c>
      <c r="K11" s="64">
        <v>263.75</v>
      </c>
      <c r="L11" s="64">
        <v>24.62</v>
      </c>
      <c r="M11" s="64">
        <v>55.83</v>
      </c>
      <c r="N11" s="64">
        <v>4.8</v>
      </c>
      <c r="O11" s="64">
        <v>0</v>
      </c>
      <c r="P11" s="64">
        <v>0.74</v>
      </c>
      <c r="Q11" s="64">
        <v>20.27</v>
      </c>
      <c r="R11" s="198"/>
      <c r="S11" s="198"/>
      <c r="T11" s="198"/>
      <c r="U11" s="198"/>
    </row>
    <row r="12" spans="1:21" s="12" customFormat="1" x14ac:dyDescent="0.25">
      <c r="A12" s="218" t="s">
        <v>2752</v>
      </c>
      <c r="B12" s="64">
        <v>7.93</v>
      </c>
      <c r="C12" s="64">
        <v>37.36</v>
      </c>
      <c r="D12" s="64">
        <v>45.28</v>
      </c>
      <c r="E12" s="64">
        <v>1.1499999999999999</v>
      </c>
      <c r="F12" s="64">
        <v>3.57</v>
      </c>
      <c r="G12" s="64">
        <v>27.82</v>
      </c>
      <c r="H12" s="64">
        <v>11.62</v>
      </c>
      <c r="I12" s="64">
        <v>0.62</v>
      </c>
      <c r="J12" s="64">
        <v>0.06</v>
      </c>
      <c r="K12" s="64">
        <v>322.64</v>
      </c>
      <c r="L12" s="64">
        <v>24.69</v>
      </c>
      <c r="M12" s="64">
        <v>54.99</v>
      </c>
      <c r="N12" s="64">
        <v>4.5</v>
      </c>
      <c r="O12" s="64">
        <v>0</v>
      </c>
      <c r="P12" s="64">
        <v>0.72</v>
      </c>
      <c r="Q12" s="64">
        <v>19.63</v>
      </c>
      <c r="R12" s="198"/>
      <c r="S12" s="198"/>
      <c r="T12" s="198"/>
      <c r="U12" s="198"/>
    </row>
    <row r="13" spans="1:21" s="12" customFormat="1" x14ac:dyDescent="0.25">
      <c r="A13" s="218" t="s">
        <v>2753</v>
      </c>
      <c r="B13" s="64">
        <v>7.24</v>
      </c>
      <c r="C13" s="64">
        <v>38.15</v>
      </c>
      <c r="D13" s="64">
        <v>45.39</v>
      </c>
      <c r="E13" s="64">
        <v>1.3</v>
      </c>
      <c r="F13" s="64">
        <v>4.32</v>
      </c>
      <c r="G13" s="64">
        <v>24.7</v>
      </c>
      <c r="H13" s="64">
        <v>11.67</v>
      </c>
      <c r="I13" s="64">
        <v>0.59</v>
      </c>
      <c r="J13" s="64">
        <v>0.01</v>
      </c>
      <c r="K13" s="64">
        <v>350.78</v>
      </c>
      <c r="L13" s="64">
        <v>24.71</v>
      </c>
      <c r="M13" s="64">
        <v>54.63</v>
      </c>
      <c r="N13" s="64">
        <v>5.0999999999999996</v>
      </c>
      <c r="O13" s="64">
        <v>0</v>
      </c>
      <c r="P13" s="64">
        <v>0.67</v>
      </c>
      <c r="Q13" s="64">
        <v>20.68</v>
      </c>
      <c r="R13" s="198"/>
      <c r="S13" s="198"/>
      <c r="T13" s="198"/>
      <c r="U13" s="198"/>
    </row>
    <row r="14" spans="1:21" s="12" customFormat="1" x14ac:dyDescent="0.25">
      <c r="A14" s="218" t="s">
        <v>2754</v>
      </c>
      <c r="B14" s="64">
        <v>6.79</v>
      </c>
      <c r="C14" s="64">
        <v>36.6</v>
      </c>
      <c r="D14" s="64">
        <v>43.39</v>
      </c>
      <c r="E14" s="64">
        <v>1.44</v>
      </c>
      <c r="F14" s="64">
        <v>4.99</v>
      </c>
      <c r="G14" s="64">
        <v>24.63</v>
      </c>
      <c r="H14" s="64">
        <v>11.67</v>
      </c>
      <c r="I14" s="64">
        <v>0.61</v>
      </c>
      <c r="J14" s="64">
        <v>0.75</v>
      </c>
      <c r="K14" s="64">
        <v>194.47</v>
      </c>
      <c r="L14" s="64">
        <v>24.61</v>
      </c>
      <c r="M14" s="64">
        <v>54.36</v>
      </c>
      <c r="N14" s="64">
        <v>3.9</v>
      </c>
      <c r="O14" s="64">
        <v>0</v>
      </c>
      <c r="P14" s="64">
        <v>0.67</v>
      </c>
      <c r="Q14" s="64">
        <v>19</v>
      </c>
      <c r="R14" s="198"/>
      <c r="S14" s="198"/>
      <c r="T14" s="198"/>
      <c r="U14" s="198"/>
    </row>
    <row r="15" spans="1:21" s="12" customFormat="1" x14ac:dyDescent="0.25">
      <c r="A15" s="218" t="s">
        <v>2755</v>
      </c>
      <c r="B15" s="64">
        <v>6.6</v>
      </c>
      <c r="C15" s="64">
        <v>35.06</v>
      </c>
      <c r="D15" s="64">
        <v>41.65</v>
      </c>
      <c r="E15" s="64">
        <v>1.23</v>
      </c>
      <c r="F15" s="64">
        <v>4.38</v>
      </c>
      <c r="G15" s="64">
        <v>24.63</v>
      </c>
      <c r="H15" s="64">
        <v>11.67</v>
      </c>
      <c r="I15" s="64">
        <v>0.59</v>
      </c>
      <c r="J15" s="64">
        <v>0.32</v>
      </c>
      <c r="K15" s="64">
        <v>193.8</v>
      </c>
      <c r="L15" s="64">
        <v>24.79</v>
      </c>
      <c r="M15" s="64">
        <v>53.86</v>
      </c>
      <c r="N15" s="64">
        <v>4.4000000000000004</v>
      </c>
      <c r="O15" s="64">
        <v>0</v>
      </c>
      <c r="P15" s="64">
        <v>0.66</v>
      </c>
      <c r="Q15" s="64">
        <v>17.64</v>
      </c>
      <c r="R15" s="198"/>
      <c r="S15" s="198"/>
      <c r="T15" s="198"/>
      <c r="U15" s="198"/>
    </row>
    <row r="16" spans="1:21" s="12" customFormat="1" x14ac:dyDescent="0.25">
      <c r="A16" s="218" t="s">
        <v>2756</v>
      </c>
      <c r="B16" s="64">
        <v>5.76</v>
      </c>
      <c r="C16" s="64">
        <v>35.130000000000003</v>
      </c>
      <c r="D16" s="64">
        <v>40.89</v>
      </c>
      <c r="E16" s="64">
        <v>1.78</v>
      </c>
      <c r="F16" s="64">
        <v>10.92</v>
      </c>
      <c r="G16" s="64">
        <v>24.63</v>
      </c>
      <c r="H16" s="64">
        <v>11.67</v>
      </c>
      <c r="I16" s="64">
        <v>0.57999999999999996</v>
      </c>
      <c r="J16" s="64">
        <v>0.25</v>
      </c>
      <c r="K16" s="64">
        <v>245.63</v>
      </c>
      <c r="L16" s="64">
        <v>24.97</v>
      </c>
      <c r="M16" s="64">
        <v>52.35</v>
      </c>
      <c r="N16" s="64">
        <v>4.7</v>
      </c>
      <c r="O16" s="64">
        <v>0</v>
      </c>
      <c r="P16" s="64">
        <v>0.59</v>
      </c>
      <c r="Q16" s="64">
        <v>17.61</v>
      </c>
      <c r="R16" s="198"/>
      <c r="S16" s="198"/>
      <c r="T16" s="198"/>
      <c r="U16" s="198"/>
    </row>
    <row r="17" spans="1:21" s="12" customFormat="1" x14ac:dyDescent="0.25">
      <c r="A17" s="218" t="s">
        <v>2757</v>
      </c>
      <c r="B17" s="64">
        <v>4.49</v>
      </c>
      <c r="C17" s="64">
        <v>23.03</v>
      </c>
      <c r="D17" s="64">
        <v>27.53</v>
      </c>
      <c r="E17" s="64">
        <v>1.66</v>
      </c>
      <c r="F17" s="64">
        <v>15.73</v>
      </c>
      <c r="G17" s="64">
        <v>22.2</v>
      </c>
      <c r="H17" s="64">
        <v>13.54</v>
      </c>
      <c r="I17" s="64">
        <v>0.59</v>
      </c>
      <c r="J17" s="64">
        <v>0.17</v>
      </c>
      <c r="K17" s="64">
        <v>262.08</v>
      </c>
      <c r="L17" s="64">
        <v>24.47</v>
      </c>
      <c r="M17" s="64">
        <v>55.29</v>
      </c>
      <c r="N17" s="64">
        <v>5.2</v>
      </c>
      <c r="O17" s="64">
        <v>0</v>
      </c>
      <c r="P17" s="64">
        <v>0.52</v>
      </c>
      <c r="Q17" s="64">
        <v>7.87</v>
      </c>
      <c r="R17" s="198"/>
      <c r="S17" s="198"/>
      <c r="T17" s="198"/>
      <c r="U17" s="198"/>
    </row>
    <row r="18" spans="1:21" s="12" customFormat="1" x14ac:dyDescent="0.25">
      <c r="A18" s="218" t="s">
        <v>2758</v>
      </c>
      <c r="B18" s="64">
        <v>5.29</v>
      </c>
      <c r="C18" s="64">
        <v>29.82</v>
      </c>
      <c r="D18" s="64">
        <v>35.119999999999997</v>
      </c>
      <c r="E18" s="64">
        <v>1.76</v>
      </c>
      <c r="F18" s="64">
        <v>7.29</v>
      </c>
      <c r="G18" s="64">
        <v>22.14</v>
      </c>
      <c r="H18" s="64">
        <v>13.54</v>
      </c>
      <c r="I18" s="64">
        <v>0.54</v>
      </c>
      <c r="J18" s="64">
        <v>0.11</v>
      </c>
      <c r="K18" s="64">
        <v>44.99</v>
      </c>
      <c r="L18" s="64">
        <v>24.2</v>
      </c>
      <c r="M18" s="64">
        <v>56.49</v>
      </c>
      <c r="N18" s="64">
        <v>4.9000000000000004</v>
      </c>
      <c r="O18" s="64">
        <v>0</v>
      </c>
      <c r="P18" s="64">
        <v>0.61</v>
      </c>
      <c r="Q18" s="64">
        <v>13.05</v>
      </c>
      <c r="R18" s="198"/>
      <c r="S18" s="198"/>
      <c r="T18" s="198"/>
      <c r="U18" s="198"/>
    </row>
    <row r="19" spans="1:21" s="12" customFormat="1" x14ac:dyDescent="0.25">
      <c r="A19" s="218" t="s">
        <v>2759</v>
      </c>
      <c r="B19" s="64">
        <v>5.68</v>
      </c>
      <c r="C19" s="64">
        <v>35.5</v>
      </c>
      <c r="D19" s="64">
        <v>41.18</v>
      </c>
      <c r="E19" s="64">
        <v>1.57</v>
      </c>
      <c r="F19" s="64">
        <v>7.33</v>
      </c>
      <c r="G19" s="64">
        <v>22.14</v>
      </c>
      <c r="H19" s="64">
        <v>13.54</v>
      </c>
      <c r="I19" s="64">
        <v>0.49</v>
      </c>
      <c r="J19" s="64">
        <v>0.16</v>
      </c>
      <c r="K19" s="64">
        <v>52.16</v>
      </c>
      <c r="L19" s="64">
        <v>24.22</v>
      </c>
      <c r="M19" s="64">
        <v>55.95</v>
      </c>
      <c r="N19" s="64">
        <v>4.5999999999999996</v>
      </c>
      <c r="O19" s="64">
        <v>0</v>
      </c>
      <c r="P19" s="64">
        <v>0.6</v>
      </c>
      <c r="Q19" s="64">
        <v>16.61</v>
      </c>
      <c r="R19" s="198"/>
      <c r="S19" s="198"/>
      <c r="T19" s="198"/>
      <c r="U19" s="198"/>
    </row>
    <row r="20" spans="1:21" s="12" customFormat="1" x14ac:dyDescent="0.25">
      <c r="A20" s="218" t="s">
        <v>2760</v>
      </c>
      <c r="B20" s="64">
        <v>5.58</v>
      </c>
      <c r="C20" s="64">
        <v>34.99</v>
      </c>
      <c r="D20" s="64">
        <v>40.57</v>
      </c>
      <c r="E20" s="64">
        <v>1.5</v>
      </c>
      <c r="F20" s="64">
        <v>5.95</v>
      </c>
      <c r="G20" s="64">
        <v>22.14</v>
      </c>
      <c r="H20" s="64">
        <v>13.54</v>
      </c>
      <c r="I20" s="64">
        <v>0.55000000000000004</v>
      </c>
      <c r="J20" s="64">
        <v>0.09</v>
      </c>
      <c r="K20" s="64">
        <v>314.3</v>
      </c>
      <c r="L20" s="64">
        <v>24.2</v>
      </c>
      <c r="M20" s="64">
        <v>56.23</v>
      </c>
      <c r="N20" s="64">
        <v>4.7</v>
      </c>
      <c r="O20" s="64">
        <v>0</v>
      </c>
      <c r="P20" s="64">
        <v>0.59</v>
      </c>
      <c r="Q20" s="64">
        <v>16.84</v>
      </c>
      <c r="R20" s="198"/>
      <c r="S20" s="198"/>
      <c r="T20" s="198"/>
      <c r="U20" s="198"/>
    </row>
    <row r="21" spans="1:21" s="12" customFormat="1" x14ac:dyDescent="0.25">
      <c r="A21" s="218" t="s">
        <v>2761</v>
      </c>
      <c r="B21" s="64">
        <v>5.32</v>
      </c>
      <c r="C21" s="64">
        <v>39.9</v>
      </c>
      <c r="D21" s="64">
        <v>45.22</v>
      </c>
      <c r="E21" s="64">
        <v>1.17</v>
      </c>
      <c r="F21" s="64">
        <v>4.28</v>
      </c>
      <c r="G21" s="64">
        <v>22</v>
      </c>
      <c r="H21" s="64">
        <v>11.4</v>
      </c>
      <c r="I21" s="64">
        <v>0.56000000000000005</v>
      </c>
      <c r="J21" s="64">
        <v>7.0000000000000007E-2</v>
      </c>
      <c r="K21" s="64">
        <v>345.94</v>
      </c>
      <c r="L21" s="64">
        <v>24.21</v>
      </c>
      <c r="M21" s="64">
        <v>55.82</v>
      </c>
      <c r="N21" s="64">
        <v>4.7</v>
      </c>
      <c r="O21" s="64">
        <v>0</v>
      </c>
      <c r="P21" s="64">
        <v>0.59</v>
      </c>
      <c r="Q21" s="64">
        <v>19.77</v>
      </c>
      <c r="R21" s="198"/>
      <c r="S21" s="198"/>
      <c r="T21" s="198"/>
      <c r="U21" s="198"/>
    </row>
    <row r="22" spans="1:21" s="12" customFormat="1" x14ac:dyDescent="0.25">
      <c r="A22" s="218" t="s">
        <v>2762</v>
      </c>
      <c r="B22" s="64">
        <v>4.78</v>
      </c>
      <c r="C22" s="64">
        <v>37.61</v>
      </c>
      <c r="D22" s="64">
        <v>42.39</v>
      </c>
      <c r="E22" s="64">
        <v>1.08</v>
      </c>
      <c r="F22" s="64">
        <v>3.78</v>
      </c>
      <c r="G22" s="64">
        <v>21.99</v>
      </c>
      <c r="H22" s="64">
        <v>11.4</v>
      </c>
      <c r="I22" s="64">
        <v>0.55000000000000004</v>
      </c>
      <c r="J22" s="64">
        <v>7.0000000000000007E-2</v>
      </c>
      <c r="K22" s="64">
        <v>309.44</v>
      </c>
      <c r="L22" s="64">
        <v>23.99</v>
      </c>
      <c r="M22" s="64">
        <v>57.43</v>
      </c>
      <c r="N22" s="64">
        <v>5</v>
      </c>
      <c r="O22" s="64">
        <v>0</v>
      </c>
      <c r="P22" s="64">
        <v>0.57999999999999996</v>
      </c>
      <c r="Q22" s="64">
        <v>17.43</v>
      </c>
      <c r="R22" s="198"/>
      <c r="S22" s="198"/>
      <c r="T22" s="198"/>
      <c r="U22" s="198"/>
    </row>
    <row r="23" spans="1:21" s="12" customFormat="1" x14ac:dyDescent="0.25">
      <c r="A23" s="218" t="s">
        <v>2763</v>
      </c>
      <c r="B23" s="64">
        <v>4.1900000000000004</v>
      </c>
      <c r="C23" s="64">
        <v>35.97</v>
      </c>
      <c r="D23" s="64">
        <v>40.159999999999997</v>
      </c>
      <c r="E23" s="64">
        <v>1.52</v>
      </c>
      <c r="F23" s="64">
        <v>3.63</v>
      </c>
      <c r="G23" s="64">
        <v>21.99</v>
      </c>
      <c r="H23" s="64">
        <v>11.4</v>
      </c>
      <c r="I23" s="64">
        <v>0.54</v>
      </c>
      <c r="J23" s="64">
        <v>0.13</v>
      </c>
      <c r="K23" s="64">
        <v>318.55</v>
      </c>
      <c r="L23" s="64">
        <v>23.86</v>
      </c>
      <c r="M23" s="64">
        <v>58.1</v>
      </c>
      <c r="N23" s="64">
        <v>4.7</v>
      </c>
      <c r="O23" s="64">
        <v>0</v>
      </c>
      <c r="P23" s="64">
        <v>0.56000000000000005</v>
      </c>
      <c r="Q23" s="64">
        <v>17.52</v>
      </c>
      <c r="R23" s="198"/>
      <c r="S23" s="198"/>
      <c r="T23" s="198"/>
      <c r="U23" s="198"/>
    </row>
    <row r="24" spans="1:21" s="12" customFormat="1" x14ac:dyDescent="0.25">
      <c r="A24" s="218" t="s">
        <v>2764</v>
      </c>
      <c r="B24" s="64">
        <v>3.62</v>
      </c>
      <c r="C24" s="64">
        <v>34.369999999999997</v>
      </c>
      <c r="D24" s="64">
        <v>38</v>
      </c>
      <c r="E24" s="64">
        <v>0.82</v>
      </c>
      <c r="F24" s="64">
        <v>3.83</v>
      </c>
      <c r="G24" s="64">
        <v>21.99</v>
      </c>
      <c r="H24" s="64">
        <v>11.4</v>
      </c>
      <c r="I24" s="64">
        <v>0.54</v>
      </c>
      <c r="J24" s="64">
        <v>1.76</v>
      </c>
      <c r="K24" s="64">
        <v>280.11</v>
      </c>
      <c r="L24" s="64">
        <v>23.59</v>
      </c>
      <c r="M24" s="64">
        <v>60.74</v>
      </c>
      <c r="N24" s="64">
        <v>4.5999999999999996</v>
      </c>
      <c r="O24" s="64">
        <v>0</v>
      </c>
      <c r="P24" s="64">
        <v>0.54</v>
      </c>
      <c r="Q24" s="64">
        <v>15.51</v>
      </c>
      <c r="R24" s="198"/>
      <c r="S24" s="198"/>
      <c r="T24" s="198"/>
      <c r="U24" s="198"/>
    </row>
    <row r="25" spans="1:21" s="12" customFormat="1" x14ac:dyDescent="0.25">
      <c r="A25" s="218" t="s">
        <v>2765</v>
      </c>
      <c r="B25" s="64">
        <v>3.27</v>
      </c>
      <c r="C25" s="64">
        <v>35.590000000000003</v>
      </c>
      <c r="D25" s="64">
        <v>38.869999999999997</v>
      </c>
      <c r="E25" s="64">
        <v>1.44</v>
      </c>
      <c r="F25" s="64">
        <v>5.12</v>
      </c>
      <c r="G25" s="64">
        <v>24.81</v>
      </c>
      <c r="H25" s="64">
        <v>12.14</v>
      </c>
      <c r="I25" s="64">
        <v>0.54</v>
      </c>
      <c r="J25" s="64">
        <v>2.39</v>
      </c>
      <c r="K25" s="64">
        <v>275.33</v>
      </c>
      <c r="L25" s="64">
        <v>23.05</v>
      </c>
      <c r="M25" s="64">
        <v>61.65</v>
      </c>
      <c r="N25" s="64">
        <v>5.5</v>
      </c>
      <c r="O25" s="64">
        <v>0</v>
      </c>
      <c r="P25" s="64">
        <v>0.53</v>
      </c>
      <c r="Q25" s="64">
        <v>16</v>
      </c>
      <c r="R25" s="198"/>
      <c r="S25" s="198"/>
      <c r="T25" s="198"/>
      <c r="U25" s="198"/>
    </row>
    <row r="26" spans="1:21" s="12" customFormat="1" x14ac:dyDescent="0.25">
      <c r="A26" s="218" t="s">
        <v>2766</v>
      </c>
      <c r="B26" s="64">
        <v>2.91</v>
      </c>
      <c r="C26" s="64">
        <v>35.369999999999997</v>
      </c>
      <c r="D26" s="64">
        <v>38.28</v>
      </c>
      <c r="E26" s="64">
        <v>1.35</v>
      </c>
      <c r="F26" s="64">
        <v>5.42</v>
      </c>
      <c r="G26" s="64">
        <v>24.87</v>
      </c>
      <c r="H26" s="64">
        <v>12.14</v>
      </c>
      <c r="I26" s="64">
        <v>0.55000000000000004</v>
      </c>
      <c r="J26" s="64">
        <v>2.15</v>
      </c>
      <c r="K26" s="64">
        <v>275.36</v>
      </c>
      <c r="L26" s="64">
        <v>22.75</v>
      </c>
      <c r="M26" s="64">
        <v>57.63</v>
      </c>
      <c r="N26" s="64">
        <v>5.0999999999999996</v>
      </c>
      <c r="O26" s="64">
        <v>0</v>
      </c>
      <c r="P26" s="64">
        <v>0.5</v>
      </c>
      <c r="Q26" s="64">
        <v>15.31</v>
      </c>
      <c r="R26" s="198"/>
      <c r="S26" s="198"/>
      <c r="T26" s="198"/>
      <c r="U26" s="198"/>
    </row>
    <row r="27" spans="1:21" s="12" customFormat="1" x14ac:dyDescent="0.25">
      <c r="A27" s="218" t="s">
        <v>2767</v>
      </c>
      <c r="B27" s="64">
        <v>2.67</v>
      </c>
      <c r="C27" s="64">
        <v>35.78</v>
      </c>
      <c r="D27" s="64">
        <v>38.450000000000003</v>
      </c>
      <c r="E27" s="64">
        <v>1.71</v>
      </c>
      <c r="F27" s="64">
        <v>5.29</v>
      </c>
      <c r="G27" s="64">
        <v>24.87</v>
      </c>
      <c r="H27" s="64">
        <v>12.14</v>
      </c>
      <c r="I27" s="64">
        <v>0.53</v>
      </c>
      <c r="J27" s="64">
        <v>2.0699999999999998</v>
      </c>
      <c r="K27" s="64">
        <v>279.02</v>
      </c>
      <c r="L27" s="64">
        <v>22.51</v>
      </c>
      <c r="M27" s="64">
        <v>56.81</v>
      </c>
      <c r="N27" s="64">
        <v>5.0999999999999996</v>
      </c>
      <c r="O27" s="64">
        <v>0</v>
      </c>
      <c r="P27" s="64">
        <v>0.48</v>
      </c>
      <c r="Q27" s="64">
        <v>14.55</v>
      </c>
      <c r="R27" s="198"/>
      <c r="S27" s="198"/>
      <c r="T27" s="198"/>
      <c r="U27" s="198"/>
    </row>
    <row r="28" spans="1:21" s="12" customFormat="1" x14ac:dyDescent="0.25">
      <c r="A28" s="218" t="s">
        <v>2768</v>
      </c>
      <c r="B28" s="64">
        <v>2.65</v>
      </c>
      <c r="C28" s="64">
        <v>36.21</v>
      </c>
      <c r="D28" s="64">
        <v>38.85</v>
      </c>
      <c r="E28" s="64">
        <v>1.54</v>
      </c>
      <c r="F28" s="64">
        <v>5.76</v>
      </c>
      <c r="G28" s="64">
        <v>24.87</v>
      </c>
      <c r="H28" s="64">
        <v>12.14</v>
      </c>
      <c r="I28" s="64">
        <v>0.52</v>
      </c>
      <c r="J28" s="64">
        <v>1.78</v>
      </c>
      <c r="K28" s="64">
        <v>278.36</v>
      </c>
      <c r="L28" s="64">
        <v>22.28</v>
      </c>
      <c r="M28" s="64">
        <v>58.12</v>
      </c>
      <c r="N28" s="64">
        <v>5.3</v>
      </c>
      <c r="O28" s="64">
        <v>0</v>
      </c>
      <c r="P28" s="64">
        <v>0.46</v>
      </c>
      <c r="Q28" s="64">
        <v>11.13</v>
      </c>
      <c r="R28" s="198"/>
      <c r="S28" s="198"/>
      <c r="T28" s="198"/>
      <c r="U28" s="198"/>
    </row>
    <row r="29" spans="1:21" s="12" customFormat="1" x14ac:dyDescent="0.25">
      <c r="A29" s="218" t="s">
        <v>2769</v>
      </c>
      <c r="B29" s="64">
        <v>2.8</v>
      </c>
      <c r="C29" s="64">
        <v>37.299999999999997</v>
      </c>
      <c r="D29" s="64">
        <v>40.090000000000003</v>
      </c>
      <c r="E29" s="64">
        <v>1.59</v>
      </c>
      <c r="F29" s="64">
        <v>5.07</v>
      </c>
      <c r="G29" s="64">
        <v>28.84</v>
      </c>
      <c r="H29" s="64">
        <v>10.72</v>
      </c>
      <c r="I29" s="64">
        <v>0.52</v>
      </c>
      <c r="J29" s="64">
        <v>1.54</v>
      </c>
      <c r="K29" s="64">
        <v>280.70999999999998</v>
      </c>
      <c r="L29" s="64">
        <v>22</v>
      </c>
      <c r="M29" s="64">
        <v>58.85</v>
      </c>
      <c r="N29" s="64">
        <v>5.3</v>
      </c>
      <c r="O29" s="64">
        <v>0</v>
      </c>
      <c r="P29" s="64">
        <v>0.45</v>
      </c>
      <c r="Q29" s="64">
        <v>11.96</v>
      </c>
      <c r="R29" s="198"/>
      <c r="S29" s="198"/>
      <c r="T29" s="198"/>
      <c r="U29" s="198"/>
    </row>
    <row r="30" spans="1:21" s="12" customFormat="1" x14ac:dyDescent="0.25">
      <c r="A30" s="218" t="s">
        <v>2770</v>
      </c>
      <c r="B30" s="64">
        <v>3.04</v>
      </c>
      <c r="C30" s="64">
        <v>36.29</v>
      </c>
      <c r="D30" s="64">
        <v>39.33</v>
      </c>
      <c r="E30" s="64">
        <v>1.27</v>
      </c>
      <c r="F30" s="64">
        <v>4.83</v>
      </c>
      <c r="G30" s="64">
        <v>28.93</v>
      </c>
      <c r="H30" s="64">
        <v>10.72</v>
      </c>
      <c r="I30" s="64">
        <v>0.51</v>
      </c>
      <c r="J30" s="64">
        <v>1.41</v>
      </c>
      <c r="K30" s="64">
        <v>290.05</v>
      </c>
      <c r="L30" s="64">
        <v>21.77</v>
      </c>
      <c r="M30" s="64">
        <v>59.12</v>
      </c>
      <c r="N30" s="64">
        <v>6.1</v>
      </c>
      <c r="O30" s="64">
        <v>0</v>
      </c>
      <c r="P30" s="64">
        <v>0.44</v>
      </c>
      <c r="Q30" s="64">
        <v>11.04</v>
      </c>
      <c r="R30" s="198"/>
      <c r="S30" s="198"/>
      <c r="T30" s="198"/>
      <c r="U30" s="198"/>
    </row>
    <row r="31" spans="1:21" s="12" customFormat="1" x14ac:dyDescent="0.25">
      <c r="A31" s="218" t="s">
        <v>2771</v>
      </c>
      <c r="B31" s="64">
        <v>3.53</v>
      </c>
      <c r="C31" s="64">
        <v>38.04</v>
      </c>
      <c r="D31" s="64">
        <v>41.57</v>
      </c>
      <c r="E31" s="64">
        <v>1.22</v>
      </c>
      <c r="F31" s="64">
        <v>5.27</v>
      </c>
      <c r="G31" s="64">
        <v>28.93</v>
      </c>
      <c r="H31" s="64">
        <v>10.72</v>
      </c>
      <c r="I31" s="64">
        <v>0.51</v>
      </c>
      <c r="J31" s="64">
        <v>1.29</v>
      </c>
      <c r="K31" s="64">
        <v>290.02999999999997</v>
      </c>
      <c r="L31" s="64">
        <v>21.56</v>
      </c>
      <c r="M31" s="64">
        <v>59.82</v>
      </c>
      <c r="N31" s="64">
        <v>9.6</v>
      </c>
      <c r="O31" s="64">
        <v>0</v>
      </c>
      <c r="P31" s="64">
        <v>0.43</v>
      </c>
      <c r="Q31" s="64">
        <v>12.17</v>
      </c>
      <c r="R31" s="198"/>
      <c r="S31" s="198"/>
      <c r="T31" s="198"/>
      <c r="U31" s="198"/>
    </row>
    <row r="32" spans="1:21" s="12" customFormat="1" x14ac:dyDescent="0.25">
      <c r="A32" s="218" t="s">
        <v>2772</v>
      </c>
      <c r="B32" s="64">
        <v>4.24</v>
      </c>
      <c r="C32" s="64">
        <v>42.82</v>
      </c>
      <c r="D32" s="64">
        <v>47.07</v>
      </c>
      <c r="E32" s="64">
        <v>1.59</v>
      </c>
      <c r="F32" s="64">
        <v>6.49</v>
      </c>
      <c r="G32" s="64">
        <v>28.93</v>
      </c>
      <c r="H32" s="64">
        <v>10.72</v>
      </c>
      <c r="I32" s="64">
        <v>0.5</v>
      </c>
      <c r="J32" s="64">
        <v>0.71</v>
      </c>
      <c r="K32" s="64">
        <v>308.94</v>
      </c>
      <c r="L32" s="64">
        <v>21.5</v>
      </c>
      <c r="M32" s="64">
        <v>58.89</v>
      </c>
      <c r="N32" s="64">
        <v>17</v>
      </c>
      <c r="O32" s="64">
        <v>0</v>
      </c>
      <c r="P32" s="64">
        <v>0.43</v>
      </c>
      <c r="Q32" s="64">
        <v>16.96</v>
      </c>
      <c r="R32" s="198"/>
      <c r="S32" s="198"/>
      <c r="T32" s="198"/>
      <c r="U32" s="198"/>
    </row>
    <row r="33" spans="1:21" s="12" customFormat="1" x14ac:dyDescent="0.25">
      <c r="A33" s="218" t="s">
        <v>2773</v>
      </c>
      <c r="B33" s="64">
        <v>4.68</v>
      </c>
      <c r="C33" s="64">
        <v>46.51</v>
      </c>
      <c r="D33" s="64">
        <v>51.19</v>
      </c>
      <c r="E33" s="64">
        <v>1.48</v>
      </c>
      <c r="F33" s="64">
        <v>4.18</v>
      </c>
      <c r="G33" s="64">
        <v>29.2</v>
      </c>
      <c r="H33" s="64">
        <v>11.6</v>
      </c>
      <c r="I33" s="64">
        <v>0.5</v>
      </c>
      <c r="J33" s="64">
        <v>1.39</v>
      </c>
      <c r="K33" s="64">
        <v>281.06</v>
      </c>
      <c r="L33" s="64">
        <v>21.63</v>
      </c>
      <c r="M33" s="64">
        <v>57.56</v>
      </c>
      <c r="N33" s="64">
        <v>39</v>
      </c>
      <c r="O33" s="64">
        <v>0</v>
      </c>
      <c r="P33" s="64">
        <v>0.44</v>
      </c>
      <c r="Q33" s="64">
        <v>19.739999999999998</v>
      </c>
      <c r="R33" s="198"/>
      <c r="S33" s="198"/>
      <c r="T33" s="198"/>
      <c r="U33" s="198"/>
    </row>
    <row r="34" spans="1:21" s="12" customFormat="1" x14ac:dyDescent="0.25">
      <c r="A34" s="218" t="s">
        <v>2774</v>
      </c>
      <c r="B34" s="64">
        <v>4.88</v>
      </c>
      <c r="C34" s="64">
        <v>45.34</v>
      </c>
      <c r="D34" s="64">
        <v>50.22</v>
      </c>
      <c r="E34" s="64">
        <v>1.38</v>
      </c>
      <c r="F34" s="64">
        <v>4.0999999999999996</v>
      </c>
      <c r="G34" s="64">
        <v>29.21</v>
      </c>
      <c r="H34" s="64">
        <v>11.6</v>
      </c>
      <c r="I34" s="64">
        <v>0.49</v>
      </c>
      <c r="J34" s="64">
        <v>0.73</v>
      </c>
      <c r="K34" s="64">
        <v>284.10000000000002</v>
      </c>
      <c r="L34" s="64">
        <v>21.97</v>
      </c>
      <c r="M34" s="64">
        <v>57.4</v>
      </c>
      <c r="N34" s="64">
        <v>95.1</v>
      </c>
      <c r="O34" s="64">
        <v>0</v>
      </c>
      <c r="P34" s="64">
        <v>0.45</v>
      </c>
      <c r="Q34" s="64">
        <v>18.63</v>
      </c>
      <c r="R34" s="198"/>
      <c r="S34" s="198"/>
      <c r="T34" s="198"/>
      <c r="U34" s="198"/>
    </row>
    <row r="35" spans="1:21" s="12" customFormat="1" x14ac:dyDescent="0.25">
      <c r="A35" s="218" t="s">
        <v>2775</v>
      </c>
      <c r="B35" s="64">
        <v>5.0999999999999996</v>
      </c>
      <c r="C35" s="64">
        <v>44.51</v>
      </c>
      <c r="D35" s="64">
        <v>49.61</v>
      </c>
      <c r="E35" s="64">
        <v>1.52</v>
      </c>
      <c r="F35" s="64">
        <v>4.0199999999999996</v>
      </c>
      <c r="G35" s="64">
        <v>29.21</v>
      </c>
      <c r="H35" s="64">
        <v>11.6</v>
      </c>
      <c r="I35" s="64">
        <v>0.51</v>
      </c>
      <c r="J35" s="64">
        <v>0.95</v>
      </c>
      <c r="K35" s="64">
        <v>279.89999999999998</v>
      </c>
      <c r="L35" s="64">
        <v>22.71</v>
      </c>
      <c r="M35" s="64">
        <v>55.13</v>
      </c>
      <c r="N35" s="64">
        <v>141.1</v>
      </c>
      <c r="O35" s="64">
        <v>0</v>
      </c>
      <c r="P35" s="64">
        <v>0.47</v>
      </c>
      <c r="Q35" s="64">
        <v>18.940000000000001</v>
      </c>
      <c r="R35" s="198"/>
      <c r="S35" s="198"/>
      <c r="T35" s="198"/>
      <c r="U35" s="198"/>
    </row>
    <row r="36" spans="1:21" s="12" customFormat="1" x14ac:dyDescent="0.25">
      <c r="A36" s="218" t="s">
        <v>2776</v>
      </c>
      <c r="B36" s="64">
        <v>5.33</v>
      </c>
      <c r="C36" s="64">
        <v>43.41</v>
      </c>
      <c r="D36" s="64">
        <v>48.74</v>
      </c>
      <c r="E36" s="64">
        <v>1.73</v>
      </c>
      <c r="F36" s="64">
        <v>3.8</v>
      </c>
      <c r="G36" s="64">
        <v>29.21</v>
      </c>
      <c r="H36" s="64">
        <v>11.6</v>
      </c>
      <c r="I36" s="64">
        <v>0.5</v>
      </c>
      <c r="J36" s="64">
        <v>0.53</v>
      </c>
      <c r="K36" s="64">
        <v>276.45999999999998</v>
      </c>
      <c r="L36" s="64">
        <v>23.26</v>
      </c>
      <c r="M36" s="64">
        <v>54.06</v>
      </c>
      <c r="N36" s="64">
        <v>117.4</v>
      </c>
      <c r="O36" s="64">
        <v>0</v>
      </c>
      <c r="P36" s="64">
        <v>0.48</v>
      </c>
      <c r="Q36" s="64">
        <v>18.14</v>
      </c>
      <c r="R36" s="198"/>
      <c r="S36" s="198"/>
      <c r="T36" s="198"/>
      <c r="U36" s="198"/>
    </row>
    <row r="37" spans="1:21" s="12" customFormat="1" x14ac:dyDescent="0.25">
      <c r="A37" s="218" t="s">
        <v>2777</v>
      </c>
      <c r="B37" s="64">
        <v>5.59</v>
      </c>
      <c r="C37" s="64">
        <v>44.22</v>
      </c>
      <c r="D37" s="64">
        <v>49.81</v>
      </c>
      <c r="E37" s="64">
        <v>1.77</v>
      </c>
      <c r="F37" s="64">
        <v>3.62</v>
      </c>
      <c r="G37" s="64">
        <v>33.200000000000003</v>
      </c>
      <c r="H37" s="64">
        <v>12.95</v>
      </c>
      <c r="I37" s="64">
        <v>0.49</v>
      </c>
      <c r="J37" s="64">
        <v>0.14000000000000001</v>
      </c>
      <c r="K37" s="64">
        <v>294.77</v>
      </c>
      <c r="L37" s="64">
        <v>23.31</v>
      </c>
      <c r="M37" s="64">
        <v>54.74</v>
      </c>
      <c r="N37" s="64">
        <v>95.5</v>
      </c>
      <c r="O37" s="64">
        <v>0</v>
      </c>
      <c r="P37" s="64">
        <v>0.48</v>
      </c>
      <c r="Q37" s="64">
        <v>18.25</v>
      </c>
      <c r="R37" s="198"/>
      <c r="S37" s="198"/>
      <c r="T37" s="198"/>
      <c r="U37" s="198"/>
    </row>
    <row r="38" spans="1:21" s="12" customFormat="1" x14ac:dyDescent="0.25">
      <c r="A38" s="218" t="s">
        <v>2778</v>
      </c>
      <c r="B38" s="64">
        <v>5.79</v>
      </c>
      <c r="C38" s="64">
        <v>42.97</v>
      </c>
      <c r="D38" s="64">
        <v>48.76</v>
      </c>
      <c r="E38" s="64">
        <v>0.88</v>
      </c>
      <c r="F38" s="64">
        <v>3.54</v>
      </c>
      <c r="G38" s="64">
        <v>33.340000000000003</v>
      </c>
      <c r="H38" s="64">
        <v>12.95</v>
      </c>
      <c r="I38" s="64">
        <v>0.5</v>
      </c>
      <c r="J38" s="64">
        <v>0.05</v>
      </c>
      <c r="K38" s="64">
        <v>358.86</v>
      </c>
      <c r="L38" s="64">
        <v>22.64</v>
      </c>
      <c r="M38" s="64">
        <v>56.77</v>
      </c>
      <c r="N38" s="64">
        <v>89</v>
      </c>
      <c r="O38" s="64">
        <v>0</v>
      </c>
      <c r="P38" s="64">
        <v>0.49</v>
      </c>
      <c r="Q38" s="64">
        <v>18.350000000000001</v>
      </c>
      <c r="R38" s="198"/>
      <c r="S38" s="198"/>
      <c r="T38" s="198"/>
      <c r="U38" s="198"/>
    </row>
    <row r="39" spans="1:21" s="12" customFormat="1" x14ac:dyDescent="0.25">
      <c r="A39" s="218" t="s">
        <v>2779</v>
      </c>
      <c r="B39" s="64">
        <v>5.99</v>
      </c>
      <c r="C39" s="64">
        <v>44.44</v>
      </c>
      <c r="D39" s="64">
        <v>50.42</v>
      </c>
      <c r="E39" s="64">
        <v>1.22</v>
      </c>
      <c r="F39" s="64">
        <v>3.52</v>
      </c>
      <c r="G39" s="64">
        <v>33.340000000000003</v>
      </c>
      <c r="H39" s="64">
        <v>12.95</v>
      </c>
      <c r="I39" s="64">
        <v>0.5</v>
      </c>
      <c r="J39" s="64">
        <v>0.09</v>
      </c>
      <c r="K39" s="64">
        <v>26.18</v>
      </c>
      <c r="L39" s="64">
        <v>22.61</v>
      </c>
      <c r="M39" s="64">
        <v>56.26</v>
      </c>
      <c r="N39" s="64">
        <v>95.5</v>
      </c>
      <c r="O39" s="64">
        <v>0</v>
      </c>
      <c r="P39" s="64">
        <v>0.5</v>
      </c>
      <c r="Q39" s="64">
        <v>19.04</v>
      </c>
      <c r="R39" s="198"/>
      <c r="S39" s="198"/>
      <c r="T39" s="198"/>
      <c r="U39" s="198"/>
    </row>
    <row r="40" spans="1:21" s="12" customFormat="1" x14ac:dyDescent="0.25">
      <c r="A40" s="218" t="s">
        <v>2780</v>
      </c>
      <c r="B40" s="64">
        <v>5.88</v>
      </c>
      <c r="C40" s="64">
        <v>38</v>
      </c>
      <c r="D40" s="64">
        <v>43.87</v>
      </c>
      <c r="E40" s="64">
        <v>1</v>
      </c>
      <c r="F40" s="64">
        <v>3.74</v>
      </c>
      <c r="G40" s="64">
        <v>33.340000000000003</v>
      </c>
      <c r="H40" s="64">
        <v>12.95</v>
      </c>
      <c r="I40" s="64">
        <v>0.49</v>
      </c>
      <c r="J40" s="64">
        <v>0.11</v>
      </c>
      <c r="K40" s="64">
        <v>355.25</v>
      </c>
      <c r="L40" s="64">
        <v>22.29</v>
      </c>
      <c r="M40" s="64">
        <v>57.12</v>
      </c>
      <c r="N40" s="64">
        <v>145.5</v>
      </c>
      <c r="O40" s="64">
        <v>0</v>
      </c>
      <c r="P40" s="64">
        <v>0.49</v>
      </c>
      <c r="Q40" s="64">
        <v>12.87</v>
      </c>
      <c r="R40" s="198"/>
      <c r="S40" s="198"/>
      <c r="T40" s="198"/>
      <c r="U40" s="198"/>
    </row>
    <row r="41" spans="1:21" s="12" customFormat="1" x14ac:dyDescent="0.25">
      <c r="A41" s="218" t="s">
        <v>2781</v>
      </c>
      <c r="B41" s="64">
        <v>5.33</v>
      </c>
      <c r="C41" s="64">
        <v>45.07</v>
      </c>
      <c r="D41" s="64">
        <v>50.4</v>
      </c>
      <c r="E41" s="64">
        <v>1.72</v>
      </c>
      <c r="F41" s="64">
        <v>4.05</v>
      </c>
      <c r="G41" s="64">
        <v>35.81</v>
      </c>
      <c r="H41" s="64">
        <v>12.3</v>
      </c>
      <c r="I41" s="64">
        <v>0.51</v>
      </c>
      <c r="J41" s="64">
        <v>0.34</v>
      </c>
      <c r="K41" s="64">
        <v>294.26</v>
      </c>
      <c r="L41" s="64">
        <v>22.66</v>
      </c>
      <c r="M41" s="64">
        <v>56.2</v>
      </c>
      <c r="N41" s="64">
        <v>136.80000000000001</v>
      </c>
      <c r="O41" s="64">
        <v>0</v>
      </c>
      <c r="P41" s="64">
        <v>0.49</v>
      </c>
      <c r="Q41" s="64">
        <v>16.78</v>
      </c>
      <c r="R41" s="198"/>
      <c r="S41" s="198"/>
      <c r="T41" s="198"/>
      <c r="U41" s="198"/>
    </row>
    <row r="42" spans="1:21" s="12" customFormat="1" x14ac:dyDescent="0.25">
      <c r="A42" s="218" t="s">
        <v>2782</v>
      </c>
      <c r="B42" s="64">
        <v>5.03</v>
      </c>
      <c r="C42" s="64">
        <v>46.7</v>
      </c>
      <c r="D42" s="64">
        <v>51.73</v>
      </c>
      <c r="E42" s="64">
        <v>1.82</v>
      </c>
      <c r="F42" s="64">
        <v>3.93</v>
      </c>
      <c r="G42" s="64">
        <v>35.86</v>
      </c>
      <c r="H42" s="64">
        <v>12.3</v>
      </c>
      <c r="I42" s="64">
        <v>0.51</v>
      </c>
      <c r="J42" s="64">
        <v>0.13</v>
      </c>
      <c r="K42" s="64">
        <v>318.92</v>
      </c>
      <c r="L42" s="64">
        <v>22.95</v>
      </c>
      <c r="M42" s="64">
        <v>55.57</v>
      </c>
      <c r="N42" s="64">
        <v>112.3</v>
      </c>
      <c r="O42" s="64">
        <v>0</v>
      </c>
      <c r="P42" s="64">
        <v>0.5</v>
      </c>
      <c r="Q42" s="64">
        <v>16.98</v>
      </c>
      <c r="R42" s="198"/>
      <c r="S42" s="198"/>
      <c r="T42" s="198"/>
      <c r="U42" s="198"/>
    </row>
    <row r="43" spans="1:21" s="12" customFormat="1" x14ac:dyDescent="0.25">
      <c r="A43" s="218" t="s">
        <v>2783</v>
      </c>
      <c r="B43" s="64">
        <v>5</v>
      </c>
      <c r="C43" s="64">
        <v>46.91</v>
      </c>
      <c r="D43" s="64">
        <v>51.91</v>
      </c>
      <c r="E43" s="64">
        <v>1.8</v>
      </c>
      <c r="F43" s="64">
        <v>3.99</v>
      </c>
      <c r="G43" s="64">
        <v>35.86</v>
      </c>
      <c r="H43" s="64">
        <v>12.3</v>
      </c>
      <c r="I43" s="64">
        <v>0.5</v>
      </c>
      <c r="J43" s="64">
        <v>0.06</v>
      </c>
      <c r="K43" s="64">
        <v>310.23</v>
      </c>
      <c r="L43" s="64">
        <v>22.27</v>
      </c>
      <c r="M43" s="64">
        <v>58.38</v>
      </c>
      <c r="N43" s="64">
        <v>87.2</v>
      </c>
      <c r="O43" s="64">
        <v>0</v>
      </c>
      <c r="P43" s="64">
        <v>0.62</v>
      </c>
      <c r="Q43" s="64">
        <v>16.28</v>
      </c>
      <c r="R43" s="198"/>
      <c r="S43" s="198"/>
      <c r="T43" s="198"/>
      <c r="U43" s="198"/>
    </row>
    <row r="44" spans="1:21" s="12" customFormat="1" x14ac:dyDescent="0.25">
      <c r="A44" s="218" t="s">
        <v>2784</v>
      </c>
      <c r="B44" s="64">
        <v>5.03</v>
      </c>
      <c r="C44" s="64">
        <v>47.26</v>
      </c>
      <c r="D44" s="64">
        <v>52.29</v>
      </c>
      <c r="E44" s="64">
        <v>1.72</v>
      </c>
      <c r="F44" s="64">
        <v>3.95</v>
      </c>
      <c r="G44" s="64">
        <v>35.86</v>
      </c>
      <c r="H44" s="64">
        <v>12.3</v>
      </c>
      <c r="I44" s="64">
        <v>0.51</v>
      </c>
      <c r="J44" s="64">
        <v>0.17</v>
      </c>
      <c r="K44" s="64">
        <v>306.37</v>
      </c>
      <c r="L44" s="64">
        <v>22.27</v>
      </c>
      <c r="M44" s="64">
        <v>58.02</v>
      </c>
      <c r="N44" s="64">
        <v>81.900000000000006</v>
      </c>
      <c r="O44" s="64">
        <v>0</v>
      </c>
      <c r="P44" s="64">
        <v>0.72</v>
      </c>
      <c r="Q44" s="64">
        <v>18.149999999999999</v>
      </c>
      <c r="R44" s="198"/>
      <c r="S44" s="198"/>
      <c r="T44" s="198"/>
      <c r="U44" s="198"/>
    </row>
    <row r="45" spans="1:21" s="12" customFormat="1" x14ac:dyDescent="0.25">
      <c r="A45" s="218" t="s">
        <v>2785</v>
      </c>
      <c r="B45" s="64">
        <v>5.78</v>
      </c>
      <c r="C45" s="64">
        <v>49.5</v>
      </c>
      <c r="D45" s="64">
        <v>55.28</v>
      </c>
      <c r="E45" s="64">
        <v>1.92</v>
      </c>
      <c r="F45" s="64">
        <v>3.47</v>
      </c>
      <c r="G45" s="64">
        <v>37.159999999999997</v>
      </c>
      <c r="H45" s="64">
        <v>11.86</v>
      </c>
      <c r="I45" s="64">
        <v>0.49</v>
      </c>
      <c r="J45" s="64">
        <v>0.24</v>
      </c>
      <c r="K45" s="64">
        <v>281.97000000000003</v>
      </c>
      <c r="L45" s="64">
        <v>22.71</v>
      </c>
      <c r="M45" s="64">
        <v>57.03</v>
      </c>
      <c r="N45" s="64">
        <v>82.4</v>
      </c>
      <c r="O45" s="64">
        <v>0</v>
      </c>
      <c r="P45" s="64">
        <v>0.79</v>
      </c>
      <c r="Q45" s="64">
        <v>19.73</v>
      </c>
      <c r="R45" s="198"/>
      <c r="S45" s="198"/>
      <c r="T45" s="198"/>
      <c r="U45" s="198"/>
    </row>
    <row r="46" spans="1:21" s="12" customFormat="1" x14ac:dyDescent="0.25">
      <c r="A46" s="218" t="s">
        <v>2786</v>
      </c>
      <c r="B46" s="64">
        <v>6.38</v>
      </c>
      <c r="C46" s="64">
        <v>49</v>
      </c>
      <c r="D46" s="64">
        <v>55.38</v>
      </c>
      <c r="E46" s="64">
        <v>1.63</v>
      </c>
      <c r="F46" s="64">
        <v>3.81</v>
      </c>
      <c r="G46" s="64">
        <v>37.19</v>
      </c>
      <c r="H46" s="64">
        <v>11.86</v>
      </c>
      <c r="I46" s="64">
        <v>0.5</v>
      </c>
      <c r="J46" s="64">
        <v>0.36</v>
      </c>
      <c r="K46" s="64">
        <v>276.16000000000003</v>
      </c>
      <c r="L46" s="64">
        <v>22.33</v>
      </c>
      <c r="M46" s="64">
        <v>58.64</v>
      </c>
      <c r="N46" s="64">
        <v>90.2</v>
      </c>
      <c r="O46" s="64">
        <v>0</v>
      </c>
      <c r="P46" s="64">
        <v>0.83</v>
      </c>
      <c r="Q46" s="64">
        <v>19.829999999999998</v>
      </c>
      <c r="R46" s="198"/>
      <c r="S46" s="198"/>
      <c r="T46" s="198"/>
      <c r="U46" s="198"/>
    </row>
    <row r="47" spans="1:21" s="12" customFormat="1" x14ac:dyDescent="0.25">
      <c r="A47" s="218" t="s">
        <v>2787</v>
      </c>
      <c r="B47" s="64">
        <v>5.52</v>
      </c>
      <c r="C47" s="64">
        <v>48</v>
      </c>
      <c r="D47" s="64">
        <v>53.52</v>
      </c>
      <c r="E47" s="64">
        <v>1.92</v>
      </c>
      <c r="F47" s="64">
        <v>4.12</v>
      </c>
      <c r="G47" s="64">
        <v>37.19</v>
      </c>
      <c r="H47" s="64">
        <v>11.86</v>
      </c>
      <c r="I47" s="64">
        <v>0.5</v>
      </c>
      <c r="J47" s="64">
        <v>0.32</v>
      </c>
      <c r="K47" s="64">
        <v>303.74</v>
      </c>
      <c r="L47" s="64">
        <v>22.22</v>
      </c>
      <c r="M47" s="64">
        <v>59.38</v>
      </c>
      <c r="N47" s="64">
        <v>142.1</v>
      </c>
      <c r="O47" s="64">
        <v>0</v>
      </c>
      <c r="P47" s="64">
        <v>0.8</v>
      </c>
      <c r="Q47" s="64">
        <v>18.100000000000001</v>
      </c>
      <c r="R47" s="198"/>
      <c r="S47" s="198"/>
      <c r="T47" s="198"/>
      <c r="U47" s="198"/>
    </row>
    <row r="48" spans="1:21" s="12" customFormat="1" x14ac:dyDescent="0.25">
      <c r="A48" s="218" t="s">
        <v>2788</v>
      </c>
      <c r="B48" s="64">
        <v>5.39</v>
      </c>
      <c r="C48" s="64">
        <v>47.08</v>
      </c>
      <c r="D48" s="64">
        <v>52.47</v>
      </c>
      <c r="E48" s="64">
        <v>1.89</v>
      </c>
      <c r="F48" s="64">
        <v>3.78</v>
      </c>
      <c r="G48" s="64">
        <v>37.19</v>
      </c>
      <c r="H48" s="64">
        <v>11.86</v>
      </c>
      <c r="I48" s="64">
        <v>0.51</v>
      </c>
      <c r="J48" s="64">
        <v>1.05</v>
      </c>
      <c r="K48" s="64">
        <v>284.41000000000003</v>
      </c>
      <c r="L48" s="64">
        <v>23.18</v>
      </c>
      <c r="M48" s="64">
        <v>57.19</v>
      </c>
      <c r="N48" s="64">
        <v>214.9</v>
      </c>
      <c r="O48" s="64">
        <v>0</v>
      </c>
      <c r="P48" s="64">
        <v>0.8</v>
      </c>
      <c r="Q48" s="64">
        <v>17.98</v>
      </c>
      <c r="R48" s="198"/>
      <c r="S48" s="198"/>
      <c r="T48" s="198"/>
      <c r="U48" s="198"/>
    </row>
    <row r="49" spans="1:21" s="12" customFormat="1" x14ac:dyDescent="0.25">
      <c r="A49" s="218" t="s">
        <v>2789</v>
      </c>
      <c r="B49" s="64">
        <v>5.48</v>
      </c>
      <c r="C49" s="64">
        <v>47.43</v>
      </c>
      <c r="D49" s="64">
        <v>52.91</v>
      </c>
      <c r="E49" s="64">
        <v>1.41</v>
      </c>
      <c r="F49" s="64">
        <v>3.9</v>
      </c>
      <c r="G49" s="64">
        <v>35.869999999999997</v>
      </c>
      <c r="H49" s="64">
        <v>11.25</v>
      </c>
      <c r="I49" s="64">
        <v>0.51</v>
      </c>
      <c r="J49" s="64">
        <v>0.52</v>
      </c>
      <c r="K49" s="64">
        <v>165.82</v>
      </c>
      <c r="L49" s="64">
        <v>23.43</v>
      </c>
      <c r="M49" s="64">
        <v>54.52</v>
      </c>
      <c r="N49" s="64">
        <v>310</v>
      </c>
      <c r="O49" s="64">
        <v>0</v>
      </c>
      <c r="P49" s="64">
        <v>0.8</v>
      </c>
      <c r="Q49" s="64">
        <v>18.829999999999998</v>
      </c>
      <c r="R49" s="198"/>
      <c r="S49" s="198"/>
      <c r="T49" s="198"/>
      <c r="U49" s="198"/>
    </row>
    <row r="50" spans="1:21" s="12" customFormat="1" x14ac:dyDescent="0.25">
      <c r="A50" s="218" t="s">
        <v>2790</v>
      </c>
      <c r="B50" s="64">
        <v>5.33</v>
      </c>
      <c r="C50" s="64">
        <v>45.98</v>
      </c>
      <c r="D50" s="64">
        <v>51.31</v>
      </c>
      <c r="E50" s="64">
        <v>1.57</v>
      </c>
      <c r="F50" s="64">
        <v>3.98</v>
      </c>
      <c r="G50" s="64">
        <v>35.82</v>
      </c>
      <c r="H50" s="64">
        <v>11.25</v>
      </c>
      <c r="I50" s="64">
        <v>0.51</v>
      </c>
      <c r="J50" s="64">
        <v>0.73</v>
      </c>
      <c r="K50" s="64">
        <v>225.7</v>
      </c>
      <c r="L50" s="64">
        <v>23.43</v>
      </c>
      <c r="M50" s="64">
        <v>53.01</v>
      </c>
      <c r="N50" s="64">
        <v>242.3</v>
      </c>
      <c r="O50" s="64">
        <v>0</v>
      </c>
      <c r="P50" s="64">
        <v>0.78</v>
      </c>
      <c r="Q50" s="64">
        <v>17.899999999999999</v>
      </c>
      <c r="R50" s="198"/>
      <c r="S50" s="198"/>
      <c r="T50" s="198"/>
      <c r="U50" s="198"/>
    </row>
    <row r="51" spans="1:21" s="12" customFormat="1" x14ac:dyDescent="0.25">
      <c r="A51" s="218" t="s">
        <v>2791</v>
      </c>
      <c r="B51" s="64">
        <v>4.59</v>
      </c>
      <c r="C51" s="64">
        <v>44.71</v>
      </c>
      <c r="D51" s="64">
        <v>49.31</v>
      </c>
      <c r="E51" s="64">
        <v>1.42</v>
      </c>
      <c r="F51" s="64">
        <v>6.47</v>
      </c>
      <c r="G51" s="64">
        <v>35.82</v>
      </c>
      <c r="H51" s="64">
        <v>11.25</v>
      </c>
      <c r="I51" s="64">
        <v>0.52</v>
      </c>
      <c r="J51" s="64">
        <v>0.77</v>
      </c>
      <c r="K51" s="64">
        <v>211.68</v>
      </c>
      <c r="L51" s="64">
        <v>23.47</v>
      </c>
      <c r="M51" s="64">
        <v>53.14</v>
      </c>
      <c r="N51" s="64">
        <v>240.8</v>
      </c>
      <c r="O51" s="64">
        <v>0</v>
      </c>
      <c r="P51" s="64">
        <v>0.75</v>
      </c>
      <c r="Q51" s="64">
        <v>17.829999999999998</v>
      </c>
      <c r="R51" s="198"/>
      <c r="S51" s="198"/>
      <c r="T51" s="198"/>
      <c r="U51" s="198"/>
    </row>
    <row r="52" spans="1:21" s="12" customFormat="1" x14ac:dyDescent="0.25">
      <c r="A52" s="218" t="s">
        <v>2792</v>
      </c>
      <c r="B52" s="64">
        <v>4.1399999999999997</v>
      </c>
      <c r="C52" s="64">
        <v>34.17</v>
      </c>
      <c r="D52" s="64">
        <v>38.31</v>
      </c>
      <c r="E52" s="64">
        <v>1.77</v>
      </c>
      <c r="F52" s="64">
        <v>9.07</v>
      </c>
      <c r="G52" s="64">
        <v>35.82</v>
      </c>
      <c r="H52" s="64">
        <v>11.25</v>
      </c>
      <c r="I52" s="64">
        <v>0.52</v>
      </c>
      <c r="J52" s="64">
        <v>0.38</v>
      </c>
      <c r="K52" s="64">
        <v>234.03</v>
      </c>
      <c r="L52" s="64">
        <v>23.87</v>
      </c>
      <c r="M52" s="64">
        <v>53.55</v>
      </c>
      <c r="N52" s="64">
        <v>389.1</v>
      </c>
      <c r="O52" s="64">
        <v>0</v>
      </c>
      <c r="P52" s="64">
        <v>0.72</v>
      </c>
      <c r="Q52" s="64">
        <v>10.94</v>
      </c>
      <c r="R52" s="198"/>
      <c r="S52" s="198"/>
      <c r="T52" s="198"/>
      <c r="U52" s="198"/>
    </row>
    <row r="53" spans="1:21" s="12" customFormat="1" x14ac:dyDescent="0.25">
      <c r="A53" s="218" t="s">
        <v>2793</v>
      </c>
      <c r="B53" s="64">
        <v>4.92</v>
      </c>
      <c r="C53" s="64">
        <v>40.96</v>
      </c>
      <c r="D53" s="64">
        <v>45.88</v>
      </c>
      <c r="E53" s="64">
        <v>2.25</v>
      </c>
      <c r="F53" s="64">
        <v>4.4400000000000004</v>
      </c>
      <c r="G53" s="64">
        <v>32.35</v>
      </c>
      <c r="H53" s="64">
        <v>12.7</v>
      </c>
      <c r="I53" s="64">
        <v>0.51</v>
      </c>
      <c r="J53" s="64">
        <v>0.44</v>
      </c>
      <c r="K53" s="64">
        <v>208.01</v>
      </c>
      <c r="L53" s="64">
        <v>25.3</v>
      </c>
      <c r="M53" s="64">
        <v>50</v>
      </c>
      <c r="N53" s="64">
        <v>483.1</v>
      </c>
      <c r="O53" s="64">
        <v>0</v>
      </c>
      <c r="P53" s="64">
        <v>0.74</v>
      </c>
      <c r="Q53" s="64">
        <v>16.12</v>
      </c>
      <c r="R53" s="198"/>
      <c r="S53" s="198"/>
      <c r="T53" s="198"/>
      <c r="U53" s="198"/>
    </row>
    <row r="54" spans="1:21" s="12" customFormat="1" x14ac:dyDescent="0.25">
      <c r="A54" s="218" t="s">
        <v>2794</v>
      </c>
      <c r="B54" s="64">
        <v>4.33</v>
      </c>
      <c r="C54" s="64">
        <v>40.83</v>
      </c>
      <c r="D54" s="64">
        <v>45.16</v>
      </c>
      <c r="E54" s="64">
        <v>1.7</v>
      </c>
      <c r="F54" s="64">
        <v>5.55</v>
      </c>
      <c r="G54" s="64">
        <v>32.270000000000003</v>
      </c>
      <c r="H54" s="64">
        <v>12.7</v>
      </c>
      <c r="I54" s="64">
        <v>0.51</v>
      </c>
      <c r="J54" s="64">
        <v>0.79</v>
      </c>
      <c r="K54" s="64">
        <v>213.36</v>
      </c>
      <c r="L54" s="64">
        <v>24.77</v>
      </c>
      <c r="M54" s="64">
        <v>49.68</v>
      </c>
      <c r="N54" s="64">
        <v>436.2</v>
      </c>
      <c r="O54" s="64">
        <v>0</v>
      </c>
      <c r="P54" s="64">
        <v>0.73</v>
      </c>
      <c r="Q54" s="64">
        <v>17.03</v>
      </c>
      <c r="R54" s="198"/>
      <c r="S54" s="198"/>
      <c r="T54" s="198"/>
      <c r="U54" s="198"/>
    </row>
    <row r="55" spans="1:21" s="12" customFormat="1" x14ac:dyDescent="0.25">
      <c r="A55" s="218" t="s">
        <v>2795</v>
      </c>
      <c r="B55" s="64">
        <v>4</v>
      </c>
      <c r="C55" s="64">
        <v>40.65</v>
      </c>
      <c r="D55" s="64">
        <v>44.66</v>
      </c>
      <c r="E55" s="64">
        <v>1.67</v>
      </c>
      <c r="F55" s="64">
        <v>6.66</v>
      </c>
      <c r="G55" s="64">
        <v>32.270000000000003</v>
      </c>
      <c r="H55" s="64">
        <v>12.7</v>
      </c>
      <c r="I55" s="64">
        <v>0.51</v>
      </c>
      <c r="J55" s="64">
        <v>0.44</v>
      </c>
      <c r="K55" s="64">
        <v>194.94</v>
      </c>
      <c r="L55" s="64">
        <v>25.14</v>
      </c>
      <c r="M55" s="64">
        <v>47.7</v>
      </c>
      <c r="N55" s="64">
        <v>419.1</v>
      </c>
      <c r="O55" s="64">
        <v>0</v>
      </c>
      <c r="P55" s="64">
        <v>0.71</v>
      </c>
      <c r="Q55" s="64">
        <v>16.79</v>
      </c>
      <c r="R55" s="198"/>
      <c r="S55" s="198"/>
      <c r="T55" s="198"/>
      <c r="U55" s="198"/>
    </row>
    <row r="56" spans="1:21" s="12" customFormat="1" x14ac:dyDescent="0.25">
      <c r="A56" s="218" t="s">
        <v>2796</v>
      </c>
      <c r="B56" s="64">
        <v>4.25</v>
      </c>
      <c r="C56" s="64">
        <v>34.86</v>
      </c>
      <c r="D56" s="64">
        <v>39.119999999999997</v>
      </c>
      <c r="E56" s="64">
        <v>1.23</v>
      </c>
      <c r="F56" s="64">
        <v>5.32</v>
      </c>
      <c r="G56" s="64">
        <v>32.270000000000003</v>
      </c>
      <c r="H56" s="64">
        <v>12.7</v>
      </c>
      <c r="I56" s="64">
        <v>0.52</v>
      </c>
      <c r="J56" s="64">
        <v>0.21</v>
      </c>
      <c r="K56" s="64">
        <v>286.85000000000002</v>
      </c>
      <c r="L56" s="64">
        <v>26.31</v>
      </c>
      <c r="M56" s="64">
        <v>45.95</v>
      </c>
      <c r="N56" s="64">
        <v>494.2</v>
      </c>
      <c r="O56" s="64">
        <v>0</v>
      </c>
      <c r="P56" s="64">
        <v>0.7</v>
      </c>
      <c r="Q56" s="64">
        <v>12.73</v>
      </c>
      <c r="R56" s="198"/>
      <c r="S56" s="198"/>
      <c r="T56" s="198"/>
      <c r="U56" s="198"/>
    </row>
    <row r="57" spans="1:21" s="12" customFormat="1" x14ac:dyDescent="0.25">
      <c r="A57" s="218" t="s">
        <v>2797</v>
      </c>
      <c r="B57" s="64">
        <v>4.21</v>
      </c>
      <c r="C57" s="64">
        <v>35.71</v>
      </c>
      <c r="D57" s="64">
        <v>39.92</v>
      </c>
      <c r="E57" s="64">
        <v>1.56</v>
      </c>
      <c r="F57" s="64">
        <v>5.15</v>
      </c>
      <c r="G57" s="64">
        <v>32</v>
      </c>
      <c r="H57" s="64">
        <v>12.54</v>
      </c>
      <c r="I57" s="64">
        <v>0.51</v>
      </c>
      <c r="J57" s="64">
        <v>0.34</v>
      </c>
      <c r="K57" s="64">
        <v>140.72999999999999</v>
      </c>
      <c r="L57" s="64">
        <v>25.69</v>
      </c>
      <c r="M57" s="64">
        <v>47.96</v>
      </c>
      <c r="N57" s="64">
        <v>318.2</v>
      </c>
      <c r="O57" s="64">
        <v>0</v>
      </c>
      <c r="P57" s="64">
        <v>0.69</v>
      </c>
      <c r="Q57" s="64">
        <v>13.03</v>
      </c>
      <c r="R57" s="198"/>
      <c r="S57" s="198"/>
      <c r="T57" s="198"/>
      <c r="U57" s="198"/>
    </row>
    <row r="58" spans="1:21" s="12" customFormat="1" x14ac:dyDescent="0.25">
      <c r="A58" s="218" t="s">
        <v>2798</v>
      </c>
      <c r="B58" s="64">
        <v>4.5199999999999996</v>
      </c>
      <c r="C58" s="64">
        <v>36.659999999999997</v>
      </c>
      <c r="D58" s="64">
        <v>41.18</v>
      </c>
      <c r="E58" s="64">
        <v>1.56</v>
      </c>
      <c r="F58" s="64">
        <v>4.53</v>
      </c>
      <c r="G58" s="64">
        <v>31.99</v>
      </c>
      <c r="H58" s="64">
        <v>12.54</v>
      </c>
      <c r="I58" s="64">
        <v>0.54</v>
      </c>
      <c r="J58" s="64">
        <v>0.46</v>
      </c>
      <c r="K58" s="64">
        <v>192.19</v>
      </c>
      <c r="L58" s="64">
        <v>25.66</v>
      </c>
      <c r="M58" s="64">
        <v>46.05</v>
      </c>
      <c r="N58" s="64">
        <v>478.4</v>
      </c>
      <c r="O58" s="64">
        <v>0</v>
      </c>
      <c r="P58" s="64">
        <v>0.68</v>
      </c>
      <c r="Q58" s="64">
        <v>14.08</v>
      </c>
      <c r="R58" s="198"/>
      <c r="S58" s="198"/>
      <c r="T58" s="198"/>
      <c r="U58" s="198"/>
    </row>
    <row r="59" spans="1:21" s="12" customFormat="1" x14ac:dyDescent="0.25">
      <c r="A59" s="218" t="s">
        <v>2799</v>
      </c>
      <c r="B59" s="64">
        <v>4.53</v>
      </c>
      <c r="C59" s="64">
        <v>37.9</v>
      </c>
      <c r="D59" s="64">
        <v>42.43</v>
      </c>
      <c r="E59" s="64">
        <v>1.71</v>
      </c>
      <c r="F59" s="64">
        <v>4.6100000000000003</v>
      </c>
      <c r="G59" s="64">
        <v>31.99</v>
      </c>
      <c r="H59" s="64">
        <v>12.54</v>
      </c>
      <c r="I59" s="64">
        <v>0.52</v>
      </c>
      <c r="J59" s="64">
        <v>0.38</v>
      </c>
      <c r="K59" s="64">
        <v>300.38</v>
      </c>
      <c r="L59" s="64">
        <v>27.99</v>
      </c>
      <c r="M59" s="64">
        <v>42.9</v>
      </c>
      <c r="N59" s="64">
        <v>630.4</v>
      </c>
      <c r="O59" s="64">
        <v>0</v>
      </c>
      <c r="P59" s="64">
        <v>0.68</v>
      </c>
      <c r="Q59" s="64">
        <v>14.82</v>
      </c>
      <c r="R59" s="198"/>
      <c r="S59" s="198"/>
      <c r="T59" s="198"/>
      <c r="U59" s="198"/>
    </row>
    <row r="60" spans="1:21" s="12" customFormat="1" x14ac:dyDescent="0.25">
      <c r="A60" s="218" t="s">
        <v>2800</v>
      </c>
      <c r="B60" s="64">
        <v>4.0999999999999996</v>
      </c>
      <c r="C60" s="64">
        <v>38.93</v>
      </c>
      <c r="D60" s="64">
        <v>43.03</v>
      </c>
      <c r="E60" s="64">
        <v>1.96</v>
      </c>
      <c r="F60" s="64">
        <v>5.31</v>
      </c>
      <c r="G60" s="64">
        <v>31.99</v>
      </c>
      <c r="H60" s="64">
        <v>12.54</v>
      </c>
      <c r="I60" s="64">
        <v>0.52</v>
      </c>
      <c r="J60" s="64">
        <v>0.31</v>
      </c>
      <c r="K60" s="64">
        <v>231.54</v>
      </c>
      <c r="L60" s="64">
        <v>28.83</v>
      </c>
      <c r="M60" s="64">
        <v>39.520000000000003</v>
      </c>
      <c r="N60" s="64">
        <v>881</v>
      </c>
      <c r="O60" s="64">
        <v>0</v>
      </c>
      <c r="P60" s="64">
        <v>0.68</v>
      </c>
      <c r="Q60" s="64">
        <v>14.91</v>
      </c>
      <c r="R60" s="198"/>
      <c r="S60" s="198"/>
      <c r="T60" s="198"/>
      <c r="U60" s="198"/>
    </row>
    <row r="61" spans="1:21" s="12" customFormat="1" x14ac:dyDescent="0.25">
      <c r="A61" s="218" t="s">
        <v>2801</v>
      </c>
      <c r="B61" s="64">
        <v>3.67</v>
      </c>
      <c r="C61" s="64">
        <v>40.119999999999997</v>
      </c>
      <c r="D61" s="64">
        <v>43.78</v>
      </c>
      <c r="E61" s="64">
        <v>1.45</v>
      </c>
      <c r="F61" s="64">
        <v>5.05</v>
      </c>
      <c r="G61" s="64">
        <v>27.91</v>
      </c>
      <c r="H61" s="64">
        <v>9.6999999999999993</v>
      </c>
      <c r="I61" s="64">
        <v>0.54</v>
      </c>
      <c r="J61" s="64">
        <v>0.23</v>
      </c>
      <c r="K61" s="64">
        <v>166.33</v>
      </c>
      <c r="L61" s="64">
        <v>28.54</v>
      </c>
      <c r="M61" s="64">
        <v>39.049999999999997</v>
      </c>
      <c r="N61" s="64">
        <v>797.4</v>
      </c>
      <c r="O61" s="64">
        <v>0</v>
      </c>
      <c r="P61" s="64">
        <v>0.63</v>
      </c>
      <c r="Q61" s="64">
        <v>16.84</v>
      </c>
      <c r="R61" s="198"/>
      <c r="S61" s="198"/>
      <c r="T61" s="198"/>
      <c r="U61" s="198"/>
    </row>
    <row r="62" spans="1:21" s="12" customFormat="1" x14ac:dyDescent="0.25">
      <c r="A62" s="218" t="s">
        <v>2802</v>
      </c>
      <c r="B62" s="64">
        <v>3.27</v>
      </c>
      <c r="C62" s="64">
        <v>39.61</v>
      </c>
      <c r="D62" s="64">
        <v>42.89</v>
      </c>
      <c r="E62" s="64">
        <v>1.98</v>
      </c>
      <c r="F62" s="64">
        <v>5.07</v>
      </c>
      <c r="G62" s="64">
        <v>27.82</v>
      </c>
      <c r="H62" s="64">
        <v>9.6999999999999993</v>
      </c>
      <c r="I62" s="64">
        <v>0.53</v>
      </c>
      <c r="J62" s="64">
        <v>0.64</v>
      </c>
      <c r="K62" s="64">
        <v>234.5</v>
      </c>
      <c r="L62" s="64">
        <v>28.5</v>
      </c>
      <c r="M62" s="64">
        <v>37.380000000000003</v>
      </c>
      <c r="N62" s="64">
        <v>852.9</v>
      </c>
      <c r="O62" s="64">
        <v>0</v>
      </c>
      <c r="P62" s="64">
        <v>0.63</v>
      </c>
      <c r="Q62" s="64">
        <v>16.350000000000001</v>
      </c>
      <c r="R62" s="198"/>
      <c r="S62" s="198"/>
      <c r="T62" s="198"/>
      <c r="U62" s="198"/>
    </row>
    <row r="63" spans="1:21" s="12" customFormat="1" x14ac:dyDescent="0.25">
      <c r="A63" s="218" t="s">
        <v>2803</v>
      </c>
      <c r="B63" s="64">
        <v>2.8</v>
      </c>
      <c r="C63" s="64">
        <v>39.770000000000003</v>
      </c>
      <c r="D63" s="64">
        <v>42.57</v>
      </c>
      <c r="E63" s="64">
        <v>1.75</v>
      </c>
      <c r="F63" s="64">
        <v>8.59</v>
      </c>
      <c r="G63" s="64">
        <v>27.82</v>
      </c>
      <c r="H63" s="64">
        <v>9.6999999999999993</v>
      </c>
      <c r="I63" s="64">
        <v>0.53</v>
      </c>
      <c r="J63" s="64">
        <v>0.49</v>
      </c>
      <c r="K63" s="64">
        <v>214.87</v>
      </c>
      <c r="L63" s="64">
        <v>28.84</v>
      </c>
      <c r="M63" s="64">
        <v>36.979999999999997</v>
      </c>
      <c r="N63" s="64">
        <v>723.3</v>
      </c>
      <c r="O63" s="64">
        <v>0</v>
      </c>
      <c r="P63" s="64">
        <v>0.6</v>
      </c>
      <c r="Q63" s="64">
        <v>16.72</v>
      </c>
      <c r="R63" s="198"/>
      <c r="S63" s="198"/>
      <c r="T63" s="198"/>
      <c r="U63" s="198"/>
    </row>
    <row r="64" spans="1:21" s="12" customFormat="1" x14ac:dyDescent="0.25">
      <c r="A64" s="218" t="s">
        <v>2804</v>
      </c>
      <c r="B64" s="64">
        <v>2.97</v>
      </c>
      <c r="C64" s="64">
        <v>30.35</v>
      </c>
      <c r="D64" s="64">
        <v>33.32</v>
      </c>
      <c r="E64" s="64">
        <v>1.4</v>
      </c>
      <c r="F64" s="64">
        <v>8.89</v>
      </c>
      <c r="G64" s="64">
        <v>27.82</v>
      </c>
      <c r="H64" s="64">
        <v>9.6999999999999993</v>
      </c>
      <c r="I64" s="64">
        <v>0.53</v>
      </c>
      <c r="J64" s="64">
        <v>0.93</v>
      </c>
      <c r="K64" s="64">
        <v>205</v>
      </c>
      <c r="L64" s="64">
        <v>29.23</v>
      </c>
      <c r="M64" s="64">
        <v>35.42</v>
      </c>
      <c r="N64" s="64">
        <v>781.9</v>
      </c>
      <c r="O64" s="64">
        <v>0</v>
      </c>
      <c r="P64" s="64">
        <v>0.57999999999999996</v>
      </c>
      <c r="Q64" s="64">
        <v>10.24</v>
      </c>
      <c r="R64" s="198"/>
      <c r="S64" s="198"/>
      <c r="T64" s="198"/>
      <c r="U64" s="198"/>
    </row>
    <row r="65" spans="1:21" s="12" customFormat="1" x14ac:dyDescent="0.25">
      <c r="A65" s="218" t="s">
        <v>2805</v>
      </c>
      <c r="B65" s="64">
        <v>3.48</v>
      </c>
      <c r="C65" s="64">
        <v>41.02</v>
      </c>
      <c r="D65" s="64">
        <v>44.5</v>
      </c>
      <c r="E65" s="64">
        <v>1.66</v>
      </c>
      <c r="F65" s="64">
        <v>11.29</v>
      </c>
      <c r="G65" s="64">
        <v>24.35</v>
      </c>
      <c r="H65" s="64">
        <v>8.91</v>
      </c>
      <c r="I65" s="64">
        <v>0.53</v>
      </c>
      <c r="J65" s="64">
        <v>0.64</v>
      </c>
      <c r="K65" s="64">
        <v>209.2</v>
      </c>
      <c r="L65" s="64">
        <v>29.05</v>
      </c>
      <c r="M65" s="64">
        <v>36.61</v>
      </c>
      <c r="N65" s="64">
        <v>651</v>
      </c>
      <c r="O65" s="64">
        <v>0</v>
      </c>
      <c r="P65" s="64">
        <v>0.55000000000000004</v>
      </c>
      <c r="Q65" s="64">
        <v>16.100000000000001</v>
      </c>
      <c r="R65" s="198"/>
      <c r="S65" s="198"/>
      <c r="T65" s="198"/>
      <c r="U65" s="198"/>
    </row>
    <row r="66" spans="1:21" s="12" customFormat="1" x14ac:dyDescent="0.25">
      <c r="A66" s="218" t="s">
        <v>2806</v>
      </c>
      <c r="B66" s="64">
        <v>3.63</v>
      </c>
      <c r="C66" s="64">
        <v>42.07</v>
      </c>
      <c r="D66" s="64">
        <v>45.7</v>
      </c>
      <c r="E66" s="64">
        <v>1.84</v>
      </c>
      <c r="F66" s="64">
        <v>9.68</v>
      </c>
      <c r="G66" s="64">
        <v>24.27</v>
      </c>
      <c r="H66" s="64">
        <v>8.91</v>
      </c>
      <c r="I66" s="64">
        <v>0.54</v>
      </c>
      <c r="J66" s="64">
        <v>1.06</v>
      </c>
      <c r="K66" s="64">
        <v>194.52</v>
      </c>
      <c r="L66" s="64">
        <v>29.56</v>
      </c>
      <c r="M66" s="64">
        <v>36.18</v>
      </c>
      <c r="N66" s="64">
        <v>702.7</v>
      </c>
      <c r="O66" s="64">
        <v>0</v>
      </c>
      <c r="P66" s="64">
        <v>0.56000000000000005</v>
      </c>
      <c r="Q66" s="64">
        <v>17</v>
      </c>
      <c r="R66" s="198"/>
      <c r="S66" s="198"/>
      <c r="T66" s="198"/>
      <c r="U66" s="198"/>
    </row>
    <row r="67" spans="1:21" s="12" customFormat="1" x14ac:dyDescent="0.25">
      <c r="A67" s="218" t="s">
        <v>2807</v>
      </c>
      <c r="B67" s="64">
        <v>4.91</v>
      </c>
      <c r="C67" s="64">
        <v>33.4</v>
      </c>
      <c r="D67" s="64">
        <v>38.31</v>
      </c>
      <c r="E67" s="64">
        <v>2.09</v>
      </c>
      <c r="F67" s="64">
        <v>11.07</v>
      </c>
      <c r="G67" s="64">
        <v>24.27</v>
      </c>
      <c r="H67" s="64">
        <v>8.91</v>
      </c>
      <c r="I67" s="64">
        <v>0.54</v>
      </c>
      <c r="J67" s="64">
        <v>0.03</v>
      </c>
      <c r="K67" s="64">
        <v>260.08</v>
      </c>
      <c r="L67" s="64">
        <v>30.24</v>
      </c>
      <c r="M67" s="64">
        <v>34.94</v>
      </c>
      <c r="N67" s="64">
        <v>570.1</v>
      </c>
      <c r="O67" s="64">
        <v>0</v>
      </c>
      <c r="P67" s="64">
        <v>0.55000000000000004</v>
      </c>
      <c r="Q67" s="64">
        <v>13.07</v>
      </c>
      <c r="R67" s="198"/>
      <c r="S67" s="198"/>
      <c r="T67" s="198"/>
      <c r="U67" s="198"/>
    </row>
    <row r="68" spans="1:21" s="12" customFormat="1" x14ac:dyDescent="0.25">
      <c r="A68" s="218" t="s">
        <v>2808</v>
      </c>
      <c r="B68" s="64">
        <v>5.83</v>
      </c>
      <c r="C68" s="64">
        <v>39.07</v>
      </c>
      <c r="D68" s="64">
        <v>44.9</v>
      </c>
      <c r="E68" s="64">
        <v>1.76</v>
      </c>
      <c r="F68" s="64">
        <v>6.01</v>
      </c>
      <c r="G68" s="64">
        <v>24.27</v>
      </c>
      <c r="H68" s="64">
        <v>8.91</v>
      </c>
      <c r="I68" s="64">
        <v>0.54</v>
      </c>
      <c r="J68" s="64">
        <v>0.89</v>
      </c>
      <c r="K68" s="64">
        <v>197.94</v>
      </c>
      <c r="L68" s="64">
        <v>29.81</v>
      </c>
      <c r="M68" s="64">
        <v>34.92</v>
      </c>
      <c r="N68" s="64">
        <v>502.9</v>
      </c>
      <c r="O68" s="64">
        <v>0</v>
      </c>
      <c r="P68" s="64">
        <v>0.55000000000000004</v>
      </c>
      <c r="Q68" s="64">
        <v>15.22</v>
      </c>
      <c r="R68" s="198"/>
      <c r="S68" s="198"/>
      <c r="T68" s="198"/>
      <c r="U68" s="198"/>
    </row>
    <row r="69" spans="1:21" s="12" customFormat="1" x14ac:dyDescent="0.25">
      <c r="A69" s="218" t="s">
        <v>2809</v>
      </c>
      <c r="B69" s="64">
        <v>3.48</v>
      </c>
      <c r="C69" s="64">
        <v>36.9</v>
      </c>
      <c r="D69" s="64">
        <v>40.380000000000003</v>
      </c>
      <c r="E69" s="64">
        <v>1.49</v>
      </c>
      <c r="F69" s="64">
        <v>7.34</v>
      </c>
      <c r="G69" s="64">
        <v>21.06</v>
      </c>
      <c r="H69" s="64">
        <v>8.2899999999999991</v>
      </c>
      <c r="I69" s="64">
        <v>0.55000000000000004</v>
      </c>
      <c r="J69" s="64">
        <v>0.61</v>
      </c>
      <c r="K69" s="64">
        <v>196.08</v>
      </c>
      <c r="L69" s="64">
        <v>29.13</v>
      </c>
      <c r="M69" s="64">
        <v>35.47</v>
      </c>
      <c r="N69" s="64">
        <v>345.3</v>
      </c>
      <c r="O69" s="64">
        <v>0</v>
      </c>
      <c r="P69" s="64">
        <v>0.53</v>
      </c>
      <c r="Q69" s="64">
        <v>16.16</v>
      </c>
      <c r="R69" s="198"/>
      <c r="S69" s="198"/>
      <c r="T69" s="198"/>
      <c r="U69" s="198"/>
    </row>
    <row r="70" spans="1:21" s="12" customFormat="1" x14ac:dyDescent="0.25">
      <c r="A70" s="218" t="s">
        <v>2810</v>
      </c>
      <c r="B70" s="64">
        <v>3.27</v>
      </c>
      <c r="C70" s="64">
        <v>37.83</v>
      </c>
      <c r="D70" s="64">
        <v>41.1</v>
      </c>
      <c r="E70" s="64">
        <v>1.33</v>
      </c>
      <c r="F70" s="64">
        <v>10.89</v>
      </c>
      <c r="G70" s="64">
        <v>20.98</v>
      </c>
      <c r="H70" s="64">
        <v>8.2899999999999991</v>
      </c>
      <c r="I70" s="64">
        <v>0.56000000000000005</v>
      </c>
      <c r="J70" s="64">
        <v>0.23</v>
      </c>
      <c r="K70" s="64">
        <v>143.28</v>
      </c>
      <c r="L70" s="64">
        <v>29.28</v>
      </c>
      <c r="M70" s="64">
        <v>35.96</v>
      </c>
      <c r="N70" s="64">
        <v>247.4</v>
      </c>
      <c r="O70" s="64">
        <v>0</v>
      </c>
      <c r="P70" s="64">
        <v>0.51</v>
      </c>
      <c r="Q70" s="64">
        <v>15.03</v>
      </c>
      <c r="R70" s="198"/>
      <c r="S70" s="198"/>
      <c r="T70" s="198"/>
      <c r="U70" s="198"/>
    </row>
    <row r="71" spans="1:21" s="12" customFormat="1" x14ac:dyDescent="0.25">
      <c r="A71" s="218" t="s">
        <v>2811</v>
      </c>
      <c r="B71" s="64">
        <v>3.9</v>
      </c>
      <c r="C71" s="64">
        <v>37.68</v>
      </c>
      <c r="D71" s="64">
        <v>41.57</v>
      </c>
      <c r="E71" s="64">
        <v>1.5</v>
      </c>
      <c r="F71" s="64">
        <v>8.67</v>
      </c>
      <c r="G71" s="64">
        <v>20.98</v>
      </c>
      <c r="H71" s="64">
        <v>8.2899999999999991</v>
      </c>
      <c r="I71" s="64">
        <v>0.54</v>
      </c>
      <c r="J71" s="64">
        <v>0.01</v>
      </c>
      <c r="K71" s="64">
        <v>288.45999999999998</v>
      </c>
      <c r="L71" s="64">
        <v>30.22</v>
      </c>
      <c r="M71" s="64">
        <v>34.93</v>
      </c>
      <c r="N71" s="64">
        <v>229.1</v>
      </c>
      <c r="O71" s="64">
        <v>0</v>
      </c>
      <c r="P71" s="64">
        <v>0.51</v>
      </c>
      <c r="Q71" s="64">
        <v>15.87</v>
      </c>
      <c r="R71" s="198"/>
      <c r="S71" s="198"/>
      <c r="T71" s="198"/>
      <c r="U71" s="198"/>
    </row>
    <row r="72" spans="1:21" s="12" customFormat="1" x14ac:dyDescent="0.25">
      <c r="A72" s="218" t="s">
        <v>2812</v>
      </c>
      <c r="B72" s="64">
        <v>4.3899999999999997</v>
      </c>
      <c r="C72" s="64">
        <v>42.9</v>
      </c>
      <c r="D72" s="64">
        <v>47.29</v>
      </c>
      <c r="E72" s="64">
        <v>0.43</v>
      </c>
      <c r="F72" s="64">
        <v>11.74</v>
      </c>
      <c r="G72" s="64">
        <v>20.98</v>
      </c>
      <c r="H72" s="64">
        <v>8.2899999999999991</v>
      </c>
      <c r="I72" s="64">
        <v>0.54</v>
      </c>
      <c r="J72" s="64">
        <v>0.12</v>
      </c>
      <c r="K72" s="64">
        <v>287.62</v>
      </c>
      <c r="L72" s="64">
        <v>30.11</v>
      </c>
      <c r="M72" s="64">
        <v>34.72</v>
      </c>
      <c r="N72" s="64">
        <v>121.4</v>
      </c>
      <c r="O72" s="64">
        <v>0</v>
      </c>
      <c r="P72" s="64">
        <v>0.52</v>
      </c>
      <c r="Q72" s="64">
        <v>16.88</v>
      </c>
      <c r="R72" s="198"/>
      <c r="S72" s="198"/>
      <c r="T72" s="198"/>
      <c r="U72" s="198"/>
    </row>
    <row r="73" spans="1:21" s="12" customFormat="1" x14ac:dyDescent="0.25">
      <c r="A73" s="218" t="s">
        <v>2813</v>
      </c>
      <c r="B73" s="64">
        <v>4.25</v>
      </c>
      <c r="C73" s="64">
        <v>47.43</v>
      </c>
      <c r="D73" s="64">
        <v>51.68</v>
      </c>
      <c r="E73" s="64">
        <v>1.1499999999999999</v>
      </c>
      <c r="F73" s="64">
        <v>9.77</v>
      </c>
      <c r="G73" s="64">
        <v>23.91</v>
      </c>
      <c r="H73" s="64">
        <v>9.6199999999999992</v>
      </c>
      <c r="I73" s="64">
        <v>0.55000000000000004</v>
      </c>
      <c r="J73" s="64">
        <v>0.72</v>
      </c>
      <c r="K73" s="64">
        <v>152.53</v>
      </c>
      <c r="L73" s="64">
        <v>29.3</v>
      </c>
      <c r="M73" s="64">
        <v>35.42</v>
      </c>
      <c r="N73" s="64">
        <v>105.3</v>
      </c>
      <c r="O73" s="64">
        <v>0</v>
      </c>
      <c r="P73" s="64">
        <v>0.51</v>
      </c>
      <c r="Q73" s="64">
        <v>19.89</v>
      </c>
      <c r="R73" s="198"/>
      <c r="S73" s="198"/>
      <c r="T73" s="198"/>
      <c r="U73" s="198"/>
    </row>
    <row r="74" spans="1:21" s="12" customFormat="1" x14ac:dyDescent="0.25">
      <c r="A74" s="218" t="s">
        <v>2814</v>
      </c>
      <c r="B74" s="64">
        <v>4.53</v>
      </c>
      <c r="C74" s="64">
        <v>45.8</v>
      </c>
      <c r="D74" s="64">
        <v>50.33</v>
      </c>
      <c r="E74" s="64">
        <v>1.39</v>
      </c>
      <c r="F74" s="64">
        <v>13.65</v>
      </c>
      <c r="G74" s="64">
        <v>23.98</v>
      </c>
      <c r="H74" s="64">
        <v>9.6199999999999992</v>
      </c>
      <c r="I74" s="64">
        <v>0.54</v>
      </c>
      <c r="J74" s="64">
        <v>0.56999999999999995</v>
      </c>
      <c r="K74" s="64">
        <v>133.53</v>
      </c>
      <c r="L74" s="64">
        <v>29.21</v>
      </c>
      <c r="M74" s="64">
        <v>35.67</v>
      </c>
      <c r="N74" s="64">
        <v>85.5</v>
      </c>
      <c r="O74" s="64">
        <v>0</v>
      </c>
      <c r="P74" s="64">
        <v>0.51</v>
      </c>
      <c r="Q74" s="64">
        <v>19.72</v>
      </c>
      <c r="R74" s="198"/>
      <c r="S74" s="198"/>
      <c r="T74" s="198"/>
      <c r="U74" s="198"/>
    </row>
    <row r="75" spans="1:21" s="12" customFormat="1" x14ac:dyDescent="0.25">
      <c r="A75" s="218" t="s">
        <v>2815</v>
      </c>
      <c r="B75" s="64">
        <v>3.95</v>
      </c>
      <c r="C75" s="64">
        <v>30.34</v>
      </c>
      <c r="D75" s="64">
        <v>34.28</v>
      </c>
      <c r="E75" s="64">
        <v>3.11</v>
      </c>
      <c r="F75" s="64">
        <v>29.13</v>
      </c>
      <c r="G75" s="64">
        <v>23.98</v>
      </c>
      <c r="H75" s="64">
        <v>9.6199999999999992</v>
      </c>
      <c r="I75" s="64">
        <v>0.54</v>
      </c>
      <c r="J75" s="64">
        <v>0.77</v>
      </c>
      <c r="K75" s="64">
        <v>115.84</v>
      </c>
      <c r="L75" s="64">
        <v>29.07</v>
      </c>
      <c r="M75" s="64">
        <v>35.79</v>
      </c>
      <c r="N75" s="64">
        <v>74.5</v>
      </c>
      <c r="O75" s="64">
        <v>0</v>
      </c>
      <c r="P75" s="64">
        <v>0.51</v>
      </c>
      <c r="Q75" s="64">
        <v>17.78</v>
      </c>
      <c r="R75" s="198"/>
      <c r="S75" s="198"/>
      <c r="T75" s="198"/>
      <c r="U75" s="198"/>
    </row>
    <row r="76" spans="1:21" s="12" customFormat="1" x14ac:dyDescent="0.25">
      <c r="A76" s="218" t="s">
        <v>2816</v>
      </c>
      <c r="B76" s="64">
        <v>3.33</v>
      </c>
      <c r="C76" s="64">
        <v>36.950000000000003</v>
      </c>
      <c r="D76" s="64">
        <v>40.28</v>
      </c>
      <c r="E76" s="64">
        <v>3.24</v>
      </c>
      <c r="F76" s="64">
        <v>27.78</v>
      </c>
      <c r="G76" s="64">
        <v>23.98</v>
      </c>
      <c r="H76" s="64">
        <v>9.6199999999999992</v>
      </c>
      <c r="I76" s="64">
        <v>0.54</v>
      </c>
      <c r="J76" s="64">
        <v>0.71</v>
      </c>
      <c r="K76" s="64">
        <v>125.41</v>
      </c>
      <c r="L76" s="64">
        <v>29.01</v>
      </c>
      <c r="M76" s="64">
        <v>35.96</v>
      </c>
      <c r="N76" s="64">
        <v>64</v>
      </c>
      <c r="O76" s="64">
        <v>0</v>
      </c>
      <c r="P76" s="64">
        <v>0.52</v>
      </c>
      <c r="Q76" s="64">
        <v>19.62</v>
      </c>
      <c r="R76" s="198"/>
      <c r="S76" s="198"/>
      <c r="T76" s="198"/>
      <c r="U76" s="198"/>
    </row>
    <row r="77" spans="1:21" s="12" customFormat="1" x14ac:dyDescent="0.25">
      <c r="A77" s="218" t="s">
        <v>2817</v>
      </c>
      <c r="B77" s="64">
        <v>2.81</v>
      </c>
      <c r="C77" s="64">
        <v>36.130000000000003</v>
      </c>
      <c r="D77" s="64">
        <v>38.950000000000003</v>
      </c>
      <c r="E77" s="64">
        <v>5.69</v>
      </c>
      <c r="F77" s="64">
        <v>41.06</v>
      </c>
      <c r="G77" s="64">
        <v>23.27</v>
      </c>
      <c r="H77" s="64">
        <v>8.08</v>
      </c>
      <c r="I77" s="64">
        <v>0.51</v>
      </c>
      <c r="J77" s="64">
        <v>0.52</v>
      </c>
      <c r="K77" s="64">
        <v>110.68</v>
      </c>
      <c r="L77" s="64">
        <v>28.98</v>
      </c>
      <c r="M77" s="64">
        <v>35.22</v>
      </c>
      <c r="N77" s="64">
        <v>57.2</v>
      </c>
      <c r="O77" s="64">
        <v>0</v>
      </c>
      <c r="P77" s="64">
        <v>0.56000000000000005</v>
      </c>
      <c r="Q77" s="64">
        <v>22.97</v>
      </c>
      <c r="R77" s="198"/>
      <c r="S77" s="198"/>
      <c r="T77" s="198"/>
      <c r="U77" s="198"/>
    </row>
    <row r="78" spans="1:21" s="12" customFormat="1" x14ac:dyDescent="0.25">
      <c r="A78" s="218" t="s">
        <v>2818</v>
      </c>
      <c r="B78" s="64">
        <v>4.0199999999999996</v>
      </c>
      <c r="C78" s="64">
        <v>36.97</v>
      </c>
      <c r="D78" s="64">
        <v>40.99</v>
      </c>
      <c r="E78" s="64">
        <v>7.55</v>
      </c>
      <c r="F78" s="64">
        <v>34.630000000000003</v>
      </c>
      <c r="G78" s="64">
        <v>23.26</v>
      </c>
      <c r="H78" s="64">
        <v>8.08</v>
      </c>
      <c r="I78" s="64">
        <v>0.52</v>
      </c>
      <c r="J78" s="64">
        <v>0.61</v>
      </c>
      <c r="K78" s="64">
        <v>119.88</v>
      </c>
      <c r="L78" s="64">
        <v>28.99</v>
      </c>
      <c r="M78" s="64">
        <v>35.19</v>
      </c>
      <c r="N78" s="64">
        <v>47.1</v>
      </c>
      <c r="O78" s="64">
        <v>0</v>
      </c>
      <c r="P78" s="64">
        <v>0.61</v>
      </c>
      <c r="Q78" s="64">
        <v>22.88</v>
      </c>
      <c r="R78" s="198"/>
      <c r="S78" s="198"/>
      <c r="T78" s="198"/>
      <c r="U78" s="198"/>
    </row>
    <row r="79" spans="1:21" s="12" customFormat="1" x14ac:dyDescent="0.25">
      <c r="A79" s="218" t="s">
        <v>2819</v>
      </c>
      <c r="B79" s="64">
        <v>3.79</v>
      </c>
      <c r="C79" s="64">
        <v>35.799999999999997</v>
      </c>
      <c r="D79" s="64">
        <v>39.590000000000003</v>
      </c>
      <c r="E79" s="64">
        <v>8.5</v>
      </c>
      <c r="F79" s="64">
        <v>20.86</v>
      </c>
      <c r="G79" s="64">
        <v>23.26</v>
      </c>
      <c r="H79" s="64">
        <v>8.08</v>
      </c>
      <c r="I79" s="64">
        <v>0.49</v>
      </c>
      <c r="J79" s="64">
        <v>0.24</v>
      </c>
      <c r="K79" s="64">
        <v>112.74</v>
      </c>
      <c r="L79" s="64">
        <v>29.07</v>
      </c>
      <c r="M79" s="64">
        <v>34.479999999999997</v>
      </c>
      <c r="N79" s="64">
        <v>36.799999999999997</v>
      </c>
      <c r="O79" s="64">
        <v>0</v>
      </c>
      <c r="P79" s="64">
        <v>0.6</v>
      </c>
      <c r="Q79" s="64">
        <v>23.13</v>
      </c>
      <c r="R79" s="198"/>
      <c r="S79" s="198"/>
      <c r="T79" s="198"/>
      <c r="U79" s="198"/>
    </row>
    <row r="80" spans="1:21" s="12" customFormat="1" x14ac:dyDescent="0.25">
      <c r="A80" s="218" t="s">
        <v>2820</v>
      </c>
      <c r="B80" s="64">
        <v>10.58</v>
      </c>
      <c r="C80" s="64">
        <v>45.14</v>
      </c>
      <c r="D80" s="64">
        <v>55.73</v>
      </c>
      <c r="E80" s="64">
        <v>5.45</v>
      </c>
      <c r="F80" s="64">
        <v>12.35</v>
      </c>
      <c r="G80" s="64">
        <v>23.26</v>
      </c>
      <c r="H80" s="64">
        <v>8.08</v>
      </c>
      <c r="I80" s="64">
        <v>0.52</v>
      </c>
      <c r="J80" s="64">
        <v>0.23</v>
      </c>
      <c r="K80" s="64">
        <v>311.10000000000002</v>
      </c>
      <c r="L80" s="64">
        <v>28.71</v>
      </c>
      <c r="M80" s="64">
        <v>39.58</v>
      </c>
      <c r="N80" s="64">
        <v>19.2</v>
      </c>
      <c r="O80" s="64">
        <v>0</v>
      </c>
      <c r="P80" s="64">
        <v>0.84</v>
      </c>
      <c r="Q80" s="64">
        <v>21.35</v>
      </c>
      <c r="R80" s="198"/>
      <c r="S80" s="198"/>
      <c r="T80" s="198"/>
      <c r="U80" s="198"/>
    </row>
    <row r="81" spans="1:26" s="12" customFormat="1" x14ac:dyDescent="0.25">
      <c r="A81" s="218" t="s">
        <v>2821</v>
      </c>
      <c r="B81" s="64">
        <v>15.46</v>
      </c>
      <c r="C81" s="64">
        <v>58.2</v>
      </c>
      <c r="D81" s="64">
        <v>73.650000000000006</v>
      </c>
      <c r="E81" s="64">
        <v>5.29</v>
      </c>
      <c r="F81" s="64">
        <v>8.0500000000000007</v>
      </c>
      <c r="G81" s="64">
        <v>23.51</v>
      </c>
      <c r="H81" s="64">
        <v>9.7899999999999991</v>
      </c>
      <c r="I81" s="64">
        <v>0.54</v>
      </c>
      <c r="J81" s="64">
        <v>0.06</v>
      </c>
      <c r="K81" s="64">
        <v>243.15</v>
      </c>
      <c r="L81" s="64">
        <v>28.08</v>
      </c>
      <c r="M81" s="64">
        <v>41.45</v>
      </c>
      <c r="N81" s="64">
        <v>10.8</v>
      </c>
      <c r="O81" s="64">
        <v>0</v>
      </c>
      <c r="P81" s="64">
        <v>1.1000000000000001</v>
      </c>
      <c r="Q81" s="64">
        <v>22.43</v>
      </c>
      <c r="R81" s="198"/>
      <c r="S81" s="198"/>
      <c r="T81" s="198"/>
      <c r="U81" s="198"/>
    </row>
    <row r="82" spans="1:26" s="12" customFormat="1" x14ac:dyDescent="0.25">
      <c r="A82" s="218" t="s">
        <v>2822</v>
      </c>
      <c r="B82" s="64">
        <v>7.97</v>
      </c>
      <c r="C82" s="64">
        <v>55.63</v>
      </c>
      <c r="D82" s="64">
        <v>63.61</v>
      </c>
      <c r="E82" s="64">
        <v>5.32</v>
      </c>
      <c r="F82" s="64">
        <v>16.600000000000001</v>
      </c>
      <c r="G82" s="64">
        <v>23.51</v>
      </c>
      <c r="H82" s="64">
        <v>9.7899999999999991</v>
      </c>
      <c r="I82" s="64">
        <v>0.59</v>
      </c>
      <c r="J82" s="64">
        <v>0.44</v>
      </c>
      <c r="K82" s="64">
        <v>120.43</v>
      </c>
      <c r="L82" s="64">
        <v>27.89</v>
      </c>
      <c r="M82" s="64">
        <v>38.54</v>
      </c>
      <c r="N82" s="64">
        <v>5.5</v>
      </c>
      <c r="O82" s="64">
        <v>0</v>
      </c>
      <c r="P82" s="64">
        <v>0.96</v>
      </c>
      <c r="Q82" s="64">
        <v>23.1</v>
      </c>
      <c r="R82" s="198"/>
      <c r="S82" s="198"/>
      <c r="T82" s="198"/>
      <c r="U82" s="198"/>
    </row>
    <row r="83" spans="1:26" s="12" customFormat="1" x14ac:dyDescent="0.25">
      <c r="A83" s="218" t="s">
        <v>2823</v>
      </c>
      <c r="B83" s="64">
        <v>23.96</v>
      </c>
      <c r="C83" s="64">
        <v>64.73</v>
      </c>
      <c r="D83" s="64">
        <v>88.69</v>
      </c>
      <c r="E83" s="64">
        <v>4.57</v>
      </c>
      <c r="F83" s="64">
        <v>9.75</v>
      </c>
      <c r="G83" s="64">
        <v>23.51</v>
      </c>
      <c r="H83" s="64">
        <v>9.7899999999999991</v>
      </c>
      <c r="I83" s="64">
        <v>0.64</v>
      </c>
      <c r="J83" s="64">
        <v>0.17</v>
      </c>
      <c r="K83" s="64">
        <v>54.91</v>
      </c>
      <c r="L83" s="64">
        <v>27.59</v>
      </c>
      <c r="M83" s="64">
        <v>42.54</v>
      </c>
      <c r="N83" s="64">
        <v>5.0999999999999996</v>
      </c>
      <c r="O83" s="64">
        <v>0</v>
      </c>
      <c r="P83" s="64">
        <v>1.3</v>
      </c>
      <c r="Q83" s="64">
        <v>22.71</v>
      </c>
      <c r="R83" s="198"/>
      <c r="S83" s="198"/>
      <c r="T83" s="198"/>
      <c r="U83" s="198"/>
    </row>
    <row r="84" spans="1:26" s="12" customFormat="1" x14ac:dyDescent="0.25">
      <c r="A84" s="218" t="s">
        <v>2824</v>
      </c>
      <c r="B84" s="64">
        <v>21.81</v>
      </c>
      <c r="C84" s="64">
        <v>65.489999999999995</v>
      </c>
      <c r="D84" s="64">
        <v>87.3</v>
      </c>
      <c r="E84" s="64">
        <v>4.33</v>
      </c>
      <c r="F84" s="64">
        <v>10.5</v>
      </c>
      <c r="G84" s="64">
        <v>23.51</v>
      </c>
      <c r="H84" s="64">
        <v>9.7899999999999991</v>
      </c>
      <c r="I84" s="64">
        <v>0.64</v>
      </c>
      <c r="J84" s="64">
        <v>0.19</v>
      </c>
      <c r="K84" s="64">
        <v>65.31</v>
      </c>
      <c r="L84" s="64">
        <v>27</v>
      </c>
      <c r="M84" s="64">
        <v>46.52</v>
      </c>
      <c r="N84" s="64">
        <v>4.9000000000000004</v>
      </c>
      <c r="O84" s="64">
        <v>0</v>
      </c>
      <c r="P84" s="64">
        <v>1.27</v>
      </c>
      <c r="Q84" s="64">
        <v>23.7</v>
      </c>
      <c r="R84" s="198"/>
      <c r="S84" s="198"/>
      <c r="T84" s="198"/>
      <c r="U84" s="198"/>
    </row>
    <row r="85" spans="1:26" s="12" customFormat="1" x14ac:dyDescent="0.25">
      <c r="A85" s="218" t="s">
        <v>2825</v>
      </c>
      <c r="B85" s="64">
        <v>12.04</v>
      </c>
      <c r="C85" s="64">
        <v>65.61</v>
      </c>
      <c r="D85" s="64">
        <v>77.650000000000006</v>
      </c>
      <c r="E85" s="64">
        <v>4.4400000000000004</v>
      </c>
      <c r="F85" s="64">
        <v>13.84</v>
      </c>
      <c r="G85" s="64">
        <v>39.01</v>
      </c>
      <c r="H85" s="64">
        <v>12.39</v>
      </c>
      <c r="I85" s="64">
        <v>0.61</v>
      </c>
      <c r="J85" s="64">
        <v>0.13</v>
      </c>
      <c r="K85" s="64">
        <v>73.45</v>
      </c>
      <c r="L85" s="64">
        <v>27</v>
      </c>
      <c r="M85" s="64">
        <v>43.84</v>
      </c>
      <c r="N85" s="64">
        <v>4.9000000000000004</v>
      </c>
      <c r="O85" s="64">
        <v>0</v>
      </c>
      <c r="P85" s="64">
        <v>1.29</v>
      </c>
      <c r="Q85" s="64">
        <v>26.04</v>
      </c>
      <c r="R85" s="198"/>
      <c r="S85" s="198"/>
      <c r="T85" s="198"/>
      <c r="U85" s="198"/>
    </row>
    <row r="86" spans="1:26" s="12" customFormat="1" x14ac:dyDescent="0.25">
      <c r="A86" s="218" t="s">
        <v>2826</v>
      </c>
      <c r="B86" s="64">
        <v>11.29</v>
      </c>
      <c r="C86" s="64">
        <v>77.97</v>
      </c>
      <c r="D86" s="64">
        <v>89.26</v>
      </c>
      <c r="E86" s="64">
        <v>4.5999999999999996</v>
      </c>
      <c r="F86" s="64">
        <v>14.21</v>
      </c>
      <c r="G86" s="64">
        <v>39.36</v>
      </c>
      <c r="H86" s="64">
        <v>12.39</v>
      </c>
      <c r="I86" s="64">
        <v>0.68</v>
      </c>
      <c r="J86" s="64">
        <v>0.14000000000000001</v>
      </c>
      <c r="K86" s="64">
        <v>96.85</v>
      </c>
      <c r="L86" s="64">
        <v>26.83</v>
      </c>
      <c r="M86" s="64">
        <v>46.01</v>
      </c>
      <c r="N86" s="64">
        <v>4.5999999999999996</v>
      </c>
      <c r="O86" s="64">
        <v>0</v>
      </c>
      <c r="P86" s="64">
        <v>1.28</v>
      </c>
      <c r="Q86" s="64">
        <v>25.59</v>
      </c>
      <c r="R86" s="198"/>
      <c r="S86" s="198"/>
      <c r="T86" s="198"/>
      <c r="U86" s="198"/>
    </row>
    <row r="87" spans="1:26" s="12" customFormat="1" x14ac:dyDescent="0.25">
      <c r="A87" s="218" t="s">
        <v>2827</v>
      </c>
      <c r="B87" s="64">
        <v>11.46</v>
      </c>
      <c r="C87" s="64">
        <v>73.56</v>
      </c>
      <c r="D87" s="64">
        <v>85.03</v>
      </c>
      <c r="E87" s="64">
        <v>5.86</v>
      </c>
      <c r="F87" s="64">
        <v>15.29</v>
      </c>
      <c r="G87" s="64">
        <v>39.36</v>
      </c>
      <c r="H87" s="64">
        <v>12.39</v>
      </c>
      <c r="I87" s="64">
        <v>0.64</v>
      </c>
      <c r="J87" s="64">
        <v>7.0000000000000007E-2</v>
      </c>
      <c r="K87" s="64">
        <v>174.71</v>
      </c>
      <c r="L87" s="64">
        <v>27.3</v>
      </c>
      <c r="M87" s="64">
        <v>39.880000000000003</v>
      </c>
      <c r="N87" s="64">
        <v>4.4000000000000004</v>
      </c>
      <c r="O87" s="64">
        <v>0</v>
      </c>
      <c r="P87" s="64">
        <v>1.21</v>
      </c>
      <c r="Q87" s="64">
        <v>23.2</v>
      </c>
      <c r="R87" s="198"/>
      <c r="S87" s="198"/>
      <c r="T87" s="198"/>
      <c r="U87" s="198"/>
    </row>
    <row r="88" spans="1:26" s="12" customFormat="1" x14ac:dyDescent="0.25">
      <c r="A88" s="218" t="s">
        <v>2828</v>
      </c>
      <c r="B88" s="64">
        <v>24.05</v>
      </c>
      <c r="C88" s="64">
        <v>68.86</v>
      </c>
      <c r="D88" s="64">
        <v>92.91</v>
      </c>
      <c r="E88" s="64">
        <v>2.09</v>
      </c>
      <c r="F88" s="64">
        <v>9.5</v>
      </c>
      <c r="G88" s="64">
        <v>39.36</v>
      </c>
      <c r="H88" s="64">
        <v>12.39</v>
      </c>
      <c r="I88" s="64">
        <v>0.67</v>
      </c>
      <c r="J88" s="64">
        <v>0.52</v>
      </c>
      <c r="K88" s="64">
        <v>120.02</v>
      </c>
      <c r="L88" s="64">
        <v>27.45</v>
      </c>
      <c r="M88" s="64">
        <v>40.39</v>
      </c>
      <c r="N88" s="64">
        <v>4</v>
      </c>
      <c r="O88" s="64">
        <v>0</v>
      </c>
      <c r="P88" s="64">
        <v>1.54</v>
      </c>
      <c r="Q88" s="64">
        <v>24.51</v>
      </c>
      <c r="R88" s="198"/>
      <c r="S88" s="198"/>
      <c r="T88" s="198"/>
      <c r="U88" s="198"/>
    </row>
    <row r="89" spans="1:26" s="12" customFormat="1" x14ac:dyDescent="0.25">
      <c r="A89" s="218" t="s">
        <v>2829</v>
      </c>
      <c r="B89" s="64">
        <v>10.94</v>
      </c>
      <c r="C89" s="64">
        <v>77.77</v>
      </c>
      <c r="D89" s="64">
        <v>88.71</v>
      </c>
      <c r="E89" s="64">
        <v>4.66</v>
      </c>
      <c r="F89" s="64">
        <v>14</v>
      </c>
      <c r="G89" s="64">
        <v>47.66</v>
      </c>
      <c r="H89" s="64">
        <v>18.5</v>
      </c>
      <c r="I89" s="64">
        <v>0.65</v>
      </c>
      <c r="J89" s="64">
        <v>0.21</v>
      </c>
      <c r="K89" s="64">
        <v>134.85</v>
      </c>
      <c r="L89" s="64">
        <v>27.45</v>
      </c>
      <c r="M89" s="64">
        <v>39.409999999999997</v>
      </c>
      <c r="N89" s="64">
        <v>4.7</v>
      </c>
      <c r="O89" s="64">
        <v>0</v>
      </c>
      <c r="P89" s="64">
        <v>1.3</v>
      </c>
      <c r="Q89" s="64">
        <v>27.14</v>
      </c>
      <c r="R89" s="198"/>
      <c r="S89" s="198"/>
      <c r="T89" s="198"/>
      <c r="U89" s="198"/>
    </row>
    <row r="90" spans="1:26" s="12" customFormat="1" x14ac:dyDescent="0.25">
      <c r="A90" s="218" t="s">
        <v>2830</v>
      </c>
      <c r="B90" s="64">
        <v>19.13</v>
      </c>
      <c r="C90" s="64">
        <v>76.98</v>
      </c>
      <c r="D90" s="64">
        <v>96.11</v>
      </c>
      <c r="E90" s="64">
        <v>4.76</v>
      </c>
      <c r="F90" s="64">
        <v>10.66</v>
      </c>
      <c r="G90" s="64">
        <v>47.85</v>
      </c>
      <c r="H90" s="64">
        <v>18.5</v>
      </c>
      <c r="I90" s="64">
        <v>0.7</v>
      </c>
      <c r="J90" s="64">
        <v>0.45</v>
      </c>
      <c r="K90" s="64">
        <v>111.89</v>
      </c>
      <c r="L90" s="64">
        <v>27.15</v>
      </c>
      <c r="M90" s="64">
        <v>41.06</v>
      </c>
      <c r="N90" s="64">
        <v>4.5999999999999996</v>
      </c>
      <c r="O90" s="64">
        <v>0</v>
      </c>
      <c r="P90" s="64">
        <v>1.42</v>
      </c>
      <c r="Q90" s="64">
        <v>25.88</v>
      </c>
      <c r="R90" s="198"/>
      <c r="S90" s="198"/>
      <c r="T90" s="198"/>
      <c r="U90" s="198"/>
    </row>
    <row r="91" spans="1:26" s="12" customFormat="1" x14ac:dyDescent="0.25">
      <c r="A91" s="218" t="s">
        <v>2831</v>
      </c>
      <c r="B91" s="64">
        <v>25.53</v>
      </c>
      <c r="C91" s="64">
        <v>63.6</v>
      </c>
      <c r="D91" s="64">
        <v>89.12</v>
      </c>
      <c r="E91" s="64">
        <v>3.79</v>
      </c>
      <c r="F91" s="64">
        <v>5.18</v>
      </c>
      <c r="G91" s="64">
        <v>47.85</v>
      </c>
      <c r="H91" s="64">
        <v>18.5</v>
      </c>
      <c r="I91" s="64">
        <v>0.63</v>
      </c>
      <c r="J91" s="64">
        <v>0.19</v>
      </c>
      <c r="K91" s="64">
        <v>279.44</v>
      </c>
      <c r="L91" s="64">
        <v>26.84</v>
      </c>
      <c r="M91" s="64">
        <v>43.83</v>
      </c>
      <c r="N91" s="64">
        <v>5.4</v>
      </c>
      <c r="O91" s="64">
        <v>0</v>
      </c>
      <c r="P91" s="64">
        <v>1.46</v>
      </c>
      <c r="Q91" s="64">
        <v>26.62</v>
      </c>
      <c r="R91" s="198"/>
      <c r="S91" s="198"/>
      <c r="T91" s="198"/>
      <c r="U91" s="198"/>
    </row>
    <row r="92" spans="1:26" s="12" customFormat="1" x14ac:dyDescent="0.25">
      <c r="A92" s="218" t="s">
        <v>2832</v>
      </c>
      <c r="B92" s="64">
        <v>48.62</v>
      </c>
      <c r="C92" s="64">
        <v>64.08</v>
      </c>
      <c r="D92" s="64">
        <v>112.7</v>
      </c>
      <c r="E92" s="64">
        <v>2.81</v>
      </c>
      <c r="F92" s="64">
        <v>3.66</v>
      </c>
      <c r="G92" s="64">
        <v>47.85</v>
      </c>
      <c r="H92" s="64">
        <v>18.5</v>
      </c>
      <c r="I92" s="64">
        <v>0.7</v>
      </c>
      <c r="J92" s="64">
        <v>0.1</v>
      </c>
      <c r="K92" s="64">
        <v>326.11</v>
      </c>
      <c r="L92" s="64">
        <v>26.17</v>
      </c>
      <c r="M92" s="64">
        <v>47.96</v>
      </c>
      <c r="N92" s="64">
        <v>5.4</v>
      </c>
      <c r="O92" s="64">
        <v>0</v>
      </c>
      <c r="P92" s="64">
        <v>1.81</v>
      </c>
      <c r="Q92" s="64">
        <v>24.11</v>
      </c>
      <c r="R92" s="198"/>
      <c r="S92" s="198"/>
      <c r="T92" s="198"/>
      <c r="U92" s="198"/>
    </row>
    <row r="93" spans="1:26" s="12" customFormat="1" x14ac:dyDescent="0.25">
      <c r="A93" s="218" t="s">
        <v>2833</v>
      </c>
      <c r="B93" s="64">
        <v>39.81</v>
      </c>
      <c r="C93" s="64">
        <v>60.22</v>
      </c>
      <c r="D93" s="64">
        <v>100.03</v>
      </c>
      <c r="E93" s="64">
        <v>2.74</v>
      </c>
      <c r="F93" s="64">
        <v>3.58</v>
      </c>
      <c r="G93" s="64">
        <v>66.37</v>
      </c>
      <c r="H93" s="64">
        <v>23.01</v>
      </c>
      <c r="I93" s="64">
        <v>0.77</v>
      </c>
      <c r="J93" s="64">
        <v>0.06</v>
      </c>
      <c r="K93" s="64">
        <v>39.659999999999997</v>
      </c>
      <c r="L93" s="64">
        <v>25.63</v>
      </c>
      <c r="M93" s="64">
        <v>51.12</v>
      </c>
      <c r="N93" s="64">
        <v>5.4</v>
      </c>
      <c r="O93" s="64">
        <v>0</v>
      </c>
      <c r="P93" s="64">
        <v>1.89</v>
      </c>
      <c r="Q93" s="64">
        <v>27.61</v>
      </c>
      <c r="R93" s="198"/>
      <c r="S93" s="198"/>
      <c r="T93" s="198"/>
      <c r="U93" s="198"/>
    </row>
    <row r="94" spans="1:26" s="12" customFormat="1" x14ac:dyDescent="0.25">
      <c r="A94" s="218" t="s">
        <v>2834</v>
      </c>
      <c r="B94" s="64">
        <v>58.79</v>
      </c>
      <c r="C94" s="64">
        <v>67.23</v>
      </c>
      <c r="D94" s="64">
        <v>126.02</v>
      </c>
      <c r="E94" s="64">
        <v>2.88</v>
      </c>
      <c r="F94" s="64">
        <v>3.19</v>
      </c>
      <c r="G94" s="64">
        <v>66.790000000000006</v>
      </c>
      <c r="H94" s="64">
        <v>23.01</v>
      </c>
      <c r="I94" s="64">
        <v>0.78</v>
      </c>
      <c r="J94" s="64">
        <v>0.11</v>
      </c>
      <c r="K94" s="64">
        <v>304.60000000000002</v>
      </c>
      <c r="L94" s="64">
        <v>25.63</v>
      </c>
      <c r="M94" s="64">
        <v>49.64</v>
      </c>
      <c r="N94" s="64">
        <v>4.8</v>
      </c>
      <c r="O94" s="64">
        <v>0</v>
      </c>
      <c r="P94" s="64">
        <v>2.2000000000000002</v>
      </c>
      <c r="Q94" s="64">
        <v>26.67</v>
      </c>
      <c r="R94" s="198"/>
      <c r="S94" s="198"/>
      <c r="T94" s="198"/>
      <c r="U94" s="198"/>
    </row>
    <row r="95" spans="1:26" s="12" customFormat="1" x14ac:dyDescent="0.25">
      <c r="A95" s="218" t="s">
        <v>2835</v>
      </c>
      <c r="B95" s="64">
        <v>61.83</v>
      </c>
      <c r="C95" s="64">
        <v>66.73</v>
      </c>
      <c r="D95" s="64">
        <v>128.56</v>
      </c>
      <c r="E95" s="64">
        <v>2.9</v>
      </c>
      <c r="F95" s="64">
        <v>3.04</v>
      </c>
      <c r="G95" s="64">
        <v>66.790000000000006</v>
      </c>
      <c r="H95" s="64">
        <v>23.01</v>
      </c>
      <c r="I95" s="64">
        <v>0.8</v>
      </c>
      <c r="J95" s="64">
        <v>0.21</v>
      </c>
      <c r="K95" s="64">
        <v>298.77</v>
      </c>
      <c r="L95" s="64">
        <v>25.65</v>
      </c>
      <c r="M95" s="64">
        <v>50.05</v>
      </c>
      <c r="N95" s="64">
        <v>4.8</v>
      </c>
      <c r="O95" s="64">
        <v>0</v>
      </c>
      <c r="P95" s="64">
        <v>2.08</v>
      </c>
      <c r="Q95" s="64">
        <v>27.25</v>
      </c>
      <c r="R95" s="198"/>
      <c r="S95" s="198"/>
      <c r="T95" s="198"/>
      <c r="U95" s="198"/>
    </row>
    <row r="96" spans="1:26" s="12" customFormat="1" x14ac:dyDescent="0.25">
      <c r="A96" s="218" t="s">
        <v>2836</v>
      </c>
      <c r="B96" s="64">
        <v>51.21</v>
      </c>
      <c r="C96" s="64">
        <v>61.81</v>
      </c>
      <c r="D96" s="64">
        <v>113.02</v>
      </c>
      <c r="E96" s="64">
        <v>2.35</v>
      </c>
      <c r="F96" s="64">
        <v>2.92</v>
      </c>
      <c r="G96" s="64">
        <v>66.790000000000006</v>
      </c>
      <c r="H96" s="64">
        <v>23.01</v>
      </c>
      <c r="I96" s="64">
        <v>0.87</v>
      </c>
      <c r="J96" s="64">
        <v>0.17</v>
      </c>
      <c r="K96" s="64">
        <v>278.64</v>
      </c>
      <c r="L96" s="64">
        <v>25.18</v>
      </c>
      <c r="M96" s="64">
        <v>53.54</v>
      </c>
      <c r="N96" s="64">
        <v>5.3</v>
      </c>
      <c r="O96" s="64">
        <v>0</v>
      </c>
      <c r="P96" s="64">
        <v>2.04</v>
      </c>
      <c r="Q96" s="64">
        <v>29.76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2837</v>
      </c>
      <c r="B97" s="64">
        <v>53.71</v>
      </c>
      <c r="C97" s="64">
        <v>71.510000000000005</v>
      </c>
      <c r="D97" s="64">
        <v>125.22</v>
      </c>
      <c r="E97" s="64">
        <v>2.23</v>
      </c>
      <c r="F97" s="64">
        <v>3.02</v>
      </c>
      <c r="G97" s="64">
        <v>90.01</v>
      </c>
      <c r="H97" s="64">
        <v>31.32</v>
      </c>
      <c r="I97" s="64">
        <v>0.86</v>
      </c>
      <c r="J97" s="64">
        <v>0.14000000000000001</v>
      </c>
      <c r="K97" s="64">
        <v>241.87</v>
      </c>
      <c r="L97" s="64">
        <v>25.16</v>
      </c>
      <c r="M97" s="64">
        <v>50.26</v>
      </c>
      <c r="N97" s="64">
        <v>4.7</v>
      </c>
      <c r="O97" s="64">
        <v>0</v>
      </c>
      <c r="P97" s="64">
        <v>2.12</v>
      </c>
      <c r="Q97" s="64">
        <v>28.76</v>
      </c>
      <c r="R97" s="198"/>
      <c r="S97" s="198"/>
      <c r="T97" s="198"/>
      <c r="U97" s="198"/>
    </row>
    <row r="98" spans="1:33" s="12" customFormat="1" x14ac:dyDescent="0.25">
      <c r="A98" s="218" t="s">
        <v>2838</v>
      </c>
      <c r="B98" s="64">
        <v>51.08</v>
      </c>
      <c r="C98" s="64">
        <v>80.849999999999994</v>
      </c>
      <c r="D98" s="64">
        <v>131.91999999999999</v>
      </c>
      <c r="E98" s="64">
        <v>2.5299999999999998</v>
      </c>
      <c r="F98" s="64">
        <v>3.23</v>
      </c>
      <c r="G98" s="64">
        <v>90.54</v>
      </c>
      <c r="H98" s="64">
        <v>31.32</v>
      </c>
      <c r="I98" s="64">
        <v>0.86</v>
      </c>
      <c r="J98" s="64">
        <v>0.18</v>
      </c>
      <c r="K98" s="64">
        <v>265.08999999999997</v>
      </c>
      <c r="L98" s="64">
        <v>25.15</v>
      </c>
      <c r="M98" s="64">
        <v>55.17</v>
      </c>
      <c r="N98" s="64">
        <v>5.2</v>
      </c>
      <c r="O98" s="64">
        <v>0</v>
      </c>
      <c r="P98" s="64">
        <v>2.2400000000000002</v>
      </c>
      <c r="Q98" s="64">
        <v>29.44</v>
      </c>
      <c r="R98" s="198"/>
      <c r="S98" s="198"/>
      <c r="T98" s="198"/>
      <c r="U98" s="198"/>
    </row>
    <row r="99" spans="1:33" s="12" customFormat="1" x14ac:dyDescent="0.25">
      <c r="A99" s="218" t="s">
        <v>2839</v>
      </c>
      <c r="B99" s="64">
        <v>45.68</v>
      </c>
      <c r="C99" s="64">
        <v>74.59</v>
      </c>
      <c r="D99" s="64">
        <v>120.28</v>
      </c>
      <c r="E99" s="64">
        <v>2.57</v>
      </c>
      <c r="F99" s="64">
        <v>3.77</v>
      </c>
      <c r="G99" s="64">
        <v>90.54</v>
      </c>
      <c r="H99" s="64">
        <v>31.32</v>
      </c>
      <c r="I99" s="64">
        <v>0.89</v>
      </c>
      <c r="J99" s="64">
        <v>7.0000000000000007E-2</v>
      </c>
      <c r="K99" s="64">
        <v>225.23</v>
      </c>
      <c r="L99" s="64">
        <v>25.22</v>
      </c>
      <c r="M99" s="64">
        <v>53.73</v>
      </c>
      <c r="N99" s="64">
        <v>4.7</v>
      </c>
      <c r="O99" s="64">
        <v>0</v>
      </c>
      <c r="P99" s="64">
        <v>2.25</v>
      </c>
      <c r="Q99" s="64">
        <v>29.4</v>
      </c>
      <c r="R99" s="198"/>
      <c r="S99" s="198"/>
      <c r="T99" s="198"/>
      <c r="U99" s="198"/>
    </row>
    <row r="100" spans="1:33" s="12" customFormat="1" x14ac:dyDescent="0.25">
      <c r="A100" s="218" t="s">
        <v>2840</v>
      </c>
      <c r="B100" s="64">
        <v>37.14</v>
      </c>
      <c r="C100" s="64">
        <v>73.569999999999993</v>
      </c>
      <c r="D100" s="64">
        <v>110.71</v>
      </c>
      <c r="E100" s="64">
        <v>2.3199999999999998</v>
      </c>
      <c r="F100" s="64">
        <v>4.05</v>
      </c>
      <c r="G100" s="64">
        <v>90.54</v>
      </c>
      <c r="H100" s="64">
        <v>31.32</v>
      </c>
      <c r="I100" s="64">
        <v>0.91</v>
      </c>
      <c r="J100" s="64">
        <v>0.2</v>
      </c>
      <c r="K100" s="64">
        <v>248.06</v>
      </c>
      <c r="L100" s="64">
        <v>25.65</v>
      </c>
      <c r="M100" s="64">
        <v>54.59</v>
      </c>
      <c r="N100" s="64">
        <v>4.3</v>
      </c>
      <c r="O100" s="64">
        <v>0</v>
      </c>
      <c r="P100" s="64">
        <v>2.33</v>
      </c>
      <c r="Q100" s="64">
        <v>30.13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2841</v>
      </c>
      <c r="B101" s="64">
        <v>42.71</v>
      </c>
      <c r="C101" s="64">
        <v>69.67</v>
      </c>
      <c r="D101" s="64">
        <v>112.38</v>
      </c>
      <c r="E101" s="64">
        <v>2.1</v>
      </c>
      <c r="F101" s="64">
        <v>3.59</v>
      </c>
      <c r="G101" s="64">
        <v>93.61</v>
      </c>
      <c r="H101" s="64">
        <v>29.91</v>
      </c>
      <c r="I101" s="64">
        <v>0.92</v>
      </c>
      <c r="J101" s="64">
        <v>0.28999999999999998</v>
      </c>
      <c r="K101" s="64">
        <v>275.05</v>
      </c>
      <c r="L101" s="64">
        <v>25.19</v>
      </c>
      <c r="M101" s="64">
        <v>57.76</v>
      </c>
      <c r="N101" s="64">
        <v>4.2</v>
      </c>
      <c r="O101" s="64">
        <v>0</v>
      </c>
      <c r="P101" s="64">
        <v>2.23</v>
      </c>
      <c r="Q101" s="64">
        <v>30.75</v>
      </c>
      <c r="R101" s="198"/>
      <c r="S101" s="198"/>
      <c r="T101" s="198"/>
      <c r="U101" s="198"/>
    </row>
    <row r="102" spans="1:33" s="12" customFormat="1" x14ac:dyDescent="0.25">
      <c r="A102" s="218" t="s">
        <v>2842</v>
      </c>
      <c r="B102" s="64">
        <v>46.31</v>
      </c>
      <c r="C102" s="64">
        <v>62.22</v>
      </c>
      <c r="D102" s="64">
        <v>108.52</v>
      </c>
      <c r="E102" s="64">
        <v>2.37</v>
      </c>
      <c r="F102" s="64">
        <v>3.79</v>
      </c>
      <c r="G102" s="64">
        <v>93.68</v>
      </c>
      <c r="H102" s="64">
        <v>29.91</v>
      </c>
      <c r="I102" s="64">
        <v>1.01</v>
      </c>
      <c r="J102" s="64">
        <v>0.51</v>
      </c>
      <c r="K102" s="64">
        <v>277.83</v>
      </c>
      <c r="L102" s="64">
        <v>25.35</v>
      </c>
      <c r="M102" s="64">
        <v>51.44</v>
      </c>
      <c r="N102" s="64">
        <v>4.3</v>
      </c>
      <c r="O102" s="64">
        <v>0</v>
      </c>
      <c r="P102" s="64">
        <v>2.08</v>
      </c>
      <c r="Q102" s="64">
        <v>31.15</v>
      </c>
      <c r="R102" s="198"/>
      <c r="S102" s="198"/>
      <c r="T102" s="198"/>
      <c r="U102" s="198"/>
    </row>
    <row r="103" spans="1:33" s="12" customFormat="1" x14ac:dyDescent="0.25">
      <c r="A103" s="218" t="s">
        <v>2843</v>
      </c>
      <c r="B103" s="64">
        <v>49.38</v>
      </c>
      <c r="C103" s="64">
        <v>53.2</v>
      </c>
      <c r="D103" s="64">
        <v>102.57</v>
      </c>
      <c r="E103" s="64">
        <v>2.38</v>
      </c>
      <c r="F103" s="64">
        <v>3.62</v>
      </c>
      <c r="G103" s="64">
        <v>93.68</v>
      </c>
      <c r="H103" s="64">
        <v>29.91</v>
      </c>
      <c r="I103" s="64">
        <v>1</v>
      </c>
      <c r="J103" s="64">
        <v>0.27</v>
      </c>
      <c r="K103" s="64">
        <v>274.04000000000002</v>
      </c>
      <c r="L103" s="64">
        <v>25.43</v>
      </c>
      <c r="M103" s="64">
        <v>51.4</v>
      </c>
      <c r="N103" s="64">
        <v>5.2</v>
      </c>
      <c r="O103" s="64">
        <v>0</v>
      </c>
      <c r="P103" s="64">
        <v>2.0699999999999998</v>
      </c>
      <c r="Q103" s="64">
        <v>30.63</v>
      </c>
      <c r="R103" s="198"/>
      <c r="S103" s="198"/>
      <c r="T103" s="198"/>
      <c r="U103" s="198"/>
    </row>
    <row r="104" spans="1:33" s="12" customFormat="1" x14ac:dyDescent="0.25">
      <c r="A104" s="218" t="s">
        <v>2844</v>
      </c>
      <c r="B104" s="64">
        <v>48.03</v>
      </c>
      <c r="C104" s="64">
        <v>49.76</v>
      </c>
      <c r="D104" s="64">
        <v>97.79</v>
      </c>
      <c r="E104" s="64">
        <v>1.54</v>
      </c>
      <c r="F104" s="64">
        <v>3.35</v>
      </c>
      <c r="G104" s="64">
        <v>93.68</v>
      </c>
      <c r="H104" s="64">
        <v>29.91</v>
      </c>
      <c r="I104" s="64">
        <v>0.93</v>
      </c>
      <c r="J104" s="64">
        <v>0.16</v>
      </c>
      <c r="K104" s="64">
        <v>9.2200000000000006</v>
      </c>
      <c r="L104" s="64">
        <v>25.7</v>
      </c>
      <c r="M104" s="64">
        <v>45.23</v>
      </c>
      <c r="N104" s="64">
        <v>5.3</v>
      </c>
      <c r="O104" s="64">
        <v>0</v>
      </c>
      <c r="P104" s="64">
        <v>2</v>
      </c>
      <c r="Q104" s="64">
        <v>29.97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2.65</v>
      </c>
      <c r="C106" s="67">
        <f>MIN(C9:C104)</f>
        <v>23.03</v>
      </c>
      <c r="D106" s="67">
        <f t="shared" ref="D106:Q106" si="0">MIN(D9:D104)</f>
        <v>27.53</v>
      </c>
      <c r="E106" s="67">
        <f t="shared" si="0"/>
        <v>0.43</v>
      </c>
      <c r="F106" s="67">
        <f t="shared" si="0"/>
        <v>2.92</v>
      </c>
      <c r="G106" s="67">
        <f t="shared" si="0"/>
        <v>20.98</v>
      </c>
      <c r="H106" s="67">
        <f t="shared" si="0"/>
        <v>8.08</v>
      </c>
      <c r="I106" s="67">
        <f t="shared" si="0"/>
        <v>0.49</v>
      </c>
      <c r="J106" s="67">
        <f t="shared" si="0"/>
        <v>0.01</v>
      </c>
      <c r="K106" s="67">
        <f t="shared" si="0"/>
        <v>9.2200000000000006</v>
      </c>
      <c r="L106" s="67">
        <f t="shared" si="0"/>
        <v>21.5</v>
      </c>
      <c r="M106" s="67">
        <f t="shared" si="0"/>
        <v>34.479999999999997</v>
      </c>
      <c r="N106" s="67">
        <f t="shared" si="0"/>
        <v>3.9</v>
      </c>
      <c r="O106" s="67">
        <f t="shared" si="0"/>
        <v>0</v>
      </c>
      <c r="P106" s="67">
        <f t="shared" si="0"/>
        <v>0.43</v>
      </c>
      <c r="Q106" s="67">
        <f t="shared" si="0"/>
        <v>7.87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61.83</v>
      </c>
      <c r="C107" s="66">
        <f t="shared" ref="C107:Q107" si="1">MAX(C9:C104)</f>
        <v>80.849999999999994</v>
      </c>
      <c r="D107" s="66">
        <f t="shared" si="1"/>
        <v>131.91999999999999</v>
      </c>
      <c r="E107" s="66">
        <f t="shared" si="1"/>
        <v>8.5</v>
      </c>
      <c r="F107" s="66">
        <f t="shared" si="1"/>
        <v>41.06</v>
      </c>
      <c r="G107" s="66">
        <f t="shared" si="1"/>
        <v>93.68</v>
      </c>
      <c r="H107" s="66">
        <f t="shared" si="1"/>
        <v>31.32</v>
      </c>
      <c r="I107" s="66">
        <f t="shared" si="1"/>
        <v>1.01</v>
      </c>
      <c r="J107" s="66">
        <f t="shared" si="1"/>
        <v>2.39</v>
      </c>
      <c r="K107" s="66">
        <f t="shared" si="1"/>
        <v>358.86</v>
      </c>
      <c r="L107" s="66">
        <f t="shared" si="1"/>
        <v>30.24</v>
      </c>
      <c r="M107" s="66">
        <f t="shared" si="1"/>
        <v>61.65</v>
      </c>
      <c r="N107" s="66">
        <f t="shared" si="1"/>
        <v>881</v>
      </c>
      <c r="O107" s="66">
        <f t="shared" si="1"/>
        <v>0</v>
      </c>
      <c r="P107" s="66">
        <f t="shared" si="1"/>
        <v>2.33</v>
      </c>
      <c r="Q107" s="66">
        <f t="shared" si="1"/>
        <v>31.15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12.153020833333334</v>
      </c>
      <c r="C108" s="67">
        <f t="shared" ref="C108:Q108" si="2">AVERAGE(C9:C104)</f>
        <v>46.496145833333337</v>
      </c>
      <c r="D108" s="67">
        <f t="shared" si="2"/>
        <v>58.649166666666694</v>
      </c>
      <c r="E108" s="67">
        <f t="shared" si="2"/>
        <v>2.2446874999999995</v>
      </c>
      <c r="F108" s="67">
        <f t="shared" si="2"/>
        <v>7.6033333333333326</v>
      </c>
      <c r="G108" s="67">
        <f t="shared" si="2"/>
        <v>36.157708333333339</v>
      </c>
      <c r="H108" s="67">
        <f t="shared" si="2"/>
        <v>13.575416666666669</v>
      </c>
      <c r="I108" s="67">
        <f t="shared" si="2"/>
        <v>0.58885416666666679</v>
      </c>
      <c r="J108" s="67">
        <f t="shared" si="2"/>
        <v>0.47531250000000019</v>
      </c>
      <c r="K108" s="67">
        <f t="shared" si="2"/>
        <v>226.32135416666674</v>
      </c>
      <c r="L108" s="67">
        <f t="shared" si="2"/>
        <v>25.518124999999994</v>
      </c>
      <c r="M108" s="67">
        <f t="shared" si="2"/>
        <v>49.085833333333333</v>
      </c>
      <c r="N108" s="67">
        <f t="shared" si="2"/>
        <v>149.58437499999997</v>
      </c>
      <c r="O108" s="67">
        <f t="shared" si="2"/>
        <v>0</v>
      </c>
      <c r="P108" s="67">
        <f t="shared" si="2"/>
        <v>0.88302083333333348</v>
      </c>
      <c r="Q108" s="67">
        <f t="shared" si="2"/>
        <v>19.414270833333344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15.451687090295462</v>
      </c>
      <c r="C109" s="67">
        <f t="shared" ref="C109:Q109" si="3">STDEV(C9:C104)</f>
        <v>13.252201514806334</v>
      </c>
      <c r="D109" s="67">
        <f t="shared" si="3"/>
        <v>26.615799291582857</v>
      </c>
      <c r="E109" s="67">
        <f t="shared" si="3"/>
        <v>1.4526614073739574</v>
      </c>
      <c r="F109" s="67">
        <f t="shared" si="3"/>
        <v>6.5797684596386947</v>
      </c>
      <c r="G109" s="67">
        <f t="shared" si="3"/>
        <v>19.585271828282572</v>
      </c>
      <c r="H109" s="67">
        <f t="shared" si="3"/>
        <v>6.0166869562762368</v>
      </c>
      <c r="I109" s="67">
        <f t="shared" si="3"/>
        <v>0.12466265883885021</v>
      </c>
      <c r="J109" s="67">
        <f t="shared" si="3"/>
        <v>0.49876258063542117</v>
      </c>
      <c r="K109" s="67">
        <f t="shared" si="3"/>
        <v>84.775218780015848</v>
      </c>
      <c r="L109" s="67">
        <f t="shared" si="3"/>
        <v>2.5363962468535215</v>
      </c>
      <c r="M109" s="67">
        <f t="shared" si="3"/>
        <v>8.6234602490338901</v>
      </c>
      <c r="N109" s="67">
        <f t="shared" si="3"/>
        <v>230.78149626095973</v>
      </c>
      <c r="O109" s="67">
        <f t="shared" si="3"/>
        <v>0</v>
      </c>
      <c r="P109" s="67">
        <f t="shared" si="3"/>
        <v>0.54574549648148651</v>
      </c>
      <c r="Q109" s="67">
        <f t="shared" si="3"/>
        <v>5.318277668329821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42" sqref="F14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8" t="s">
        <v>2845</v>
      </c>
      <c r="B9" s="64">
        <v>35.24</v>
      </c>
      <c r="C9" s="64">
        <v>54.54</v>
      </c>
      <c r="D9" s="64">
        <v>89.78</v>
      </c>
      <c r="E9" s="64">
        <v>2.66</v>
      </c>
      <c r="F9" s="64">
        <v>3.63</v>
      </c>
      <c r="G9" s="64">
        <v>92.49</v>
      </c>
      <c r="H9" s="64">
        <v>27.63</v>
      </c>
      <c r="I9" s="64">
        <v>0.93</v>
      </c>
      <c r="J9" s="64">
        <v>0.67</v>
      </c>
      <c r="K9" s="64">
        <v>39.11</v>
      </c>
      <c r="L9" s="64">
        <v>22.28</v>
      </c>
      <c r="M9" s="64">
        <v>64.41</v>
      </c>
      <c r="N9" s="64">
        <v>11.9</v>
      </c>
      <c r="O9" s="64">
        <v>0.2</v>
      </c>
      <c r="P9" s="64">
        <v>1.66</v>
      </c>
      <c r="Q9" s="64">
        <v>28.43</v>
      </c>
      <c r="R9" s="198"/>
      <c r="S9" s="198"/>
      <c r="T9" s="198"/>
      <c r="U9" s="198"/>
    </row>
    <row r="10" spans="1:21" s="12" customFormat="1" x14ac:dyDescent="0.25">
      <c r="A10" s="218" t="s">
        <v>2846</v>
      </c>
      <c r="B10" s="64">
        <v>17.190000000000001</v>
      </c>
      <c r="C10" s="64">
        <v>58.84</v>
      </c>
      <c r="D10" s="64">
        <v>76.040000000000006</v>
      </c>
      <c r="E10" s="64">
        <v>2.15</v>
      </c>
      <c r="F10" s="64">
        <v>3.92</v>
      </c>
      <c r="G10" s="64">
        <v>92.47</v>
      </c>
      <c r="H10" s="64">
        <v>27.63</v>
      </c>
      <c r="I10" s="64">
        <v>0.9</v>
      </c>
      <c r="J10" s="64">
        <v>0.18</v>
      </c>
      <c r="K10" s="64">
        <v>337.2</v>
      </c>
      <c r="L10" s="64">
        <v>18.5</v>
      </c>
      <c r="M10" s="64">
        <v>84.5</v>
      </c>
      <c r="N10" s="64">
        <v>8</v>
      </c>
      <c r="O10" s="64">
        <v>1.6</v>
      </c>
      <c r="P10" s="64">
        <v>1.29</v>
      </c>
      <c r="Q10" s="64">
        <v>25.66</v>
      </c>
      <c r="R10" s="198"/>
      <c r="S10" s="198"/>
      <c r="T10" s="198"/>
      <c r="U10" s="198"/>
    </row>
    <row r="11" spans="1:21" s="12" customFormat="1" x14ac:dyDescent="0.25">
      <c r="A11" s="218" t="s">
        <v>2847</v>
      </c>
      <c r="B11" s="64">
        <v>9.1</v>
      </c>
      <c r="C11" s="64">
        <v>57.57</v>
      </c>
      <c r="D11" s="64">
        <v>66.67</v>
      </c>
      <c r="E11" s="64">
        <v>1.8</v>
      </c>
      <c r="F11" s="64">
        <v>4.41</v>
      </c>
      <c r="G11" s="64">
        <v>92.47</v>
      </c>
      <c r="H11" s="64">
        <v>27.63</v>
      </c>
      <c r="I11" s="64">
        <v>0.76</v>
      </c>
      <c r="J11" s="64">
        <v>0.11</v>
      </c>
      <c r="K11" s="64">
        <v>342.71</v>
      </c>
      <c r="L11" s="64">
        <v>17.98</v>
      </c>
      <c r="M11" s="64">
        <v>86.07</v>
      </c>
      <c r="N11" s="64">
        <v>5.8</v>
      </c>
      <c r="O11" s="64">
        <v>0.6</v>
      </c>
      <c r="P11" s="64">
        <v>1.18</v>
      </c>
      <c r="Q11" s="64">
        <v>21.19</v>
      </c>
      <c r="R11" s="198"/>
      <c r="S11" s="198"/>
      <c r="T11" s="198"/>
      <c r="U11" s="198"/>
    </row>
    <row r="12" spans="1:21" s="12" customFormat="1" x14ac:dyDescent="0.25">
      <c r="A12" s="218" t="s">
        <v>2848</v>
      </c>
      <c r="B12" s="64">
        <v>4.9800000000000004</v>
      </c>
      <c r="C12" s="64">
        <v>54.47</v>
      </c>
      <c r="D12" s="64">
        <v>59.45</v>
      </c>
      <c r="E12" s="64">
        <v>1.73</v>
      </c>
      <c r="F12" s="64">
        <v>5.0199999999999996</v>
      </c>
      <c r="G12" s="64">
        <v>92.47</v>
      </c>
      <c r="H12" s="64">
        <v>27.63</v>
      </c>
      <c r="I12" s="64">
        <v>0.64</v>
      </c>
      <c r="J12" s="64">
        <v>0.04</v>
      </c>
      <c r="K12" s="64">
        <v>52.37</v>
      </c>
      <c r="L12" s="64">
        <v>17.920000000000002</v>
      </c>
      <c r="M12" s="64">
        <v>86.52</v>
      </c>
      <c r="N12" s="64">
        <v>5.2</v>
      </c>
      <c r="O12" s="64">
        <v>0.4</v>
      </c>
      <c r="P12" s="64">
        <v>1.1399999999999999</v>
      </c>
      <c r="Q12" s="64">
        <v>19.21</v>
      </c>
      <c r="R12" s="198"/>
      <c r="S12" s="198"/>
      <c r="T12" s="198"/>
      <c r="U12" s="198"/>
    </row>
    <row r="13" spans="1:21" s="12" customFormat="1" x14ac:dyDescent="0.25">
      <c r="A13" s="218" t="s">
        <v>2849</v>
      </c>
      <c r="B13" s="64">
        <v>3.32</v>
      </c>
      <c r="C13" s="64">
        <v>53.86</v>
      </c>
      <c r="D13" s="64">
        <v>57.18</v>
      </c>
      <c r="E13" s="64">
        <v>1.29</v>
      </c>
      <c r="F13" s="64">
        <v>4.6500000000000004</v>
      </c>
      <c r="G13" s="64">
        <v>72.319999999999993</v>
      </c>
      <c r="H13" s="64">
        <v>23.07</v>
      </c>
      <c r="I13" s="64">
        <v>0.57999999999999996</v>
      </c>
      <c r="J13" s="64">
        <v>0.2</v>
      </c>
      <c r="K13" s="64">
        <v>248.04</v>
      </c>
      <c r="L13" s="64">
        <v>17.78</v>
      </c>
      <c r="M13" s="64">
        <v>87.79</v>
      </c>
      <c r="N13" s="64">
        <v>5.2</v>
      </c>
      <c r="O13" s="64">
        <v>1</v>
      </c>
      <c r="P13" s="64">
        <v>1.08</v>
      </c>
      <c r="Q13" s="64">
        <v>20.22</v>
      </c>
      <c r="R13" s="198"/>
      <c r="S13" s="198"/>
      <c r="T13" s="198"/>
      <c r="U13" s="198"/>
    </row>
    <row r="14" spans="1:21" s="12" customFormat="1" x14ac:dyDescent="0.25">
      <c r="A14" s="218" t="s">
        <v>2850</v>
      </c>
      <c r="B14" s="64">
        <v>2.99</v>
      </c>
      <c r="C14" s="64">
        <v>48.07</v>
      </c>
      <c r="D14" s="64">
        <v>51.06</v>
      </c>
      <c r="E14" s="64">
        <v>1.38</v>
      </c>
      <c r="F14" s="64">
        <v>4.68</v>
      </c>
      <c r="G14" s="64">
        <v>71.86</v>
      </c>
      <c r="H14" s="64">
        <v>23.07</v>
      </c>
      <c r="I14" s="64">
        <v>0.55000000000000004</v>
      </c>
      <c r="J14" s="64">
        <v>0.38</v>
      </c>
      <c r="K14" s="64">
        <v>186.46</v>
      </c>
      <c r="L14" s="64">
        <v>17.579999999999998</v>
      </c>
      <c r="M14" s="64">
        <v>88.37</v>
      </c>
      <c r="N14" s="64">
        <v>5.2</v>
      </c>
      <c r="O14" s="64">
        <v>1</v>
      </c>
      <c r="P14" s="64">
        <v>1.1499999999999999</v>
      </c>
      <c r="Q14" s="64">
        <v>15.62</v>
      </c>
      <c r="R14" s="198"/>
      <c r="S14" s="198"/>
      <c r="T14" s="198"/>
      <c r="U14" s="198"/>
    </row>
    <row r="15" spans="1:21" s="12" customFormat="1" x14ac:dyDescent="0.25">
      <c r="A15" s="218" t="s">
        <v>2851</v>
      </c>
      <c r="B15" s="64">
        <v>3.5</v>
      </c>
      <c r="C15" s="64">
        <v>47.54</v>
      </c>
      <c r="D15" s="64">
        <v>51.04</v>
      </c>
      <c r="E15" s="64">
        <v>1.21</v>
      </c>
      <c r="F15" s="64">
        <v>4.21</v>
      </c>
      <c r="G15" s="64">
        <v>71.86</v>
      </c>
      <c r="H15" s="64">
        <v>23.07</v>
      </c>
      <c r="I15" s="64">
        <v>0.54</v>
      </c>
      <c r="J15" s="64">
        <v>0.35</v>
      </c>
      <c r="K15" s="64">
        <v>90.44</v>
      </c>
      <c r="L15" s="64">
        <v>17.690000000000001</v>
      </c>
      <c r="M15" s="64">
        <v>91.01</v>
      </c>
      <c r="N15" s="64">
        <v>4.8</v>
      </c>
      <c r="O15" s="64">
        <v>0.6</v>
      </c>
      <c r="P15" s="64">
        <v>1.1299999999999999</v>
      </c>
      <c r="Q15" s="64">
        <v>16.53</v>
      </c>
      <c r="R15" s="198"/>
      <c r="S15" s="198"/>
      <c r="T15" s="198"/>
      <c r="U15" s="198"/>
    </row>
    <row r="16" spans="1:21" s="12" customFormat="1" x14ac:dyDescent="0.25">
      <c r="A16" s="218" t="s">
        <v>2852</v>
      </c>
      <c r="B16" s="64">
        <v>4.25</v>
      </c>
      <c r="C16" s="64">
        <v>47.51</v>
      </c>
      <c r="D16" s="64">
        <v>51.76</v>
      </c>
      <c r="E16" s="64">
        <v>1.43</v>
      </c>
      <c r="F16" s="64">
        <v>3.99</v>
      </c>
      <c r="G16" s="64">
        <v>71.86</v>
      </c>
      <c r="H16" s="64">
        <v>23.07</v>
      </c>
      <c r="I16" s="64">
        <v>0.53</v>
      </c>
      <c r="J16" s="64">
        <v>1</v>
      </c>
      <c r="K16" s="64">
        <v>128.05000000000001</v>
      </c>
      <c r="L16" s="64">
        <v>18.079999999999998</v>
      </c>
      <c r="M16" s="64">
        <v>89.24</v>
      </c>
      <c r="N16" s="64">
        <v>4.8</v>
      </c>
      <c r="O16" s="64">
        <v>0.2</v>
      </c>
      <c r="P16" s="64">
        <v>1.1399999999999999</v>
      </c>
      <c r="Q16" s="64">
        <v>19.52</v>
      </c>
      <c r="R16" s="198"/>
      <c r="S16" s="198"/>
      <c r="T16" s="198"/>
      <c r="U16" s="198"/>
    </row>
    <row r="17" spans="1:21" s="12" customFormat="1" x14ac:dyDescent="0.25">
      <c r="A17" s="218" t="s">
        <v>2853</v>
      </c>
      <c r="B17" s="64">
        <v>4.84</v>
      </c>
      <c r="C17" s="64">
        <v>46.51</v>
      </c>
      <c r="D17" s="64">
        <v>51.34</v>
      </c>
      <c r="E17" s="64">
        <v>1.59</v>
      </c>
      <c r="F17" s="64">
        <v>3.72</v>
      </c>
      <c r="G17" s="64">
        <v>44.83</v>
      </c>
      <c r="H17" s="64">
        <v>19.52</v>
      </c>
      <c r="I17" s="64">
        <v>0.53</v>
      </c>
      <c r="J17" s="64">
        <v>1.74</v>
      </c>
      <c r="K17" s="64">
        <v>123.64</v>
      </c>
      <c r="L17" s="64">
        <v>18.63</v>
      </c>
      <c r="M17" s="64">
        <v>86.51</v>
      </c>
      <c r="N17" s="64">
        <v>5.8</v>
      </c>
      <c r="O17" s="64">
        <v>0</v>
      </c>
      <c r="P17" s="64">
        <v>1.1200000000000001</v>
      </c>
      <c r="Q17" s="64">
        <v>22.38</v>
      </c>
      <c r="R17" s="198"/>
      <c r="S17" s="198"/>
      <c r="T17" s="198"/>
      <c r="U17" s="198"/>
    </row>
    <row r="18" spans="1:21" s="12" customFormat="1" x14ac:dyDescent="0.25">
      <c r="A18" s="218" t="s">
        <v>2854</v>
      </c>
      <c r="B18" s="64">
        <v>5.04</v>
      </c>
      <c r="C18" s="64">
        <v>43.8</v>
      </c>
      <c r="D18" s="64">
        <v>48.84</v>
      </c>
      <c r="E18" s="64">
        <v>1.67</v>
      </c>
      <c r="F18" s="64">
        <v>3.65</v>
      </c>
      <c r="G18" s="64">
        <v>44.22</v>
      </c>
      <c r="H18" s="64">
        <v>19.52</v>
      </c>
      <c r="I18" s="64">
        <v>0.54</v>
      </c>
      <c r="J18" s="64">
        <v>1.99</v>
      </c>
      <c r="K18" s="64">
        <v>124.6</v>
      </c>
      <c r="L18" s="64">
        <v>18.84</v>
      </c>
      <c r="M18" s="64">
        <v>84.63</v>
      </c>
      <c r="N18" s="64">
        <v>7</v>
      </c>
      <c r="O18" s="64">
        <v>0</v>
      </c>
      <c r="P18" s="64">
        <v>1.1000000000000001</v>
      </c>
      <c r="Q18" s="64">
        <v>24.13</v>
      </c>
      <c r="R18" s="198"/>
      <c r="S18" s="198"/>
      <c r="T18" s="198"/>
      <c r="U18" s="198"/>
    </row>
    <row r="19" spans="1:21" s="12" customFormat="1" x14ac:dyDescent="0.25">
      <c r="A19" s="218" t="s">
        <v>2855</v>
      </c>
      <c r="B19" s="64">
        <v>4.8899999999999997</v>
      </c>
      <c r="C19" s="64">
        <v>44.72</v>
      </c>
      <c r="D19" s="64">
        <v>49.61</v>
      </c>
      <c r="E19" s="64">
        <v>1.4</v>
      </c>
      <c r="F19" s="64">
        <v>3.88</v>
      </c>
      <c r="G19" s="64">
        <v>44.22</v>
      </c>
      <c r="H19" s="64">
        <v>19.52</v>
      </c>
      <c r="I19" s="64">
        <v>0.56999999999999995</v>
      </c>
      <c r="J19" s="64">
        <v>0.6</v>
      </c>
      <c r="K19" s="64">
        <v>127.51</v>
      </c>
      <c r="L19" s="64">
        <v>19.260000000000002</v>
      </c>
      <c r="M19" s="64">
        <v>80.62</v>
      </c>
      <c r="N19" s="64">
        <v>6.8</v>
      </c>
      <c r="O19" s="64">
        <v>0</v>
      </c>
      <c r="P19" s="64">
        <v>1.04</v>
      </c>
      <c r="Q19" s="64">
        <v>26.8</v>
      </c>
      <c r="R19" s="198"/>
      <c r="S19" s="198"/>
      <c r="T19" s="198"/>
      <c r="U19" s="198"/>
    </row>
    <row r="20" spans="1:21" s="12" customFormat="1" x14ac:dyDescent="0.25">
      <c r="A20" s="218" t="s">
        <v>2856</v>
      </c>
      <c r="B20" s="64">
        <v>4.51</v>
      </c>
      <c r="C20" s="64">
        <v>44.12</v>
      </c>
      <c r="D20" s="64">
        <v>48.63</v>
      </c>
      <c r="E20" s="64">
        <v>1.83</v>
      </c>
      <c r="F20" s="64">
        <v>4.1100000000000003</v>
      </c>
      <c r="G20" s="64">
        <v>44.22</v>
      </c>
      <c r="H20" s="64">
        <v>19.52</v>
      </c>
      <c r="I20" s="64">
        <v>0.59</v>
      </c>
      <c r="J20" s="64">
        <v>1.65</v>
      </c>
      <c r="K20" s="64">
        <v>122.83</v>
      </c>
      <c r="L20" s="64">
        <v>19.78</v>
      </c>
      <c r="M20" s="64">
        <v>75.05</v>
      </c>
      <c r="N20" s="64">
        <v>6.4</v>
      </c>
      <c r="O20" s="64">
        <v>0</v>
      </c>
      <c r="P20" s="64">
        <v>0.98</v>
      </c>
      <c r="Q20" s="64">
        <v>27.32</v>
      </c>
      <c r="R20" s="198"/>
      <c r="S20" s="198"/>
      <c r="T20" s="198"/>
      <c r="U20" s="198"/>
    </row>
    <row r="21" spans="1:21" s="12" customFormat="1" x14ac:dyDescent="0.25">
      <c r="A21" s="218" t="s">
        <v>2857</v>
      </c>
      <c r="B21" s="64">
        <v>4.0999999999999996</v>
      </c>
      <c r="C21" s="64">
        <v>42.63</v>
      </c>
      <c r="D21" s="64">
        <v>46.73</v>
      </c>
      <c r="E21" s="64">
        <v>1.3</v>
      </c>
      <c r="F21" s="64">
        <v>4.66</v>
      </c>
      <c r="G21" s="64">
        <v>27.3</v>
      </c>
      <c r="H21" s="64">
        <v>13.04</v>
      </c>
      <c r="I21" s="64">
        <v>0.57999999999999996</v>
      </c>
      <c r="J21" s="64">
        <v>1.92</v>
      </c>
      <c r="K21" s="64">
        <v>125.17</v>
      </c>
      <c r="L21" s="64">
        <v>20.28</v>
      </c>
      <c r="M21" s="64">
        <v>69.64</v>
      </c>
      <c r="N21" s="64">
        <v>5.0999999999999996</v>
      </c>
      <c r="O21" s="64">
        <v>0</v>
      </c>
      <c r="P21" s="64">
        <v>0.91</v>
      </c>
      <c r="Q21" s="64">
        <v>28</v>
      </c>
      <c r="R21" s="198"/>
      <c r="S21" s="198"/>
      <c r="T21" s="198"/>
      <c r="U21" s="198"/>
    </row>
    <row r="22" spans="1:21" s="12" customFormat="1" x14ac:dyDescent="0.25">
      <c r="A22" s="218" t="s">
        <v>2858</v>
      </c>
      <c r="B22" s="64">
        <v>3.68</v>
      </c>
      <c r="C22" s="64">
        <v>42.31</v>
      </c>
      <c r="D22" s="64">
        <v>46</v>
      </c>
      <c r="E22" s="64">
        <v>1.4</v>
      </c>
      <c r="F22" s="64">
        <v>4.3899999999999997</v>
      </c>
      <c r="G22" s="64">
        <v>26.91</v>
      </c>
      <c r="H22" s="64">
        <v>13.04</v>
      </c>
      <c r="I22" s="64">
        <v>0.56999999999999995</v>
      </c>
      <c r="J22" s="64">
        <v>2.34</v>
      </c>
      <c r="K22" s="64">
        <v>131.18</v>
      </c>
      <c r="L22" s="64">
        <v>20.66</v>
      </c>
      <c r="M22" s="64">
        <v>67.06</v>
      </c>
      <c r="N22" s="64">
        <v>3.6</v>
      </c>
      <c r="O22" s="64">
        <v>0</v>
      </c>
      <c r="P22" s="64">
        <v>0.83</v>
      </c>
      <c r="Q22" s="64">
        <v>28.46</v>
      </c>
      <c r="R22" s="198"/>
      <c r="S22" s="198"/>
      <c r="T22" s="198"/>
      <c r="U22" s="198"/>
    </row>
    <row r="23" spans="1:21" s="12" customFormat="1" x14ac:dyDescent="0.25">
      <c r="A23" s="218" t="s">
        <v>2859</v>
      </c>
      <c r="B23" s="64">
        <v>3.45</v>
      </c>
      <c r="C23" s="64">
        <v>40.700000000000003</v>
      </c>
      <c r="D23" s="64">
        <v>44.14</v>
      </c>
      <c r="E23" s="64">
        <v>1.23</v>
      </c>
      <c r="F23" s="64">
        <v>4.46</v>
      </c>
      <c r="G23" s="64">
        <v>26.91</v>
      </c>
      <c r="H23" s="64">
        <v>13.04</v>
      </c>
      <c r="I23" s="64">
        <v>0.56999999999999995</v>
      </c>
      <c r="J23" s="64">
        <v>1.01</v>
      </c>
      <c r="K23" s="64">
        <v>119.37</v>
      </c>
      <c r="L23" s="64">
        <v>20.78</v>
      </c>
      <c r="M23" s="64">
        <v>64.819999999999993</v>
      </c>
      <c r="N23" s="64">
        <v>4.7</v>
      </c>
      <c r="O23" s="64">
        <v>0</v>
      </c>
      <c r="P23" s="64">
        <v>0.75</v>
      </c>
      <c r="Q23" s="64">
        <v>27.84</v>
      </c>
      <c r="R23" s="198"/>
      <c r="S23" s="198"/>
      <c r="T23" s="198"/>
      <c r="U23" s="198"/>
    </row>
    <row r="24" spans="1:21" s="12" customFormat="1" x14ac:dyDescent="0.25">
      <c r="A24" s="218" t="s">
        <v>2860</v>
      </c>
      <c r="B24" s="64">
        <v>3.16</v>
      </c>
      <c r="C24" s="64">
        <v>41.41</v>
      </c>
      <c r="D24" s="64">
        <v>44.57</v>
      </c>
      <c r="E24" s="64">
        <v>0.33</v>
      </c>
      <c r="F24" s="64">
        <v>4.2699999999999996</v>
      </c>
      <c r="G24" s="64">
        <v>26.91</v>
      </c>
      <c r="H24" s="64">
        <v>13.04</v>
      </c>
      <c r="I24" s="64">
        <v>0.55000000000000004</v>
      </c>
      <c r="J24" s="64">
        <v>1.84</v>
      </c>
      <c r="K24" s="64">
        <v>121.04</v>
      </c>
      <c r="L24" s="64">
        <v>21.36</v>
      </c>
      <c r="M24" s="64">
        <v>59.18</v>
      </c>
      <c r="N24" s="64">
        <v>3.9</v>
      </c>
      <c r="O24" s="64">
        <v>0</v>
      </c>
      <c r="P24" s="64">
        <v>0.7</v>
      </c>
      <c r="Q24" s="64">
        <v>28.2</v>
      </c>
      <c r="R24" s="198"/>
      <c r="S24" s="198"/>
      <c r="T24" s="198"/>
      <c r="U24" s="198"/>
    </row>
    <row r="25" spans="1:21" s="12" customFormat="1" x14ac:dyDescent="0.25">
      <c r="A25" s="218" t="s">
        <v>2861</v>
      </c>
      <c r="B25" s="64">
        <v>2.9</v>
      </c>
      <c r="C25" s="64">
        <v>38.71</v>
      </c>
      <c r="D25" s="64">
        <v>41.61</v>
      </c>
      <c r="E25" s="64">
        <v>1.05</v>
      </c>
      <c r="F25" s="64">
        <v>5.78</v>
      </c>
      <c r="G25" s="64">
        <v>15.22</v>
      </c>
      <c r="H25" s="64">
        <v>9.61</v>
      </c>
      <c r="I25" s="64">
        <v>0.55000000000000004</v>
      </c>
      <c r="J25" s="64">
        <v>1.07</v>
      </c>
      <c r="K25" s="64">
        <v>125.86</v>
      </c>
      <c r="L25" s="64">
        <v>21.31</v>
      </c>
      <c r="M25" s="64">
        <v>59.14</v>
      </c>
      <c r="N25" s="64">
        <v>5.2</v>
      </c>
      <c r="O25" s="64">
        <v>0</v>
      </c>
      <c r="P25" s="64">
        <v>0.63</v>
      </c>
      <c r="Q25" s="64">
        <v>27.81</v>
      </c>
      <c r="R25" s="198"/>
      <c r="S25" s="198"/>
      <c r="T25" s="198"/>
      <c r="U25" s="198"/>
    </row>
    <row r="26" spans="1:21" s="12" customFormat="1" x14ac:dyDescent="0.25">
      <c r="A26" s="218" t="s">
        <v>2862</v>
      </c>
      <c r="B26" s="64">
        <v>2.93</v>
      </c>
      <c r="C26" s="64">
        <v>29.55</v>
      </c>
      <c r="D26" s="64">
        <v>32.479999999999997</v>
      </c>
      <c r="E26" s="64">
        <v>0.9</v>
      </c>
      <c r="F26" s="64">
        <v>6.62</v>
      </c>
      <c r="G26" s="64">
        <v>14.95</v>
      </c>
      <c r="H26" s="64">
        <v>9.61</v>
      </c>
      <c r="I26" s="64">
        <v>0.54</v>
      </c>
      <c r="J26" s="64">
        <v>1.33</v>
      </c>
      <c r="K26" s="64">
        <v>123.13</v>
      </c>
      <c r="L26" s="64">
        <v>21.05</v>
      </c>
      <c r="M26" s="64">
        <v>60.35</v>
      </c>
      <c r="N26" s="64">
        <v>4.9000000000000004</v>
      </c>
      <c r="O26" s="64">
        <v>0</v>
      </c>
      <c r="P26" s="64">
        <v>0.59</v>
      </c>
      <c r="Q26" s="64">
        <v>22.44</v>
      </c>
      <c r="R26" s="198"/>
      <c r="S26" s="198"/>
      <c r="T26" s="198"/>
      <c r="U26" s="198"/>
    </row>
    <row r="27" spans="1:21" s="12" customFormat="1" x14ac:dyDescent="0.25">
      <c r="A27" s="218" t="s">
        <v>2863</v>
      </c>
      <c r="B27" s="64">
        <v>3.18</v>
      </c>
      <c r="C27" s="64">
        <v>33.869999999999997</v>
      </c>
      <c r="D27" s="64">
        <v>37.06</v>
      </c>
      <c r="E27" s="64">
        <v>1.2</v>
      </c>
      <c r="F27" s="64">
        <v>4.42</v>
      </c>
      <c r="G27" s="64">
        <v>14.95</v>
      </c>
      <c r="H27" s="64">
        <v>9.61</v>
      </c>
      <c r="I27" s="64">
        <v>0.52</v>
      </c>
      <c r="J27" s="64">
        <v>0.54</v>
      </c>
      <c r="K27" s="64">
        <v>211.74</v>
      </c>
      <c r="L27" s="64">
        <v>20.96</v>
      </c>
      <c r="M27" s="64">
        <v>61.52</v>
      </c>
      <c r="N27" s="64">
        <v>5.0999999999999996</v>
      </c>
      <c r="O27" s="64">
        <v>0</v>
      </c>
      <c r="P27" s="64">
        <v>0.56999999999999995</v>
      </c>
      <c r="Q27" s="64">
        <v>25.59</v>
      </c>
      <c r="R27" s="198"/>
      <c r="S27" s="198"/>
      <c r="T27" s="198"/>
      <c r="U27" s="198"/>
    </row>
    <row r="28" spans="1:21" s="12" customFormat="1" x14ac:dyDescent="0.25">
      <c r="A28" s="218" t="s">
        <v>2864</v>
      </c>
      <c r="B28" s="64">
        <v>3.32</v>
      </c>
      <c r="C28" s="64">
        <v>35.049999999999997</v>
      </c>
      <c r="D28" s="64">
        <v>38.380000000000003</v>
      </c>
      <c r="E28" s="64">
        <v>1.08</v>
      </c>
      <c r="F28" s="64">
        <v>3.94</v>
      </c>
      <c r="G28" s="64">
        <v>14.95</v>
      </c>
      <c r="H28" s="64">
        <v>9.61</v>
      </c>
      <c r="I28" s="64">
        <v>0.52</v>
      </c>
      <c r="J28" s="64">
        <v>0.35</v>
      </c>
      <c r="K28" s="64">
        <v>238.76</v>
      </c>
      <c r="L28" s="64">
        <v>20.49</v>
      </c>
      <c r="M28" s="64">
        <v>64.81</v>
      </c>
      <c r="N28" s="64">
        <v>5.3</v>
      </c>
      <c r="O28" s="64">
        <v>0</v>
      </c>
      <c r="P28" s="64">
        <v>0.55000000000000004</v>
      </c>
      <c r="Q28" s="64">
        <v>24.66</v>
      </c>
      <c r="R28" s="198"/>
      <c r="S28" s="198"/>
      <c r="T28" s="198"/>
      <c r="U28" s="198"/>
    </row>
    <row r="29" spans="1:21" s="12" customFormat="1" x14ac:dyDescent="0.25">
      <c r="A29" s="218" t="s">
        <v>2865</v>
      </c>
      <c r="B29" s="64">
        <v>3.55</v>
      </c>
      <c r="C29" s="64">
        <v>34.229999999999997</v>
      </c>
      <c r="D29" s="64">
        <v>37.770000000000003</v>
      </c>
      <c r="E29" s="64">
        <v>0.85</v>
      </c>
      <c r="F29" s="64">
        <v>6.88</v>
      </c>
      <c r="G29" s="64">
        <v>9.99</v>
      </c>
      <c r="H29" s="64">
        <v>8.48</v>
      </c>
      <c r="I29" s="64">
        <v>0.53</v>
      </c>
      <c r="J29" s="64">
        <v>0.09</v>
      </c>
      <c r="K29" s="64">
        <v>132.12</v>
      </c>
      <c r="L29" s="64">
        <v>20.18</v>
      </c>
      <c r="M29" s="64">
        <v>67.41</v>
      </c>
      <c r="N29" s="64">
        <v>5.2</v>
      </c>
      <c r="O29" s="64">
        <v>0</v>
      </c>
      <c r="P29" s="64">
        <v>0.5</v>
      </c>
      <c r="Q29" s="64">
        <v>24.11</v>
      </c>
      <c r="R29" s="198"/>
      <c r="S29" s="198"/>
      <c r="T29" s="198"/>
      <c r="U29" s="198"/>
    </row>
    <row r="30" spans="1:21" s="12" customFormat="1" x14ac:dyDescent="0.25">
      <c r="A30" s="218" t="s">
        <v>2866</v>
      </c>
      <c r="B30" s="64">
        <v>4.45</v>
      </c>
      <c r="C30" s="64">
        <v>41.19</v>
      </c>
      <c r="D30" s="64">
        <v>45.64</v>
      </c>
      <c r="E30" s="64">
        <v>1.2</v>
      </c>
      <c r="F30" s="64">
        <v>3.96</v>
      </c>
      <c r="G30" s="64">
        <v>9.82</v>
      </c>
      <c r="H30" s="64">
        <v>8.48</v>
      </c>
      <c r="I30" s="64">
        <v>0.53</v>
      </c>
      <c r="J30" s="64">
        <v>0.09</v>
      </c>
      <c r="K30" s="64">
        <v>84.33</v>
      </c>
      <c r="L30" s="64">
        <v>19.5</v>
      </c>
      <c r="M30" s="64">
        <v>74.14</v>
      </c>
      <c r="N30" s="64">
        <v>6.6</v>
      </c>
      <c r="O30" s="64">
        <v>0</v>
      </c>
      <c r="P30" s="64">
        <v>0.52</v>
      </c>
      <c r="Q30" s="64">
        <v>27.51</v>
      </c>
      <c r="R30" s="198"/>
      <c r="S30" s="198"/>
      <c r="T30" s="198"/>
      <c r="U30" s="198"/>
    </row>
    <row r="31" spans="1:21" s="12" customFormat="1" x14ac:dyDescent="0.25">
      <c r="A31" s="218" t="s">
        <v>2867</v>
      </c>
      <c r="B31" s="64">
        <v>5.16</v>
      </c>
      <c r="C31" s="64">
        <v>42.78</v>
      </c>
      <c r="D31" s="64">
        <v>47.95</v>
      </c>
      <c r="E31" s="64">
        <v>1.1499999999999999</v>
      </c>
      <c r="F31" s="64">
        <v>3.39</v>
      </c>
      <c r="G31" s="64">
        <v>9.82</v>
      </c>
      <c r="H31" s="64">
        <v>8.48</v>
      </c>
      <c r="I31" s="64">
        <v>0.52</v>
      </c>
      <c r="J31" s="64">
        <v>0.19</v>
      </c>
      <c r="K31" s="64">
        <v>303.54000000000002</v>
      </c>
      <c r="L31" s="64">
        <v>19.329999999999998</v>
      </c>
      <c r="M31" s="64">
        <v>75.28</v>
      </c>
      <c r="N31" s="64">
        <v>9.5</v>
      </c>
      <c r="O31" s="64">
        <v>0</v>
      </c>
      <c r="P31" s="64">
        <v>0.51</v>
      </c>
      <c r="Q31" s="64">
        <v>27.58</v>
      </c>
      <c r="R31" s="198"/>
      <c r="S31" s="198"/>
      <c r="T31" s="198"/>
      <c r="U31" s="198"/>
    </row>
    <row r="32" spans="1:21" s="12" customFormat="1" x14ac:dyDescent="0.25">
      <c r="A32" s="218" t="s">
        <v>2868</v>
      </c>
      <c r="B32" s="64">
        <v>6.11</v>
      </c>
      <c r="C32" s="64">
        <v>42.11</v>
      </c>
      <c r="D32" s="64">
        <v>48.22</v>
      </c>
      <c r="E32" s="64">
        <v>1.02</v>
      </c>
      <c r="F32" s="64">
        <v>3.19</v>
      </c>
      <c r="G32" s="64">
        <v>9.82</v>
      </c>
      <c r="H32" s="64">
        <v>8.48</v>
      </c>
      <c r="I32" s="64">
        <v>0.52</v>
      </c>
      <c r="J32" s="64">
        <v>0.12</v>
      </c>
      <c r="K32" s="64">
        <v>274.45</v>
      </c>
      <c r="L32" s="64">
        <v>19.38</v>
      </c>
      <c r="M32" s="64">
        <v>74.989999999999995</v>
      </c>
      <c r="N32" s="64">
        <v>20.399999999999999</v>
      </c>
      <c r="O32" s="64">
        <v>0</v>
      </c>
      <c r="P32" s="64">
        <v>0.51</v>
      </c>
      <c r="Q32" s="64">
        <v>27.36</v>
      </c>
      <c r="R32" s="198"/>
      <c r="S32" s="198"/>
      <c r="T32" s="198"/>
      <c r="U32" s="198"/>
    </row>
    <row r="33" spans="1:21" s="12" customFormat="1" x14ac:dyDescent="0.25">
      <c r="A33" s="218" t="s">
        <v>2869</v>
      </c>
      <c r="B33" s="64">
        <v>7.6</v>
      </c>
      <c r="C33" s="64">
        <v>44.1</v>
      </c>
      <c r="D33" s="64">
        <v>51.69</v>
      </c>
      <c r="E33" s="64">
        <v>1.03</v>
      </c>
      <c r="F33" s="64">
        <v>2.74</v>
      </c>
      <c r="G33" s="64">
        <v>12.36</v>
      </c>
      <c r="H33" s="64">
        <v>6.28</v>
      </c>
      <c r="I33" s="64">
        <v>0.53</v>
      </c>
      <c r="J33" s="64">
        <v>0.18</v>
      </c>
      <c r="K33" s="64">
        <v>266.61</v>
      </c>
      <c r="L33" s="64">
        <v>19.53</v>
      </c>
      <c r="M33" s="64">
        <v>75.510000000000005</v>
      </c>
      <c r="N33" s="64">
        <v>37.5</v>
      </c>
      <c r="O33" s="64">
        <v>0</v>
      </c>
      <c r="P33" s="64">
        <v>0.5</v>
      </c>
      <c r="Q33" s="64">
        <v>27.6</v>
      </c>
      <c r="R33" s="198"/>
      <c r="S33" s="198"/>
      <c r="T33" s="198"/>
      <c r="U33" s="198"/>
    </row>
    <row r="34" spans="1:21" s="12" customFormat="1" x14ac:dyDescent="0.25">
      <c r="A34" s="218" t="s">
        <v>2870</v>
      </c>
      <c r="B34" s="64">
        <v>8.9700000000000006</v>
      </c>
      <c r="C34" s="64">
        <v>44.04</v>
      </c>
      <c r="D34" s="64">
        <v>53.01</v>
      </c>
      <c r="E34" s="64">
        <v>1.01</v>
      </c>
      <c r="F34" s="64">
        <v>2.82</v>
      </c>
      <c r="G34" s="64">
        <v>12.42</v>
      </c>
      <c r="H34" s="64">
        <v>6.28</v>
      </c>
      <c r="I34" s="64">
        <v>0.53</v>
      </c>
      <c r="J34" s="64">
        <v>0.09</v>
      </c>
      <c r="K34" s="64">
        <v>267.62</v>
      </c>
      <c r="L34" s="64">
        <v>20.440000000000001</v>
      </c>
      <c r="M34" s="64">
        <v>75.02</v>
      </c>
      <c r="N34" s="64">
        <v>107.7</v>
      </c>
      <c r="O34" s="64">
        <v>0</v>
      </c>
      <c r="P34" s="64">
        <v>0.51</v>
      </c>
      <c r="Q34" s="64">
        <v>26.99</v>
      </c>
      <c r="R34" s="198"/>
      <c r="S34" s="198"/>
      <c r="T34" s="198"/>
      <c r="U34" s="198"/>
    </row>
    <row r="35" spans="1:21" s="12" customFormat="1" x14ac:dyDescent="0.25">
      <c r="A35" s="218" t="s">
        <v>2871</v>
      </c>
      <c r="B35" s="64">
        <v>10.39</v>
      </c>
      <c r="C35" s="64">
        <v>44.1</v>
      </c>
      <c r="D35" s="64">
        <v>54.49</v>
      </c>
      <c r="E35" s="64">
        <v>1.07</v>
      </c>
      <c r="F35" s="64">
        <v>2.65</v>
      </c>
      <c r="G35" s="64">
        <v>12.42</v>
      </c>
      <c r="H35" s="64">
        <v>6.28</v>
      </c>
      <c r="I35" s="64">
        <v>0.53</v>
      </c>
      <c r="J35" s="64">
        <v>7.0000000000000007E-2</v>
      </c>
      <c r="K35" s="64">
        <v>274.01</v>
      </c>
      <c r="L35" s="64">
        <v>22.48</v>
      </c>
      <c r="M35" s="64">
        <v>67.239999999999995</v>
      </c>
      <c r="N35" s="64">
        <v>173.2</v>
      </c>
      <c r="O35" s="64">
        <v>0</v>
      </c>
      <c r="P35" s="64">
        <v>0.54</v>
      </c>
      <c r="Q35" s="64">
        <v>26.85</v>
      </c>
      <c r="R35" s="198"/>
      <c r="S35" s="198"/>
      <c r="T35" s="198"/>
      <c r="U35" s="198"/>
    </row>
    <row r="36" spans="1:21" s="12" customFormat="1" x14ac:dyDescent="0.25">
      <c r="A36" s="218" t="s">
        <v>2872</v>
      </c>
      <c r="B36" s="64">
        <v>11.66</v>
      </c>
      <c r="C36" s="64">
        <v>45.18</v>
      </c>
      <c r="D36" s="64">
        <v>56.84</v>
      </c>
      <c r="E36" s="64">
        <v>1.36</v>
      </c>
      <c r="F36" s="64">
        <v>2.87</v>
      </c>
      <c r="G36" s="64">
        <v>12.42</v>
      </c>
      <c r="H36" s="64">
        <v>6.28</v>
      </c>
      <c r="I36" s="64">
        <v>0.53</v>
      </c>
      <c r="J36" s="64">
        <v>0.1</v>
      </c>
      <c r="K36" s="64">
        <v>263.95</v>
      </c>
      <c r="L36" s="64">
        <v>22.14</v>
      </c>
      <c r="M36" s="64">
        <v>69.650000000000006</v>
      </c>
      <c r="N36" s="64">
        <v>204.3</v>
      </c>
      <c r="O36" s="64">
        <v>0</v>
      </c>
      <c r="P36" s="64">
        <v>0.56000000000000005</v>
      </c>
      <c r="Q36" s="64">
        <v>26.9</v>
      </c>
      <c r="R36" s="198"/>
      <c r="S36" s="198"/>
      <c r="T36" s="198"/>
      <c r="U36" s="198"/>
    </row>
    <row r="37" spans="1:21" s="12" customFormat="1" x14ac:dyDescent="0.25">
      <c r="A37" s="218" t="s">
        <v>2873</v>
      </c>
      <c r="B37" s="64">
        <v>12.44</v>
      </c>
      <c r="C37" s="64">
        <v>43.24</v>
      </c>
      <c r="D37" s="64">
        <v>55.68</v>
      </c>
      <c r="E37" s="64">
        <v>1.2</v>
      </c>
      <c r="F37" s="64">
        <v>2.82</v>
      </c>
      <c r="G37" s="64">
        <v>41.4</v>
      </c>
      <c r="H37" s="64">
        <v>12.61</v>
      </c>
      <c r="I37" s="64">
        <v>0.53</v>
      </c>
      <c r="J37" s="64">
        <v>0.1</v>
      </c>
      <c r="K37" s="64">
        <v>278.55</v>
      </c>
      <c r="L37" s="64">
        <v>21.99</v>
      </c>
      <c r="M37" s="64">
        <v>71.319999999999993</v>
      </c>
      <c r="N37" s="64">
        <v>155.9</v>
      </c>
      <c r="O37" s="64">
        <v>0</v>
      </c>
      <c r="P37" s="64">
        <v>0.55000000000000004</v>
      </c>
      <c r="Q37" s="64">
        <v>24.65</v>
      </c>
      <c r="R37" s="198"/>
      <c r="S37" s="198"/>
      <c r="T37" s="198"/>
      <c r="U37" s="198"/>
    </row>
    <row r="38" spans="1:21" s="12" customFormat="1" x14ac:dyDescent="0.25">
      <c r="A38" s="218" t="s">
        <v>2874</v>
      </c>
      <c r="B38" s="64">
        <v>14.08</v>
      </c>
      <c r="C38" s="64">
        <v>38.15</v>
      </c>
      <c r="D38" s="64">
        <v>52.23</v>
      </c>
      <c r="E38" s="64">
        <v>0.87</v>
      </c>
      <c r="F38" s="64">
        <v>2.5499999999999998</v>
      </c>
      <c r="G38" s="64">
        <v>42.4</v>
      </c>
      <c r="H38" s="64">
        <v>12.61</v>
      </c>
      <c r="I38" s="64">
        <v>0.53</v>
      </c>
      <c r="J38" s="64">
        <v>0.25</v>
      </c>
      <c r="K38" s="64">
        <v>230.04</v>
      </c>
      <c r="L38" s="64">
        <v>21.45</v>
      </c>
      <c r="M38" s="64">
        <v>73.69</v>
      </c>
      <c r="N38" s="64">
        <v>152.5</v>
      </c>
      <c r="O38" s="64">
        <v>0</v>
      </c>
      <c r="P38" s="64">
        <v>0.57999999999999996</v>
      </c>
      <c r="Q38" s="64">
        <v>21.65</v>
      </c>
      <c r="R38" s="198"/>
      <c r="S38" s="198"/>
      <c r="T38" s="198"/>
      <c r="U38" s="198"/>
    </row>
    <row r="39" spans="1:21" s="12" customFormat="1" x14ac:dyDescent="0.25">
      <c r="A39" s="218" t="s">
        <v>2875</v>
      </c>
      <c r="B39" s="64">
        <v>14.77</v>
      </c>
      <c r="C39" s="64">
        <v>40.94</v>
      </c>
      <c r="D39" s="64">
        <v>55.71</v>
      </c>
      <c r="E39" s="64">
        <v>1.19</v>
      </c>
      <c r="F39" s="64">
        <v>2.0699999999999998</v>
      </c>
      <c r="G39" s="64">
        <v>42.4</v>
      </c>
      <c r="H39" s="64">
        <v>12.61</v>
      </c>
      <c r="I39" s="64">
        <v>0.53</v>
      </c>
      <c r="J39" s="64">
        <v>0.12</v>
      </c>
      <c r="K39" s="64">
        <v>242.27</v>
      </c>
      <c r="L39" s="64">
        <v>22.21</v>
      </c>
      <c r="M39" s="64">
        <v>71.819999999999993</v>
      </c>
      <c r="N39" s="64">
        <v>169.8</v>
      </c>
      <c r="O39" s="64">
        <v>0</v>
      </c>
      <c r="P39" s="64">
        <v>0.59</v>
      </c>
      <c r="Q39" s="64">
        <v>24.04</v>
      </c>
      <c r="R39" s="198"/>
      <c r="S39" s="198"/>
      <c r="T39" s="198"/>
      <c r="U39" s="198"/>
    </row>
    <row r="40" spans="1:21" s="12" customFormat="1" x14ac:dyDescent="0.25">
      <c r="A40" s="218" t="s">
        <v>2876</v>
      </c>
      <c r="B40" s="64">
        <v>17.36</v>
      </c>
      <c r="C40" s="64">
        <v>43.57</v>
      </c>
      <c r="D40" s="64">
        <v>60.93</v>
      </c>
      <c r="E40" s="64">
        <v>0.59</v>
      </c>
      <c r="F40" s="64">
        <v>3.17</v>
      </c>
      <c r="G40" s="64">
        <v>42.4</v>
      </c>
      <c r="H40" s="64">
        <v>12.61</v>
      </c>
      <c r="I40" s="64">
        <v>0.53</v>
      </c>
      <c r="J40" s="64">
        <v>0.1</v>
      </c>
      <c r="K40" s="64">
        <v>278.22000000000003</v>
      </c>
      <c r="L40" s="64">
        <v>23.19</v>
      </c>
      <c r="M40" s="64">
        <v>68.44</v>
      </c>
      <c r="N40" s="64">
        <v>231.8</v>
      </c>
      <c r="O40" s="64">
        <v>0</v>
      </c>
      <c r="P40" s="64">
        <v>0.61</v>
      </c>
      <c r="Q40" s="64">
        <v>25.13</v>
      </c>
      <c r="R40" s="198"/>
      <c r="S40" s="198"/>
      <c r="T40" s="198"/>
      <c r="U40" s="198"/>
    </row>
    <row r="41" spans="1:21" s="12" customFormat="1" x14ac:dyDescent="0.25">
      <c r="A41" s="218" t="s">
        <v>2877</v>
      </c>
      <c r="B41" s="64">
        <v>16.79</v>
      </c>
      <c r="C41" s="64">
        <v>42.83</v>
      </c>
      <c r="D41" s="64">
        <v>37.75</v>
      </c>
      <c r="E41" s="64">
        <v>1.3</v>
      </c>
      <c r="F41" s="64">
        <v>3.86</v>
      </c>
      <c r="G41" s="64">
        <v>50.33</v>
      </c>
      <c r="H41" s="64">
        <v>17.3</v>
      </c>
      <c r="I41" s="64">
        <v>0.54</v>
      </c>
      <c r="J41" s="64">
        <v>0.65</v>
      </c>
      <c r="K41" s="64">
        <v>184.75</v>
      </c>
      <c r="L41" s="64">
        <v>22.84</v>
      </c>
      <c r="M41" s="64">
        <v>68.62</v>
      </c>
      <c r="N41" s="64">
        <v>325.5</v>
      </c>
      <c r="O41" s="64">
        <v>0</v>
      </c>
      <c r="P41" s="64">
        <v>0.63</v>
      </c>
      <c r="Q41" s="64">
        <v>25.4</v>
      </c>
      <c r="R41" s="198"/>
      <c r="S41" s="198"/>
      <c r="T41" s="198"/>
      <c r="U41" s="198"/>
    </row>
    <row r="42" spans="1:21" s="12" customFormat="1" x14ac:dyDescent="0.25">
      <c r="A42" s="218" t="s">
        <v>2878</v>
      </c>
      <c r="B42" s="64">
        <v>17.54</v>
      </c>
      <c r="C42" s="64">
        <v>45.49</v>
      </c>
      <c r="D42" s="64">
        <v>39.81</v>
      </c>
      <c r="E42" s="64">
        <v>1.25</v>
      </c>
      <c r="F42" s="64">
        <v>3.46</v>
      </c>
      <c r="G42" s="64">
        <v>50.6</v>
      </c>
      <c r="H42" s="64">
        <v>17.3</v>
      </c>
      <c r="I42" s="64">
        <v>0.55000000000000004</v>
      </c>
      <c r="J42" s="64">
        <v>0.8</v>
      </c>
      <c r="K42" s="64">
        <v>198.31</v>
      </c>
      <c r="L42" s="64">
        <v>23.22</v>
      </c>
      <c r="M42" s="64">
        <v>66.930000000000007</v>
      </c>
      <c r="N42" s="64">
        <v>582.20000000000005</v>
      </c>
      <c r="O42" s="64">
        <v>0</v>
      </c>
      <c r="P42" s="64">
        <v>0.62</v>
      </c>
      <c r="Q42" s="64">
        <v>27.05</v>
      </c>
      <c r="R42" s="198"/>
      <c r="S42" s="198"/>
      <c r="T42" s="198"/>
      <c r="U42" s="198"/>
    </row>
    <row r="43" spans="1:21" s="12" customFormat="1" x14ac:dyDescent="0.25">
      <c r="A43" s="218" t="s">
        <v>2879</v>
      </c>
      <c r="B43" s="64">
        <v>16.68</v>
      </c>
      <c r="C43" s="64">
        <v>42.29</v>
      </c>
      <c r="D43" s="64">
        <v>37.36</v>
      </c>
      <c r="E43" s="64">
        <v>1.75</v>
      </c>
      <c r="F43" s="64">
        <v>3.34</v>
      </c>
      <c r="G43" s="64">
        <v>50.6</v>
      </c>
      <c r="H43" s="64">
        <v>17.3</v>
      </c>
      <c r="I43" s="64">
        <v>0.55000000000000004</v>
      </c>
      <c r="J43" s="64">
        <v>0.66</v>
      </c>
      <c r="K43" s="64">
        <v>211.1</v>
      </c>
      <c r="L43" s="64">
        <v>24.14</v>
      </c>
      <c r="M43" s="64">
        <v>60.41</v>
      </c>
      <c r="N43" s="64">
        <v>622</v>
      </c>
      <c r="O43" s="64">
        <v>0</v>
      </c>
      <c r="P43" s="64">
        <v>0.62</v>
      </c>
      <c r="Q43" s="64">
        <v>25.68</v>
      </c>
      <c r="R43" s="198"/>
      <c r="S43" s="198"/>
      <c r="T43" s="198"/>
      <c r="U43" s="198"/>
    </row>
    <row r="44" spans="1:21" s="12" customFormat="1" x14ac:dyDescent="0.25">
      <c r="A44" s="218" t="s">
        <v>2880</v>
      </c>
      <c r="B44" s="64">
        <v>14.77</v>
      </c>
      <c r="C44" s="64">
        <v>43.61</v>
      </c>
      <c r="D44" s="64">
        <v>36.549999999999997</v>
      </c>
      <c r="E44" s="64">
        <v>1.43</v>
      </c>
      <c r="F44" s="64">
        <v>3.47</v>
      </c>
      <c r="G44" s="64">
        <v>50.6</v>
      </c>
      <c r="H44" s="64">
        <v>17.3</v>
      </c>
      <c r="I44" s="64">
        <v>0.56000000000000005</v>
      </c>
      <c r="J44" s="64">
        <v>0.52</v>
      </c>
      <c r="K44" s="64">
        <v>228.04</v>
      </c>
      <c r="L44" s="64">
        <v>24.21</v>
      </c>
      <c r="M44" s="64">
        <v>59.42</v>
      </c>
      <c r="N44" s="64">
        <v>658.8</v>
      </c>
      <c r="O44" s="64">
        <v>0</v>
      </c>
      <c r="P44" s="64">
        <v>0.61</v>
      </c>
      <c r="Q44" s="64">
        <v>25.82</v>
      </c>
      <c r="R44" s="198"/>
      <c r="S44" s="198"/>
      <c r="T44" s="198"/>
      <c r="U44" s="198"/>
    </row>
    <row r="45" spans="1:21" s="12" customFormat="1" x14ac:dyDescent="0.25">
      <c r="A45" s="218" t="s">
        <v>2881</v>
      </c>
      <c r="B45" s="64">
        <v>12.9</v>
      </c>
      <c r="C45" s="64">
        <v>45.6</v>
      </c>
      <c r="D45" s="64">
        <v>36.15</v>
      </c>
      <c r="E45" s="64">
        <v>1.29</v>
      </c>
      <c r="F45" s="64">
        <v>3.45</v>
      </c>
      <c r="G45" s="64">
        <v>46.75</v>
      </c>
      <c r="H45" s="64">
        <v>16.98</v>
      </c>
      <c r="I45" s="64">
        <v>0.55000000000000004</v>
      </c>
      <c r="J45" s="64">
        <v>0.43</v>
      </c>
      <c r="K45" s="64">
        <v>237.04</v>
      </c>
      <c r="L45" s="64">
        <v>24.88</v>
      </c>
      <c r="M45" s="64">
        <v>57.01</v>
      </c>
      <c r="N45" s="64">
        <v>707</v>
      </c>
      <c r="O45" s="64">
        <v>0</v>
      </c>
      <c r="P45" s="64">
        <v>0.57999999999999996</v>
      </c>
      <c r="Q45" s="64">
        <v>25.04</v>
      </c>
      <c r="R45" s="198"/>
      <c r="S45" s="198"/>
      <c r="T45" s="198"/>
      <c r="U45" s="198"/>
    </row>
    <row r="46" spans="1:21" s="12" customFormat="1" x14ac:dyDescent="0.25">
      <c r="A46" s="218" t="s">
        <v>2882</v>
      </c>
      <c r="B46" s="64">
        <v>10.83</v>
      </c>
      <c r="C46" s="64">
        <v>44.53</v>
      </c>
      <c r="D46" s="64">
        <v>33.909999999999997</v>
      </c>
      <c r="E46" s="64">
        <v>1.65</v>
      </c>
      <c r="F46" s="64">
        <v>3.61</v>
      </c>
      <c r="G46" s="64">
        <v>46.66</v>
      </c>
      <c r="H46" s="64">
        <v>16.98</v>
      </c>
      <c r="I46" s="64">
        <v>0.53</v>
      </c>
      <c r="J46" s="64">
        <v>0.66</v>
      </c>
      <c r="K46" s="64">
        <v>208.04</v>
      </c>
      <c r="L46" s="64">
        <v>25.97</v>
      </c>
      <c r="M46" s="64">
        <v>54.87</v>
      </c>
      <c r="N46" s="64">
        <v>754.7</v>
      </c>
      <c r="O46" s="64">
        <v>0</v>
      </c>
      <c r="P46" s="64">
        <v>0.56999999999999995</v>
      </c>
      <c r="Q46" s="64">
        <v>23.76</v>
      </c>
      <c r="R46" s="198"/>
      <c r="S46" s="198"/>
      <c r="T46" s="198"/>
      <c r="U46" s="198"/>
    </row>
    <row r="47" spans="1:21" s="12" customFormat="1" x14ac:dyDescent="0.25">
      <c r="A47" s="218" t="s">
        <v>2883</v>
      </c>
      <c r="B47" s="64">
        <v>9.2799999999999994</v>
      </c>
      <c r="C47" s="64">
        <v>44.2</v>
      </c>
      <c r="D47" s="64">
        <v>32.479999999999997</v>
      </c>
      <c r="E47" s="64">
        <v>1.67</v>
      </c>
      <c r="F47" s="64">
        <v>3.72</v>
      </c>
      <c r="G47" s="64">
        <v>46.66</v>
      </c>
      <c r="H47" s="64">
        <v>16.98</v>
      </c>
      <c r="I47" s="64">
        <v>0.54</v>
      </c>
      <c r="J47" s="64">
        <v>0.71</v>
      </c>
      <c r="K47" s="64">
        <v>206.05</v>
      </c>
      <c r="L47" s="64">
        <v>26.43</v>
      </c>
      <c r="M47" s="64">
        <v>53.01</v>
      </c>
      <c r="N47" s="64">
        <v>796.3</v>
      </c>
      <c r="O47" s="64">
        <v>0</v>
      </c>
      <c r="P47" s="64">
        <v>0.55000000000000004</v>
      </c>
      <c r="Q47" s="64">
        <v>22.58</v>
      </c>
      <c r="R47" s="198"/>
      <c r="S47" s="198"/>
      <c r="T47" s="198"/>
      <c r="U47" s="198"/>
    </row>
    <row r="48" spans="1:21" s="12" customFormat="1" x14ac:dyDescent="0.25">
      <c r="A48" s="218" t="s">
        <v>2884</v>
      </c>
      <c r="B48" s="64">
        <v>7.62</v>
      </c>
      <c r="C48" s="64">
        <v>43.7</v>
      </c>
      <c r="D48" s="64">
        <v>30.87</v>
      </c>
      <c r="E48" s="64">
        <v>1.3</v>
      </c>
      <c r="F48" s="64">
        <v>3.89</v>
      </c>
      <c r="G48" s="64">
        <v>46.66</v>
      </c>
      <c r="H48" s="64">
        <v>16.98</v>
      </c>
      <c r="I48" s="64">
        <v>0.54</v>
      </c>
      <c r="J48" s="64">
        <v>0.87</v>
      </c>
      <c r="K48" s="64">
        <v>188.6</v>
      </c>
      <c r="L48" s="64">
        <v>26.2</v>
      </c>
      <c r="M48" s="64">
        <v>54.17</v>
      </c>
      <c r="N48" s="64">
        <v>809.1</v>
      </c>
      <c r="O48" s="64">
        <v>0</v>
      </c>
      <c r="P48" s="64">
        <v>0.54</v>
      </c>
      <c r="Q48" s="64">
        <v>20.54</v>
      </c>
      <c r="R48" s="198"/>
      <c r="S48" s="198"/>
      <c r="T48" s="198"/>
      <c r="U48" s="198"/>
    </row>
    <row r="49" spans="1:21" s="12" customFormat="1" x14ac:dyDescent="0.25">
      <c r="A49" s="218" t="s">
        <v>2885</v>
      </c>
      <c r="B49" s="64">
        <v>6.11</v>
      </c>
      <c r="C49" s="64">
        <v>36.81</v>
      </c>
      <c r="D49" s="64">
        <v>25.86</v>
      </c>
      <c r="E49" s="64">
        <v>1.79</v>
      </c>
      <c r="F49" s="64">
        <v>6.45</v>
      </c>
      <c r="G49" s="64">
        <v>38.04</v>
      </c>
      <c r="H49" s="64">
        <v>13.19</v>
      </c>
      <c r="I49" s="64">
        <v>0.54</v>
      </c>
      <c r="J49" s="64">
        <v>0.63</v>
      </c>
      <c r="K49" s="64">
        <v>203.71</v>
      </c>
      <c r="L49" s="64">
        <v>26.29</v>
      </c>
      <c r="M49" s="64">
        <v>52.58</v>
      </c>
      <c r="N49" s="64">
        <v>771.2</v>
      </c>
      <c r="O49" s="64">
        <v>0</v>
      </c>
      <c r="P49" s="64">
        <v>0.51</v>
      </c>
      <c r="Q49" s="64">
        <v>17.63</v>
      </c>
      <c r="R49" s="198"/>
      <c r="S49" s="198"/>
      <c r="T49" s="198"/>
      <c r="U49" s="198"/>
    </row>
    <row r="50" spans="1:21" s="12" customFormat="1" x14ac:dyDescent="0.25">
      <c r="A50" s="218" t="s">
        <v>2886</v>
      </c>
      <c r="B50" s="64">
        <v>5.31</v>
      </c>
      <c r="C50" s="64">
        <v>37.1</v>
      </c>
      <c r="D50" s="64">
        <v>25.38</v>
      </c>
      <c r="E50" s="64">
        <v>1.52</v>
      </c>
      <c r="F50" s="64">
        <v>6.23</v>
      </c>
      <c r="G50" s="64">
        <v>37.85</v>
      </c>
      <c r="H50" s="64">
        <v>13.19</v>
      </c>
      <c r="I50" s="64">
        <v>0.54</v>
      </c>
      <c r="J50" s="64">
        <v>0.51</v>
      </c>
      <c r="K50" s="64">
        <v>200.68</v>
      </c>
      <c r="L50" s="64">
        <v>27.06</v>
      </c>
      <c r="M50" s="64">
        <v>49.57</v>
      </c>
      <c r="N50" s="64">
        <v>776.8</v>
      </c>
      <c r="O50" s="64">
        <v>0</v>
      </c>
      <c r="P50" s="64">
        <v>0.52</v>
      </c>
      <c r="Q50" s="64">
        <v>17.260000000000002</v>
      </c>
      <c r="R50" s="198"/>
      <c r="S50" s="198"/>
      <c r="T50" s="198"/>
      <c r="U50" s="198"/>
    </row>
    <row r="51" spans="1:21" s="12" customFormat="1" x14ac:dyDescent="0.25">
      <c r="A51" s="218" t="s">
        <v>2887</v>
      </c>
      <c r="B51" s="64">
        <v>4.97</v>
      </c>
      <c r="C51" s="64">
        <v>33.659999999999997</v>
      </c>
      <c r="D51" s="64">
        <v>23.2</v>
      </c>
      <c r="E51" s="64">
        <v>1.4</v>
      </c>
      <c r="F51" s="64">
        <v>6.14</v>
      </c>
      <c r="G51" s="64">
        <v>37.85</v>
      </c>
      <c r="H51" s="64">
        <v>13.19</v>
      </c>
      <c r="I51" s="64">
        <v>0.53</v>
      </c>
      <c r="J51" s="64">
        <v>0.79</v>
      </c>
      <c r="K51" s="64">
        <v>198.01</v>
      </c>
      <c r="L51" s="64">
        <v>27.82</v>
      </c>
      <c r="M51" s="64">
        <v>49.86</v>
      </c>
      <c r="N51" s="64">
        <v>792.9</v>
      </c>
      <c r="O51" s="64">
        <v>0</v>
      </c>
      <c r="P51" s="64">
        <v>0.5</v>
      </c>
      <c r="Q51" s="64">
        <v>14.86</v>
      </c>
      <c r="R51" s="198"/>
      <c r="S51" s="198"/>
      <c r="T51" s="198"/>
      <c r="U51" s="198"/>
    </row>
    <row r="52" spans="1:21" s="12" customFormat="1" x14ac:dyDescent="0.25">
      <c r="A52" s="218" t="s">
        <v>2888</v>
      </c>
      <c r="B52" s="64">
        <v>4.5999999999999996</v>
      </c>
      <c r="C52" s="64">
        <v>41.79</v>
      </c>
      <c r="D52" s="64">
        <v>27.4</v>
      </c>
      <c r="E52" s="64">
        <v>1.49</v>
      </c>
      <c r="F52" s="64">
        <v>6.13</v>
      </c>
      <c r="G52" s="64">
        <v>37.85</v>
      </c>
      <c r="H52" s="64">
        <v>13.19</v>
      </c>
      <c r="I52" s="64">
        <v>0.52</v>
      </c>
      <c r="J52" s="64">
        <v>0.56000000000000005</v>
      </c>
      <c r="K52" s="64">
        <v>249.6</v>
      </c>
      <c r="L52" s="64">
        <v>27.67</v>
      </c>
      <c r="M52" s="64">
        <v>50.9</v>
      </c>
      <c r="N52" s="64">
        <v>791.7</v>
      </c>
      <c r="O52" s="64">
        <v>0</v>
      </c>
      <c r="P52" s="64">
        <v>0.5</v>
      </c>
      <c r="Q52" s="64">
        <v>19.13</v>
      </c>
      <c r="R52" s="198"/>
      <c r="S52" s="198"/>
      <c r="T52" s="198"/>
      <c r="U52" s="198"/>
    </row>
    <row r="53" spans="1:21" s="12" customFormat="1" x14ac:dyDescent="0.25">
      <c r="A53" s="218" t="s">
        <v>2889</v>
      </c>
      <c r="B53" s="64">
        <v>3.82</v>
      </c>
      <c r="C53" s="64">
        <v>30.72</v>
      </c>
      <c r="D53" s="64">
        <v>20.66</v>
      </c>
      <c r="E53" s="64">
        <v>1.62</v>
      </c>
      <c r="F53" s="64">
        <v>16.18</v>
      </c>
      <c r="G53" s="64">
        <v>27.54</v>
      </c>
      <c r="H53" s="64">
        <v>11.26</v>
      </c>
      <c r="I53" s="64">
        <v>0.53</v>
      </c>
      <c r="J53" s="64">
        <v>0.84</v>
      </c>
      <c r="K53" s="64">
        <v>199.02</v>
      </c>
      <c r="L53" s="64">
        <v>27.24</v>
      </c>
      <c r="M53" s="64">
        <v>51.62</v>
      </c>
      <c r="N53" s="64">
        <v>871.4</v>
      </c>
      <c r="O53" s="64">
        <v>0</v>
      </c>
      <c r="P53" s="64">
        <v>0.45</v>
      </c>
      <c r="Q53" s="64">
        <v>12.3</v>
      </c>
      <c r="R53" s="198"/>
      <c r="S53" s="198"/>
      <c r="T53" s="198"/>
      <c r="U53" s="198"/>
    </row>
    <row r="54" spans="1:21" s="12" customFormat="1" x14ac:dyDescent="0.25">
      <c r="A54" s="218" t="s">
        <v>2890</v>
      </c>
      <c r="B54" s="64">
        <v>2.0699999999999998</v>
      </c>
      <c r="C54" s="64">
        <v>24.63</v>
      </c>
      <c r="D54" s="64">
        <v>15.9</v>
      </c>
      <c r="E54" s="64">
        <v>1.74</v>
      </c>
      <c r="F54" s="64">
        <v>29.98</v>
      </c>
      <c r="G54" s="64">
        <v>27.3</v>
      </c>
      <c r="H54" s="64">
        <v>11.26</v>
      </c>
      <c r="I54" s="64">
        <v>0.53</v>
      </c>
      <c r="J54" s="64">
        <v>0.97</v>
      </c>
      <c r="K54" s="64">
        <v>195.34</v>
      </c>
      <c r="L54" s="64">
        <v>27.55</v>
      </c>
      <c r="M54" s="64">
        <v>50.88</v>
      </c>
      <c r="N54" s="64">
        <v>626</v>
      </c>
      <c r="O54" s="64">
        <v>0</v>
      </c>
      <c r="P54" s="64">
        <v>0.26</v>
      </c>
      <c r="Q54" s="64">
        <v>3.36</v>
      </c>
      <c r="R54" s="198"/>
      <c r="S54" s="198"/>
      <c r="T54" s="198"/>
      <c r="U54" s="198"/>
    </row>
    <row r="55" spans="1:21" s="12" customFormat="1" x14ac:dyDescent="0.25">
      <c r="A55" s="218" t="s">
        <v>2891</v>
      </c>
      <c r="B55" s="64">
        <v>1.6</v>
      </c>
      <c r="C55" s="64">
        <v>19.829999999999998</v>
      </c>
      <c r="D55" s="64">
        <v>12.88</v>
      </c>
      <c r="E55" s="64">
        <v>1.69</v>
      </c>
      <c r="F55" s="64">
        <v>16.43</v>
      </c>
      <c r="G55" s="64">
        <v>27.3</v>
      </c>
      <c r="H55" s="64">
        <v>11.26</v>
      </c>
      <c r="I55" s="64">
        <v>0.52</v>
      </c>
      <c r="J55" s="64">
        <v>0.74</v>
      </c>
      <c r="K55" s="64">
        <v>212.67</v>
      </c>
      <c r="L55" s="64">
        <v>28.73</v>
      </c>
      <c r="M55" s="64">
        <v>47.11</v>
      </c>
      <c r="N55" s="64">
        <v>652</v>
      </c>
      <c r="O55" s="64">
        <v>0</v>
      </c>
      <c r="P55" s="64">
        <v>0.26</v>
      </c>
      <c r="Q55" s="64">
        <v>0</v>
      </c>
      <c r="R55" s="198"/>
      <c r="S55" s="198"/>
      <c r="T55" s="198"/>
      <c r="U55" s="198"/>
    </row>
    <row r="56" spans="1:21" s="12" customFormat="1" x14ac:dyDescent="0.25">
      <c r="A56" s="218" t="s">
        <v>2892</v>
      </c>
      <c r="B56" s="64">
        <v>1.66</v>
      </c>
      <c r="C56" s="64">
        <v>18.61</v>
      </c>
      <c r="D56" s="64">
        <v>12.25</v>
      </c>
      <c r="E56" s="64">
        <v>1.53</v>
      </c>
      <c r="F56" s="64">
        <v>11.65</v>
      </c>
      <c r="G56" s="64">
        <v>27.3</v>
      </c>
      <c r="H56" s="64">
        <v>11.26</v>
      </c>
      <c r="I56" s="64">
        <v>0.45</v>
      </c>
      <c r="J56" s="64">
        <v>0.34</v>
      </c>
      <c r="K56" s="64">
        <v>244.02</v>
      </c>
      <c r="L56" s="64">
        <v>28.99</v>
      </c>
      <c r="M56" s="64">
        <v>45.97</v>
      </c>
      <c r="N56" s="64">
        <v>666.9</v>
      </c>
      <c r="O56" s="64">
        <v>0</v>
      </c>
      <c r="P56" s="64">
        <v>0.26</v>
      </c>
      <c r="Q56" s="64">
        <v>21.97</v>
      </c>
      <c r="R56" s="198"/>
      <c r="S56" s="198"/>
      <c r="T56" s="198"/>
      <c r="U56" s="198"/>
    </row>
    <row r="57" spans="1:21" s="12" customFormat="1" x14ac:dyDescent="0.25">
      <c r="A57" s="218" t="s">
        <v>2893</v>
      </c>
      <c r="B57" s="64">
        <v>1.78</v>
      </c>
      <c r="C57" s="64">
        <v>18.25</v>
      </c>
      <c r="D57" s="64">
        <v>12.15</v>
      </c>
      <c r="E57" s="64">
        <v>0.53</v>
      </c>
      <c r="F57" s="64">
        <v>13.3</v>
      </c>
      <c r="G57" s="64">
        <v>17</v>
      </c>
      <c r="H57" s="64">
        <v>8.1</v>
      </c>
      <c r="I57" s="64">
        <v>0.45</v>
      </c>
      <c r="J57" s="64">
        <v>0.44</v>
      </c>
      <c r="K57" s="64">
        <v>214.76</v>
      </c>
      <c r="L57" s="64">
        <v>29.42</v>
      </c>
      <c r="M57" s="64">
        <v>46.06</v>
      </c>
      <c r="N57" s="64">
        <v>668</v>
      </c>
      <c r="O57" s="64">
        <v>0</v>
      </c>
      <c r="P57" s="64">
        <v>0.25</v>
      </c>
      <c r="Q57" s="64">
        <v>22.09</v>
      </c>
      <c r="R57" s="198"/>
      <c r="S57" s="198"/>
      <c r="T57" s="198"/>
      <c r="U57" s="198"/>
    </row>
    <row r="58" spans="1:21" s="12" customFormat="1" x14ac:dyDescent="0.25">
      <c r="A58" s="218" t="s">
        <v>2894</v>
      </c>
      <c r="B58" s="64">
        <v>1.78</v>
      </c>
      <c r="C58" s="64">
        <v>18.14</v>
      </c>
      <c r="D58" s="64">
        <v>12.08</v>
      </c>
      <c r="E58" s="64">
        <v>0.44</v>
      </c>
      <c r="F58" s="64">
        <v>11.48</v>
      </c>
      <c r="G58" s="64">
        <v>16.760000000000002</v>
      </c>
      <c r="H58" s="64">
        <v>8.1</v>
      </c>
      <c r="I58" s="64">
        <v>0.46</v>
      </c>
      <c r="J58" s="64">
        <v>0.8</v>
      </c>
      <c r="K58" s="64">
        <v>216.5</v>
      </c>
      <c r="L58" s="64">
        <v>28.85</v>
      </c>
      <c r="M58" s="64">
        <v>46.34</v>
      </c>
      <c r="N58" s="64">
        <v>528.4</v>
      </c>
      <c r="O58" s="64">
        <v>0</v>
      </c>
      <c r="P58" s="64">
        <v>0.25</v>
      </c>
      <c r="Q58" s="64">
        <v>21.64</v>
      </c>
      <c r="R58" s="198"/>
      <c r="S58" s="198"/>
      <c r="T58" s="198"/>
      <c r="U58" s="198"/>
    </row>
    <row r="59" spans="1:21" s="12" customFormat="1" x14ac:dyDescent="0.25">
      <c r="A59" s="218" t="s">
        <v>2895</v>
      </c>
      <c r="B59" s="64">
        <v>1.85</v>
      </c>
      <c r="C59" s="64">
        <v>18.45</v>
      </c>
      <c r="D59" s="64">
        <v>12.31</v>
      </c>
      <c r="E59" s="64">
        <v>0.18</v>
      </c>
      <c r="F59" s="64">
        <v>13.72</v>
      </c>
      <c r="G59" s="64">
        <v>16.760000000000002</v>
      </c>
      <c r="H59" s="64">
        <v>8.1</v>
      </c>
      <c r="I59" s="64">
        <v>0.45</v>
      </c>
      <c r="J59" s="64">
        <v>0.44</v>
      </c>
      <c r="K59" s="64">
        <v>209.6</v>
      </c>
      <c r="L59" s="64">
        <v>29.12</v>
      </c>
      <c r="M59" s="64">
        <v>46.12</v>
      </c>
      <c r="N59" s="64">
        <v>576.4</v>
      </c>
      <c r="O59" s="64">
        <v>0</v>
      </c>
      <c r="P59" s="64">
        <v>0.25</v>
      </c>
      <c r="Q59" s="64">
        <v>20.96</v>
      </c>
      <c r="R59" s="198"/>
      <c r="S59" s="198"/>
      <c r="T59" s="198"/>
      <c r="U59" s="198"/>
    </row>
    <row r="60" spans="1:21" s="12" customFormat="1" x14ac:dyDescent="0.25">
      <c r="A60" s="218" t="s">
        <v>2896</v>
      </c>
      <c r="B60" s="64">
        <v>2.06</v>
      </c>
      <c r="C60" s="64">
        <v>22.08</v>
      </c>
      <c r="D60" s="64">
        <v>14.48</v>
      </c>
      <c r="E60" s="64">
        <v>0.37</v>
      </c>
      <c r="F60" s="64">
        <v>15.13</v>
      </c>
      <c r="G60" s="64">
        <v>16.760000000000002</v>
      </c>
      <c r="H60" s="64">
        <v>8.1</v>
      </c>
      <c r="I60" s="64">
        <v>0.46</v>
      </c>
      <c r="J60" s="64">
        <v>0.13</v>
      </c>
      <c r="K60" s="64">
        <v>284.16000000000003</v>
      </c>
      <c r="L60" s="64">
        <v>29.61</v>
      </c>
      <c r="M60" s="64">
        <v>42.94</v>
      </c>
      <c r="N60" s="64">
        <v>476.1</v>
      </c>
      <c r="O60" s="64">
        <v>0</v>
      </c>
      <c r="P60" s="64">
        <v>0.27</v>
      </c>
      <c r="Q60" s="64">
        <v>22.11</v>
      </c>
      <c r="R60" s="198"/>
      <c r="S60" s="198"/>
      <c r="T60" s="198"/>
      <c r="U60" s="198"/>
    </row>
    <row r="61" spans="1:21" s="12" customFormat="1" x14ac:dyDescent="0.25">
      <c r="A61" s="218" t="s">
        <v>2897</v>
      </c>
      <c r="B61" s="64">
        <v>3.01</v>
      </c>
      <c r="C61" s="64">
        <v>30.88</v>
      </c>
      <c r="D61" s="64">
        <v>20.100000000000001</v>
      </c>
      <c r="E61" s="64">
        <v>0.25</v>
      </c>
      <c r="F61" s="64">
        <v>32.08</v>
      </c>
      <c r="G61" s="64">
        <v>20.170000000000002</v>
      </c>
      <c r="H61" s="64">
        <v>8.4700000000000006</v>
      </c>
      <c r="I61" s="64">
        <v>0.46</v>
      </c>
      <c r="J61" s="64">
        <v>0.36</v>
      </c>
      <c r="K61" s="64">
        <v>271.39</v>
      </c>
      <c r="L61" s="64">
        <v>30.11</v>
      </c>
      <c r="M61" s="64">
        <v>42.62</v>
      </c>
      <c r="N61" s="64">
        <v>656.7</v>
      </c>
      <c r="O61" s="64">
        <v>0</v>
      </c>
      <c r="P61" s="64">
        <v>0.32</v>
      </c>
      <c r="Q61" s="64">
        <v>24.57</v>
      </c>
      <c r="R61" s="198"/>
      <c r="S61" s="198"/>
      <c r="T61" s="198"/>
      <c r="U61" s="198"/>
    </row>
    <row r="62" spans="1:21" s="12" customFormat="1" x14ac:dyDescent="0.25">
      <c r="A62" s="218" t="s">
        <v>2898</v>
      </c>
      <c r="B62" s="64">
        <v>2.39</v>
      </c>
      <c r="C62" s="64">
        <v>28.92</v>
      </c>
      <c r="D62" s="64">
        <v>18.52</v>
      </c>
      <c r="E62" s="64">
        <v>0.11</v>
      </c>
      <c r="F62" s="64">
        <v>19.59</v>
      </c>
      <c r="G62" s="64">
        <v>20.29</v>
      </c>
      <c r="H62" s="64">
        <v>8.4700000000000006</v>
      </c>
      <c r="I62" s="64">
        <v>0.48</v>
      </c>
      <c r="J62" s="64">
        <v>0.72</v>
      </c>
      <c r="K62" s="64">
        <v>288.51</v>
      </c>
      <c r="L62" s="64">
        <v>32.35</v>
      </c>
      <c r="M62" s="64">
        <v>39.119999999999997</v>
      </c>
      <c r="N62" s="64">
        <v>582.4</v>
      </c>
      <c r="O62" s="64">
        <v>0</v>
      </c>
      <c r="P62" s="64">
        <v>0.38</v>
      </c>
      <c r="Q62" s="64">
        <v>22.8</v>
      </c>
      <c r="R62" s="198"/>
      <c r="S62" s="198"/>
      <c r="T62" s="198"/>
      <c r="U62" s="198"/>
    </row>
    <row r="63" spans="1:21" s="12" customFormat="1" x14ac:dyDescent="0.25">
      <c r="A63" s="218" t="s">
        <v>2899</v>
      </c>
      <c r="B63" s="64">
        <v>3.11</v>
      </c>
      <c r="C63" s="64">
        <v>29.53</v>
      </c>
      <c r="D63" s="64">
        <v>19.440000000000001</v>
      </c>
      <c r="E63" s="64">
        <v>2.36</v>
      </c>
      <c r="F63" s="64">
        <v>12.93</v>
      </c>
      <c r="G63" s="64">
        <v>20.29</v>
      </c>
      <c r="H63" s="64">
        <v>8.4700000000000006</v>
      </c>
      <c r="I63" s="64">
        <v>0.46</v>
      </c>
      <c r="J63" s="64">
        <v>0.3</v>
      </c>
      <c r="K63" s="64">
        <v>275.19</v>
      </c>
      <c r="L63" s="64">
        <v>32.21</v>
      </c>
      <c r="M63" s="64">
        <v>39.44</v>
      </c>
      <c r="N63" s="64">
        <v>468.7</v>
      </c>
      <c r="O63" s="64">
        <v>0</v>
      </c>
      <c r="P63" s="64">
        <v>0.44</v>
      </c>
      <c r="Q63" s="64">
        <v>22.45</v>
      </c>
      <c r="R63" s="198"/>
      <c r="S63" s="198"/>
      <c r="T63" s="198"/>
      <c r="U63" s="198"/>
    </row>
    <row r="64" spans="1:21" s="12" customFormat="1" x14ac:dyDescent="0.25">
      <c r="A64" s="218" t="s">
        <v>2900</v>
      </c>
      <c r="B64" s="64">
        <v>3.49</v>
      </c>
      <c r="C64" s="64">
        <v>29.41</v>
      </c>
      <c r="D64" s="64">
        <v>19.68</v>
      </c>
      <c r="E64" s="64">
        <v>3.1</v>
      </c>
      <c r="F64" s="64">
        <v>10.76</v>
      </c>
      <c r="G64" s="64">
        <v>20.29</v>
      </c>
      <c r="H64" s="64">
        <v>8.4700000000000006</v>
      </c>
      <c r="I64" s="64">
        <v>0.45</v>
      </c>
      <c r="J64" s="64">
        <v>0.31</v>
      </c>
      <c r="K64" s="64">
        <v>281.91000000000003</v>
      </c>
      <c r="L64" s="64">
        <v>30.6</v>
      </c>
      <c r="M64" s="64">
        <v>43.03</v>
      </c>
      <c r="N64" s="64">
        <v>285.60000000000002</v>
      </c>
      <c r="O64" s="64">
        <v>0</v>
      </c>
      <c r="P64" s="64">
        <v>0.53</v>
      </c>
      <c r="Q64" s="64">
        <v>22.29</v>
      </c>
      <c r="R64" s="198"/>
      <c r="S64" s="198"/>
      <c r="T64" s="198"/>
      <c r="U64" s="198"/>
    </row>
    <row r="65" spans="1:21" s="12" customFormat="1" x14ac:dyDescent="0.25">
      <c r="A65" s="218" t="s">
        <v>2901</v>
      </c>
      <c r="B65" s="64">
        <v>4.03</v>
      </c>
      <c r="C65" s="64">
        <v>37.659999999999997</v>
      </c>
      <c r="D65" s="64">
        <v>24.66</v>
      </c>
      <c r="E65" s="64">
        <v>4.58</v>
      </c>
      <c r="F65" s="64">
        <v>13.46</v>
      </c>
      <c r="G65" s="64">
        <v>18.559999999999999</v>
      </c>
      <c r="H65" s="64">
        <v>12.41</v>
      </c>
      <c r="I65" s="64">
        <v>0.46</v>
      </c>
      <c r="J65" s="64">
        <v>0.62</v>
      </c>
      <c r="K65" s="64">
        <v>283.83999999999997</v>
      </c>
      <c r="L65" s="64">
        <v>31.97</v>
      </c>
      <c r="M65" s="64">
        <v>41.47</v>
      </c>
      <c r="N65" s="64">
        <v>581</v>
      </c>
      <c r="O65" s="64">
        <v>0</v>
      </c>
      <c r="P65" s="64">
        <v>0.78</v>
      </c>
      <c r="Q65" s="64">
        <v>24.64</v>
      </c>
      <c r="R65" s="198"/>
      <c r="S65" s="198"/>
      <c r="T65" s="198"/>
      <c r="U65" s="198"/>
    </row>
    <row r="66" spans="1:21" s="12" customFormat="1" x14ac:dyDescent="0.25">
      <c r="A66" s="218" t="s">
        <v>2902</v>
      </c>
      <c r="B66" s="64">
        <v>3.66</v>
      </c>
      <c r="C66" s="64">
        <v>46.71</v>
      </c>
      <c r="D66" s="64">
        <v>29.36</v>
      </c>
      <c r="E66" s="64">
        <v>8.6300000000000008</v>
      </c>
      <c r="F66" s="64">
        <v>37.799999999999997</v>
      </c>
      <c r="G66" s="64">
        <v>18.52</v>
      </c>
      <c r="H66" s="64">
        <v>12.41</v>
      </c>
      <c r="I66" s="64">
        <v>0.47</v>
      </c>
      <c r="J66" s="64">
        <v>0.7</v>
      </c>
      <c r="K66" s="64">
        <v>287.79000000000002</v>
      </c>
      <c r="L66" s="64">
        <v>32.909999999999997</v>
      </c>
      <c r="M66" s="64">
        <v>39.159999999999997</v>
      </c>
      <c r="N66" s="64">
        <v>463.3</v>
      </c>
      <c r="O66" s="64">
        <v>0</v>
      </c>
      <c r="P66" s="64">
        <v>1.29</v>
      </c>
      <c r="Q66" s="64">
        <v>26.75</v>
      </c>
      <c r="R66" s="198"/>
      <c r="S66" s="198"/>
      <c r="T66" s="198"/>
      <c r="U66" s="198"/>
    </row>
    <row r="67" spans="1:21" s="12" customFormat="1" x14ac:dyDescent="0.25">
      <c r="A67" s="218" t="s">
        <v>2903</v>
      </c>
      <c r="B67" s="64">
        <v>1.99</v>
      </c>
      <c r="C67" s="64">
        <v>49.1</v>
      </c>
      <c r="D67" s="64">
        <v>29.34</v>
      </c>
      <c r="E67" s="64">
        <v>7.19</v>
      </c>
      <c r="F67" s="64">
        <v>26.07</v>
      </c>
      <c r="G67" s="64">
        <v>18.52</v>
      </c>
      <c r="H67" s="64">
        <v>12.41</v>
      </c>
      <c r="I67" s="64">
        <v>0.46</v>
      </c>
      <c r="J67" s="64">
        <v>0.17</v>
      </c>
      <c r="K67" s="64">
        <v>304.37</v>
      </c>
      <c r="L67" s="64">
        <v>32.200000000000003</v>
      </c>
      <c r="M67" s="64">
        <v>39.93</v>
      </c>
      <c r="N67" s="64">
        <v>534.4</v>
      </c>
      <c r="O67" s="64">
        <v>0</v>
      </c>
      <c r="P67" s="64">
        <v>1.48</v>
      </c>
      <c r="Q67" s="64">
        <v>26.81</v>
      </c>
      <c r="R67" s="198"/>
      <c r="S67" s="198"/>
      <c r="T67" s="198"/>
      <c r="U67" s="198"/>
    </row>
    <row r="68" spans="1:21" s="12" customFormat="1" x14ac:dyDescent="0.25">
      <c r="A68" s="218" t="s">
        <v>2904</v>
      </c>
      <c r="B68" s="64">
        <v>1.66</v>
      </c>
      <c r="C68" s="64">
        <v>42.7</v>
      </c>
      <c r="D68" s="64">
        <v>25.54</v>
      </c>
      <c r="E68" s="64">
        <v>4.32</v>
      </c>
      <c r="F68" s="64">
        <v>11.34</v>
      </c>
      <c r="G68" s="64">
        <v>18.52</v>
      </c>
      <c r="H68" s="64">
        <v>12.41</v>
      </c>
      <c r="I68" s="64">
        <v>0.46</v>
      </c>
      <c r="J68" s="64">
        <v>0.23</v>
      </c>
      <c r="K68" s="64">
        <v>277.2</v>
      </c>
      <c r="L68" s="64">
        <v>30.63</v>
      </c>
      <c r="M68" s="64">
        <v>43.04</v>
      </c>
      <c r="N68" s="64">
        <v>293.10000000000002</v>
      </c>
      <c r="O68" s="64">
        <v>0</v>
      </c>
      <c r="P68" s="64">
        <v>1.43</v>
      </c>
      <c r="Q68" s="64">
        <v>24.11</v>
      </c>
      <c r="R68" s="198"/>
      <c r="S68" s="198"/>
      <c r="T68" s="198"/>
      <c r="U68" s="198"/>
    </row>
    <row r="69" spans="1:21" s="12" customFormat="1" x14ac:dyDescent="0.25">
      <c r="A69" s="218" t="s">
        <v>2905</v>
      </c>
      <c r="B69" s="64">
        <v>2</v>
      </c>
      <c r="C69" s="64">
        <v>36.39</v>
      </c>
      <c r="D69" s="64">
        <v>22.34</v>
      </c>
      <c r="E69" s="64">
        <v>3.42</v>
      </c>
      <c r="F69" s="64">
        <v>7.65</v>
      </c>
      <c r="G69" s="64">
        <v>28.02</v>
      </c>
      <c r="H69" s="64">
        <v>11.46</v>
      </c>
      <c r="I69" s="64">
        <v>0.48</v>
      </c>
      <c r="J69" s="64">
        <v>0.19</v>
      </c>
      <c r="K69" s="64">
        <v>295.79000000000002</v>
      </c>
      <c r="L69" s="64">
        <v>30.89</v>
      </c>
      <c r="M69" s="64">
        <v>42.59</v>
      </c>
      <c r="N69" s="64">
        <v>251.9</v>
      </c>
      <c r="O69" s="64">
        <v>0</v>
      </c>
      <c r="P69" s="64">
        <v>1.4</v>
      </c>
      <c r="Q69" s="64">
        <v>21.81</v>
      </c>
      <c r="R69" s="198"/>
      <c r="S69" s="198"/>
      <c r="T69" s="198"/>
      <c r="U69" s="198"/>
    </row>
    <row r="70" spans="1:21" s="12" customFormat="1" x14ac:dyDescent="0.25">
      <c r="A70" s="218" t="s">
        <v>2906</v>
      </c>
      <c r="B70" s="64">
        <v>3.32</v>
      </c>
      <c r="C70" s="64">
        <v>34.67</v>
      </c>
      <c r="D70" s="64">
        <v>22.44</v>
      </c>
      <c r="E70" s="64">
        <v>5.28</v>
      </c>
      <c r="F70" s="64">
        <v>15.04</v>
      </c>
      <c r="G70" s="64">
        <v>28.23</v>
      </c>
      <c r="H70" s="64">
        <v>11.46</v>
      </c>
      <c r="I70" s="64">
        <v>0.45</v>
      </c>
      <c r="J70" s="64">
        <v>0.27</v>
      </c>
      <c r="K70" s="64">
        <v>287.36</v>
      </c>
      <c r="L70" s="64">
        <v>30.95</v>
      </c>
      <c r="M70" s="64">
        <v>42.77</v>
      </c>
      <c r="N70" s="64">
        <v>201.6</v>
      </c>
      <c r="O70" s="64">
        <v>0</v>
      </c>
      <c r="P70" s="64">
        <v>1.35</v>
      </c>
      <c r="Q70" s="64">
        <v>20.91</v>
      </c>
      <c r="R70" s="198"/>
      <c r="S70" s="198"/>
      <c r="T70" s="198"/>
      <c r="U70" s="198"/>
    </row>
    <row r="71" spans="1:21" s="12" customFormat="1" x14ac:dyDescent="0.25">
      <c r="A71" s="218" t="s">
        <v>2907</v>
      </c>
      <c r="B71" s="64">
        <v>3.05</v>
      </c>
      <c r="C71" s="64">
        <v>30.97</v>
      </c>
      <c r="D71" s="64">
        <v>20.190000000000001</v>
      </c>
      <c r="E71" s="64">
        <v>5.13</v>
      </c>
      <c r="F71" s="64">
        <v>9.82</v>
      </c>
      <c r="G71" s="64">
        <v>28.23</v>
      </c>
      <c r="H71" s="64">
        <v>11.46</v>
      </c>
      <c r="I71" s="64">
        <v>0.46</v>
      </c>
      <c r="J71" s="64">
        <v>0.39</v>
      </c>
      <c r="K71" s="64">
        <v>284.52</v>
      </c>
      <c r="L71" s="64">
        <v>31.39</v>
      </c>
      <c r="M71" s="64">
        <v>41.62</v>
      </c>
      <c r="N71" s="64">
        <v>211.1</v>
      </c>
      <c r="O71" s="64">
        <v>0</v>
      </c>
      <c r="P71" s="64">
        <v>1.35</v>
      </c>
      <c r="Q71" s="64">
        <v>20.29</v>
      </c>
      <c r="R71" s="198"/>
      <c r="S71" s="198"/>
      <c r="T71" s="198"/>
      <c r="U71" s="198"/>
    </row>
    <row r="72" spans="1:21" s="12" customFormat="1" x14ac:dyDescent="0.25">
      <c r="A72" s="218" t="s">
        <v>2908</v>
      </c>
      <c r="B72" s="64">
        <v>2.98</v>
      </c>
      <c r="C72" s="64">
        <v>31.84</v>
      </c>
      <c r="D72" s="64">
        <v>20.61</v>
      </c>
      <c r="E72" s="64">
        <v>2.77</v>
      </c>
      <c r="F72" s="64">
        <v>16.57</v>
      </c>
      <c r="G72" s="64">
        <v>28.23</v>
      </c>
      <c r="H72" s="64">
        <v>11.46</v>
      </c>
      <c r="I72" s="64">
        <v>0.46</v>
      </c>
      <c r="J72" s="64">
        <v>0.18</v>
      </c>
      <c r="K72" s="64">
        <v>291.57</v>
      </c>
      <c r="L72" s="64">
        <v>30.77</v>
      </c>
      <c r="M72" s="64">
        <v>41.69</v>
      </c>
      <c r="N72" s="64">
        <v>221.3</v>
      </c>
      <c r="O72" s="64">
        <v>0</v>
      </c>
      <c r="P72" s="64">
        <v>1.23</v>
      </c>
      <c r="Q72" s="64">
        <v>21.8</v>
      </c>
      <c r="R72" s="198"/>
      <c r="S72" s="198"/>
      <c r="T72" s="198"/>
      <c r="U72" s="198"/>
    </row>
    <row r="73" spans="1:21" s="12" customFormat="1" x14ac:dyDescent="0.25">
      <c r="A73" s="218" t="s">
        <v>2909</v>
      </c>
      <c r="B73" s="64">
        <v>3.39</v>
      </c>
      <c r="C73" s="64">
        <v>34.01</v>
      </c>
      <c r="D73" s="64">
        <v>22.13</v>
      </c>
      <c r="E73" s="64">
        <v>7.07</v>
      </c>
      <c r="F73" s="64">
        <v>28.32</v>
      </c>
      <c r="G73" s="64">
        <v>31.11</v>
      </c>
      <c r="H73" s="64">
        <v>14.46</v>
      </c>
      <c r="I73" s="64">
        <v>0.46</v>
      </c>
      <c r="J73" s="64">
        <v>0.19</v>
      </c>
      <c r="K73" s="64">
        <v>230.34</v>
      </c>
      <c r="L73" s="64">
        <v>30.68</v>
      </c>
      <c r="M73" s="64">
        <v>40.35</v>
      </c>
      <c r="N73" s="64">
        <v>189.9</v>
      </c>
      <c r="O73" s="64">
        <v>0</v>
      </c>
      <c r="P73" s="64">
        <v>1.1599999999999999</v>
      </c>
      <c r="Q73" s="64">
        <v>23.22</v>
      </c>
      <c r="R73" s="198"/>
      <c r="S73" s="198"/>
      <c r="T73" s="198"/>
      <c r="U73" s="198"/>
    </row>
    <row r="74" spans="1:21" s="12" customFormat="1" x14ac:dyDescent="0.25">
      <c r="A74" s="218" t="s">
        <v>2910</v>
      </c>
      <c r="B74" s="64">
        <v>2.61</v>
      </c>
      <c r="C74" s="64">
        <v>27.95</v>
      </c>
      <c r="D74" s="64">
        <v>18.170000000000002</v>
      </c>
      <c r="E74" s="64">
        <v>11.42</v>
      </c>
      <c r="F74" s="64">
        <v>24.75</v>
      </c>
      <c r="G74" s="64">
        <v>31.21</v>
      </c>
      <c r="H74" s="64">
        <v>14.46</v>
      </c>
      <c r="I74" s="64">
        <v>0.46</v>
      </c>
      <c r="J74" s="64">
        <v>0.37</v>
      </c>
      <c r="K74" s="64">
        <v>246.83</v>
      </c>
      <c r="L74" s="64">
        <v>30.43</v>
      </c>
      <c r="M74" s="64">
        <v>41.21</v>
      </c>
      <c r="N74" s="64">
        <v>187.7</v>
      </c>
      <c r="O74" s="64">
        <v>0</v>
      </c>
      <c r="P74" s="64">
        <v>1.1599999999999999</v>
      </c>
      <c r="Q74" s="64">
        <v>21.86</v>
      </c>
      <c r="R74" s="198"/>
      <c r="S74" s="198"/>
      <c r="T74" s="198"/>
      <c r="U74" s="198"/>
    </row>
    <row r="75" spans="1:21" s="12" customFormat="1" x14ac:dyDescent="0.25">
      <c r="A75" s="218" t="s">
        <v>2911</v>
      </c>
      <c r="B75" s="64">
        <v>2.25</v>
      </c>
      <c r="C75" s="64">
        <v>30.53</v>
      </c>
      <c r="D75" s="64">
        <v>19.3</v>
      </c>
      <c r="E75" s="64">
        <v>9.14</v>
      </c>
      <c r="F75" s="64">
        <v>34.44</v>
      </c>
      <c r="G75" s="64">
        <v>31.21</v>
      </c>
      <c r="H75" s="64">
        <v>14.46</v>
      </c>
      <c r="I75" s="64">
        <v>0.47</v>
      </c>
      <c r="J75" s="64">
        <v>0.53</v>
      </c>
      <c r="K75" s="64">
        <v>238.39</v>
      </c>
      <c r="L75" s="64">
        <v>30.43</v>
      </c>
      <c r="M75" s="64">
        <v>41.44</v>
      </c>
      <c r="N75" s="64">
        <v>152</v>
      </c>
      <c r="O75" s="64">
        <v>0</v>
      </c>
      <c r="P75" s="64">
        <v>1.04</v>
      </c>
      <c r="Q75" s="64">
        <v>24.5</v>
      </c>
      <c r="R75" s="198"/>
      <c r="S75" s="198"/>
      <c r="T75" s="198"/>
      <c r="U75" s="198"/>
    </row>
    <row r="76" spans="1:21" s="12" customFormat="1" x14ac:dyDescent="0.25">
      <c r="A76" s="218" t="s">
        <v>2912</v>
      </c>
      <c r="B76" s="64">
        <v>1.54</v>
      </c>
      <c r="C76" s="64">
        <v>34.44</v>
      </c>
      <c r="D76" s="64">
        <v>20.88</v>
      </c>
      <c r="E76" s="64">
        <v>5.8</v>
      </c>
      <c r="F76" s="64">
        <v>26.07</v>
      </c>
      <c r="G76" s="64">
        <v>31.21</v>
      </c>
      <c r="H76" s="64">
        <v>14.46</v>
      </c>
      <c r="I76" s="64">
        <v>0.49</v>
      </c>
      <c r="J76" s="64">
        <v>0.55000000000000004</v>
      </c>
      <c r="K76" s="64">
        <v>225.42</v>
      </c>
      <c r="L76" s="64">
        <v>29.92</v>
      </c>
      <c r="M76" s="64">
        <v>42.61</v>
      </c>
      <c r="N76" s="64">
        <v>97.8</v>
      </c>
      <c r="O76" s="64">
        <v>0</v>
      </c>
      <c r="P76" s="64">
        <v>0.86</v>
      </c>
      <c r="Q76" s="64">
        <v>24.11</v>
      </c>
      <c r="R76" s="198"/>
      <c r="S76" s="198"/>
      <c r="T76" s="198"/>
      <c r="U76" s="198"/>
    </row>
    <row r="77" spans="1:21" s="12" customFormat="1" x14ac:dyDescent="0.25">
      <c r="A77" s="218" t="s">
        <v>2913</v>
      </c>
      <c r="B77" s="64">
        <v>1.44</v>
      </c>
      <c r="C77" s="64">
        <v>36.47</v>
      </c>
      <c r="D77" s="64">
        <v>21.93</v>
      </c>
      <c r="E77" s="64">
        <v>2.82</v>
      </c>
      <c r="F77" s="64">
        <v>12.84</v>
      </c>
      <c r="G77" s="64">
        <v>27.06</v>
      </c>
      <c r="H77" s="64">
        <v>12.81</v>
      </c>
      <c r="I77" s="64">
        <v>0.48</v>
      </c>
      <c r="J77" s="64">
        <v>0.98</v>
      </c>
      <c r="K77" s="64">
        <v>229.95</v>
      </c>
      <c r="L77" s="64">
        <v>29.47</v>
      </c>
      <c r="M77" s="64">
        <v>43.96</v>
      </c>
      <c r="N77" s="64">
        <v>73.2</v>
      </c>
      <c r="O77" s="64">
        <v>0</v>
      </c>
      <c r="P77" s="64">
        <v>0.82</v>
      </c>
      <c r="Q77" s="64">
        <v>25.62</v>
      </c>
      <c r="R77" s="198"/>
      <c r="S77" s="198"/>
      <c r="T77" s="198"/>
      <c r="U77" s="198"/>
    </row>
    <row r="78" spans="1:21" s="12" customFormat="1" x14ac:dyDescent="0.25">
      <c r="A78" s="218" t="s">
        <v>2914</v>
      </c>
      <c r="B78" s="64">
        <v>1.43</v>
      </c>
      <c r="C78" s="64">
        <v>31.86</v>
      </c>
      <c r="D78" s="64">
        <v>19.38</v>
      </c>
      <c r="E78" s="64">
        <v>1.7</v>
      </c>
      <c r="F78" s="64">
        <v>9.23</v>
      </c>
      <c r="G78" s="64">
        <v>26.96</v>
      </c>
      <c r="H78" s="64">
        <v>12.81</v>
      </c>
      <c r="I78" s="64">
        <v>0.46</v>
      </c>
      <c r="J78" s="64">
        <v>1.05</v>
      </c>
      <c r="K78" s="64">
        <v>212.74</v>
      </c>
      <c r="L78" s="64">
        <v>29.04</v>
      </c>
      <c r="M78" s="64">
        <v>45.73</v>
      </c>
      <c r="N78" s="64">
        <v>52.9</v>
      </c>
      <c r="O78" s="64">
        <v>0</v>
      </c>
      <c r="P78" s="64">
        <v>0.77</v>
      </c>
      <c r="Q78" s="64">
        <v>23.12</v>
      </c>
      <c r="R78" s="198"/>
      <c r="S78" s="198"/>
      <c r="T78" s="198"/>
      <c r="U78" s="198"/>
    </row>
    <row r="79" spans="1:21" s="12" customFormat="1" x14ac:dyDescent="0.25">
      <c r="A79" s="218" t="s">
        <v>2915</v>
      </c>
      <c r="B79" s="64">
        <v>1.9</v>
      </c>
      <c r="C79" s="64">
        <v>29.14</v>
      </c>
      <c r="D79" s="64">
        <v>18.25</v>
      </c>
      <c r="E79" s="64">
        <v>2.02</v>
      </c>
      <c r="F79" s="64">
        <v>9.24</v>
      </c>
      <c r="G79" s="64">
        <v>26.96</v>
      </c>
      <c r="H79" s="64">
        <v>12.81</v>
      </c>
      <c r="I79" s="64">
        <v>0.46</v>
      </c>
      <c r="J79" s="64">
        <v>0.63</v>
      </c>
      <c r="K79" s="64">
        <v>218.06</v>
      </c>
      <c r="L79" s="64">
        <v>28.75</v>
      </c>
      <c r="M79" s="64">
        <v>47.72</v>
      </c>
      <c r="N79" s="64">
        <v>38.299999999999997</v>
      </c>
      <c r="O79" s="64">
        <v>0</v>
      </c>
      <c r="P79" s="64">
        <v>0.73</v>
      </c>
      <c r="Q79" s="64">
        <v>20.56</v>
      </c>
      <c r="R79" s="198"/>
      <c r="S79" s="198"/>
      <c r="T79" s="198"/>
      <c r="U79" s="198"/>
    </row>
    <row r="80" spans="1:21" s="12" customFormat="1" x14ac:dyDescent="0.25">
      <c r="A80" s="218" t="s">
        <v>2916</v>
      </c>
      <c r="B80" s="64">
        <v>2.44</v>
      </c>
      <c r="C80" s="64">
        <v>29.55</v>
      </c>
      <c r="D80" s="64">
        <v>18.91</v>
      </c>
      <c r="E80" s="64">
        <v>1.98</v>
      </c>
      <c r="F80" s="64">
        <v>7.92</v>
      </c>
      <c r="G80" s="64">
        <v>26.96</v>
      </c>
      <c r="H80" s="64">
        <v>12.81</v>
      </c>
      <c r="I80" s="64">
        <v>0.46</v>
      </c>
      <c r="J80" s="64">
        <v>0.62</v>
      </c>
      <c r="K80" s="64">
        <v>222.38</v>
      </c>
      <c r="L80" s="64">
        <v>28.43</v>
      </c>
      <c r="M80" s="64">
        <v>49.48</v>
      </c>
      <c r="N80" s="64">
        <v>24.8</v>
      </c>
      <c r="O80" s="64">
        <v>0</v>
      </c>
      <c r="P80" s="64">
        <v>0.7</v>
      </c>
      <c r="Q80" s="64">
        <v>21.82</v>
      </c>
      <c r="R80" s="198"/>
      <c r="S80" s="198"/>
      <c r="T80" s="198"/>
      <c r="U80" s="198"/>
    </row>
    <row r="81" spans="1:26" s="12" customFormat="1" x14ac:dyDescent="0.25">
      <c r="A81" s="218" t="s">
        <v>2917</v>
      </c>
      <c r="B81" s="64">
        <v>2.4900000000000002</v>
      </c>
      <c r="C81" s="64">
        <v>28.69</v>
      </c>
      <c r="D81" s="64">
        <v>18.48</v>
      </c>
      <c r="E81" s="64">
        <v>1.56</v>
      </c>
      <c r="F81" s="64">
        <v>7.77</v>
      </c>
      <c r="G81" s="64">
        <v>25.79</v>
      </c>
      <c r="H81" s="64">
        <v>13.11</v>
      </c>
      <c r="I81" s="64">
        <v>0.46</v>
      </c>
      <c r="J81" s="64">
        <v>0.42</v>
      </c>
      <c r="K81" s="64">
        <v>223.74</v>
      </c>
      <c r="L81" s="64">
        <v>27.94</v>
      </c>
      <c r="M81" s="64">
        <v>52.34</v>
      </c>
      <c r="N81" s="64">
        <v>11.6</v>
      </c>
      <c r="O81" s="64">
        <v>0</v>
      </c>
      <c r="P81" s="64">
        <v>0.69</v>
      </c>
      <c r="Q81" s="64">
        <v>21.31</v>
      </c>
      <c r="R81" s="198"/>
      <c r="S81" s="198"/>
      <c r="T81" s="198"/>
      <c r="U81" s="198"/>
    </row>
    <row r="82" spans="1:26" s="12" customFormat="1" x14ac:dyDescent="0.25">
      <c r="A82" s="218" t="s">
        <v>2918</v>
      </c>
      <c r="B82" s="64">
        <v>2.62</v>
      </c>
      <c r="C82" s="64">
        <v>29.8</v>
      </c>
      <c r="D82" s="64">
        <v>19.2</v>
      </c>
      <c r="E82" s="64">
        <v>1.81</v>
      </c>
      <c r="F82" s="64">
        <v>7.9</v>
      </c>
      <c r="G82" s="64">
        <v>25.77</v>
      </c>
      <c r="H82" s="64">
        <v>13.11</v>
      </c>
      <c r="I82" s="64">
        <v>0.45</v>
      </c>
      <c r="J82" s="64">
        <v>0.56000000000000005</v>
      </c>
      <c r="K82" s="64">
        <v>210.06</v>
      </c>
      <c r="L82" s="64">
        <v>27.47</v>
      </c>
      <c r="M82" s="64">
        <v>54.9</v>
      </c>
      <c r="N82" s="64">
        <v>6.6</v>
      </c>
      <c r="O82" s="64">
        <v>0</v>
      </c>
      <c r="P82" s="64">
        <v>0.66</v>
      </c>
      <c r="Q82" s="64">
        <v>22.39</v>
      </c>
      <c r="R82" s="198"/>
      <c r="S82" s="198"/>
      <c r="T82" s="198"/>
      <c r="U82" s="198"/>
    </row>
    <row r="83" spans="1:26" s="12" customFormat="1" x14ac:dyDescent="0.25">
      <c r="A83" s="218" t="s">
        <v>2919</v>
      </c>
      <c r="B83" s="64">
        <v>2.68</v>
      </c>
      <c r="C83" s="64">
        <v>27.09</v>
      </c>
      <c r="D83" s="64">
        <v>17.75</v>
      </c>
      <c r="E83" s="64">
        <v>1.54</v>
      </c>
      <c r="F83" s="64">
        <v>8.09</v>
      </c>
      <c r="G83" s="64">
        <v>25.77</v>
      </c>
      <c r="H83" s="64">
        <v>13.11</v>
      </c>
      <c r="I83" s="64">
        <v>0.46</v>
      </c>
      <c r="J83" s="64">
        <v>0.52</v>
      </c>
      <c r="K83" s="64">
        <v>226.65</v>
      </c>
      <c r="L83" s="64">
        <v>27.15</v>
      </c>
      <c r="M83" s="64">
        <v>55.17</v>
      </c>
      <c r="N83" s="64">
        <v>4.9000000000000004</v>
      </c>
      <c r="O83" s="64">
        <v>0</v>
      </c>
      <c r="P83" s="64">
        <v>0.66</v>
      </c>
      <c r="Q83" s="64">
        <v>19.46</v>
      </c>
      <c r="R83" s="198"/>
      <c r="S83" s="198"/>
      <c r="T83" s="198"/>
      <c r="U83" s="198"/>
    </row>
    <row r="84" spans="1:26" s="12" customFormat="1" x14ac:dyDescent="0.25">
      <c r="A84" s="218" t="s">
        <v>2920</v>
      </c>
      <c r="B84" s="64">
        <v>2.39</v>
      </c>
      <c r="C84" s="64">
        <v>28.18</v>
      </c>
      <c r="D84" s="64">
        <v>18.12</v>
      </c>
      <c r="E84" s="64">
        <v>2.48</v>
      </c>
      <c r="F84" s="64">
        <v>18.309999999999999</v>
      </c>
      <c r="G84" s="64">
        <v>25.77</v>
      </c>
      <c r="H84" s="64">
        <v>13.11</v>
      </c>
      <c r="I84" s="64">
        <v>0.47</v>
      </c>
      <c r="J84" s="64">
        <v>0.35</v>
      </c>
      <c r="K84" s="64">
        <v>256.3</v>
      </c>
      <c r="L84" s="64">
        <v>26.85</v>
      </c>
      <c r="M84" s="64">
        <v>55.32</v>
      </c>
      <c r="N84" s="64">
        <v>4.9000000000000004</v>
      </c>
      <c r="O84" s="64">
        <v>0</v>
      </c>
      <c r="P84" s="64">
        <v>0.62</v>
      </c>
      <c r="Q84" s="64">
        <v>22.39</v>
      </c>
      <c r="R84" s="198"/>
      <c r="S84" s="198"/>
      <c r="T84" s="198"/>
      <c r="U84" s="198"/>
    </row>
    <row r="85" spans="1:26" s="12" customFormat="1" x14ac:dyDescent="0.25">
      <c r="A85" s="218" t="s">
        <v>2921</v>
      </c>
      <c r="B85" s="64">
        <v>2.17</v>
      </c>
      <c r="C85" s="64">
        <v>27.86</v>
      </c>
      <c r="D85" s="64">
        <v>17.77</v>
      </c>
      <c r="E85" s="64">
        <v>2.46</v>
      </c>
      <c r="F85" s="64">
        <v>19.8</v>
      </c>
      <c r="G85" s="64">
        <v>25.75</v>
      </c>
      <c r="H85" s="64">
        <v>12.27</v>
      </c>
      <c r="I85" s="64">
        <v>0.47</v>
      </c>
      <c r="J85" s="64">
        <v>0.23</v>
      </c>
      <c r="K85" s="64">
        <v>256.94</v>
      </c>
      <c r="L85" s="64">
        <v>26.58</v>
      </c>
      <c r="M85" s="64">
        <v>56.3</v>
      </c>
      <c r="N85" s="64">
        <v>4.8</v>
      </c>
      <c r="O85" s="64">
        <v>0</v>
      </c>
      <c r="P85" s="64">
        <v>0.54</v>
      </c>
      <c r="Q85" s="64">
        <v>21.67</v>
      </c>
      <c r="R85" s="198"/>
      <c r="S85" s="198"/>
      <c r="T85" s="198"/>
      <c r="U85" s="198"/>
    </row>
    <row r="86" spans="1:26" s="12" customFormat="1" x14ac:dyDescent="0.25">
      <c r="A86" s="218" t="s">
        <v>2922</v>
      </c>
      <c r="B86" s="64">
        <v>2.4900000000000002</v>
      </c>
      <c r="C86" s="64">
        <v>32.35</v>
      </c>
      <c r="D86" s="64">
        <v>20.5</v>
      </c>
      <c r="E86" s="64">
        <v>2.97</v>
      </c>
      <c r="F86" s="64">
        <v>17.03</v>
      </c>
      <c r="G86" s="64">
        <v>25.75</v>
      </c>
      <c r="H86" s="64">
        <v>12.27</v>
      </c>
      <c r="I86" s="64">
        <v>0.47</v>
      </c>
      <c r="J86" s="64">
        <v>0.28999999999999998</v>
      </c>
      <c r="K86" s="64">
        <v>255.43</v>
      </c>
      <c r="L86" s="64">
        <v>26.48</v>
      </c>
      <c r="M86" s="64">
        <v>56.7</v>
      </c>
      <c r="N86" s="64">
        <v>4.5999999999999996</v>
      </c>
      <c r="O86" s="64">
        <v>0</v>
      </c>
      <c r="P86" s="64">
        <v>0.63</v>
      </c>
      <c r="Q86" s="64">
        <v>24.05</v>
      </c>
      <c r="R86" s="198"/>
      <c r="S86" s="198"/>
      <c r="T86" s="198"/>
      <c r="U86" s="198"/>
    </row>
    <row r="87" spans="1:26" s="12" customFormat="1" x14ac:dyDescent="0.25">
      <c r="A87" s="218" t="s">
        <v>2923</v>
      </c>
      <c r="B87" s="64">
        <v>5.13</v>
      </c>
      <c r="C87" s="64">
        <v>34.85</v>
      </c>
      <c r="D87" s="64">
        <v>23.99</v>
      </c>
      <c r="E87" s="64">
        <v>3.54</v>
      </c>
      <c r="F87" s="64">
        <v>14.49</v>
      </c>
      <c r="G87" s="64">
        <v>25.75</v>
      </c>
      <c r="H87" s="64">
        <v>12.27</v>
      </c>
      <c r="I87" s="64">
        <v>0.48</v>
      </c>
      <c r="J87" s="64">
        <v>0.3</v>
      </c>
      <c r="K87" s="64">
        <v>227.7</v>
      </c>
      <c r="L87" s="64">
        <v>26.31</v>
      </c>
      <c r="M87" s="64">
        <v>56.74</v>
      </c>
      <c r="N87" s="64">
        <v>4.5</v>
      </c>
      <c r="O87" s="64">
        <v>0</v>
      </c>
      <c r="P87" s="64">
        <v>0.62</v>
      </c>
      <c r="Q87" s="64">
        <v>23.23</v>
      </c>
      <c r="R87" s="198"/>
      <c r="S87" s="198"/>
      <c r="T87" s="198"/>
      <c r="U87" s="198"/>
    </row>
    <row r="88" spans="1:26" s="12" customFormat="1" x14ac:dyDescent="0.25">
      <c r="A88" s="218" t="s">
        <v>2924</v>
      </c>
      <c r="B88" s="64">
        <v>3.91</v>
      </c>
      <c r="C88" s="64">
        <v>34.69</v>
      </c>
      <c r="D88" s="64">
        <v>22.92</v>
      </c>
      <c r="E88" s="64">
        <v>1.99</v>
      </c>
      <c r="F88" s="64">
        <v>14.82</v>
      </c>
      <c r="G88" s="64">
        <v>25.75</v>
      </c>
      <c r="H88" s="64">
        <v>12.27</v>
      </c>
      <c r="I88" s="64">
        <v>0.5</v>
      </c>
      <c r="J88" s="64">
        <v>0.18</v>
      </c>
      <c r="K88" s="64">
        <v>240.71</v>
      </c>
      <c r="L88" s="64">
        <v>26.1</v>
      </c>
      <c r="M88" s="64">
        <v>57.18</v>
      </c>
      <c r="N88" s="64">
        <v>4.8</v>
      </c>
      <c r="O88" s="64">
        <v>0</v>
      </c>
      <c r="P88" s="64">
        <v>0.63</v>
      </c>
      <c r="Q88" s="64">
        <v>25.39</v>
      </c>
      <c r="R88" s="198"/>
      <c r="S88" s="198"/>
      <c r="T88" s="198"/>
      <c r="U88" s="198"/>
    </row>
    <row r="89" spans="1:26" s="12" customFormat="1" x14ac:dyDescent="0.25">
      <c r="A89" s="218" t="s">
        <v>2925</v>
      </c>
      <c r="B89" s="64">
        <v>4.67</v>
      </c>
      <c r="C89" s="64">
        <v>29.71</v>
      </c>
      <c r="D89" s="64">
        <v>20.79</v>
      </c>
      <c r="E89" s="64">
        <v>2.68</v>
      </c>
      <c r="F89" s="64">
        <v>7.05</v>
      </c>
      <c r="G89" s="64">
        <v>29.27</v>
      </c>
      <c r="H89" s="64">
        <v>12.56</v>
      </c>
      <c r="I89" s="64">
        <v>0.5</v>
      </c>
      <c r="J89" s="64">
        <v>0.27</v>
      </c>
      <c r="K89" s="64">
        <v>246.98</v>
      </c>
      <c r="L89" s="64">
        <v>25.82</v>
      </c>
      <c r="M89" s="64">
        <v>58.05</v>
      </c>
      <c r="N89" s="64">
        <v>4.7</v>
      </c>
      <c r="O89" s="64">
        <v>0</v>
      </c>
      <c r="P89" s="64">
        <v>0.61</v>
      </c>
      <c r="Q89" s="64">
        <v>25.83</v>
      </c>
      <c r="R89" s="198"/>
      <c r="S89" s="198"/>
      <c r="T89" s="198"/>
      <c r="U89" s="198"/>
    </row>
    <row r="90" spans="1:26" s="12" customFormat="1" x14ac:dyDescent="0.25">
      <c r="A90" s="218" t="s">
        <v>2926</v>
      </c>
      <c r="B90" s="64">
        <v>4.97</v>
      </c>
      <c r="C90" s="64">
        <v>29.23</v>
      </c>
      <c r="D90" s="64">
        <v>20.76</v>
      </c>
      <c r="E90" s="64">
        <v>1.93</v>
      </c>
      <c r="F90" s="64">
        <v>7.46</v>
      </c>
      <c r="G90" s="64">
        <v>29.35</v>
      </c>
      <c r="H90" s="64">
        <v>12.56</v>
      </c>
      <c r="I90" s="64">
        <v>0.5</v>
      </c>
      <c r="J90" s="64">
        <v>0.09</v>
      </c>
      <c r="K90" s="64">
        <v>286.92</v>
      </c>
      <c r="L90" s="64">
        <v>25.62</v>
      </c>
      <c r="M90" s="64">
        <v>58.79</v>
      </c>
      <c r="N90" s="64">
        <v>5</v>
      </c>
      <c r="O90" s="64">
        <v>0</v>
      </c>
      <c r="P90" s="64">
        <v>0.66</v>
      </c>
      <c r="Q90" s="64">
        <v>25.87</v>
      </c>
      <c r="R90" s="198"/>
      <c r="S90" s="198"/>
      <c r="T90" s="198"/>
      <c r="U90" s="198"/>
    </row>
    <row r="91" spans="1:26" s="12" customFormat="1" x14ac:dyDescent="0.25">
      <c r="A91" s="218" t="s">
        <v>2927</v>
      </c>
      <c r="B91" s="64">
        <v>5.6</v>
      </c>
      <c r="C91" s="64">
        <v>30.55</v>
      </c>
      <c r="D91" s="64">
        <v>22</v>
      </c>
      <c r="E91" s="64">
        <v>2.13</v>
      </c>
      <c r="F91" s="64">
        <v>6.42</v>
      </c>
      <c r="G91" s="64">
        <v>29.35</v>
      </c>
      <c r="H91" s="64">
        <v>12.56</v>
      </c>
      <c r="I91" s="64">
        <v>0.51</v>
      </c>
      <c r="J91" s="64">
        <v>0.14000000000000001</v>
      </c>
      <c r="K91" s="64">
        <v>239.19</v>
      </c>
      <c r="L91" s="64">
        <v>25.6</v>
      </c>
      <c r="M91" s="64">
        <v>58.12</v>
      </c>
      <c r="N91" s="64">
        <v>4.5999999999999996</v>
      </c>
      <c r="O91" s="64">
        <v>0</v>
      </c>
      <c r="P91" s="64">
        <v>0.66</v>
      </c>
      <c r="Q91" s="64">
        <v>25.01</v>
      </c>
      <c r="R91" s="198"/>
      <c r="S91" s="198"/>
      <c r="T91" s="198"/>
      <c r="U91" s="198"/>
    </row>
    <row r="92" spans="1:26" s="12" customFormat="1" x14ac:dyDescent="0.25">
      <c r="A92" s="218" t="s">
        <v>2928</v>
      </c>
      <c r="B92" s="64">
        <v>4.8499999999999996</v>
      </c>
      <c r="C92" s="64">
        <v>29.03</v>
      </c>
      <c r="D92" s="64">
        <v>20.56</v>
      </c>
      <c r="E92" s="64">
        <v>2.0099999999999998</v>
      </c>
      <c r="F92" s="64">
        <v>7.38</v>
      </c>
      <c r="G92" s="64">
        <v>29.35</v>
      </c>
      <c r="H92" s="64">
        <v>12.56</v>
      </c>
      <c r="I92" s="64">
        <v>0.5</v>
      </c>
      <c r="J92" s="64">
        <v>0.2</v>
      </c>
      <c r="K92" s="64">
        <v>244.88</v>
      </c>
      <c r="L92" s="64">
        <v>25.69</v>
      </c>
      <c r="M92" s="64">
        <v>57.4</v>
      </c>
      <c r="N92" s="64">
        <v>4.4000000000000004</v>
      </c>
      <c r="O92" s="64">
        <v>0</v>
      </c>
      <c r="P92" s="64">
        <v>0.63</v>
      </c>
      <c r="Q92" s="64">
        <v>24.58</v>
      </c>
      <c r="R92" s="198"/>
      <c r="S92" s="198"/>
      <c r="T92" s="198"/>
      <c r="U92" s="198"/>
    </row>
    <row r="93" spans="1:26" s="12" customFormat="1" x14ac:dyDescent="0.25">
      <c r="A93" s="218" t="s">
        <v>2929</v>
      </c>
      <c r="B93" s="64">
        <v>4.63</v>
      </c>
      <c r="C93" s="64">
        <v>30.33</v>
      </c>
      <c r="D93" s="64">
        <v>21.1</v>
      </c>
      <c r="E93" s="64">
        <v>1.64</v>
      </c>
      <c r="F93" s="64">
        <v>8.52</v>
      </c>
      <c r="G93" s="64">
        <v>28.99</v>
      </c>
      <c r="H93" s="64">
        <v>14.82</v>
      </c>
      <c r="I93" s="64">
        <v>0.55000000000000004</v>
      </c>
      <c r="J93" s="64">
        <v>0.14000000000000001</v>
      </c>
      <c r="K93" s="64">
        <v>252.62</v>
      </c>
      <c r="L93" s="64">
        <v>25.54</v>
      </c>
      <c r="M93" s="64">
        <v>58.18</v>
      </c>
      <c r="N93" s="64">
        <v>4.7</v>
      </c>
      <c r="O93" s="64">
        <v>0</v>
      </c>
      <c r="P93" s="64">
        <v>0.63</v>
      </c>
      <c r="Q93" s="64">
        <v>25.8</v>
      </c>
      <c r="R93" s="198"/>
      <c r="S93" s="198"/>
      <c r="T93" s="198"/>
      <c r="U93" s="198"/>
    </row>
    <row r="94" spans="1:26" s="12" customFormat="1" x14ac:dyDescent="0.25">
      <c r="A94" s="218" t="s">
        <v>2930</v>
      </c>
      <c r="B94" s="64">
        <v>4.62</v>
      </c>
      <c r="C94" s="64">
        <v>30.03</v>
      </c>
      <c r="D94" s="64">
        <v>20.92</v>
      </c>
      <c r="E94" s="64">
        <v>2.25</v>
      </c>
      <c r="F94" s="64">
        <v>6.32</v>
      </c>
      <c r="G94" s="64">
        <v>28.98</v>
      </c>
      <c r="H94" s="64">
        <v>14.82</v>
      </c>
      <c r="I94" s="64">
        <v>0.53</v>
      </c>
      <c r="J94" s="64">
        <v>0.16</v>
      </c>
      <c r="K94" s="64">
        <v>255.31</v>
      </c>
      <c r="L94" s="64">
        <v>25.47</v>
      </c>
      <c r="M94" s="64">
        <v>58.58</v>
      </c>
      <c r="N94" s="64">
        <v>4.5999999999999996</v>
      </c>
      <c r="O94" s="64">
        <v>0</v>
      </c>
      <c r="P94" s="64">
        <v>0.65</v>
      </c>
      <c r="Q94" s="64">
        <v>24.99</v>
      </c>
      <c r="R94" s="198"/>
      <c r="S94" s="198"/>
      <c r="T94" s="198"/>
      <c r="U94" s="198"/>
    </row>
    <row r="95" spans="1:26" s="12" customFormat="1" x14ac:dyDescent="0.25">
      <c r="A95" s="218" t="s">
        <v>2931</v>
      </c>
      <c r="B95" s="64">
        <v>5.0599999999999996</v>
      </c>
      <c r="C95" s="64">
        <v>32.11</v>
      </c>
      <c r="D95" s="64">
        <v>22.43</v>
      </c>
      <c r="E95" s="64">
        <v>2.02</v>
      </c>
      <c r="F95" s="64">
        <v>6.55</v>
      </c>
      <c r="G95" s="64">
        <v>28.98</v>
      </c>
      <c r="H95" s="64">
        <v>14.82</v>
      </c>
      <c r="I95" s="64">
        <v>0.51</v>
      </c>
      <c r="J95" s="64">
        <v>0.12</v>
      </c>
      <c r="K95" s="64">
        <v>272.33</v>
      </c>
      <c r="L95" s="64">
        <v>25.5</v>
      </c>
      <c r="M95" s="64">
        <v>58.38</v>
      </c>
      <c r="N95" s="64">
        <v>4.5999999999999996</v>
      </c>
      <c r="O95" s="64">
        <v>0</v>
      </c>
      <c r="P95" s="64">
        <v>0.66</v>
      </c>
      <c r="Q95" s="64">
        <v>24.62</v>
      </c>
      <c r="R95" s="198"/>
      <c r="S95" s="198"/>
      <c r="T95" s="198"/>
      <c r="U95" s="198"/>
    </row>
    <row r="96" spans="1:26" s="12" customFormat="1" x14ac:dyDescent="0.25">
      <c r="A96" s="218" t="s">
        <v>2932</v>
      </c>
      <c r="B96" s="64">
        <v>5.6</v>
      </c>
      <c r="C96" s="64">
        <v>42.98</v>
      </c>
      <c r="D96" s="64">
        <v>28.85</v>
      </c>
      <c r="E96" s="64">
        <v>2.66</v>
      </c>
      <c r="F96" s="64">
        <v>13.45</v>
      </c>
      <c r="G96" s="64">
        <v>28.98</v>
      </c>
      <c r="H96" s="64">
        <v>14.82</v>
      </c>
      <c r="I96" s="64">
        <v>0.54</v>
      </c>
      <c r="J96" s="64">
        <v>0.1</v>
      </c>
      <c r="K96" s="64">
        <v>272.77999999999997</v>
      </c>
      <c r="L96" s="64">
        <v>25.61</v>
      </c>
      <c r="M96" s="64">
        <v>56.98</v>
      </c>
      <c r="N96" s="64">
        <v>4.5999999999999996</v>
      </c>
      <c r="O96" s="64">
        <v>0</v>
      </c>
      <c r="P96" s="64">
        <v>0.7</v>
      </c>
      <c r="Q96" s="64">
        <v>25.7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2933</v>
      </c>
      <c r="B97" s="64">
        <v>11.83</v>
      </c>
      <c r="C97" s="64">
        <v>47.23</v>
      </c>
      <c r="D97" s="64">
        <v>36.200000000000003</v>
      </c>
      <c r="E97" s="64">
        <v>2.5</v>
      </c>
      <c r="F97" s="64">
        <v>10.82</v>
      </c>
      <c r="G97" s="64">
        <v>31.86</v>
      </c>
      <c r="H97" s="64">
        <v>12.96</v>
      </c>
      <c r="I97" s="64">
        <v>0.56000000000000005</v>
      </c>
      <c r="J97" s="64">
        <v>0.11</v>
      </c>
      <c r="K97" s="64">
        <v>277.10000000000002</v>
      </c>
      <c r="L97" s="64">
        <v>25.6</v>
      </c>
      <c r="M97" s="64">
        <v>57.4</v>
      </c>
      <c r="N97" s="64">
        <v>4.7</v>
      </c>
      <c r="O97" s="64">
        <v>0</v>
      </c>
      <c r="P97" s="64">
        <v>0.79</v>
      </c>
      <c r="Q97" s="64">
        <v>25.52</v>
      </c>
      <c r="R97" s="198"/>
      <c r="S97" s="198"/>
      <c r="T97" s="198"/>
      <c r="U97" s="198"/>
    </row>
    <row r="98" spans="1:33" s="12" customFormat="1" x14ac:dyDescent="0.25">
      <c r="A98" s="218" t="s">
        <v>2934</v>
      </c>
      <c r="B98" s="64">
        <v>9</v>
      </c>
      <c r="C98" s="64">
        <v>35.57</v>
      </c>
      <c r="D98" s="64">
        <v>27.49</v>
      </c>
      <c r="E98" s="64">
        <v>2.82</v>
      </c>
      <c r="F98" s="64">
        <v>11.39</v>
      </c>
      <c r="G98" s="64">
        <v>31.92</v>
      </c>
      <c r="H98" s="64">
        <v>12.96</v>
      </c>
      <c r="I98" s="64">
        <v>0.53</v>
      </c>
      <c r="J98" s="64">
        <v>7.0000000000000007E-2</v>
      </c>
      <c r="K98" s="64">
        <v>7.5</v>
      </c>
      <c r="L98" s="64">
        <v>25.42</v>
      </c>
      <c r="M98" s="64">
        <v>59.18</v>
      </c>
      <c r="N98" s="64">
        <v>5</v>
      </c>
      <c r="O98" s="64">
        <v>0</v>
      </c>
      <c r="P98" s="64">
        <v>0.7</v>
      </c>
      <c r="Q98" s="64">
        <v>26.15</v>
      </c>
      <c r="R98" s="198"/>
      <c r="S98" s="198"/>
      <c r="T98" s="198"/>
      <c r="U98" s="198"/>
    </row>
    <row r="99" spans="1:33" s="12" customFormat="1" x14ac:dyDescent="0.25">
      <c r="A99" s="218" t="s">
        <v>2935</v>
      </c>
      <c r="B99" s="64">
        <v>8.2200000000000006</v>
      </c>
      <c r="C99" s="64">
        <v>39.159999999999997</v>
      </c>
      <c r="D99" s="64">
        <v>28.85</v>
      </c>
      <c r="E99" s="64">
        <v>2.48</v>
      </c>
      <c r="F99" s="64">
        <v>12.12</v>
      </c>
      <c r="G99" s="64">
        <v>31.92</v>
      </c>
      <c r="H99" s="64">
        <v>12.96</v>
      </c>
      <c r="I99" s="64">
        <v>0.54</v>
      </c>
      <c r="J99" s="64">
        <v>0.04</v>
      </c>
      <c r="K99" s="64">
        <v>301.68</v>
      </c>
      <c r="L99" s="64">
        <v>25.37</v>
      </c>
      <c r="M99" s="64">
        <v>59.5</v>
      </c>
      <c r="N99" s="64">
        <v>4.8</v>
      </c>
      <c r="O99" s="64">
        <v>0</v>
      </c>
      <c r="P99" s="64">
        <v>0.66</v>
      </c>
      <c r="Q99" s="64">
        <v>27.15</v>
      </c>
      <c r="R99" s="198"/>
      <c r="S99" s="198"/>
      <c r="T99" s="198"/>
      <c r="U99" s="198"/>
    </row>
    <row r="100" spans="1:33" s="12" customFormat="1" x14ac:dyDescent="0.25">
      <c r="A100" s="218" t="s">
        <v>2936</v>
      </c>
      <c r="B100" s="64">
        <v>8.4499999999999993</v>
      </c>
      <c r="C100" s="64">
        <v>29.93</v>
      </c>
      <c r="D100" s="64">
        <v>23.94</v>
      </c>
      <c r="E100" s="64">
        <v>2.86</v>
      </c>
      <c r="F100" s="64">
        <v>7.55</v>
      </c>
      <c r="G100" s="64">
        <v>31.92</v>
      </c>
      <c r="H100" s="64">
        <v>12.96</v>
      </c>
      <c r="I100" s="64">
        <v>0.52</v>
      </c>
      <c r="J100" s="64">
        <v>0.11</v>
      </c>
      <c r="K100" s="64">
        <v>305.26</v>
      </c>
      <c r="L100" s="64">
        <v>25.06</v>
      </c>
      <c r="M100" s="64">
        <v>61.77</v>
      </c>
      <c r="N100" s="64">
        <v>5</v>
      </c>
      <c r="O100" s="64">
        <v>0</v>
      </c>
      <c r="P100" s="64">
        <v>0.69</v>
      </c>
      <c r="Q100" s="64">
        <v>26.34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2937</v>
      </c>
      <c r="B101" s="64">
        <v>7.84</v>
      </c>
      <c r="C101" s="64">
        <v>25.25</v>
      </c>
      <c r="D101" s="64">
        <v>20.87</v>
      </c>
      <c r="E101" s="64">
        <v>2.46</v>
      </c>
      <c r="F101" s="64">
        <v>5.93</v>
      </c>
      <c r="G101" s="64">
        <v>36.700000000000003</v>
      </c>
      <c r="H101" s="64">
        <v>15.9</v>
      </c>
      <c r="I101" s="64">
        <v>0.53</v>
      </c>
      <c r="J101" s="64">
        <v>0.06</v>
      </c>
      <c r="K101" s="64">
        <v>317.49</v>
      </c>
      <c r="L101" s="64">
        <v>24.7</v>
      </c>
      <c r="M101" s="64">
        <v>62.97</v>
      </c>
      <c r="N101" s="64">
        <v>5</v>
      </c>
      <c r="O101" s="64">
        <v>0</v>
      </c>
      <c r="P101" s="64">
        <v>0.67</v>
      </c>
      <c r="Q101" s="64">
        <v>26.3</v>
      </c>
      <c r="R101" s="198"/>
      <c r="S101" s="198"/>
      <c r="T101" s="198"/>
      <c r="U101" s="198"/>
    </row>
    <row r="102" spans="1:33" s="12" customFormat="1" x14ac:dyDescent="0.25">
      <c r="A102" s="218" t="s">
        <v>2938</v>
      </c>
      <c r="B102" s="64">
        <v>11.01</v>
      </c>
      <c r="C102" s="64">
        <v>27.79</v>
      </c>
      <c r="D102" s="64">
        <v>24.81</v>
      </c>
      <c r="E102" s="64">
        <v>2.39</v>
      </c>
      <c r="F102" s="64">
        <v>5.44</v>
      </c>
      <c r="G102" s="64">
        <v>36.81</v>
      </c>
      <c r="H102" s="64">
        <v>15.9</v>
      </c>
      <c r="I102" s="64">
        <v>0.56999999999999995</v>
      </c>
      <c r="J102" s="64">
        <v>0.04</v>
      </c>
      <c r="K102" s="64">
        <v>289.27999999999997</v>
      </c>
      <c r="L102" s="64">
        <v>24.52</v>
      </c>
      <c r="M102" s="64">
        <v>64.47</v>
      </c>
      <c r="N102" s="64">
        <v>4.9000000000000004</v>
      </c>
      <c r="O102" s="64">
        <v>0</v>
      </c>
      <c r="P102" s="64">
        <v>0.66</v>
      </c>
      <c r="Q102" s="64">
        <v>26.19</v>
      </c>
      <c r="R102" s="198"/>
      <c r="S102" s="198"/>
      <c r="T102" s="198"/>
      <c r="U102" s="198"/>
    </row>
    <row r="103" spans="1:33" s="12" customFormat="1" x14ac:dyDescent="0.25">
      <c r="A103" s="218" t="s">
        <v>2939</v>
      </c>
      <c r="B103" s="64">
        <v>9.5500000000000007</v>
      </c>
      <c r="C103" s="64">
        <v>28.52</v>
      </c>
      <c r="D103" s="64">
        <v>24.04</v>
      </c>
      <c r="E103" s="64">
        <v>1.95</v>
      </c>
      <c r="F103" s="64">
        <v>6.38</v>
      </c>
      <c r="G103" s="64">
        <v>36.81</v>
      </c>
      <c r="H103" s="64">
        <v>15.9</v>
      </c>
      <c r="I103" s="64">
        <v>0.57999999999999996</v>
      </c>
      <c r="J103" s="64">
        <v>0.02</v>
      </c>
      <c r="K103" s="64">
        <v>241.02</v>
      </c>
      <c r="L103" s="64">
        <v>24.29</v>
      </c>
      <c r="M103" s="64">
        <v>64.13</v>
      </c>
      <c r="N103" s="64">
        <v>5</v>
      </c>
      <c r="O103" s="64">
        <v>0</v>
      </c>
      <c r="P103" s="64">
        <v>0.65</v>
      </c>
      <c r="Q103" s="64">
        <v>26.37</v>
      </c>
      <c r="R103" s="198"/>
      <c r="S103" s="198"/>
      <c r="T103" s="198"/>
      <c r="U103" s="198"/>
    </row>
    <row r="104" spans="1:33" s="12" customFormat="1" x14ac:dyDescent="0.25">
      <c r="A104" s="218" t="s">
        <v>2940</v>
      </c>
      <c r="B104" s="64">
        <v>8.08</v>
      </c>
      <c r="C104" s="64">
        <v>28.61</v>
      </c>
      <c r="D104" s="64">
        <v>22.91</v>
      </c>
      <c r="E104" s="64">
        <v>0.97</v>
      </c>
      <c r="F104" s="64">
        <v>6.22</v>
      </c>
      <c r="G104" s="64">
        <v>36.81</v>
      </c>
      <c r="H104" s="64">
        <v>15.9</v>
      </c>
      <c r="I104" s="64">
        <v>0.56999999999999995</v>
      </c>
      <c r="J104" s="64">
        <v>0.09</v>
      </c>
      <c r="K104" s="64">
        <v>276.57</v>
      </c>
      <c r="L104" s="64">
        <v>24.35</v>
      </c>
      <c r="M104" s="64">
        <v>63.5</v>
      </c>
      <c r="N104" s="64">
        <v>4.8</v>
      </c>
      <c r="O104" s="64">
        <v>0</v>
      </c>
      <c r="P104" s="64">
        <v>0.64</v>
      </c>
      <c r="Q104" s="64">
        <v>26.35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1.43</v>
      </c>
      <c r="C106" s="67">
        <f>MIN(C9:C104)</f>
        <v>18.14</v>
      </c>
      <c r="D106" s="67">
        <f t="shared" ref="D106:Q106" si="0">MIN(D9:D104)</f>
        <v>12.08</v>
      </c>
      <c r="E106" s="67">
        <f t="shared" si="0"/>
        <v>0.11</v>
      </c>
      <c r="F106" s="67">
        <f t="shared" si="0"/>
        <v>2.0699999999999998</v>
      </c>
      <c r="G106" s="67">
        <f t="shared" si="0"/>
        <v>9.82</v>
      </c>
      <c r="H106" s="67">
        <f t="shared" si="0"/>
        <v>6.28</v>
      </c>
      <c r="I106" s="67">
        <f t="shared" si="0"/>
        <v>0.45</v>
      </c>
      <c r="J106" s="67">
        <f t="shared" si="0"/>
        <v>0.02</v>
      </c>
      <c r="K106" s="67">
        <f t="shared" si="0"/>
        <v>7.5</v>
      </c>
      <c r="L106" s="67">
        <f t="shared" si="0"/>
        <v>17.579999999999998</v>
      </c>
      <c r="M106" s="67">
        <f t="shared" si="0"/>
        <v>39.119999999999997</v>
      </c>
      <c r="N106" s="67">
        <f t="shared" si="0"/>
        <v>3.6</v>
      </c>
      <c r="O106" s="67">
        <f t="shared" si="0"/>
        <v>0</v>
      </c>
      <c r="P106" s="67">
        <f t="shared" si="0"/>
        <v>0.25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35.24</v>
      </c>
      <c r="C107" s="66">
        <f t="shared" ref="C107:Q107" si="1">MAX(C9:C104)</f>
        <v>58.84</v>
      </c>
      <c r="D107" s="66">
        <f t="shared" si="1"/>
        <v>89.78</v>
      </c>
      <c r="E107" s="66">
        <f t="shared" si="1"/>
        <v>11.42</v>
      </c>
      <c r="F107" s="66">
        <f t="shared" si="1"/>
        <v>37.799999999999997</v>
      </c>
      <c r="G107" s="66">
        <f t="shared" si="1"/>
        <v>92.49</v>
      </c>
      <c r="H107" s="66">
        <f t="shared" si="1"/>
        <v>27.63</v>
      </c>
      <c r="I107" s="66">
        <f t="shared" si="1"/>
        <v>0.93</v>
      </c>
      <c r="J107" s="66">
        <f t="shared" si="1"/>
        <v>2.34</v>
      </c>
      <c r="K107" s="66">
        <f t="shared" si="1"/>
        <v>342.71</v>
      </c>
      <c r="L107" s="66">
        <f t="shared" si="1"/>
        <v>32.909999999999997</v>
      </c>
      <c r="M107" s="66">
        <f t="shared" si="1"/>
        <v>91.01</v>
      </c>
      <c r="N107" s="66">
        <f t="shared" si="1"/>
        <v>871.4</v>
      </c>
      <c r="O107" s="66">
        <f t="shared" si="1"/>
        <v>1.6</v>
      </c>
      <c r="P107" s="66">
        <f t="shared" si="1"/>
        <v>1.66</v>
      </c>
      <c r="Q107" s="66">
        <f t="shared" si="1"/>
        <v>28.46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6.0070833333333375</v>
      </c>
      <c r="C108" s="67">
        <f t="shared" ref="C108:Q108" si="2">AVERAGE(C9:C104)</f>
        <v>36.708333333333336</v>
      </c>
      <c r="D108" s="67">
        <f t="shared" si="2"/>
        <v>32.587291666666665</v>
      </c>
      <c r="E108" s="67">
        <f t="shared" si="2"/>
        <v>2.1906249999999989</v>
      </c>
      <c r="F108" s="67">
        <f t="shared" si="2"/>
        <v>9.5028124999999992</v>
      </c>
      <c r="G108" s="67">
        <f t="shared" si="2"/>
        <v>33.259166666666665</v>
      </c>
      <c r="H108" s="67">
        <f t="shared" si="2"/>
        <v>13.679166666666669</v>
      </c>
      <c r="I108" s="67">
        <f t="shared" si="2"/>
        <v>0.52427083333333335</v>
      </c>
      <c r="J108" s="67">
        <f t="shared" si="2"/>
        <v>0.49239583333333337</v>
      </c>
      <c r="K108" s="67">
        <f t="shared" si="2"/>
        <v>224.40531250000001</v>
      </c>
      <c r="L108" s="67">
        <f t="shared" si="2"/>
        <v>25.129583333333329</v>
      </c>
      <c r="M108" s="67">
        <f t="shared" si="2"/>
        <v>59.178854166666667</v>
      </c>
      <c r="N108" s="67">
        <f t="shared" si="2"/>
        <v>213.88854166666658</v>
      </c>
      <c r="O108" s="67">
        <f t="shared" si="2"/>
        <v>5.8333333333333327E-2</v>
      </c>
      <c r="P108" s="67">
        <f t="shared" si="2"/>
        <v>0.7286458333333331</v>
      </c>
      <c r="Q108" s="67">
        <f t="shared" si="2"/>
        <v>23.294374999999992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5.1842293071171008</v>
      </c>
      <c r="C109" s="67">
        <f t="shared" ref="C109:Q109" si="3">STDEV(C9:C104)</f>
        <v>8.9657934355986431</v>
      </c>
      <c r="D109" s="67">
        <f t="shared" si="3"/>
        <v>15.887861734118179</v>
      </c>
      <c r="E109" s="67">
        <f t="shared" si="3"/>
        <v>1.882870044709184</v>
      </c>
      <c r="F109" s="67">
        <f t="shared" si="3"/>
        <v>7.7074111570241932</v>
      </c>
      <c r="G109" s="67">
        <f t="shared" si="3"/>
        <v>18.334255409028984</v>
      </c>
      <c r="H109" s="67">
        <f t="shared" si="3"/>
        <v>4.6944149720518338</v>
      </c>
      <c r="I109" s="67">
        <f t="shared" si="3"/>
        <v>7.5040266968254221E-2</v>
      </c>
      <c r="J109" s="67">
        <f t="shared" si="3"/>
        <v>0.47451858106077333</v>
      </c>
      <c r="K109" s="67">
        <f t="shared" si="3"/>
        <v>66.811106308885044</v>
      </c>
      <c r="L109" s="67">
        <f t="shared" si="3"/>
        <v>4.2448435385378769</v>
      </c>
      <c r="M109" s="67">
        <f t="shared" si="3"/>
        <v>13.719521847567284</v>
      </c>
      <c r="N109" s="67">
        <f t="shared" si="3"/>
        <v>281.26130344342243</v>
      </c>
      <c r="O109" s="67">
        <f t="shared" si="3"/>
        <v>0.23380903889000246</v>
      </c>
      <c r="P109" s="67">
        <f t="shared" si="3"/>
        <v>0.31013959434818472</v>
      </c>
      <c r="Q109" s="67">
        <f t="shared" si="3"/>
        <v>4.5073371325335794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8" t="s">
        <v>2941</v>
      </c>
      <c r="B9" s="64">
        <v>7.74</v>
      </c>
      <c r="C9" s="64">
        <v>28.42</v>
      </c>
      <c r="D9" s="64">
        <v>22.54</v>
      </c>
      <c r="E9" s="64">
        <v>1.68</v>
      </c>
      <c r="F9" s="64">
        <v>5.46</v>
      </c>
      <c r="G9" s="64">
        <v>25.69</v>
      </c>
      <c r="H9" s="64">
        <v>16.170000000000002</v>
      </c>
      <c r="I9" s="64">
        <v>0.56000000000000005</v>
      </c>
      <c r="J9" s="64">
        <v>0.52</v>
      </c>
      <c r="K9" s="64">
        <v>281.33999999999997</v>
      </c>
      <c r="L9" s="64">
        <v>24.46</v>
      </c>
      <c r="M9" s="64">
        <v>64.63</v>
      </c>
      <c r="N9" s="64">
        <v>4.5999999999999996</v>
      </c>
      <c r="O9" s="64">
        <v>0</v>
      </c>
      <c r="P9" s="64">
        <v>0.65</v>
      </c>
      <c r="Q9" s="64">
        <v>26.46</v>
      </c>
      <c r="R9" s="198"/>
      <c r="S9" s="198"/>
      <c r="T9" s="198"/>
      <c r="U9" s="198"/>
    </row>
    <row r="10" spans="1:21" s="12" customFormat="1" x14ac:dyDescent="0.25">
      <c r="A10" s="218" t="s">
        <v>2942</v>
      </c>
      <c r="B10" s="64">
        <v>7.48</v>
      </c>
      <c r="C10" s="64">
        <v>25.65</v>
      </c>
      <c r="D10" s="64">
        <v>20.8</v>
      </c>
      <c r="E10" s="64">
        <v>1.79</v>
      </c>
      <c r="F10" s="64">
        <v>4.43</v>
      </c>
      <c r="G10" s="64">
        <v>25.43</v>
      </c>
      <c r="H10" s="64">
        <v>16.170000000000002</v>
      </c>
      <c r="I10" s="64">
        <v>0.56000000000000005</v>
      </c>
      <c r="J10" s="64">
        <v>2.2200000000000002</v>
      </c>
      <c r="K10" s="64">
        <v>280.83999999999997</v>
      </c>
      <c r="L10" s="64">
        <v>24.57</v>
      </c>
      <c r="M10" s="64">
        <v>60.28</v>
      </c>
      <c r="N10" s="64">
        <v>4.0999999999999996</v>
      </c>
      <c r="O10" s="64">
        <v>0</v>
      </c>
      <c r="P10" s="64">
        <v>0.63</v>
      </c>
      <c r="Q10" s="64">
        <v>26.29</v>
      </c>
      <c r="R10" s="198"/>
      <c r="S10" s="198"/>
      <c r="T10" s="198"/>
      <c r="U10" s="198"/>
    </row>
    <row r="11" spans="1:21" s="12" customFormat="1" x14ac:dyDescent="0.25">
      <c r="A11" s="218" t="s">
        <v>2943</v>
      </c>
      <c r="B11" s="64">
        <v>5.87</v>
      </c>
      <c r="C11" s="64">
        <v>28.25</v>
      </c>
      <c r="D11" s="64">
        <v>20.94</v>
      </c>
      <c r="E11" s="64">
        <v>1.58</v>
      </c>
      <c r="F11" s="64">
        <v>5.0199999999999996</v>
      </c>
      <c r="G11" s="64">
        <v>25.43</v>
      </c>
      <c r="H11" s="64">
        <v>16.170000000000002</v>
      </c>
      <c r="I11" s="64">
        <v>0.57999999999999996</v>
      </c>
      <c r="J11" s="64">
        <v>2.57</v>
      </c>
      <c r="K11" s="64">
        <v>295.87</v>
      </c>
      <c r="L11" s="64">
        <v>24.26</v>
      </c>
      <c r="M11" s="64">
        <v>53.37</v>
      </c>
      <c r="N11" s="64">
        <v>5.9</v>
      </c>
      <c r="O11" s="64">
        <v>0</v>
      </c>
      <c r="P11" s="64">
        <v>0.57999999999999996</v>
      </c>
      <c r="Q11" s="64">
        <v>26.41</v>
      </c>
      <c r="R11" s="198"/>
      <c r="S11" s="198"/>
      <c r="T11" s="198"/>
      <c r="U11" s="198"/>
    </row>
    <row r="12" spans="1:21" s="12" customFormat="1" x14ac:dyDescent="0.25">
      <c r="A12" s="218" t="s">
        <v>2944</v>
      </c>
      <c r="B12" s="64">
        <v>4.0999999999999996</v>
      </c>
      <c r="C12" s="64">
        <v>29.99</v>
      </c>
      <c r="D12" s="64">
        <v>20.49</v>
      </c>
      <c r="E12" s="64">
        <v>1.35</v>
      </c>
      <c r="F12" s="64">
        <v>6.33</v>
      </c>
      <c r="G12" s="64">
        <v>25.43</v>
      </c>
      <c r="H12" s="64">
        <v>16.170000000000002</v>
      </c>
      <c r="I12" s="64">
        <v>0.57999999999999996</v>
      </c>
      <c r="J12" s="64">
        <v>2.8</v>
      </c>
      <c r="K12" s="64">
        <v>285.44</v>
      </c>
      <c r="L12" s="64">
        <v>23.43</v>
      </c>
      <c r="M12" s="64">
        <v>51.49</v>
      </c>
      <c r="N12" s="64">
        <v>6.6</v>
      </c>
      <c r="O12" s="64">
        <v>0</v>
      </c>
      <c r="P12" s="64">
        <v>0.52</v>
      </c>
      <c r="Q12" s="64">
        <v>26.51</v>
      </c>
      <c r="R12" s="198"/>
      <c r="S12" s="198"/>
      <c r="T12" s="198"/>
      <c r="U12" s="198"/>
    </row>
    <row r="13" spans="1:21" s="12" customFormat="1" x14ac:dyDescent="0.25">
      <c r="A13" s="218" t="s">
        <v>2945</v>
      </c>
      <c r="B13" s="64">
        <v>2.84</v>
      </c>
      <c r="C13" s="64">
        <v>30.75</v>
      </c>
      <c r="D13" s="64">
        <v>19.899999999999999</v>
      </c>
      <c r="E13" s="64">
        <v>1.37</v>
      </c>
      <c r="F13" s="64">
        <v>5.61</v>
      </c>
      <c r="G13" s="64">
        <v>15.49</v>
      </c>
      <c r="H13" s="64">
        <v>13.92</v>
      </c>
      <c r="I13" s="64">
        <v>0.56000000000000005</v>
      </c>
      <c r="J13" s="64">
        <v>2.33</v>
      </c>
      <c r="K13" s="64">
        <v>281.45</v>
      </c>
      <c r="L13" s="64">
        <v>22.79</v>
      </c>
      <c r="M13" s="64">
        <v>54.72</v>
      </c>
      <c r="N13" s="64">
        <v>6.1</v>
      </c>
      <c r="O13" s="64">
        <v>0</v>
      </c>
      <c r="P13" s="64">
        <v>0.51</v>
      </c>
      <c r="Q13" s="64">
        <v>26.76</v>
      </c>
      <c r="R13" s="198"/>
      <c r="S13" s="198"/>
      <c r="T13" s="198"/>
      <c r="U13" s="198"/>
    </row>
    <row r="14" spans="1:21" s="12" customFormat="1" x14ac:dyDescent="0.25">
      <c r="A14" s="218" t="s">
        <v>2946</v>
      </c>
      <c r="B14" s="64">
        <v>2.4500000000000002</v>
      </c>
      <c r="C14" s="64">
        <v>30.06</v>
      </c>
      <c r="D14" s="64">
        <v>19.2</v>
      </c>
      <c r="E14" s="64">
        <v>1.01</v>
      </c>
      <c r="F14" s="64">
        <v>5.19</v>
      </c>
      <c r="G14" s="64">
        <v>15.26</v>
      </c>
      <c r="H14" s="64">
        <v>13.92</v>
      </c>
      <c r="I14" s="64">
        <v>0.54</v>
      </c>
      <c r="J14" s="64">
        <v>2.33</v>
      </c>
      <c r="K14" s="64">
        <v>282.37</v>
      </c>
      <c r="L14" s="64">
        <v>22.19</v>
      </c>
      <c r="M14" s="64">
        <v>58.47</v>
      </c>
      <c r="N14" s="64">
        <v>6</v>
      </c>
      <c r="O14" s="64">
        <v>0</v>
      </c>
      <c r="P14" s="64">
        <v>0.5</v>
      </c>
      <c r="Q14" s="64">
        <v>26.61</v>
      </c>
      <c r="R14" s="198"/>
      <c r="S14" s="198"/>
      <c r="T14" s="198"/>
      <c r="U14" s="198"/>
    </row>
    <row r="15" spans="1:21" s="12" customFormat="1" x14ac:dyDescent="0.25">
      <c r="A15" s="218" t="s">
        <v>2947</v>
      </c>
      <c r="B15" s="64">
        <v>2.2799999999999998</v>
      </c>
      <c r="C15" s="64">
        <v>28.53</v>
      </c>
      <c r="D15" s="64">
        <v>18.22</v>
      </c>
      <c r="E15" s="64">
        <v>1.37</v>
      </c>
      <c r="F15" s="64">
        <v>5.55</v>
      </c>
      <c r="G15" s="64">
        <v>15.26</v>
      </c>
      <c r="H15" s="64">
        <v>13.92</v>
      </c>
      <c r="I15" s="64">
        <v>0.53</v>
      </c>
      <c r="J15" s="64">
        <v>2.12</v>
      </c>
      <c r="K15" s="64">
        <v>276.60000000000002</v>
      </c>
      <c r="L15" s="64">
        <v>21.78</v>
      </c>
      <c r="M15" s="64">
        <v>61.31</v>
      </c>
      <c r="N15" s="64">
        <v>5.3</v>
      </c>
      <c r="O15" s="64">
        <v>0</v>
      </c>
      <c r="P15" s="64">
        <v>0.46</v>
      </c>
      <c r="Q15" s="64">
        <v>26.44</v>
      </c>
      <c r="R15" s="198"/>
      <c r="S15" s="198"/>
      <c r="T15" s="198"/>
      <c r="U15" s="198"/>
    </row>
    <row r="16" spans="1:21" s="12" customFormat="1" x14ac:dyDescent="0.25">
      <c r="A16" s="218" t="s">
        <v>2948</v>
      </c>
      <c r="B16" s="64">
        <v>2.08</v>
      </c>
      <c r="C16" s="64">
        <v>27.4</v>
      </c>
      <c r="D16" s="64">
        <v>17.440000000000001</v>
      </c>
      <c r="E16" s="64">
        <v>0.91</v>
      </c>
      <c r="F16" s="64">
        <v>5.32</v>
      </c>
      <c r="G16" s="64">
        <v>15.26</v>
      </c>
      <c r="H16" s="64">
        <v>13.92</v>
      </c>
      <c r="I16" s="64">
        <v>0.52</v>
      </c>
      <c r="J16" s="64">
        <v>2.48</v>
      </c>
      <c r="K16" s="64">
        <v>282.36</v>
      </c>
      <c r="L16" s="64">
        <v>21.58</v>
      </c>
      <c r="M16" s="64">
        <v>62.22</v>
      </c>
      <c r="N16" s="64">
        <v>5.7</v>
      </c>
      <c r="O16" s="64">
        <v>0</v>
      </c>
      <c r="P16" s="64">
        <v>0.42</v>
      </c>
      <c r="Q16" s="64">
        <v>25.63</v>
      </c>
      <c r="R16" s="198"/>
      <c r="S16" s="198"/>
      <c r="T16" s="198"/>
      <c r="U16" s="198"/>
    </row>
    <row r="17" spans="1:21" s="12" customFormat="1" x14ac:dyDescent="0.25">
      <c r="A17" s="218" t="s">
        <v>2949</v>
      </c>
      <c r="B17" s="64">
        <v>1.92</v>
      </c>
      <c r="C17" s="64">
        <v>23.72</v>
      </c>
      <c r="D17" s="64">
        <v>15.28</v>
      </c>
      <c r="E17" s="64">
        <v>1.08</v>
      </c>
      <c r="F17" s="64">
        <v>6.88</v>
      </c>
      <c r="G17" s="64">
        <v>9.8699999999999992</v>
      </c>
      <c r="H17" s="64">
        <v>13.83</v>
      </c>
      <c r="I17" s="64">
        <v>0.52</v>
      </c>
      <c r="J17" s="64">
        <v>2.23</v>
      </c>
      <c r="K17" s="64">
        <v>279.01</v>
      </c>
      <c r="L17" s="64">
        <v>20.62</v>
      </c>
      <c r="M17" s="64">
        <v>67.760000000000005</v>
      </c>
      <c r="N17" s="64">
        <v>6.2</v>
      </c>
      <c r="O17" s="64">
        <v>0</v>
      </c>
      <c r="P17" s="64">
        <v>0.38</v>
      </c>
      <c r="Q17" s="64">
        <v>23.57</v>
      </c>
      <c r="R17" s="198"/>
      <c r="S17" s="198"/>
      <c r="T17" s="198"/>
      <c r="U17" s="198"/>
    </row>
    <row r="18" spans="1:21" s="12" customFormat="1" x14ac:dyDescent="0.25">
      <c r="A18" s="218" t="s">
        <v>2950</v>
      </c>
      <c r="B18" s="64">
        <v>1.86</v>
      </c>
      <c r="C18" s="64">
        <v>22.32</v>
      </c>
      <c r="D18" s="64">
        <v>14.46</v>
      </c>
      <c r="E18" s="64">
        <v>1.18</v>
      </c>
      <c r="F18" s="64">
        <v>6.08</v>
      </c>
      <c r="G18" s="64">
        <v>9.68</v>
      </c>
      <c r="H18" s="64">
        <v>13.83</v>
      </c>
      <c r="I18" s="64">
        <v>0.49</v>
      </c>
      <c r="J18" s="64">
        <v>1.95</v>
      </c>
      <c r="K18" s="64">
        <v>288.23</v>
      </c>
      <c r="L18" s="64">
        <v>20.170000000000002</v>
      </c>
      <c r="M18" s="64">
        <v>70.209999999999994</v>
      </c>
      <c r="N18" s="64">
        <v>5.4</v>
      </c>
      <c r="O18" s="64">
        <v>0</v>
      </c>
      <c r="P18" s="64">
        <v>0.35</v>
      </c>
      <c r="Q18" s="64">
        <v>22.39</v>
      </c>
      <c r="R18" s="198"/>
      <c r="S18" s="198"/>
      <c r="T18" s="198"/>
      <c r="U18" s="198"/>
    </row>
    <row r="19" spans="1:21" s="12" customFormat="1" x14ac:dyDescent="0.25">
      <c r="A19" s="218" t="s">
        <v>2951</v>
      </c>
      <c r="B19" s="64">
        <v>1.8</v>
      </c>
      <c r="C19" s="64">
        <v>22.2</v>
      </c>
      <c r="D19" s="64">
        <v>14.34</v>
      </c>
      <c r="E19" s="64">
        <v>1.17</v>
      </c>
      <c r="F19" s="64">
        <v>5.61</v>
      </c>
      <c r="G19" s="64">
        <v>9.68</v>
      </c>
      <c r="H19" s="64">
        <v>13.83</v>
      </c>
      <c r="I19" s="64">
        <v>0.5</v>
      </c>
      <c r="J19" s="64">
        <v>1.92</v>
      </c>
      <c r="K19" s="64">
        <v>285.55</v>
      </c>
      <c r="L19" s="64">
        <v>19.989999999999998</v>
      </c>
      <c r="M19" s="64">
        <v>72.319999999999993</v>
      </c>
      <c r="N19" s="64">
        <v>5.4</v>
      </c>
      <c r="O19" s="64">
        <v>0</v>
      </c>
      <c r="P19" s="64">
        <v>0.34</v>
      </c>
      <c r="Q19" s="64">
        <v>22.15</v>
      </c>
      <c r="R19" s="198"/>
      <c r="S19" s="198"/>
      <c r="T19" s="198"/>
      <c r="U19" s="198"/>
    </row>
    <row r="20" spans="1:21" s="12" customFormat="1" x14ac:dyDescent="0.25">
      <c r="A20" s="218" t="s">
        <v>2952</v>
      </c>
      <c r="B20" s="64">
        <v>1.71</v>
      </c>
      <c r="C20" s="64">
        <v>22.04</v>
      </c>
      <c r="D20" s="64">
        <v>14.18</v>
      </c>
      <c r="E20" s="64">
        <v>1.19</v>
      </c>
      <c r="F20" s="64">
        <v>5.9</v>
      </c>
      <c r="G20" s="64">
        <v>9.68</v>
      </c>
      <c r="H20" s="64">
        <v>13.83</v>
      </c>
      <c r="I20" s="64">
        <v>0.49</v>
      </c>
      <c r="J20" s="64">
        <v>1.81</v>
      </c>
      <c r="K20" s="64">
        <v>283.58</v>
      </c>
      <c r="L20" s="64">
        <v>19.57</v>
      </c>
      <c r="M20" s="64">
        <v>76.39</v>
      </c>
      <c r="N20" s="64">
        <v>5.6</v>
      </c>
      <c r="O20" s="64">
        <v>0</v>
      </c>
      <c r="P20" s="64">
        <v>0.33</v>
      </c>
      <c r="Q20" s="64">
        <v>22.1</v>
      </c>
      <c r="R20" s="198"/>
      <c r="S20" s="198"/>
      <c r="T20" s="198"/>
      <c r="U20" s="198"/>
    </row>
    <row r="21" spans="1:21" s="12" customFormat="1" x14ac:dyDescent="0.25">
      <c r="A21" s="218" t="s">
        <v>2953</v>
      </c>
      <c r="B21" s="64">
        <v>1.58</v>
      </c>
      <c r="C21" s="64">
        <v>21.52</v>
      </c>
      <c r="D21" s="64">
        <v>13.79</v>
      </c>
      <c r="E21" s="64">
        <v>0.93</v>
      </c>
      <c r="F21" s="64">
        <v>6.22</v>
      </c>
      <c r="G21" s="64">
        <v>14.03</v>
      </c>
      <c r="H21" s="64">
        <v>10.02</v>
      </c>
      <c r="I21" s="64">
        <v>0.49</v>
      </c>
      <c r="J21" s="64">
        <v>1.91</v>
      </c>
      <c r="K21" s="64">
        <v>289.52</v>
      </c>
      <c r="L21" s="64">
        <v>19.260000000000002</v>
      </c>
      <c r="M21" s="64">
        <v>77.91</v>
      </c>
      <c r="N21" s="64">
        <v>5.2</v>
      </c>
      <c r="O21" s="64">
        <v>0</v>
      </c>
      <c r="P21" s="64">
        <v>0.3</v>
      </c>
      <c r="Q21" s="64">
        <v>22.46</v>
      </c>
      <c r="R21" s="198"/>
      <c r="S21" s="198"/>
      <c r="T21" s="198"/>
      <c r="U21" s="198"/>
    </row>
    <row r="22" spans="1:21" s="12" customFormat="1" x14ac:dyDescent="0.25">
      <c r="A22" s="218" t="s">
        <v>2954</v>
      </c>
      <c r="B22" s="64">
        <v>1.55</v>
      </c>
      <c r="C22" s="64">
        <v>20.99</v>
      </c>
      <c r="D22" s="64">
        <v>13.48</v>
      </c>
      <c r="E22" s="64">
        <v>1.05</v>
      </c>
      <c r="F22" s="64">
        <v>5.98</v>
      </c>
      <c r="G22" s="64">
        <v>14.18</v>
      </c>
      <c r="H22" s="64">
        <v>10.02</v>
      </c>
      <c r="I22" s="64">
        <v>0.48</v>
      </c>
      <c r="J22" s="64">
        <v>1.58</v>
      </c>
      <c r="K22" s="64">
        <v>285.45</v>
      </c>
      <c r="L22" s="64">
        <v>19.28</v>
      </c>
      <c r="M22" s="64">
        <v>76.53</v>
      </c>
      <c r="N22" s="64">
        <v>4.8</v>
      </c>
      <c r="O22" s="64">
        <v>0</v>
      </c>
      <c r="P22" s="64">
        <v>0.3</v>
      </c>
      <c r="Q22" s="64">
        <v>21.82</v>
      </c>
      <c r="R22" s="198"/>
      <c r="S22" s="198"/>
      <c r="T22" s="198"/>
      <c r="U22" s="198"/>
    </row>
    <row r="23" spans="1:21" s="12" customFormat="1" x14ac:dyDescent="0.25">
      <c r="A23" s="218" t="s">
        <v>2955</v>
      </c>
      <c r="B23" s="64">
        <v>1.59</v>
      </c>
      <c r="C23" s="64">
        <v>21.88</v>
      </c>
      <c r="D23" s="64">
        <v>14</v>
      </c>
      <c r="E23" s="64">
        <v>1.1599999999999999</v>
      </c>
      <c r="F23" s="64">
        <v>5.2</v>
      </c>
      <c r="G23" s="64">
        <v>14.18</v>
      </c>
      <c r="H23" s="64">
        <v>10.02</v>
      </c>
      <c r="I23" s="64">
        <v>0.47</v>
      </c>
      <c r="J23" s="64">
        <v>1.47</v>
      </c>
      <c r="K23" s="64">
        <v>286.54000000000002</v>
      </c>
      <c r="L23" s="64">
        <v>19.36</v>
      </c>
      <c r="M23" s="64">
        <v>75.56</v>
      </c>
      <c r="N23" s="64">
        <v>4.9000000000000004</v>
      </c>
      <c r="O23" s="64">
        <v>0</v>
      </c>
      <c r="P23" s="64">
        <v>0.28999999999999998</v>
      </c>
      <c r="Q23" s="64">
        <v>23.18</v>
      </c>
      <c r="R23" s="198"/>
      <c r="S23" s="198"/>
      <c r="T23" s="198"/>
      <c r="U23" s="198"/>
    </row>
    <row r="24" spans="1:21" s="12" customFormat="1" x14ac:dyDescent="0.25">
      <c r="A24" s="218" t="s">
        <v>2956</v>
      </c>
      <c r="B24" s="64">
        <v>1.85</v>
      </c>
      <c r="C24" s="64">
        <v>23.26</v>
      </c>
      <c r="D24" s="64">
        <v>14.97</v>
      </c>
      <c r="E24" s="64">
        <v>0.59</v>
      </c>
      <c r="F24" s="64">
        <v>5.16</v>
      </c>
      <c r="G24" s="64">
        <v>14.18</v>
      </c>
      <c r="H24" s="64">
        <v>10.02</v>
      </c>
      <c r="I24" s="64">
        <v>0.48</v>
      </c>
      <c r="J24" s="64">
        <v>1.43</v>
      </c>
      <c r="K24" s="64">
        <v>280.51</v>
      </c>
      <c r="L24" s="64">
        <v>19.46</v>
      </c>
      <c r="M24" s="64">
        <v>75.42</v>
      </c>
      <c r="N24" s="64">
        <v>5</v>
      </c>
      <c r="O24" s="64">
        <v>0</v>
      </c>
      <c r="P24" s="64">
        <v>0.28000000000000003</v>
      </c>
      <c r="Q24" s="64">
        <v>24.04</v>
      </c>
      <c r="R24" s="198"/>
      <c r="S24" s="198"/>
      <c r="T24" s="198"/>
      <c r="U24" s="198"/>
    </row>
    <row r="25" spans="1:21" s="12" customFormat="1" x14ac:dyDescent="0.25">
      <c r="A25" s="218" t="s">
        <v>2957</v>
      </c>
      <c r="B25" s="64">
        <v>2.16</v>
      </c>
      <c r="C25" s="64">
        <v>24.77</v>
      </c>
      <c r="D25" s="64">
        <v>16.05</v>
      </c>
      <c r="E25" s="64">
        <v>1.1299999999999999</v>
      </c>
      <c r="F25" s="64">
        <v>4.4800000000000004</v>
      </c>
      <c r="G25" s="64">
        <v>12.92</v>
      </c>
      <c r="H25" s="64">
        <v>7.6</v>
      </c>
      <c r="I25" s="64">
        <v>0.47</v>
      </c>
      <c r="J25" s="64">
        <v>1.43</v>
      </c>
      <c r="K25" s="64">
        <v>275.44</v>
      </c>
      <c r="L25" s="64">
        <v>19.559999999999999</v>
      </c>
      <c r="M25" s="64">
        <v>75.459999999999994</v>
      </c>
      <c r="N25" s="64">
        <v>4.8</v>
      </c>
      <c r="O25" s="64">
        <v>0</v>
      </c>
      <c r="P25" s="64">
        <v>0.28000000000000003</v>
      </c>
      <c r="Q25" s="64">
        <v>24.99</v>
      </c>
      <c r="R25" s="198"/>
      <c r="S25" s="198"/>
      <c r="T25" s="198"/>
      <c r="U25" s="198"/>
    </row>
    <row r="26" spans="1:21" s="12" customFormat="1" x14ac:dyDescent="0.25">
      <c r="A26" s="218" t="s">
        <v>2958</v>
      </c>
      <c r="B26" s="64">
        <v>2.3199999999999998</v>
      </c>
      <c r="C26" s="64">
        <v>25.24</v>
      </c>
      <c r="D26" s="64">
        <v>16.440000000000001</v>
      </c>
      <c r="E26" s="64">
        <v>1.1200000000000001</v>
      </c>
      <c r="F26" s="64">
        <v>4.4800000000000004</v>
      </c>
      <c r="G26" s="64">
        <v>12.88</v>
      </c>
      <c r="H26" s="64">
        <v>7.6</v>
      </c>
      <c r="I26" s="64">
        <v>0.47</v>
      </c>
      <c r="J26" s="64">
        <v>0.7</v>
      </c>
      <c r="K26" s="64">
        <v>278.97000000000003</v>
      </c>
      <c r="L26" s="64">
        <v>19.54</v>
      </c>
      <c r="M26" s="64">
        <v>78.33</v>
      </c>
      <c r="N26" s="64">
        <v>4.8</v>
      </c>
      <c r="O26" s="64">
        <v>0</v>
      </c>
      <c r="P26" s="64">
        <v>0.27</v>
      </c>
      <c r="Q26" s="64">
        <v>25.11</v>
      </c>
      <c r="R26" s="198"/>
      <c r="S26" s="198"/>
      <c r="T26" s="198"/>
      <c r="U26" s="198"/>
    </row>
    <row r="27" spans="1:21" s="12" customFormat="1" x14ac:dyDescent="0.25">
      <c r="A27" s="218" t="s">
        <v>2959</v>
      </c>
      <c r="B27" s="64">
        <v>2.36</v>
      </c>
      <c r="C27" s="64">
        <v>24.4</v>
      </c>
      <c r="D27" s="64">
        <v>16</v>
      </c>
      <c r="E27" s="64">
        <v>1.55</v>
      </c>
      <c r="F27" s="64">
        <v>4.76</v>
      </c>
      <c r="G27" s="64">
        <v>12.88</v>
      </c>
      <c r="H27" s="64">
        <v>7.6</v>
      </c>
      <c r="I27" s="64">
        <v>0.47</v>
      </c>
      <c r="J27" s="64">
        <v>0.14000000000000001</v>
      </c>
      <c r="K27" s="64">
        <v>346.36</v>
      </c>
      <c r="L27" s="64">
        <v>18.989999999999998</v>
      </c>
      <c r="M27" s="64">
        <v>84.53</v>
      </c>
      <c r="N27" s="64">
        <v>5.7</v>
      </c>
      <c r="O27" s="64">
        <v>0.8</v>
      </c>
      <c r="P27" s="64">
        <v>0.27</v>
      </c>
      <c r="Q27" s="64">
        <v>25.01</v>
      </c>
      <c r="R27" s="198"/>
      <c r="S27" s="198"/>
      <c r="T27" s="198"/>
      <c r="U27" s="198"/>
    </row>
    <row r="28" spans="1:21" s="12" customFormat="1" x14ac:dyDescent="0.25">
      <c r="A28" s="218" t="s">
        <v>2960</v>
      </c>
      <c r="B28" s="64">
        <v>2.8</v>
      </c>
      <c r="C28" s="64">
        <v>26.32</v>
      </c>
      <c r="D28" s="64">
        <v>17.420000000000002</v>
      </c>
      <c r="E28" s="64">
        <v>1.82</v>
      </c>
      <c r="F28" s="64">
        <v>4.07</v>
      </c>
      <c r="G28" s="64">
        <v>12.88</v>
      </c>
      <c r="H28" s="64">
        <v>7.6</v>
      </c>
      <c r="I28" s="64">
        <v>0.48</v>
      </c>
      <c r="J28" s="64">
        <v>0.71</v>
      </c>
      <c r="K28" s="64">
        <v>301.39</v>
      </c>
      <c r="L28" s="64">
        <v>18.59</v>
      </c>
      <c r="M28" s="64">
        <v>90.11</v>
      </c>
      <c r="N28" s="64">
        <v>5.2</v>
      </c>
      <c r="O28" s="64">
        <v>0.2</v>
      </c>
      <c r="P28" s="64">
        <v>0.27</v>
      </c>
      <c r="Q28" s="64">
        <v>25.28</v>
      </c>
      <c r="R28" s="198"/>
      <c r="S28" s="198"/>
      <c r="T28" s="198"/>
      <c r="U28" s="198"/>
    </row>
    <row r="29" spans="1:21" s="12" customFormat="1" x14ac:dyDescent="0.25">
      <c r="A29" s="218" t="s">
        <v>2961</v>
      </c>
      <c r="B29" s="64">
        <v>3.15</v>
      </c>
      <c r="C29" s="64">
        <v>24.28</v>
      </c>
      <c r="D29" s="64">
        <v>16.579999999999998</v>
      </c>
      <c r="E29" s="64">
        <v>1.57</v>
      </c>
      <c r="F29" s="64">
        <v>3.96</v>
      </c>
      <c r="G29" s="64">
        <v>12.25</v>
      </c>
      <c r="H29" s="64">
        <v>5.81</v>
      </c>
      <c r="I29" s="64">
        <v>0.48</v>
      </c>
      <c r="J29" s="64">
        <v>1.48</v>
      </c>
      <c r="K29" s="64">
        <v>293.17</v>
      </c>
      <c r="L29" s="64">
        <v>18.510000000000002</v>
      </c>
      <c r="M29" s="64">
        <v>90.24</v>
      </c>
      <c r="N29" s="64">
        <v>5.2</v>
      </c>
      <c r="O29" s="64">
        <v>0.2</v>
      </c>
      <c r="P29" s="64">
        <v>0.27</v>
      </c>
      <c r="Q29" s="64">
        <v>24.86</v>
      </c>
      <c r="R29" s="198"/>
      <c r="S29" s="198"/>
      <c r="T29" s="198"/>
      <c r="U29" s="198"/>
    </row>
    <row r="30" spans="1:21" s="12" customFormat="1" x14ac:dyDescent="0.25">
      <c r="A30" s="218" t="s">
        <v>2962</v>
      </c>
      <c r="B30" s="64">
        <v>3.17</v>
      </c>
      <c r="C30" s="64">
        <v>24.28</v>
      </c>
      <c r="D30" s="64">
        <v>16.59</v>
      </c>
      <c r="E30" s="64">
        <v>1.44</v>
      </c>
      <c r="F30" s="64">
        <v>4.3099999999999996</v>
      </c>
      <c r="G30" s="64">
        <v>12.24</v>
      </c>
      <c r="H30" s="64">
        <v>5.81</v>
      </c>
      <c r="I30" s="64">
        <v>0.48</v>
      </c>
      <c r="J30" s="64">
        <v>1.99</v>
      </c>
      <c r="K30" s="64">
        <v>286.16000000000003</v>
      </c>
      <c r="L30" s="64">
        <v>18.45</v>
      </c>
      <c r="M30" s="64">
        <v>88.67</v>
      </c>
      <c r="N30" s="64">
        <v>6.3</v>
      </c>
      <c r="O30" s="64">
        <v>0</v>
      </c>
      <c r="P30" s="64">
        <v>0.26</v>
      </c>
      <c r="Q30" s="64">
        <v>25</v>
      </c>
      <c r="R30" s="198"/>
      <c r="S30" s="198"/>
      <c r="T30" s="198"/>
      <c r="U30" s="198"/>
    </row>
    <row r="31" spans="1:21" s="12" customFormat="1" x14ac:dyDescent="0.25">
      <c r="A31" s="218" t="s">
        <v>2963</v>
      </c>
      <c r="B31" s="64">
        <v>2.89</v>
      </c>
      <c r="C31" s="64">
        <v>24.38</v>
      </c>
      <c r="D31" s="64">
        <v>16.420000000000002</v>
      </c>
      <c r="E31" s="64">
        <v>1.51</v>
      </c>
      <c r="F31" s="64">
        <v>4.5599999999999996</v>
      </c>
      <c r="G31" s="64">
        <v>12.24</v>
      </c>
      <c r="H31" s="64">
        <v>5.81</v>
      </c>
      <c r="I31" s="64">
        <v>0.48</v>
      </c>
      <c r="J31" s="64">
        <v>1.75</v>
      </c>
      <c r="K31" s="64">
        <v>285.23</v>
      </c>
      <c r="L31" s="64">
        <v>18.43</v>
      </c>
      <c r="M31" s="64">
        <v>88.32</v>
      </c>
      <c r="N31" s="64">
        <v>7.4</v>
      </c>
      <c r="O31" s="64">
        <v>0</v>
      </c>
      <c r="P31" s="64">
        <v>0.27</v>
      </c>
      <c r="Q31" s="64">
        <v>24.67</v>
      </c>
      <c r="R31" s="198"/>
      <c r="S31" s="198"/>
      <c r="T31" s="198"/>
      <c r="U31" s="198"/>
    </row>
    <row r="32" spans="1:21" s="12" customFormat="1" x14ac:dyDescent="0.25">
      <c r="A32" s="218" t="s">
        <v>2964</v>
      </c>
      <c r="B32" s="64">
        <v>2.59</v>
      </c>
      <c r="C32" s="64">
        <v>24.26</v>
      </c>
      <c r="D32" s="64">
        <v>16.11</v>
      </c>
      <c r="E32" s="64">
        <v>1.46</v>
      </c>
      <c r="F32" s="64">
        <v>4.43</v>
      </c>
      <c r="G32" s="64">
        <v>12.24</v>
      </c>
      <c r="H32" s="64">
        <v>5.81</v>
      </c>
      <c r="I32" s="64">
        <v>0.47</v>
      </c>
      <c r="J32" s="64">
        <v>0.37</v>
      </c>
      <c r="K32" s="64">
        <v>246.73</v>
      </c>
      <c r="L32" s="64">
        <v>18.46</v>
      </c>
      <c r="M32" s="64">
        <v>88.32</v>
      </c>
      <c r="N32" s="64">
        <v>7.4</v>
      </c>
      <c r="O32" s="64">
        <v>0</v>
      </c>
      <c r="P32" s="64">
        <v>0.27</v>
      </c>
      <c r="Q32" s="64">
        <v>24.1</v>
      </c>
      <c r="R32" s="198"/>
      <c r="S32" s="198"/>
      <c r="T32" s="198"/>
      <c r="U32" s="198"/>
    </row>
    <row r="33" spans="1:21" s="12" customFormat="1" x14ac:dyDescent="0.25">
      <c r="A33" s="218" t="s">
        <v>2965</v>
      </c>
      <c r="B33" s="64">
        <v>2.54</v>
      </c>
      <c r="C33" s="64">
        <v>23.62</v>
      </c>
      <c r="D33" s="64">
        <v>15.72</v>
      </c>
      <c r="E33" s="64">
        <v>1.01</v>
      </c>
      <c r="F33" s="64">
        <v>4.17</v>
      </c>
      <c r="G33" s="64">
        <v>12.24</v>
      </c>
      <c r="H33" s="64">
        <v>4.18</v>
      </c>
      <c r="I33" s="64">
        <v>0.47</v>
      </c>
      <c r="J33" s="64">
        <v>1.1299999999999999</v>
      </c>
      <c r="K33" s="64">
        <v>125.45</v>
      </c>
      <c r="L33" s="64">
        <v>18.600000000000001</v>
      </c>
      <c r="M33" s="64">
        <v>86.5</v>
      </c>
      <c r="N33" s="64">
        <v>14.6</v>
      </c>
      <c r="O33" s="64">
        <v>0</v>
      </c>
      <c r="P33" s="64">
        <v>0.27</v>
      </c>
      <c r="Q33" s="64">
        <v>24.24</v>
      </c>
      <c r="R33" s="198"/>
      <c r="S33" s="198"/>
      <c r="T33" s="198"/>
      <c r="U33" s="198"/>
    </row>
    <row r="34" spans="1:21" s="12" customFormat="1" x14ac:dyDescent="0.25">
      <c r="A34" s="218" t="s">
        <v>2966</v>
      </c>
      <c r="B34" s="64">
        <v>2.86</v>
      </c>
      <c r="C34" s="64">
        <v>23.14</v>
      </c>
      <c r="D34" s="64">
        <v>15.71</v>
      </c>
      <c r="E34" s="64">
        <v>1.03</v>
      </c>
      <c r="F34" s="64">
        <v>3.5</v>
      </c>
      <c r="G34" s="220" t="s">
        <v>43</v>
      </c>
      <c r="H34" s="220" t="s">
        <v>43</v>
      </c>
      <c r="I34" s="64">
        <v>0.47</v>
      </c>
      <c r="J34" s="64">
        <v>0.13</v>
      </c>
      <c r="K34" s="64">
        <v>117.54</v>
      </c>
      <c r="L34" s="64">
        <v>18.63</v>
      </c>
      <c r="M34" s="64">
        <v>87.38</v>
      </c>
      <c r="N34" s="64">
        <v>41.3</v>
      </c>
      <c r="O34" s="64">
        <v>0</v>
      </c>
      <c r="P34" s="64">
        <v>0.28000000000000003</v>
      </c>
      <c r="Q34" s="64">
        <v>25.13</v>
      </c>
      <c r="R34" s="198"/>
      <c r="S34" s="198"/>
      <c r="T34" s="198"/>
      <c r="U34" s="198"/>
    </row>
    <row r="35" spans="1:21" s="12" customFormat="1" x14ac:dyDescent="0.25">
      <c r="A35" s="218" t="s">
        <v>2967</v>
      </c>
      <c r="B35" s="64">
        <v>3.51</v>
      </c>
      <c r="C35" s="64">
        <v>23.83</v>
      </c>
      <c r="D35" s="64">
        <v>16.61</v>
      </c>
      <c r="E35" s="64">
        <v>1.53</v>
      </c>
      <c r="F35" s="64">
        <v>3.73</v>
      </c>
      <c r="G35" s="220" t="s">
        <v>43</v>
      </c>
      <c r="H35" s="220" t="s">
        <v>43</v>
      </c>
      <c r="I35" s="64">
        <v>0.47</v>
      </c>
      <c r="J35" s="64">
        <v>1.64</v>
      </c>
      <c r="K35" s="64">
        <v>119.09</v>
      </c>
      <c r="L35" s="64">
        <v>18.899999999999999</v>
      </c>
      <c r="M35" s="64">
        <v>85.02</v>
      </c>
      <c r="N35" s="64">
        <v>85.9</v>
      </c>
      <c r="O35" s="64">
        <v>0</v>
      </c>
      <c r="P35" s="64">
        <v>0.28000000000000003</v>
      </c>
      <c r="Q35" s="64">
        <v>26.1</v>
      </c>
      <c r="R35" s="198"/>
      <c r="S35" s="198"/>
      <c r="T35" s="198"/>
      <c r="U35" s="198"/>
    </row>
    <row r="36" spans="1:21" s="12" customFormat="1" x14ac:dyDescent="0.25">
      <c r="A36" s="218" t="s">
        <v>2968</v>
      </c>
      <c r="B36" s="64">
        <v>4.3600000000000003</v>
      </c>
      <c r="C36" s="64">
        <v>24.78</v>
      </c>
      <c r="D36" s="64">
        <v>17.82</v>
      </c>
      <c r="E36" s="64">
        <v>1.29</v>
      </c>
      <c r="F36" s="64">
        <v>3.12</v>
      </c>
      <c r="G36" s="220" t="s">
        <v>43</v>
      </c>
      <c r="H36" s="220" t="s">
        <v>43</v>
      </c>
      <c r="I36" s="64">
        <v>0.48</v>
      </c>
      <c r="J36" s="64">
        <v>1.53</v>
      </c>
      <c r="K36" s="64">
        <v>127.71</v>
      </c>
      <c r="L36" s="64">
        <v>19.03</v>
      </c>
      <c r="M36" s="64">
        <v>85.15</v>
      </c>
      <c r="N36" s="64">
        <v>86</v>
      </c>
      <c r="O36" s="64">
        <v>0</v>
      </c>
      <c r="P36" s="64">
        <v>0.28999999999999998</v>
      </c>
      <c r="Q36" s="64">
        <v>27.76</v>
      </c>
      <c r="R36" s="198"/>
      <c r="S36" s="198"/>
      <c r="T36" s="198"/>
      <c r="U36" s="198"/>
    </row>
    <row r="37" spans="1:21" s="12" customFormat="1" x14ac:dyDescent="0.25">
      <c r="A37" s="218" t="s">
        <v>2969</v>
      </c>
      <c r="B37" s="64">
        <v>4.9400000000000004</v>
      </c>
      <c r="C37" s="64">
        <v>25.34</v>
      </c>
      <c r="D37" s="64">
        <v>18.59</v>
      </c>
      <c r="E37" s="64">
        <v>1.62</v>
      </c>
      <c r="F37" s="64">
        <v>4.18</v>
      </c>
      <c r="G37" s="64">
        <v>13.64</v>
      </c>
      <c r="H37" s="64">
        <v>4.7699999999999996</v>
      </c>
      <c r="I37" s="64">
        <v>0.48</v>
      </c>
      <c r="J37" s="64">
        <v>1.71</v>
      </c>
      <c r="K37" s="64">
        <v>126.41</v>
      </c>
      <c r="L37" s="64">
        <v>19.149999999999999</v>
      </c>
      <c r="M37" s="64">
        <v>84.49</v>
      </c>
      <c r="N37" s="64">
        <v>113.6</v>
      </c>
      <c r="O37" s="64">
        <v>0</v>
      </c>
      <c r="P37" s="64">
        <v>0.26</v>
      </c>
      <c r="Q37" s="64">
        <v>29.13</v>
      </c>
      <c r="R37" s="198"/>
      <c r="S37" s="198"/>
      <c r="T37" s="198"/>
      <c r="U37" s="198"/>
    </row>
    <row r="38" spans="1:21" s="12" customFormat="1" x14ac:dyDescent="0.25">
      <c r="A38" s="218" t="s">
        <v>2970</v>
      </c>
      <c r="B38" s="64">
        <v>5.36</v>
      </c>
      <c r="C38" s="64">
        <v>24.98</v>
      </c>
      <c r="D38" s="64">
        <v>18.73</v>
      </c>
      <c r="E38" s="64">
        <v>1.45</v>
      </c>
      <c r="F38" s="64">
        <v>2.74</v>
      </c>
      <c r="G38" s="64">
        <v>13.64</v>
      </c>
      <c r="H38" s="64">
        <v>4.7699999999999996</v>
      </c>
      <c r="I38" s="64">
        <v>0.49</v>
      </c>
      <c r="J38" s="64">
        <v>1.46</v>
      </c>
      <c r="K38" s="64">
        <v>126.12</v>
      </c>
      <c r="L38" s="64">
        <v>19.440000000000001</v>
      </c>
      <c r="M38" s="64">
        <v>83.62</v>
      </c>
      <c r="N38" s="64">
        <v>158.1</v>
      </c>
      <c r="O38" s="64">
        <v>0</v>
      </c>
      <c r="P38" s="64">
        <v>0.3</v>
      </c>
      <c r="Q38" s="64">
        <v>30.34</v>
      </c>
      <c r="R38" s="198"/>
      <c r="S38" s="198"/>
      <c r="T38" s="198"/>
      <c r="U38" s="198"/>
    </row>
    <row r="39" spans="1:21" s="12" customFormat="1" x14ac:dyDescent="0.25">
      <c r="A39" s="218" t="s">
        <v>2971</v>
      </c>
      <c r="B39" s="64">
        <v>5.67</v>
      </c>
      <c r="C39" s="64">
        <v>25.84</v>
      </c>
      <c r="D39" s="64">
        <v>19.46</v>
      </c>
      <c r="E39" s="64">
        <v>1.38</v>
      </c>
      <c r="F39" s="64">
        <v>3.05</v>
      </c>
      <c r="G39" s="64">
        <v>13.64</v>
      </c>
      <c r="H39" s="64">
        <v>4.7699999999999996</v>
      </c>
      <c r="I39" s="64">
        <v>0.5</v>
      </c>
      <c r="J39" s="64">
        <v>0.74</v>
      </c>
      <c r="K39" s="64">
        <v>176.53</v>
      </c>
      <c r="L39" s="64">
        <v>20.010000000000002</v>
      </c>
      <c r="M39" s="64">
        <v>81.58</v>
      </c>
      <c r="N39" s="64">
        <v>174.2</v>
      </c>
      <c r="O39" s="64">
        <v>0</v>
      </c>
      <c r="P39" s="64">
        <v>0.32</v>
      </c>
      <c r="Q39" s="64">
        <v>30.64</v>
      </c>
      <c r="R39" s="198"/>
      <c r="S39" s="198"/>
      <c r="T39" s="198"/>
      <c r="U39" s="198"/>
    </row>
    <row r="40" spans="1:21" s="12" customFormat="1" x14ac:dyDescent="0.25">
      <c r="A40" s="218" t="s">
        <v>2972</v>
      </c>
      <c r="B40" s="64">
        <v>6.1</v>
      </c>
      <c r="C40" s="64">
        <v>27.35</v>
      </c>
      <c r="D40" s="64">
        <v>20.63</v>
      </c>
      <c r="E40" s="64">
        <v>0.51</v>
      </c>
      <c r="F40" s="64">
        <v>3.21</v>
      </c>
      <c r="G40" s="64">
        <v>13.64</v>
      </c>
      <c r="H40" s="64">
        <v>4.7699999999999996</v>
      </c>
      <c r="I40" s="64">
        <v>0.51</v>
      </c>
      <c r="J40" s="64">
        <v>1.1200000000000001</v>
      </c>
      <c r="K40" s="64">
        <v>204.91</v>
      </c>
      <c r="L40" s="64">
        <v>20.329999999999998</v>
      </c>
      <c r="M40" s="64">
        <v>82.52</v>
      </c>
      <c r="N40" s="64">
        <v>166.1</v>
      </c>
      <c r="O40" s="64">
        <v>0</v>
      </c>
      <c r="P40" s="64">
        <v>0.33</v>
      </c>
      <c r="Q40" s="64">
        <v>29.91</v>
      </c>
      <c r="R40" s="198"/>
      <c r="S40" s="198"/>
      <c r="T40" s="198"/>
      <c r="U40" s="198"/>
    </row>
    <row r="41" spans="1:21" s="12" customFormat="1" x14ac:dyDescent="0.25">
      <c r="A41" s="218" t="s">
        <v>2973</v>
      </c>
      <c r="B41" s="64">
        <v>6.04</v>
      </c>
      <c r="C41" s="64">
        <v>28.05</v>
      </c>
      <c r="D41" s="64">
        <v>20.97</v>
      </c>
      <c r="E41" s="64">
        <v>1.58</v>
      </c>
      <c r="F41" s="64">
        <v>3.59</v>
      </c>
      <c r="G41" s="64">
        <v>20.71</v>
      </c>
      <c r="H41" s="64">
        <v>9</v>
      </c>
      <c r="I41" s="64">
        <v>0.51</v>
      </c>
      <c r="J41" s="64">
        <v>1.68</v>
      </c>
      <c r="K41" s="64">
        <v>212.15</v>
      </c>
      <c r="L41" s="64">
        <v>20.18</v>
      </c>
      <c r="M41" s="64">
        <v>84.5</v>
      </c>
      <c r="N41" s="64">
        <v>163.5</v>
      </c>
      <c r="O41" s="64">
        <v>0</v>
      </c>
      <c r="P41" s="64">
        <v>0.35</v>
      </c>
      <c r="Q41" s="64">
        <v>29.3</v>
      </c>
      <c r="R41" s="198"/>
      <c r="S41" s="198"/>
      <c r="T41" s="198"/>
      <c r="U41" s="198"/>
    </row>
    <row r="42" spans="1:21" s="12" customFormat="1" x14ac:dyDescent="0.25">
      <c r="A42" s="218" t="s">
        <v>2974</v>
      </c>
      <c r="B42" s="64">
        <v>5.59</v>
      </c>
      <c r="C42" s="64">
        <v>26.94</v>
      </c>
      <c r="D42" s="64">
        <v>20</v>
      </c>
      <c r="E42" s="64">
        <v>1.43</v>
      </c>
      <c r="F42" s="64">
        <v>3.64</v>
      </c>
      <c r="G42" s="64">
        <v>20.87</v>
      </c>
      <c r="H42" s="64">
        <v>9</v>
      </c>
      <c r="I42" s="64">
        <v>0.51</v>
      </c>
      <c r="J42" s="64">
        <v>1.65</v>
      </c>
      <c r="K42" s="64">
        <v>209.92</v>
      </c>
      <c r="L42" s="64">
        <v>20.32</v>
      </c>
      <c r="M42" s="64">
        <v>84.19</v>
      </c>
      <c r="N42" s="64">
        <v>191.3</v>
      </c>
      <c r="O42" s="64">
        <v>0</v>
      </c>
      <c r="P42" s="64">
        <v>0.35</v>
      </c>
      <c r="Q42" s="64">
        <v>28.86</v>
      </c>
      <c r="R42" s="198"/>
      <c r="S42" s="198"/>
      <c r="T42" s="198"/>
      <c r="U42" s="198"/>
    </row>
    <row r="43" spans="1:21" s="12" customFormat="1" x14ac:dyDescent="0.25">
      <c r="A43" s="218" t="s">
        <v>2975</v>
      </c>
      <c r="B43" s="64">
        <v>5.15</v>
      </c>
      <c r="C43" s="64">
        <v>26.88</v>
      </c>
      <c r="D43" s="64">
        <v>19.61</v>
      </c>
      <c r="E43" s="64">
        <v>1.47</v>
      </c>
      <c r="F43" s="64">
        <v>3.72</v>
      </c>
      <c r="G43" s="64">
        <v>20.87</v>
      </c>
      <c r="H43" s="64">
        <v>9</v>
      </c>
      <c r="I43" s="64">
        <v>0.51</v>
      </c>
      <c r="J43" s="64">
        <v>1.27</v>
      </c>
      <c r="K43" s="64">
        <v>213.72</v>
      </c>
      <c r="L43" s="64">
        <v>20.71</v>
      </c>
      <c r="M43" s="64">
        <v>83.76</v>
      </c>
      <c r="N43" s="64">
        <v>259.8</v>
      </c>
      <c r="O43" s="64">
        <v>0</v>
      </c>
      <c r="P43" s="64">
        <v>0.36</v>
      </c>
      <c r="Q43" s="64">
        <v>28.51</v>
      </c>
      <c r="R43" s="198"/>
      <c r="S43" s="198"/>
      <c r="T43" s="198"/>
      <c r="U43" s="198"/>
    </row>
    <row r="44" spans="1:21" s="12" customFormat="1" x14ac:dyDescent="0.25">
      <c r="A44" s="218" t="s">
        <v>2976</v>
      </c>
      <c r="B44" s="64">
        <v>4.9000000000000004</v>
      </c>
      <c r="C44" s="64">
        <v>26.4</v>
      </c>
      <c r="D44" s="64">
        <v>19.14</v>
      </c>
      <c r="E44" s="64">
        <v>1.57</v>
      </c>
      <c r="F44" s="64">
        <v>3.66</v>
      </c>
      <c r="G44" s="64">
        <v>20.87</v>
      </c>
      <c r="H44" s="64">
        <v>9</v>
      </c>
      <c r="I44" s="64">
        <v>0.51</v>
      </c>
      <c r="J44" s="64">
        <v>0.97</v>
      </c>
      <c r="K44" s="64">
        <v>231.94</v>
      </c>
      <c r="L44" s="64">
        <v>21.14</v>
      </c>
      <c r="M44" s="64">
        <v>81.69</v>
      </c>
      <c r="N44" s="64">
        <v>294.60000000000002</v>
      </c>
      <c r="O44" s="64">
        <v>0</v>
      </c>
      <c r="P44" s="64">
        <v>0.36</v>
      </c>
      <c r="Q44" s="64">
        <v>28.1</v>
      </c>
      <c r="R44" s="198"/>
      <c r="S44" s="198"/>
      <c r="T44" s="198"/>
      <c r="U44" s="198"/>
    </row>
    <row r="45" spans="1:21" s="12" customFormat="1" x14ac:dyDescent="0.25">
      <c r="A45" s="218" t="s">
        <v>2977</v>
      </c>
      <c r="B45" s="64">
        <v>4.6100000000000003</v>
      </c>
      <c r="C45" s="64">
        <v>27.07</v>
      </c>
      <c r="D45" s="64">
        <v>19.28</v>
      </c>
      <c r="E45" s="64">
        <v>1.04</v>
      </c>
      <c r="F45" s="64">
        <v>3.89</v>
      </c>
      <c r="G45" s="64">
        <v>13.3</v>
      </c>
      <c r="H45" s="64">
        <v>7.93</v>
      </c>
      <c r="I45" s="64">
        <v>0.5</v>
      </c>
      <c r="J45" s="64">
        <v>1.3</v>
      </c>
      <c r="K45" s="64">
        <v>224</v>
      </c>
      <c r="L45" s="64">
        <v>21.59</v>
      </c>
      <c r="M45" s="64">
        <v>80.069999999999993</v>
      </c>
      <c r="N45" s="64">
        <v>329.3</v>
      </c>
      <c r="O45" s="64">
        <v>0</v>
      </c>
      <c r="P45" s="64">
        <v>0.35</v>
      </c>
      <c r="Q45" s="64">
        <v>27.96</v>
      </c>
      <c r="R45" s="198"/>
      <c r="S45" s="198"/>
      <c r="T45" s="198"/>
      <c r="U45" s="198"/>
    </row>
    <row r="46" spans="1:21" s="12" customFormat="1" x14ac:dyDescent="0.25">
      <c r="A46" s="218" t="s">
        <v>2978</v>
      </c>
      <c r="B46" s="64">
        <v>3.95</v>
      </c>
      <c r="C46" s="64">
        <v>25.72</v>
      </c>
      <c r="D46" s="64">
        <v>18</v>
      </c>
      <c r="E46" s="64">
        <v>1.1200000000000001</v>
      </c>
      <c r="F46" s="64">
        <v>4.12</v>
      </c>
      <c r="G46" s="64">
        <v>13.12</v>
      </c>
      <c r="H46" s="64">
        <v>7.93</v>
      </c>
      <c r="I46" s="64">
        <v>0.5</v>
      </c>
      <c r="J46" s="64">
        <v>1.34</v>
      </c>
      <c r="K46" s="64">
        <v>203.59</v>
      </c>
      <c r="L46" s="64">
        <v>22.53</v>
      </c>
      <c r="M46" s="64">
        <v>76.14</v>
      </c>
      <c r="N46" s="64">
        <v>47.8</v>
      </c>
      <c r="O46" s="64">
        <v>0</v>
      </c>
      <c r="P46" s="64">
        <v>0.35</v>
      </c>
      <c r="Q46" s="64">
        <v>27.57</v>
      </c>
      <c r="R46" s="198"/>
      <c r="S46" s="198"/>
      <c r="T46" s="198"/>
      <c r="U46" s="198"/>
    </row>
    <row r="47" spans="1:21" s="12" customFormat="1" x14ac:dyDescent="0.25">
      <c r="A47" s="218" t="s">
        <v>2979</v>
      </c>
      <c r="B47" s="64">
        <v>3.48</v>
      </c>
      <c r="C47" s="64">
        <v>23.3</v>
      </c>
      <c r="D47" s="64">
        <v>16.3</v>
      </c>
      <c r="E47" s="64">
        <v>1.29</v>
      </c>
      <c r="F47" s="64">
        <v>4.04</v>
      </c>
      <c r="G47" s="64">
        <v>13.12</v>
      </c>
      <c r="H47" s="64">
        <v>7.93</v>
      </c>
      <c r="I47" s="64">
        <v>0.5</v>
      </c>
      <c r="J47" s="64">
        <v>1.21</v>
      </c>
      <c r="K47" s="64">
        <v>213.19</v>
      </c>
      <c r="L47" s="64">
        <v>22.89</v>
      </c>
      <c r="M47" s="64">
        <v>74</v>
      </c>
      <c r="N47" s="64">
        <v>0.9</v>
      </c>
      <c r="O47" s="64">
        <v>0</v>
      </c>
      <c r="P47" s="64">
        <v>0.35</v>
      </c>
      <c r="Q47" s="64">
        <v>27.94</v>
      </c>
      <c r="R47" s="198"/>
      <c r="S47" s="198"/>
      <c r="T47" s="198"/>
      <c r="U47" s="198"/>
    </row>
    <row r="48" spans="1:21" s="12" customFormat="1" x14ac:dyDescent="0.25">
      <c r="A48" s="218" t="s">
        <v>2980</v>
      </c>
      <c r="B48" s="64">
        <v>3.27</v>
      </c>
      <c r="C48" s="64">
        <v>22.82</v>
      </c>
      <c r="D48" s="64">
        <v>15.87</v>
      </c>
      <c r="E48" s="64">
        <v>1.44</v>
      </c>
      <c r="F48" s="64">
        <v>3.99</v>
      </c>
      <c r="G48" s="64">
        <v>13.12</v>
      </c>
      <c r="H48" s="64">
        <v>7.93</v>
      </c>
      <c r="I48" s="64">
        <v>0.5</v>
      </c>
      <c r="J48" s="64">
        <v>0.91</v>
      </c>
      <c r="K48" s="64">
        <v>210.58</v>
      </c>
      <c r="L48" s="64">
        <v>23.23</v>
      </c>
      <c r="M48" s="64">
        <v>73.290000000000006</v>
      </c>
      <c r="N48" s="64">
        <v>0</v>
      </c>
      <c r="O48" s="64">
        <v>0</v>
      </c>
      <c r="P48" s="64">
        <v>0.35</v>
      </c>
      <c r="Q48" s="64">
        <v>28.03</v>
      </c>
      <c r="R48" s="198"/>
      <c r="S48" s="198"/>
      <c r="T48" s="198"/>
      <c r="U48" s="198"/>
    </row>
    <row r="49" spans="1:21" s="12" customFormat="1" x14ac:dyDescent="0.25">
      <c r="A49" s="218" t="s">
        <v>2981</v>
      </c>
      <c r="B49" s="64">
        <v>3.21</v>
      </c>
      <c r="C49" s="64">
        <v>22.02</v>
      </c>
      <c r="D49" s="64">
        <v>15.37</v>
      </c>
      <c r="E49" s="64">
        <v>1.07</v>
      </c>
      <c r="F49" s="64">
        <v>5.35</v>
      </c>
      <c r="G49" s="220" t="s">
        <v>43</v>
      </c>
      <c r="H49" s="220" t="s">
        <v>43</v>
      </c>
      <c r="I49" s="64">
        <v>0.5</v>
      </c>
      <c r="J49" s="64">
        <v>0.64</v>
      </c>
      <c r="K49" s="64">
        <v>204.75</v>
      </c>
      <c r="L49" s="64">
        <v>23.86</v>
      </c>
      <c r="M49" s="64">
        <v>70.760000000000005</v>
      </c>
      <c r="N49" s="64">
        <v>0</v>
      </c>
      <c r="O49" s="64">
        <v>0</v>
      </c>
      <c r="P49" s="64">
        <v>0.35</v>
      </c>
      <c r="Q49" s="64">
        <v>27.63</v>
      </c>
      <c r="R49" s="198"/>
      <c r="S49" s="198"/>
      <c r="T49" s="198"/>
      <c r="U49" s="198"/>
    </row>
    <row r="50" spans="1:21" s="12" customFormat="1" x14ac:dyDescent="0.25">
      <c r="A50" s="218" t="s">
        <v>2982</v>
      </c>
      <c r="B50" s="64">
        <v>3.2</v>
      </c>
      <c r="C50" s="64">
        <v>20.239999999999998</v>
      </c>
      <c r="D50" s="64">
        <v>14.38</v>
      </c>
      <c r="E50" s="64">
        <v>1.1499999999999999</v>
      </c>
      <c r="F50" s="64">
        <v>5.46</v>
      </c>
      <c r="G50" s="220" t="s">
        <v>43</v>
      </c>
      <c r="H50" s="220" t="s">
        <v>43</v>
      </c>
      <c r="I50" s="64">
        <v>0.5</v>
      </c>
      <c r="J50" s="64">
        <v>0.54</v>
      </c>
      <c r="K50" s="64">
        <v>240.97</v>
      </c>
      <c r="L50" s="64">
        <v>24.23</v>
      </c>
      <c r="M50" s="64">
        <v>69.05</v>
      </c>
      <c r="N50" s="64">
        <v>0</v>
      </c>
      <c r="O50" s="64">
        <v>0</v>
      </c>
      <c r="P50" s="64">
        <v>0.35</v>
      </c>
      <c r="Q50" s="64">
        <v>27.31</v>
      </c>
      <c r="R50" s="198"/>
      <c r="S50" s="198"/>
      <c r="T50" s="198"/>
      <c r="U50" s="198"/>
    </row>
    <row r="51" spans="1:21" s="12" customFormat="1" x14ac:dyDescent="0.25">
      <c r="A51" s="218" t="s">
        <v>2983</v>
      </c>
      <c r="B51" s="64">
        <v>2.96</v>
      </c>
      <c r="C51" s="64">
        <v>23.49</v>
      </c>
      <c r="D51" s="64">
        <v>15.98</v>
      </c>
      <c r="E51" s="64">
        <v>1</v>
      </c>
      <c r="F51" s="64">
        <v>4.17</v>
      </c>
      <c r="G51" s="220" t="s">
        <v>43</v>
      </c>
      <c r="H51" s="220" t="s">
        <v>43</v>
      </c>
      <c r="I51" s="64">
        <v>0.5</v>
      </c>
      <c r="J51" s="64">
        <v>0.24</v>
      </c>
      <c r="K51" s="64">
        <v>281.63</v>
      </c>
      <c r="L51" s="64">
        <v>24.86</v>
      </c>
      <c r="M51" s="64">
        <v>67.510000000000005</v>
      </c>
      <c r="N51" s="64">
        <v>0</v>
      </c>
      <c r="O51" s="64">
        <v>0</v>
      </c>
      <c r="P51" s="64">
        <v>0.35</v>
      </c>
      <c r="Q51" s="64">
        <v>27.54</v>
      </c>
      <c r="R51" s="198"/>
      <c r="S51" s="198"/>
      <c r="T51" s="198"/>
      <c r="U51" s="198"/>
    </row>
    <row r="52" spans="1:21" s="12" customFormat="1" x14ac:dyDescent="0.25">
      <c r="A52" s="218" t="s">
        <v>2984</v>
      </c>
      <c r="B52" s="64">
        <v>2.76</v>
      </c>
      <c r="C52" s="64">
        <v>23.39</v>
      </c>
      <c r="D52" s="64">
        <v>15.77</v>
      </c>
      <c r="E52" s="64">
        <v>0.92</v>
      </c>
      <c r="F52" s="64">
        <v>4.46</v>
      </c>
      <c r="G52" s="220" t="s">
        <v>43</v>
      </c>
      <c r="H52" s="220" t="s">
        <v>43</v>
      </c>
      <c r="I52" s="64">
        <v>0.5</v>
      </c>
      <c r="J52" s="64">
        <v>0.5</v>
      </c>
      <c r="K52" s="64">
        <v>227.24</v>
      </c>
      <c r="L52" s="64">
        <v>26.47</v>
      </c>
      <c r="M52" s="64">
        <v>60.73</v>
      </c>
      <c r="N52" s="64">
        <v>0.4</v>
      </c>
      <c r="O52" s="64">
        <v>0</v>
      </c>
      <c r="P52" s="64">
        <v>0.36</v>
      </c>
      <c r="Q52" s="64">
        <v>26.18</v>
      </c>
      <c r="R52" s="198"/>
      <c r="S52" s="198"/>
      <c r="T52" s="198"/>
      <c r="U52" s="198"/>
    </row>
    <row r="53" spans="1:21" s="12" customFormat="1" x14ac:dyDescent="0.25">
      <c r="A53" s="218" t="s">
        <v>2985</v>
      </c>
      <c r="B53" s="64">
        <v>2.39</v>
      </c>
      <c r="C53" s="64">
        <v>23.08</v>
      </c>
      <c r="D53" s="64">
        <v>15.3</v>
      </c>
      <c r="E53" s="64">
        <v>1.4</v>
      </c>
      <c r="F53" s="64">
        <v>4.62</v>
      </c>
      <c r="G53" s="64">
        <v>18.829999999999998</v>
      </c>
      <c r="H53" s="64">
        <v>7.38</v>
      </c>
      <c r="I53" s="64">
        <v>0.5</v>
      </c>
      <c r="J53" s="64">
        <v>1.31</v>
      </c>
      <c r="K53" s="64">
        <v>189.6</v>
      </c>
      <c r="L53" s="64">
        <v>25.31</v>
      </c>
      <c r="M53" s="64">
        <v>63.94</v>
      </c>
      <c r="N53" s="64">
        <v>1</v>
      </c>
      <c r="O53" s="64">
        <v>0</v>
      </c>
      <c r="P53" s="64">
        <v>0.35</v>
      </c>
      <c r="Q53" s="64">
        <v>25.81</v>
      </c>
      <c r="R53" s="198"/>
      <c r="S53" s="198"/>
      <c r="T53" s="198"/>
      <c r="U53" s="198"/>
    </row>
    <row r="54" spans="1:21" s="12" customFormat="1" x14ac:dyDescent="0.25">
      <c r="A54" s="218" t="s">
        <v>2986</v>
      </c>
      <c r="B54" s="64">
        <v>2.21</v>
      </c>
      <c r="C54" s="64">
        <v>21.62</v>
      </c>
      <c r="D54" s="64">
        <v>14.36</v>
      </c>
      <c r="E54" s="64">
        <v>1.0900000000000001</v>
      </c>
      <c r="F54" s="64">
        <v>4.6900000000000004</v>
      </c>
      <c r="G54" s="64">
        <v>19.239999999999998</v>
      </c>
      <c r="H54" s="64">
        <v>7.38</v>
      </c>
      <c r="I54" s="64">
        <v>0.51</v>
      </c>
      <c r="J54" s="64">
        <v>1.03</v>
      </c>
      <c r="K54" s="64">
        <v>211.15</v>
      </c>
      <c r="L54" s="64">
        <v>25.32</v>
      </c>
      <c r="M54" s="64">
        <v>62.75</v>
      </c>
      <c r="N54" s="64">
        <v>0</v>
      </c>
      <c r="O54" s="64">
        <v>0</v>
      </c>
      <c r="P54" s="64">
        <v>0.35</v>
      </c>
      <c r="Q54" s="64">
        <v>25.17</v>
      </c>
      <c r="R54" s="198"/>
      <c r="S54" s="198"/>
      <c r="T54" s="198"/>
      <c r="U54" s="198"/>
    </row>
    <row r="55" spans="1:21" s="12" customFormat="1" x14ac:dyDescent="0.25">
      <c r="A55" s="218" t="s">
        <v>2987</v>
      </c>
      <c r="B55" s="64">
        <v>2.1</v>
      </c>
      <c r="C55" s="64">
        <v>21.15</v>
      </c>
      <c r="D55" s="64">
        <v>14</v>
      </c>
      <c r="E55" s="64">
        <v>1.6</v>
      </c>
      <c r="F55" s="64">
        <v>5.24</v>
      </c>
      <c r="G55" s="64">
        <v>19.239999999999998</v>
      </c>
      <c r="H55" s="64">
        <v>7.38</v>
      </c>
      <c r="I55" s="64">
        <v>0.51</v>
      </c>
      <c r="J55" s="64">
        <v>1.55</v>
      </c>
      <c r="K55" s="64">
        <v>199.48</v>
      </c>
      <c r="L55" s="64">
        <v>25.71</v>
      </c>
      <c r="M55" s="64">
        <v>60.51</v>
      </c>
      <c r="N55" s="64">
        <v>0</v>
      </c>
      <c r="O55" s="64">
        <v>0</v>
      </c>
      <c r="P55" s="64">
        <v>0.35</v>
      </c>
      <c r="Q55" s="64">
        <v>24.4</v>
      </c>
      <c r="R55" s="198"/>
      <c r="S55" s="198"/>
      <c r="T55" s="198"/>
      <c r="U55" s="198"/>
    </row>
    <row r="56" spans="1:21" s="12" customFormat="1" x14ac:dyDescent="0.25">
      <c r="A56" s="218" t="s">
        <v>2988</v>
      </c>
      <c r="B56" s="64">
        <v>2</v>
      </c>
      <c r="C56" s="64">
        <v>20.85</v>
      </c>
      <c r="D56" s="64">
        <v>13.76</v>
      </c>
      <c r="E56" s="64">
        <v>0.74</v>
      </c>
      <c r="F56" s="64">
        <v>4.8600000000000003</v>
      </c>
      <c r="G56" s="64">
        <v>19.239999999999998</v>
      </c>
      <c r="H56" s="64">
        <v>7.38</v>
      </c>
      <c r="I56" s="64">
        <v>0.51</v>
      </c>
      <c r="J56" s="64">
        <v>1.4</v>
      </c>
      <c r="K56" s="64">
        <v>204.49</v>
      </c>
      <c r="L56" s="64">
        <v>26.38</v>
      </c>
      <c r="M56" s="64">
        <v>59.33</v>
      </c>
      <c r="N56" s="64">
        <v>0</v>
      </c>
      <c r="O56" s="64">
        <v>0</v>
      </c>
      <c r="P56" s="64">
        <v>0.34</v>
      </c>
      <c r="Q56" s="64">
        <v>24.15</v>
      </c>
      <c r="R56" s="198"/>
      <c r="S56" s="198"/>
      <c r="T56" s="198"/>
      <c r="U56" s="198"/>
    </row>
    <row r="57" spans="1:21" s="12" customFormat="1" x14ac:dyDescent="0.25">
      <c r="A57" s="218" t="s">
        <v>2989</v>
      </c>
      <c r="B57" s="64">
        <v>1.98</v>
      </c>
      <c r="C57" s="64">
        <v>20.309999999999999</v>
      </c>
      <c r="D57" s="64">
        <v>13.44</v>
      </c>
      <c r="E57" s="64">
        <v>1.3</v>
      </c>
      <c r="F57" s="64">
        <v>5.57</v>
      </c>
      <c r="G57" s="64">
        <v>14.36</v>
      </c>
      <c r="H57" s="64">
        <v>7.07</v>
      </c>
      <c r="I57" s="64">
        <v>0.51</v>
      </c>
      <c r="J57" s="64">
        <v>1.1000000000000001</v>
      </c>
      <c r="K57" s="64">
        <v>212.69</v>
      </c>
      <c r="L57" s="64">
        <v>27.02</v>
      </c>
      <c r="M57" s="64">
        <v>57.34</v>
      </c>
      <c r="N57" s="64">
        <v>0</v>
      </c>
      <c r="O57" s="64">
        <v>0</v>
      </c>
      <c r="P57" s="64">
        <v>0.34</v>
      </c>
      <c r="Q57" s="64">
        <v>23.82</v>
      </c>
      <c r="R57" s="198"/>
      <c r="S57" s="198"/>
      <c r="T57" s="198"/>
      <c r="U57" s="198"/>
    </row>
    <row r="58" spans="1:21" s="12" customFormat="1" x14ac:dyDescent="0.25">
      <c r="A58" s="218" t="s">
        <v>2990</v>
      </c>
      <c r="B58" s="64">
        <v>1.98</v>
      </c>
      <c r="C58" s="64">
        <v>21.83</v>
      </c>
      <c r="D58" s="64">
        <v>14.28</v>
      </c>
      <c r="E58" s="64">
        <v>1</v>
      </c>
      <c r="F58" s="64">
        <v>7.33</v>
      </c>
      <c r="G58" s="64">
        <v>14.25</v>
      </c>
      <c r="H58" s="64">
        <v>7.07</v>
      </c>
      <c r="I58" s="64">
        <v>0.51</v>
      </c>
      <c r="J58" s="64">
        <v>0.31</v>
      </c>
      <c r="K58" s="64">
        <v>255.07</v>
      </c>
      <c r="L58" s="64">
        <v>27.31</v>
      </c>
      <c r="M58" s="64">
        <v>56.59</v>
      </c>
      <c r="N58" s="64">
        <v>0</v>
      </c>
      <c r="O58" s="64">
        <v>0</v>
      </c>
      <c r="P58" s="64">
        <v>0.35</v>
      </c>
      <c r="Q58" s="64">
        <v>24.62</v>
      </c>
      <c r="R58" s="198"/>
      <c r="S58" s="198"/>
      <c r="T58" s="198"/>
      <c r="U58" s="198"/>
    </row>
    <row r="59" spans="1:21" s="12" customFormat="1" x14ac:dyDescent="0.25">
      <c r="A59" s="218" t="s">
        <v>2991</v>
      </c>
      <c r="B59" s="64">
        <v>2.0699999999999998</v>
      </c>
      <c r="C59" s="64">
        <v>18.87</v>
      </c>
      <c r="D59" s="64">
        <v>12.72</v>
      </c>
      <c r="E59" s="64">
        <v>0.97</v>
      </c>
      <c r="F59" s="64">
        <v>9.2899999999999991</v>
      </c>
      <c r="G59" s="64">
        <v>14.25</v>
      </c>
      <c r="H59" s="64">
        <v>7.07</v>
      </c>
      <c r="I59" s="64">
        <v>0.5</v>
      </c>
      <c r="J59" s="64">
        <v>0.57999999999999996</v>
      </c>
      <c r="K59" s="64">
        <v>196.78</v>
      </c>
      <c r="L59" s="64">
        <v>28.42</v>
      </c>
      <c r="M59" s="64">
        <v>53.92</v>
      </c>
      <c r="N59" s="64">
        <v>0</v>
      </c>
      <c r="O59" s="64">
        <v>0</v>
      </c>
      <c r="P59" s="64">
        <v>0.35</v>
      </c>
      <c r="Q59" s="64">
        <v>22.38</v>
      </c>
      <c r="R59" s="198"/>
      <c r="S59" s="198"/>
      <c r="T59" s="198"/>
      <c r="U59" s="198"/>
    </row>
    <row r="60" spans="1:21" s="12" customFormat="1" x14ac:dyDescent="0.25">
      <c r="A60" s="218" t="s">
        <v>2992</v>
      </c>
      <c r="B60" s="64">
        <v>2.13</v>
      </c>
      <c r="C60" s="64">
        <v>21.09</v>
      </c>
      <c r="D60" s="64">
        <v>14</v>
      </c>
      <c r="E60" s="64">
        <v>1.56</v>
      </c>
      <c r="F60" s="64">
        <v>7.73</v>
      </c>
      <c r="G60" s="64">
        <v>14.25</v>
      </c>
      <c r="H60" s="64">
        <v>7.07</v>
      </c>
      <c r="I60" s="64">
        <v>0.5</v>
      </c>
      <c r="J60" s="64">
        <v>1.1299999999999999</v>
      </c>
      <c r="K60" s="64">
        <v>196.2</v>
      </c>
      <c r="L60" s="64">
        <v>28.64</v>
      </c>
      <c r="M60" s="64">
        <v>51.8</v>
      </c>
      <c r="N60" s="64">
        <v>0</v>
      </c>
      <c r="O60" s="64">
        <v>0</v>
      </c>
      <c r="P60" s="64">
        <v>0.36</v>
      </c>
      <c r="Q60" s="64">
        <v>24.83</v>
      </c>
      <c r="R60" s="198"/>
      <c r="S60" s="198"/>
      <c r="T60" s="198"/>
      <c r="U60" s="198"/>
    </row>
    <row r="61" spans="1:21" s="12" customFormat="1" x14ac:dyDescent="0.25">
      <c r="A61" s="218" t="s">
        <v>2993</v>
      </c>
      <c r="B61" s="64">
        <v>2.0499999999999998</v>
      </c>
      <c r="C61" s="64">
        <v>19.100000000000001</v>
      </c>
      <c r="D61" s="64">
        <v>12.83</v>
      </c>
      <c r="E61" s="64">
        <v>1.02</v>
      </c>
      <c r="F61" s="64">
        <v>8.84</v>
      </c>
      <c r="G61" s="64">
        <v>24.66</v>
      </c>
      <c r="H61" s="64">
        <v>7.9</v>
      </c>
      <c r="I61" s="64">
        <v>0.51</v>
      </c>
      <c r="J61" s="64">
        <v>0.47</v>
      </c>
      <c r="K61" s="64">
        <v>202.39</v>
      </c>
      <c r="L61" s="64">
        <v>29.21</v>
      </c>
      <c r="M61" s="64">
        <v>49.07</v>
      </c>
      <c r="N61" s="64">
        <v>0</v>
      </c>
      <c r="O61" s="64">
        <v>0</v>
      </c>
      <c r="P61" s="64">
        <v>0.35</v>
      </c>
      <c r="Q61" s="64">
        <v>23.9</v>
      </c>
      <c r="R61" s="198"/>
      <c r="S61" s="198"/>
      <c r="T61" s="198"/>
      <c r="U61" s="198"/>
    </row>
    <row r="62" spans="1:21" s="12" customFormat="1" x14ac:dyDescent="0.25">
      <c r="A62" s="218" t="s">
        <v>2994</v>
      </c>
      <c r="B62" s="64">
        <v>1.9</v>
      </c>
      <c r="C62" s="64">
        <v>20.76</v>
      </c>
      <c r="D62" s="64">
        <v>13.62</v>
      </c>
      <c r="E62" s="64">
        <v>1.25</v>
      </c>
      <c r="F62" s="64">
        <v>7.62</v>
      </c>
      <c r="G62" s="64">
        <v>24.9</v>
      </c>
      <c r="H62" s="64">
        <v>7.9</v>
      </c>
      <c r="I62" s="64">
        <v>0.51</v>
      </c>
      <c r="J62" s="64">
        <v>1.43</v>
      </c>
      <c r="K62" s="64">
        <v>196.5</v>
      </c>
      <c r="L62" s="64">
        <v>29.03</v>
      </c>
      <c r="M62" s="64">
        <v>48.94</v>
      </c>
      <c r="N62" s="64">
        <v>0.5</v>
      </c>
      <c r="O62" s="64">
        <v>0</v>
      </c>
      <c r="P62" s="64">
        <v>0.37</v>
      </c>
      <c r="Q62" s="64">
        <v>25.51</v>
      </c>
      <c r="R62" s="198"/>
      <c r="S62" s="198"/>
      <c r="T62" s="198"/>
      <c r="U62" s="198"/>
    </row>
    <row r="63" spans="1:21" s="12" customFormat="1" x14ac:dyDescent="0.25">
      <c r="A63" s="218" t="s">
        <v>2995</v>
      </c>
      <c r="B63" s="64">
        <v>1.87</v>
      </c>
      <c r="C63" s="64">
        <v>22.01</v>
      </c>
      <c r="D63" s="64">
        <v>14.29</v>
      </c>
      <c r="E63" s="64">
        <v>0.91</v>
      </c>
      <c r="F63" s="64">
        <v>7.05</v>
      </c>
      <c r="G63" s="64">
        <v>24.9</v>
      </c>
      <c r="H63" s="64">
        <v>7.9</v>
      </c>
      <c r="I63" s="64">
        <v>0.51</v>
      </c>
      <c r="J63" s="64">
        <v>1.37</v>
      </c>
      <c r="K63" s="64">
        <v>189.67</v>
      </c>
      <c r="L63" s="64">
        <v>29.2</v>
      </c>
      <c r="M63" s="64">
        <v>47.74</v>
      </c>
      <c r="N63" s="64">
        <v>0.8</v>
      </c>
      <c r="O63" s="64">
        <v>0</v>
      </c>
      <c r="P63" s="64">
        <v>0.37</v>
      </c>
      <c r="Q63" s="64">
        <v>25.3</v>
      </c>
      <c r="R63" s="198"/>
      <c r="S63" s="198"/>
      <c r="T63" s="198"/>
      <c r="U63" s="198"/>
    </row>
    <row r="64" spans="1:21" s="12" customFormat="1" x14ac:dyDescent="0.25">
      <c r="A64" s="218" t="s">
        <v>2996</v>
      </c>
      <c r="B64" s="64">
        <v>1.8</v>
      </c>
      <c r="C64" s="64">
        <v>19.02</v>
      </c>
      <c r="D64" s="64">
        <v>12.58</v>
      </c>
      <c r="E64" s="64">
        <v>0.94</v>
      </c>
      <c r="F64" s="64">
        <v>8.48</v>
      </c>
      <c r="G64" s="64">
        <v>24.9</v>
      </c>
      <c r="H64" s="64">
        <v>7.9</v>
      </c>
      <c r="I64" s="64">
        <v>0.51</v>
      </c>
      <c r="J64" s="64">
        <v>1.34</v>
      </c>
      <c r="K64" s="64">
        <v>196.12</v>
      </c>
      <c r="L64" s="64">
        <v>29.66</v>
      </c>
      <c r="M64" s="64">
        <v>47.13</v>
      </c>
      <c r="N64" s="64">
        <v>0</v>
      </c>
      <c r="O64" s="64">
        <v>0</v>
      </c>
      <c r="P64" s="64">
        <v>0.37</v>
      </c>
      <c r="Q64" s="64">
        <v>21.95</v>
      </c>
      <c r="R64" s="198"/>
      <c r="S64" s="198"/>
      <c r="T64" s="198"/>
      <c r="U64" s="198"/>
    </row>
    <row r="65" spans="1:21" s="12" customFormat="1" x14ac:dyDescent="0.25">
      <c r="A65" s="218" t="s">
        <v>2997</v>
      </c>
      <c r="B65" s="64">
        <v>1.68</v>
      </c>
      <c r="C65" s="64">
        <v>19.46</v>
      </c>
      <c r="D65" s="64">
        <v>12.73</v>
      </c>
      <c r="E65" s="64">
        <v>1.46</v>
      </c>
      <c r="F65" s="64">
        <v>6.84</v>
      </c>
      <c r="G65" s="64">
        <v>10.59</v>
      </c>
      <c r="H65" s="64">
        <v>5.56</v>
      </c>
      <c r="I65" s="64">
        <v>0.52</v>
      </c>
      <c r="J65" s="64">
        <v>0.53</v>
      </c>
      <c r="K65" s="64">
        <v>204.69</v>
      </c>
      <c r="L65" s="64">
        <v>30.07</v>
      </c>
      <c r="M65" s="64">
        <v>45.61</v>
      </c>
      <c r="N65" s="64">
        <v>0</v>
      </c>
      <c r="O65" s="64">
        <v>0</v>
      </c>
      <c r="P65" s="64">
        <v>0.38</v>
      </c>
      <c r="Q65" s="64">
        <v>21.99</v>
      </c>
      <c r="R65" s="198"/>
      <c r="S65" s="198"/>
      <c r="T65" s="198"/>
      <c r="U65" s="198"/>
    </row>
    <row r="66" spans="1:21" s="12" customFormat="1" x14ac:dyDescent="0.25">
      <c r="A66" s="218" t="s">
        <v>2998</v>
      </c>
      <c r="B66" s="64">
        <v>1.66</v>
      </c>
      <c r="C66" s="64">
        <v>20.14</v>
      </c>
      <c r="D66" s="64">
        <v>13.09</v>
      </c>
      <c r="E66" s="64">
        <v>1.21</v>
      </c>
      <c r="F66" s="64">
        <v>7.43</v>
      </c>
      <c r="G66" s="64">
        <v>10.1</v>
      </c>
      <c r="H66" s="64">
        <v>5.56</v>
      </c>
      <c r="I66" s="64">
        <v>0.51</v>
      </c>
      <c r="J66" s="64">
        <v>0.9</v>
      </c>
      <c r="K66" s="64">
        <v>171.19</v>
      </c>
      <c r="L66" s="64">
        <v>30.16</v>
      </c>
      <c r="M66" s="64">
        <v>44.23</v>
      </c>
      <c r="N66" s="64">
        <v>0</v>
      </c>
      <c r="O66" s="64">
        <v>0</v>
      </c>
      <c r="P66" s="64">
        <v>0.37</v>
      </c>
      <c r="Q66" s="64">
        <v>22.61</v>
      </c>
      <c r="R66" s="198"/>
      <c r="S66" s="198"/>
      <c r="T66" s="198"/>
      <c r="U66" s="198"/>
    </row>
    <row r="67" spans="1:21" s="12" customFormat="1" x14ac:dyDescent="0.25">
      <c r="A67" s="218" t="s">
        <v>2999</v>
      </c>
      <c r="B67" s="64">
        <v>1.66</v>
      </c>
      <c r="C67" s="64">
        <v>17.89</v>
      </c>
      <c r="D67" s="64">
        <v>11.86</v>
      </c>
      <c r="E67" s="64">
        <v>1.37</v>
      </c>
      <c r="F67" s="64">
        <v>9.24</v>
      </c>
      <c r="G67" s="64">
        <v>10.1</v>
      </c>
      <c r="H67" s="64">
        <v>5.56</v>
      </c>
      <c r="I67" s="64">
        <v>0.51</v>
      </c>
      <c r="J67" s="64">
        <v>0.89</v>
      </c>
      <c r="K67" s="64">
        <v>201.8</v>
      </c>
      <c r="L67" s="64">
        <v>29.9</v>
      </c>
      <c r="M67" s="64">
        <v>43.5</v>
      </c>
      <c r="N67" s="64">
        <v>0</v>
      </c>
      <c r="O67" s="64">
        <v>0</v>
      </c>
      <c r="P67" s="64">
        <v>0.36</v>
      </c>
      <c r="Q67" s="64">
        <v>19.8</v>
      </c>
      <c r="R67" s="198"/>
      <c r="S67" s="198"/>
      <c r="T67" s="198"/>
      <c r="U67" s="198"/>
    </row>
    <row r="68" spans="1:21" s="12" customFormat="1" x14ac:dyDescent="0.25">
      <c r="A68" s="218" t="s">
        <v>3000</v>
      </c>
      <c r="B68" s="64">
        <v>1.65</v>
      </c>
      <c r="C68" s="64">
        <v>20.82</v>
      </c>
      <c r="D68" s="64">
        <v>13.46</v>
      </c>
      <c r="E68" s="64">
        <v>1.47</v>
      </c>
      <c r="F68" s="64">
        <v>6.68</v>
      </c>
      <c r="G68" s="64">
        <v>10.1</v>
      </c>
      <c r="H68" s="64">
        <v>5.56</v>
      </c>
      <c r="I68" s="64">
        <v>0.51</v>
      </c>
      <c r="J68" s="64">
        <v>1.02</v>
      </c>
      <c r="K68" s="64">
        <v>204.72</v>
      </c>
      <c r="L68" s="64">
        <v>29.73</v>
      </c>
      <c r="M68" s="64">
        <v>42.95</v>
      </c>
      <c r="N68" s="64">
        <v>0</v>
      </c>
      <c r="O68" s="64">
        <v>0</v>
      </c>
      <c r="P68" s="64">
        <v>0.37</v>
      </c>
      <c r="Q68" s="64">
        <v>23.78</v>
      </c>
      <c r="R68" s="198"/>
      <c r="S68" s="198"/>
      <c r="T68" s="198"/>
      <c r="U68" s="198"/>
    </row>
    <row r="69" spans="1:21" s="12" customFormat="1" x14ac:dyDescent="0.25">
      <c r="A69" s="218" t="s">
        <v>3001</v>
      </c>
      <c r="B69" s="64">
        <v>1.6</v>
      </c>
      <c r="C69" s="64">
        <v>18.48</v>
      </c>
      <c r="D69" s="64">
        <v>12.13</v>
      </c>
      <c r="E69" s="64">
        <v>1.39</v>
      </c>
      <c r="F69" s="64">
        <v>8.9499999999999993</v>
      </c>
      <c r="G69" s="64">
        <v>8.41</v>
      </c>
      <c r="H69" s="64">
        <v>5.22</v>
      </c>
      <c r="I69" s="64">
        <v>0.51</v>
      </c>
      <c r="J69" s="64">
        <v>0.67</v>
      </c>
      <c r="K69" s="64">
        <v>217.57</v>
      </c>
      <c r="L69" s="64">
        <v>29.63</v>
      </c>
      <c r="M69" s="64">
        <v>41.71</v>
      </c>
      <c r="N69" s="64">
        <v>3.5</v>
      </c>
      <c r="O69" s="64">
        <v>0</v>
      </c>
      <c r="P69" s="64">
        <v>0.36</v>
      </c>
      <c r="Q69" s="64">
        <v>21.18</v>
      </c>
      <c r="R69" s="198"/>
      <c r="S69" s="198"/>
      <c r="T69" s="198"/>
      <c r="U69" s="198"/>
    </row>
    <row r="70" spans="1:21" s="12" customFormat="1" x14ac:dyDescent="0.25">
      <c r="A70" s="218" t="s">
        <v>3002</v>
      </c>
      <c r="B70" s="64">
        <v>1.63</v>
      </c>
      <c r="C70" s="64">
        <v>20.03</v>
      </c>
      <c r="D70" s="64">
        <v>13</v>
      </c>
      <c r="E70" s="64">
        <v>1.39</v>
      </c>
      <c r="F70" s="64">
        <v>14.58</v>
      </c>
      <c r="G70" s="64">
        <v>8.3699999999999992</v>
      </c>
      <c r="H70" s="64">
        <v>5.22</v>
      </c>
      <c r="I70" s="64">
        <v>0.51</v>
      </c>
      <c r="J70" s="64">
        <v>1</v>
      </c>
      <c r="K70" s="64">
        <v>190.78</v>
      </c>
      <c r="L70" s="64">
        <v>29.58</v>
      </c>
      <c r="M70" s="64">
        <v>42.06</v>
      </c>
      <c r="N70" s="64">
        <v>9.1999999999999993</v>
      </c>
      <c r="O70" s="64">
        <v>0</v>
      </c>
      <c r="P70" s="64">
        <v>0.35</v>
      </c>
      <c r="Q70" s="64">
        <v>23.24</v>
      </c>
      <c r="R70" s="198"/>
      <c r="S70" s="198"/>
      <c r="T70" s="198"/>
      <c r="U70" s="198"/>
    </row>
    <row r="71" spans="1:21" s="12" customFormat="1" x14ac:dyDescent="0.25">
      <c r="A71" s="218" t="s">
        <v>3003</v>
      </c>
      <c r="B71" s="64">
        <v>1.76</v>
      </c>
      <c r="C71" s="64">
        <v>17.41</v>
      </c>
      <c r="D71" s="64">
        <v>11.67</v>
      </c>
      <c r="E71" s="64">
        <v>1.58</v>
      </c>
      <c r="F71" s="64">
        <v>10.94</v>
      </c>
      <c r="G71" s="64">
        <v>8.3699999999999992</v>
      </c>
      <c r="H71" s="64">
        <v>5.22</v>
      </c>
      <c r="I71" s="64">
        <v>0.5</v>
      </c>
      <c r="J71" s="64">
        <v>0.7</v>
      </c>
      <c r="K71" s="64">
        <v>214.21</v>
      </c>
      <c r="L71" s="64">
        <v>29.6</v>
      </c>
      <c r="M71" s="64">
        <v>41.2</v>
      </c>
      <c r="N71" s="64">
        <v>5.3</v>
      </c>
      <c r="O71" s="64">
        <v>0</v>
      </c>
      <c r="P71" s="64">
        <v>0.37</v>
      </c>
      <c r="Q71" s="64">
        <v>20.78</v>
      </c>
      <c r="R71" s="198"/>
      <c r="S71" s="198"/>
      <c r="T71" s="198"/>
      <c r="U71" s="198"/>
    </row>
    <row r="72" spans="1:21" s="12" customFormat="1" x14ac:dyDescent="0.25">
      <c r="A72" s="218" t="s">
        <v>3004</v>
      </c>
      <c r="B72" s="64">
        <v>1.91</v>
      </c>
      <c r="C72" s="64">
        <v>21.42</v>
      </c>
      <c r="D72" s="64">
        <v>14</v>
      </c>
      <c r="E72" s="64">
        <v>0.96</v>
      </c>
      <c r="F72" s="64">
        <v>19.02</v>
      </c>
      <c r="G72" s="64">
        <v>8.3699999999999992</v>
      </c>
      <c r="H72" s="64">
        <v>5.22</v>
      </c>
      <c r="I72" s="64">
        <v>0.49</v>
      </c>
      <c r="J72" s="64">
        <v>0.41</v>
      </c>
      <c r="K72" s="64">
        <v>199.1</v>
      </c>
      <c r="L72" s="64">
        <v>29.51</v>
      </c>
      <c r="M72" s="64">
        <v>41.81</v>
      </c>
      <c r="N72" s="64">
        <v>7.6</v>
      </c>
      <c r="O72" s="64">
        <v>0</v>
      </c>
      <c r="P72" s="64">
        <v>0.35</v>
      </c>
      <c r="Q72" s="64">
        <v>24.73</v>
      </c>
      <c r="R72" s="198"/>
      <c r="S72" s="198"/>
      <c r="T72" s="198"/>
      <c r="U72" s="198"/>
    </row>
    <row r="73" spans="1:21" s="12" customFormat="1" x14ac:dyDescent="0.25">
      <c r="A73" s="218" t="s">
        <v>3005</v>
      </c>
      <c r="B73" s="64">
        <v>2.06</v>
      </c>
      <c r="C73" s="64">
        <v>20.68</v>
      </c>
      <c r="D73" s="64">
        <v>13.71</v>
      </c>
      <c r="E73" s="64">
        <v>1.36</v>
      </c>
      <c r="F73" s="64">
        <v>15.88</v>
      </c>
      <c r="G73" s="64">
        <v>23.95</v>
      </c>
      <c r="H73" s="64">
        <v>8.17</v>
      </c>
      <c r="I73" s="64">
        <v>0.51</v>
      </c>
      <c r="J73" s="64">
        <v>0.73</v>
      </c>
      <c r="K73" s="64">
        <v>213.07</v>
      </c>
      <c r="L73" s="64">
        <v>29.34</v>
      </c>
      <c r="M73" s="64">
        <v>41.81</v>
      </c>
      <c r="N73" s="64">
        <v>2.8</v>
      </c>
      <c r="O73" s="64">
        <v>0</v>
      </c>
      <c r="P73" s="64">
        <v>0.36</v>
      </c>
      <c r="Q73" s="64">
        <v>23.82</v>
      </c>
      <c r="R73" s="198"/>
      <c r="S73" s="198"/>
      <c r="T73" s="198"/>
      <c r="U73" s="198"/>
    </row>
    <row r="74" spans="1:21" s="12" customFormat="1" x14ac:dyDescent="0.25">
      <c r="A74" s="218" t="s">
        <v>3006</v>
      </c>
      <c r="B74" s="64">
        <v>2.02</v>
      </c>
      <c r="C74" s="64">
        <v>21.48</v>
      </c>
      <c r="D74" s="64">
        <v>14.12</v>
      </c>
      <c r="E74" s="64">
        <v>1.46</v>
      </c>
      <c r="F74" s="64">
        <v>13.17</v>
      </c>
      <c r="G74" s="64">
        <v>24.3</v>
      </c>
      <c r="H74" s="64">
        <v>8.17</v>
      </c>
      <c r="I74" s="64">
        <v>0.51</v>
      </c>
      <c r="J74" s="64">
        <v>0.82</v>
      </c>
      <c r="K74" s="64">
        <v>205.04</v>
      </c>
      <c r="L74" s="64">
        <v>29.15</v>
      </c>
      <c r="M74" s="64">
        <v>43.21</v>
      </c>
      <c r="N74" s="64">
        <v>1.9</v>
      </c>
      <c r="O74" s="64">
        <v>0</v>
      </c>
      <c r="P74" s="64">
        <v>0.36</v>
      </c>
      <c r="Q74" s="64">
        <v>26.08</v>
      </c>
      <c r="R74" s="198"/>
      <c r="S74" s="198"/>
      <c r="T74" s="198"/>
      <c r="U74" s="198"/>
    </row>
    <row r="75" spans="1:21" s="12" customFormat="1" x14ac:dyDescent="0.25">
      <c r="A75" s="218" t="s">
        <v>3007</v>
      </c>
      <c r="B75" s="64">
        <v>2.27</v>
      </c>
      <c r="C75" s="64">
        <v>22.84</v>
      </c>
      <c r="D75" s="64">
        <v>15.07</v>
      </c>
      <c r="E75" s="64">
        <v>1.46</v>
      </c>
      <c r="F75" s="64">
        <v>7.74</v>
      </c>
      <c r="G75" s="64">
        <v>24.3</v>
      </c>
      <c r="H75" s="64">
        <v>8.17</v>
      </c>
      <c r="I75" s="64">
        <v>0.51</v>
      </c>
      <c r="J75" s="64">
        <v>0.97</v>
      </c>
      <c r="K75" s="64">
        <v>205.92</v>
      </c>
      <c r="L75" s="64">
        <v>28.84</v>
      </c>
      <c r="M75" s="64">
        <v>44.81</v>
      </c>
      <c r="N75" s="64">
        <v>0.3</v>
      </c>
      <c r="O75" s="64">
        <v>0</v>
      </c>
      <c r="P75" s="64">
        <v>0.36</v>
      </c>
      <c r="Q75" s="64">
        <v>25.27</v>
      </c>
      <c r="R75" s="198"/>
      <c r="S75" s="198"/>
      <c r="T75" s="198"/>
      <c r="U75" s="198"/>
    </row>
    <row r="76" spans="1:21" s="12" customFormat="1" x14ac:dyDescent="0.25">
      <c r="A76" s="218" t="s">
        <v>3008</v>
      </c>
      <c r="B76" s="64">
        <v>2.58</v>
      </c>
      <c r="C76" s="64">
        <v>22.89</v>
      </c>
      <c r="D76" s="64">
        <v>15.35</v>
      </c>
      <c r="E76" s="64">
        <v>1.69</v>
      </c>
      <c r="F76" s="64">
        <v>6.41</v>
      </c>
      <c r="G76" s="64">
        <v>24.3</v>
      </c>
      <c r="H76" s="64">
        <v>8.17</v>
      </c>
      <c r="I76" s="64">
        <v>0.51</v>
      </c>
      <c r="J76" s="64">
        <v>1.1000000000000001</v>
      </c>
      <c r="K76" s="64">
        <v>193.39</v>
      </c>
      <c r="L76" s="64">
        <v>28.51</v>
      </c>
      <c r="M76" s="64">
        <v>46.33</v>
      </c>
      <c r="N76" s="64">
        <v>0.2</v>
      </c>
      <c r="O76" s="64">
        <v>0</v>
      </c>
      <c r="P76" s="64">
        <v>0.37</v>
      </c>
      <c r="Q76" s="64">
        <v>22.62</v>
      </c>
      <c r="R76" s="198"/>
      <c r="S76" s="198"/>
      <c r="T76" s="198"/>
      <c r="U76" s="198"/>
    </row>
    <row r="77" spans="1:21" s="12" customFormat="1" x14ac:dyDescent="0.25">
      <c r="A77" s="218" t="s">
        <v>3009</v>
      </c>
      <c r="B77" s="64">
        <v>2.76</v>
      </c>
      <c r="C77" s="64">
        <v>28.07</v>
      </c>
      <c r="D77" s="64">
        <v>18.350000000000001</v>
      </c>
      <c r="E77" s="64">
        <v>1.17</v>
      </c>
      <c r="F77" s="64">
        <v>9.5299999999999994</v>
      </c>
      <c r="G77" s="64">
        <v>23.21</v>
      </c>
      <c r="H77" s="64">
        <v>9.85</v>
      </c>
      <c r="I77" s="64">
        <v>0.51</v>
      </c>
      <c r="J77" s="64">
        <v>0.39</v>
      </c>
      <c r="K77" s="64">
        <v>202.81</v>
      </c>
      <c r="L77" s="64">
        <v>28.29</v>
      </c>
      <c r="M77" s="64">
        <v>48.15</v>
      </c>
      <c r="N77" s="64">
        <v>0</v>
      </c>
      <c r="O77" s="64">
        <v>0</v>
      </c>
      <c r="P77" s="64">
        <v>0.39</v>
      </c>
      <c r="Q77" s="64">
        <v>24.89</v>
      </c>
      <c r="R77" s="198"/>
      <c r="S77" s="198"/>
      <c r="T77" s="198"/>
      <c r="U77" s="198"/>
    </row>
    <row r="78" spans="1:21" s="12" customFormat="1" x14ac:dyDescent="0.25">
      <c r="A78" s="218" t="s">
        <v>3010</v>
      </c>
      <c r="B78" s="64">
        <v>2.4700000000000002</v>
      </c>
      <c r="C78" s="64">
        <v>25.89</v>
      </c>
      <c r="D78" s="64">
        <v>16.920000000000002</v>
      </c>
      <c r="E78" s="64">
        <v>1.42</v>
      </c>
      <c r="F78" s="64">
        <v>9</v>
      </c>
      <c r="G78" s="64">
        <v>23.18</v>
      </c>
      <c r="H78" s="64">
        <v>9.85</v>
      </c>
      <c r="I78" s="64">
        <v>0.53</v>
      </c>
      <c r="J78" s="64">
        <v>0.39</v>
      </c>
      <c r="K78" s="64">
        <v>254.59</v>
      </c>
      <c r="L78" s="64">
        <v>28.15</v>
      </c>
      <c r="M78" s="64">
        <v>49.3</v>
      </c>
      <c r="N78" s="64">
        <v>0</v>
      </c>
      <c r="O78" s="64">
        <v>0</v>
      </c>
      <c r="P78" s="64">
        <v>0.39</v>
      </c>
      <c r="Q78" s="64">
        <v>23.59</v>
      </c>
      <c r="R78" s="198"/>
      <c r="S78" s="198"/>
      <c r="T78" s="198"/>
      <c r="U78" s="198"/>
    </row>
    <row r="79" spans="1:21" s="12" customFormat="1" x14ac:dyDescent="0.25">
      <c r="A79" s="218" t="s">
        <v>3011</v>
      </c>
      <c r="B79" s="64">
        <v>2.46</v>
      </c>
      <c r="C79" s="64">
        <v>27.23</v>
      </c>
      <c r="D79" s="64">
        <v>17.649999999999999</v>
      </c>
      <c r="E79" s="64">
        <v>0.71</v>
      </c>
      <c r="F79" s="64">
        <v>7.56</v>
      </c>
      <c r="G79" s="64">
        <v>23.18</v>
      </c>
      <c r="H79" s="64">
        <v>9.85</v>
      </c>
      <c r="I79" s="64">
        <v>0.53</v>
      </c>
      <c r="J79" s="64">
        <v>0.44</v>
      </c>
      <c r="K79" s="64">
        <v>251.38</v>
      </c>
      <c r="L79" s="64">
        <v>27.86</v>
      </c>
      <c r="M79" s="64">
        <v>51.27</v>
      </c>
      <c r="N79" s="64">
        <v>0</v>
      </c>
      <c r="O79" s="64">
        <v>0</v>
      </c>
      <c r="P79" s="64">
        <v>0.41</v>
      </c>
      <c r="Q79" s="64">
        <v>24.74</v>
      </c>
      <c r="R79" s="198"/>
      <c r="S79" s="198"/>
      <c r="T79" s="198"/>
      <c r="U79" s="198"/>
    </row>
    <row r="80" spans="1:21" s="12" customFormat="1" x14ac:dyDescent="0.25">
      <c r="A80" s="218" t="s">
        <v>3012</v>
      </c>
      <c r="B80" s="64">
        <v>2.37</v>
      </c>
      <c r="C80" s="64">
        <v>24.7</v>
      </c>
      <c r="D80" s="64">
        <v>16.170000000000002</v>
      </c>
      <c r="E80" s="64">
        <v>0.77</v>
      </c>
      <c r="F80" s="64">
        <v>7.82</v>
      </c>
      <c r="G80" s="64">
        <v>23.18</v>
      </c>
      <c r="H80" s="64">
        <v>9.85</v>
      </c>
      <c r="I80" s="64">
        <v>0.53</v>
      </c>
      <c r="J80" s="64">
        <v>0.41</v>
      </c>
      <c r="K80" s="64">
        <v>266.5</v>
      </c>
      <c r="L80" s="64">
        <v>24.12</v>
      </c>
      <c r="M80" s="64">
        <v>66.459999999999994</v>
      </c>
      <c r="N80" s="64">
        <v>0</v>
      </c>
      <c r="O80" s="64">
        <v>0</v>
      </c>
      <c r="P80" s="64">
        <v>0.42</v>
      </c>
      <c r="Q80" s="64">
        <v>22.79</v>
      </c>
      <c r="R80" s="198"/>
      <c r="S80" s="198"/>
      <c r="T80" s="198"/>
      <c r="U80" s="198"/>
    </row>
    <row r="81" spans="1:26" s="12" customFormat="1" x14ac:dyDescent="0.25">
      <c r="A81" s="218" t="s">
        <v>3013</v>
      </c>
      <c r="B81" s="64">
        <v>1.63</v>
      </c>
      <c r="C81" s="64">
        <v>27.19</v>
      </c>
      <c r="D81" s="64">
        <v>16.96</v>
      </c>
      <c r="E81" s="64">
        <v>0.88</v>
      </c>
      <c r="F81" s="64">
        <v>8.14</v>
      </c>
      <c r="G81" s="64">
        <v>35.89</v>
      </c>
      <c r="H81" s="64">
        <v>10.29</v>
      </c>
      <c r="I81" s="64">
        <v>0.53</v>
      </c>
      <c r="J81" s="64">
        <v>1.0900000000000001</v>
      </c>
      <c r="K81" s="64">
        <v>246.29</v>
      </c>
      <c r="L81" s="64">
        <v>20.62</v>
      </c>
      <c r="M81" s="64">
        <v>81.540000000000006</v>
      </c>
      <c r="N81" s="64">
        <v>0</v>
      </c>
      <c r="O81" s="64">
        <v>0.2</v>
      </c>
      <c r="P81" s="64">
        <v>0.39</v>
      </c>
      <c r="Q81" s="64">
        <v>25.05</v>
      </c>
      <c r="R81" s="198"/>
      <c r="S81" s="198"/>
      <c r="T81" s="198"/>
      <c r="U81" s="198"/>
    </row>
    <row r="82" spans="1:26" s="12" customFormat="1" x14ac:dyDescent="0.25">
      <c r="A82" s="218" t="s">
        <v>3014</v>
      </c>
      <c r="B82" s="64">
        <v>1.34</v>
      </c>
      <c r="C82" s="64">
        <v>24.85</v>
      </c>
      <c r="D82" s="64">
        <v>15.43</v>
      </c>
      <c r="E82" s="64">
        <v>0.66</v>
      </c>
      <c r="F82" s="64">
        <v>8.24</v>
      </c>
      <c r="G82" s="64">
        <v>36.18</v>
      </c>
      <c r="H82" s="64">
        <v>10.29</v>
      </c>
      <c r="I82" s="64">
        <v>0.52</v>
      </c>
      <c r="J82" s="64">
        <v>0.93</v>
      </c>
      <c r="K82" s="64">
        <v>248.79</v>
      </c>
      <c r="L82" s="64">
        <v>20.2</v>
      </c>
      <c r="M82" s="64">
        <v>78.2</v>
      </c>
      <c r="N82" s="64">
        <v>0</v>
      </c>
      <c r="O82" s="64">
        <v>0</v>
      </c>
      <c r="P82" s="64">
        <v>0.36</v>
      </c>
      <c r="Q82" s="64">
        <v>24.06</v>
      </c>
      <c r="R82" s="198"/>
      <c r="S82" s="198"/>
      <c r="T82" s="198"/>
      <c r="U82" s="198"/>
    </row>
    <row r="83" spans="1:26" s="12" customFormat="1" x14ac:dyDescent="0.25">
      <c r="A83" s="218" t="s">
        <v>3015</v>
      </c>
      <c r="B83" s="64">
        <v>1.32</v>
      </c>
      <c r="C83" s="64">
        <v>22.97</v>
      </c>
      <c r="D83" s="64">
        <v>14.38</v>
      </c>
      <c r="E83" s="64">
        <v>0.34</v>
      </c>
      <c r="F83" s="64">
        <v>7.38</v>
      </c>
      <c r="G83" s="64">
        <v>36.18</v>
      </c>
      <c r="H83" s="64">
        <v>10.29</v>
      </c>
      <c r="I83" s="64">
        <v>0.51</v>
      </c>
      <c r="J83" s="64">
        <v>0.6</v>
      </c>
      <c r="K83" s="64">
        <v>254.72</v>
      </c>
      <c r="L83" s="64">
        <v>21.06</v>
      </c>
      <c r="M83" s="64">
        <v>69.7</v>
      </c>
      <c r="N83" s="64">
        <v>0</v>
      </c>
      <c r="O83" s="64">
        <v>0</v>
      </c>
      <c r="P83" s="64">
        <v>0.34</v>
      </c>
      <c r="Q83" s="64">
        <v>23.12</v>
      </c>
      <c r="R83" s="198"/>
      <c r="S83" s="198"/>
      <c r="T83" s="198"/>
      <c r="U83" s="198"/>
    </row>
    <row r="84" spans="1:26" s="12" customFormat="1" x14ac:dyDescent="0.25">
      <c r="A84" s="218" t="s">
        <v>3016</v>
      </c>
      <c r="B84" s="64">
        <v>2.33</v>
      </c>
      <c r="C84" s="64">
        <v>22.27</v>
      </c>
      <c r="D84" s="64">
        <v>14.8</v>
      </c>
      <c r="E84" s="64">
        <v>0.51</v>
      </c>
      <c r="F84" s="64">
        <v>6.05</v>
      </c>
      <c r="G84" s="64">
        <v>36.18</v>
      </c>
      <c r="H84" s="64">
        <v>10.29</v>
      </c>
      <c r="I84" s="64">
        <v>0.49</v>
      </c>
      <c r="J84" s="64">
        <v>0.98</v>
      </c>
      <c r="K84" s="64">
        <v>293.41000000000003</v>
      </c>
      <c r="L84" s="64">
        <v>21.31</v>
      </c>
      <c r="M84" s="64">
        <v>69.8</v>
      </c>
      <c r="N84" s="64">
        <v>0</v>
      </c>
      <c r="O84" s="64">
        <v>0</v>
      </c>
      <c r="P84" s="64">
        <v>0.35</v>
      </c>
      <c r="Q84" s="64">
        <v>23.05</v>
      </c>
      <c r="R84" s="198"/>
      <c r="S84" s="198"/>
      <c r="T84" s="198"/>
      <c r="U84" s="198"/>
    </row>
    <row r="85" spans="1:26" s="12" customFormat="1" x14ac:dyDescent="0.25">
      <c r="A85" s="218" t="s">
        <v>3017</v>
      </c>
      <c r="B85" s="64">
        <v>2.73</v>
      </c>
      <c r="C85" s="64">
        <v>22.56</v>
      </c>
      <c r="D85" s="64">
        <v>15.28</v>
      </c>
      <c r="E85" s="64">
        <v>0.61</v>
      </c>
      <c r="F85" s="64">
        <v>5.4</v>
      </c>
      <c r="G85" s="64">
        <v>15.05</v>
      </c>
      <c r="H85" s="64">
        <v>7.21</v>
      </c>
      <c r="I85" s="64">
        <v>0.48</v>
      </c>
      <c r="J85" s="64">
        <v>0.51</v>
      </c>
      <c r="K85" s="64">
        <v>270.19</v>
      </c>
      <c r="L85" s="64">
        <v>21.47</v>
      </c>
      <c r="M85" s="64">
        <v>71.75</v>
      </c>
      <c r="N85" s="64">
        <v>0</v>
      </c>
      <c r="O85" s="64">
        <v>0</v>
      </c>
      <c r="P85" s="64">
        <v>0.36</v>
      </c>
      <c r="Q85" s="64">
        <v>23.42</v>
      </c>
      <c r="R85" s="198"/>
      <c r="S85" s="198"/>
      <c r="T85" s="198"/>
      <c r="U85" s="198"/>
    </row>
    <row r="86" spans="1:26" s="12" customFormat="1" x14ac:dyDescent="0.25">
      <c r="A86" s="218" t="s">
        <v>3018</v>
      </c>
      <c r="B86" s="64">
        <v>2.99</v>
      </c>
      <c r="C86" s="64">
        <v>23.91</v>
      </c>
      <c r="D86" s="64">
        <v>16.239999999999998</v>
      </c>
      <c r="E86" s="64">
        <v>0.95</v>
      </c>
      <c r="F86" s="64">
        <v>4.97</v>
      </c>
      <c r="G86" s="64">
        <v>14.57</v>
      </c>
      <c r="H86" s="64">
        <v>7.21</v>
      </c>
      <c r="I86" s="64">
        <v>0.49</v>
      </c>
      <c r="J86" s="64">
        <v>1.83</v>
      </c>
      <c r="K86" s="64">
        <v>294.27</v>
      </c>
      <c r="L86" s="64">
        <v>22.03</v>
      </c>
      <c r="M86" s="64">
        <v>67.47</v>
      </c>
      <c r="N86" s="64">
        <v>0</v>
      </c>
      <c r="O86" s="64">
        <v>0</v>
      </c>
      <c r="P86" s="64">
        <v>0.39</v>
      </c>
      <c r="Q86" s="64">
        <v>24.34</v>
      </c>
      <c r="R86" s="198"/>
      <c r="S86" s="198"/>
      <c r="T86" s="198"/>
      <c r="U86" s="198"/>
    </row>
    <row r="87" spans="1:26" s="12" customFormat="1" x14ac:dyDescent="0.25">
      <c r="A87" s="218" t="s">
        <v>3019</v>
      </c>
      <c r="B87" s="64">
        <v>3.53</v>
      </c>
      <c r="C87" s="64">
        <v>26.97</v>
      </c>
      <c r="D87" s="64">
        <v>18.36</v>
      </c>
      <c r="E87" s="64">
        <v>0.74</v>
      </c>
      <c r="F87" s="64">
        <v>4.43</v>
      </c>
      <c r="G87" s="64">
        <v>14.57</v>
      </c>
      <c r="H87" s="64">
        <v>7.21</v>
      </c>
      <c r="I87" s="64">
        <v>0.5</v>
      </c>
      <c r="J87" s="64">
        <v>1.58</v>
      </c>
      <c r="K87" s="64">
        <v>285.25</v>
      </c>
      <c r="L87" s="64">
        <v>22.03</v>
      </c>
      <c r="M87" s="64">
        <v>70.739999999999995</v>
      </c>
      <c r="N87" s="64">
        <v>0</v>
      </c>
      <c r="O87" s="64">
        <v>0</v>
      </c>
      <c r="P87" s="64">
        <v>0.44</v>
      </c>
      <c r="Q87" s="64">
        <v>25.01</v>
      </c>
      <c r="R87" s="198"/>
      <c r="S87" s="198"/>
      <c r="T87" s="198"/>
      <c r="U87" s="198"/>
    </row>
    <row r="88" spans="1:26" s="12" customFormat="1" x14ac:dyDescent="0.25">
      <c r="A88" s="218" t="s">
        <v>3020</v>
      </c>
      <c r="B88" s="64">
        <v>4.03</v>
      </c>
      <c r="C88" s="64">
        <v>28.59</v>
      </c>
      <c r="D88" s="64">
        <v>19.66</v>
      </c>
      <c r="E88" s="64">
        <v>0.42</v>
      </c>
      <c r="F88" s="64">
        <v>4.13</v>
      </c>
      <c r="G88" s="64">
        <v>14.57</v>
      </c>
      <c r="H88" s="64">
        <v>7.21</v>
      </c>
      <c r="I88" s="64">
        <v>0.5</v>
      </c>
      <c r="J88" s="64">
        <v>1.53</v>
      </c>
      <c r="K88" s="64">
        <v>284.2</v>
      </c>
      <c r="L88" s="64">
        <v>21.89</v>
      </c>
      <c r="M88" s="64">
        <v>69.17</v>
      </c>
      <c r="N88" s="64">
        <v>0</v>
      </c>
      <c r="O88" s="64">
        <v>0</v>
      </c>
      <c r="P88" s="64">
        <v>0.5</v>
      </c>
      <c r="Q88" s="64">
        <v>25.06</v>
      </c>
      <c r="R88" s="198"/>
      <c r="S88" s="198"/>
      <c r="T88" s="198"/>
      <c r="U88" s="198"/>
    </row>
    <row r="89" spans="1:26" s="12" customFormat="1" x14ac:dyDescent="0.25">
      <c r="A89" s="218" t="s">
        <v>3021</v>
      </c>
      <c r="B89" s="64">
        <v>4.32</v>
      </c>
      <c r="C89" s="64">
        <v>29.09</v>
      </c>
      <c r="D89" s="64">
        <v>20.170000000000002</v>
      </c>
      <c r="E89" s="64">
        <v>0.32</v>
      </c>
      <c r="F89" s="64">
        <v>3.9</v>
      </c>
      <c r="G89" s="64">
        <v>41.92</v>
      </c>
      <c r="H89" s="64">
        <v>9</v>
      </c>
      <c r="I89" s="64">
        <v>0.5</v>
      </c>
      <c r="J89" s="64">
        <v>1.04</v>
      </c>
      <c r="K89" s="64">
        <v>292.39999999999998</v>
      </c>
      <c r="L89" s="64">
        <v>21.76</v>
      </c>
      <c r="M89" s="64">
        <v>69.64</v>
      </c>
      <c r="N89" s="64">
        <v>2.2000000000000002</v>
      </c>
      <c r="O89" s="64">
        <v>0</v>
      </c>
      <c r="P89" s="64">
        <v>0.54</v>
      </c>
      <c r="Q89" s="64">
        <v>25.03</v>
      </c>
      <c r="R89" s="198"/>
      <c r="S89" s="198"/>
      <c r="T89" s="198"/>
      <c r="U89" s="198"/>
    </row>
    <row r="90" spans="1:26" s="12" customFormat="1" x14ac:dyDescent="0.25">
      <c r="A90" s="218" t="s">
        <v>3022</v>
      </c>
      <c r="B90" s="64">
        <v>5.13</v>
      </c>
      <c r="C90" s="64">
        <v>29.3</v>
      </c>
      <c r="D90" s="64">
        <v>20.93</v>
      </c>
      <c r="E90" s="64">
        <v>0.62</v>
      </c>
      <c r="F90" s="64">
        <v>3.67</v>
      </c>
      <c r="G90" s="64">
        <v>42.54</v>
      </c>
      <c r="H90" s="64">
        <v>9</v>
      </c>
      <c r="I90" s="64">
        <v>0.5</v>
      </c>
      <c r="J90" s="64">
        <v>1.17</v>
      </c>
      <c r="K90" s="64">
        <v>282.83999999999997</v>
      </c>
      <c r="L90" s="64">
        <v>21.78</v>
      </c>
      <c r="M90" s="64">
        <v>69.790000000000006</v>
      </c>
      <c r="N90" s="64">
        <v>4.4000000000000004</v>
      </c>
      <c r="O90" s="64">
        <v>0</v>
      </c>
      <c r="P90" s="64">
        <v>0.6</v>
      </c>
      <c r="Q90" s="64">
        <v>24.79</v>
      </c>
      <c r="R90" s="198"/>
      <c r="S90" s="198"/>
      <c r="T90" s="198"/>
      <c r="U90" s="198"/>
    </row>
    <row r="91" spans="1:26" s="12" customFormat="1" x14ac:dyDescent="0.25">
      <c r="A91" s="218" t="s">
        <v>3023</v>
      </c>
      <c r="B91" s="64">
        <v>5.94</v>
      </c>
      <c r="C91" s="64">
        <v>29.87</v>
      </c>
      <c r="D91" s="64">
        <v>21.9</v>
      </c>
      <c r="E91" s="64">
        <v>0.56999999999999995</v>
      </c>
      <c r="F91" s="64">
        <v>3.56</v>
      </c>
      <c r="G91" s="64">
        <v>42.54</v>
      </c>
      <c r="H91" s="64">
        <v>9</v>
      </c>
      <c r="I91" s="64">
        <v>0.51</v>
      </c>
      <c r="J91" s="64">
        <v>1.31</v>
      </c>
      <c r="K91" s="64">
        <v>286.54000000000002</v>
      </c>
      <c r="L91" s="64">
        <v>21.84</v>
      </c>
      <c r="M91" s="64">
        <v>69.92</v>
      </c>
      <c r="N91" s="64">
        <v>4.8</v>
      </c>
      <c r="O91" s="64">
        <v>0</v>
      </c>
      <c r="P91" s="64">
        <v>0.64</v>
      </c>
      <c r="Q91" s="64">
        <v>24.8</v>
      </c>
      <c r="R91" s="198"/>
      <c r="S91" s="198"/>
      <c r="T91" s="198"/>
      <c r="U91" s="198"/>
    </row>
    <row r="92" spans="1:26" s="12" customFormat="1" x14ac:dyDescent="0.25">
      <c r="A92" s="218" t="s">
        <v>3024</v>
      </c>
      <c r="B92" s="64">
        <v>6.31</v>
      </c>
      <c r="C92" s="64">
        <v>29.81</v>
      </c>
      <c r="D92" s="64">
        <v>22.16</v>
      </c>
      <c r="E92" s="64">
        <v>0.38</v>
      </c>
      <c r="F92" s="64">
        <v>3.44</v>
      </c>
      <c r="G92" s="64">
        <v>42.54</v>
      </c>
      <c r="H92" s="64">
        <v>9</v>
      </c>
      <c r="I92" s="64">
        <v>0.52</v>
      </c>
      <c r="J92" s="64">
        <v>0.51</v>
      </c>
      <c r="K92" s="64">
        <v>313.38</v>
      </c>
      <c r="L92" s="64">
        <v>21.76</v>
      </c>
      <c r="M92" s="64">
        <v>70.5</v>
      </c>
      <c r="N92" s="64">
        <v>4.9000000000000004</v>
      </c>
      <c r="O92" s="64">
        <v>0</v>
      </c>
      <c r="P92" s="64">
        <v>0.66</v>
      </c>
      <c r="Q92" s="64">
        <v>24.7</v>
      </c>
      <c r="R92" s="198"/>
      <c r="S92" s="198"/>
      <c r="T92" s="198"/>
      <c r="U92" s="198"/>
    </row>
    <row r="93" spans="1:26" s="12" customFormat="1" x14ac:dyDescent="0.25">
      <c r="A93" s="218" t="s">
        <v>3025</v>
      </c>
      <c r="B93" s="64">
        <v>10.86</v>
      </c>
      <c r="C93" s="64">
        <v>33.619999999999997</v>
      </c>
      <c r="D93" s="64">
        <v>27.9</v>
      </c>
      <c r="E93" s="64">
        <v>0.66</v>
      </c>
      <c r="F93" s="64">
        <v>4.25</v>
      </c>
      <c r="G93" s="64">
        <v>44.64</v>
      </c>
      <c r="H93" s="64">
        <v>10.76</v>
      </c>
      <c r="I93" s="64">
        <v>0.52</v>
      </c>
      <c r="J93" s="64">
        <v>0.33</v>
      </c>
      <c r="K93" s="64">
        <v>305.41000000000003</v>
      </c>
      <c r="L93" s="64">
        <v>21.55</v>
      </c>
      <c r="M93" s="64">
        <v>71.78</v>
      </c>
      <c r="N93" s="64">
        <v>4.8</v>
      </c>
      <c r="O93" s="64">
        <v>0</v>
      </c>
      <c r="P93" s="64">
        <v>0.74</v>
      </c>
      <c r="Q93" s="64">
        <v>25.1</v>
      </c>
      <c r="R93" s="198"/>
      <c r="S93" s="198"/>
      <c r="T93" s="198"/>
      <c r="U93" s="198"/>
    </row>
    <row r="94" spans="1:26" s="12" customFormat="1" x14ac:dyDescent="0.25">
      <c r="A94" s="218" t="s">
        <v>3026</v>
      </c>
      <c r="B94" s="64">
        <v>9.7200000000000006</v>
      </c>
      <c r="C94" s="64">
        <v>29.36</v>
      </c>
      <c r="D94" s="64">
        <v>24.64</v>
      </c>
      <c r="E94" s="64">
        <v>0.66</v>
      </c>
      <c r="F94" s="64">
        <v>4.99</v>
      </c>
      <c r="G94" s="64">
        <v>44.69</v>
      </c>
      <c r="H94" s="64">
        <v>10.76</v>
      </c>
      <c r="I94" s="64">
        <v>0.53</v>
      </c>
      <c r="J94" s="64">
        <v>0.03</v>
      </c>
      <c r="K94" s="64">
        <v>247.66</v>
      </c>
      <c r="L94" s="64">
        <v>21.44</v>
      </c>
      <c r="M94" s="64">
        <v>71.930000000000007</v>
      </c>
      <c r="N94" s="64">
        <v>4.9000000000000004</v>
      </c>
      <c r="O94" s="64">
        <v>0</v>
      </c>
      <c r="P94" s="64">
        <v>0.8</v>
      </c>
      <c r="Q94" s="64">
        <v>25.63</v>
      </c>
      <c r="R94" s="198"/>
      <c r="S94" s="198"/>
      <c r="T94" s="198"/>
      <c r="U94" s="198"/>
    </row>
    <row r="95" spans="1:26" s="12" customFormat="1" x14ac:dyDescent="0.25">
      <c r="A95" s="218" t="s">
        <v>3027</v>
      </c>
      <c r="B95" s="64">
        <v>10.45</v>
      </c>
      <c r="C95" s="64">
        <v>32.5</v>
      </c>
      <c r="D95" s="64">
        <v>26.96</v>
      </c>
      <c r="E95" s="64">
        <v>1.07</v>
      </c>
      <c r="F95" s="64">
        <v>5.95</v>
      </c>
      <c r="G95" s="64">
        <v>44.69</v>
      </c>
      <c r="H95" s="64">
        <v>10.76</v>
      </c>
      <c r="I95" s="64">
        <v>0.53</v>
      </c>
      <c r="J95" s="64">
        <v>0.5</v>
      </c>
      <c r="K95" s="64">
        <v>305.99</v>
      </c>
      <c r="L95" s="64">
        <v>21.59</v>
      </c>
      <c r="M95" s="64">
        <v>72.66</v>
      </c>
      <c r="N95" s="64">
        <v>4.5</v>
      </c>
      <c r="O95" s="64">
        <v>0</v>
      </c>
      <c r="P95" s="64">
        <v>0.76</v>
      </c>
      <c r="Q95" s="64">
        <v>26.11</v>
      </c>
      <c r="R95" s="198"/>
      <c r="S95" s="198"/>
      <c r="T95" s="198"/>
      <c r="U95" s="198"/>
    </row>
    <row r="96" spans="1:26" s="12" customFormat="1" x14ac:dyDescent="0.25">
      <c r="A96" s="218" t="s">
        <v>3028</v>
      </c>
      <c r="B96" s="64">
        <v>12.33</v>
      </c>
      <c r="C96" s="64">
        <v>29.21</v>
      </c>
      <c r="D96" s="64">
        <v>26.66</v>
      </c>
      <c r="E96" s="64">
        <v>0.83</v>
      </c>
      <c r="F96" s="64">
        <v>4.26</v>
      </c>
      <c r="G96" s="64">
        <v>44.69</v>
      </c>
      <c r="H96" s="64">
        <v>10.76</v>
      </c>
      <c r="I96" s="64">
        <v>0.54</v>
      </c>
      <c r="J96" s="64">
        <v>0.74</v>
      </c>
      <c r="K96" s="64">
        <v>301.76</v>
      </c>
      <c r="L96" s="64">
        <v>21.81</v>
      </c>
      <c r="M96" s="64">
        <v>71.209999999999994</v>
      </c>
      <c r="N96" s="64">
        <v>4.5</v>
      </c>
      <c r="O96" s="64">
        <v>0</v>
      </c>
      <c r="P96" s="64">
        <v>0.76</v>
      </c>
      <c r="Q96" s="64">
        <v>26.63</v>
      </c>
      <c r="R96" s="198"/>
      <c r="S96" s="198"/>
      <c r="T96" s="198"/>
      <c r="U96" s="198"/>
      <c r="Z96" s="109"/>
    </row>
    <row r="97" spans="1:33" s="12" customFormat="1" x14ac:dyDescent="0.25">
      <c r="A97" s="218" t="s">
        <v>3029</v>
      </c>
      <c r="B97" s="64">
        <v>12.7</v>
      </c>
      <c r="C97" s="64">
        <v>31.22</v>
      </c>
      <c r="D97" s="64">
        <v>28.06</v>
      </c>
      <c r="E97" s="64">
        <v>0.89</v>
      </c>
      <c r="F97" s="64">
        <v>4.3499999999999996</v>
      </c>
      <c r="G97" s="64">
        <v>37.81</v>
      </c>
      <c r="H97" s="64">
        <v>11.33</v>
      </c>
      <c r="I97" s="64">
        <v>0.54</v>
      </c>
      <c r="J97" s="64">
        <v>0.61</v>
      </c>
      <c r="K97" s="64">
        <v>297.77999999999997</v>
      </c>
      <c r="L97" s="64">
        <v>21.86</v>
      </c>
      <c r="M97" s="64">
        <v>69.88</v>
      </c>
      <c r="N97" s="64">
        <v>4.8</v>
      </c>
      <c r="O97" s="64">
        <v>0</v>
      </c>
      <c r="P97" s="64">
        <v>0.78</v>
      </c>
      <c r="Q97" s="64">
        <v>26.85</v>
      </c>
      <c r="R97" s="198"/>
      <c r="S97" s="198"/>
      <c r="T97" s="198"/>
      <c r="U97" s="198"/>
    </row>
    <row r="98" spans="1:33" s="12" customFormat="1" x14ac:dyDescent="0.25">
      <c r="A98" s="218" t="s">
        <v>3030</v>
      </c>
      <c r="B98" s="64">
        <v>12.68</v>
      </c>
      <c r="C98" s="64">
        <v>28.96</v>
      </c>
      <c r="D98" s="64">
        <v>26.8</v>
      </c>
      <c r="E98" s="64">
        <v>1</v>
      </c>
      <c r="F98" s="64">
        <v>3.04</v>
      </c>
      <c r="G98" s="64">
        <v>37.659999999999997</v>
      </c>
      <c r="H98" s="64">
        <v>11.33</v>
      </c>
      <c r="I98" s="64">
        <v>0.56000000000000005</v>
      </c>
      <c r="J98" s="64">
        <v>0.14000000000000001</v>
      </c>
      <c r="K98" s="64">
        <v>272.51</v>
      </c>
      <c r="L98" s="64">
        <v>21.78</v>
      </c>
      <c r="M98" s="64">
        <v>69.010000000000005</v>
      </c>
      <c r="N98" s="64">
        <v>5</v>
      </c>
      <c r="O98" s="64">
        <v>0</v>
      </c>
      <c r="P98" s="64">
        <v>0.79</v>
      </c>
      <c r="Q98" s="64">
        <v>26.87</v>
      </c>
      <c r="R98" s="198"/>
      <c r="S98" s="198"/>
      <c r="T98" s="198"/>
      <c r="U98" s="198"/>
    </row>
    <row r="99" spans="1:33" s="12" customFormat="1" x14ac:dyDescent="0.25">
      <c r="A99" s="218" t="s">
        <v>3031</v>
      </c>
      <c r="B99" s="64">
        <v>12.87</v>
      </c>
      <c r="C99" s="64">
        <v>26.83</v>
      </c>
      <c r="D99" s="64">
        <v>25.78</v>
      </c>
      <c r="E99" s="64">
        <v>1.02</v>
      </c>
      <c r="F99" s="64">
        <v>2.76</v>
      </c>
      <c r="G99" s="64">
        <v>37.659999999999997</v>
      </c>
      <c r="H99" s="64">
        <v>11.33</v>
      </c>
      <c r="I99" s="64">
        <v>0.56000000000000005</v>
      </c>
      <c r="J99" s="64">
        <v>0.17</v>
      </c>
      <c r="K99" s="64">
        <v>264.68</v>
      </c>
      <c r="L99" s="64">
        <v>22.02</v>
      </c>
      <c r="M99" s="64">
        <v>67</v>
      </c>
      <c r="N99" s="64">
        <v>4.7</v>
      </c>
      <c r="O99" s="64">
        <v>0</v>
      </c>
      <c r="P99" s="64">
        <v>0.81</v>
      </c>
      <c r="Q99" s="64">
        <v>26.09</v>
      </c>
      <c r="R99" s="198"/>
      <c r="S99" s="198"/>
      <c r="T99" s="198"/>
      <c r="U99" s="198"/>
    </row>
    <row r="100" spans="1:33" s="12" customFormat="1" x14ac:dyDescent="0.25">
      <c r="A100" s="218" t="s">
        <v>3032</v>
      </c>
      <c r="B100" s="64">
        <v>12.35</v>
      </c>
      <c r="C100" s="64">
        <v>25.68</v>
      </c>
      <c r="D100" s="64">
        <v>24.72</v>
      </c>
      <c r="E100" s="64">
        <v>0.55000000000000004</v>
      </c>
      <c r="F100" s="64">
        <v>3.04</v>
      </c>
      <c r="G100" s="64">
        <v>37.659999999999997</v>
      </c>
      <c r="H100" s="64">
        <v>11.33</v>
      </c>
      <c r="I100" s="64">
        <v>0.56000000000000005</v>
      </c>
      <c r="J100" s="64">
        <v>0.79</v>
      </c>
      <c r="K100" s="64">
        <v>218.84</v>
      </c>
      <c r="L100" s="64">
        <v>21.81</v>
      </c>
      <c r="M100" s="64">
        <v>71.98</v>
      </c>
      <c r="N100" s="64">
        <v>5</v>
      </c>
      <c r="O100" s="64">
        <v>0</v>
      </c>
      <c r="P100" s="64">
        <v>0.79</v>
      </c>
      <c r="Q100" s="64">
        <v>25.85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3033</v>
      </c>
      <c r="B101" s="64">
        <v>11.77</v>
      </c>
      <c r="C101" s="64">
        <v>25.95</v>
      </c>
      <c r="D101" s="64">
        <v>24.41</v>
      </c>
      <c r="E101" s="64">
        <v>0.63</v>
      </c>
      <c r="F101" s="64">
        <v>3.29</v>
      </c>
      <c r="G101" s="64">
        <v>51.1</v>
      </c>
      <c r="H101" s="64">
        <v>12.64</v>
      </c>
      <c r="I101" s="64">
        <v>0.56000000000000005</v>
      </c>
      <c r="J101" s="64">
        <v>0.69</v>
      </c>
      <c r="K101" s="64">
        <v>237</v>
      </c>
      <c r="L101" s="64">
        <v>21.03</v>
      </c>
      <c r="M101" s="64">
        <v>79.180000000000007</v>
      </c>
      <c r="N101" s="64">
        <v>5.5</v>
      </c>
      <c r="O101" s="64">
        <v>0</v>
      </c>
      <c r="P101" s="64">
        <v>0.77</v>
      </c>
      <c r="Q101" s="64">
        <v>25.78</v>
      </c>
      <c r="R101" s="198"/>
      <c r="S101" s="198"/>
      <c r="T101" s="198"/>
      <c r="U101" s="198"/>
    </row>
    <row r="102" spans="1:33" s="12" customFormat="1" x14ac:dyDescent="0.25">
      <c r="A102" s="218" t="s">
        <v>3034</v>
      </c>
      <c r="B102" s="64">
        <v>10.89</v>
      </c>
      <c r="C102" s="64">
        <v>25.86</v>
      </c>
      <c r="D102" s="64">
        <v>23.65</v>
      </c>
      <c r="E102" s="64">
        <v>0.43</v>
      </c>
      <c r="F102" s="64">
        <v>3.06</v>
      </c>
      <c r="G102" s="64">
        <v>51.4</v>
      </c>
      <c r="H102" s="64">
        <v>12.64</v>
      </c>
      <c r="I102" s="64">
        <v>0.56999999999999995</v>
      </c>
      <c r="J102" s="64">
        <v>0.74</v>
      </c>
      <c r="K102" s="64">
        <v>244.68</v>
      </c>
      <c r="L102" s="64">
        <v>20.59</v>
      </c>
      <c r="M102" s="64">
        <v>82.1</v>
      </c>
      <c r="N102" s="64">
        <v>5.4</v>
      </c>
      <c r="O102" s="64">
        <v>0</v>
      </c>
      <c r="P102" s="64">
        <v>0.75</v>
      </c>
      <c r="Q102" s="64">
        <v>25.51</v>
      </c>
      <c r="R102" s="198"/>
      <c r="S102" s="198"/>
      <c r="T102" s="198"/>
      <c r="U102" s="198"/>
    </row>
    <row r="103" spans="1:33" s="12" customFormat="1" x14ac:dyDescent="0.25">
      <c r="A103" s="218" t="s">
        <v>3035</v>
      </c>
      <c r="B103" s="64">
        <v>9.85</v>
      </c>
      <c r="C103" s="64">
        <v>25.22</v>
      </c>
      <c r="D103" s="64">
        <v>22.46</v>
      </c>
      <c r="E103" s="64">
        <v>0.49</v>
      </c>
      <c r="F103" s="64">
        <v>3.11</v>
      </c>
      <c r="G103" s="64">
        <v>51.4</v>
      </c>
      <c r="H103" s="64">
        <v>12.64</v>
      </c>
      <c r="I103" s="64">
        <v>0.56000000000000005</v>
      </c>
      <c r="J103" s="64">
        <v>0.71</v>
      </c>
      <c r="K103" s="64">
        <v>255.07</v>
      </c>
      <c r="L103" s="64">
        <v>20.440000000000001</v>
      </c>
      <c r="M103" s="64">
        <v>82.48</v>
      </c>
      <c r="N103" s="64">
        <v>5.2</v>
      </c>
      <c r="O103" s="64">
        <v>0</v>
      </c>
      <c r="P103" s="64">
        <v>0.71</v>
      </c>
      <c r="Q103" s="64">
        <v>25.27</v>
      </c>
      <c r="R103" s="198"/>
      <c r="S103" s="198"/>
      <c r="T103" s="198"/>
      <c r="U103" s="198"/>
    </row>
    <row r="104" spans="1:33" s="12" customFormat="1" x14ac:dyDescent="0.25">
      <c r="A104" s="218" t="s">
        <v>3036</v>
      </c>
      <c r="B104" s="64">
        <v>8.81</v>
      </c>
      <c r="C104" s="64">
        <v>24.51</v>
      </c>
      <c r="D104" s="64">
        <v>21.24</v>
      </c>
      <c r="E104" s="64">
        <v>0.92</v>
      </c>
      <c r="F104" s="64">
        <v>3.06</v>
      </c>
      <c r="G104" s="64">
        <v>51.4</v>
      </c>
      <c r="H104" s="64">
        <v>12.64</v>
      </c>
      <c r="I104" s="64">
        <v>0.55000000000000004</v>
      </c>
      <c r="J104" s="64">
        <v>0.65</v>
      </c>
      <c r="K104" s="64">
        <v>235.29</v>
      </c>
      <c r="L104" s="64">
        <v>20.3</v>
      </c>
      <c r="M104" s="64">
        <v>81.760000000000005</v>
      </c>
      <c r="N104" s="64">
        <v>5.4</v>
      </c>
      <c r="O104" s="64">
        <v>0</v>
      </c>
      <c r="P104" s="64">
        <v>0.69</v>
      </c>
      <c r="Q104" s="64">
        <v>25.07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1.32</v>
      </c>
      <c r="C106" s="67">
        <f>MIN(C9:C104)</f>
        <v>17.41</v>
      </c>
      <c r="D106" s="67">
        <f t="shared" ref="D106:Q106" si="0">MIN(D9:D104)</f>
        <v>11.67</v>
      </c>
      <c r="E106" s="67">
        <f t="shared" si="0"/>
        <v>0.32</v>
      </c>
      <c r="F106" s="67">
        <f t="shared" si="0"/>
        <v>2.74</v>
      </c>
      <c r="G106" s="67">
        <f t="shared" si="0"/>
        <v>8.3699999999999992</v>
      </c>
      <c r="H106" s="67">
        <f t="shared" si="0"/>
        <v>4.18</v>
      </c>
      <c r="I106" s="67">
        <f t="shared" si="0"/>
        <v>0.47</v>
      </c>
      <c r="J106" s="67">
        <f t="shared" si="0"/>
        <v>0.03</v>
      </c>
      <c r="K106" s="67">
        <f t="shared" si="0"/>
        <v>117.54</v>
      </c>
      <c r="L106" s="67">
        <f t="shared" si="0"/>
        <v>18.43</v>
      </c>
      <c r="M106" s="67">
        <f t="shared" si="0"/>
        <v>41.2</v>
      </c>
      <c r="N106" s="67">
        <f t="shared" si="0"/>
        <v>0</v>
      </c>
      <c r="O106" s="67">
        <f t="shared" si="0"/>
        <v>0</v>
      </c>
      <c r="P106" s="67">
        <f t="shared" si="0"/>
        <v>0.26</v>
      </c>
      <c r="Q106" s="67">
        <f t="shared" si="0"/>
        <v>19.8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12.87</v>
      </c>
      <c r="C107" s="66">
        <f t="shared" ref="C107:Q107" si="1">MAX(C9:C104)</f>
        <v>33.619999999999997</v>
      </c>
      <c r="D107" s="66">
        <f t="shared" si="1"/>
        <v>28.06</v>
      </c>
      <c r="E107" s="66">
        <f t="shared" si="1"/>
        <v>1.82</v>
      </c>
      <c r="F107" s="66">
        <f t="shared" si="1"/>
        <v>19.02</v>
      </c>
      <c r="G107" s="66">
        <f t="shared" si="1"/>
        <v>51.4</v>
      </c>
      <c r="H107" s="66">
        <f t="shared" si="1"/>
        <v>16.170000000000002</v>
      </c>
      <c r="I107" s="66">
        <f t="shared" si="1"/>
        <v>0.57999999999999996</v>
      </c>
      <c r="J107" s="66">
        <f t="shared" si="1"/>
        <v>2.8</v>
      </c>
      <c r="K107" s="66">
        <f t="shared" si="1"/>
        <v>346.36</v>
      </c>
      <c r="L107" s="66">
        <f t="shared" si="1"/>
        <v>30.16</v>
      </c>
      <c r="M107" s="66">
        <f t="shared" si="1"/>
        <v>90.24</v>
      </c>
      <c r="N107" s="66">
        <f t="shared" si="1"/>
        <v>329.3</v>
      </c>
      <c r="O107" s="66">
        <f t="shared" si="1"/>
        <v>0.8</v>
      </c>
      <c r="P107" s="66">
        <f t="shared" si="1"/>
        <v>0.81</v>
      </c>
      <c r="Q107" s="66">
        <f t="shared" si="1"/>
        <v>30.64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4.0468750000000009</v>
      </c>
      <c r="C108" s="67">
        <f t="shared" ref="C108:Q108" si="2">AVERAGE(C9:C104)</f>
        <v>24.536770833333332</v>
      </c>
      <c r="D108" s="67">
        <f t="shared" si="2"/>
        <v>17.433229166666674</v>
      </c>
      <c r="E108" s="67">
        <f t="shared" si="2"/>
        <v>1.1115624999999991</v>
      </c>
      <c r="F108" s="67">
        <f t="shared" si="2"/>
        <v>5.7641666666666653</v>
      </c>
      <c r="G108" s="67">
        <f t="shared" si="2"/>
        <v>22.096629213483151</v>
      </c>
      <c r="H108" s="67">
        <f t="shared" si="2"/>
        <v>9.1000000000000014</v>
      </c>
      <c r="I108" s="67">
        <f t="shared" si="2"/>
        <v>0.51020833333333382</v>
      </c>
      <c r="J108" s="67">
        <f t="shared" si="2"/>
        <v>1.0991666666666668</v>
      </c>
      <c r="K108" s="67">
        <f t="shared" si="2"/>
        <v>240.01458333333335</v>
      </c>
      <c r="L108" s="67">
        <f t="shared" si="2"/>
        <v>23.198125000000008</v>
      </c>
      <c r="M108" s="67">
        <f t="shared" si="2"/>
        <v>67.36645833333337</v>
      </c>
      <c r="N108" s="67">
        <f t="shared" si="2"/>
        <v>24.68854166666668</v>
      </c>
      <c r="O108" s="67">
        <f t="shared" si="2"/>
        <v>1.4583333333333332E-2</v>
      </c>
      <c r="P108" s="67">
        <f t="shared" si="2"/>
        <v>0.42187500000000006</v>
      </c>
      <c r="Q108" s="67">
        <f t="shared" si="2"/>
        <v>25.176666666666673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3.1214903028083087</v>
      </c>
      <c r="C109" s="67">
        <f t="shared" ref="C109:Q109" si="3">STDEV(C9:C104)</f>
        <v>3.4788338925842619</v>
      </c>
      <c r="D109" s="67">
        <f t="shared" si="3"/>
        <v>3.9787743404461624</v>
      </c>
      <c r="E109" s="67">
        <f t="shared" si="3"/>
        <v>0.37157227284523098</v>
      </c>
      <c r="F109" s="67">
        <f t="shared" si="3"/>
        <v>2.795158847446086</v>
      </c>
      <c r="G109" s="67">
        <f t="shared" si="3"/>
        <v>12.27657941549867</v>
      </c>
      <c r="H109" s="67">
        <f t="shared" si="3"/>
        <v>3.0036424856860329</v>
      </c>
      <c r="I109" s="67">
        <f t="shared" si="3"/>
        <v>2.6476570244837704E-2</v>
      </c>
      <c r="J109" s="67">
        <f t="shared" si="3"/>
        <v>0.62344318386583675</v>
      </c>
      <c r="K109" s="67">
        <f t="shared" si="3"/>
        <v>49.561588159351601</v>
      </c>
      <c r="L109" s="67">
        <f t="shared" si="3"/>
        <v>3.7494264298197866</v>
      </c>
      <c r="M109" s="67">
        <f t="shared" si="3"/>
        <v>14.296280633652025</v>
      </c>
      <c r="N109" s="67">
        <f t="shared" si="3"/>
        <v>63.550821552173026</v>
      </c>
      <c r="O109" s="67">
        <f t="shared" si="3"/>
        <v>8.8233144108652545E-2</v>
      </c>
      <c r="P109" s="67">
        <f t="shared" si="3"/>
        <v>0.15569411644226241</v>
      </c>
      <c r="Q109" s="67">
        <f t="shared" si="3"/>
        <v>2.1040075378425436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89</v>
      </c>
      <c r="H110" s="66">
        <f>COUNT(H9:H104)</f>
        <v>89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L29" sqref="L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8" t="s">
        <v>3037</v>
      </c>
      <c r="B9" s="64">
        <v>7.98</v>
      </c>
      <c r="C9" s="64">
        <v>24.77</v>
      </c>
      <c r="D9" s="64">
        <v>20.71</v>
      </c>
      <c r="E9" s="64">
        <v>1.44</v>
      </c>
      <c r="F9" s="64">
        <v>3.87</v>
      </c>
      <c r="G9" s="64">
        <v>27.54</v>
      </c>
      <c r="H9" s="64">
        <v>12.4</v>
      </c>
      <c r="I9" s="64">
        <v>0.55000000000000004</v>
      </c>
      <c r="J9" s="64">
        <v>0.35</v>
      </c>
      <c r="K9" s="64">
        <v>214.66</v>
      </c>
      <c r="L9" s="64">
        <v>20.22</v>
      </c>
      <c r="M9" s="64">
        <v>79.819999999999993</v>
      </c>
      <c r="N9" s="64">
        <v>5.0999999999999996</v>
      </c>
      <c r="O9" s="64">
        <v>0</v>
      </c>
      <c r="P9" s="64">
        <v>0.66</v>
      </c>
      <c r="Q9" s="64">
        <v>25.33</v>
      </c>
      <c r="R9" s="198"/>
      <c r="S9" s="198"/>
      <c r="T9" s="198"/>
      <c r="U9" s="198"/>
    </row>
    <row r="10" spans="1:21" s="12" customFormat="1" x14ac:dyDescent="0.25">
      <c r="A10" s="218" t="s">
        <v>3038</v>
      </c>
      <c r="B10" s="64">
        <v>7.8</v>
      </c>
      <c r="C10" s="64">
        <v>24.63</v>
      </c>
      <c r="D10" s="64">
        <v>20.5</v>
      </c>
      <c r="E10" s="64">
        <v>2.06</v>
      </c>
      <c r="F10" s="64">
        <v>3.62</v>
      </c>
      <c r="G10" s="64">
        <v>27</v>
      </c>
      <c r="H10" s="64">
        <v>12.4</v>
      </c>
      <c r="I10" s="64">
        <v>0.54</v>
      </c>
      <c r="J10" s="64">
        <v>0.12</v>
      </c>
      <c r="K10" s="64">
        <v>294.45</v>
      </c>
      <c r="L10" s="64">
        <v>20.28</v>
      </c>
      <c r="M10" s="64">
        <v>78.73</v>
      </c>
      <c r="N10" s="64">
        <v>1.1000000000000001</v>
      </c>
      <c r="O10" s="64">
        <v>0</v>
      </c>
      <c r="P10" s="64">
        <v>0.66</v>
      </c>
      <c r="Q10" s="64">
        <v>25.47</v>
      </c>
      <c r="R10" s="198"/>
      <c r="S10" s="198"/>
      <c r="T10" s="198"/>
      <c r="U10" s="198"/>
    </row>
    <row r="11" spans="1:21" s="12" customFormat="1" x14ac:dyDescent="0.25">
      <c r="A11" s="218" t="s">
        <v>3039</v>
      </c>
      <c r="B11" s="64">
        <v>7.94</v>
      </c>
      <c r="C11" s="64">
        <v>24.87</v>
      </c>
      <c r="D11" s="64">
        <v>20.74</v>
      </c>
      <c r="E11" s="64">
        <v>1.55</v>
      </c>
      <c r="F11" s="64">
        <v>3.23</v>
      </c>
      <c r="G11" s="64">
        <v>27</v>
      </c>
      <c r="H11" s="64">
        <v>12.4</v>
      </c>
      <c r="I11" s="64">
        <v>0.53</v>
      </c>
      <c r="J11" s="64">
        <v>0.06</v>
      </c>
      <c r="K11" s="64">
        <v>326.72000000000003</v>
      </c>
      <c r="L11" s="64">
        <v>20.309999999999999</v>
      </c>
      <c r="M11" s="64">
        <v>78.319999999999993</v>
      </c>
      <c r="N11" s="64">
        <v>0</v>
      </c>
      <c r="O11" s="64">
        <v>0</v>
      </c>
      <c r="P11" s="64">
        <v>0.65</v>
      </c>
      <c r="Q11" s="64">
        <v>25.85</v>
      </c>
      <c r="R11" s="198"/>
      <c r="S11" s="198"/>
      <c r="T11" s="198"/>
      <c r="U11" s="198"/>
    </row>
    <row r="12" spans="1:21" s="12" customFormat="1" x14ac:dyDescent="0.25">
      <c r="A12" s="218" t="s">
        <v>3040</v>
      </c>
      <c r="B12" s="64">
        <v>7.78</v>
      </c>
      <c r="C12" s="64">
        <v>24.63</v>
      </c>
      <c r="D12" s="64">
        <v>20.48</v>
      </c>
      <c r="E12" s="64">
        <v>1.95</v>
      </c>
      <c r="F12" s="64">
        <v>4.68</v>
      </c>
      <c r="G12" s="64">
        <v>27</v>
      </c>
      <c r="H12" s="64">
        <v>12.4</v>
      </c>
      <c r="I12" s="64">
        <v>0.53</v>
      </c>
      <c r="J12" s="64">
        <v>0.14000000000000001</v>
      </c>
      <c r="K12" s="64">
        <v>174.12</v>
      </c>
      <c r="L12" s="64">
        <v>20.3</v>
      </c>
      <c r="M12" s="64">
        <v>76.72</v>
      </c>
      <c r="N12" s="64">
        <v>0</v>
      </c>
      <c r="O12" s="64">
        <v>0</v>
      </c>
      <c r="P12" s="64">
        <v>0.62</v>
      </c>
      <c r="Q12" s="64">
        <v>26.16</v>
      </c>
      <c r="R12" s="198"/>
      <c r="S12" s="198"/>
      <c r="T12" s="198"/>
      <c r="U12" s="198"/>
    </row>
    <row r="13" spans="1:21" s="12" customFormat="1" x14ac:dyDescent="0.25">
      <c r="A13" s="218" t="s">
        <v>3041</v>
      </c>
      <c r="B13" s="64">
        <v>8.1300000000000008</v>
      </c>
      <c r="C13" s="64">
        <v>23.79</v>
      </c>
      <c r="D13" s="64">
        <v>20.3</v>
      </c>
      <c r="E13" s="64">
        <v>1.61</v>
      </c>
      <c r="F13" s="64">
        <v>3.73</v>
      </c>
      <c r="G13" s="64">
        <v>15.6</v>
      </c>
      <c r="H13" s="64">
        <v>11.33</v>
      </c>
      <c r="I13" s="64">
        <v>0.53</v>
      </c>
      <c r="J13" s="64">
        <v>0.32</v>
      </c>
      <c r="K13" s="64">
        <v>153.07</v>
      </c>
      <c r="L13" s="64">
        <v>20.350000000000001</v>
      </c>
      <c r="M13" s="64">
        <v>76.319999999999993</v>
      </c>
      <c r="N13" s="64">
        <v>0</v>
      </c>
      <c r="O13" s="64">
        <v>0</v>
      </c>
      <c r="P13" s="64">
        <v>0.6</v>
      </c>
      <c r="Q13" s="64">
        <v>26.48</v>
      </c>
      <c r="R13" s="198"/>
      <c r="S13" s="198"/>
      <c r="T13" s="198"/>
      <c r="U13" s="198"/>
    </row>
    <row r="14" spans="1:21" s="12" customFormat="1" x14ac:dyDescent="0.25">
      <c r="A14" s="218" t="s">
        <v>3042</v>
      </c>
      <c r="B14" s="64">
        <v>8.52</v>
      </c>
      <c r="C14" s="64">
        <v>22.5</v>
      </c>
      <c r="D14" s="64">
        <v>19.899999999999999</v>
      </c>
      <c r="E14" s="64">
        <v>1.42</v>
      </c>
      <c r="F14" s="64">
        <v>3.38</v>
      </c>
      <c r="G14" s="64">
        <v>15.34</v>
      </c>
      <c r="H14" s="64">
        <v>11.33</v>
      </c>
      <c r="I14" s="64">
        <v>0.53</v>
      </c>
      <c r="J14" s="64">
        <v>0.12</v>
      </c>
      <c r="K14" s="64">
        <v>301.45</v>
      </c>
      <c r="L14" s="64">
        <v>20.51</v>
      </c>
      <c r="M14" s="64">
        <v>76.89</v>
      </c>
      <c r="N14" s="64">
        <v>0</v>
      </c>
      <c r="O14" s="64">
        <v>0</v>
      </c>
      <c r="P14" s="64">
        <v>0.61</v>
      </c>
      <c r="Q14" s="64">
        <v>26.1</v>
      </c>
      <c r="R14" s="198"/>
      <c r="S14" s="198"/>
      <c r="T14" s="198"/>
      <c r="U14" s="198"/>
    </row>
    <row r="15" spans="1:21" s="12" customFormat="1" x14ac:dyDescent="0.25">
      <c r="A15" s="218" t="s">
        <v>3043</v>
      </c>
      <c r="B15" s="64">
        <v>8.27</v>
      </c>
      <c r="C15" s="64">
        <v>22.27</v>
      </c>
      <c r="D15" s="64">
        <v>19.559999999999999</v>
      </c>
      <c r="E15" s="64">
        <v>1.81</v>
      </c>
      <c r="F15" s="64">
        <v>3.44</v>
      </c>
      <c r="G15" s="64">
        <v>15.34</v>
      </c>
      <c r="H15" s="64">
        <v>11.33</v>
      </c>
      <c r="I15" s="64">
        <v>0.52</v>
      </c>
      <c r="J15" s="64">
        <v>0.26</v>
      </c>
      <c r="K15" s="64">
        <v>214.8</v>
      </c>
      <c r="L15" s="64">
        <v>20.48</v>
      </c>
      <c r="M15" s="64">
        <v>76.53</v>
      </c>
      <c r="N15" s="64">
        <v>0</v>
      </c>
      <c r="O15" s="64">
        <v>0</v>
      </c>
      <c r="P15" s="64">
        <v>0.6</v>
      </c>
      <c r="Q15" s="64">
        <v>25.86</v>
      </c>
      <c r="R15" s="198"/>
      <c r="S15" s="198"/>
      <c r="T15" s="198"/>
      <c r="U15" s="198"/>
    </row>
    <row r="16" spans="1:21" s="12" customFormat="1" x14ac:dyDescent="0.25">
      <c r="A16" s="218" t="s">
        <v>3044</v>
      </c>
      <c r="B16" s="64">
        <v>7.74</v>
      </c>
      <c r="C16" s="64">
        <v>21.01</v>
      </c>
      <c r="D16" s="64">
        <v>18.45</v>
      </c>
      <c r="E16" s="64">
        <v>1.8</v>
      </c>
      <c r="F16" s="64">
        <v>3.3</v>
      </c>
      <c r="G16" s="64">
        <v>15.34</v>
      </c>
      <c r="H16" s="64">
        <v>11.33</v>
      </c>
      <c r="I16" s="64">
        <v>0.54</v>
      </c>
      <c r="J16" s="64">
        <v>0.03</v>
      </c>
      <c r="K16" s="64">
        <v>146</v>
      </c>
      <c r="L16" s="64">
        <v>20.329999999999998</v>
      </c>
      <c r="M16" s="64">
        <v>77.17</v>
      </c>
      <c r="N16" s="64">
        <v>0</v>
      </c>
      <c r="O16" s="64">
        <v>0</v>
      </c>
      <c r="P16" s="64">
        <v>0.57999999999999996</v>
      </c>
      <c r="Q16" s="64">
        <v>25.51</v>
      </c>
      <c r="R16" s="198"/>
      <c r="S16" s="198"/>
      <c r="T16" s="198"/>
      <c r="U16" s="198"/>
    </row>
    <row r="17" spans="1:21" s="12" customFormat="1" x14ac:dyDescent="0.25">
      <c r="A17" s="218" t="s">
        <v>3045</v>
      </c>
      <c r="B17" s="64">
        <v>7.11</v>
      </c>
      <c r="C17" s="64">
        <v>21.16</v>
      </c>
      <c r="D17" s="64">
        <v>18.02</v>
      </c>
      <c r="E17" s="64">
        <v>1.9</v>
      </c>
      <c r="F17" s="64">
        <v>3.22</v>
      </c>
      <c r="G17" s="64">
        <v>10.63</v>
      </c>
      <c r="H17" s="64">
        <v>8.1199999999999992</v>
      </c>
      <c r="I17" s="64">
        <v>0.54</v>
      </c>
      <c r="J17" s="64">
        <v>0.16</v>
      </c>
      <c r="K17" s="64">
        <v>25.91</v>
      </c>
      <c r="L17" s="64">
        <v>20.28</v>
      </c>
      <c r="M17" s="64">
        <v>77.66</v>
      </c>
      <c r="N17" s="64">
        <v>0</v>
      </c>
      <c r="O17" s="64">
        <v>0</v>
      </c>
      <c r="P17" s="64">
        <v>0.56000000000000005</v>
      </c>
      <c r="Q17" s="64">
        <v>25.47</v>
      </c>
      <c r="R17" s="198"/>
      <c r="S17" s="198"/>
      <c r="T17" s="198"/>
      <c r="U17" s="198"/>
    </row>
    <row r="18" spans="1:21" s="12" customFormat="1" x14ac:dyDescent="0.25">
      <c r="A18" s="218" t="s">
        <v>3046</v>
      </c>
      <c r="B18" s="64">
        <v>6.05</v>
      </c>
      <c r="C18" s="64">
        <v>21.98</v>
      </c>
      <c r="D18" s="64">
        <v>17.63</v>
      </c>
      <c r="E18" s="64">
        <v>1.33</v>
      </c>
      <c r="F18" s="64">
        <v>3.61</v>
      </c>
      <c r="G18" s="64">
        <v>10.52</v>
      </c>
      <c r="H18" s="64">
        <v>8.1199999999999992</v>
      </c>
      <c r="I18" s="64">
        <v>0.51</v>
      </c>
      <c r="J18" s="64">
        <v>0.13</v>
      </c>
      <c r="K18" s="64">
        <v>338.34</v>
      </c>
      <c r="L18" s="64">
        <v>20.350000000000001</v>
      </c>
      <c r="M18" s="64">
        <v>77.12</v>
      </c>
      <c r="N18" s="64">
        <v>0</v>
      </c>
      <c r="O18" s="64">
        <v>0</v>
      </c>
      <c r="P18" s="64">
        <v>0.54</v>
      </c>
      <c r="Q18" s="64">
        <v>25.38</v>
      </c>
      <c r="R18" s="198"/>
      <c r="S18" s="198"/>
      <c r="T18" s="198"/>
      <c r="U18" s="198"/>
    </row>
    <row r="19" spans="1:21" s="12" customFormat="1" x14ac:dyDescent="0.25">
      <c r="A19" s="218" t="s">
        <v>3047</v>
      </c>
      <c r="B19" s="64">
        <v>5.18</v>
      </c>
      <c r="C19" s="64">
        <v>21.77</v>
      </c>
      <c r="D19" s="64">
        <v>16.82</v>
      </c>
      <c r="E19" s="64">
        <v>1.51</v>
      </c>
      <c r="F19" s="64">
        <v>3.34</v>
      </c>
      <c r="G19" s="64">
        <v>10.52</v>
      </c>
      <c r="H19" s="64">
        <v>8.1199999999999992</v>
      </c>
      <c r="I19" s="64">
        <v>0.53</v>
      </c>
      <c r="J19" s="64">
        <v>0.22</v>
      </c>
      <c r="K19" s="64">
        <v>326.29000000000002</v>
      </c>
      <c r="L19" s="64">
        <v>20.23</v>
      </c>
      <c r="M19" s="64">
        <v>79.3</v>
      </c>
      <c r="N19" s="64">
        <v>0</v>
      </c>
      <c r="O19" s="64">
        <v>0</v>
      </c>
      <c r="P19" s="64">
        <v>0.52</v>
      </c>
      <c r="Q19" s="64">
        <v>25.07</v>
      </c>
      <c r="R19" s="198"/>
      <c r="S19" s="198"/>
      <c r="T19" s="198"/>
      <c r="U19" s="198"/>
    </row>
    <row r="20" spans="1:21" s="12" customFormat="1" x14ac:dyDescent="0.25">
      <c r="A20" s="218" t="s">
        <v>3048</v>
      </c>
      <c r="B20" s="64">
        <v>4.96</v>
      </c>
      <c r="C20" s="64">
        <v>21.83</v>
      </c>
      <c r="D20" s="64">
        <v>16.670000000000002</v>
      </c>
      <c r="E20" s="64">
        <v>1.78</v>
      </c>
      <c r="F20" s="64">
        <v>3.25</v>
      </c>
      <c r="G20" s="64">
        <v>10.52</v>
      </c>
      <c r="H20" s="64">
        <v>8.1199999999999992</v>
      </c>
      <c r="I20" s="64">
        <v>0.51</v>
      </c>
      <c r="J20" s="64">
        <v>0.54</v>
      </c>
      <c r="K20" s="64">
        <v>288.58999999999997</v>
      </c>
      <c r="L20" s="64">
        <v>20.18</v>
      </c>
      <c r="M20" s="64">
        <v>80.56</v>
      </c>
      <c r="N20" s="64">
        <v>0</v>
      </c>
      <c r="O20" s="64">
        <v>0</v>
      </c>
      <c r="P20" s="64">
        <v>0.52</v>
      </c>
      <c r="Q20" s="64">
        <v>24.91</v>
      </c>
      <c r="R20" s="198"/>
      <c r="S20" s="198"/>
      <c r="T20" s="198"/>
      <c r="U20" s="198"/>
    </row>
    <row r="21" spans="1:21" s="12" customFormat="1" x14ac:dyDescent="0.25">
      <c r="A21" s="218" t="s">
        <v>3049</v>
      </c>
      <c r="B21" s="64">
        <v>5.0199999999999996</v>
      </c>
      <c r="C21" s="64">
        <v>23.42</v>
      </c>
      <c r="D21" s="64">
        <v>17.600000000000001</v>
      </c>
      <c r="E21" s="64">
        <v>1.59</v>
      </c>
      <c r="F21" s="64">
        <v>2.94</v>
      </c>
      <c r="G21" s="64">
        <v>16.16</v>
      </c>
      <c r="H21" s="64">
        <v>8.06</v>
      </c>
      <c r="I21" s="64">
        <v>0.5</v>
      </c>
      <c r="J21" s="64">
        <v>0.6</v>
      </c>
      <c r="K21" s="64">
        <v>327.04000000000002</v>
      </c>
      <c r="L21" s="64">
        <v>20.14</v>
      </c>
      <c r="M21" s="64">
        <v>81.19</v>
      </c>
      <c r="N21" s="64">
        <v>0</v>
      </c>
      <c r="O21" s="64">
        <v>0</v>
      </c>
      <c r="P21" s="64">
        <v>0.53</v>
      </c>
      <c r="Q21" s="64">
        <v>26.19</v>
      </c>
      <c r="R21" s="198"/>
      <c r="S21" s="198"/>
      <c r="T21" s="198"/>
      <c r="U21" s="198"/>
    </row>
    <row r="22" spans="1:21" s="12" customFormat="1" x14ac:dyDescent="0.25">
      <c r="A22" s="218" t="s">
        <v>3050</v>
      </c>
      <c r="B22" s="64">
        <v>5.44</v>
      </c>
      <c r="C22" s="64">
        <v>23.11</v>
      </c>
      <c r="D22" s="64">
        <v>17.760000000000002</v>
      </c>
      <c r="E22" s="64">
        <v>2.11</v>
      </c>
      <c r="F22" s="64">
        <v>3.64</v>
      </c>
      <c r="G22" s="64">
        <v>16.29</v>
      </c>
      <c r="H22" s="64">
        <v>8.06</v>
      </c>
      <c r="I22" s="64">
        <v>0.52</v>
      </c>
      <c r="J22" s="64">
        <v>0.69</v>
      </c>
      <c r="K22" s="64">
        <v>121.79</v>
      </c>
      <c r="L22" s="64">
        <v>20.27</v>
      </c>
      <c r="M22" s="64">
        <v>78.72</v>
      </c>
      <c r="N22" s="64">
        <v>0</v>
      </c>
      <c r="O22" s="64">
        <v>0</v>
      </c>
      <c r="P22" s="64">
        <v>0.53</v>
      </c>
      <c r="Q22" s="64">
        <v>26.56</v>
      </c>
      <c r="R22" s="198"/>
      <c r="S22" s="198"/>
      <c r="T22" s="198"/>
      <c r="U22" s="198"/>
    </row>
    <row r="23" spans="1:21" s="12" customFormat="1" x14ac:dyDescent="0.25">
      <c r="A23" s="218" t="s">
        <v>3051</v>
      </c>
      <c r="B23" s="64">
        <v>5.9</v>
      </c>
      <c r="C23" s="64">
        <v>22.89</v>
      </c>
      <c r="D23" s="64">
        <v>18.010000000000002</v>
      </c>
      <c r="E23" s="64">
        <v>1.85</v>
      </c>
      <c r="F23" s="64">
        <v>3.79</v>
      </c>
      <c r="G23" s="64">
        <v>16.29</v>
      </c>
      <c r="H23" s="64">
        <v>8.06</v>
      </c>
      <c r="I23" s="64">
        <v>0.51</v>
      </c>
      <c r="J23" s="64">
        <v>0.28000000000000003</v>
      </c>
      <c r="K23" s="64">
        <v>102.62</v>
      </c>
      <c r="L23" s="64">
        <v>20.39</v>
      </c>
      <c r="M23" s="64">
        <v>77.14</v>
      </c>
      <c r="N23" s="64">
        <v>0</v>
      </c>
      <c r="O23" s="64">
        <v>0</v>
      </c>
      <c r="P23" s="64">
        <v>0.53</v>
      </c>
      <c r="Q23" s="64">
        <v>27.11</v>
      </c>
      <c r="R23" s="198"/>
      <c r="S23" s="198"/>
      <c r="T23" s="198"/>
      <c r="U23" s="198"/>
    </row>
    <row r="24" spans="1:21" s="12" customFormat="1" x14ac:dyDescent="0.25">
      <c r="A24" s="218" t="s">
        <v>3052</v>
      </c>
      <c r="B24" s="64">
        <v>6.94</v>
      </c>
      <c r="C24" s="64">
        <v>24.89</v>
      </c>
      <c r="D24" s="64">
        <v>19.95</v>
      </c>
      <c r="E24" s="64">
        <v>0.54</v>
      </c>
      <c r="F24" s="64">
        <v>4.1900000000000004</v>
      </c>
      <c r="G24" s="64">
        <v>16.29</v>
      </c>
      <c r="H24" s="64">
        <v>8.06</v>
      </c>
      <c r="I24" s="64">
        <v>0.51</v>
      </c>
      <c r="J24" s="64">
        <v>0.06</v>
      </c>
      <c r="K24" s="64">
        <v>118.63</v>
      </c>
      <c r="L24" s="64">
        <v>20.420000000000002</v>
      </c>
      <c r="M24" s="64">
        <v>77.06</v>
      </c>
      <c r="N24" s="64">
        <v>4.5</v>
      </c>
      <c r="O24" s="64">
        <v>0</v>
      </c>
      <c r="P24" s="64">
        <v>0.54</v>
      </c>
      <c r="Q24" s="64">
        <v>27.48</v>
      </c>
      <c r="R24" s="198"/>
      <c r="S24" s="198"/>
      <c r="T24" s="198"/>
      <c r="U24" s="198"/>
    </row>
    <row r="25" spans="1:21" s="12" customFormat="1" x14ac:dyDescent="0.25">
      <c r="A25" s="218" t="s">
        <v>3053</v>
      </c>
      <c r="B25" s="64">
        <v>7.24</v>
      </c>
      <c r="C25" s="64">
        <v>23.12</v>
      </c>
      <c r="D25" s="64">
        <v>19.22</v>
      </c>
      <c r="E25" s="64">
        <v>0.91</v>
      </c>
      <c r="F25" s="64">
        <v>2.78</v>
      </c>
      <c r="G25" s="64">
        <v>18.39</v>
      </c>
      <c r="H25" s="64">
        <v>7.98</v>
      </c>
      <c r="I25" s="64">
        <v>0.51</v>
      </c>
      <c r="J25" s="64">
        <v>0.08</v>
      </c>
      <c r="K25" s="64">
        <v>277.52999999999997</v>
      </c>
      <c r="L25" s="64">
        <v>20.41</v>
      </c>
      <c r="M25" s="64">
        <v>77.92</v>
      </c>
      <c r="N25" s="64">
        <v>5.0999999999999996</v>
      </c>
      <c r="O25" s="64">
        <v>0</v>
      </c>
      <c r="P25" s="64">
        <v>0.55000000000000004</v>
      </c>
      <c r="Q25" s="64">
        <v>27.46</v>
      </c>
      <c r="R25" s="198"/>
      <c r="S25" s="198"/>
      <c r="T25" s="198"/>
      <c r="U25" s="198"/>
    </row>
    <row r="26" spans="1:21" s="12" customFormat="1" x14ac:dyDescent="0.25">
      <c r="A26" s="218" t="s">
        <v>3054</v>
      </c>
      <c r="B26" s="64">
        <v>7.92</v>
      </c>
      <c r="C26" s="64">
        <v>22.04</v>
      </c>
      <c r="D26" s="64">
        <v>19.16</v>
      </c>
      <c r="E26" s="64">
        <v>0.77</v>
      </c>
      <c r="F26" s="64">
        <v>2.27</v>
      </c>
      <c r="G26" s="64">
        <v>18.440000000000001</v>
      </c>
      <c r="H26" s="64">
        <v>7.98</v>
      </c>
      <c r="I26" s="64">
        <v>0.51</v>
      </c>
      <c r="J26" s="64">
        <v>0.02</v>
      </c>
      <c r="K26" s="64">
        <v>41.55</v>
      </c>
      <c r="L26" s="64">
        <v>20.09</v>
      </c>
      <c r="M26" s="64">
        <v>81.73</v>
      </c>
      <c r="N26" s="64">
        <v>5.0999999999999996</v>
      </c>
      <c r="O26" s="64">
        <v>0</v>
      </c>
      <c r="P26" s="64">
        <v>0.55000000000000004</v>
      </c>
      <c r="Q26" s="64">
        <v>27.14</v>
      </c>
      <c r="R26" s="198"/>
      <c r="S26" s="198"/>
      <c r="T26" s="198"/>
      <c r="U26" s="198"/>
    </row>
    <row r="27" spans="1:21" s="12" customFormat="1" x14ac:dyDescent="0.25">
      <c r="A27" s="218" t="s">
        <v>3055</v>
      </c>
      <c r="B27" s="64">
        <v>8.89</v>
      </c>
      <c r="C27" s="64">
        <v>21.28</v>
      </c>
      <c r="D27" s="64">
        <v>19.52</v>
      </c>
      <c r="E27" s="64">
        <v>0.88</v>
      </c>
      <c r="F27" s="64">
        <v>3.04</v>
      </c>
      <c r="G27" s="64">
        <v>18.440000000000001</v>
      </c>
      <c r="H27" s="64">
        <v>7.98</v>
      </c>
      <c r="I27" s="64">
        <v>0.53</v>
      </c>
      <c r="J27" s="64">
        <v>0.28999999999999998</v>
      </c>
      <c r="K27" s="64">
        <v>345.95</v>
      </c>
      <c r="L27" s="64">
        <v>20.2</v>
      </c>
      <c r="M27" s="64">
        <v>80.42</v>
      </c>
      <c r="N27" s="64">
        <v>4.8</v>
      </c>
      <c r="O27" s="64">
        <v>0</v>
      </c>
      <c r="P27" s="64">
        <v>0.55000000000000004</v>
      </c>
      <c r="Q27" s="64">
        <v>26.72</v>
      </c>
      <c r="R27" s="198"/>
      <c r="S27" s="198"/>
      <c r="T27" s="198"/>
      <c r="U27" s="198"/>
    </row>
    <row r="28" spans="1:21" s="12" customFormat="1" x14ac:dyDescent="0.25">
      <c r="A28" s="218" t="s">
        <v>3056</v>
      </c>
      <c r="B28" s="64">
        <v>10.34</v>
      </c>
      <c r="C28" s="64">
        <v>21.66</v>
      </c>
      <c r="D28" s="64">
        <v>20.89</v>
      </c>
      <c r="E28" s="64">
        <v>0.56000000000000005</v>
      </c>
      <c r="F28" s="64">
        <v>2.86</v>
      </c>
      <c r="G28" s="64">
        <v>18.440000000000001</v>
      </c>
      <c r="H28" s="64">
        <v>7.98</v>
      </c>
      <c r="I28" s="64">
        <v>0.52</v>
      </c>
      <c r="J28" s="64">
        <v>0.14000000000000001</v>
      </c>
      <c r="K28" s="64">
        <v>306.10000000000002</v>
      </c>
      <c r="L28" s="64">
        <v>20.420000000000002</v>
      </c>
      <c r="M28" s="64">
        <v>78.78</v>
      </c>
      <c r="N28" s="64">
        <v>4.8</v>
      </c>
      <c r="O28" s="64">
        <v>0</v>
      </c>
      <c r="P28" s="64">
        <v>0.56999999999999995</v>
      </c>
      <c r="Q28" s="64">
        <v>26.48</v>
      </c>
      <c r="R28" s="198"/>
      <c r="S28" s="198"/>
      <c r="T28" s="198"/>
      <c r="U28" s="198"/>
    </row>
    <row r="29" spans="1:21" s="12" customFormat="1" x14ac:dyDescent="0.25">
      <c r="A29" s="218" t="s">
        <v>3057</v>
      </c>
      <c r="B29" s="64">
        <v>11.18</v>
      </c>
      <c r="C29" s="64">
        <v>22.63</v>
      </c>
      <c r="D29" s="64">
        <v>22.1</v>
      </c>
      <c r="E29" s="64">
        <v>0.89</v>
      </c>
      <c r="F29" s="64">
        <v>3.17</v>
      </c>
      <c r="G29" s="64">
        <v>32.840000000000003</v>
      </c>
      <c r="H29" s="64">
        <v>10.63</v>
      </c>
      <c r="I29" s="64">
        <v>0.51</v>
      </c>
      <c r="J29" s="64">
        <v>0.21</v>
      </c>
      <c r="K29" s="64">
        <v>13.18</v>
      </c>
      <c r="L29" s="64">
        <v>20.38</v>
      </c>
      <c r="M29" s="64">
        <v>79.94</v>
      </c>
      <c r="N29" s="64">
        <v>5</v>
      </c>
      <c r="O29" s="64">
        <v>0</v>
      </c>
      <c r="P29" s="64">
        <v>0.59</v>
      </c>
      <c r="Q29" s="64">
        <v>26.51</v>
      </c>
      <c r="R29" s="198"/>
      <c r="S29" s="198"/>
      <c r="T29" s="198"/>
      <c r="U29" s="198"/>
    </row>
    <row r="30" spans="1:21" s="12" customFormat="1" x14ac:dyDescent="0.25">
      <c r="A30" s="218" t="s">
        <v>3058</v>
      </c>
      <c r="B30" s="64">
        <v>12.04</v>
      </c>
      <c r="C30" s="64">
        <v>24.23</v>
      </c>
      <c r="D30" s="64">
        <v>23.67</v>
      </c>
      <c r="E30" s="64">
        <v>0.96</v>
      </c>
      <c r="F30" s="64">
        <v>2.79</v>
      </c>
      <c r="G30" s="64">
        <v>33.340000000000003</v>
      </c>
      <c r="H30" s="64">
        <v>10.63</v>
      </c>
      <c r="I30" s="64">
        <v>0.51</v>
      </c>
      <c r="J30" s="64">
        <v>0.09</v>
      </c>
      <c r="K30" s="64">
        <v>82.53</v>
      </c>
      <c r="L30" s="64">
        <v>20.2</v>
      </c>
      <c r="M30" s="64">
        <v>81.010000000000005</v>
      </c>
      <c r="N30" s="64">
        <v>6.3</v>
      </c>
      <c r="O30" s="64">
        <v>0</v>
      </c>
      <c r="P30" s="64">
        <v>0.6</v>
      </c>
      <c r="Q30" s="64">
        <v>26.96</v>
      </c>
      <c r="R30" s="198"/>
      <c r="S30" s="198"/>
      <c r="T30" s="198"/>
      <c r="U30" s="198"/>
    </row>
    <row r="31" spans="1:21" s="12" customFormat="1" x14ac:dyDescent="0.25">
      <c r="A31" s="218" t="s">
        <v>3059</v>
      </c>
      <c r="B31" s="64">
        <v>13.56</v>
      </c>
      <c r="C31" s="64">
        <v>23.94</v>
      </c>
      <c r="D31" s="64">
        <v>24.73</v>
      </c>
      <c r="E31" s="64">
        <v>1.08</v>
      </c>
      <c r="F31" s="64">
        <v>2.48</v>
      </c>
      <c r="G31" s="64">
        <v>33.340000000000003</v>
      </c>
      <c r="H31" s="64">
        <v>10.63</v>
      </c>
      <c r="I31" s="64">
        <v>0.53</v>
      </c>
      <c r="J31" s="64">
        <v>0.31</v>
      </c>
      <c r="K31" s="64">
        <v>305.23</v>
      </c>
      <c r="L31" s="64">
        <v>20.2</v>
      </c>
      <c r="M31" s="64">
        <v>80.87</v>
      </c>
      <c r="N31" s="64">
        <v>4</v>
      </c>
      <c r="O31" s="64">
        <v>0</v>
      </c>
      <c r="P31" s="64">
        <v>0.63</v>
      </c>
      <c r="Q31" s="64">
        <v>26.88</v>
      </c>
      <c r="R31" s="198"/>
      <c r="S31" s="198"/>
      <c r="T31" s="198"/>
      <c r="U31" s="198"/>
    </row>
    <row r="32" spans="1:21" s="12" customFormat="1" x14ac:dyDescent="0.25">
      <c r="A32" s="218" t="s">
        <v>3060</v>
      </c>
      <c r="B32" s="64">
        <v>14.68</v>
      </c>
      <c r="C32" s="64">
        <v>25.8</v>
      </c>
      <c r="D32" s="64">
        <v>26.65</v>
      </c>
      <c r="E32" s="64">
        <v>0.85</v>
      </c>
      <c r="F32" s="64">
        <v>3.34</v>
      </c>
      <c r="G32" s="64">
        <v>33.340000000000003</v>
      </c>
      <c r="H32" s="64">
        <v>10.63</v>
      </c>
      <c r="I32" s="64">
        <v>0.52</v>
      </c>
      <c r="J32" s="64">
        <v>0.16</v>
      </c>
      <c r="K32" s="64">
        <v>212.54</v>
      </c>
      <c r="L32" s="64">
        <v>20.399999999999999</v>
      </c>
      <c r="M32" s="64">
        <v>79.61</v>
      </c>
      <c r="N32" s="64">
        <v>0</v>
      </c>
      <c r="O32" s="64">
        <v>0</v>
      </c>
      <c r="P32" s="64">
        <v>0.63</v>
      </c>
      <c r="Q32" s="64">
        <v>26.77</v>
      </c>
      <c r="R32" s="198"/>
      <c r="S32" s="198"/>
      <c r="T32" s="198"/>
      <c r="U32" s="198"/>
    </row>
    <row r="33" spans="1:21" s="12" customFormat="1" x14ac:dyDescent="0.25">
      <c r="A33" s="218" t="s">
        <v>3061</v>
      </c>
      <c r="B33" s="64">
        <v>15.35</v>
      </c>
      <c r="C33" s="64">
        <v>28.29</v>
      </c>
      <c r="D33" s="64">
        <v>28.57</v>
      </c>
      <c r="E33" s="64">
        <v>0.89</v>
      </c>
      <c r="F33" s="64">
        <v>3.86</v>
      </c>
      <c r="G33" s="64">
        <v>47.44</v>
      </c>
      <c r="H33" s="64">
        <v>16.22</v>
      </c>
      <c r="I33" s="64">
        <v>0.51</v>
      </c>
      <c r="J33" s="64">
        <v>0.16</v>
      </c>
      <c r="K33" s="64">
        <v>265.27</v>
      </c>
      <c r="L33" s="64">
        <v>20.71</v>
      </c>
      <c r="M33" s="64">
        <v>78.11</v>
      </c>
      <c r="N33" s="64">
        <v>0</v>
      </c>
      <c r="O33" s="64">
        <v>0</v>
      </c>
      <c r="P33" s="64">
        <v>0.63</v>
      </c>
      <c r="Q33" s="64">
        <v>27.28</v>
      </c>
      <c r="R33" s="198"/>
      <c r="S33" s="198"/>
      <c r="T33" s="198"/>
      <c r="U33" s="198"/>
    </row>
    <row r="34" spans="1:21" s="12" customFormat="1" x14ac:dyDescent="0.25">
      <c r="A34" s="218" t="s">
        <v>3062</v>
      </c>
      <c r="B34" s="64">
        <v>15.49</v>
      </c>
      <c r="C34" s="64">
        <v>25.77</v>
      </c>
      <c r="D34" s="64">
        <v>27.3</v>
      </c>
      <c r="E34" s="64">
        <v>0.69</v>
      </c>
      <c r="F34" s="64">
        <v>3.82</v>
      </c>
      <c r="G34" s="64">
        <v>47.76</v>
      </c>
      <c r="H34" s="64">
        <v>16.22</v>
      </c>
      <c r="I34" s="64">
        <v>0.53</v>
      </c>
      <c r="J34" s="64">
        <v>0.09</v>
      </c>
      <c r="K34" s="64">
        <v>318.19</v>
      </c>
      <c r="L34" s="64">
        <v>20.93</v>
      </c>
      <c r="M34" s="64">
        <v>79.56</v>
      </c>
      <c r="N34" s="64">
        <v>0</v>
      </c>
      <c r="O34" s="64">
        <v>0</v>
      </c>
      <c r="P34" s="64">
        <v>0.64</v>
      </c>
      <c r="Q34" s="64">
        <v>27.66</v>
      </c>
      <c r="R34" s="198"/>
      <c r="S34" s="198"/>
      <c r="T34" s="198"/>
      <c r="U34" s="198"/>
    </row>
    <row r="35" spans="1:21" s="12" customFormat="1" x14ac:dyDescent="0.25">
      <c r="A35" s="218" t="s">
        <v>3063</v>
      </c>
      <c r="B35" s="64">
        <v>16.97</v>
      </c>
      <c r="C35" s="64">
        <v>25.39</v>
      </c>
      <c r="D35" s="64">
        <v>28.26</v>
      </c>
      <c r="E35" s="64">
        <v>0.96</v>
      </c>
      <c r="F35" s="64">
        <v>2.95</v>
      </c>
      <c r="G35" s="64">
        <v>47.76</v>
      </c>
      <c r="H35" s="64">
        <v>16.22</v>
      </c>
      <c r="I35" s="64">
        <v>0.52</v>
      </c>
      <c r="J35" s="64">
        <v>0.62</v>
      </c>
      <c r="K35" s="64">
        <v>279.14999999999998</v>
      </c>
      <c r="L35" s="64">
        <v>20.9</v>
      </c>
      <c r="M35" s="64">
        <v>81.94</v>
      </c>
      <c r="N35" s="64">
        <v>0</v>
      </c>
      <c r="O35" s="64">
        <v>0</v>
      </c>
      <c r="P35" s="64">
        <v>0.66</v>
      </c>
      <c r="Q35" s="64">
        <v>27.79</v>
      </c>
      <c r="R35" s="198"/>
      <c r="S35" s="198"/>
      <c r="T35" s="198"/>
      <c r="U35" s="198"/>
    </row>
    <row r="36" spans="1:21" s="12" customFormat="1" x14ac:dyDescent="0.25">
      <c r="A36" s="218" t="s">
        <v>3064</v>
      </c>
      <c r="B36" s="64">
        <v>17.350000000000001</v>
      </c>
      <c r="C36" s="64">
        <v>25.12</v>
      </c>
      <c r="D36" s="64">
        <v>28.42</v>
      </c>
      <c r="E36" s="64">
        <v>0.97</v>
      </c>
      <c r="F36" s="64">
        <v>3.06</v>
      </c>
      <c r="G36" s="64">
        <v>47.76</v>
      </c>
      <c r="H36" s="64">
        <v>16.22</v>
      </c>
      <c r="I36" s="64">
        <v>0.53</v>
      </c>
      <c r="J36" s="64">
        <v>1.1100000000000001</v>
      </c>
      <c r="K36" s="64">
        <v>279.26</v>
      </c>
      <c r="L36" s="64">
        <v>20.68</v>
      </c>
      <c r="M36" s="64">
        <v>83.33</v>
      </c>
      <c r="N36" s="64">
        <v>0</v>
      </c>
      <c r="O36" s="64">
        <v>0</v>
      </c>
      <c r="P36" s="64">
        <v>0.67</v>
      </c>
      <c r="Q36" s="64">
        <v>27.58</v>
      </c>
      <c r="R36" s="198"/>
      <c r="S36" s="198"/>
      <c r="T36" s="198"/>
      <c r="U36" s="198"/>
    </row>
    <row r="37" spans="1:21" s="12" customFormat="1" x14ac:dyDescent="0.25">
      <c r="A37" s="218" t="s">
        <v>3065</v>
      </c>
      <c r="B37" s="64">
        <v>15.47</v>
      </c>
      <c r="C37" s="64">
        <v>28.9</v>
      </c>
      <c r="D37" s="64">
        <v>29</v>
      </c>
      <c r="E37" s="64">
        <v>0.97</v>
      </c>
      <c r="F37" s="64">
        <v>3.13</v>
      </c>
      <c r="G37" s="64">
        <v>52.33</v>
      </c>
      <c r="H37" s="64">
        <v>18.95</v>
      </c>
      <c r="I37" s="64">
        <v>0.54</v>
      </c>
      <c r="J37" s="64">
        <v>1.62</v>
      </c>
      <c r="K37" s="64">
        <v>278.39</v>
      </c>
      <c r="L37" s="64">
        <v>20.399999999999999</v>
      </c>
      <c r="M37" s="64">
        <v>83.5</v>
      </c>
      <c r="N37" s="64">
        <v>0</v>
      </c>
      <c r="O37" s="64">
        <v>0</v>
      </c>
      <c r="P37" s="64">
        <v>0.57999999999999996</v>
      </c>
      <c r="Q37" s="64">
        <v>27.34</v>
      </c>
      <c r="R37" s="198"/>
      <c r="S37" s="198"/>
      <c r="T37" s="198"/>
      <c r="U37" s="198"/>
    </row>
    <row r="38" spans="1:21" s="12" customFormat="1" x14ac:dyDescent="0.25">
      <c r="A38" s="218" t="s">
        <v>3066</v>
      </c>
      <c r="B38" s="64">
        <v>11.85</v>
      </c>
      <c r="C38" s="64">
        <v>29.31</v>
      </c>
      <c r="D38" s="64">
        <v>26.33</v>
      </c>
      <c r="E38" s="64">
        <v>0.78</v>
      </c>
      <c r="F38" s="64">
        <v>3.49</v>
      </c>
      <c r="G38" s="64">
        <v>52.48</v>
      </c>
      <c r="H38" s="64">
        <v>18.95</v>
      </c>
      <c r="I38" s="64">
        <v>0.53</v>
      </c>
      <c r="J38" s="64">
        <v>2.76</v>
      </c>
      <c r="K38" s="64">
        <v>277.37</v>
      </c>
      <c r="L38" s="64">
        <v>20.37</v>
      </c>
      <c r="M38" s="64">
        <v>80.59</v>
      </c>
      <c r="N38" s="64">
        <v>0</v>
      </c>
      <c r="O38" s="64">
        <v>0</v>
      </c>
      <c r="P38" s="64">
        <v>0.56999999999999995</v>
      </c>
      <c r="Q38" s="64">
        <v>26.3</v>
      </c>
      <c r="R38" s="198"/>
      <c r="S38" s="198"/>
      <c r="T38" s="198"/>
      <c r="U38" s="198"/>
    </row>
    <row r="39" spans="1:21" s="12" customFormat="1" x14ac:dyDescent="0.25">
      <c r="A39" s="218" t="s">
        <v>3067</v>
      </c>
      <c r="B39" s="64">
        <v>7.63</v>
      </c>
      <c r="C39" s="64">
        <v>29.53</v>
      </c>
      <c r="D39" s="64">
        <v>23.06</v>
      </c>
      <c r="E39" s="64">
        <v>0.8</v>
      </c>
      <c r="F39" s="64">
        <v>4.43</v>
      </c>
      <c r="G39" s="64">
        <v>52.48</v>
      </c>
      <c r="H39" s="64">
        <v>18.95</v>
      </c>
      <c r="I39" s="64">
        <v>0.54</v>
      </c>
      <c r="J39" s="64">
        <v>2.14</v>
      </c>
      <c r="K39" s="64">
        <v>277.54000000000002</v>
      </c>
      <c r="L39" s="64">
        <v>20.3</v>
      </c>
      <c r="M39" s="64">
        <v>72.37</v>
      </c>
      <c r="N39" s="64">
        <v>0</v>
      </c>
      <c r="O39" s="64">
        <v>0</v>
      </c>
      <c r="P39" s="64">
        <v>0.51</v>
      </c>
      <c r="Q39" s="64">
        <v>25.37</v>
      </c>
      <c r="R39" s="198"/>
      <c r="S39" s="198"/>
      <c r="T39" s="198"/>
      <c r="U39" s="198"/>
    </row>
    <row r="40" spans="1:21" s="12" customFormat="1" x14ac:dyDescent="0.25">
      <c r="A40" s="218" t="s">
        <v>3068</v>
      </c>
      <c r="B40" s="64">
        <v>4.37</v>
      </c>
      <c r="C40" s="64">
        <v>29.37</v>
      </c>
      <c r="D40" s="64">
        <v>20.350000000000001</v>
      </c>
      <c r="E40" s="64">
        <v>1.26</v>
      </c>
      <c r="F40" s="64">
        <v>5.2</v>
      </c>
      <c r="G40" s="64">
        <v>52.48</v>
      </c>
      <c r="H40" s="64">
        <v>18.95</v>
      </c>
      <c r="I40" s="64">
        <v>0.52</v>
      </c>
      <c r="J40" s="64">
        <v>1.88</v>
      </c>
      <c r="K40" s="64">
        <v>278.25</v>
      </c>
      <c r="L40" s="64">
        <v>19.809999999999999</v>
      </c>
      <c r="M40" s="64">
        <v>72.28</v>
      </c>
      <c r="N40" s="64">
        <v>0</v>
      </c>
      <c r="O40" s="64">
        <v>0</v>
      </c>
      <c r="P40" s="64">
        <v>0.45</v>
      </c>
      <c r="Q40" s="64">
        <v>24.66</v>
      </c>
      <c r="R40" s="198"/>
      <c r="S40" s="198"/>
      <c r="T40" s="198"/>
      <c r="U40" s="198"/>
    </row>
    <row r="41" spans="1:21" s="12" customFormat="1" x14ac:dyDescent="0.25">
      <c r="A41" s="218" t="s">
        <v>3069</v>
      </c>
      <c r="B41" s="64">
        <v>2.86</v>
      </c>
      <c r="C41" s="64">
        <v>28.92</v>
      </c>
      <c r="D41" s="64">
        <v>18.899999999999999</v>
      </c>
      <c r="E41" s="64">
        <v>2.16</v>
      </c>
      <c r="F41" s="64">
        <v>5.74</v>
      </c>
      <c r="G41" s="64">
        <v>31.46</v>
      </c>
      <c r="H41" s="64">
        <v>12.32</v>
      </c>
      <c r="I41" s="64">
        <v>0.5</v>
      </c>
      <c r="J41" s="64">
        <v>1.81</v>
      </c>
      <c r="K41" s="64">
        <v>277.33999999999997</v>
      </c>
      <c r="L41" s="64">
        <v>18.73</v>
      </c>
      <c r="M41" s="64">
        <v>80.260000000000005</v>
      </c>
      <c r="N41" s="64">
        <v>0</v>
      </c>
      <c r="O41" s="64">
        <v>0.8</v>
      </c>
      <c r="P41" s="64">
        <v>0.4</v>
      </c>
      <c r="Q41" s="64">
        <v>23.97</v>
      </c>
      <c r="R41" s="198"/>
      <c r="S41" s="198"/>
      <c r="T41" s="198"/>
      <c r="U41" s="198"/>
    </row>
    <row r="42" spans="1:21" s="12" customFormat="1" x14ac:dyDescent="0.25">
      <c r="A42" s="218" t="s">
        <v>3070</v>
      </c>
      <c r="B42" s="64">
        <v>2.23</v>
      </c>
      <c r="C42" s="64">
        <v>27.68</v>
      </c>
      <c r="D42" s="64">
        <v>17.71</v>
      </c>
      <c r="E42" s="64">
        <v>1.74</v>
      </c>
      <c r="F42" s="64">
        <v>5.92</v>
      </c>
      <c r="G42" s="64">
        <v>30.98</v>
      </c>
      <c r="H42" s="64">
        <v>12.32</v>
      </c>
      <c r="I42" s="64">
        <v>0.49</v>
      </c>
      <c r="J42" s="64">
        <v>2.73</v>
      </c>
      <c r="K42" s="64">
        <v>276.95999999999998</v>
      </c>
      <c r="L42" s="64">
        <v>17.47</v>
      </c>
      <c r="M42" s="64">
        <v>91.41</v>
      </c>
      <c r="N42" s="64">
        <v>0</v>
      </c>
      <c r="O42" s="64">
        <v>1</v>
      </c>
      <c r="P42" s="64">
        <v>0.38</v>
      </c>
      <c r="Q42" s="64">
        <v>23.87</v>
      </c>
      <c r="R42" s="198"/>
      <c r="S42" s="198"/>
      <c r="T42" s="198"/>
      <c r="U42" s="198"/>
    </row>
    <row r="43" spans="1:21" s="12" customFormat="1" x14ac:dyDescent="0.25">
      <c r="A43" s="218" t="s">
        <v>3071</v>
      </c>
      <c r="B43" s="64">
        <v>2.02</v>
      </c>
      <c r="C43" s="64">
        <v>27.46</v>
      </c>
      <c r="D43" s="64">
        <v>17.43</v>
      </c>
      <c r="E43" s="64">
        <v>1.89</v>
      </c>
      <c r="F43" s="64">
        <v>5.62</v>
      </c>
      <c r="G43" s="64">
        <v>30.98</v>
      </c>
      <c r="H43" s="64">
        <v>12.32</v>
      </c>
      <c r="I43" s="64">
        <v>0.49</v>
      </c>
      <c r="J43" s="64">
        <v>2.2799999999999998</v>
      </c>
      <c r="K43" s="64">
        <v>290.72000000000003</v>
      </c>
      <c r="L43" s="64">
        <v>17.399999999999999</v>
      </c>
      <c r="M43" s="64">
        <v>92.82</v>
      </c>
      <c r="N43" s="64">
        <v>0</v>
      </c>
      <c r="O43" s="64">
        <v>0.2</v>
      </c>
      <c r="P43" s="64">
        <v>0.35</v>
      </c>
      <c r="Q43" s="64">
        <v>23.73</v>
      </c>
      <c r="R43" s="198"/>
      <c r="S43" s="198"/>
      <c r="T43" s="198"/>
      <c r="U43" s="198"/>
    </row>
    <row r="44" spans="1:21" s="12" customFormat="1" x14ac:dyDescent="0.25">
      <c r="A44" s="218" t="s">
        <v>3072</v>
      </c>
      <c r="B44" s="64">
        <v>2.38</v>
      </c>
      <c r="C44" s="64">
        <v>28.77</v>
      </c>
      <c r="D44" s="64">
        <v>18.43</v>
      </c>
      <c r="E44" s="64">
        <v>2.16</v>
      </c>
      <c r="F44" s="64">
        <v>5.79</v>
      </c>
      <c r="G44" s="64">
        <v>30.98</v>
      </c>
      <c r="H44" s="64">
        <v>12.32</v>
      </c>
      <c r="I44" s="64">
        <v>0.48</v>
      </c>
      <c r="J44" s="64">
        <v>2.0699999999999998</v>
      </c>
      <c r="K44" s="64">
        <v>294.39999999999998</v>
      </c>
      <c r="L44" s="64">
        <v>17.670000000000002</v>
      </c>
      <c r="M44" s="64">
        <v>90.85</v>
      </c>
      <c r="N44" s="64">
        <v>29.5</v>
      </c>
      <c r="O44" s="64">
        <v>0</v>
      </c>
      <c r="P44" s="64">
        <v>0.34</v>
      </c>
      <c r="Q44" s="64">
        <v>23.98</v>
      </c>
      <c r="R44" s="198"/>
      <c r="S44" s="198"/>
      <c r="T44" s="198"/>
      <c r="U44" s="198"/>
    </row>
    <row r="45" spans="1:21" s="12" customFormat="1" x14ac:dyDescent="0.25">
      <c r="A45" s="218" t="s">
        <v>3073</v>
      </c>
      <c r="B45" s="64">
        <v>4.57</v>
      </c>
      <c r="C45" s="64">
        <v>28.96</v>
      </c>
      <c r="D45" s="64">
        <v>20.29</v>
      </c>
      <c r="E45" s="64">
        <v>1.29</v>
      </c>
      <c r="F45" s="64">
        <v>4.96</v>
      </c>
      <c r="G45" s="64">
        <v>19.88</v>
      </c>
      <c r="H45" s="64">
        <v>9.93</v>
      </c>
      <c r="I45" s="64">
        <v>0.48</v>
      </c>
      <c r="J45" s="64">
        <v>1.75</v>
      </c>
      <c r="K45" s="64">
        <v>313.92</v>
      </c>
      <c r="L45" s="64">
        <v>17.98</v>
      </c>
      <c r="M45" s="64">
        <v>87.56</v>
      </c>
      <c r="N45" s="64">
        <v>96.4</v>
      </c>
      <c r="O45" s="64">
        <v>0.2</v>
      </c>
      <c r="P45" s="64">
        <v>0.36</v>
      </c>
      <c r="Q45" s="64">
        <v>24.53</v>
      </c>
      <c r="R45" s="198"/>
      <c r="S45" s="198"/>
      <c r="T45" s="198"/>
      <c r="U45" s="198"/>
    </row>
    <row r="46" spans="1:21" s="12" customFormat="1" x14ac:dyDescent="0.25">
      <c r="A46" s="218" t="s">
        <v>3074</v>
      </c>
      <c r="B46" s="64">
        <v>3.78</v>
      </c>
      <c r="C46" s="64">
        <v>30.8</v>
      </c>
      <c r="D46" s="64">
        <v>20.68</v>
      </c>
      <c r="E46" s="64">
        <v>1.51</v>
      </c>
      <c r="F46" s="64">
        <v>5.03</v>
      </c>
      <c r="G46" s="64">
        <v>19.63</v>
      </c>
      <c r="H46" s="64">
        <v>9.93</v>
      </c>
      <c r="I46" s="64">
        <v>0.47</v>
      </c>
      <c r="J46" s="64">
        <v>1.35</v>
      </c>
      <c r="K46" s="64">
        <v>311.12</v>
      </c>
      <c r="L46" s="64">
        <v>18.22</v>
      </c>
      <c r="M46" s="64">
        <v>87.49</v>
      </c>
      <c r="N46" s="64">
        <v>145.6</v>
      </c>
      <c r="O46" s="64">
        <v>0</v>
      </c>
      <c r="P46" s="64">
        <v>0.36</v>
      </c>
      <c r="Q46" s="64">
        <v>25.24</v>
      </c>
      <c r="R46" s="198"/>
      <c r="S46" s="198"/>
      <c r="T46" s="198"/>
      <c r="U46" s="198"/>
    </row>
    <row r="47" spans="1:21" s="12" customFormat="1" x14ac:dyDescent="0.25">
      <c r="A47" s="218" t="s">
        <v>3075</v>
      </c>
      <c r="B47" s="64">
        <v>4.3899999999999997</v>
      </c>
      <c r="C47" s="64">
        <v>31.84</v>
      </c>
      <c r="D47" s="64">
        <v>21.74</v>
      </c>
      <c r="E47" s="64">
        <v>1.83</v>
      </c>
      <c r="F47" s="64">
        <v>4.54</v>
      </c>
      <c r="G47" s="64">
        <v>19.63</v>
      </c>
      <c r="H47" s="64">
        <v>9.93</v>
      </c>
      <c r="I47" s="64">
        <v>0.47</v>
      </c>
      <c r="J47" s="64">
        <v>1.17</v>
      </c>
      <c r="K47" s="64">
        <v>310.79000000000002</v>
      </c>
      <c r="L47" s="64">
        <v>18.59</v>
      </c>
      <c r="M47" s="64">
        <v>85.76</v>
      </c>
      <c r="N47" s="64">
        <v>197</v>
      </c>
      <c r="O47" s="64">
        <v>0.2</v>
      </c>
      <c r="P47" s="64">
        <v>0.42</v>
      </c>
      <c r="Q47" s="64">
        <v>25.57</v>
      </c>
      <c r="R47" s="198"/>
      <c r="S47" s="198"/>
      <c r="T47" s="198"/>
      <c r="U47" s="198"/>
    </row>
    <row r="48" spans="1:21" s="12" customFormat="1" x14ac:dyDescent="0.25">
      <c r="A48" s="218" t="s">
        <v>3076</v>
      </c>
      <c r="B48" s="64">
        <v>4.9800000000000004</v>
      </c>
      <c r="C48" s="64">
        <v>33.71</v>
      </c>
      <c r="D48" s="64">
        <v>23.25</v>
      </c>
      <c r="E48" s="64">
        <v>2.0299999999999998</v>
      </c>
      <c r="F48" s="64">
        <v>3.91</v>
      </c>
      <c r="G48" s="64">
        <v>19.63</v>
      </c>
      <c r="H48" s="64">
        <v>9.93</v>
      </c>
      <c r="I48" s="64">
        <v>0.47</v>
      </c>
      <c r="J48" s="64">
        <v>1.24</v>
      </c>
      <c r="K48" s="64">
        <v>307.63</v>
      </c>
      <c r="L48" s="64">
        <v>19.059999999999999</v>
      </c>
      <c r="M48" s="64">
        <v>81.849999999999994</v>
      </c>
      <c r="N48" s="64">
        <v>257.60000000000002</v>
      </c>
      <c r="O48" s="64">
        <v>0</v>
      </c>
      <c r="P48" s="64">
        <v>0.53</v>
      </c>
      <c r="Q48" s="64">
        <v>26.03</v>
      </c>
      <c r="R48" s="198"/>
      <c r="S48" s="198"/>
      <c r="T48" s="198"/>
      <c r="U48" s="198"/>
    </row>
    <row r="49" spans="1:21" s="12" customFormat="1" x14ac:dyDescent="0.25">
      <c r="A49" s="218" t="s">
        <v>3077</v>
      </c>
      <c r="B49" s="64">
        <v>5.89</v>
      </c>
      <c r="C49" s="64">
        <v>35.94</v>
      </c>
      <c r="D49" s="64">
        <v>25.2</v>
      </c>
      <c r="E49" s="64">
        <v>1.33</v>
      </c>
      <c r="F49" s="64">
        <v>3.5</v>
      </c>
      <c r="G49" s="64">
        <v>15.17</v>
      </c>
      <c r="H49" s="64">
        <v>7.73</v>
      </c>
      <c r="I49" s="64">
        <v>0.48</v>
      </c>
      <c r="J49" s="64">
        <v>0.93</v>
      </c>
      <c r="K49" s="64">
        <v>303.83</v>
      </c>
      <c r="L49" s="64">
        <v>19.760000000000002</v>
      </c>
      <c r="M49" s="64">
        <v>78.319999999999993</v>
      </c>
      <c r="N49" s="64">
        <v>239.2</v>
      </c>
      <c r="O49" s="64">
        <v>0</v>
      </c>
      <c r="P49" s="64">
        <v>0.56000000000000005</v>
      </c>
      <c r="Q49" s="64">
        <v>25.68</v>
      </c>
      <c r="R49" s="198"/>
      <c r="S49" s="198"/>
      <c r="T49" s="198"/>
      <c r="U49" s="198"/>
    </row>
    <row r="50" spans="1:21" s="12" customFormat="1" x14ac:dyDescent="0.25">
      <c r="A50" s="218" t="s">
        <v>3078</v>
      </c>
      <c r="B50" s="64">
        <v>7.9</v>
      </c>
      <c r="C50" s="64">
        <v>36.54</v>
      </c>
      <c r="D50" s="64">
        <v>27.15</v>
      </c>
      <c r="E50" s="64">
        <v>1.66</v>
      </c>
      <c r="F50" s="64">
        <v>3.2</v>
      </c>
      <c r="G50" s="64">
        <v>15.06</v>
      </c>
      <c r="H50" s="64">
        <v>7.73</v>
      </c>
      <c r="I50" s="64">
        <v>0.48</v>
      </c>
      <c r="J50" s="64">
        <v>0.55000000000000004</v>
      </c>
      <c r="K50" s="64">
        <v>309.36</v>
      </c>
      <c r="L50" s="64">
        <v>20.420000000000002</v>
      </c>
      <c r="M50" s="64">
        <v>74.27</v>
      </c>
      <c r="N50" s="64">
        <v>0</v>
      </c>
      <c r="O50" s="64">
        <v>0</v>
      </c>
      <c r="P50" s="64">
        <v>0.6</v>
      </c>
      <c r="Q50" s="64">
        <v>25.36</v>
      </c>
      <c r="R50" s="198"/>
      <c r="S50" s="198"/>
      <c r="T50" s="198"/>
      <c r="U50" s="198"/>
    </row>
    <row r="51" spans="1:21" s="12" customFormat="1" x14ac:dyDescent="0.25">
      <c r="A51" s="218" t="s">
        <v>3079</v>
      </c>
      <c r="B51" s="64">
        <v>10.050000000000001</v>
      </c>
      <c r="C51" s="64">
        <v>37.1</v>
      </c>
      <c r="D51" s="64">
        <v>29.17</v>
      </c>
      <c r="E51" s="64">
        <v>1.89</v>
      </c>
      <c r="F51" s="64">
        <v>3.62</v>
      </c>
      <c r="G51" s="64">
        <v>15.06</v>
      </c>
      <c r="H51" s="64">
        <v>7.73</v>
      </c>
      <c r="I51" s="64">
        <v>0.49</v>
      </c>
      <c r="J51" s="64">
        <v>0.85</v>
      </c>
      <c r="K51" s="64">
        <v>297.7</v>
      </c>
      <c r="L51" s="64">
        <v>20.97</v>
      </c>
      <c r="M51" s="64">
        <v>69.52</v>
      </c>
      <c r="N51" s="64">
        <v>0</v>
      </c>
      <c r="O51" s="64">
        <v>0</v>
      </c>
      <c r="P51" s="64">
        <v>0.63</v>
      </c>
      <c r="Q51" s="64">
        <v>25.27</v>
      </c>
      <c r="R51" s="198"/>
      <c r="S51" s="198"/>
      <c r="T51" s="198"/>
      <c r="U51" s="198"/>
    </row>
    <row r="52" spans="1:21" s="12" customFormat="1" x14ac:dyDescent="0.25">
      <c r="A52" s="218" t="s">
        <v>3080</v>
      </c>
      <c r="B52" s="64">
        <v>9.9499999999999993</v>
      </c>
      <c r="C52" s="64">
        <v>35.51</v>
      </c>
      <c r="D52" s="64">
        <v>28.22</v>
      </c>
      <c r="E52" s="64">
        <v>1.58</v>
      </c>
      <c r="F52" s="64">
        <v>3.58</v>
      </c>
      <c r="G52" s="64">
        <v>15.06</v>
      </c>
      <c r="H52" s="64">
        <v>7.73</v>
      </c>
      <c r="I52" s="64">
        <v>0.49</v>
      </c>
      <c r="J52" s="64">
        <v>0.91</v>
      </c>
      <c r="K52" s="64">
        <v>304.13</v>
      </c>
      <c r="L52" s="64">
        <v>22.28</v>
      </c>
      <c r="M52" s="64">
        <v>64.680000000000007</v>
      </c>
      <c r="N52" s="64">
        <v>0</v>
      </c>
      <c r="O52" s="64">
        <v>0</v>
      </c>
      <c r="P52" s="64">
        <v>0.69</v>
      </c>
      <c r="Q52" s="64">
        <v>25.51</v>
      </c>
      <c r="R52" s="198"/>
      <c r="S52" s="198"/>
      <c r="T52" s="198"/>
      <c r="U52" s="198"/>
    </row>
    <row r="53" spans="1:21" s="12" customFormat="1" x14ac:dyDescent="0.25">
      <c r="A53" s="218" t="s">
        <v>3081</v>
      </c>
      <c r="B53" s="64">
        <v>10.82</v>
      </c>
      <c r="C53" s="64">
        <v>34.450000000000003</v>
      </c>
      <c r="D53" s="64">
        <v>28.33</v>
      </c>
      <c r="E53" s="64">
        <v>2.13</v>
      </c>
      <c r="F53" s="64">
        <v>3.72</v>
      </c>
      <c r="G53" s="64">
        <v>27.06</v>
      </c>
      <c r="H53" s="64">
        <v>9.98</v>
      </c>
      <c r="I53" s="64">
        <v>0.5</v>
      </c>
      <c r="J53" s="64">
        <v>0.09</v>
      </c>
      <c r="K53" s="64">
        <v>313.35000000000002</v>
      </c>
      <c r="L53" s="64">
        <v>21.94</v>
      </c>
      <c r="M53" s="64">
        <v>63.94</v>
      </c>
      <c r="N53" s="64">
        <v>0</v>
      </c>
      <c r="O53" s="64">
        <v>0</v>
      </c>
      <c r="P53" s="64">
        <v>0.71</v>
      </c>
      <c r="Q53" s="64">
        <v>25.8</v>
      </c>
      <c r="R53" s="198"/>
      <c r="S53" s="198"/>
      <c r="T53" s="198"/>
      <c r="U53" s="198"/>
    </row>
    <row r="54" spans="1:21" s="12" customFormat="1" x14ac:dyDescent="0.25">
      <c r="A54" s="218" t="s">
        <v>3082</v>
      </c>
      <c r="B54" s="64">
        <v>10.52</v>
      </c>
      <c r="C54" s="64">
        <v>34.24</v>
      </c>
      <c r="D54" s="64">
        <v>27.98</v>
      </c>
      <c r="E54" s="64">
        <v>2.08</v>
      </c>
      <c r="F54" s="64">
        <v>4.2</v>
      </c>
      <c r="G54" s="64">
        <v>27.34</v>
      </c>
      <c r="H54" s="64">
        <v>9.98</v>
      </c>
      <c r="I54" s="64">
        <v>0.5</v>
      </c>
      <c r="J54" s="64">
        <v>0.96</v>
      </c>
      <c r="K54" s="64">
        <v>304.97000000000003</v>
      </c>
      <c r="L54" s="64">
        <v>22.35</v>
      </c>
      <c r="M54" s="64">
        <v>61.6</v>
      </c>
      <c r="N54" s="64">
        <v>0</v>
      </c>
      <c r="O54" s="64">
        <v>0</v>
      </c>
      <c r="P54" s="64">
        <v>0.69</v>
      </c>
      <c r="Q54" s="64">
        <v>26.07</v>
      </c>
      <c r="R54" s="198"/>
      <c r="S54" s="198"/>
      <c r="T54" s="198"/>
      <c r="U54" s="198"/>
    </row>
    <row r="55" spans="1:21" s="12" customFormat="1" x14ac:dyDescent="0.25">
      <c r="A55" s="218" t="s">
        <v>3083</v>
      </c>
      <c r="B55" s="64">
        <v>9.6300000000000008</v>
      </c>
      <c r="C55" s="64">
        <v>34.909999999999997</v>
      </c>
      <c r="D55" s="64">
        <v>27.64</v>
      </c>
      <c r="E55" s="64">
        <v>1.99</v>
      </c>
      <c r="F55" s="64">
        <v>3.82</v>
      </c>
      <c r="G55" s="64">
        <v>27.34</v>
      </c>
      <c r="H55" s="64">
        <v>9.98</v>
      </c>
      <c r="I55" s="64">
        <v>0.5</v>
      </c>
      <c r="J55" s="64">
        <v>1.22</v>
      </c>
      <c r="K55" s="64">
        <v>302.25</v>
      </c>
      <c r="L55" s="64">
        <v>22.94</v>
      </c>
      <c r="M55" s="64">
        <v>59.47</v>
      </c>
      <c r="N55" s="64">
        <v>0</v>
      </c>
      <c r="O55" s="64">
        <v>0</v>
      </c>
      <c r="P55" s="64">
        <v>0.69</v>
      </c>
      <c r="Q55" s="64">
        <v>26.15</v>
      </c>
      <c r="R55" s="198"/>
      <c r="S55" s="198"/>
      <c r="T55" s="198"/>
      <c r="U55" s="198"/>
    </row>
    <row r="56" spans="1:21" s="12" customFormat="1" x14ac:dyDescent="0.25">
      <c r="A56" s="218" t="s">
        <v>3084</v>
      </c>
      <c r="B56" s="64">
        <v>9.68</v>
      </c>
      <c r="C56" s="64">
        <v>38.21</v>
      </c>
      <c r="D56" s="64">
        <v>29.5</v>
      </c>
      <c r="E56" s="64">
        <v>1.63</v>
      </c>
      <c r="F56" s="64">
        <v>3.48</v>
      </c>
      <c r="G56" s="64">
        <v>27.34</v>
      </c>
      <c r="H56" s="64">
        <v>9.98</v>
      </c>
      <c r="I56" s="64">
        <v>0.49</v>
      </c>
      <c r="J56" s="64">
        <v>1.0900000000000001</v>
      </c>
      <c r="K56" s="64">
        <v>297.52</v>
      </c>
      <c r="L56" s="64">
        <v>23.29</v>
      </c>
      <c r="M56" s="64">
        <v>59.03</v>
      </c>
      <c r="N56" s="64">
        <v>0</v>
      </c>
      <c r="O56" s="64">
        <v>0</v>
      </c>
      <c r="P56" s="64">
        <v>0.71</v>
      </c>
      <c r="Q56" s="64">
        <v>26.56</v>
      </c>
      <c r="R56" s="198"/>
      <c r="S56" s="198"/>
      <c r="T56" s="198"/>
      <c r="U56" s="198"/>
    </row>
    <row r="57" spans="1:21" s="12" customFormat="1" x14ac:dyDescent="0.25">
      <c r="A57" s="218" t="s">
        <v>3085</v>
      </c>
      <c r="B57" s="64">
        <v>10.42</v>
      </c>
      <c r="C57" s="64">
        <v>40.06</v>
      </c>
      <c r="D57" s="64">
        <v>31.11</v>
      </c>
      <c r="E57" s="64">
        <v>1.79</v>
      </c>
      <c r="F57" s="64">
        <v>3.61</v>
      </c>
      <c r="G57" s="64">
        <v>33.64</v>
      </c>
      <c r="H57" s="64">
        <v>11.53</v>
      </c>
      <c r="I57" s="64">
        <v>0.5</v>
      </c>
      <c r="J57" s="64">
        <v>1.5</v>
      </c>
      <c r="K57" s="64">
        <v>293.83999999999997</v>
      </c>
      <c r="L57" s="64">
        <v>23.33</v>
      </c>
      <c r="M57" s="64">
        <v>55.86</v>
      </c>
      <c r="N57" s="64">
        <v>0</v>
      </c>
      <c r="O57" s="64">
        <v>0</v>
      </c>
      <c r="P57" s="64">
        <v>0.72</v>
      </c>
      <c r="Q57" s="64">
        <v>26.99</v>
      </c>
      <c r="R57" s="198"/>
      <c r="S57" s="198"/>
      <c r="T57" s="198"/>
      <c r="U57" s="198"/>
    </row>
    <row r="58" spans="1:21" s="12" customFormat="1" x14ac:dyDescent="0.25">
      <c r="A58" s="218" t="s">
        <v>3086</v>
      </c>
      <c r="B58" s="64">
        <v>10.199999999999999</v>
      </c>
      <c r="C58" s="64">
        <v>40.049999999999997</v>
      </c>
      <c r="D58" s="64">
        <v>30.93</v>
      </c>
      <c r="E58" s="64">
        <v>1.7</v>
      </c>
      <c r="F58" s="64">
        <v>3.58</v>
      </c>
      <c r="G58" s="64">
        <v>33.78</v>
      </c>
      <c r="H58" s="64">
        <v>11.53</v>
      </c>
      <c r="I58" s="64">
        <v>0.51</v>
      </c>
      <c r="J58" s="64">
        <v>1.32</v>
      </c>
      <c r="K58" s="64">
        <v>291.14999999999998</v>
      </c>
      <c r="L58" s="64">
        <v>22.1</v>
      </c>
      <c r="M58" s="64">
        <v>60.74</v>
      </c>
      <c r="N58" s="64">
        <v>0</v>
      </c>
      <c r="O58" s="64">
        <v>0</v>
      </c>
      <c r="P58" s="64">
        <v>0.72</v>
      </c>
      <c r="Q58" s="64">
        <v>27.25</v>
      </c>
      <c r="R58" s="198"/>
      <c r="S58" s="198"/>
      <c r="T58" s="198"/>
      <c r="U58" s="198"/>
    </row>
    <row r="59" spans="1:21" s="12" customFormat="1" x14ac:dyDescent="0.25">
      <c r="A59" s="218" t="s">
        <v>3087</v>
      </c>
      <c r="B59" s="64">
        <v>9.9499999999999993</v>
      </c>
      <c r="C59" s="64">
        <v>38</v>
      </c>
      <c r="D59" s="64">
        <v>29.6</v>
      </c>
      <c r="E59" s="64">
        <v>2.27</v>
      </c>
      <c r="F59" s="64">
        <v>3.49</v>
      </c>
      <c r="G59" s="64">
        <v>33.78</v>
      </c>
      <c r="H59" s="64">
        <v>11.53</v>
      </c>
      <c r="I59" s="64">
        <v>0.51</v>
      </c>
      <c r="J59" s="64">
        <v>0.78</v>
      </c>
      <c r="K59" s="64">
        <v>285.3</v>
      </c>
      <c r="L59" s="64">
        <v>20.64</v>
      </c>
      <c r="M59" s="64">
        <v>71.95</v>
      </c>
      <c r="N59" s="64">
        <v>0</v>
      </c>
      <c r="O59" s="64">
        <v>0</v>
      </c>
      <c r="P59" s="64">
        <v>0.72</v>
      </c>
      <c r="Q59" s="64">
        <v>26.99</v>
      </c>
      <c r="R59" s="198"/>
      <c r="S59" s="198"/>
      <c r="T59" s="198"/>
      <c r="U59" s="198"/>
    </row>
    <row r="60" spans="1:21" s="12" customFormat="1" x14ac:dyDescent="0.25">
      <c r="A60" s="218" t="s">
        <v>3088</v>
      </c>
      <c r="B60" s="64">
        <v>9.06</v>
      </c>
      <c r="C60" s="64">
        <v>35.479999999999997</v>
      </c>
      <c r="D60" s="64">
        <v>27.49</v>
      </c>
      <c r="E60" s="64">
        <v>2.0499999999999998</v>
      </c>
      <c r="F60" s="64">
        <v>3.35</v>
      </c>
      <c r="G60" s="64">
        <v>33.78</v>
      </c>
      <c r="H60" s="64">
        <v>11.53</v>
      </c>
      <c r="I60" s="64">
        <v>0.51</v>
      </c>
      <c r="J60" s="64">
        <v>0.3</v>
      </c>
      <c r="K60" s="64">
        <v>287.74</v>
      </c>
      <c r="L60" s="64">
        <v>18.82</v>
      </c>
      <c r="M60" s="64">
        <v>85.31</v>
      </c>
      <c r="N60" s="64">
        <v>0</v>
      </c>
      <c r="O60" s="64">
        <v>1.6</v>
      </c>
      <c r="P60" s="64">
        <v>0.69</v>
      </c>
      <c r="Q60" s="64">
        <v>26.93</v>
      </c>
      <c r="R60" s="198"/>
      <c r="S60" s="198"/>
      <c r="T60" s="198"/>
      <c r="U60" s="198"/>
    </row>
    <row r="61" spans="1:21" s="12" customFormat="1" x14ac:dyDescent="0.25">
      <c r="A61" s="218" t="s">
        <v>3089</v>
      </c>
      <c r="B61" s="64">
        <v>8.34</v>
      </c>
      <c r="C61" s="64">
        <v>35.65</v>
      </c>
      <c r="D61" s="64">
        <v>27.01</v>
      </c>
      <c r="E61" s="64">
        <v>1.59</v>
      </c>
      <c r="F61" s="64">
        <v>2.93</v>
      </c>
      <c r="G61" s="64">
        <v>37.19</v>
      </c>
      <c r="H61" s="64">
        <v>11.15</v>
      </c>
      <c r="I61" s="64">
        <v>0.52</v>
      </c>
      <c r="J61" s="64">
        <v>0.35</v>
      </c>
      <c r="K61" s="64">
        <v>283.32</v>
      </c>
      <c r="L61" s="64">
        <v>18.66</v>
      </c>
      <c r="M61" s="64">
        <v>90.26</v>
      </c>
      <c r="N61" s="64">
        <v>0</v>
      </c>
      <c r="O61" s="64">
        <v>0</v>
      </c>
      <c r="P61" s="64">
        <v>0.64</v>
      </c>
      <c r="Q61" s="64">
        <v>26.67</v>
      </c>
      <c r="R61" s="198"/>
      <c r="S61" s="198"/>
      <c r="T61" s="198"/>
      <c r="U61" s="198"/>
    </row>
    <row r="62" spans="1:21" s="12" customFormat="1" x14ac:dyDescent="0.25">
      <c r="A62" s="218" t="s">
        <v>3090</v>
      </c>
      <c r="B62" s="64">
        <v>8.2200000000000006</v>
      </c>
      <c r="C62" s="64">
        <v>33.619999999999997</v>
      </c>
      <c r="D62" s="64">
        <v>25.79</v>
      </c>
      <c r="E62" s="64">
        <v>1.55</v>
      </c>
      <c r="F62" s="64">
        <v>3.24</v>
      </c>
      <c r="G62" s="64">
        <v>37.26</v>
      </c>
      <c r="H62" s="64">
        <v>11.15</v>
      </c>
      <c r="I62" s="64">
        <v>0.51</v>
      </c>
      <c r="J62" s="64">
        <v>0.16</v>
      </c>
      <c r="K62" s="64">
        <v>289.22000000000003</v>
      </c>
      <c r="L62" s="64">
        <v>18.649999999999999</v>
      </c>
      <c r="M62" s="64">
        <v>87.18</v>
      </c>
      <c r="N62" s="64">
        <v>0</v>
      </c>
      <c r="O62" s="64">
        <v>0</v>
      </c>
      <c r="P62" s="64">
        <v>0.65</v>
      </c>
      <c r="Q62" s="64">
        <v>26.35</v>
      </c>
      <c r="R62" s="198"/>
      <c r="S62" s="198"/>
      <c r="T62" s="198"/>
      <c r="U62" s="198"/>
    </row>
    <row r="63" spans="1:21" s="12" customFormat="1" x14ac:dyDescent="0.25">
      <c r="A63" s="218" t="s">
        <v>3091</v>
      </c>
      <c r="B63" s="64">
        <v>8.94</v>
      </c>
      <c r="C63" s="64">
        <v>32.36</v>
      </c>
      <c r="D63" s="64">
        <v>25.67</v>
      </c>
      <c r="E63" s="64">
        <v>2.13</v>
      </c>
      <c r="F63" s="64">
        <v>3.25</v>
      </c>
      <c r="G63" s="64">
        <v>37.26</v>
      </c>
      <c r="H63" s="64">
        <v>11.15</v>
      </c>
      <c r="I63" s="64">
        <v>0.51</v>
      </c>
      <c r="J63" s="64">
        <v>0.54</v>
      </c>
      <c r="K63" s="64">
        <v>298.45999999999998</v>
      </c>
      <c r="L63" s="64">
        <v>18.87</v>
      </c>
      <c r="M63" s="64">
        <v>87.1</v>
      </c>
      <c r="N63" s="64">
        <v>0</v>
      </c>
      <c r="O63" s="64">
        <v>0</v>
      </c>
      <c r="P63" s="64">
        <v>0.66</v>
      </c>
      <c r="Q63" s="64">
        <v>26.14</v>
      </c>
      <c r="R63" s="198"/>
      <c r="S63" s="198"/>
      <c r="T63" s="198"/>
      <c r="U63" s="198"/>
    </row>
    <row r="64" spans="1:21" s="12" customFormat="1" x14ac:dyDescent="0.25">
      <c r="A64" s="218" t="s">
        <v>3092</v>
      </c>
      <c r="B64" s="64">
        <v>10.039999999999999</v>
      </c>
      <c r="C64" s="64">
        <v>31.15</v>
      </c>
      <c r="D64" s="64">
        <v>25.89</v>
      </c>
      <c r="E64" s="64">
        <v>1.6</v>
      </c>
      <c r="F64" s="64">
        <v>3.41</v>
      </c>
      <c r="G64" s="64">
        <v>37.26</v>
      </c>
      <c r="H64" s="64">
        <v>11.15</v>
      </c>
      <c r="I64" s="64">
        <v>0.51</v>
      </c>
      <c r="J64" s="64">
        <v>0.75</v>
      </c>
      <c r="K64" s="64">
        <v>300.04000000000002</v>
      </c>
      <c r="L64" s="64">
        <v>19.73</v>
      </c>
      <c r="M64" s="64">
        <v>84.07</v>
      </c>
      <c r="N64" s="64">
        <v>0</v>
      </c>
      <c r="O64" s="64">
        <v>0</v>
      </c>
      <c r="P64" s="64">
        <v>0.68</v>
      </c>
      <c r="Q64" s="64">
        <v>25.69</v>
      </c>
      <c r="R64" s="198"/>
      <c r="S64" s="198"/>
      <c r="T64" s="198"/>
      <c r="U64" s="198"/>
    </row>
    <row r="65" spans="1:21" s="12" customFormat="1" x14ac:dyDescent="0.25">
      <c r="A65" s="218" t="s">
        <v>3093</v>
      </c>
      <c r="B65" s="64">
        <v>11.1</v>
      </c>
      <c r="C65" s="64">
        <v>31.79</v>
      </c>
      <c r="D65" s="64">
        <v>27.09</v>
      </c>
      <c r="E65" s="64">
        <v>1.46</v>
      </c>
      <c r="F65" s="64">
        <v>3.34</v>
      </c>
      <c r="G65" s="64">
        <v>23.83</v>
      </c>
      <c r="H65" s="64">
        <v>8.77</v>
      </c>
      <c r="I65" s="64">
        <v>0.52</v>
      </c>
      <c r="J65" s="64">
        <v>0.56999999999999995</v>
      </c>
      <c r="K65" s="64">
        <v>312.31</v>
      </c>
      <c r="L65" s="64">
        <v>20.68</v>
      </c>
      <c r="M65" s="64">
        <v>79.64</v>
      </c>
      <c r="N65" s="64">
        <v>0</v>
      </c>
      <c r="O65" s="64">
        <v>0</v>
      </c>
      <c r="P65" s="64">
        <v>0.68</v>
      </c>
      <c r="Q65" s="64">
        <v>25.79</v>
      </c>
      <c r="R65" s="198"/>
      <c r="S65" s="198"/>
      <c r="T65" s="198"/>
      <c r="U65" s="198"/>
    </row>
    <row r="66" spans="1:21" s="12" customFormat="1" x14ac:dyDescent="0.25">
      <c r="A66" s="218" t="s">
        <v>3094</v>
      </c>
      <c r="B66" s="64">
        <v>11.78</v>
      </c>
      <c r="C66" s="64">
        <v>32.35</v>
      </c>
      <c r="D66" s="64">
        <v>27.94</v>
      </c>
      <c r="E66" s="64">
        <v>1.86</v>
      </c>
      <c r="F66" s="64">
        <v>3.17</v>
      </c>
      <c r="G66" s="64">
        <v>23.52</v>
      </c>
      <c r="H66" s="64">
        <v>8.77</v>
      </c>
      <c r="I66" s="64">
        <v>0.52</v>
      </c>
      <c r="J66" s="64">
        <v>0.46</v>
      </c>
      <c r="K66" s="64">
        <v>304.8</v>
      </c>
      <c r="L66" s="64">
        <v>21.37</v>
      </c>
      <c r="M66" s="64">
        <v>77.05</v>
      </c>
      <c r="N66" s="64">
        <v>0</v>
      </c>
      <c r="O66" s="64">
        <v>0</v>
      </c>
      <c r="P66" s="64">
        <v>0.7</v>
      </c>
      <c r="Q66" s="64">
        <v>25.88</v>
      </c>
      <c r="R66" s="198"/>
      <c r="S66" s="198"/>
      <c r="T66" s="198"/>
      <c r="U66" s="198"/>
    </row>
    <row r="67" spans="1:21" s="12" customFormat="1" x14ac:dyDescent="0.25">
      <c r="A67" s="218" t="s">
        <v>3095</v>
      </c>
      <c r="B67" s="64">
        <v>12.15</v>
      </c>
      <c r="C67" s="64">
        <v>33.18</v>
      </c>
      <c r="D67" s="64">
        <v>28.7</v>
      </c>
      <c r="E67" s="64">
        <v>2.0699999999999998</v>
      </c>
      <c r="F67" s="64">
        <v>3.44</v>
      </c>
      <c r="G67" s="64">
        <v>23.52</v>
      </c>
      <c r="H67" s="64">
        <v>8.77</v>
      </c>
      <c r="I67" s="64">
        <v>0.53</v>
      </c>
      <c r="J67" s="64">
        <v>0.46</v>
      </c>
      <c r="K67" s="64">
        <v>302.70999999999998</v>
      </c>
      <c r="L67" s="64">
        <v>21.62</v>
      </c>
      <c r="M67" s="64">
        <v>76.12</v>
      </c>
      <c r="N67" s="64">
        <v>0</v>
      </c>
      <c r="O67" s="64">
        <v>0</v>
      </c>
      <c r="P67" s="64">
        <v>0.7</v>
      </c>
      <c r="Q67" s="64">
        <v>25.99</v>
      </c>
      <c r="R67" s="198"/>
      <c r="S67" s="198"/>
      <c r="T67" s="198"/>
      <c r="U67" s="198"/>
    </row>
    <row r="68" spans="1:21" s="12" customFormat="1" x14ac:dyDescent="0.25">
      <c r="A68" s="218" t="s">
        <v>3096</v>
      </c>
      <c r="B68" s="64">
        <v>12.62</v>
      </c>
      <c r="C68" s="64">
        <v>31.83</v>
      </c>
      <c r="D68" s="64">
        <v>28.33</v>
      </c>
      <c r="E68" s="64">
        <v>1.59</v>
      </c>
      <c r="F68" s="64">
        <v>3.33</v>
      </c>
      <c r="G68" s="64">
        <v>23.52</v>
      </c>
      <c r="H68" s="64">
        <v>8.77</v>
      </c>
      <c r="I68" s="64">
        <v>0.52</v>
      </c>
      <c r="J68" s="64">
        <v>0.51</v>
      </c>
      <c r="K68" s="64">
        <v>288.97000000000003</v>
      </c>
      <c r="L68" s="64">
        <v>21.67</v>
      </c>
      <c r="M68" s="64">
        <v>75.12</v>
      </c>
      <c r="N68" s="64">
        <v>0</v>
      </c>
      <c r="O68" s="64">
        <v>0</v>
      </c>
      <c r="P68" s="64">
        <v>0.72</v>
      </c>
      <c r="Q68" s="64">
        <v>26.71</v>
      </c>
      <c r="R68" s="198"/>
      <c r="S68" s="198"/>
      <c r="T68" s="198"/>
      <c r="U68" s="198"/>
    </row>
    <row r="69" spans="1:21" s="12" customFormat="1" x14ac:dyDescent="0.25">
      <c r="A69" s="218" t="s">
        <v>3097</v>
      </c>
      <c r="B69" s="64">
        <v>13.22</v>
      </c>
      <c r="C69" s="64">
        <v>32.35</v>
      </c>
      <c r="D69" s="64">
        <v>29.1</v>
      </c>
      <c r="E69" s="64">
        <v>1.82</v>
      </c>
      <c r="F69" s="64">
        <v>2.66</v>
      </c>
      <c r="G69" s="64">
        <v>28.42</v>
      </c>
      <c r="H69" s="64">
        <v>10.44</v>
      </c>
      <c r="I69" s="64">
        <v>0.52</v>
      </c>
      <c r="J69" s="64">
        <v>0.51</v>
      </c>
      <c r="K69" s="64">
        <v>295.39</v>
      </c>
      <c r="L69" s="64">
        <v>21.65</v>
      </c>
      <c r="M69" s="64">
        <v>74.98</v>
      </c>
      <c r="N69" s="64">
        <v>0</v>
      </c>
      <c r="O69" s="64">
        <v>0</v>
      </c>
      <c r="P69" s="64">
        <v>0.72</v>
      </c>
      <c r="Q69" s="64">
        <v>27.18</v>
      </c>
      <c r="R69" s="198"/>
      <c r="S69" s="198"/>
      <c r="T69" s="198"/>
      <c r="U69" s="198"/>
    </row>
    <row r="70" spans="1:21" s="12" customFormat="1" x14ac:dyDescent="0.25">
      <c r="A70" s="218" t="s">
        <v>3098</v>
      </c>
      <c r="B70" s="64">
        <v>13.98</v>
      </c>
      <c r="C70" s="64">
        <v>32.01</v>
      </c>
      <c r="D70" s="64">
        <v>29.52</v>
      </c>
      <c r="E70" s="64">
        <v>1.71</v>
      </c>
      <c r="F70" s="64">
        <v>2.75</v>
      </c>
      <c r="G70" s="64">
        <v>28.53</v>
      </c>
      <c r="H70" s="64">
        <v>10.44</v>
      </c>
      <c r="I70" s="64">
        <v>0.53</v>
      </c>
      <c r="J70" s="64">
        <v>0.4</v>
      </c>
      <c r="K70" s="64">
        <v>295.12</v>
      </c>
      <c r="L70" s="64">
        <v>21.39</v>
      </c>
      <c r="M70" s="64">
        <v>73.819999999999993</v>
      </c>
      <c r="N70" s="64">
        <v>13.7</v>
      </c>
      <c r="O70" s="64">
        <v>0</v>
      </c>
      <c r="P70" s="64">
        <v>0.73</v>
      </c>
      <c r="Q70" s="64">
        <v>27.34</v>
      </c>
      <c r="R70" s="198"/>
      <c r="S70" s="198"/>
      <c r="T70" s="198"/>
      <c r="U70" s="198"/>
    </row>
    <row r="71" spans="1:21" s="12" customFormat="1" x14ac:dyDescent="0.25">
      <c r="A71" s="218" t="s">
        <v>3099</v>
      </c>
      <c r="B71" s="64">
        <v>14.67</v>
      </c>
      <c r="C71" s="64">
        <v>32.07</v>
      </c>
      <c r="D71" s="64">
        <v>30.11</v>
      </c>
      <c r="E71" s="64">
        <v>1.53</v>
      </c>
      <c r="F71" s="64">
        <v>2.99</v>
      </c>
      <c r="G71" s="64">
        <v>28.53</v>
      </c>
      <c r="H71" s="64">
        <v>10.44</v>
      </c>
      <c r="I71" s="64">
        <v>0.53</v>
      </c>
      <c r="J71" s="64">
        <v>0.34</v>
      </c>
      <c r="K71" s="64">
        <v>310.91000000000003</v>
      </c>
      <c r="L71" s="64">
        <v>21.49</v>
      </c>
      <c r="M71" s="64">
        <v>73.209999999999994</v>
      </c>
      <c r="N71" s="64">
        <v>117</v>
      </c>
      <c r="O71" s="64">
        <v>0</v>
      </c>
      <c r="P71" s="64">
        <v>0.74</v>
      </c>
      <c r="Q71" s="64">
        <v>27.62</v>
      </c>
      <c r="R71" s="198"/>
      <c r="S71" s="198"/>
      <c r="T71" s="198"/>
      <c r="U71" s="198"/>
    </row>
    <row r="72" spans="1:21" s="12" customFormat="1" x14ac:dyDescent="0.25">
      <c r="A72" s="218" t="s">
        <v>3100</v>
      </c>
      <c r="B72" s="64">
        <v>14.99</v>
      </c>
      <c r="C72" s="64">
        <v>29.67</v>
      </c>
      <c r="D72" s="64">
        <v>29.04</v>
      </c>
      <c r="E72" s="64">
        <v>0.37</v>
      </c>
      <c r="F72" s="64">
        <v>2.85</v>
      </c>
      <c r="G72" s="64">
        <v>28.53</v>
      </c>
      <c r="H72" s="64">
        <v>10.44</v>
      </c>
      <c r="I72" s="64">
        <v>0.54</v>
      </c>
      <c r="J72" s="64">
        <v>0.16</v>
      </c>
      <c r="K72" s="64">
        <v>122.91</v>
      </c>
      <c r="L72" s="64">
        <v>20.79</v>
      </c>
      <c r="M72" s="64">
        <v>74.16</v>
      </c>
      <c r="N72" s="64">
        <v>112.1</v>
      </c>
      <c r="O72" s="64">
        <v>0</v>
      </c>
      <c r="P72" s="64">
        <v>0.73</v>
      </c>
      <c r="Q72" s="64">
        <v>27.46</v>
      </c>
      <c r="R72" s="198"/>
      <c r="S72" s="198"/>
      <c r="T72" s="198"/>
      <c r="U72" s="198"/>
    </row>
    <row r="73" spans="1:21" s="12" customFormat="1" x14ac:dyDescent="0.25">
      <c r="A73" s="218" t="s">
        <v>3101</v>
      </c>
      <c r="B73" s="64">
        <v>15.2</v>
      </c>
      <c r="C73" s="64">
        <v>29.99</v>
      </c>
      <c r="D73" s="64">
        <v>29.39</v>
      </c>
      <c r="E73" s="64">
        <v>1.1100000000000001</v>
      </c>
      <c r="F73" s="64">
        <v>3.03</v>
      </c>
      <c r="G73" s="64">
        <v>46.44</v>
      </c>
      <c r="H73" s="64">
        <v>11.33</v>
      </c>
      <c r="I73" s="64">
        <v>0.55000000000000004</v>
      </c>
      <c r="J73" s="64">
        <v>0.31</v>
      </c>
      <c r="K73" s="64">
        <v>155.79</v>
      </c>
      <c r="L73" s="64">
        <v>20.49</v>
      </c>
      <c r="M73" s="64">
        <v>75.92</v>
      </c>
      <c r="N73" s="64">
        <v>90.6</v>
      </c>
      <c r="O73" s="64">
        <v>0</v>
      </c>
      <c r="P73" s="64">
        <v>0.74</v>
      </c>
      <c r="Q73" s="64">
        <v>27.01</v>
      </c>
      <c r="R73" s="198"/>
      <c r="S73" s="198"/>
      <c r="T73" s="198"/>
      <c r="U73" s="198"/>
    </row>
    <row r="74" spans="1:21" s="12" customFormat="1" x14ac:dyDescent="0.25">
      <c r="A74" s="218" t="s">
        <v>3102</v>
      </c>
      <c r="B74" s="64">
        <v>15.41</v>
      </c>
      <c r="C74" s="64">
        <v>30.61</v>
      </c>
      <c r="D74" s="64">
        <v>29.9</v>
      </c>
      <c r="E74" s="64">
        <v>1.39</v>
      </c>
      <c r="F74" s="64">
        <v>3.06</v>
      </c>
      <c r="G74" s="64">
        <v>46.84</v>
      </c>
      <c r="H74" s="64">
        <v>11.33</v>
      </c>
      <c r="I74" s="64">
        <v>0.55000000000000004</v>
      </c>
      <c r="J74" s="64">
        <v>0.42</v>
      </c>
      <c r="K74" s="64">
        <v>131.15</v>
      </c>
      <c r="L74" s="64">
        <v>20.38</v>
      </c>
      <c r="M74" s="64">
        <v>76.400000000000006</v>
      </c>
      <c r="N74" s="64">
        <v>86.4</v>
      </c>
      <c r="O74" s="64">
        <v>0</v>
      </c>
      <c r="P74" s="64">
        <v>0.73</v>
      </c>
      <c r="Q74" s="64">
        <v>27.21</v>
      </c>
      <c r="R74" s="198"/>
      <c r="S74" s="198"/>
      <c r="T74" s="198"/>
      <c r="U74" s="198"/>
    </row>
    <row r="75" spans="1:21" s="12" customFormat="1" x14ac:dyDescent="0.25">
      <c r="A75" s="218" t="s">
        <v>3103</v>
      </c>
      <c r="B75" s="64">
        <v>15.2</v>
      </c>
      <c r="C75" s="64">
        <v>29.91</v>
      </c>
      <c r="D75" s="64">
        <v>29.34</v>
      </c>
      <c r="E75" s="64">
        <v>1.1000000000000001</v>
      </c>
      <c r="F75" s="64">
        <v>3.26</v>
      </c>
      <c r="G75" s="64">
        <v>46.84</v>
      </c>
      <c r="H75" s="64">
        <v>11.33</v>
      </c>
      <c r="I75" s="64">
        <v>0.56000000000000005</v>
      </c>
      <c r="J75" s="64">
        <v>0.02</v>
      </c>
      <c r="K75" s="64">
        <v>312.88</v>
      </c>
      <c r="L75" s="64">
        <v>20.14</v>
      </c>
      <c r="M75" s="64">
        <v>77.44</v>
      </c>
      <c r="N75" s="64">
        <v>56.2</v>
      </c>
      <c r="O75" s="64">
        <v>0</v>
      </c>
      <c r="P75" s="64">
        <v>0.74</v>
      </c>
      <c r="Q75" s="64">
        <v>27.03</v>
      </c>
      <c r="R75" s="198"/>
      <c r="S75" s="198"/>
      <c r="T75" s="198"/>
      <c r="U75" s="198"/>
    </row>
    <row r="76" spans="1:21" s="12" customFormat="1" x14ac:dyDescent="0.25">
      <c r="A76" s="218" t="s">
        <v>3104</v>
      </c>
      <c r="B76" s="64">
        <v>15.34</v>
      </c>
      <c r="C76" s="64">
        <v>31.34</v>
      </c>
      <c r="D76" s="64">
        <v>30.25</v>
      </c>
      <c r="E76" s="64">
        <v>1.1499999999999999</v>
      </c>
      <c r="F76" s="64">
        <v>3.15</v>
      </c>
      <c r="G76" s="64">
        <v>46.84</v>
      </c>
      <c r="H76" s="64">
        <v>11.33</v>
      </c>
      <c r="I76" s="64">
        <v>0.55000000000000004</v>
      </c>
      <c r="J76" s="64">
        <v>0.24</v>
      </c>
      <c r="K76" s="64">
        <v>18.829999999999998</v>
      </c>
      <c r="L76" s="64">
        <v>20.440000000000001</v>
      </c>
      <c r="M76" s="64">
        <v>78.510000000000005</v>
      </c>
      <c r="N76" s="64">
        <v>46.6</v>
      </c>
      <c r="O76" s="64">
        <v>0</v>
      </c>
      <c r="P76" s="64">
        <v>0.78</v>
      </c>
      <c r="Q76" s="64">
        <v>26.83</v>
      </c>
      <c r="R76" s="198"/>
      <c r="S76" s="198"/>
      <c r="T76" s="198"/>
      <c r="U76" s="198"/>
    </row>
    <row r="77" spans="1:21" s="12" customFormat="1" x14ac:dyDescent="0.25">
      <c r="A77" s="218" t="s">
        <v>3105</v>
      </c>
      <c r="B77" s="64">
        <v>15.93</v>
      </c>
      <c r="C77" s="64">
        <v>32.409999999999997</v>
      </c>
      <c r="D77" s="64">
        <v>31.31</v>
      </c>
      <c r="E77" s="64">
        <v>1.26</v>
      </c>
      <c r="F77" s="64">
        <v>3.11</v>
      </c>
      <c r="G77" s="64">
        <v>52.33</v>
      </c>
      <c r="H77" s="64">
        <v>18.010000000000002</v>
      </c>
      <c r="I77" s="64">
        <v>0.55000000000000004</v>
      </c>
      <c r="J77" s="64">
        <v>0.32</v>
      </c>
      <c r="K77" s="64">
        <v>102.58</v>
      </c>
      <c r="L77" s="64">
        <v>19.739999999999998</v>
      </c>
      <c r="M77" s="64">
        <v>79.63</v>
      </c>
      <c r="N77" s="64">
        <v>71.2</v>
      </c>
      <c r="O77" s="64">
        <v>0</v>
      </c>
      <c r="P77" s="64">
        <v>0.8</v>
      </c>
      <c r="Q77" s="64">
        <v>27.46</v>
      </c>
      <c r="R77" s="198"/>
      <c r="S77" s="198"/>
      <c r="T77" s="198"/>
      <c r="U77" s="198"/>
    </row>
    <row r="78" spans="1:21" s="12" customFormat="1" x14ac:dyDescent="0.25">
      <c r="A78" s="218" t="s">
        <v>3106</v>
      </c>
      <c r="B78" s="64">
        <v>16.329999999999998</v>
      </c>
      <c r="C78" s="64">
        <v>31.83</v>
      </c>
      <c r="D78" s="64">
        <v>31.31</v>
      </c>
      <c r="E78" s="64">
        <v>1.1599999999999999</v>
      </c>
      <c r="F78" s="64">
        <v>3.26</v>
      </c>
      <c r="G78" s="64">
        <v>52.45</v>
      </c>
      <c r="H78" s="64">
        <v>18.010000000000002</v>
      </c>
      <c r="I78" s="64">
        <v>0.55000000000000004</v>
      </c>
      <c r="J78" s="64">
        <v>0.23</v>
      </c>
      <c r="K78" s="64">
        <v>301.58999999999997</v>
      </c>
      <c r="L78" s="64">
        <v>19.91</v>
      </c>
      <c r="M78" s="64">
        <v>77.540000000000006</v>
      </c>
      <c r="N78" s="64">
        <v>49.2</v>
      </c>
      <c r="O78" s="64">
        <v>0</v>
      </c>
      <c r="P78" s="64">
        <v>0.8</v>
      </c>
      <c r="Q78" s="64">
        <v>27.81</v>
      </c>
      <c r="R78" s="198"/>
      <c r="S78" s="198"/>
      <c r="T78" s="198"/>
      <c r="U78" s="198"/>
    </row>
    <row r="79" spans="1:21" s="12" customFormat="1" x14ac:dyDescent="0.25">
      <c r="A79" s="218" t="s">
        <v>3107</v>
      </c>
      <c r="B79" s="64">
        <v>16.66</v>
      </c>
      <c r="C79" s="64">
        <v>38.86</v>
      </c>
      <c r="D79" s="64">
        <v>35.450000000000003</v>
      </c>
      <c r="E79" s="64">
        <v>0.91</v>
      </c>
      <c r="F79" s="64">
        <v>3.2</v>
      </c>
      <c r="G79" s="64">
        <v>52.45</v>
      </c>
      <c r="H79" s="64">
        <v>18.010000000000002</v>
      </c>
      <c r="I79" s="64">
        <v>0.56999999999999995</v>
      </c>
      <c r="J79" s="64">
        <v>0.11</v>
      </c>
      <c r="K79" s="64">
        <v>284.73</v>
      </c>
      <c r="L79" s="64">
        <v>19.79</v>
      </c>
      <c r="M79" s="64">
        <v>78.650000000000006</v>
      </c>
      <c r="N79" s="64">
        <v>39.5</v>
      </c>
      <c r="O79" s="64">
        <v>0</v>
      </c>
      <c r="P79" s="64">
        <v>0.82</v>
      </c>
      <c r="Q79" s="64">
        <v>28.53</v>
      </c>
      <c r="R79" s="198"/>
      <c r="S79" s="198"/>
      <c r="T79" s="198"/>
      <c r="U79" s="198"/>
    </row>
    <row r="80" spans="1:21" s="12" customFormat="1" x14ac:dyDescent="0.25">
      <c r="A80" s="218" t="s">
        <v>3108</v>
      </c>
      <c r="B80" s="64">
        <v>17.16</v>
      </c>
      <c r="C80" s="64">
        <v>34.06</v>
      </c>
      <c r="D80" s="64">
        <v>33.21</v>
      </c>
      <c r="E80" s="64">
        <v>1.44</v>
      </c>
      <c r="F80" s="64">
        <v>3.17</v>
      </c>
      <c r="G80" s="64">
        <v>52.45</v>
      </c>
      <c r="H80" s="64">
        <v>18.010000000000002</v>
      </c>
      <c r="I80" s="64">
        <v>0.56999999999999995</v>
      </c>
      <c r="J80" s="64">
        <v>0.39</v>
      </c>
      <c r="K80" s="64">
        <v>139.96</v>
      </c>
      <c r="L80" s="64">
        <v>19.77</v>
      </c>
      <c r="M80" s="64">
        <v>77.930000000000007</v>
      </c>
      <c r="N80" s="64">
        <v>25.4</v>
      </c>
      <c r="O80" s="64">
        <v>0</v>
      </c>
      <c r="P80" s="64">
        <v>0.83</v>
      </c>
      <c r="Q80" s="64">
        <v>28.89</v>
      </c>
      <c r="R80" s="198"/>
      <c r="S80" s="198"/>
      <c r="T80" s="198"/>
      <c r="U80" s="198"/>
    </row>
    <row r="81" spans="1:26" s="12" customFormat="1" x14ac:dyDescent="0.25">
      <c r="A81" s="218" t="s">
        <v>3109</v>
      </c>
      <c r="B81" s="64">
        <v>17.579999999999998</v>
      </c>
      <c r="C81" s="64">
        <v>31.93</v>
      </c>
      <c r="D81" s="64">
        <v>32.36</v>
      </c>
      <c r="E81" s="64">
        <v>1.67</v>
      </c>
      <c r="F81" s="64">
        <v>3.1</v>
      </c>
      <c r="G81" s="64">
        <v>52.53</v>
      </c>
      <c r="H81" s="64">
        <v>15.57</v>
      </c>
      <c r="I81" s="64">
        <v>0.57999999999999996</v>
      </c>
      <c r="J81" s="64">
        <v>0.73</v>
      </c>
      <c r="K81" s="64">
        <v>147.68</v>
      </c>
      <c r="L81" s="64">
        <v>19.61</v>
      </c>
      <c r="M81" s="64">
        <v>75.87</v>
      </c>
      <c r="N81" s="64">
        <v>13.9</v>
      </c>
      <c r="O81" s="64">
        <v>0</v>
      </c>
      <c r="P81" s="64">
        <v>0.83</v>
      </c>
      <c r="Q81" s="64">
        <v>29.78</v>
      </c>
      <c r="R81" s="198"/>
      <c r="S81" s="198"/>
      <c r="T81" s="198"/>
      <c r="U81" s="198"/>
    </row>
    <row r="82" spans="1:26" s="12" customFormat="1" x14ac:dyDescent="0.25">
      <c r="A82" s="218" t="s">
        <v>3110</v>
      </c>
      <c r="B82" s="64">
        <v>17.36</v>
      </c>
      <c r="C82" s="64">
        <v>31.57</v>
      </c>
      <c r="D82" s="64">
        <v>31.99</v>
      </c>
      <c r="E82" s="64">
        <v>1.28</v>
      </c>
      <c r="F82" s="64">
        <v>3.02</v>
      </c>
      <c r="G82" s="64">
        <v>52.54</v>
      </c>
      <c r="H82" s="64">
        <v>15.57</v>
      </c>
      <c r="I82" s="64">
        <v>0.57999999999999996</v>
      </c>
      <c r="J82" s="64">
        <v>0.92</v>
      </c>
      <c r="K82" s="64">
        <v>131.57</v>
      </c>
      <c r="L82" s="64">
        <v>19.62</v>
      </c>
      <c r="M82" s="64">
        <v>77.16</v>
      </c>
      <c r="N82" s="64">
        <v>6.4</v>
      </c>
      <c r="O82" s="64">
        <v>0</v>
      </c>
      <c r="P82" s="64">
        <v>0.83</v>
      </c>
      <c r="Q82" s="64">
        <v>30.82</v>
      </c>
      <c r="R82" s="198"/>
      <c r="S82" s="198"/>
      <c r="T82" s="198"/>
      <c r="U82" s="198"/>
    </row>
    <row r="83" spans="1:26" s="12" customFormat="1" x14ac:dyDescent="0.25">
      <c r="A83" s="218" t="s">
        <v>3111</v>
      </c>
      <c r="B83" s="64">
        <v>16.309999999999999</v>
      </c>
      <c r="C83" s="64">
        <v>31.66</v>
      </c>
      <c r="D83" s="64">
        <v>31.2</v>
      </c>
      <c r="E83" s="64">
        <v>1.52</v>
      </c>
      <c r="F83" s="64">
        <v>3.55</v>
      </c>
      <c r="G83" s="64">
        <v>52.54</v>
      </c>
      <c r="H83" s="64">
        <v>15.57</v>
      </c>
      <c r="I83" s="64">
        <v>0.59</v>
      </c>
      <c r="J83" s="64">
        <v>0.13</v>
      </c>
      <c r="K83" s="64">
        <v>145.79</v>
      </c>
      <c r="L83" s="64">
        <v>19.649999999999999</v>
      </c>
      <c r="M83" s="64">
        <v>78.430000000000007</v>
      </c>
      <c r="N83" s="64">
        <v>5.0999999999999996</v>
      </c>
      <c r="O83" s="64">
        <v>0</v>
      </c>
      <c r="P83" s="64">
        <v>0.82</v>
      </c>
      <c r="Q83" s="64">
        <v>31.77</v>
      </c>
      <c r="R83" s="198"/>
      <c r="S83" s="198"/>
      <c r="T83" s="198"/>
      <c r="U83" s="198"/>
    </row>
    <row r="84" spans="1:26" s="12" customFormat="1" x14ac:dyDescent="0.25">
      <c r="A84" s="218" t="s">
        <v>3112</v>
      </c>
      <c r="B84" s="64">
        <v>16.420000000000002</v>
      </c>
      <c r="C84" s="64">
        <v>33.61</v>
      </c>
      <c r="D84" s="64">
        <v>32.36</v>
      </c>
      <c r="E84" s="64">
        <v>1.35</v>
      </c>
      <c r="F84" s="64">
        <v>2.88</v>
      </c>
      <c r="G84" s="64">
        <v>52.54</v>
      </c>
      <c r="H84" s="64">
        <v>15.57</v>
      </c>
      <c r="I84" s="64">
        <v>0.59</v>
      </c>
      <c r="J84" s="64">
        <v>0.53</v>
      </c>
      <c r="K84" s="64">
        <v>126.8</v>
      </c>
      <c r="L84" s="64">
        <v>19.670000000000002</v>
      </c>
      <c r="M84" s="64">
        <v>78.81</v>
      </c>
      <c r="N84" s="64">
        <v>4.8</v>
      </c>
      <c r="O84" s="64">
        <v>0</v>
      </c>
      <c r="P84" s="64">
        <v>0.82</v>
      </c>
      <c r="Q84" s="64">
        <v>31.89</v>
      </c>
      <c r="R84" s="198"/>
      <c r="S84" s="198"/>
      <c r="T84" s="198"/>
      <c r="U84" s="198"/>
    </row>
    <row r="85" spans="1:26" s="12" customFormat="1" x14ac:dyDescent="0.25">
      <c r="A85" s="218" t="s">
        <v>3113</v>
      </c>
      <c r="B85" s="64">
        <v>16.079999999999998</v>
      </c>
      <c r="C85" s="64">
        <v>32.29</v>
      </c>
      <c r="D85" s="64">
        <v>31.36</v>
      </c>
      <c r="E85" s="64">
        <v>1.62</v>
      </c>
      <c r="F85" s="64">
        <v>3.04</v>
      </c>
      <c r="G85" s="64">
        <v>47.13</v>
      </c>
      <c r="H85" s="64">
        <v>15.19</v>
      </c>
      <c r="I85" s="64">
        <v>0.59</v>
      </c>
      <c r="J85" s="64">
        <v>0.39</v>
      </c>
      <c r="K85" s="64">
        <v>206.84</v>
      </c>
      <c r="L85" s="64">
        <v>19.7</v>
      </c>
      <c r="M85" s="64">
        <v>78.400000000000006</v>
      </c>
      <c r="N85" s="64">
        <v>4.9000000000000004</v>
      </c>
      <c r="O85" s="64">
        <v>0</v>
      </c>
      <c r="P85" s="64">
        <v>0.79</v>
      </c>
      <c r="Q85" s="64">
        <v>31.44</v>
      </c>
      <c r="R85" s="198"/>
      <c r="S85" s="198"/>
      <c r="T85" s="198"/>
      <c r="U85" s="198"/>
    </row>
    <row r="86" spans="1:26" s="12" customFormat="1" x14ac:dyDescent="0.25">
      <c r="A86" s="218" t="s">
        <v>3114</v>
      </c>
      <c r="B86" s="64">
        <v>15.65</v>
      </c>
      <c r="C86" s="64">
        <v>31.93</v>
      </c>
      <c r="D86" s="64">
        <v>30.82</v>
      </c>
      <c r="E86" s="64">
        <v>1.21</v>
      </c>
      <c r="F86" s="64">
        <v>2.93</v>
      </c>
      <c r="G86" s="64">
        <v>47.01</v>
      </c>
      <c r="H86" s="64">
        <v>15.19</v>
      </c>
      <c r="I86" s="64">
        <v>0.59</v>
      </c>
      <c r="J86" s="64">
        <v>0.36</v>
      </c>
      <c r="K86" s="64">
        <v>213.78</v>
      </c>
      <c r="L86" s="64">
        <v>19.71</v>
      </c>
      <c r="M86" s="64">
        <v>78.66</v>
      </c>
      <c r="N86" s="64">
        <v>5</v>
      </c>
      <c r="O86" s="64">
        <v>0</v>
      </c>
      <c r="P86" s="64">
        <v>0.82</v>
      </c>
      <c r="Q86" s="64">
        <v>30.88</v>
      </c>
      <c r="R86" s="198"/>
      <c r="S86" s="198"/>
      <c r="T86" s="198"/>
      <c r="U86" s="198"/>
    </row>
    <row r="87" spans="1:26" s="12" customFormat="1" x14ac:dyDescent="0.25">
      <c r="A87" s="218" t="s">
        <v>3115</v>
      </c>
      <c r="B87" s="64">
        <v>15.22</v>
      </c>
      <c r="C87" s="64">
        <v>31</v>
      </c>
      <c r="D87" s="64">
        <v>29.96</v>
      </c>
      <c r="E87" s="64">
        <v>1.92</v>
      </c>
      <c r="F87" s="64">
        <v>2.95</v>
      </c>
      <c r="G87" s="64">
        <v>47.01</v>
      </c>
      <c r="H87" s="64">
        <v>15.19</v>
      </c>
      <c r="I87" s="64">
        <v>0.59</v>
      </c>
      <c r="J87" s="64">
        <v>0.32</v>
      </c>
      <c r="K87" s="64">
        <v>200.86</v>
      </c>
      <c r="L87" s="64">
        <v>19.75</v>
      </c>
      <c r="M87" s="64">
        <v>78.16</v>
      </c>
      <c r="N87" s="64">
        <v>5</v>
      </c>
      <c r="O87" s="64">
        <v>0</v>
      </c>
      <c r="P87" s="64">
        <v>0.82</v>
      </c>
      <c r="Q87" s="64">
        <v>30.26</v>
      </c>
      <c r="R87" s="198"/>
      <c r="S87" s="198"/>
      <c r="T87" s="198"/>
      <c r="U87" s="198"/>
    </row>
    <row r="88" spans="1:26" s="12" customFormat="1" x14ac:dyDescent="0.25">
      <c r="A88" s="218" t="s">
        <v>3116</v>
      </c>
      <c r="B88" s="64">
        <v>14.53</v>
      </c>
      <c r="C88" s="64">
        <v>30.71</v>
      </c>
      <c r="D88" s="64">
        <v>29.24</v>
      </c>
      <c r="E88" s="64">
        <v>0.69</v>
      </c>
      <c r="F88" s="64">
        <v>3</v>
      </c>
      <c r="G88" s="64">
        <v>47.01</v>
      </c>
      <c r="H88" s="64">
        <v>15.19</v>
      </c>
      <c r="I88" s="64">
        <v>0.59</v>
      </c>
      <c r="J88" s="64">
        <v>0.62</v>
      </c>
      <c r="K88" s="64">
        <v>217.2</v>
      </c>
      <c r="L88" s="64">
        <v>19.82</v>
      </c>
      <c r="M88" s="64">
        <v>77.34</v>
      </c>
      <c r="N88" s="64">
        <v>4.8</v>
      </c>
      <c r="O88" s="64">
        <v>0</v>
      </c>
      <c r="P88" s="64">
        <v>0.82</v>
      </c>
      <c r="Q88" s="64">
        <v>29.74</v>
      </c>
      <c r="R88" s="198"/>
      <c r="S88" s="198"/>
      <c r="T88" s="198"/>
      <c r="U88" s="198"/>
    </row>
    <row r="89" spans="1:26" s="12" customFormat="1" x14ac:dyDescent="0.25">
      <c r="A89" s="218" t="s">
        <v>3117</v>
      </c>
      <c r="B89" s="64">
        <v>14.19</v>
      </c>
      <c r="C89" s="64">
        <v>31.48</v>
      </c>
      <c r="D89" s="64">
        <v>29.4</v>
      </c>
      <c r="E89" s="64">
        <v>1.51</v>
      </c>
      <c r="F89" s="64">
        <v>3.11</v>
      </c>
      <c r="G89" s="64">
        <v>44.04</v>
      </c>
      <c r="H89" s="64">
        <v>16.52</v>
      </c>
      <c r="I89" s="64">
        <v>0.57999999999999996</v>
      </c>
      <c r="J89" s="64">
        <v>0.67</v>
      </c>
      <c r="K89" s="64">
        <v>222.44</v>
      </c>
      <c r="L89" s="64">
        <v>19.920000000000002</v>
      </c>
      <c r="M89" s="64">
        <v>77.05</v>
      </c>
      <c r="N89" s="64">
        <v>5</v>
      </c>
      <c r="O89" s="64">
        <v>0</v>
      </c>
      <c r="P89" s="64">
        <v>0.8</v>
      </c>
      <c r="Q89" s="64">
        <v>29.42</v>
      </c>
      <c r="R89" s="198"/>
      <c r="S89" s="198"/>
      <c r="T89" s="198"/>
      <c r="U89" s="198"/>
    </row>
    <row r="90" spans="1:26" s="12" customFormat="1" x14ac:dyDescent="0.25">
      <c r="A90" s="218" t="s">
        <v>3118</v>
      </c>
      <c r="B90" s="64">
        <v>14.24</v>
      </c>
      <c r="C90" s="64">
        <v>32.31</v>
      </c>
      <c r="D90" s="64">
        <v>29.89</v>
      </c>
      <c r="E90" s="64">
        <v>1.55</v>
      </c>
      <c r="F90" s="64">
        <v>2.84</v>
      </c>
      <c r="G90" s="64">
        <v>43.98</v>
      </c>
      <c r="H90" s="64">
        <v>16.52</v>
      </c>
      <c r="I90" s="64">
        <v>0.57999999999999996</v>
      </c>
      <c r="J90" s="64">
        <v>0.64</v>
      </c>
      <c r="K90" s="64">
        <v>226.51</v>
      </c>
      <c r="L90" s="64">
        <v>19.89</v>
      </c>
      <c r="M90" s="64">
        <v>77.27</v>
      </c>
      <c r="N90" s="64">
        <v>5.0999999999999996</v>
      </c>
      <c r="O90" s="64">
        <v>0</v>
      </c>
      <c r="P90" s="64">
        <v>0.79</v>
      </c>
      <c r="Q90" s="64">
        <v>29.59</v>
      </c>
      <c r="R90" s="198"/>
      <c r="S90" s="198"/>
      <c r="T90" s="198"/>
      <c r="U90" s="198"/>
    </row>
    <row r="91" spans="1:26" s="12" customFormat="1" x14ac:dyDescent="0.25">
      <c r="A91" s="218" t="s">
        <v>3119</v>
      </c>
      <c r="B91" s="64">
        <v>14.41</v>
      </c>
      <c r="C91" s="64">
        <v>33.159999999999997</v>
      </c>
      <c r="D91" s="64">
        <v>30.5</v>
      </c>
      <c r="E91" s="64">
        <v>1.8</v>
      </c>
      <c r="F91" s="64">
        <v>2.97</v>
      </c>
      <c r="G91" s="64">
        <v>43.98</v>
      </c>
      <c r="H91" s="64">
        <v>16.52</v>
      </c>
      <c r="I91" s="64">
        <v>0.56999999999999995</v>
      </c>
      <c r="J91" s="64">
        <v>0.59</v>
      </c>
      <c r="K91" s="64">
        <v>231.69</v>
      </c>
      <c r="L91" s="64">
        <v>19.88</v>
      </c>
      <c r="M91" s="64">
        <v>77.87</v>
      </c>
      <c r="N91" s="64">
        <v>5.0999999999999996</v>
      </c>
      <c r="O91" s="64">
        <v>0</v>
      </c>
      <c r="P91" s="64">
        <v>0.77</v>
      </c>
      <c r="Q91" s="64">
        <v>30.05</v>
      </c>
      <c r="R91" s="198"/>
      <c r="S91" s="198"/>
      <c r="T91" s="198"/>
      <c r="U91" s="198"/>
    </row>
    <row r="92" spans="1:26" s="12" customFormat="1" x14ac:dyDescent="0.25">
      <c r="A92" s="218" t="s">
        <v>3120</v>
      </c>
      <c r="B92" s="64">
        <v>14.6</v>
      </c>
      <c r="C92" s="64">
        <v>33.1</v>
      </c>
      <c r="D92" s="64">
        <v>30.63</v>
      </c>
      <c r="E92" s="64">
        <v>1.66</v>
      </c>
      <c r="F92" s="64">
        <v>3.17</v>
      </c>
      <c r="G92" s="64">
        <v>43.98</v>
      </c>
      <c r="H92" s="64">
        <v>16.52</v>
      </c>
      <c r="I92" s="64">
        <v>0.57999999999999996</v>
      </c>
      <c r="J92" s="64">
        <v>0.37</v>
      </c>
      <c r="K92" s="64">
        <v>211.47</v>
      </c>
      <c r="L92" s="64">
        <v>19.91</v>
      </c>
      <c r="M92" s="64">
        <v>78.7</v>
      </c>
      <c r="N92" s="64">
        <v>5</v>
      </c>
      <c r="O92" s="64">
        <v>0</v>
      </c>
      <c r="P92" s="64">
        <v>0.78</v>
      </c>
      <c r="Q92" s="64">
        <v>29.89</v>
      </c>
      <c r="R92" s="198"/>
      <c r="S92" s="198"/>
      <c r="T92" s="198"/>
      <c r="U92" s="198"/>
    </row>
    <row r="93" spans="1:26" s="12" customFormat="1" x14ac:dyDescent="0.25">
      <c r="A93" s="218" t="s">
        <v>3121</v>
      </c>
      <c r="B93" s="64">
        <v>14.65</v>
      </c>
      <c r="C93" s="64">
        <v>33.130000000000003</v>
      </c>
      <c r="D93" s="64">
        <v>30.68</v>
      </c>
      <c r="E93" s="64">
        <v>1.46</v>
      </c>
      <c r="F93" s="64">
        <v>3.04</v>
      </c>
      <c r="G93" s="64">
        <v>39.6</v>
      </c>
      <c r="H93" s="64">
        <v>12.02</v>
      </c>
      <c r="I93" s="64">
        <v>0.57999999999999996</v>
      </c>
      <c r="J93" s="64">
        <v>7.0000000000000007E-2</v>
      </c>
      <c r="K93" s="64">
        <v>33.090000000000003</v>
      </c>
      <c r="L93" s="64">
        <v>19.829999999999998</v>
      </c>
      <c r="M93" s="64">
        <v>81.22</v>
      </c>
      <c r="N93" s="64">
        <v>5.6</v>
      </c>
      <c r="O93" s="64">
        <v>0.4</v>
      </c>
      <c r="P93" s="64">
        <v>0.77</v>
      </c>
      <c r="Q93" s="64">
        <v>30.25</v>
      </c>
      <c r="R93" s="198"/>
      <c r="S93" s="198"/>
      <c r="T93" s="198"/>
      <c r="U93" s="198"/>
    </row>
    <row r="94" spans="1:26" s="12" customFormat="1" x14ac:dyDescent="0.25">
      <c r="A94" s="218" t="s">
        <v>3122</v>
      </c>
      <c r="B94" s="64">
        <v>14.65</v>
      </c>
      <c r="C94" s="64">
        <v>31.76</v>
      </c>
      <c r="D94" s="64">
        <v>29.92</v>
      </c>
      <c r="E94" s="64">
        <v>1.34</v>
      </c>
      <c r="F94" s="64">
        <v>3.06</v>
      </c>
      <c r="G94" s="64">
        <v>39.5</v>
      </c>
      <c r="H94" s="64">
        <v>12.02</v>
      </c>
      <c r="I94" s="64">
        <v>0.56999999999999995</v>
      </c>
      <c r="J94" s="64">
        <v>0.18</v>
      </c>
      <c r="K94" s="64">
        <v>301</v>
      </c>
      <c r="L94" s="64">
        <v>19.350000000000001</v>
      </c>
      <c r="M94" s="64">
        <v>85.66</v>
      </c>
      <c r="N94" s="64">
        <v>5.9</v>
      </c>
      <c r="O94" s="64">
        <v>0.2</v>
      </c>
      <c r="P94" s="64">
        <v>0.78</v>
      </c>
      <c r="Q94" s="64">
        <v>30.18</v>
      </c>
      <c r="R94" s="198"/>
      <c r="S94" s="198"/>
      <c r="T94" s="198"/>
      <c r="U94" s="198"/>
    </row>
    <row r="95" spans="1:26" s="12" customFormat="1" x14ac:dyDescent="0.25">
      <c r="A95" s="218" t="s">
        <v>3123</v>
      </c>
      <c r="B95" s="64">
        <v>15.72</v>
      </c>
      <c r="C95" s="64">
        <v>30.54</v>
      </c>
      <c r="D95" s="64">
        <v>30.1</v>
      </c>
      <c r="E95" s="64">
        <v>1.51</v>
      </c>
      <c r="F95" s="64">
        <v>2.85</v>
      </c>
      <c r="G95" s="64">
        <v>39.5</v>
      </c>
      <c r="H95" s="64">
        <v>12.02</v>
      </c>
      <c r="I95" s="64">
        <v>0.56999999999999995</v>
      </c>
      <c r="J95" s="64">
        <v>0.89</v>
      </c>
      <c r="K95" s="64">
        <v>283.62</v>
      </c>
      <c r="L95" s="64">
        <v>19.04</v>
      </c>
      <c r="M95" s="64">
        <v>87.02</v>
      </c>
      <c r="N95" s="64">
        <v>6</v>
      </c>
      <c r="O95" s="64">
        <v>0</v>
      </c>
      <c r="P95" s="64">
        <v>0.79</v>
      </c>
      <c r="Q95" s="64">
        <v>30.05</v>
      </c>
      <c r="R95" s="198"/>
      <c r="S95" s="198"/>
      <c r="T95" s="198"/>
      <c r="U95" s="198"/>
    </row>
    <row r="96" spans="1:26" s="12" customFormat="1" x14ac:dyDescent="0.25">
      <c r="A96" s="218" t="s">
        <v>3124</v>
      </c>
      <c r="B96" s="64">
        <v>15.15</v>
      </c>
      <c r="C96" s="64">
        <v>30.69</v>
      </c>
      <c r="D96" s="64">
        <v>29.73</v>
      </c>
      <c r="E96" s="64">
        <v>1.87</v>
      </c>
      <c r="F96" s="64">
        <v>2.87</v>
      </c>
      <c r="G96" s="64">
        <v>39.5</v>
      </c>
      <c r="H96" s="64">
        <v>12.02</v>
      </c>
      <c r="I96" s="64">
        <v>0.57999999999999996</v>
      </c>
      <c r="J96" s="64">
        <v>1.84</v>
      </c>
      <c r="K96" s="64">
        <v>285.02</v>
      </c>
      <c r="L96" s="64">
        <v>18.77</v>
      </c>
      <c r="M96" s="64">
        <v>87.63</v>
      </c>
      <c r="N96" s="64">
        <v>5.9</v>
      </c>
      <c r="O96" s="64">
        <v>0.2</v>
      </c>
      <c r="P96" s="64">
        <v>0.77</v>
      </c>
      <c r="Q96" s="64">
        <v>29.33</v>
      </c>
      <c r="R96" s="198"/>
      <c r="S96" s="198"/>
      <c r="T96" s="216"/>
      <c r="U96" s="198"/>
      <c r="Z96" s="109"/>
    </row>
    <row r="97" spans="1:33" s="12" customFormat="1" x14ac:dyDescent="0.25">
      <c r="A97" s="218" t="s">
        <v>3125</v>
      </c>
      <c r="B97" s="64">
        <v>13.25</v>
      </c>
      <c r="C97" s="64">
        <v>30.73</v>
      </c>
      <c r="D97" s="64">
        <v>28.23</v>
      </c>
      <c r="E97" s="64">
        <v>1.35</v>
      </c>
      <c r="F97" s="64">
        <v>3.16</v>
      </c>
      <c r="G97" s="64">
        <v>30.59</v>
      </c>
      <c r="H97" s="64">
        <v>10.09</v>
      </c>
      <c r="I97" s="64">
        <v>0.56999999999999995</v>
      </c>
      <c r="J97" s="64">
        <v>1.67</v>
      </c>
      <c r="K97" s="64">
        <v>287.22000000000003</v>
      </c>
      <c r="L97" s="64">
        <v>18.350000000000001</v>
      </c>
      <c r="M97" s="64">
        <v>88.21</v>
      </c>
      <c r="N97" s="64">
        <v>5.9</v>
      </c>
      <c r="O97" s="64">
        <v>0</v>
      </c>
      <c r="P97" s="64">
        <v>0.76</v>
      </c>
      <c r="Q97" s="64">
        <v>28.35</v>
      </c>
      <c r="R97" s="198"/>
      <c r="S97" s="198"/>
      <c r="T97" s="198"/>
      <c r="U97" s="198"/>
    </row>
    <row r="98" spans="1:33" s="12" customFormat="1" x14ac:dyDescent="0.25">
      <c r="A98" s="218" t="s">
        <v>3126</v>
      </c>
      <c r="B98" s="64">
        <v>11.51</v>
      </c>
      <c r="C98" s="64">
        <v>31.07</v>
      </c>
      <c r="D98" s="64">
        <v>27.03</v>
      </c>
      <c r="E98" s="64">
        <v>1.57</v>
      </c>
      <c r="F98" s="64">
        <v>3.25</v>
      </c>
      <c r="G98" s="64">
        <v>30.38</v>
      </c>
      <c r="H98" s="64">
        <v>10.09</v>
      </c>
      <c r="I98" s="64">
        <v>0.56000000000000005</v>
      </c>
      <c r="J98" s="64">
        <v>1.36</v>
      </c>
      <c r="K98" s="64">
        <v>286.43</v>
      </c>
      <c r="L98" s="64">
        <v>18.23</v>
      </c>
      <c r="M98" s="64">
        <v>88.31</v>
      </c>
      <c r="N98" s="64">
        <v>6</v>
      </c>
      <c r="O98" s="64">
        <v>0</v>
      </c>
      <c r="P98" s="64">
        <v>0.75</v>
      </c>
      <c r="Q98" s="64">
        <v>27.63</v>
      </c>
      <c r="R98" s="198"/>
      <c r="S98" s="198"/>
      <c r="T98" s="198"/>
      <c r="U98" s="198"/>
    </row>
    <row r="99" spans="1:33" s="12" customFormat="1" x14ac:dyDescent="0.25">
      <c r="A99" s="218" t="s">
        <v>3127</v>
      </c>
      <c r="B99" s="64">
        <v>10.38</v>
      </c>
      <c r="C99" s="64">
        <v>31.04</v>
      </c>
      <c r="D99" s="64">
        <v>26.1</v>
      </c>
      <c r="E99" s="64">
        <v>1.27</v>
      </c>
      <c r="F99" s="64">
        <v>2.87</v>
      </c>
      <c r="G99" s="64">
        <v>30.38</v>
      </c>
      <c r="H99" s="64">
        <v>10.09</v>
      </c>
      <c r="I99" s="64">
        <v>0.56000000000000005</v>
      </c>
      <c r="J99" s="64">
        <v>0.86</v>
      </c>
      <c r="K99" s="64">
        <v>286.18</v>
      </c>
      <c r="L99" s="64">
        <v>18.18</v>
      </c>
      <c r="M99" s="64">
        <v>88.76</v>
      </c>
      <c r="N99" s="64">
        <v>5.4</v>
      </c>
      <c r="O99" s="64">
        <v>0</v>
      </c>
      <c r="P99" s="64">
        <v>0.75</v>
      </c>
      <c r="Q99" s="64">
        <v>27.24</v>
      </c>
      <c r="R99" s="198"/>
      <c r="S99" s="198"/>
      <c r="T99" s="198"/>
      <c r="U99" s="198"/>
    </row>
    <row r="100" spans="1:33" s="12" customFormat="1" x14ac:dyDescent="0.25">
      <c r="A100" s="218" t="s">
        <v>3128</v>
      </c>
      <c r="B100" s="64">
        <v>9.99</v>
      </c>
      <c r="C100" s="64">
        <v>30.15</v>
      </c>
      <c r="D100" s="64">
        <v>25.3</v>
      </c>
      <c r="E100" s="64">
        <v>1.28</v>
      </c>
      <c r="F100" s="64">
        <v>2.92</v>
      </c>
      <c r="G100" s="64">
        <v>30.38</v>
      </c>
      <c r="H100" s="64">
        <v>10.09</v>
      </c>
      <c r="I100" s="64">
        <v>0.55000000000000004</v>
      </c>
      <c r="J100" s="64">
        <v>0.18</v>
      </c>
      <c r="K100" s="64">
        <v>329.59</v>
      </c>
      <c r="L100" s="64">
        <v>18.09</v>
      </c>
      <c r="M100" s="64">
        <v>88.78</v>
      </c>
      <c r="N100" s="64">
        <v>5.2</v>
      </c>
      <c r="O100" s="64">
        <v>0</v>
      </c>
      <c r="P100" s="64">
        <v>0.75</v>
      </c>
      <c r="Q100" s="64">
        <v>26.84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8" t="s">
        <v>3129</v>
      </c>
      <c r="B101" s="64">
        <v>10</v>
      </c>
      <c r="C101" s="64">
        <v>29.48</v>
      </c>
      <c r="D101" s="64">
        <v>24.93</v>
      </c>
      <c r="E101" s="64">
        <v>1.67</v>
      </c>
      <c r="F101" s="64">
        <v>3.26</v>
      </c>
      <c r="G101" s="64">
        <v>27.29</v>
      </c>
      <c r="H101" s="64">
        <v>11.4</v>
      </c>
      <c r="I101" s="64">
        <v>0.54</v>
      </c>
      <c r="J101" s="64">
        <v>1.71</v>
      </c>
      <c r="K101" s="64">
        <v>133.75</v>
      </c>
      <c r="L101" s="64">
        <v>18.079999999999998</v>
      </c>
      <c r="M101" s="64">
        <v>86.84</v>
      </c>
      <c r="N101" s="64">
        <v>5</v>
      </c>
      <c r="O101" s="64">
        <v>0</v>
      </c>
      <c r="P101" s="64">
        <v>0.75</v>
      </c>
      <c r="Q101" s="64">
        <v>26.78</v>
      </c>
      <c r="R101" s="198"/>
      <c r="S101" s="198"/>
      <c r="T101" s="198"/>
      <c r="U101" s="198"/>
    </row>
    <row r="102" spans="1:33" s="12" customFormat="1" x14ac:dyDescent="0.25">
      <c r="A102" s="218" t="s">
        <v>3130</v>
      </c>
      <c r="B102" s="64">
        <v>10.3</v>
      </c>
      <c r="C102" s="64">
        <v>29.03</v>
      </c>
      <c r="D102" s="64">
        <v>24.92</v>
      </c>
      <c r="E102" s="64">
        <v>1.29</v>
      </c>
      <c r="F102" s="64">
        <v>2.94</v>
      </c>
      <c r="G102" s="64">
        <v>27.22</v>
      </c>
      <c r="H102" s="64">
        <v>11.4</v>
      </c>
      <c r="I102" s="64">
        <v>0.55000000000000004</v>
      </c>
      <c r="J102" s="64">
        <v>0.39</v>
      </c>
      <c r="K102" s="64">
        <v>122.08</v>
      </c>
      <c r="L102" s="64">
        <v>18.22</v>
      </c>
      <c r="M102" s="64">
        <v>86.65</v>
      </c>
      <c r="N102" s="64">
        <v>5.0999999999999996</v>
      </c>
      <c r="O102" s="64">
        <v>0</v>
      </c>
      <c r="P102" s="64">
        <v>0.74</v>
      </c>
      <c r="Q102" s="64">
        <v>27.75</v>
      </c>
      <c r="R102" s="198"/>
      <c r="S102" s="198"/>
      <c r="T102" s="198"/>
      <c r="U102" s="198"/>
    </row>
    <row r="103" spans="1:33" s="12" customFormat="1" x14ac:dyDescent="0.25">
      <c r="A103" s="218" t="s">
        <v>3131</v>
      </c>
      <c r="B103" s="64">
        <v>11.24</v>
      </c>
      <c r="C103" s="64">
        <v>25.38</v>
      </c>
      <c r="D103" s="64">
        <v>23.67</v>
      </c>
      <c r="E103" s="64">
        <v>1.38</v>
      </c>
      <c r="F103" s="64">
        <v>3</v>
      </c>
      <c r="G103" s="64">
        <v>27.22</v>
      </c>
      <c r="H103" s="64">
        <v>11.4</v>
      </c>
      <c r="I103" s="64">
        <v>0.55000000000000004</v>
      </c>
      <c r="J103" s="64">
        <v>0.31</v>
      </c>
      <c r="K103" s="64">
        <v>117.84</v>
      </c>
      <c r="L103" s="64">
        <v>18.14</v>
      </c>
      <c r="M103" s="64">
        <v>88.21</v>
      </c>
      <c r="N103" s="64">
        <v>5</v>
      </c>
      <c r="O103" s="64">
        <v>0.2</v>
      </c>
      <c r="P103" s="64">
        <v>0.74</v>
      </c>
      <c r="Q103" s="64">
        <v>28.18</v>
      </c>
      <c r="R103" s="198"/>
      <c r="S103" s="198"/>
      <c r="T103" s="198"/>
      <c r="U103" s="198"/>
    </row>
    <row r="104" spans="1:33" s="12" customFormat="1" x14ac:dyDescent="0.25">
      <c r="A104" s="218" t="s">
        <v>3132</v>
      </c>
      <c r="B104" s="64">
        <v>10.17</v>
      </c>
      <c r="C104" s="64">
        <v>27.01</v>
      </c>
      <c r="D104" s="64">
        <v>23.71</v>
      </c>
      <c r="E104" s="64">
        <v>1.49</v>
      </c>
      <c r="F104" s="64">
        <v>3.13</v>
      </c>
      <c r="G104" s="64">
        <v>27.22</v>
      </c>
      <c r="H104" s="64">
        <v>11.4</v>
      </c>
      <c r="I104" s="64">
        <v>0.56000000000000005</v>
      </c>
      <c r="J104" s="64">
        <v>0.41</v>
      </c>
      <c r="K104" s="64">
        <v>119.85</v>
      </c>
      <c r="L104" s="64">
        <v>17.95</v>
      </c>
      <c r="M104" s="64">
        <v>89.03</v>
      </c>
      <c r="N104" s="64">
        <v>5.2</v>
      </c>
      <c r="O104" s="64">
        <v>0</v>
      </c>
      <c r="P104" s="64">
        <v>0.74</v>
      </c>
      <c r="Q104" s="64">
        <v>28.69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2.02</v>
      </c>
      <c r="C106" s="67">
        <f>MIN(C9:C104)</f>
        <v>21.01</v>
      </c>
      <c r="D106" s="67">
        <f t="shared" ref="D106:Q106" si="0">MIN(D9:D104)</f>
        <v>16.670000000000002</v>
      </c>
      <c r="E106" s="67">
        <f t="shared" si="0"/>
        <v>0.37</v>
      </c>
      <c r="F106" s="67">
        <f t="shared" si="0"/>
        <v>2.27</v>
      </c>
      <c r="G106" s="67">
        <f t="shared" si="0"/>
        <v>10.52</v>
      </c>
      <c r="H106" s="67">
        <f t="shared" si="0"/>
        <v>7.73</v>
      </c>
      <c r="I106" s="67">
        <f t="shared" si="0"/>
        <v>0.47</v>
      </c>
      <c r="J106" s="67">
        <f t="shared" si="0"/>
        <v>0.02</v>
      </c>
      <c r="K106" s="67">
        <f t="shared" si="0"/>
        <v>13.18</v>
      </c>
      <c r="L106" s="67">
        <f t="shared" si="0"/>
        <v>17.399999999999999</v>
      </c>
      <c r="M106" s="67">
        <f t="shared" si="0"/>
        <v>55.86</v>
      </c>
      <c r="N106" s="67">
        <f t="shared" si="0"/>
        <v>0</v>
      </c>
      <c r="O106" s="67">
        <f t="shared" si="0"/>
        <v>0</v>
      </c>
      <c r="P106" s="67">
        <f t="shared" si="0"/>
        <v>0.34</v>
      </c>
      <c r="Q106" s="67">
        <f t="shared" si="0"/>
        <v>23.73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17.579999999999998</v>
      </c>
      <c r="C107" s="66">
        <f t="shared" ref="C107:Q107" si="1">MAX(C9:C104)</f>
        <v>40.06</v>
      </c>
      <c r="D107" s="66">
        <f t="shared" si="1"/>
        <v>35.450000000000003</v>
      </c>
      <c r="E107" s="66">
        <f t="shared" si="1"/>
        <v>2.27</v>
      </c>
      <c r="F107" s="66">
        <f t="shared" si="1"/>
        <v>5.92</v>
      </c>
      <c r="G107" s="66">
        <f t="shared" si="1"/>
        <v>52.54</v>
      </c>
      <c r="H107" s="66">
        <f t="shared" si="1"/>
        <v>18.95</v>
      </c>
      <c r="I107" s="66">
        <f t="shared" si="1"/>
        <v>0.59</v>
      </c>
      <c r="J107" s="66">
        <f t="shared" si="1"/>
        <v>2.76</v>
      </c>
      <c r="K107" s="66">
        <f t="shared" si="1"/>
        <v>345.95</v>
      </c>
      <c r="L107" s="66">
        <f t="shared" si="1"/>
        <v>23.33</v>
      </c>
      <c r="M107" s="66">
        <f t="shared" si="1"/>
        <v>92.82</v>
      </c>
      <c r="N107" s="66">
        <f t="shared" si="1"/>
        <v>257.60000000000002</v>
      </c>
      <c r="O107" s="66">
        <f t="shared" si="1"/>
        <v>1.6</v>
      </c>
      <c r="P107" s="66">
        <f t="shared" si="1"/>
        <v>0.83</v>
      </c>
      <c r="Q107" s="66">
        <f t="shared" si="1"/>
        <v>31.89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10.8671875</v>
      </c>
      <c r="C108" s="67">
        <f t="shared" ref="C108:Q108" si="2">AVERAGE(C9:C104)</f>
        <v>29.649270833333333</v>
      </c>
      <c r="D108" s="67">
        <f t="shared" si="2"/>
        <v>25.723541666666662</v>
      </c>
      <c r="E108" s="67">
        <f t="shared" si="2"/>
        <v>1.4712499999999993</v>
      </c>
      <c r="F108" s="67">
        <f t="shared" si="2"/>
        <v>3.4382291666666682</v>
      </c>
      <c r="G108" s="67">
        <f t="shared" si="2"/>
        <v>32.386458333333337</v>
      </c>
      <c r="H108" s="67">
        <f t="shared" si="2"/>
        <v>11.902916666666671</v>
      </c>
      <c r="I108" s="67">
        <f t="shared" si="2"/>
        <v>0.53156249999999983</v>
      </c>
      <c r="J108" s="67">
        <f t="shared" si="2"/>
        <v>0.66718750000000016</v>
      </c>
      <c r="K108" s="67">
        <f t="shared" si="2"/>
        <v>239.65104166666671</v>
      </c>
      <c r="L108" s="67">
        <f t="shared" si="2"/>
        <v>20.020729166666673</v>
      </c>
      <c r="M108" s="67">
        <f t="shared" si="2"/>
        <v>78.944479166666667</v>
      </c>
      <c r="N108" s="67">
        <f t="shared" si="2"/>
        <v>19.326041666666669</v>
      </c>
      <c r="O108" s="67">
        <f t="shared" si="2"/>
        <v>5.2083333333333343E-2</v>
      </c>
      <c r="P108" s="67">
        <f t="shared" si="2"/>
        <v>0.65906250000000011</v>
      </c>
      <c r="Q108" s="67">
        <f t="shared" si="2"/>
        <v>27.101041666666671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4.1702729187794496</v>
      </c>
      <c r="C109" s="67">
        <f t="shared" ref="C109:Q109" si="3">STDEV(C9:C104)</f>
        <v>4.7742551350235152</v>
      </c>
      <c r="D109" s="67">
        <f t="shared" si="3"/>
        <v>4.8290774926299109</v>
      </c>
      <c r="E109" s="67">
        <f t="shared" si="3"/>
        <v>0.42603990423433619</v>
      </c>
      <c r="F109" s="67">
        <f t="shared" si="3"/>
        <v>0.70959142401460606</v>
      </c>
      <c r="G109" s="67">
        <f t="shared" si="3"/>
        <v>12.872133342932914</v>
      </c>
      <c r="H109" s="67">
        <f t="shared" si="3"/>
        <v>3.1758847641385919</v>
      </c>
      <c r="I109" s="67">
        <f t="shared" si="3"/>
        <v>3.2063362433255742E-2</v>
      </c>
      <c r="J109" s="67">
        <f t="shared" si="3"/>
        <v>0.63410725163725035</v>
      </c>
      <c r="K109" s="67">
        <f t="shared" si="3"/>
        <v>86.317097647406257</v>
      </c>
      <c r="L109" s="67">
        <f t="shared" si="3"/>
        <v>1.2154256302708522</v>
      </c>
      <c r="M109" s="67">
        <f t="shared" si="3"/>
        <v>7.1051762998670887</v>
      </c>
      <c r="N109" s="67">
        <f t="shared" si="3"/>
        <v>47.695069247066378</v>
      </c>
      <c r="O109" s="67">
        <f t="shared" si="3"/>
        <v>0.21372838969449873</v>
      </c>
      <c r="P109" s="67">
        <f t="shared" si="3"/>
        <v>0.12367255684180489</v>
      </c>
      <c r="Q109" s="67">
        <f t="shared" si="3"/>
        <v>1.8035750924303338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1" t="s">
        <v>216</v>
      </c>
      <c r="C115" s="221"/>
      <c r="D115" s="221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U23" sqref="U23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01-04-2023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01-04-2023 00:15</v>
      </c>
      <c r="B9" s="61">
        <f>'01'!B108</f>
        <v>11.308191489361702</v>
      </c>
      <c r="C9" s="61">
        <f>'01'!C108</f>
        <v>38.974787234042545</v>
      </c>
      <c r="D9" s="61">
        <f>'01'!D108</f>
        <v>32.317872340425545</v>
      </c>
      <c r="E9" s="61">
        <f>'01'!E108</f>
        <v>2.4214893617021276</v>
      </c>
      <c r="F9" s="61">
        <f>'01'!F108</f>
        <v>7.213617021276594</v>
      </c>
      <c r="G9" s="99">
        <f>'01'!$G$108</f>
        <v>32.796702127659572</v>
      </c>
      <c r="H9" s="61">
        <f>'01'!H108</f>
        <v>11.640851063829793</v>
      </c>
      <c r="I9" s="61">
        <f>'01'!I108</f>
        <v>0.53212765957446817</v>
      </c>
      <c r="J9" s="61">
        <f>'01'!J108</f>
        <v>0.63138297872340421</v>
      </c>
      <c r="K9" s="61">
        <f>'01'!K108</f>
        <v>158.84457446808509</v>
      </c>
      <c r="L9" s="61">
        <f>'01'!L108</f>
        <v>23.9531914893617</v>
      </c>
      <c r="M9" s="61">
        <f>'01'!M108</f>
        <v>57.088936170212769</v>
      </c>
      <c r="N9" s="61">
        <f>'01'!N108</f>
        <v>228.62234042553183</v>
      </c>
      <c r="O9" s="61">
        <f>'01'!O108</f>
        <v>1.0638297872340425E-2</v>
      </c>
      <c r="P9" s="202">
        <f>'01'!P108</f>
        <v>0.64670212765957436</v>
      </c>
      <c r="Q9" s="61">
        <f>'01'!Q108</f>
        <v>38.538510638297879</v>
      </c>
      <c r="R9" s="118"/>
      <c r="S9" s="118"/>
      <c r="T9" s="118"/>
      <c r="U9" s="118"/>
    </row>
    <row r="10" spans="1:21" x14ac:dyDescent="0.25">
      <c r="A10" s="94" t="str">
        <f>'02'!$B$2</f>
        <v>02-04-2023 00:15</v>
      </c>
      <c r="B10" s="61">
        <f>'02'!B108</f>
        <v>39.946666666666665</v>
      </c>
      <c r="C10" s="61">
        <f>'02'!C108</f>
        <v>55.630104166666676</v>
      </c>
      <c r="D10" s="61">
        <f>'02'!D108</f>
        <v>64.47552083333332</v>
      </c>
      <c r="E10" s="61">
        <f>'02'!E108</f>
        <v>2.0428125000000001</v>
      </c>
      <c r="F10" s="61">
        <f>'02'!F108</f>
        <v>6.1924999999999999</v>
      </c>
      <c r="G10" s="61">
        <f>'02'!G108</f>
        <v>65.929687499999957</v>
      </c>
      <c r="H10" s="61">
        <f>'02'!H108</f>
        <v>22.288541666666678</v>
      </c>
      <c r="I10" s="61">
        <f>'02'!I108</f>
        <v>0.64479166666666676</v>
      </c>
      <c r="J10" s="61">
        <f>'02'!J108</f>
        <v>0.2965624999999999</v>
      </c>
      <c r="K10" s="61">
        <f>'02'!K108</f>
        <v>150.29750000000004</v>
      </c>
      <c r="L10" s="61">
        <f>'02'!L108</f>
        <v>26.347187499999993</v>
      </c>
      <c r="M10" s="61">
        <f>'02'!M108</f>
        <v>44.362187499999983</v>
      </c>
      <c r="N10" s="61">
        <f>'02'!N108</f>
        <v>253.60833333333335</v>
      </c>
      <c r="O10" s="61">
        <f>'02'!O108</f>
        <v>0</v>
      </c>
      <c r="P10" s="202">
        <f>'02'!P108</f>
        <v>1.0999999999999999</v>
      </c>
      <c r="Q10" s="61">
        <f>'02'!Q108</f>
        <v>41.514375000000022</v>
      </c>
      <c r="R10" s="118"/>
      <c r="S10" s="118"/>
      <c r="T10" s="118"/>
      <c r="U10" s="118"/>
    </row>
    <row r="11" spans="1:21" x14ac:dyDescent="0.25">
      <c r="A11" s="94" t="str">
        <f>'03'!$B$2</f>
        <v>03-04-2023 00:15</v>
      </c>
      <c r="B11" s="61">
        <f>'03'!B108</f>
        <v>32.771562499999995</v>
      </c>
      <c r="C11" s="61">
        <f>'03'!C108</f>
        <v>52.294270833333321</v>
      </c>
      <c r="D11" s="61">
        <f>'03'!D108</f>
        <v>58.052395833333357</v>
      </c>
      <c r="E11" s="61">
        <f>'03'!E108</f>
        <v>4.8362499999999997</v>
      </c>
      <c r="F11" s="61">
        <f>'03'!F108</f>
        <v>10.102395833333331</v>
      </c>
      <c r="G11" s="61">
        <f>'03'!G108</f>
        <v>99.604565217391297</v>
      </c>
      <c r="H11" s="61">
        <f>'03'!H108</f>
        <v>34.684782608695656</v>
      </c>
      <c r="I11" s="61">
        <f>'03'!I108</f>
        <v>0.60802083333333323</v>
      </c>
      <c r="J11" s="61">
        <f>'03'!J108</f>
        <v>0.38489583333333327</v>
      </c>
      <c r="K11" s="61">
        <f>'03'!K108</f>
        <v>170.29093749999996</v>
      </c>
      <c r="L11" s="61">
        <f>'03'!L108</f>
        <v>27.014687499999994</v>
      </c>
      <c r="M11" s="61">
        <f>'03'!M108</f>
        <v>40.642395833333346</v>
      </c>
      <c r="N11" s="61">
        <f>'03'!N108</f>
        <v>243.93541666666673</v>
      </c>
      <c r="O11" s="61">
        <f>'03'!O108</f>
        <v>0</v>
      </c>
      <c r="P11" s="202">
        <f>'03'!P108</f>
        <v>1.0939583333333327</v>
      </c>
      <c r="Q11" s="61">
        <f>'03'!Q108</f>
        <v>38.867291666666652</v>
      </c>
      <c r="R11" s="118"/>
      <c r="S11" s="118"/>
      <c r="T11" s="118"/>
      <c r="U11" s="118"/>
    </row>
    <row r="12" spans="1:21" x14ac:dyDescent="0.25">
      <c r="A12" s="94" t="str">
        <f>'04'!$B$2</f>
        <v>04-04-2023 00:15</v>
      </c>
      <c r="B12" s="61">
        <f>'04'!B108</f>
        <v>7.6516666666666646</v>
      </c>
      <c r="C12" s="61">
        <f>'04'!C108</f>
        <v>45.788333333333334</v>
      </c>
      <c r="D12" s="61">
        <f>'04'!D108</f>
        <v>32.145520833333322</v>
      </c>
      <c r="E12" s="61">
        <f>'04'!E108</f>
        <v>2.3480208333333334</v>
      </c>
      <c r="F12" s="61">
        <f>'04'!F108</f>
        <v>8.4508333333333372</v>
      </c>
      <c r="G12" s="61">
        <f>'04'!G108</f>
        <v>51.873645833333306</v>
      </c>
      <c r="H12" s="61">
        <f>'04'!H108</f>
        <v>22.60114583333333</v>
      </c>
      <c r="I12" s="61">
        <f>'04'!I108</f>
        <v>0.53843749999999979</v>
      </c>
      <c r="J12" s="61">
        <f>'04'!J108</f>
        <v>0.33249999999999996</v>
      </c>
      <c r="K12" s="61">
        <f>'04'!K108</f>
        <v>176.81281249999995</v>
      </c>
      <c r="L12" s="61">
        <f>'04'!L108</f>
        <v>27.204895833333339</v>
      </c>
      <c r="M12" s="61">
        <f>'04'!M108</f>
        <v>48.390833333333319</v>
      </c>
      <c r="N12" s="61">
        <f>'04'!N108</f>
        <v>217.02187499999991</v>
      </c>
      <c r="O12" s="61">
        <f>'04'!O108</f>
        <v>0</v>
      </c>
      <c r="P12" s="202">
        <f>'04'!P108</f>
        <v>0.64645833333333336</v>
      </c>
      <c r="Q12" s="61">
        <f>'04'!Q108</f>
        <v>34.332083333333337</v>
      </c>
      <c r="R12" s="118"/>
      <c r="S12" s="118"/>
      <c r="T12" s="118"/>
      <c r="U12" s="118"/>
    </row>
    <row r="13" spans="1:21" x14ac:dyDescent="0.25">
      <c r="A13" s="94" t="str">
        <f>'05'!$B$2</f>
        <v>05-04-2023 00:15</v>
      </c>
      <c r="B13" s="61">
        <f>'05'!B108</f>
        <v>18.370104166666668</v>
      </c>
      <c r="C13" s="61">
        <f>'05'!C108</f>
        <v>57.914270833333319</v>
      </c>
      <c r="D13" s="61">
        <f>'05'!D108</f>
        <v>47.433333333333316</v>
      </c>
      <c r="E13" s="61">
        <f>'05'!E108</f>
        <v>4.4232291666666663</v>
      </c>
      <c r="F13" s="61">
        <f>'05'!F108</f>
        <v>14.945520833333338</v>
      </c>
      <c r="G13" s="61">
        <f>'05'!G108</f>
        <v>73.22375000000001</v>
      </c>
      <c r="H13" s="61">
        <f>'05'!H108</f>
        <v>27.367395833333322</v>
      </c>
      <c r="I13" s="61">
        <f>'05'!I108</f>
        <v>0.60416666666666663</v>
      </c>
      <c r="J13" s="61">
        <f>'05'!J108</f>
        <v>0.34302083333333333</v>
      </c>
      <c r="K13" s="61">
        <f>'05'!K108</f>
        <v>136.10312499999995</v>
      </c>
      <c r="L13" s="61">
        <f>'05'!L108</f>
        <v>27.765416666666663</v>
      </c>
      <c r="M13" s="61">
        <f>'05'!M108</f>
        <v>45.564479166666665</v>
      </c>
      <c r="N13" s="61">
        <f>'05'!N108</f>
        <v>205.44895833333337</v>
      </c>
      <c r="O13" s="61">
        <f>'05'!O108</f>
        <v>0</v>
      </c>
      <c r="P13" s="202">
        <f>'05'!P108</f>
        <v>1.0407291666666667</v>
      </c>
      <c r="Q13" s="61">
        <f>'05'!Q108</f>
        <v>35.475833333333327</v>
      </c>
      <c r="R13" s="118"/>
      <c r="S13" s="118"/>
      <c r="T13" s="118"/>
      <c r="U13" s="118"/>
    </row>
    <row r="14" spans="1:21" x14ac:dyDescent="0.25">
      <c r="A14" s="94" t="str">
        <f>'06'!$B$2</f>
        <v>06-04-2023 00:15</v>
      </c>
      <c r="B14" s="61">
        <f>'06'!B108</f>
        <v>28.527187499999997</v>
      </c>
      <c r="C14" s="61">
        <f>'06'!C108</f>
        <v>64.371562499999996</v>
      </c>
      <c r="D14" s="61">
        <f>'06'!D108</f>
        <v>59.142604166666665</v>
      </c>
      <c r="E14" s="61">
        <f>'06'!E108</f>
        <v>7.1270833333333323</v>
      </c>
      <c r="F14" s="61">
        <f>'06'!F108</f>
        <v>9.5543749999999985</v>
      </c>
      <c r="G14" s="61">
        <f>'06'!G108</f>
        <v>106.37711111111112</v>
      </c>
      <c r="H14" s="61">
        <f>'06'!H108</f>
        <v>35.251666666666672</v>
      </c>
      <c r="I14" s="61">
        <f>'06'!I108</f>
        <v>0.69635416666666672</v>
      </c>
      <c r="J14" s="61">
        <f>'06'!J108</f>
        <v>0.42770833333333336</v>
      </c>
      <c r="K14" s="61">
        <f>'06'!K108</f>
        <v>142.67385416666664</v>
      </c>
      <c r="L14" s="61">
        <f>'06'!L108</f>
        <v>27.348645833333322</v>
      </c>
      <c r="M14" s="61">
        <f>'06'!M108</f>
        <v>46.121770833333336</v>
      </c>
      <c r="N14" s="61">
        <f>'06'!N108</f>
        <v>165.15625000000003</v>
      </c>
      <c r="O14" s="61">
        <f>'06'!O108</f>
        <v>0</v>
      </c>
      <c r="P14" s="202">
        <f>'06'!P108</f>
        <v>1.2381249999999999</v>
      </c>
      <c r="Q14" s="61">
        <f>'06'!Q108</f>
        <v>35.705520833333331</v>
      </c>
      <c r="R14" s="118"/>
      <c r="S14" s="118"/>
      <c r="T14" s="118"/>
      <c r="U14" s="118"/>
    </row>
    <row r="15" spans="1:21" x14ac:dyDescent="0.25">
      <c r="A15" s="94" t="str">
        <f>'07'!$B$2</f>
        <v>07-04-2023 00:15</v>
      </c>
      <c r="B15" s="61">
        <f>'07'!B108</f>
        <v>5.6484375000000009</v>
      </c>
      <c r="C15" s="61">
        <f>'07'!C108</f>
        <v>47.6559375</v>
      </c>
      <c r="D15" s="61">
        <f>'07'!D108</f>
        <v>31.570416666666674</v>
      </c>
      <c r="E15" s="61">
        <f>'07'!E108</f>
        <v>2.488854166666667</v>
      </c>
      <c r="F15" s="61">
        <f>'07'!F108</f>
        <v>12.956249999999997</v>
      </c>
      <c r="G15" s="100">
        <f>'07'!$G$108</f>
        <v>52.338522727272739</v>
      </c>
      <c r="H15" s="61">
        <f>'07'!H108</f>
        <v>20.445208333333323</v>
      </c>
      <c r="I15" s="61">
        <f>'07'!I108</f>
        <v>0.54062499999999969</v>
      </c>
      <c r="J15" s="61">
        <f>'07'!J108</f>
        <v>0.75249999999999984</v>
      </c>
      <c r="K15" s="61">
        <f>'07'!K108</f>
        <v>156.09968749999996</v>
      </c>
      <c r="L15" s="61">
        <f>'07'!L108</f>
        <v>26.970729166666683</v>
      </c>
      <c r="M15" s="61">
        <f>'07'!M108</f>
        <v>47.289583333333326</v>
      </c>
      <c r="N15" s="61">
        <f>'07'!N108</f>
        <v>218.06145833333323</v>
      </c>
      <c r="O15" s="61">
        <f>'07'!O108</f>
        <v>0</v>
      </c>
      <c r="P15" s="202">
        <f>'07'!P108</f>
        <v>0.67791666666666683</v>
      </c>
      <c r="Q15" s="61">
        <f>'07'!Q108</f>
        <v>29.884479166666662</v>
      </c>
      <c r="R15" s="118"/>
      <c r="S15" s="118"/>
      <c r="T15" s="118"/>
      <c r="U15" s="118"/>
    </row>
    <row r="16" spans="1:21" x14ac:dyDescent="0.25">
      <c r="A16" s="94" t="str">
        <f>'08'!$B$2</f>
        <v>08-04-2023 00:15</v>
      </c>
      <c r="B16" s="61">
        <f>'08'!B108</f>
        <v>11.684583333333334</v>
      </c>
      <c r="C16" s="61">
        <f>'08'!C108</f>
        <v>52.067083333333329</v>
      </c>
      <c r="D16" s="61">
        <f>'08'!D108</f>
        <v>38.845833333333331</v>
      </c>
      <c r="E16" s="61">
        <f>'08'!E108</f>
        <v>2.3640624999999997</v>
      </c>
      <c r="F16" s="61">
        <f>'08'!F108</f>
        <v>6.4421874999999993</v>
      </c>
      <c r="G16" s="100">
        <f>'08'!$G$108</f>
        <v>59.681428571428569</v>
      </c>
      <c r="H16" s="61">
        <f>'08'!H108</f>
        <v>21.747959183673466</v>
      </c>
      <c r="I16" s="61">
        <f>'08'!I108</f>
        <v>0.52937500000000015</v>
      </c>
      <c r="J16" s="61">
        <f>'08'!J108</f>
        <v>0.82166666666666666</v>
      </c>
      <c r="K16" s="61">
        <f>'08'!K108</f>
        <v>133.02687500000002</v>
      </c>
      <c r="L16" s="61">
        <f>'08'!L108</f>
        <v>24.388020833333332</v>
      </c>
      <c r="M16" s="61">
        <f>'08'!M108</f>
        <v>47.336875000000013</v>
      </c>
      <c r="N16" s="61">
        <f>'08'!N108</f>
        <v>141.82812500000003</v>
      </c>
      <c r="O16" s="61">
        <f>'08'!O108</f>
        <v>4.1666666666666666E-3</v>
      </c>
      <c r="P16" s="202">
        <f>'08'!P108</f>
        <v>0.82927083333333373</v>
      </c>
      <c r="Q16" s="61">
        <f>'08'!Q108</f>
        <v>27.052291666666665</v>
      </c>
      <c r="R16" s="118"/>
      <c r="S16" s="118"/>
      <c r="T16" s="118"/>
      <c r="U16" s="118"/>
    </row>
    <row r="17" spans="1:21" x14ac:dyDescent="0.25">
      <c r="A17" s="94" t="str">
        <f>'09'!$B$2</f>
        <v>09-04-2023 00:15</v>
      </c>
      <c r="B17" s="61">
        <f>'09'!B108</f>
        <v>18.796041666666682</v>
      </c>
      <c r="C17" s="61">
        <f>'09'!C108</f>
        <v>55.519166666666671</v>
      </c>
      <c r="D17" s="61">
        <f>'09'!D108</f>
        <v>46.453645833333333</v>
      </c>
      <c r="E17" s="61">
        <f>'09'!E108</f>
        <v>4.6495833333333323</v>
      </c>
      <c r="F17" s="61">
        <f>'09'!F108</f>
        <v>9.8158333333333339</v>
      </c>
      <c r="G17" s="100">
        <f>'09'!$G$108</f>
        <v>104.45622222222219</v>
      </c>
      <c r="H17" s="61">
        <f>'09'!H108</f>
        <v>38.229333333333344</v>
      </c>
      <c r="I17" s="61">
        <f>'09'!I108</f>
        <v>0.62375000000000014</v>
      </c>
      <c r="J17" s="61">
        <f>'09'!J108</f>
        <v>0.56312500000000021</v>
      </c>
      <c r="K17" s="61">
        <f>'09'!K108</f>
        <v>119.59802083333336</v>
      </c>
      <c r="L17" s="61">
        <f>'09'!L108</f>
        <v>27.425520833333337</v>
      </c>
      <c r="M17" s="61">
        <f>'09'!M108</f>
        <v>41.480520833333337</v>
      </c>
      <c r="N17" s="61">
        <f>'09'!N108</f>
        <v>244.23229166666658</v>
      </c>
      <c r="O17" s="61">
        <f>'09'!O108</f>
        <v>0</v>
      </c>
      <c r="P17" s="202">
        <f>'09'!P108</f>
        <v>1.1058333333333332</v>
      </c>
      <c r="Q17" s="61">
        <f>'09'!Q108</f>
        <v>28.434374999999989</v>
      </c>
      <c r="R17" s="118"/>
      <c r="S17" s="118"/>
      <c r="T17" s="118"/>
      <c r="U17" s="118"/>
    </row>
    <row r="18" spans="1:21" x14ac:dyDescent="0.25">
      <c r="A18" s="94" t="str">
        <f>'10'!$B$2</f>
        <v>10-04-2023 00:15</v>
      </c>
      <c r="B18" s="61">
        <f>'10'!B108</f>
        <v>26.679166666666671</v>
      </c>
      <c r="C18" s="61">
        <f>'10'!C108</f>
        <v>49.278020833333336</v>
      </c>
      <c r="D18" s="61">
        <f>'10'!D108</f>
        <v>51.864791666666669</v>
      </c>
      <c r="E18" s="61">
        <f>'10'!E108</f>
        <v>7.0974999999999993</v>
      </c>
      <c r="F18" s="61">
        <f>'10'!F108</f>
        <v>13.220208333333332</v>
      </c>
      <c r="G18" s="101">
        <f>'10'!$G$108</f>
        <v>69.276666666666685</v>
      </c>
      <c r="H18" s="61">
        <f>'10'!H108</f>
        <v>20.676774193548393</v>
      </c>
      <c r="I18" s="61">
        <f>'10'!I108</f>
        <v>0.56635416666666638</v>
      </c>
      <c r="J18" s="61">
        <f>'10'!J108</f>
        <v>0.29468750000000005</v>
      </c>
      <c r="K18" s="61">
        <f>'10'!K108</f>
        <v>156.17177083333334</v>
      </c>
      <c r="L18" s="61">
        <f>'10'!L108</f>
        <v>27.590000000000003</v>
      </c>
      <c r="M18" s="61">
        <f>'10'!M108</f>
        <v>42.541562500000005</v>
      </c>
      <c r="N18" s="61">
        <f>'10'!N108</f>
        <v>182.45000000000005</v>
      </c>
      <c r="O18" s="61">
        <f>'10'!O108</f>
        <v>0</v>
      </c>
      <c r="P18" s="202">
        <f>'10'!P108</f>
        <v>1.0553124999999997</v>
      </c>
      <c r="Q18" s="61">
        <f>'10'!Q108</f>
        <v>25.034374999999994</v>
      </c>
      <c r="R18" s="118"/>
      <c r="S18" s="118"/>
      <c r="T18" s="118"/>
      <c r="U18" s="118"/>
    </row>
    <row r="19" spans="1:21" x14ac:dyDescent="0.25">
      <c r="A19" s="94" t="str">
        <f>'11'!$B$2</f>
        <v>11-04-2023 00:15</v>
      </c>
      <c r="B19" s="61">
        <f>'11'!B108</f>
        <v>39.34739583333333</v>
      </c>
      <c r="C19" s="61">
        <f>'11'!C108</f>
        <v>67.753437500000004</v>
      </c>
      <c r="D19" s="61">
        <f>'11'!D108</f>
        <v>69.685937500000009</v>
      </c>
      <c r="E19" s="61">
        <f>'11'!E108</f>
        <v>6.0865624999999985</v>
      </c>
      <c r="F19" s="61">
        <f>'11'!F108</f>
        <v>13.486458333333339</v>
      </c>
      <c r="G19" s="99">
        <f>'11'!$G$108</f>
        <v>100.28087912087904</v>
      </c>
      <c r="H19" s="61">
        <f>'11'!H108</f>
        <v>32.191318681318684</v>
      </c>
      <c r="I19" s="61">
        <f>'11'!I108</f>
        <v>0.76270833333333332</v>
      </c>
      <c r="J19" s="61">
        <f>'11'!J108</f>
        <v>0.29479166666666673</v>
      </c>
      <c r="K19" s="61">
        <f>'11'!K108</f>
        <v>147.86770833333338</v>
      </c>
      <c r="L19" s="61">
        <f>'11'!L108</f>
        <v>29.090833333333325</v>
      </c>
      <c r="M19" s="61">
        <f>'11'!M108</f>
        <v>40.052083333333336</v>
      </c>
      <c r="N19" s="61">
        <f>'11'!N108</f>
        <v>228.43125000000006</v>
      </c>
      <c r="O19" s="61">
        <f>'11'!O108</f>
        <v>0</v>
      </c>
      <c r="P19" s="202">
        <f>'11'!P108</f>
        <v>1.3887500000000006</v>
      </c>
      <c r="Q19" s="61">
        <f>'11'!Q108</f>
        <v>29.738541666666659</v>
      </c>
      <c r="R19" s="118"/>
      <c r="S19" s="118"/>
      <c r="T19" s="118"/>
      <c r="U19" s="118"/>
    </row>
    <row r="20" spans="1:21" x14ac:dyDescent="0.25">
      <c r="A20" s="94" t="str">
        <f>'12'!$B$2</f>
        <v>12-04-2023 00:15</v>
      </c>
      <c r="B20" s="61">
        <f>'12'!B108</f>
        <v>41.209156626506022</v>
      </c>
      <c r="C20" s="61">
        <f>'12'!C108</f>
        <v>77.412891566265031</v>
      </c>
      <c r="D20" s="61">
        <f>'12'!D108</f>
        <v>76.509156626506027</v>
      </c>
      <c r="E20" s="61">
        <f>'12'!E108</f>
        <v>5.5139743589743579</v>
      </c>
      <c r="F20" s="61">
        <f>'12'!F108</f>
        <v>11.664642857142853</v>
      </c>
      <c r="G20" s="101">
        <f>'12'!$G$108</f>
        <v>124.25042253521126</v>
      </c>
      <c r="H20" s="61">
        <f>'12'!H108</f>
        <v>41.889342105263161</v>
      </c>
      <c r="I20" s="61">
        <f>'12'!I108</f>
        <v>0.85479999999999978</v>
      </c>
      <c r="J20" s="61">
        <f>'12'!J108</f>
        <v>0.22035714285714283</v>
      </c>
      <c r="K20" s="61">
        <f>'12'!K108</f>
        <v>148.58226190476191</v>
      </c>
      <c r="L20" s="61">
        <f>'12'!L108</f>
        <v>29.381666666666661</v>
      </c>
      <c r="M20" s="61">
        <f>'12'!M108</f>
        <v>35.639761904761912</v>
      </c>
      <c r="N20" s="61">
        <f>'12'!N108</f>
        <v>248.56904761904761</v>
      </c>
      <c r="O20" s="61">
        <f>'12'!O108</f>
        <v>0</v>
      </c>
      <c r="P20" s="202">
        <f>'12'!P108</f>
        <v>1.5134523809523805</v>
      </c>
      <c r="Q20" s="61">
        <f>'12'!Q108</f>
        <v>31.407777777777774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13-04-2023 00:15</v>
      </c>
      <c r="B21" s="91">
        <f>'13'!B108</f>
        <v>30.410937500000003</v>
      </c>
      <c r="C21" s="91">
        <f>'13'!C108</f>
        <v>69.671875000000014</v>
      </c>
      <c r="D21" s="91">
        <f>'13'!D108</f>
        <v>63.519583333333308</v>
      </c>
      <c r="E21" s="91">
        <f>'13'!E108</f>
        <v>6.4883333333333306</v>
      </c>
      <c r="F21" s="91">
        <f>'13'!F108</f>
        <v>15.295520833333333</v>
      </c>
      <c r="G21" s="100">
        <f>'13'!$G$108</f>
        <v>125.32729166666661</v>
      </c>
      <c r="H21" s="91">
        <f>'13'!H108</f>
        <v>43.242083333333341</v>
      </c>
      <c r="I21" s="91">
        <f>'13'!I108</f>
        <v>0.76510416666666659</v>
      </c>
      <c r="J21" s="91">
        <f>'13'!J108</f>
        <v>0.3320833333333334</v>
      </c>
      <c r="K21" s="91">
        <f>'13'!K108</f>
        <v>181.73093750000007</v>
      </c>
      <c r="L21" s="91">
        <f>'13'!L108</f>
        <v>30.442083333333326</v>
      </c>
      <c r="M21" s="91">
        <f>'13'!M108</f>
        <v>34.692604166666669</v>
      </c>
      <c r="N21" s="91">
        <f>'13'!N108</f>
        <v>214.73541666666657</v>
      </c>
      <c r="O21" s="91">
        <f>'13'!O108</f>
        <v>0</v>
      </c>
      <c r="P21" s="203">
        <f>'13'!P108</f>
        <v>1.3381249999999998</v>
      </c>
      <c r="Q21" s="91">
        <f>'13'!Q108</f>
        <v>16.597446808510636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14-04-2023 00:15</v>
      </c>
      <c r="B22" s="90">
        <f>'14'!B108</f>
        <v>14.520729166666664</v>
      </c>
      <c r="C22" s="90">
        <f>'14'!C108</f>
        <v>57.377083333333339</v>
      </c>
      <c r="D22" s="90">
        <f>'14'!D108</f>
        <v>43.955520833333331</v>
      </c>
      <c r="E22" s="90">
        <f>'14'!E108</f>
        <v>5.2656249999999991</v>
      </c>
      <c r="F22" s="90">
        <f>'14'!F108</f>
        <v>25.058124999999993</v>
      </c>
      <c r="G22" s="100">
        <f>'14'!$G$108</f>
        <v>77.156041666666681</v>
      </c>
      <c r="H22" s="100">
        <f>'14'!$G$108</f>
        <v>77.156041666666681</v>
      </c>
      <c r="I22" s="90">
        <f>'14'!I108</f>
        <v>0.65437499999999971</v>
      </c>
      <c r="J22" s="90">
        <f>'14'!J108</f>
        <v>0.30197916666666669</v>
      </c>
      <c r="K22" s="90">
        <f>'14'!K108</f>
        <v>181.53354166666671</v>
      </c>
      <c r="L22" s="90">
        <f>'14'!L108</f>
        <v>31.06979166666666</v>
      </c>
      <c r="M22" s="90">
        <f>'14'!M108</f>
        <v>34.167187499999997</v>
      </c>
      <c r="N22" s="90">
        <f>'14'!N108</f>
        <v>211.06041666666658</v>
      </c>
      <c r="O22" s="90">
        <f>'14'!O108</f>
        <v>0</v>
      </c>
      <c r="P22" s="204">
        <f>'14'!P108</f>
        <v>1.1356250000000001</v>
      </c>
      <c r="Q22" s="90">
        <f>'14'!Q108</f>
        <v>11.464819277108433</v>
      </c>
      <c r="R22" s="206"/>
      <c r="S22" s="206"/>
      <c r="T22" s="206"/>
      <c r="U22" s="206"/>
    </row>
    <row r="23" spans="1:21" x14ac:dyDescent="0.25">
      <c r="A23" s="94" t="str">
        <f>'15'!$B$2</f>
        <v>15-04-2023 00:15</v>
      </c>
      <c r="B23" s="61">
        <f>'15'!B108</f>
        <v>8.7015625000000032</v>
      </c>
      <c r="C23" s="61">
        <f>'15'!C108</f>
        <v>49.152187500000004</v>
      </c>
      <c r="D23" s="61">
        <f>'15'!D108</f>
        <v>34.749687499999986</v>
      </c>
      <c r="E23" s="61">
        <f>'15'!E108</f>
        <v>3.5745833333333343</v>
      </c>
      <c r="F23" s="61">
        <f>'15'!F108</f>
        <v>9.9503124999999972</v>
      </c>
      <c r="G23" s="100">
        <f>'15'!$G$108</f>
        <v>64.737160493827162</v>
      </c>
      <c r="H23" s="61">
        <f>'15'!H108</f>
        <v>21.007187500000004</v>
      </c>
      <c r="I23" s="61">
        <f>'15'!I108</f>
        <v>0.58499999999999985</v>
      </c>
      <c r="J23" s="61">
        <f>'15'!J108</f>
        <v>0.8983333333333331</v>
      </c>
      <c r="K23" s="61">
        <f>'15'!K108</f>
        <v>109.43562500000002</v>
      </c>
      <c r="L23" s="61">
        <f>'15'!L108</f>
        <v>30.927708333333332</v>
      </c>
      <c r="M23" s="61">
        <f>'15'!M108</f>
        <v>27.188645833333325</v>
      </c>
      <c r="N23" s="61">
        <f>'15'!N108</f>
        <v>187.41770833333328</v>
      </c>
      <c r="O23" s="61">
        <f>'15'!O108</f>
        <v>0</v>
      </c>
      <c r="P23" s="202">
        <f>'15'!P108</f>
        <v>0.84906250000000016</v>
      </c>
      <c r="Q23" s="61">
        <f>'15'!Q108</f>
        <v>9.7127160493827169</v>
      </c>
      <c r="R23" s="118"/>
      <c r="S23" s="118"/>
      <c r="T23" s="118"/>
      <c r="U23" s="118"/>
    </row>
    <row r="24" spans="1:21" x14ac:dyDescent="0.25">
      <c r="A24" s="94" t="str">
        <f>'16'!$B$2</f>
        <v>16-04-2023 00:15</v>
      </c>
      <c r="B24" s="61">
        <f>'16'!B108</f>
        <v>20.680937499999999</v>
      </c>
      <c r="C24" s="61">
        <f>'16'!C108</f>
        <v>55.474479166666647</v>
      </c>
      <c r="D24" s="61">
        <f>'16'!D108</f>
        <v>47.845312499999999</v>
      </c>
      <c r="E24" s="61">
        <f>'16'!E108</f>
        <v>4.9248958333333324</v>
      </c>
      <c r="F24" s="61">
        <f>'16'!F108</f>
        <v>20.02375</v>
      </c>
      <c r="G24" s="100">
        <f>'16'!$G$108</f>
        <v>60.481875000000038</v>
      </c>
      <c r="H24" s="61">
        <f>'16'!H108</f>
        <v>22.905520833333323</v>
      </c>
      <c r="I24" s="61">
        <f>'16'!I108</f>
        <v>0.67114583333333311</v>
      </c>
      <c r="J24" s="61">
        <f>'16'!J108</f>
        <v>0.34875000000000006</v>
      </c>
      <c r="K24" s="61">
        <f>'16'!K108</f>
        <v>209.62614583333337</v>
      </c>
      <c r="L24" s="61">
        <f>'16'!L108</f>
        <v>30.620625000000008</v>
      </c>
      <c r="M24" s="61">
        <f>'16'!M108</f>
        <v>28.728645833333342</v>
      </c>
      <c r="N24" s="61">
        <f>'16'!N108</f>
        <v>235.59583333333322</v>
      </c>
      <c r="O24" s="61">
        <f>'16'!O108</f>
        <v>0</v>
      </c>
      <c r="P24" s="202">
        <f>'16'!P108</f>
        <v>0.96291666666666664</v>
      </c>
      <c r="Q24" s="61">
        <f>'16'!Q108</f>
        <v>7.9816666666666647</v>
      </c>
      <c r="R24" s="118"/>
      <c r="S24" s="118"/>
      <c r="T24" s="118"/>
      <c r="U24" s="118"/>
    </row>
    <row r="25" spans="1:21" x14ac:dyDescent="0.25">
      <c r="A25" s="94" t="str">
        <f>'17'!$B$2</f>
        <v>17-04-2023 00:15</v>
      </c>
      <c r="B25" s="61">
        <f>'17'!B108</f>
        <v>27.639166666666664</v>
      </c>
      <c r="C25" s="61">
        <f>'17'!C108</f>
        <v>60.696249999999992</v>
      </c>
      <c r="D25" s="61">
        <f>'17'!D108</f>
        <v>56.307812500000004</v>
      </c>
      <c r="E25" s="61">
        <f>'17'!E108</f>
        <v>5.8635416666666673</v>
      </c>
      <c r="F25" s="61">
        <f>'17'!F108</f>
        <v>22.520416666666666</v>
      </c>
      <c r="G25" s="101">
        <f>'17'!$G$108</f>
        <v>69.580416666666636</v>
      </c>
      <c r="H25" s="61">
        <f>'17'!H108</f>
        <v>28.443020833333335</v>
      </c>
      <c r="I25" s="61">
        <f>'17'!I108</f>
        <v>0.74062500000000009</v>
      </c>
      <c r="J25" s="61">
        <f>'17'!J108</f>
        <v>0.31052631578947376</v>
      </c>
      <c r="K25" s="61">
        <f>'17'!K108</f>
        <v>202.5142708333334</v>
      </c>
      <c r="L25" s="61">
        <f>'17'!L108</f>
        <v>31.047604166666662</v>
      </c>
      <c r="M25" s="61">
        <f>'17'!M108</f>
        <v>29.799791666666664</v>
      </c>
      <c r="N25" s="61">
        <f>'17'!N108</f>
        <v>236.71354166666671</v>
      </c>
      <c r="O25" s="61">
        <f>'17'!O108</f>
        <v>0</v>
      </c>
      <c r="P25" s="202">
        <f>'17'!P108</f>
        <v>1.2296875</v>
      </c>
      <c r="Q25" s="61">
        <f>'17'!Q108</f>
        <v>17.14385416666666</v>
      </c>
      <c r="R25" s="118"/>
      <c r="S25" s="118"/>
      <c r="T25" s="118"/>
      <c r="U25" s="118"/>
    </row>
    <row r="26" spans="1:21" x14ac:dyDescent="0.25">
      <c r="A26" s="94" t="str">
        <f>'18'!$B$2</f>
        <v>18-04-2023 00:15</v>
      </c>
      <c r="B26" s="61">
        <f>'18'!B108</f>
        <v>24.626145833333343</v>
      </c>
      <c r="C26" s="61">
        <f>'18'!C108</f>
        <v>61.140625000000007</v>
      </c>
      <c r="D26" s="61">
        <f>'18'!D108</f>
        <v>54.136041666666671</v>
      </c>
      <c r="E26" s="61">
        <f>'18'!E108</f>
        <v>4.9048958333333319</v>
      </c>
      <c r="F26" s="61">
        <f>'18'!F108</f>
        <v>20.221249999999998</v>
      </c>
      <c r="G26" s="99">
        <f>'18'!$G$108</f>
        <v>77.758854166666652</v>
      </c>
      <c r="H26" s="61">
        <f>'18'!H108</f>
        <v>30.159062500000037</v>
      </c>
      <c r="I26" s="61">
        <f>'18'!I108</f>
        <v>0.72656250000000011</v>
      </c>
      <c r="J26" s="61">
        <f>'18'!J108</f>
        <v>0.26385416666666656</v>
      </c>
      <c r="K26" s="61">
        <f>'18'!K108</f>
        <v>158.44843749999998</v>
      </c>
      <c r="L26" s="61">
        <f>'18'!L108</f>
        <v>32.068333333333335</v>
      </c>
      <c r="M26" s="61">
        <f>'18'!M108</f>
        <v>25.804791666666674</v>
      </c>
      <c r="N26" s="61">
        <f>'18'!N108</f>
        <v>225.85</v>
      </c>
      <c r="O26" s="61">
        <f>'18'!O108</f>
        <v>0</v>
      </c>
      <c r="P26" s="202">
        <f>'18'!P108</f>
        <v>1.1790625000000001</v>
      </c>
      <c r="Q26" s="61">
        <f>'18'!Q108</f>
        <v>20.818229166666658</v>
      </c>
      <c r="R26" s="118"/>
      <c r="S26" s="118"/>
      <c r="T26" s="118"/>
      <c r="U26" s="118"/>
    </row>
    <row r="27" spans="1:21" x14ac:dyDescent="0.25">
      <c r="A27" s="94" t="str">
        <f>'19'!$B$2</f>
        <v>19-04-2023 00:15</v>
      </c>
      <c r="B27" s="61">
        <f>'19'!B108</f>
        <v>12.407708333333334</v>
      </c>
      <c r="C27" s="61">
        <f>'19'!C108</f>
        <v>57.961874999999992</v>
      </c>
      <c r="D27" s="61">
        <f>'19'!D108</f>
        <v>42.584062500000009</v>
      </c>
      <c r="E27" s="61">
        <f>'19'!E108</f>
        <v>7.236562499999998</v>
      </c>
      <c r="F27" s="61">
        <f>'19'!F108</f>
        <v>19.68822916666667</v>
      </c>
      <c r="G27" s="61">
        <f>'19'!G108</f>
        <v>70.477956989247346</v>
      </c>
      <c r="H27" s="61">
        <f>'19'!H108</f>
        <v>29.940752688172054</v>
      </c>
      <c r="I27" s="61">
        <f>'19'!I108</f>
        <v>0.68614583333333334</v>
      </c>
      <c r="J27" s="61">
        <f>'19'!J108</f>
        <v>0.55770833333333336</v>
      </c>
      <c r="K27" s="61">
        <f>'19'!K108</f>
        <v>76.457708333333343</v>
      </c>
      <c r="L27" s="61">
        <f>'19'!L108</f>
        <v>32.815520833333316</v>
      </c>
      <c r="M27" s="61">
        <f>'19'!M108</f>
        <v>21.961145833333333</v>
      </c>
      <c r="N27" s="61">
        <f>'19'!N108</f>
        <v>217.82708333333332</v>
      </c>
      <c r="O27" s="61">
        <f>'19'!O108</f>
        <v>0</v>
      </c>
      <c r="P27" s="202">
        <f>'19'!P108</f>
        <v>1.221875</v>
      </c>
      <c r="Q27" s="61">
        <f>'19'!Q108</f>
        <v>15.480729166666672</v>
      </c>
      <c r="R27" s="118"/>
      <c r="S27" s="118"/>
      <c r="T27" s="118"/>
      <c r="U27" s="118"/>
    </row>
    <row r="28" spans="1:21" x14ac:dyDescent="0.25">
      <c r="A28" s="94" t="str">
        <f>'20'!$B$2</f>
        <v>20-04-2023 00:15</v>
      </c>
      <c r="B28" s="61">
        <f>'20'!B108</f>
        <v>5.974166666666668</v>
      </c>
      <c r="C28" s="61">
        <f>'20'!C108</f>
        <v>47.651979166666671</v>
      </c>
      <c r="D28" s="61">
        <f>'20'!D108</f>
        <v>31.735624999999988</v>
      </c>
      <c r="E28" s="61">
        <f>'20'!E108</f>
        <v>4.8602083333333344</v>
      </c>
      <c r="F28" s="61">
        <f>'20'!F108</f>
        <v>14.43125</v>
      </c>
      <c r="G28" s="61">
        <f>'20'!G108</f>
        <v>57.932604166666685</v>
      </c>
      <c r="H28" s="61">
        <f>'20'!H108</f>
        <v>25.287812499999983</v>
      </c>
      <c r="I28" s="61">
        <f>'20'!I108</f>
        <v>0.58770833333333328</v>
      </c>
      <c r="J28" s="61">
        <f>'20'!J108</f>
        <v>0.6980208333333332</v>
      </c>
      <c r="K28" s="61">
        <f>'20'!K108</f>
        <v>242.53937500000009</v>
      </c>
      <c r="L28" s="61">
        <f>'20'!L108</f>
        <v>30.18708333333333</v>
      </c>
      <c r="M28" s="61">
        <f>'20'!M108</f>
        <v>29.523437500000004</v>
      </c>
      <c r="N28" s="61">
        <f>'20'!N108</f>
        <v>179.39895833333333</v>
      </c>
      <c r="O28" s="61">
        <f>'20'!O108</f>
        <v>2.0833333333333333E-3</v>
      </c>
      <c r="P28" s="202">
        <f>'20'!P108</f>
        <v>0.8691666666666662</v>
      </c>
      <c r="Q28" s="61">
        <f>'20'!Q108</f>
        <v>9.6743750000000013</v>
      </c>
      <c r="R28" s="118"/>
      <c r="S28" s="118"/>
      <c r="T28" s="118"/>
      <c r="U28" s="118"/>
    </row>
    <row r="29" spans="1:21" x14ac:dyDescent="0.25">
      <c r="A29" s="94" t="str">
        <f>'21'!$B$2</f>
        <v>21-04-2023 00:15</v>
      </c>
      <c r="B29" s="61">
        <f>'21'!B108</f>
        <v>12.298020833333332</v>
      </c>
      <c r="C29" s="61">
        <f>'21'!C108</f>
        <v>37.785104166666677</v>
      </c>
      <c r="D29" s="61">
        <f>'21'!D108</f>
        <v>33.621562500000003</v>
      </c>
      <c r="E29" s="61">
        <f>'21'!E108</f>
        <v>7.2849999999999993</v>
      </c>
      <c r="F29" s="61">
        <f>'21'!F108</f>
        <v>11.462916666666663</v>
      </c>
      <c r="G29" s="61">
        <f>'21'!G108</f>
        <v>29.204494382022482</v>
      </c>
      <c r="H29" s="61">
        <f>'21'!H108</f>
        <v>14.556966292134826</v>
      </c>
      <c r="I29" s="61">
        <f>'21'!I108</f>
        <v>0.51239583333333316</v>
      </c>
      <c r="J29" s="61">
        <f>'21'!J108</f>
        <v>0.77541666666666664</v>
      </c>
      <c r="K29" s="61">
        <f>'21'!K108</f>
        <v>245.2246875000001</v>
      </c>
      <c r="L29" s="61">
        <f>'21'!L108</f>
        <v>26.076666666666657</v>
      </c>
      <c r="M29" s="61">
        <f>'21'!M108</f>
        <v>47.979270833333288</v>
      </c>
      <c r="N29" s="61">
        <f>'21'!N108</f>
        <v>182.91770833333337</v>
      </c>
      <c r="O29" s="61">
        <f>'21'!O108</f>
        <v>2.0833333333333333E-3</v>
      </c>
      <c r="P29" s="202">
        <f>'21'!P108</f>
        <v>0.66333333333333311</v>
      </c>
      <c r="Q29" s="61">
        <f>'21'!Q108</f>
        <v>7.6238541666666677</v>
      </c>
      <c r="R29" s="118"/>
      <c r="S29" s="118"/>
      <c r="T29" s="118"/>
      <c r="U29" s="118"/>
    </row>
    <row r="30" spans="1:21" x14ac:dyDescent="0.25">
      <c r="A30" s="94" t="str">
        <f>'22'!$B$2</f>
        <v>22-04-2023 00:15</v>
      </c>
      <c r="B30" s="61">
        <f>'22'!B108</f>
        <v>3.5121875000000014</v>
      </c>
      <c r="C30" s="61">
        <f>'22'!C108</f>
        <v>36.882812500000007</v>
      </c>
      <c r="D30" s="61">
        <f>'22'!D108</f>
        <v>23.81697916666668</v>
      </c>
      <c r="E30" s="61">
        <f>'22'!E108</f>
        <v>2.5047916666666667</v>
      </c>
      <c r="F30" s="61">
        <f>'22'!F108</f>
        <v>10.143958333333334</v>
      </c>
      <c r="G30" s="61">
        <f>'22'!G108</f>
        <v>41.717199999999977</v>
      </c>
      <c r="H30" s="61">
        <f>'22'!H108</f>
        <v>15.54813333333332</v>
      </c>
      <c r="I30" s="61">
        <f>'22'!I108</f>
        <v>0.50572916666666645</v>
      </c>
      <c r="J30" s="61">
        <f>'22'!J108</f>
        <v>0.94791666666666652</v>
      </c>
      <c r="K30" s="61">
        <f>'22'!K108</f>
        <v>227.53989583333328</v>
      </c>
      <c r="L30" s="61">
        <f>'22'!L108</f>
        <v>25.828020833333337</v>
      </c>
      <c r="M30" s="61">
        <f>'22'!M108</f>
        <v>49.638020833333343</v>
      </c>
      <c r="N30" s="61">
        <f>'22'!N108</f>
        <v>256.44062499999995</v>
      </c>
      <c r="O30" s="61">
        <f>'22'!O108</f>
        <v>0.11249999999999998</v>
      </c>
      <c r="P30" s="202">
        <f>'22'!P108</f>
        <v>0.50260416666666663</v>
      </c>
      <c r="Q30" s="61">
        <f>'22'!Q108</f>
        <v>12.414479166666672</v>
      </c>
      <c r="R30" s="118"/>
      <c r="S30" s="118"/>
      <c r="T30" s="118"/>
      <c r="U30" s="118"/>
    </row>
    <row r="31" spans="1:21" x14ac:dyDescent="0.25">
      <c r="A31" s="94" t="str">
        <f>'23'!$B$2</f>
        <v>23-04-2023 00:15</v>
      </c>
      <c r="B31" s="61">
        <f>'23'!B108</f>
        <v>8.9497916666666679</v>
      </c>
      <c r="C31" s="61">
        <f>'23'!C108</f>
        <v>38.37552083333334</v>
      </c>
      <c r="D31" s="61">
        <f>'23'!D108</f>
        <v>29.001145833333325</v>
      </c>
      <c r="E31" s="61">
        <f>'23'!E108</f>
        <v>1.3070833333333334</v>
      </c>
      <c r="F31" s="61">
        <f>'23'!F108</f>
        <v>6.4391666666666652</v>
      </c>
      <c r="G31" s="61">
        <f>'23'!G108</f>
        <v>39.385178571428568</v>
      </c>
      <c r="H31" s="61">
        <f>'23'!H108</f>
        <v>13.441785714285716</v>
      </c>
      <c r="I31" s="61">
        <f>'23'!I108</f>
        <v>0.54625000000000012</v>
      </c>
      <c r="J31" s="61">
        <f>'23'!J108</f>
        <v>0.67020833333333341</v>
      </c>
      <c r="K31" s="61">
        <f>'23'!K108</f>
        <v>202.91729166666661</v>
      </c>
      <c r="L31" s="61">
        <f>'23'!L108</f>
        <v>24.034062500000001</v>
      </c>
      <c r="M31" s="61">
        <f>'23'!M108</f>
        <v>58.151249999999997</v>
      </c>
      <c r="N31" s="61">
        <f>'23'!N108</f>
        <v>232.97291666666672</v>
      </c>
      <c r="O31" s="61">
        <f>'23'!O108</f>
        <v>4.9999999999999996E-2</v>
      </c>
      <c r="P31" s="202">
        <f>'23'!P108</f>
        <v>0.59156249999999999</v>
      </c>
      <c r="Q31" s="61">
        <f>'23'!Q108</f>
        <v>14.376354166666665</v>
      </c>
      <c r="R31" s="118"/>
      <c r="S31" s="207"/>
      <c r="T31" s="118"/>
      <c r="U31" s="118"/>
    </row>
    <row r="32" spans="1:21" x14ac:dyDescent="0.25">
      <c r="A32" s="94" t="str">
        <f>'24'!$B$2</f>
        <v>24-04-2023 00:15</v>
      </c>
      <c r="B32" s="61">
        <f>'24'!B108</f>
        <v>3.8461458333333334</v>
      </c>
      <c r="C32" s="61">
        <f>'24'!C108</f>
        <v>35.734895833333333</v>
      </c>
      <c r="D32" s="61">
        <f>'24'!D108</f>
        <v>23.451770833333342</v>
      </c>
      <c r="E32" s="61">
        <f>'24'!E108</f>
        <v>1.7637499999999999</v>
      </c>
      <c r="F32" s="61">
        <f>'24'!F108</f>
        <v>6.0160416666666627</v>
      </c>
      <c r="G32" s="61">
        <f>'24'!G108</f>
        <v>17.907012987012987</v>
      </c>
      <c r="H32" s="61">
        <f>'24'!H108</f>
        <v>7.6294805194805217</v>
      </c>
      <c r="I32" s="61">
        <f>'24'!I108</f>
        <v>0.53718750000000026</v>
      </c>
      <c r="J32" s="61">
        <f>'24'!J108</f>
        <v>0.89604166666666696</v>
      </c>
      <c r="K32" s="61">
        <f>'24'!K108</f>
        <v>171.16697916666669</v>
      </c>
      <c r="L32" s="61">
        <f>'24'!L108</f>
        <v>24.330833333333334</v>
      </c>
      <c r="M32" s="61">
        <f>'24'!M108</f>
        <v>59.791250000000012</v>
      </c>
      <c r="N32" s="61">
        <f>'24'!N108</f>
        <v>247.23958333333326</v>
      </c>
      <c r="O32" s="61">
        <f>'24'!O108</f>
        <v>4.1666666666666666E-3</v>
      </c>
      <c r="P32" s="202">
        <f>'24'!P108</f>
        <v>0.37291666666666656</v>
      </c>
      <c r="Q32" s="61">
        <f>'24'!Q108</f>
        <v>15.881250000000001</v>
      </c>
      <c r="R32" s="118"/>
      <c r="S32" s="118"/>
      <c r="T32" s="118"/>
      <c r="U32" s="118"/>
    </row>
    <row r="33" spans="1:21" x14ac:dyDescent="0.25">
      <c r="A33" s="94" t="str">
        <f>'25'!$B$2</f>
        <v>25-04-2023 00:15</v>
      </c>
      <c r="B33" s="61">
        <f>'25'!B108</f>
        <v>3.5160416666666667</v>
      </c>
      <c r="C33" s="61">
        <f>'25'!C108</f>
        <v>33.662395833333328</v>
      </c>
      <c r="D33" s="61">
        <f>'25'!D108</f>
        <v>22.042708333333334</v>
      </c>
      <c r="E33" s="61">
        <f>'25'!E108</f>
        <v>2.0958333333333332</v>
      </c>
      <c r="F33" s="61">
        <f>'25'!F108</f>
        <v>9.4704166666666687</v>
      </c>
      <c r="G33" s="61">
        <f>'25'!G108</f>
        <v>27.07364583333332</v>
      </c>
      <c r="H33" s="61">
        <f>'25'!H108</f>
        <v>10.487291666666662</v>
      </c>
      <c r="I33" s="61">
        <f>'25'!I108</f>
        <v>0.510625</v>
      </c>
      <c r="J33" s="61">
        <f>'25'!J108</f>
        <v>0.94802083333333309</v>
      </c>
      <c r="K33" s="61">
        <f>'25'!K108</f>
        <v>195.08281250000002</v>
      </c>
      <c r="L33" s="61">
        <f>'25'!L108</f>
        <v>24.9259375</v>
      </c>
      <c r="M33" s="61">
        <f>'25'!M108</f>
        <v>56.222708333333323</v>
      </c>
      <c r="N33" s="61">
        <f>'25'!N108</f>
        <v>244.43437499999996</v>
      </c>
      <c r="O33" s="61">
        <f>'25'!O108</f>
        <v>0</v>
      </c>
      <c r="P33" s="202">
        <f>'25'!P108</f>
        <v>0.42104166666666681</v>
      </c>
      <c r="Q33" s="61">
        <f>'25'!Q108</f>
        <v>13.324361702127655</v>
      </c>
      <c r="R33" s="118"/>
      <c r="S33" s="207"/>
      <c r="T33" s="118"/>
      <c r="U33" s="118"/>
    </row>
    <row r="34" spans="1:21" x14ac:dyDescent="0.25">
      <c r="A34" s="94" t="str">
        <f>'26'!$B$2</f>
        <v>26-04-2023 00:15</v>
      </c>
      <c r="B34" s="61">
        <f>'26'!B108</f>
        <v>15.930312500000008</v>
      </c>
      <c r="C34" s="61">
        <f>'26'!C108</f>
        <v>37.581354166666664</v>
      </c>
      <c r="D34" s="61">
        <f>'26'!D108</f>
        <v>45.896979166666661</v>
      </c>
      <c r="E34" s="61">
        <f>'26'!E108</f>
        <v>3.5715624999999993</v>
      </c>
      <c r="F34" s="61">
        <f>'26'!F108</f>
        <v>9.5670833333333345</v>
      </c>
      <c r="G34" s="61">
        <f>'26'!G108</f>
        <v>27.111363636363645</v>
      </c>
      <c r="H34" s="61">
        <f>'26'!H108</f>
        <v>9.5599999999999934</v>
      </c>
      <c r="I34" s="61">
        <f>'26'!I108</f>
        <v>0.52989583333333312</v>
      </c>
      <c r="J34" s="61">
        <f>'26'!J108</f>
        <v>0.53239583333333329</v>
      </c>
      <c r="K34" s="61">
        <f>'26'!K108</f>
        <v>239.45885416666661</v>
      </c>
      <c r="L34" s="61">
        <f>'26'!L108</f>
        <v>26.967291666666672</v>
      </c>
      <c r="M34" s="61">
        <f>'26'!M108</f>
        <v>47.194479166666696</v>
      </c>
      <c r="N34" s="61">
        <f>'26'!N108</f>
        <v>255.8645833333334</v>
      </c>
      <c r="O34" s="61">
        <f>'26'!O108</f>
        <v>0</v>
      </c>
      <c r="P34" s="202">
        <f>'26'!P108</f>
        <v>0.59635416666666674</v>
      </c>
      <c r="Q34" s="61">
        <f>'26'!Q108</f>
        <v>14.256874999999999</v>
      </c>
      <c r="R34" s="118"/>
      <c r="S34" s="118"/>
      <c r="T34" s="118"/>
      <c r="U34" s="118"/>
    </row>
    <row r="35" spans="1:21" x14ac:dyDescent="0.25">
      <c r="A35" s="94" t="str">
        <f>'27'!$B$2</f>
        <v>27-04-2023 00:15</v>
      </c>
      <c r="B35" s="61">
        <f>'27'!B108</f>
        <v>12.153020833333334</v>
      </c>
      <c r="C35" s="61">
        <f>'27'!C108</f>
        <v>46.496145833333337</v>
      </c>
      <c r="D35" s="61">
        <f>'27'!D108</f>
        <v>58.649166666666694</v>
      </c>
      <c r="E35" s="61">
        <f>'27'!E108</f>
        <v>2.2446874999999995</v>
      </c>
      <c r="F35" s="61">
        <f>'27'!F108</f>
        <v>7.6033333333333326</v>
      </c>
      <c r="G35" s="61">
        <f>'27'!G108</f>
        <v>36.157708333333339</v>
      </c>
      <c r="H35" s="61">
        <f>'27'!H108</f>
        <v>13.575416666666669</v>
      </c>
      <c r="I35" s="61">
        <f>'27'!I108</f>
        <v>0.58885416666666679</v>
      </c>
      <c r="J35" s="61">
        <f>'27'!J108</f>
        <v>0.47531250000000019</v>
      </c>
      <c r="K35" s="61">
        <f>'27'!K108</f>
        <v>226.32135416666674</v>
      </c>
      <c r="L35" s="61">
        <f>'27'!L108</f>
        <v>25.518124999999994</v>
      </c>
      <c r="M35" s="61">
        <f>'27'!M108</f>
        <v>49.085833333333333</v>
      </c>
      <c r="N35" s="61">
        <f>'27'!N108</f>
        <v>149.58437499999997</v>
      </c>
      <c r="O35" s="61">
        <f>'27'!O108</f>
        <v>0</v>
      </c>
      <c r="P35" s="202">
        <f>'27'!P108</f>
        <v>0.88302083333333348</v>
      </c>
      <c r="Q35" s="61">
        <f>'27'!Q108</f>
        <v>19.414270833333344</v>
      </c>
      <c r="R35" s="118"/>
      <c r="S35" s="118"/>
      <c r="T35" s="118"/>
      <c r="U35" s="118"/>
    </row>
    <row r="36" spans="1:21" x14ac:dyDescent="0.25">
      <c r="A36" s="94" t="str">
        <f>'28'!$B$2</f>
        <v>28-04-2023 00:15</v>
      </c>
      <c r="B36" s="61">
        <f>'28'!B108</f>
        <v>6.0070833333333375</v>
      </c>
      <c r="C36" s="61">
        <f>'28'!C108</f>
        <v>36.708333333333336</v>
      </c>
      <c r="D36" s="61">
        <f>'28'!D108</f>
        <v>32.587291666666665</v>
      </c>
      <c r="E36" s="61">
        <f>'28'!E108</f>
        <v>2.1906249999999989</v>
      </c>
      <c r="F36" s="61">
        <f>'28'!F108</f>
        <v>9.5028124999999992</v>
      </c>
      <c r="G36" s="61">
        <f>'28'!G108</f>
        <v>33.259166666666665</v>
      </c>
      <c r="H36" s="61">
        <f>'28'!H108</f>
        <v>13.679166666666669</v>
      </c>
      <c r="I36" s="61">
        <f>'28'!I108</f>
        <v>0.52427083333333335</v>
      </c>
      <c r="J36" s="61">
        <f>'28'!J108</f>
        <v>0.49239583333333337</v>
      </c>
      <c r="K36" s="61">
        <f>'28'!K108</f>
        <v>224.40531250000001</v>
      </c>
      <c r="L36" s="61">
        <f>'28'!L108</f>
        <v>25.129583333333329</v>
      </c>
      <c r="M36" s="61">
        <f>'28'!M108</f>
        <v>59.178854166666667</v>
      </c>
      <c r="N36" s="61">
        <f>'28'!N108</f>
        <v>213.88854166666658</v>
      </c>
      <c r="O36" s="61">
        <f>'28'!O108</f>
        <v>5.8333333333333327E-2</v>
      </c>
      <c r="P36" s="202">
        <f>'28'!P108</f>
        <v>0.7286458333333331</v>
      </c>
      <c r="Q36" s="61">
        <f>'28'!Q108</f>
        <v>23.294374999999992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29-04-2023 00:15</v>
      </c>
      <c r="B37" s="61">
        <f>'29'!B108</f>
        <v>4.0468750000000009</v>
      </c>
      <c r="C37" s="61">
        <f>'29'!C108</f>
        <v>24.536770833333332</v>
      </c>
      <c r="D37" s="61">
        <f>'29'!D108</f>
        <v>17.433229166666674</v>
      </c>
      <c r="E37" s="61">
        <f>'29'!E108</f>
        <v>1.1115624999999991</v>
      </c>
      <c r="F37" s="61">
        <f>'29'!F108</f>
        <v>5.7641666666666653</v>
      </c>
      <c r="G37" s="61">
        <f>'29'!G108</f>
        <v>22.096629213483151</v>
      </c>
      <c r="H37" s="61">
        <f>'29'!H108</f>
        <v>9.1000000000000014</v>
      </c>
      <c r="I37" s="61">
        <f>'29'!I108</f>
        <v>0.51020833333333382</v>
      </c>
      <c r="J37" s="61">
        <f>'29'!J108</f>
        <v>1.0991666666666668</v>
      </c>
      <c r="K37" s="61">
        <f>'29'!K108</f>
        <v>240.01458333333335</v>
      </c>
      <c r="L37" s="61">
        <f>'29'!L108</f>
        <v>23.198125000000008</v>
      </c>
      <c r="M37" s="61">
        <f>'29'!M108</f>
        <v>67.36645833333337</v>
      </c>
      <c r="N37" s="61">
        <f>'29'!N108</f>
        <v>24.68854166666668</v>
      </c>
      <c r="O37" s="61">
        <f>'29'!O108</f>
        <v>1.4583333333333332E-2</v>
      </c>
      <c r="P37" s="202">
        <f>'29'!P108</f>
        <v>0.42187500000000006</v>
      </c>
      <c r="Q37" s="61">
        <f>'29'!Q108</f>
        <v>25.176666666666673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30-04-2023 00:15</v>
      </c>
      <c r="B38" s="61">
        <f>'30'!B108</f>
        <v>10.8671875</v>
      </c>
      <c r="C38" s="61">
        <f>'30'!C108</f>
        <v>29.649270833333333</v>
      </c>
      <c r="D38" s="61">
        <f>'30'!D108</f>
        <v>25.723541666666662</v>
      </c>
      <c r="E38" s="61">
        <f>'30'!E108</f>
        <v>1.4712499999999993</v>
      </c>
      <c r="F38" s="61">
        <f>'30'!F108</f>
        <v>3.4382291666666682</v>
      </c>
      <c r="G38" s="61">
        <f>'30'!G108</f>
        <v>32.386458333333337</v>
      </c>
      <c r="H38" s="61">
        <f>'30'!H108</f>
        <v>11.902916666666671</v>
      </c>
      <c r="I38" s="61">
        <f>'30'!I108</f>
        <v>0.53156249999999983</v>
      </c>
      <c r="J38" s="61">
        <f>'30'!J108</f>
        <v>0.66718750000000016</v>
      </c>
      <c r="K38" s="61">
        <f>'30'!K108</f>
        <v>239.65104166666671</v>
      </c>
      <c r="L38" s="61">
        <f>'30'!L108</f>
        <v>20.020729166666673</v>
      </c>
      <c r="M38" s="61">
        <f>'30'!M108</f>
        <v>78.944479166666667</v>
      </c>
      <c r="N38" s="61">
        <f>'30'!N108</f>
        <v>19.326041666666669</v>
      </c>
      <c r="O38" s="61">
        <f>'30'!O108</f>
        <v>5.2083333333333343E-2</v>
      </c>
      <c r="P38" s="202">
        <f>'30'!P108</f>
        <v>0.65906250000000011</v>
      </c>
      <c r="Q38" s="61">
        <f>'30'!Q108</f>
        <v>27.101041666666671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3.5121875000000014</v>
      </c>
      <c r="C40" s="16">
        <f t="shared" si="0"/>
        <v>24.536770833333332</v>
      </c>
      <c r="D40" s="16">
        <f t="shared" si="0"/>
        <v>17.433229166666674</v>
      </c>
      <c r="E40" s="16">
        <f t="shared" si="0"/>
        <v>1.1115624999999991</v>
      </c>
      <c r="F40" s="16">
        <f t="shared" si="0"/>
        <v>3.4382291666666682</v>
      </c>
      <c r="G40" s="16">
        <f t="shared" si="0"/>
        <v>17.907012987012987</v>
      </c>
      <c r="H40" s="16">
        <f t="shared" si="0"/>
        <v>7.6294805194805217</v>
      </c>
      <c r="I40" s="16">
        <f t="shared" si="0"/>
        <v>0.50572916666666645</v>
      </c>
      <c r="J40" s="16">
        <f t="shared" si="0"/>
        <v>0.22035714285714283</v>
      </c>
      <c r="K40" s="16">
        <f t="shared" si="0"/>
        <v>76.457708333333343</v>
      </c>
      <c r="L40" s="16">
        <f t="shared" si="0"/>
        <v>20.020729166666673</v>
      </c>
      <c r="M40" s="16">
        <f t="shared" si="0"/>
        <v>21.961145833333333</v>
      </c>
      <c r="N40" s="16">
        <f t="shared" si="0"/>
        <v>19.326041666666669</v>
      </c>
      <c r="O40" s="16">
        <f t="shared" si="0"/>
        <v>0</v>
      </c>
      <c r="P40" s="16">
        <f t="shared" si="0"/>
        <v>0.37291666666666656</v>
      </c>
      <c r="Q40" s="16">
        <f t="shared" si="0"/>
        <v>7.6238541666666677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41.209156626506022</v>
      </c>
      <c r="C41" s="16">
        <f t="shared" si="1"/>
        <v>77.412891566265031</v>
      </c>
      <c r="D41" s="16">
        <f t="shared" si="1"/>
        <v>76.509156626506027</v>
      </c>
      <c r="E41" s="16">
        <f t="shared" si="1"/>
        <v>7.2849999999999993</v>
      </c>
      <c r="F41" s="16">
        <f t="shared" si="1"/>
        <v>25.058124999999993</v>
      </c>
      <c r="G41" s="16">
        <f t="shared" si="1"/>
        <v>125.32729166666661</v>
      </c>
      <c r="H41" s="16">
        <f t="shared" si="1"/>
        <v>77.156041666666681</v>
      </c>
      <c r="I41" s="16">
        <f t="shared" si="1"/>
        <v>0.85479999999999978</v>
      </c>
      <c r="J41" s="16">
        <f t="shared" si="1"/>
        <v>1.0991666666666668</v>
      </c>
      <c r="K41" s="16">
        <f t="shared" si="1"/>
        <v>245.2246875000001</v>
      </c>
      <c r="L41" s="16">
        <f t="shared" si="1"/>
        <v>32.815520833333316</v>
      </c>
      <c r="M41" s="16">
        <f t="shared" si="1"/>
        <v>78.944479166666667</v>
      </c>
      <c r="N41" s="16">
        <f t="shared" si="1"/>
        <v>256.44062499999995</v>
      </c>
      <c r="O41" s="16">
        <f t="shared" si="1"/>
        <v>0.11249999999999998</v>
      </c>
      <c r="P41" s="16">
        <f t="shared" si="1"/>
        <v>1.5134523809523805</v>
      </c>
      <c r="Q41" s="16">
        <f t="shared" si="1"/>
        <v>41.514375000000022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16.934272714973371</v>
      </c>
      <c r="C42" s="16">
        <f t="shared" si="2"/>
        <v>49.37329415445469</v>
      </c>
      <c r="D42" s="16">
        <f t="shared" si="2"/>
        <v>43.185168326675495</v>
      </c>
      <c r="E42" s="16">
        <f t="shared" si="2"/>
        <v>4.0021404573558819</v>
      </c>
      <c r="F42" s="16">
        <f t="shared" si="2"/>
        <v>11.68806005150287</v>
      </c>
      <c r="G42" s="16">
        <f t="shared" si="2"/>
        <v>61.661355413552016</v>
      </c>
      <c r="H42" s="16">
        <f t="shared" si="2"/>
        <v>24.221231962791187</v>
      </c>
      <c r="I42" s="16">
        <f t="shared" si="2"/>
        <v>0.60717189420803785</v>
      </c>
      <c r="J42" s="16">
        <f t="shared" si="2"/>
        <v>0.5526172145790007</v>
      </c>
      <c r="K42" s="16">
        <f t="shared" si="2"/>
        <v>179.01459940687269</v>
      </c>
      <c r="L42" s="16">
        <f t="shared" si="2"/>
        <v>27.322964021867612</v>
      </c>
      <c r="M42" s="16">
        <f t="shared" si="2"/>
        <v>44.730994796943605</v>
      </c>
      <c r="N42" s="16">
        <f t="shared" si="2"/>
        <v>203.77738654593034</v>
      </c>
      <c r="O42" s="16">
        <f t="shared" si="2"/>
        <v>1.0354609929078015E-2</v>
      </c>
      <c r="P42" s="16">
        <f t="shared" si="2"/>
        <v>0.89874820584262072</v>
      </c>
      <c r="Q42" s="16">
        <f t="shared" si="2"/>
        <v>22.590760658440175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11.635544429052754</v>
      </c>
      <c r="C43" s="16">
        <f t="shared" si="3"/>
        <v>12.666915009826363</v>
      </c>
      <c r="D43" s="16">
        <f t="shared" si="3"/>
        <v>15.537605645947087</v>
      </c>
      <c r="E43" s="16">
        <f t="shared" si="3"/>
        <v>1.9986968816086286</v>
      </c>
      <c r="F43" s="16">
        <f t="shared" si="3"/>
        <v>5.3779243298557535</v>
      </c>
      <c r="G43" s="16">
        <f t="shared" si="3"/>
        <v>30.37598940621902</v>
      </c>
      <c r="H43" s="16">
        <f t="shared" si="3"/>
        <v>14.193184067149524</v>
      </c>
      <c r="I43" s="16">
        <f t="shared" si="3"/>
        <v>9.3514569522939212E-2</v>
      </c>
      <c r="J43" s="16">
        <f t="shared" si="3"/>
        <v>0.25019278522808625</v>
      </c>
      <c r="K43" s="16">
        <f t="shared" si="3"/>
        <v>44.474906102666985</v>
      </c>
      <c r="L43" s="16">
        <f t="shared" si="3"/>
        <v>2.9886617968562255</v>
      </c>
      <c r="M43" s="16">
        <f t="shared" si="3"/>
        <v>13.020128866340347</v>
      </c>
      <c r="N43" s="16">
        <f t="shared" si="3"/>
        <v>58.249529098457266</v>
      </c>
      <c r="O43" s="16">
        <f t="shared" si="3"/>
        <v>2.5205645752282794E-2</v>
      </c>
      <c r="P43" s="16">
        <f t="shared" si="3"/>
        <v>0.31327547667513489</v>
      </c>
      <c r="Q43" s="16">
        <f t="shared" si="3"/>
        <v>10.200505512140257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23"/>
      <c r="C51" s="223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3"/>
      <c r="O51" s="223"/>
      <c r="P51" s="223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X31" sqref="X31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7" t="s">
        <v>242</v>
      </c>
      <c r="E1" s="227"/>
      <c r="F1" s="227"/>
      <c r="G1" s="227"/>
      <c r="H1" s="227"/>
      <c r="I1" s="227"/>
      <c r="J1" s="228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9" t="s">
        <v>1</v>
      </c>
      <c r="H5" s="229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 t="s">
        <v>633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200.4</v>
      </c>
      <c r="I8" s="60">
        <v>0</v>
      </c>
      <c r="J8" s="61">
        <f>F8/H8</f>
        <v>0.99800399201596801</v>
      </c>
      <c r="K8" s="61">
        <f>(H8-F8)*100/F8</f>
        <v>0.20000000000000284</v>
      </c>
      <c r="L8" s="60" t="s">
        <v>67</v>
      </c>
      <c r="M8" s="78" t="s">
        <v>216</v>
      </c>
      <c r="O8" s="63">
        <v>45019.472916666666</v>
      </c>
      <c r="P8" s="64" t="s">
        <v>70</v>
      </c>
      <c r="Q8" s="64">
        <v>4572.08</v>
      </c>
      <c r="R8" s="64">
        <v>3483.92</v>
      </c>
      <c r="S8" s="77" t="s">
        <v>245</v>
      </c>
      <c r="T8" s="77">
        <v>813.64</v>
      </c>
      <c r="U8" s="86">
        <v>0.88119999999999998</v>
      </c>
      <c r="V8" s="86">
        <v>0.90429999999999999</v>
      </c>
      <c r="W8" s="60" t="s">
        <v>67</v>
      </c>
      <c r="X8" s="78" t="s">
        <v>216</v>
      </c>
    </row>
    <row r="9" spans="2:24" ht="15.75" x14ac:dyDescent="0.25">
      <c r="B9" s="63">
        <v>45026.473611111112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205.2</v>
      </c>
      <c r="I9" s="60">
        <v>0</v>
      </c>
      <c r="J9" s="61">
        <f t="shared" ref="J9:J14" si="0">F9/H9</f>
        <v>0.97465886939571156</v>
      </c>
      <c r="K9" s="61">
        <f t="shared" ref="K9:K14" si="1">(H9-F9)*100/F9</f>
        <v>2.5999999999999943</v>
      </c>
      <c r="L9" s="60" t="s">
        <v>67</v>
      </c>
      <c r="M9" s="62" t="s">
        <v>216</v>
      </c>
      <c r="O9" s="63">
        <v>45026.507638888892</v>
      </c>
      <c r="P9" s="64" t="s">
        <v>70</v>
      </c>
      <c r="Q9" s="64">
        <v>4907.3</v>
      </c>
      <c r="R9" s="64">
        <v>3721.77</v>
      </c>
      <c r="S9" s="77" t="s">
        <v>245</v>
      </c>
      <c r="T9" s="77">
        <v>791.29</v>
      </c>
      <c r="U9" s="86">
        <v>0.84119999999999995</v>
      </c>
      <c r="V9" s="86">
        <v>0.88759999999999994</v>
      </c>
      <c r="W9" s="60" t="s">
        <v>67</v>
      </c>
      <c r="X9" s="62" t="s">
        <v>216</v>
      </c>
    </row>
    <row r="10" spans="2:24" ht="15.75" x14ac:dyDescent="0.25">
      <c r="B10" s="63" t="s">
        <v>2170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207.31</v>
      </c>
      <c r="I10" s="60">
        <v>0</v>
      </c>
      <c r="J10" s="61">
        <f t="shared" si="0"/>
        <v>0.96473879697072018</v>
      </c>
      <c r="K10" s="61">
        <f t="shared" si="1"/>
        <v>3.6550000000000011</v>
      </c>
      <c r="L10" s="60" t="s">
        <v>67</v>
      </c>
      <c r="M10" s="62" t="s">
        <v>216</v>
      </c>
      <c r="O10" s="63">
        <v>45037.479166666664</v>
      </c>
      <c r="P10" s="64" t="s">
        <v>70</v>
      </c>
      <c r="Q10" s="64">
        <v>4876.8900000000003</v>
      </c>
      <c r="R10" s="64">
        <v>3693.71</v>
      </c>
      <c r="S10" s="77" t="s">
        <v>245</v>
      </c>
      <c r="T10" s="77">
        <v>832.46</v>
      </c>
      <c r="U10" s="86">
        <v>0.88759999999999994</v>
      </c>
      <c r="V10" s="86">
        <v>0.89029999999999998</v>
      </c>
      <c r="W10" s="60" t="s">
        <v>67</v>
      </c>
      <c r="X10" s="62" t="s">
        <v>216</v>
      </c>
    </row>
    <row r="11" spans="2:24" ht="15.75" x14ac:dyDescent="0.25">
      <c r="B11" s="63">
        <v>45042.46875</v>
      </c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>
        <v>205.3</v>
      </c>
      <c r="I11" s="60">
        <v>0</v>
      </c>
      <c r="J11" s="61">
        <f t="shared" si="0"/>
        <v>0.97418412079883088</v>
      </c>
      <c r="K11" s="61">
        <f t="shared" si="1"/>
        <v>2.6500000000000057</v>
      </c>
      <c r="L11" s="60" t="s">
        <v>67</v>
      </c>
      <c r="M11" s="62" t="s">
        <v>216</v>
      </c>
      <c r="O11" s="63">
        <v>45042.484027777777</v>
      </c>
      <c r="P11" s="64" t="s">
        <v>70</v>
      </c>
      <c r="Q11" s="64">
        <v>4589.55</v>
      </c>
      <c r="R11" s="64">
        <v>3453.92</v>
      </c>
      <c r="S11" s="77" t="s">
        <v>245</v>
      </c>
      <c r="T11" s="77">
        <v>841.83</v>
      </c>
      <c r="U11" s="86">
        <v>0.89029999999999998</v>
      </c>
      <c r="V11" s="86">
        <v>0.87270000000000003</v>
      </c>
      <c r="W11" s="60" t="s">
        <v>67</v>
      </c>
      <c r="X11" s="62" t="s">
        <v>216</v>
      </c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77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2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6" t="s">
        <v>2</v>
      </c>
      <c r="H24" s="226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632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45019.532638888886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201.9</v>
      </c>
      <c r="I27" s="60">
        <v>0</v>
      </c>
      <c r="J27" s="61">
        <f>F27/H27</f>
        <v>0.9905894006934125</v>
      </c>
      <c r="K27" s="61">
        <f>(H27-F27)*100/F27</f>
        <v>0.95000000000000284</v>
      </c>
      <c r="L27" s="60" t="s">
        <v>67</v>
      </c>
      <c r="M27" s="78" t="s">
        <v>216</v>
      </c>
      <c r="O27" s="63">
        <v>45019.472916666666</v>
      </c>
      <c r="P27" s="64" t="s">
        <v>71</v>
      </c>
      <c r="Q27" s="64">
        <v>4165.51</v>
      </c>
      <c r="R27" s="64">
        <v>3231.62</v>
      </c>
      <c r="S27" s="77" t="s">
        <v>244</v>
      </c>
      <c r="T27" s="77">
        <v>850.24</v>
      </c>
      <c r="U27" s="86">
        <v>0.98299999999999998</v>
      </c>
      <c r="V27" s="86">
        <v>0.97929999999999995</v>
      </c>
      <c r="W27" s="60" t="s">
        <v>67</v>
      </c>
      <c r="X27" s="78" t="s">
        <v>216</v>
      </c>
    </row>
    <row r="28" spans="2:24" s="24" customFormat="1" ht="15.75" x14ac:dyDescent="0.25">
      <c r="B28" s="63">
        <v>45026.052777777775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203.12</v>
      </c>
      <c r="I28" s="60">
        <v>0</v>
      </c>
      <c r="J28" s="61">
        <f t="shared" ref="J28:J33" si="2">F28/H28</f>
        <v>0.98463962189838516</v>
      </c>
      <c r="K28" s="61">
        <f t="shared" ref="K28:K33" si="3">(H28-F28)*100/F28</f>
        <v>1.5600000000000023</v>
      </c>
      <c r="L28" s="60" t="s">
        <v>67</v>
      </c>
      <c r="M28" s="62" t="s">
        <v>240</v>
      </c>
      <c r="O28" s="63">
        <v>45026.507638888892</v>
      </c>
      <c r="P28" s="64" t="s">
        <v>71</v>
      </c>
      <c r="Q28" s="64">
        <v>4271.3500000000004</v>
      </c>
      <c r="R28" s="64">
        <v>3312.86</v>
      </c>
      <c r="S28" s="77" t="s">
        <v>244</v>
      </c>
      <c r="T28" s="77">
        <v>844.4</v>
      </c>
      <c r="U28" s="86">
        <v>0.97929999999999995</v>
      </c>
      <c r="V28" s="86">
        <v>0.98229999999999995</v>
      </c>
      <c r="W28" s="60" t="s">
        <v>67</v>
      </c>
      <c r="X28" s="62" t="s">
        <v>216</v>
      </c>
    </row>
    <row r="29" spans="2:24" s="24" customFormat="1" ht="15.75" x14ac:dyDescent="0.25">
      <c r="B29" s="63" t="s">
        <v>2171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208.14</v>
      </c>
      <c r="I29" s="60">
        <v>0</v>
      </c>
      <c r="J29" s="61">
        <f t="shared" si="2"/>
        <v>0.96089170750456432</v>
      </c>
      <c r="K29" s="61">
        <f t="shared" si="3"/>
        <v>4.0699999999999932</v>
      </c>
      <c r="L29" s="60" t="s">
        <v>67</v>
      </c>
      <c r="M29" s="62" t="s">
        <v>241</v>
      </c>
      <c r="O29" s="63">
        <v>45037.479166666664</v>
      </c>
      <c r="P29" s="64" t="s">
        <v>71</v>
      </c>
      <c r="Q29" s="64">
        <v>4223.55</v>
      </c>
      <c r="R29" s="64">
        <v>3274.59</v>
      </c>
      <c r="S29" s="77" t="s">
        <v>244</v>
      </c>
      <c r="T29" s="77">
        <v>844.43</v>
      </c>
      <c r="U29" s="86">
        <v>0.98229999999999995</v>
      </c>
      <c r="V29" s="86">
        <v>0.98529999999999995</v>
      </c>
      <c r="W29" s="60" t="s">
        <v>67</v>
      </c>
      <c r="X29" s="62" t="s">
        <v>216</v>
      </c>
    </row>
    <row r="30" spans="2:24" s="24" customFormat="1" ht="15.75" x14ac:dyDescent="0.25">
      <c r="B30" s="63">
        <v>45042.507638888892</v>
      </c>
      <c r="C30" s="60" t="s">
        <v>68</v>
      </c>
      <c r="D30" s="60" t="s">
        <v>51</v>
      </c>
      <c r="E30" s="60">
        <v>0</v>
      </c>
      <c r="F30" s="60">
        <v>200</v>
      </c>
      <c r="G30" s="60"/>
      <c r="H30" s="61">
        <v>200.14</v>
      </c>
      <c r="I30" s="60">
        <v>0</v>
      </c>
      <c r="J30" s="61">
        <f t="shared" si="2"/>
        <v>0.99930048965724005</v>
      </c>
      <c r="K30" s="61">
        <f t="shared" si="3"/>
        <v>6.9999999999993179E-2</v>
      </c>
      <c r="L30" s="60" t="s">
        <v>67</v>
      </c>
      <c r="M30" s="62" t="s">
        <v>241</v>
      </c>
      <c r="O30" s="63">
        <v>45042.484027777777</v>
      </c>
      <c r="P30" s="64" t="s">
        <v>71</v>
      </c>
      <c r="Q30" s="64">
        <v>4389.47</v>
      </c>
      <c r="R30" s="64">
        <v>3407.27</v>
      </c>
      <c r="S30" s="77" t="s">
        <v>244</v>
      </c>
      <c r="T30" s="77">
        <v>840.54</v>
      </c>
      <c r="U30" s="86">
        <v>0.98529999999999995</v>
      </c>
      <c r="V30" s="86">
        <v>0.9929</v>
      </c>
      <c r="W30" s="60" t="s">
        <v>67</v>
      </c>
      <c r="X30" s="62" t="s">
        <v>216</v>
      </c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6" t="s">
        <v>23</v>
      </c>
      <c r="H44" s="226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6" t="s">
        <v>3</v>
      </c>
      <c r="H64" s="226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45019.477083333331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5.0369999999999999</v>
      </c>
      <c r="I67" s="60">
        <v>0</v>
      </c>
      <c r="J67" s="61">
        <f>F67/H67</f>
        <v>0.99265435775263056</v>
      </c>
      <c r="K67" s="61">
        <f>(H67-F67)*100/F67</f>
        <v>0.73999999999999844</v>
      </c>
      <c r="L67" s="60" t="s">
        <v>67</v>
      </c>
      <c r="M67" s="78" t="s">
        <v>240</v>
      </c>
    </row>
    <row r="68" spans="2:13" ht="15.75" x14ac:dyDescent="0.25">
      <c r="B68" s="63">
        <v>45026.486805555556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5.4029999999999996</v>
      </c>
      <c r="I68" s="60">
        <v>0</v>
      </c>
      <c r="J68" s="61">
        <f t="shared" ref="J68:J73" si="4">F68/H68</f>
        <v>0.9254118082546734</v>
      </c>
      <c r="K68" s="61">
        <f t="shared" ref="K68:K73" si="5">(H68-F68)*100/F68</f>
        <v>8.0599999999999916</v>
      </c>
      <c r="L68" s="60" t="s">
        <v>67</v>
      </c>
      <c r="M68" s="62" t="s">
        <v>241</v>
      </c>
    </row>
    <row r="69" spans="2:13" ht="15.75" x14ac:dyDescent="0.25">
      <c r="B69" s="63">
        <v>45037.51458333333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5.1020000000000003</v>
      </c>
      <c r="I69" s="60">
        <v>0</v>
      </c>
      <c r="J69" s="61">
        <f t="shared" si="4"/>
        <v>0.98000784006272046</v>
      </c>
      <c r="K69" s="61">
        <f t="shared" si="5"/>
        <v>2.0400000000000063</v>
      </c>
      <c r="L69" s="60" t="s">
        <v>67</v>
      </c>
      <c r="M69" s="62" t="s">
        <v>241</v>
      </c>
    </row>
    <row r="70" spans="2:13" ht="15.75" x14ac:dyDescent="0.25">
      <c r="B70" s="63" t="s">
        <v>2652</v>
      </c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>
        <v>5.3120000000000003</v>
      </c>
      <c r="I70" s="60">
        <v>0</v>
      </c>
      <c r="J70" s="61">
        <f t="shared" si="4"/>
        <v>0.94126506024096379</v>
      </c>
      <c r="K70" s="61">
        <f t="shared" si="5"/>
        <v>6.2400000000000055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6" t="s">
        <v>24</v>
      </c>
      <c r="H84" s="226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9" t="s">
        <v>4</v>
      </c>
      <c r="H104" s="22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45021.258333333331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320.12</v>
      </c>
      <c r="I107" s="60">
        <f>G107-E107</f>
        <v>0</v>
      </c>
      <c r="J107" s="61">
        <f>F107/H107</f>
        <v>0.99962514057228535</v>
      </c>
      <c r="K107" s="61">
        <f>(H107-F107)*100/F107</f>
        <v>3.7500000000001421E-2</v>
      </c>
      <c r="L107" s="60" t="s">
        <v>67</v>
      </c>
      <c r="M107" s="62" t="s">
        <v>240</v>
      </c>
    </row>
    <row r="108" spans="2:13" ht="15.75" x14ac:dyDescent="0.25">
      <c r="B108" s="63">
        <v>45037.26458333333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321.44</v>
      </c>
      <c r="I108" s="60">
        <f>G108-E108</f>
        <v>0</v>
      </c>
      <c r="J108" s="61">
        <f>F108/H108</f>
        <v>0.99552015928322546</v>
      </c>
      <c r="K108" s="61">
        <f>(H108-F108)*100/F108</f>
        <v>0.44999999999999929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2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30" t="s">
        <v>243</v>
      </c>
      <c r="C2" s="230"/>
      <c r="D2" s="231">
        <v>45017</v>
      </c>
      <c r="E2" s="231"/>
    </row>
    <row r="3" spans="1:5" x14ac:dyDescent="0.25">
      <c r="B3" s="230" t="s">
        <v>21</v>
      </c>
      <c r="C3" s="230"/>
      <c r="D3" s="231"/>
      <c r="E3" s="231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2" t="s">
        <v>22</v>
      </c>
      <c r="C44" s="232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8" t="s">
        <v>220</v>
      </c>
      <c r="C2" s="248"/>
      <c r="D2" s="248"/>
      <c r="E2" s="248"/>
      <c r="F2" s="249">
        <v>44713</v>
      </c>
      <c r="G2" s="250"/>
      <c r="H2" s="250"/>
    </row>
    <row r="3" spans="2:24" s="12" customFormat="1" ht="15" customHeight="1" x14ac:dyDescent="0.25">
      <c r="B3" s="248"/>
      <c r="C3" s="248"/>
      <c r="D3" s="248"/>
      <c r="E3" s="248"/>
      <c r="F3" s="250"/>
      <c r="G3" s="250"/>
      <c r="H3" s="250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51" t="s">
        <v>4</v>
      </c>
      <c r="C12" s="253" t="s">
        <v>134</v>
      </c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127"/>
      <c r="U12" s="125"/>
    </row>
    <row r="13" spans="2:24" ht="15" customHeight="1" x14ac:dyDescent="0.25">
      <c r="B13" s="252"/>
      <c r="C13" s="128" t="s">
        <v>78</v>
      </c>
      <c r="D13" s="129" t="s">
        <v>83</v>
      </c>
      <c r="E13" s="129" t="s">
        <v>135</v>
      </c>
      <c r="F13" s="129" t="s">
        <v>217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52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52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52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52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52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43" t="s">
        <v>2</v>
      </c>
      <c r="C25" s="246" t="s">
        <v>134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35"/>
      <c r="S25" s="188"/>
      <c r="T25" s="189"/>
    </row>
    <row r="26" spans="2:28" ht="15" customHeight="1" x14ac:dyDescent="0.3">
      <c r="B26" s="243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43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43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7" t="s">
        <v>3</v>
      </c>
      <c r="C36" s="239" t="s">
        <v>134</v>
      </c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40"/>
    </row>
    <row r="37" spans="2:25" ht="15.75" customHeight="1" x14ac:dyDescent="0.25">
      <c r="B37" s="238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8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8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1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2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2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2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43" t="s">
        <v>185</v>
      </c>
      <c r="C61" s="246" t="s">
        <v>134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35"/>
      <c r="S61" s="166"/>
      <c r="T61" s="167"/>
    </row>
    <row r="62" spans="2:20" ht="15.75" x14ac:dyDescent="0.3">
      <c r="B62" s="243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4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4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5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43" t="s">
        <v>202</v>
      </c>
      <c r="C69" s="246" t="s">
        <v>134</v>
      </c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35"/>
      <c r="S69" s="166"/>
      <c r="T69" s="167"/>
    </row>
    <row r="70" spans="2:20" ht="15.75" x14ac:dyDescent="0.3">
      <c r="B70" s="243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43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4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5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3" t="s">
        <v>24</v>
      </c>
      <c r="C77" s="235" t="s">
        <v>134</v>
      </c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177"/>
      <c r="S77" s="177"/>
      <c r="T77" s="178"/>
    </row>
    <row r="78" spans="2:20" x14ac:dyDescent="0.25">
      <c r="B78" s="234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3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4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3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3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4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2024-08-28T14:10:31Z</dcterms:modified>
</cp:coreProperties>
</file>