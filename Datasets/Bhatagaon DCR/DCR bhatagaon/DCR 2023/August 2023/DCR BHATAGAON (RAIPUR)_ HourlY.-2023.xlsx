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<sst xmlns="http://schemas.openxmlformats.org/spreadsheetml/2006/main" count="3095" uniqueCount="806">
  <si>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</si>
  <si>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</si>
  <si>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</si>
  <si>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</si>
  <si>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</si>
  <si>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</si>
  <si>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</si>
  <si>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</si>
  <si>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</si>
  <si>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</si>
  <si>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</si>
  <si>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</si>
  <si>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</si>
  <si>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</si>
  <si>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</si>
  <si>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</si>
  <si>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</si>
  <si>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</si>
  <si>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</si>
  <si>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</si>
  <si>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</si>
  <si>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</si>
  <si>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</si>
  <si>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</si>
  <si>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</si>
  <si>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</si>
  <si>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</si>
  <si>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</si>
  <si>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</si>
  <si>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</si>
  <si>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</si>
  <si>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</si>
  <si>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</si>
  <si>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</si>
  <si>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</si>
  <si>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</si>
  <si>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</si>
  <si>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</si>
  <si>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</si>
  <si>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</si>
  <si>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</si>
  <si>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</si>
  <si>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</si>
  <si>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</si>
  <si>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</si>
  <si>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</si>
  <si>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</si>
  <si>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</si>
  <si>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</si>
  <si>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</si>
  <si>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</si>
  <si>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</si>
  <si>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</si>
  <si>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</si>
  <si>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</si>
  <si>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</si>
  <si>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</si>
  <si>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</si>
  <si>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</si>
  <si>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</si>
  <si>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</si>
  <si>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</si>
  <si>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01-08-2023 01:00</t>
  </si>
  <si>
    <t>01-08-2023 02:00</t>
  </si>
  <si>
    <t>01-08-2023 03:00</t>
  </si>
  <si>
    <t>01-08-2023 04:00</t>
  </si>
  <si>
    <t>01-08-2023 05:00</t>
  </si>
  <si>
    <t>01-08-2023 06:00</t>
  </si>
  <si>
    <t>01-08-2023 07:00</t>
  </si>
  <si>
    <t>01-08-2023 08:00</t>
  </si>
  <si>
    <t>01-08-2023 09:00</t>
  </si>
  <si>
    <t>01-08-2023 10:00</t>
  </si>
  <si>
    <t>01-08-2023 11:00</t>
  </si>
  <si>
    <t>01-08-2023 12:00</t>
  </si>
  <si>
    <t>01-08-2023 13:00</t>
  </si>
  <si>
    <t>01-08-2023 14:00</t>
  </si>
  <si>
    <t>01-08-2023 15:00</t>
  </si>
  <si>
    <t>01-08-2023 16:00</t>
  </si>
  <si>
    <t>01-08-2023 17:00</t>
  </si>
  <si>
    <t>01-08-2023 18:00</t>
  </si>
  <si>
    <t>01-08-2023 19:00</t>
  </si>
  <si>
    <t>01-08-2023 20:00</t>
  </si>
  <si>
    <t>01-08-2023 21:00</t>
  </si>
  <si>
    <t>01-08-2023 22:00</t>
  </si>
  <si>
    <t>01-08-2023 23:00</t>
  </si>
  <si>
    <t>01-08-2023 24:00</t>
  </si>
  <si>
    <t>02-08-2023 01:00</t>
  </si>
  <si>
    <t>02-08-2023 02:00</t>
  </si>
  <si>
    <t>02-08-2023 03:00</t>
  </si>
  <si>
    <t>02-08-2023 04:00</t>
  </si>
  <si>
    <t>02-08-2023 05:00</t>
  </si>
  <si>
    <t>02-08-2023 06:00</t>
  </si>
  <si>
    <t>02-08-2023 07:00</t>
  </si>
  <si>
    <t>02-08-2023 08:00</t>
  </si>
  <si>
    <t>02-08-2023 09:00</t>
  </si>
  <si>
    <t>02-08-2023 10:00</t>
  </si>
  <si>
    <t>02-08-2023 11:00</t>
  </si>
  <si>
    <t>02-08-2023 12:00</t>
  </si>
  <si>
    <t>02-08-2023 13:00</t>
  </si>
  <si>
    <t>02-08-2023 14:00</t>
  </si>
  <si>
    <t>02-08-2023 15:00</t>
  </si>
  <si>
    <t>02-08-2023 16:00</t>
  </si>
  <si>
    <t>02-08-2023 17:00</t>
  </si>
  <si>
    <t>02-08-2023 18:00</t>
  </si>
  <si>
    <t>02-08-2023 19:00</t>
  </si>
  <si>
    <t>02-08-2023 20:00</t>
  </si>
  <si>
    <t>02-08-2023 21:00</t>
  </si>
  <si>
    <t>02-08-2023 22:00</t>
  </si>
  <si>
    <t>02-08-2023 23:00</t>
  </si>
  <si>
    <t>02-08-2023 24:00</t>
  </si>
  <si>
    <t>03-08-2023 01:00</t>
  </si>
  <si>
    <t>03-08-2023 02:00</t>
  </si>
  <si>
    <t>03-08-2023 03:00</t>
  </si>
  <si>
    <t>03-08-2023 04:00</t>
  </si>
  <si>
    <t>03-08-2023 05:00</t>
  </si>
  <si>
    <t>03-08-2023 06:00</t>
  </si>
  <si>
    <t>03-08-2023 07:00</t>
  </si>
  <si>
    <t>03-08-2023 08:00</t>
  </si>
  <si>
    <t>03-08-2023 09:00</t>
  </si>
  <si>
    <t>03-08-2023 10:00</t>
  </si>
  <si>
    <t>03-08-2023 11:00</t>
  </si>
  <si>
    <t>03-08-2023 12:00</t>
  </si>
  <si>
    <t>03-08-2023 13:00</t>
  </si>
  <si>
    <t>03-08-2023 14:00</t>
  </si>
  <si>
    <t>03-08-2023 15:00</t>
  </si>
  <si>
    <t>03-08-2023 16:00</t>
  </si>
  <si>
    <t>03-08-2023 17:00</t>
  </si>
  <si>
    <t>03-08-2023 18:00</t>
  </si>
  <si>
    <t>03-08-2023 19:00</t>
  </si>
  <si>
    <t>03-08-2023 20:00</t>
  </si>
  <si>
    <t>03-08-2023 21:00</t>
  </si>
  <si>
    <t>03-08-2023 22:00</t>
  </si>
  <si>
    <t>03-08-2023 23:00</t>
  </si>
  <si>
    <t>03-08-2023 24:00</t>
  </si>
  <si>
    <t>04-08-2023 01:00</t>
  </si>
  <si>
    <t>04-08-2023 02:00</t>
  </si>
  <si>
    <t>04-08-2023 03:00</t>
  </si>
  <si>
    <t>04-08-2023 04:00</t>
  </si>
  <si>
    <t>04-08-2023 05:00</t>
  </si>
  <si>
    <t>04-08-2023 06:00</t>
  </si>
  <si>
    <t>04-08-2023 07:00</t>
  </si>
  <si>
    <t>04-08-2023 08:00</t>
  </si>
  <si>
    <t>04-08-2023 09:00</t>
  </si>
  <si>
    <t>04-08-2023 10:00</t>
  </si>
  <si>
    <t>04-08-2023 11:00</t>
  </si>
  <si>
    <t>04-08-2023 12:00</t>
  </si>
  <si>
    <t>04-08-2023 13:00</t>
  </si>
  <si>
    <t>04-08-2023 14:00</t>
  </si>
  <si>
    <t>04-08-2023 15:00</t>
  </si>
  <si>
    <t>04-08-2023 16:00</t>
  </si>
  <si>
    <t>04-08-2023 17:00</t>
  </si>
  <si>
    <t>04-08-2023 18:00</t>
  </si>
  <si>
    <t>04-08-2023 19:00</t>
  </si>
  <si>
    <t>04-08-2023 20:00</t>
  </si>
  <si>
    <t>04-08-2023 21:00</t>
  </si>
  <si>
    <t>04-08-2023 22:00</t>
  </si>
  <si>
    <t>04-08-2023 23:00</t>
  </si>
  <si>
    <t>04-08-2023 24:00</t>
  </si>
  <si>
    <t>05-08-2023 01:00</t>
  </si>
  <si>
    <t>05-08-2023 02:00</t>
  </si>
  <si>
    <t>05-08-2023 03:00</t>
  </si>
  <si>
    <t>05-08-2023 04:00</t>
  </si>
  <si>
    <t>05-08-2023 05:00</t>
  </si>
  <si>
    <t>05-08-2023 06:00</t>
  </si>
  <si>
    <t>05-08-2023 07:00</t>
  </si>
  <si>
    <t>05-08-2023 08:00</t>
  </si>
  <si>
    <t>05-08-2023 09:00</t>
  </si>
  <si>
    <t>05-08-2023 10:00</t>
  </si>
  <si>
    <t>05-08-2023 11:00</t>
  </si>
  <si>
    <t>05-08-2023 12:00</t>
  </si>
  <si>
    <t>05-08-2023 13:00</t>
  </si>
  <si>
    <t>05-08-2023 14:00</t>
  </si>
  <si>
    <t>05-08-2023 15:00</t>
  </si>
  <si>
    <t>05-08-2023 16:00</t>
  </si>
  <si>
    <t>05-08-2023 17:00</t>
  </si>
  <si>
    <t>05-08-2023 18:00</t>
  </si>
  <si>
    <t>05-08-2023 19:00</t>
  </si>
  <si>
    <t>05-08-2023 20:00</t>
  </si>
  <si>
    <t>05-08-2023 21:00</t>
  </si>
  <si>
    <t>05-08-2023 22:00</t>
  </si>
  <si>
    <t>05-08-2023 23:00</t>
  </si>
  <si>
    <t>05-08-2023 24:00</t>
  </si>
  <si>
    <t>06-08-2023 01:00</t>
  </si>
  <si>
    <t>06-08-2023 02:00</t>
  </si>
  <si>
    <t>06-08-2023 03:00</t>
  </si>
  <si>
    <t>06-08-2023 04:00</t>
  </si>
  <si>
    <t>06-08-2023 05:00</t>
  </si>
  <si>
    <t>06-08-2023 06:00</t>
  </si>
  <si>
    <t>06-08-2023 07:00</t>
  </si>
  <si>
    <t>06-08-2023 08:00</t>
  </si>
  <si>
    <t>06-08-2023 09:00</t>
  </si>
  <si>
    <t>06-08-2023 10:00</t>
  </si>
  <si>
    <t>06-08-2023 11:00</t>
  </si>
  <si>
    <t>06-08-2023 12:00</t>
  </si>
  <si>
    <t>06-08-2023 13:00</t>
  </si>
  <si>
    <t>06-08-2023 14:00</t>
  </si>
  <si>
    <t>06-08-2023 15:00</t>
  </si>
  <si>
    <t>06-08-2023 16:00</t>
  </si>
  <si>
    <t>06-08-2023 17:00</t>
  </si>
  <si>
    <t>06-08-2023 18:00</t>
  </si>
  <si>
    <t>06-08-2023 19:00</t>
  </si>
  <si>
    <t>06-08-2023 20:00</t>
  </si>
  <si>
    <t>06-08-2023 21:00</t>
  </si>
  <si>
    <t>06-08-2023 22:00</t>
  </si>
  <si>
    <t>06-08-2023 23:00</t>
  </si>
  <si>
    <t>06-08-2023 24:00</t>
  </si>
  <si>
    <t>07-08-2023 01:00</t>
  </si>
  <si>
    <t>07-08-2023 02:00</t>
  </si>
  <si>
    <t>07-08-2023 03:00</t>
  </si>
  <si>
    <t>07-08-2023 04:00</t>
  </si>
  <si>
    <t>07-08-2023 05:00</t>
  </si>
  <si>
    <t>07-08-2023 06:00</t>
  </si>
  <si>
    <t>07-08-2023 07:00</t>
  </si>
  <si>
    <t>07-08-2023 08:00</t>
  </si>
  <si>
    <t>07-08-2023 09:00</t>
  </si>
  <si>
    <t>07-08-2023 10:00</t>
  </si>
  <si>
    <t>07-08-2023 11:00</t>
  </si>
  <si>
    <t>07-08-2023 12:00</t>
  </si>
  <si>
    <t>07-08-2023 13:00</t>
  </si>
  <si>
    <t>07-08-2023 14:00</t>
  </si>
  <si>
    <t>07-08-2023 15:00</t>
  </si>
  <si>
    <t>07-08-2023 16:00</t>
  </si>
  <si>
    <t>07-08-2023 17:00</t>
  </si>
  <si>
    <t>07-08-2023 18:00</t>
  </si>
  <si>
    <t>07-08-2023 19:00</t>
  </si>
  <si>
    <t>07-08-2023 20:00</t>
  </si>
  <si>
    <t>07-08-2023 21:00</t>
  </si>
  <si>
    <t>07-08-2023 22:00</t>
  </si>
  <si>
    <t>07-08-2023 23:00</t>
  </si>
  <si>
    <t>07-08-2023 24:00</t>
  </si>
  <si>
    <t>08-08-2023 01:00</t>
  </si>
  <si>
    <t>08-08-2023 02:00</t>
  </si>
  <si>
    <t>08-08-2023 03:00</t>
  </si>
  <si>
    <t>08-08-2023 04:00</t>
  </si>
  <si>
    <t>08-08-2023 05:00</t>
  </si>
  <si>
    <t>08-08-2023 06:00</t>
  </si>
  <si>
    <t>08-08-2023 07:00</t>
  </si>
  <si>
    <t>08-08-2023 08:00</t>
  </si>
  <si>
    <t>08-08-2023 09:00</t>
  </si>
  <si>
    <t>08-08-2023 10:00</t>
  </si>
  <si>
    <t>08-08-2023 11:00</t>
  </si>
  <si>
    <t>08-08-2023 12:00</t>
  </si>
  <si>
    <t>08-08-2023 13:00</t>
  </si>
  <si>
    <t>08-08-2023 14:00</t>
  </si>
  <si>
    <t>08-08-2023 15:00</t>
  </si>
  <si>
    <t>08-08-2023 16:00</t>
  </si>
  <si>
    <t>08-08-2023 17:00</t>
  </si>
  <si>
    <t>08-08-2023 18:00</t>
  </si>
  <si>
    <t>08-08-2023 19:00</t>
  </si>
  <si>
    <t>08-08-2023 20:00</t>
  </si>
  <si>
    <t>08-08-2023 21:00</t>
  </si>
  <si>
    <t>08-08-2023 22:00</t>
  </si>
  <si>
    <t>08-08-2023 23:00</t>
  </si>
  <si>
    <t>08-08-2023 24:00</t>
  </si>
  <si>
    <t>09-08-2023 01:00</t>
  </si>
  <si>
    <t>09-08-2023 02:00</t>
  </si>
  <si>
    <t>09-08-2023 03:00</t>
  </si>
  <si>
    <t>09-08-2023 04:00</t>
  </si>
  <si>
    <t>09-08-2023 05:00</t>
  </si>
  <si>
    <t>09-08-2023 06:00</t>
  </si>
  <si>
    <t>09-08-2023 07:00</t>
  </si>
  <si>
    <t>09-08-2023 08:00</t>
  </si>
  <si>
    <t>09-08-2023 09:00</t>
  </si>
  <si>
    <t>09-08-2023 10:00</t>
  </si>
  <si>
    <t>09-08-2023 11:00</t>
  </si>
  <si>
    <t>09-08-2023 12:00</t>
  </si>
  <si>
    <t>09-08-2023 13:00</t>
  </si>
  <si>
    <t>09-08-2023 14:00</t>
  </si>
  <si>
    <t>09-08-2023 15:00</t>
  </si>
  <si>
    <t>09-08-2023 16:00</t>
  </si>
  <si>
    <t>09-08-2023 17:00</t>
  </si>
  <si>
    <t>09-08-2023 18:00</t>
  </si>
  <si>
    <t>09-08-2023 19:00</t>
  </si>
  <si>
    <t>09-08-2023 20:00</t>
  </si>
  <si>
    <t>09-08-2023 21:00</t>
  </si>
  <si>
    <t>09-08-2023 22:00</t>
  </si>
  <si>
    <t>09-08-2023 23:00</t>
  </si>
  <si>
    <t>09-08-2023 24:00</t>
  </si>
  <si>
    <t>10-08-2023 01:00</t>
  </si>
  <si>
    <t>10-08-2023 02:00</t>
  </si>
  <si>
    <t>10-08-2023 03:00</t>
  </si>
  <si>
    <t>10-08-2023 04:00</t>
  </si>
  <si>
    <t>10-08-2023 05:00</t>
  </si>
  <si>
    <t>10-08-2023 06:00</t>
  </si>
  <si>
    <t>10-08-2023 07:00</t>
  </si>
  <si>
    <t>10-08-2023 08:00</t>
  </si>
  <si>
    <t>10-08-2023 09:00</t>
  </si>
  <si>
    <t>10-08-2023 10:00</t>
  </si>
  <si>
    <t>10-08-2023 11:00</t>
  </si>
  <si>
    <t>10-08-2023 12:00</t>
  </si>
  <si>
    <t>10-08-2023 13:00</t>
  </si>
  <si>
    <t>10-08-2023 14:00</t>
  </si>
  <si>
    <t>10-08-2023 15:00</t>
  </si>
  <si>
    <t>10-08-2023 16:00</t>
  </si>
  <si>
    <t>10-08-2023 17:00</t>
  </si>
  <si>
    <t>10-08-2023 18:00</t>
  </si>
  <si>
    <t>10-08-2023 19:00</t>
  </si>
  <si>
    <t>10-08-2023 20:00</t>
  </si>
  <si>
    <t>10-08-2023 21:00</t>
  </si>
  <si>
    <t>10-08-2023 22:00</t>
  </si>
  <si>
    <t>10-08-2023 23:00</t>
  </si>
  <si>
    <t>10-08-2023 24:00</t>
  </si>
  <si>
    <t>11-08-2023 01:00</t>
  </si>
  <si>
    <t>11-08-2023 02:00</t>
  </si>
  <si>
    <t>11-08-2023 03:00</t>
  </si>
  <si>
    <t>11-08-2023 04:00</t>
  </si>
  <si>
    <t>11-08-2023 05:00</t>
  </si>
  <si>
    <t>11-08-2023 06:00</t>
  </si>
  <si>
    <t>11-08-2023 07:00</t>
  </si>
  <si>
    <t>11-08-2023 08:00</t>
  </si>
  <si>
    <t>11-08-2023 09:00</t>
  </si>
  <si>
    <t>11-08-2023 10:00</t>
  </si>
  <si>
    <t>11-08-2023 11:00</t>
  </si>
  <si>
    <t>11-08-2023 12:00</t>
  </si>
  <si>
    <t>11-08-2023 13:00</t>
  </si>
  <si>
    <t>11-08-2023 14:00</t>
  </si>
  <si>
    <t>11-08-2023 15:00</t>
  </si>
  <si>
    <t>11-08-2023 16:00</t>
  </si>
  <si>
    <t>11-08-2023 17:00</t>
  </si>
  <si>
    <t>11-08-2023 18:00</t>
  </si>
  <si>
    <t>11-08-2023 19:00</t>
  </si>
  <si>
    <t>11-08-2023 20:00</t>
  </si>
  <si>
    <t>11-08-2023 21:00</t>
  </si>
  <si>
    <t>11-08-2023 22:00</t>
  </si>
  <si>
    <t>11-08-2023 23:00</t>
  </si>
  <si>
    <t>11-08-2023 24:00</t>
  </si>
  <si>
    <t>12-08-2023 01:00</t>
  </si>
  <si>
    <t>12-08-2023 02:00</t>
  </si>
  <si>
    <t>12-08-2023 03:00</t>
  </si>
  <si>
    <t>12-08-2023 04:00</t>
  </si>
  <si>
    <t>12-08-2023 05:00</t>
  </si>
  <si>
    <t>12-08-2023 06:00</t>
  </si>
  <si>
    <t>12-08-2023 07:00</t>
  </si>
  <si>
    <t>12-08-2023 08:00</t>
  </si>
  <si>
    <t>12-08-2023 09:00</t>
  </si>
  <si>
    <t>12-08-2023 10:00</t>
  </si>
  <si>
    <t>12-08-2023 11:00</t>
  </si>
  <si>
    <t>12-08-2023 12:00</t>
  </si>
  <si>
    <t>12-08-2023 13:00</t>
  </si>
  <si>
    <t>12-08-2023 14:00</t>
  </si>
  <si>
    <t>12-08-2023 15:00</t>
  </si>
  <si>
    <t>12-08-2023 16:00</t>
  </si>
  <si>
    <t>12-08-2023 17:00</t>
  </si>
  <si>
    <t>12-08-2023 18:00</t>
  </si>
  <si>
    <t>12-08-2023 19:00</t>
  </si>
  <si>
    <t>12-08-2023 20:00</t>
  </si>
  <si>
    <t>12-08-2023 21:00</t>
  </si>
  <si>
    <t>12-08-2023 22:00</t>
  </si>
  <si>
    <t>12-08-2023 23:00</t>
  </si>
  <si>
    <t>12-08-2023 24:00</t>
  </si>
  <si>
    <t>13-08-2023 01:00</t>
  </si>
  <si>
    <t>13-08-2023 02:00</t>
  </si>
  <si>
    <t>13-08-2023 03:00</t>
  </si>
  <si>
    <t>13-08-2023 04:00</t>
  </si>
  <si>
    <t>13-08-2023 05:00</t>
  </si>
  <si>
    <t>13-08-2023 06:00</t>
  </si>
  <si>
    <t>13-08-2023 07:00</t>
  </si>
  <si>
    <t>13-08-2023 08:00</t>
  </si>
  <si>
    <t>13-08-2023 09:00</t>
  </si>
  <si>
    <t>13-08-2023 10:00</t>
  </si>
  <si>
    <t>13-08-2023 11:00</t>
  </si>
  <si>
    <t>13-08-2023 12:00</t>
  </si>
  <si>
    <t>13-08-2023 13:00</t>
  </si>
  <si>
    <t>13-08-2023 14:00</t>
  </si>
  <si>
    <t>13-08-2023 15:00</t>
  </si>
  <si>
    <t>13-08-2023 16:00</t>
  </si>
  <si>
    <t>13-08-2023 17:00</t>
  </si>
  <si>
    <t>13-08-2023 18:00</t>
  </si>
  <si>
    <t>13-08-2023 19:00</t>
  </si>
  <si>
    <t>13-08-2023 20:00</t>
  </si>
  <si>
    <t>13-08-2023 21:00</t>
  </si>
  <si>
    <t>13-08-2023 22:00</t>
  </si>
  <si>
    <t>13-08-2023 23:00</t>
  </si>
  <si>
    <t>13-08-2023 24:00</t>
  </si>
  <si>
    <t>14-08-2023 01:00</t>
  </si>
  <si>
    <t>14-08-2023 02:00</t>
  </si>
  <si>
    <t>14-08-2023 03:00</t>
  </si>
  <si>
    <t>14-08-2023 04:00</t>
  </si>
  <si>
    <t>14-08-2023 05:00</t>
  </si>
  <si>
    <t>14-08-2023 06:00</t>
  </si>
  <si>
    <t>14-08-2023 07:00</t>
  </si>
  <si>
    <t>14-08-2023 08:00</t>
  </si>
  <si>
    <t>14-08-2023 09:00</t>
  </si>
  <si>
    <t>14-08-2023 10:00</t>
  </si>
  <si>
    <t>14-08-2023 11:00</t>
  </si>
  <si>
    <t>14-08-2023 12:00</t>
  </si>
  <si>
    <t>14-08-2023 13:00</t>
  </si>
  <si>
    <t>14-08-2023 14:00</t>
  </si>
  <si>
    <t>14-08-2023 15:00</t>
  </si>
  <si>
    <t>14-08-2023 16:00</t>
  </si>
  <si>
    <t>14-08-2023 17:00</t>
  </si>
  <si>
    <t>14-08-2023 18:00</t>
  </si>
  <si>
    <t>14-08-2023 19:00</t>
  </si>
  <si>
    <t>14-08-2023 20:00</t>
  </si>
  <si>
    <t>14-08-2023 21:00</t>
  </si>
  <si>
    <t>14-08-2023 22:00</t>
  </si>
  <si>
    <t>14-08-2023 23:00</t>
  </si>
  <si>
    <t>14-08-2023 24:00</t>
  </si>
  <si>
    <t>15-08-2023 01:00</t>
  </si>
  <si>
    <t>15-08-2023 02:00</t>
  </si>
  <si>
    <t>15-08-2023 03:00</t>
  </si>
  <si>
    <t>15-08-2023 04:00</t>
  </si>
  <si>
    <t>15-08-2023 05:00</t>
  </si>
  <si>
    <t>15-08-2023 06:00</t>
  </si>
  <si>
    <t>15-08-2023 07:00</t>
  </si>
  <si>
    <t>15-08-2023 08:00</t>
  </si>
  <si>
    <t>15-08-2023 09:00</t>
  </si>
  <si>
    <t>15-08-2023 10:00</t>
  </si>
  <si>
    <t>15-08-2023 11:00</t>
  </si>
  <si>
    <t>15-08-2023 12:00</t>
  </si>
  <si>
    <t>15-08-2023 13:00</t>
  </si>
  <si>
    <t>15-08-2023 14:00</t>
  </si>
  <si>
    <t>15-08-2023 15:00</t>
  </si>
  <si>
    <t>15-08-2023 16:00</t>
  </si>
  <si>
    <t>15-08-2023 17:00</t>
  </si>
  <si>
    <t>15-08-2023 18:00</t>
  </si>
  <si>
    <t>15-08-2023 19:00</t>
  </si>
  <si>
    <t>15-08-2023 20:00</t>
  </si>
  <si>
    <t>15-08-2023 21:00</t>
  </si>
  <si>
    <t>15-08-2023 22:00</t>
  </si>
  <si>
    <t>15-08-2023 23:00</t>
  </si>
  <si>
    <t>15-08-2023 24:00</t>
  </si>
  <si>
    <t>16-08-2023 01:00</t>
  </si>
  <si>
    <t>16-08-2023 02:00</t>
  </si>
  <si>
    <t>16-08-2023 03:00</t>
  </si>
  <si>
    <t>16-08-2023 04:00</t>
  </si>
  <si>
    <t>16-08-2023 05:00</t>
  </si>
  <si>
    <t>16-08-2023 06:00</t>
  </si>
  <si>
    <t>16-08-2023 07:00</t>
  </si>
  <si>
    <t>16-08-2023 08:00</t>
  </si>
  <si>
    <t>16-08-2023 09:00</t>
  </si>
  <si>
    <t>16-08-2023 10:00</t>
  </si>
  <si>
    <t>16-08-2023 11:00</t>
  </si>
  <si>
    <t>16-08-2023 12:00</t>
  </si>
  <si>
    <t>16-08-2023 13:00</t>
  </si>
  <si>
    <t>16-08-2023 14:00</t>
  </si>
  <si>
    <t>16-08-2023 15:00</t>
  </si>
  <si>
    <t>16-08-2023 16:00</t>
  </si>
  <si>
    <t>16-08-2023 17:00</t>
  </si>
  <si>
    <t>16-08-2023 18:00</t>
  </si>
  <si>
    <t>16-08-2023 19:00</t>
  </si>
  <si>
    <t>16-08-2023 20:00</t>
  </si>
  <si>
    <t>16-08-2023 21:00</t>
  </si>
  <si>
    <t>16-08-2023 22:00</t>
  </si>
  <si>
    <t>16-08-2023 23:00</t>
  </si>
  <si>
    <t>16-08-2023 24:00</t>
  </si>
  <si>
    <t>17-08-2023 01:00</t>
  </si>
  <si>
    <t>17-08-2023 02:00</t>
  </si>
  <si>
    <t>17-08-2023 03:00</t>
  </si>
  <si>
    <t>17-08-2023 04:00</t>
  </si>
  <si>
    <t>17-08-2023 05:00</t>
  </si>
  <si>
    <t>17-08-2023 06:00</t>
  </si>
  <si>
    <t>17-08-2023 07:00</t>
  </si>
  <si>
    <t>17-08-2023 08:00</t>
  </si>
  <si>
    <t>17-08-2023 09:00</t>
  </si>
  <si>
    <t>17-08-2023 10:00</t>
  </si>
  <si>
    <t>17-08-2023 11:00</t>
  </si>
  <si>
    <t>17-08-2023 12:00</t>
  </si>
  <si>
    <t>17-08-2023 13:00</t>
  </si>
  <si>
    <t>17-08-2023 14:00</t>
  </si>
  <si>
    <t>17-08-2023 15:00</t>
  </si>
  <si>
    <t>17-08-2023 16:00</t>
  </si>
  <si>
    <t>17-08-2023 17:00</t>
  </si>
  <si>
    <t>17-08-2023 18:00</t>
  </si>
  <si>
    <t>17-08-2023 19:00</t>
  </si>
  <si>
    <t>17-08-2023 20:00</t>
  </si>
  <si>
    <t>17-08-2023 21:00</t>
  </si>
  <si>
    <t>17-08-2023 22:00</t>
  </si>
  <si>
    <t>17-08-2023 23:00</t>
  </si>
  <si>
    <t>17-08-2023 24:00</t>
  </si>
  <si>
    <t>18-08-2023 01:00</t>
  </si>
  <si>
    <t>18-08-2023 02:00</t>
  </si>
  <si>
    <t>18-08-2023 03:00</t>
  </si>
  <si>
    <t>18-08-2023 04:00</t>
  </si>
  <si>
    <t>18-08-2023 05:00</t>
  </si>
  <si>
    <t>18-08-2023 06:00</t>
  </si>
  <si>
    <t>18-08-2023 07:00</t>
  </si>
  <si>
    <t>18-08-2023 08:00</t>
  </si>
  <si>
    <t>18-08-2023 09:00</t>
  </si>
  <si>
    <t>18-08-2023 10:00</t>
  </si>
  <si>
    <t>18-08-2023 11:00</t>
  </si>
  <si>
    <t>18-08-2023 12:00</t>
  </si>
  <si>
    <t>18-08-2023 13:00</t>
  </si>
  <si>
    <t>18-08-2023 14:00</t>
  </si>
  <si>
    <t>18-08-2023 15:00</t>
  </si>
  <si>
    <t>18-08-2023 16:00</t>
  </si>
  <si>
    <t>18-08-2023 17:00</t>
  </si>
  <si>
    <t>18-08-2023 18:00</t>
  </si>
  <si>
    <t>18-08-2023 19:00</t>
  </si>
  <si>
    <t>18-08-2023 20:00</t>
  </si>
  <si>
    <t>18-08-2023 21:00</t>
  </si>
  <si>
    <t>18-08-2023 22:00</t>
  </si>
  <si>
    <t>18-08-2023 23:00</t>
  </si>
  <si>
    <t>18-08-2023 24:00</t>
  </si>
  <si>
    <t>19-08-2023 01:00</t>
  </si>
  <si>
    <t>19-08-2023 02:00</t>
  </si>
  <si>
    <t>19-08-2023 03:00</t>
  </si>
  <si>
    <t>19-08-2023 04:00</t>
  </si>
  <si>
    <t>19-08-2023 05:00</t>
  </si>
  <si>
    <t>19-08-2023 06:00</t>
  </si>
  <si>
    <t>19-08-2023 07:00</t>
  </si>
  <si>
    <t>19-08-2023 08:00</t>
  </si>
  <si>
    <t>19-08-2023 09:00</t>
  </si>
  <si>
    <t>19-08-2023 10:00</t>
  </si>
  <si>
    <t>19-08-2023 11:00</t>
  </si>
  <si>
    <t>19-08-2023 12:00</t>
  </si>
  <si>
    <t>19-08-2023 13:00</t>
  </si>
  <si>
    <t>19-08-2023 14:00</t>
  </si>
  <si>
    <t>19-08-2023 15:00</t>
  </si>
  <si>
    <t>19-08-2023 16:00</t>
  </si>
  <si>
    <t>19-08-2023 17:00</t>
  </si>
  <si>
    <t>19-08-2023 18:00</t>
  </si>
  <si>
    <t>19-08-2023 19:00</t>
  </si>
  <si>
    <t>19-08-2023 20:00</t>
  </si>
  <si>
    <t>19-08-2023 21:00</t>
  </si>
  <si>
    <t>19-08-2023 22:00</t>
  </si>
  <si>
    <t>19-08-2023 23:00</t>
  </si>
  <si>
    <t>19-08-2023 24:00</t>
  </si>
  <si>
    <t>20-08-2023 01:00</t>
  </si>
  <si>
    <t>20-08-2023 02:00</t>
  </si>
  <si>
    <t>20-08-2023 03:00</t>
  </si>
  <si>
    <t>20-08-2023 04:00</t>
  </si>
  <si>
    <t>20-08-2023 05:00</t>
  </si>
  <si>
    <t>20-08-2023 06:00</t>
  </si>
  <si>
    <t>20-08-2023 07:00</t>
  </si>
  <si>
    <t>20-08-2023 08:00</t>
  </si>
  <si>
    <t>20-08-2023 09:00</t>
  </si>
  <si>
    <t>20-08-2023 10:00</t>
  </si>
  <si>
    <t>20-08-2023 11:00</t>
  </si>
  <si>
    <t>20-08-2023 12:00</t>
  </si>
  <si>
    <t>20-08-2023 13:00</t>
  </si>
  <si>
    <t>20-08-2023 14:00</t>
  </si>
  <si>
    <t>20-08-2023 15:00</t>
  </si>
  <si>
    <t>20-08-2023 16:00</t>
  </si>
  <si>
    <t>20-08-2023 17:00</t>
  </si>
  <si>
    <t>20-08-2023 18:00</t>
  </si>
  <si>
    <t>20-08-2023 19:00</t>
  </si>
  <si>
    <t>20-08-2023 20:00</t>
  </si>
  <si>
    <t>20-08-2023 21:00</t>
  </si>
  <si>
    <t>20-08-2023 22:00</t>
  </si>
  <si>
    <t>20-08-2023 23:00</t>
  </si>
  <si>
    <t>20-08-2023 24:00</t>
  </si>
  <si>
    <t>21-08-2023 01:00</t>
  </si>
  <si>
    <t>21-08-2023 02:00</t>
  </si>
  <si>
    <t>21-08-2023 03:00</t>
  </si>
  <si>
    <t>21-08-2023 04:00</t>
  </si>
  <si>
    <t>21-08-2023 05:00</t>
  </si>
  <si>
    <t>21-08-2023 06:00</t>
  </si>
  <si>
    <t>21-08-2023 07:00</t>
  </si>
  <si>
    <t>21-08-2023 08:00</t>
  </si>
  <si>
    <t>21-08-2023 09:00</t>
  </si>
  <si>
    <t>21-08-2023 10:00</t>
  </si>
  <si>
    <t>21-08-2023 11:00</t>
  </si>
  <si>
    <t>21-08-2023 12:00</t>
  </si>
  <si>
    <t>21-08-2023 13:00</t>
  </si>
  <si>
    <t>21-08-2023 14:00</t>
  </si>
  <si>
    <t>21-08-2023 15:00</t>
  </si>
  <si>
    <t>21-08-2023 16:00</t>
  </si>
  <si>
    <t>21-08-2023 17:00</t>
  </si>
  <si>
    <t>21-08-2023 18:00</t>
  </si>
  <si>
    <t>21-08-2023 19:00</t>
  </si>
  <si>
    <t>21-08-2023 20:00</t>
  </si>
  <si>
    <t>21-08-2023 21:00</t>
  </si>
  <si>
    <t>21-08-2023 22:00</t>
  </si>
  <si>
    <t>21-08-2023 23:00</t>
  </si>
  <si>
    <t>21-08-2023 24:00</t>
  </si>
  <si>
    <t>22-08-2023 01:00</t>
  </si>
  <si>
    <t>22-08-2023 02:00</t>
  </si>
  <si>
    <t>22-08-2023 03:00</t>
  </si>
  <si>
    <t>22-08-2023 04:00</t>
  </si>
  <si>
    <t>22-08-2023 05:00</t>
  </si>
  <si>
    <t>22-08-2023 06:00</t>
  </si>
  <si>
    <t>22-08-2023 07:00</t>
  </si>
  <si>
    <t>22-08-2023 08:00</t>
  </si>
  <si>
    <t>22-08-2023 09:00</t>
  </si>
  <si>
    <t>22-08-2023 10:00</t>
  </si>
  <si>
    <t>22-08-2023 11:00</t>
  </si>
  <si>
    <t>22-08-2023 12:00</t>
  </si>
  <si>
    <t>22-08-2023 13:00</t>
  </si>
  <si>
    <t>22-08-2023 14:00</t>
  </si>
  <si>
    <t>22-08-2023 15:00</t>
  </si>
  <si>
    <t>22-08-2023 16:00</t>
  </si>
  <si>
    <t>22-08-2023 17:00</t>
  </si>
  <si>
    <t>22-08-2023 18:00</t>
  </si>
  <si>
    <t>22-08-2023 19:00</t>
  </si>
  <si>
    <t>22-08-2023 20:00</t>
  </si>
  <si>
    <t>22-08-2023 21:00</t>
  </si>
  <si>
    <t>22-08-2023 22:00</t>
  </si>
  <si>
    <t>22-08-2023 23:00</t>
  </si>
  <si>
    <t>22-08-2023 24:00</t>
  </si>
  <si>
    <t>23-08-2023 01:00</t>
  </si>
  <si>
    <t>23-08-2023 02:00</t>
  </si>
  <si>
    <t>23-08-2023 03:00</t>
  </si>
  <si>
    <t>23-08-2023 04:00</t>
  </si>
  <si>
    <t>23-08-2023 05:00</t>
  </si>
  <si>
    <t>23-08-2023 06:00</t>
  </si>
  <si>
    <t>23-08-2023 07:00</t>
  </si>
  <si>
    <t>23-08-2023 08:00</t>
  </si>
  <si>
    <t>23-08-2023 09:00</t>
  </si>
  <si>
    <t>23-08-2023 10:00</t>
  </si>
  <si>
    <t>23-08-2023 11:00</t>
  </si>
  <si>
    <t>23-08-2023 12:00</t>
  </si>
  <si>
    <t>23-08-2023 13:00</t>
  </si>
  <si>
    <t>23-08-2023 14:00</t>
  </si>
  <si>
    <t>23-08-2023 15:00</t>
  </si>
  <si>
    <t>23-08-2023 16:00</t>
  </si>
  <si>
    <t>23-08-2023 17:00</t>
  </si>
  <si>
    <t>23-08-2023 18:00</t>
  </si>
  <si>
    <t>23-08-2023 19:00</t>
  </si>
  <si>
    <t>23-08-2023 20:00</t>
  </si>
  <si>
    <t>23-08-2023 21:00</t>
  </si>
  <si>
    <t>23-08-2023 22:00</t>
  </si>
  <si>
    <t>23-08-2023 23:00</t>
  </si>
  <si>
    <t>23-08-2023 24:00</t>
  </si>
  <si>
    <t>24-08-2023 01:00</t>
  </si>
  <si>
    <t>24-08-2023 02:00</t>
  </si>
  <si>
    <t>24-08-2023 03:00</t>
  </si>
  <si>
    <t>24-08-2023 04:00</t>
  </si>
  <si>
    <t>24-08-2023 05:00</t>
  </si>
  <si>
    <t>24-08-2023 06:00</t>
  </si>
  <si>
    <t>24-08-2023 07:00</t>
  </si>
  <si>
    <t>24-08-2023 08:00</t>
  </si>
  <si>
    <t>24-08-2023 09:00</t>
  </si>
  <si>
    <t>24-08-2023 10:00</t>
  </si>
  <si>
    <t>24-08-2023 11:00</t>
  </si>
  <si>
    <t>24-08-2023 12:00</t>
  </si>
  <si>
    <t>24-08-2023 13:00</t>
  </si>
  <si>
    <t>24-08-2023 14:00</t>
  </si>
  <si>
    <t>24-08-2023 15:00</t>
  </si>
  <si>
    <t>24-08-2023 16:00</t>
  </si>
  <si>
    <t>24-08-2023 17:00</t>
  </si>
  <si>
    <t>24-08-2023 18:00</t>
  </si>
  <si>
    <t>24-08-2023 19:00</t>
  </si>
  <si>
    <t>24-08-2023 20:00</t>
  </si>
  <si>
    <t>24-08-2023 21:00</t>
  </si>
  <si>
    <t>24-08-2023 22:00</t>
  </si>
  <si>
    <t>24-08-2023 23:00</t>
  </si>
  <si>
    <t>24-08-2023 24:00</t>
  </si>
  <si>
    <t>25-08-2023 01:00</t>
  </si>
  <si>
    <t>25-08-2023 02:00</t>
  </si>
  <si>
    <t>25-08-2023 03:00</t>
  </si>
  <si>
    <t>25-08-2023 04:00</t>
  </si>
  <si>
    <t>25-08-2023 05:00</t>
  </si>
  <si>
    <t>25-08-2023 06:00</t>
  </si>
  <si>
    <t>25-08-2023 07:00</t>
  </si>
  <si>
    <t>25-08-2023 08:00</t>
  </si>
  <si>
    <t>25-08-2023 09:00</t>
  </si>
  <si>
    <t>25-08-2023 10:00</t>
  </si>
  <si>
    <t>25-08-2023 11:00</t>
  </si>
  <si>
    <t>25-08-2023 12:00</t>
  </si>
  <si>
    <t>25-08-2023 13:00</t>
  </si>
  <si>
    <t>25-08-2023 14:00</t>
  </si>
  <si>
    <t>25-08-2023 15:00</t>
  </si>
  <si>
    <t>25-08-2023 16:00</t>
  </si>
  <si>
    <t>25-08-2023 17:00</t>
  </si>
  <si>
    <t>25-08-2023 18:00</t>
  </si>
  <si>
    <t>25-08-2023 19:00</t>
  </si>
  <si>
    <t>25-08-2023 20:00</t>
  </si>
  <si>
    <t>25-08-2023 21:00</t>
  </si>
  <si>
    <t>25-08-2023 22:00</t>
  </si>
  <si>
    <t>25-08-2023 23:00</t>
  </si>
  <si>
    <t>25-08-2023 24:00</t>
  </si>
  <si>
    <t>26-08-2023 01:00</t>
  </si>
  <si>
    <t>26-08-2023 02:00</t>
  </si>
  <si>
    <t>26-08-2023 03:00</t>
  </si>
  <si>
    <t>26-08-2023 04:00</t>
  </si>
  <si>
    <t>26-08-2023 05:00</t>
  </si>
  <si>
    <t>26-08-2023 06:00</t>
  </si>
  <si>
    <t>26-08-2023 07:00</t>
  </si>
  <si>
    <t>26-08-2023 08:00</t>
  </si>
  <si>
    <t>26-08-2023 09:00</t>
  </si>
  <si>
    <t>26-08-2023 10:00</t>
  </si>
  <si>
    <t>26-08-2023 11:00</t>
  </si>
  <si>
    <t>26-08-2023 12:00</t>
  </si>
  <si>
    <t>26-08-2023 13:00</t>
  </si>
  <si>
    <t>26-08-2023 14:00</t>
  </si>
  <si>
    <t>26-08-2023 15:00</t>
  </si>
  <si>
    <t>26-08-2023 16:00</t>
  </si>
  <si>
    <t>26-08-2023 17:00</t>
  </si>
  <si>
    <t>26-08-2023 18:00</t>
  </si>
  <si>
    <t>26-08-2023 19:00</t>
  </si>
  <si>
    <t>26-08-2023 20:00</t>
  </si>
  <si>
    <t>26-08-2023 21:00</t>
  </si>
  <si>
    <t>26-08-2023 22:00</t>
  </si>
  <si>
    <t>26-08-2023 23:00</t>
  </si>
  <si>
    <t>26-08-2023 24:00</t>
  </si>
  <si>
    <t>27-08-2023 01:00</t>
  </si>
  <si>
    <t>27-08-2023 02:00</t>
  </si>
  <si>
    <t>27-08-2023 03:00</t>
  </si>
  <si>
    <t>27-08-2023 04:00</t>
  </si>
  <si>
    <t>27-08-2023 05:00</t>
  </si>
  <si>
    <t>27-08-2023 06:00</t>
  </si>
  <si>
    <t>27-08-2023 07:00</t>
  </si>
  <si>
    <t>27-08-2023 08:00</t>
  </si>
  <si>
    <t>27-08-2023 09:00</t>
  </si>
  <si>
    <t>27-08-2023 10:00</t>
  </si>
  <si>
    <t>27-08-2023 11:00</t>
  </si>
  <si>
    <t>27-08-2023 12:00</t>
  </si>
  <si>
    <t>27-08-2023 13:00</t>
  </si>
  <si>
    <t>27-08-2023 14:00</t>
  </si>
  <si>
    <t>27-08-2023 15:00</t>
  </si>
  <si>
    <t>27-08-2023 16:00</t>
  </si>
  <si>
    <t>27-08-2023 17:00</t>
  </si>
  <si>
    <t>27-08-2023 18:00</t>
  </si>
  <si>
    <t>27-08-2023 19:00</t>
  </si>
  <si>
    <t>27-08-2023 20:00</t>
  </si>
  <si>
    <t>27-08-2023 21:00</t>
  </si>
  <si>
    <t>27-08-2023 22:00</t>
  </si>
  <si>
    <t>27-08-2023 23:00</t>
  </si>
  <si>
    <t>27-08-2023 24:00</t>
  </si>
  <si>
    <t>28-08-2023 01:00</t>
  </si>
  <si>
    <t>28-08-2023 02:00</t>
  </si>
  <si>
    <t>28-08-2023 03:00</t>
  </si>
  <si>
    <t>28-08-2023 04:00</t>
  </si>
  <si>
    <t>28-08-2023 05:00</t>
  </si>
  <si>
    <t>28-08-2023 06:00</t>
  </si>
  <si>
    <t>28-08-2023 07:00</t>
  </si>
  <si>
    <t>28-08-2023 08:00</t>
  </si>
  <si>
    <t>28-08-2023 09:00</t>
  </si>
  <si>
    <t>28-08-2023 10:00</t>
  </si>
  <si>
    <t>28-08-2023 11:00</t>
  </si>
  <si>
    <t>28-08-2023 12:00</t>
  </si>
  <si>
    <t>28-08-2023 13:00</t>
  </si>
  <si>
    <t>28-08-2023 14:00</t>
  </si>
  <si>
    <t>28-08-2023 15:00</t>
  </si>
  <si>
    <t>28-08-2023 16:00</t>
  </si>
  <si>
    <t>28-08-2023 17:00</t>
  </si>
  <si>
    <t>28-08-2023 18:00</t>
  </si>
  <si>
    <t>28-08-2023 19:00</t>
  </si>
  <si>
    <t>28-08-2023 20:00</t>
  </si>
  <si>
    <t>28-08-2023 21:00</t>
  </si>
  <si>
    <t>28-08-2023 22:00</t>
  </si>
  <si>
    <t>28-08-2023 23:00</t>
  </si>
  <si>
    <t>28-08-2023 24:00</t>
  </si>
  <si>
    <t>29-08-2023 01:00</t>
  </si>
  <si>
    <t>29-08-2023 02:00</t>
  </si>
  <si>
    <t>29-08-2023 03:00</t>
  </si>
  <si>
    <t>29-08-2023 04:00</t>
  </si>
  <si>
    <t>29-08-2023 05:00</t>
  </si>
  <si>
    <t>29-08-2023 06:00</t>
  </si>
  <si>
    <t>29-08-2023 07:00</t>
  </si>
  <si>
    <t>29-08-2023 08:00</t>
  </si>
  <si>
    <t>29-08-2023 09:00</t>
  </si>
  <si>
    <t>29-08-2023 10:00</t>
  </si>
  <si>
    <t>29-08-2023 11:00</t>
  </si>
  <si>
    <t>29-08-2023 12:00</t>
  </si>
  <si>
    <t>29-08-2023 13:00</t>
  </si>
  <si>
    <t>29-08-2023 14:00</t>
  </si>
  <si>
    <t>29-08-2023 15:00</t>
  </si>
  <si>
    <t>29-08-2023 16:00</t>
  </si>
  <si>
    <t>29-08-2023 17:00</t>
  </si>
  <si>
    <t>29-08-2023 18:00</t>
  </si>
  <si>
    <t>29-08-2023 19:00</t>
  </si>
  <si>
    <t>29-08-2023 20:00</t>
  </si>
  <si>
    <t>29-08-2023 21:00</t>
  </si>
  <si>
    <t>29-08-2023 22:00</t>
  </si>
  <si>
    <t>29-08-2023 23:00</t>
  </si>
  <si>
    <t>29-08-2023 24:00</t>
  </si>
  <si>
    <t>30-08-2023 01:00</t>
  </si>
  <si>
    <t>30-08-2023 02:00</t>
  </si>
  <si>
    <t>30-08-2023 03:00</t>
  </si>
  <si>
    <t>30-08-2023 04:00</t>
  </si>
  <si>
    <t>30-08-2023 05:00</t>
  </si>
  <si>
    <t>30-08-2023 06:00</t>
  </si>
  <si>
    <t>30-08-2023 07:00</t>
  </si>
  <si>
    <t>30-08-2023 08:00</t>
  </si>
  <si>
    <t>30-08-2023 09:00</t>
  </si>
  <si>
    <t>30-08-2023 10:00</t>
  </si>
  <si>
    <t>30-08-2023 11:00</t>
  </si>
  <si>
    <t>30-08-2023 12:00</t>
  </si>
  <si>
    <t>30-08-2023 13:00</t>
  </si>
  <si>
    <t>30-08-2023 14:00</t>
  </si>
  <si>
    <t>30-08-2023 15:00</t>
  </si>
  <si>
    <t>30-08-2023 16:00</t>
  </si>
  <si>
    <t>30-08-2023 17:00</t>
  </si>
  <si>
    <t>30-08-2023 18:00</t>
  </si>
  <si>
    <t>30-08-2023 19:00</t>
  </si>
  <si>
    <t>30-08-2023 20:00</t>
  </si>
  <si>
    <t>30-08-2023 21:00</t>
  </si>
  <si>
    <t>30-08-2023 22:00</t>
  </si>
  <si>
    <t>30-08-2023 23:00</t>
  </si>
  <si>
    <t>30-08-2023 24:00</t>
  </si>
  <si>
    <t>31-08-2023 01:00</t>
  </si>
  <si>
    <t>31-08-2023 02:00</t>
  </si>
  <si>
    <t>31-08-2023 03:00</t>
  </si>
  <si>
    <t>31-08-2023 04:00</t>
  </si>
  <si>
    <t>31-08-2023 05:00</t>
  </si>
  <si>
    <t>31-08-2023 06:00</t>
  </si>
  <si>
    <t>31-08-2023 07:00</t>
  </si>
  <si>
    <t>31-08-2023 08:00</t>
  </si>
  <si>
    <t>31-08-2023 09:00</t>
  </si>
  <si>
    <t>31-08-2023 10:00</t>
  </si>
  <si>
    <t>31-08-2023 11:00</t>
  </si>
  <si>
    <t>31-08-2023 12:00</t>
  </si>
  <si>
    <t>31-08-2023 13:00</t>
  </si>
  <si>
    <t>31-08-2023 14:00</t>
  </si>
  <si>
    <t>31-08-2023 15:00</t>
  </si>
  <si>
    <t>31-08-2023 16:00</t>
  </si>
  <si>
    <t>31-08-2023 17:00</t>
  </si>
  <si>
    <t>31-08-2023 18:00</t>
  </si>
  <si>
    <t>31-08-2023 19:00</t>
  </si>
  <si>
    <t>31-08-2023 20:00</t>
  </si>
  <si>
    <t>31-08-2023 21:00</t>
  </si>
  <si>
    <t>31-08-2023 22:00</t>
  </si>
  <si>
    <t>31-08-2023 23:00</t>
  </si>
  <si>
    <t>31-08-2023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</si>
</sst>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28" Type="http://schemas.openxmlformats.org/officeDocument/2006/relationships/worksheet" Target="worksheets/sheet2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29" Type="http://schemas.openxmlformats.org/officeDocument/2006/relationships/worksheet" Target="worksheets/sheet27.xml" /><Relationship Id="rId26" Type="http://schemas.openxmlformats.org/officeDocument/2006/relationships/worksheet" Target="worksheets/sheet24.xml" /><Relationship Id="rId31" Type="http://schemas.openxmlformats.org/officeDocument/2006/relationships/worksheet" Target="worksheets/sheet29.xml" /><Relationship Id="rId21" Type="http://schemas.openxmlformats.org/officeDocument/2006/relationships/worksheet" Target="worksheets/sheet19.xml" /><Relationship Id="rId27" Type="http://schemas.openxmlformats.org/officeDocument/2006/relationships/worksheet" Target="worksheets/sheet25.xml" /><Relationship Id="rId8" Type="http://schemas.openxmlformats.org/officeDocument/2006/relationships/worksheet" Target="worksheets/sheet6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17" Type="http://schemas.openxmlformats.org/officeDocument/2006/relationships/worksheet" Target="worksheets/sheet15.xml" /><Relationship Id="rId35" Type="http://schemas.openxmlformats.org/officeDocument/2006/relationships/sharedStrings" Target="sharedStrings.xml" /><Relationship Id="rId22" Type="http://schemas.openxmlformats.org/officeDocument/2006/relationships/worksheet" Target="worksheets/sheet20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3" Type="http://schemas.openxmlformats.org/officeDocument/2006/relationships/worksheet" Target="worksheets/sheet21.xml" /><Relationship Id="rId20" Type="http://schemas.openxmlformats.org/officeDocument/2006/relationships/worksheet" Target="worksheets/sheet18.xml" /><Relationship Id="rId33" Type="http://schemas.openxmlformats.org/officeDocument/2006/relationships/worksheet" Target="worksheets/sheet31.xml" /><Relationship Id="rId11" Type="http://schemas.openxmlformats.org/officeDocument/2006/relationships/worksheet" Target="worksheets/sheet9.xml" /><Relationship Id="rId34" Type="http://schemas.openxmlformats.org/officeDocument/2006/relationships/worksheet" Target="worksheets/sheet32.xml" /><Relationship Id="rId36" Type="http://schemas.openxmlformats.org/officeDocument/2006/relationships/calcChain" Target="calcChain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2" Type="http://schemas.openxmlformats.org/officeDocument/2006/relationships/worksheet" Target="worksheets/sheet30.xml" /><Relationship Id="rId30" Type="http://schemas.openxmlformats.org/officeDocument/2006/relationships/worksheet" Target="worksheets/sheet28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4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705a93-4490-4cc2-93de-b3398805ac25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H64" sqref="H64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7.61</v>
      </c>
      <c r="C9" s="54">
        <v>22.02</v>
      </c>
      <c r="D9" s="54">
        <v>18.899999999999999</v>
      </c>
      <c r="E9" s="54">
        <v>1.57</v>
      </c>
      <c r="F9" s="54">
        <v>6.82</v>
      </c>
      <c r="G9" s="54">
        <v>37.880000000000003</v>
      </c>
      <c r="H9" s="54">
        <v>15</v>
      </c>
      <c r="I9" s="55" t="s">
        <v>15</v>
      </c>
      <c r="J9" s="54">
        <v>0.25</v>
      </c>
      <c r="K9" s="54">
        <v>41.96</v>
      </c>
      <c r="L9" s="54">
        <v>24.08</v>
      </c>
      <c r="M9" s="54">
        <v>95.76</v>
      </c>
      <c r="N9" s="54">
        <v>38.700000000000003</v>
      </c>
      <c r="O9" s="54">
        <v>0</v>
      </c>
      <c r="P9" s="54">
        <v>0.56000000000000005</v>
      </c>
      <c r="Q9" s="54">
        <v>16.66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6.89</v>
      </c>
      <c r="C10" s="54">
        <v>20.63</v>
      </c>
      <c r="D10" s="54">
        <v>17.48</v>
      </c>
      <c r="E10" s="54">
        <v>1.47</v>
      </c>
      <c r="F10" s="54">
        <v>4.18</v>
      </c>
      <c r="G10" s="54">
        <v>32.76</v>
      </c>
      <c r="H10" s="54">
        <v>15.46</v>
      </c>
      <c r="I10" s="55" t="s">
        <v>15</v>
      </c>
      <c r="J10" s="54">
        <v>0.25</v>
      </c>
      <c r="K10" s="54">
        <v>44.53</v>
      </c>
      <c r="L10" s="54">
        <v>24.29</v>
      </c>
      <c r="M10" s="54">
        <v>95.81</v>
      </c>
      <c r="N10" s="54">
        <v>38.700000000000003</v>
      </c>
      <c r="O10" s="54">
        <v>0</v>
      </c>
      <c r="P10" s="54">
        <v>0.48</v>
      </c>
      <c r="Q10" s="54">
        <v>16.53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6.37</v>
      </c>
      <c r="C11" s="54">
        <v>22.83</v>
      </c>
      <c r="D11" s="54">
        <v>18.13</v>
      </c>
      <c r="E11" s="54">
        <v>1.43</v>
      </c>
      <c r="F11" s="54">
        <v>3.81</v>
      </c>
      <c r="G11" s="54">
        <v>21.93</v>
      </c>
      <c r="H11" s="54">
        <v>12.26</v>
      </c>
      <c r="I11" s="55" t="s">
        <v>15</v>
      </c>
      <c r="J11" s="54">
        <v>0.27</v>
      </c>
      <c r="K11" s="54">
        <v>42.46</v>
      </c>
      <c r="L11" s="54">
        <v>24.33</v>
      </c>
      <c r="M11" s="54">
        <v>94.41</v>
      </c>
      <c r="N11" s="54">
        <v>38.700000000000003</v>
      </c>
      <c r="O11" s="54">
        <v>0</v>
      </c>
      <c r="P11" s="54">
        <v>0.45</v>
      </c>
      <c r="Q11" s="54">
        <v>15.33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6.73</v>
      </c>
      <c r="C12" s="54">
        <v>24.69</v>
      </c>
      <c r="D12" s="54">
        <v>19.13</v>
      </c>
      <c r="E12" s="54">
        <v>1.72</v>
      </c>
      <c r="F12" s="54">
        <v>3.58</v>
      </c>
      <c r="G12" s="54">
        <v>22.89</v>
      </c>
      <c r="H12" s="54">
        <v>9.5500000000000007</v>
      </c>
      <c r="I12" s="55" t="s">
        <v>15</v>
      </c>
      <c r="J12" s="54">
        <v>0.33</v>
      </c>
      <c r="K12" s="54">
        <v>42.02</v>
      </c>
      <c r="L12" s="54">
        <v>24.20</v>
      </c>
      <c r="M12" s="54">
        <v>97.24</v>
      </c>
      <c r="N12" s="54">
        <v>38.40</v>
      </c>
      <c r="O12" s="54">
        <v>0.20</v>
      </c>
      <c r="P12" s="54">
        <v>0.55000000000000004</v>
      </c>
      <c r="Q12" s="54">
        <v>16.579999999999998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7.15</v>
      </c>
      <c r="C13" s="54">
        <v>23.98</v>
      </c>
      <c r="D13" s="54">
        <v>19.62</v>
      </c>
      <c r="E13" s="54">
        <v>1.75</v>
      </c>
      <c r="F13" s="54">
        <v>3.25</v>
      </c>
      <c r="G13" s="54">
        <v>22.36</v>
      </c>
      <c r="H13" s="54">
        <v>10.78</v>
      </c>
      <c r="I13" s="55" t="s">
        <v>15</v>
      </c>
      <c r="J13" s="54">
        <v>0.62</v>
      </c>
      <c r="K13" s="54">
        <v>358.80</v>
      </c>
      <c r="L13" s="54">
        <v>23.90</v>
      </c>
      <c r="M13" s="54">
        <v>97.26</v>
      </c>
      <c r="N13" s="54">
        <v>38.799999999999997</v>
      </c>
      <c r="O13" s="54">
        <v>0.40</v>
      </c>
      <c r="P13" s="54">
        <v>0.54</v>
      </c>
      <c r="Q13" s="54">
        <v>16.600000000000001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6.57</v>
      </c>
      <c r="C14" s="54">
        <v>23.05</v>
      </c>
      <c r="D14" s="54">
        <v>18.64</v>
      </c>
      <c r="E14" s="54">
        <v>1.32</v>
      </c>
      <c r="F14" s="54">
        <v>3.29</v>
      </c>
      <c r="G14" s="54">
        <v>20.72</v>
      </c>
      <c r="H14" s="54">
        <v>13.32</v>
      </c>
      <c r="I14" s="55" t="s">
        <v>15</v>
      </c>
      <c r="J14" s="54">
        <v>0.37</v>
      </c>
      <c r="K14" s="54">
        <v>38.90</v>
      </c>
      <c r="L14" s="54">
        <v>22.96</v>
      </c>
      <c r="M14" s="54">
        <v>97.28</v>
      </c>
      <c r="N14" s="54">
        <v>46.5</v>
      </c>
      <c r="O14" s="54">
        <v>0.80</v>
      </c>
      <c r="P14" s="54">
        <v>0.42</v>
      </c>
      <c r="Q14" s="54">
        <v>15.43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10.64</v>
      </c>
      <c r="C15" s="54">
        <v>22.72</v>
      </c>
      <c r="D15" s="54">
        <v>20.95</v>
      </c>
      <c r="E15" s="54">
        <v>1.49</v>
      </c>
      <c r="F15" s="54">
        <v>3.66</v>
      </c>
      <c r="G15" s="54">
        <v>19</v>
      </c>
      <c r="H15" s="54">
        <v>12.29</v>
      </c>
      <c r="I15" s="55" t="s">
        <v>15</v>
      </c>
      <c r="J15" s="54">
        <v>0.33</v>
      </c>
      <c r="K15" s="54">
        <v>350.64</v>
      </c>
      <c r="L15" s="54">
        <v>23.73</v>
      </c>
      <c r="M15" s="54">
        <v>97.28</v>
      </c>
      <c r="N15" s="54">
        <v>119.40</v>
      </c>
      <c r="O15" s="54">
        <v>0</v>
      </c>
      <c r="P15" s="54">
        <v>0.43</v>
      </c>
      <c r="Q15" s="54">
        <v>16.59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12.65</v>
      </c>
      <c r="C16" s="54">
        <v>20.74</v>
      </c>
      <c r="D16" s="54">
        <v>22.23</v>
      </c>
      <c r="E16" s="54">
        <v>1.62</v>
      </c>
      <c r="F16" s="54">
        <v>3.35</v>
      </c>
      <c r="G16" s="54">
        <v>20.71</v>
      </c>
      <c r="H16" s="54">
        <v>13.23</v>
      </c>
      <c r="I16" s="55" t="s">
        <v>15</v>
      </c>
      <c r="J16" s="54">
        <v>0.32</v>
      </c>
      <c r="K16" s="54">
        <v>31.73</v>
      </c>
      <c r="L16" s="54">
        <v>24.28</v>
      </c>
      <c r="M16" s="54">
        <v>97.25</v>
      </c>
      <c r="N16" s="54">
        <v>141.5</v>
      </c>
      <c r="O16" s="54">
        <v>0</v>
      </c>
      <c r="P16" s="54">
        <v>0.41</v>
      </c>
      <c r="Q16" s="54">
        <v>15.84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19.600000000000001</v>
      </c>
      <c r="C17" s="54">
        <v>23.70</v>
      </c>
      <c r="D17" s="54">
        <v>29.44</v>
      </c>
      <c r="E17" s="54">
        <v>1.18</v>
      </c>
      <c r="F17" s="54">
        <v>3.55</v>
      </c>
      <c r="G17" s="54">
        <v>23.74</v>
      </c>
      <c r="H17" s="54">
        <v>15.07</v>
      </c>
      <c r="I17" s="55" t="s">
        <v>15</v>
      </c>
      <c r="J17" s="54">
        <v>0.32</v>
      </c>
      <c r="K17" s="54">
        <v>12.22</v>
      </c>
      <c r="L17" s="54">
        <v>24.68</v>
      </c>
      <c r="M17" s="54">
        <v>94.75</v>
      </c>
      <c r="N17" s="54">
        <v>149.40</v>
      </c>
      <c r="O17" s="54">
        <v>0</v>
      </c>
      <c r="P17" s="54">
        <v>0.48</v>
      </c>
      <c r="Q17" s="54">
        <v>15.58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17.98</v>
      </c>
      <c r="C18" s="54">
        <v>23.55</v>
      </c>
      <c r="D18" s="54">
        <v>27.92</v>
      </c>
      <c r="E18" s="54">
        <v>1.31</v>
      </c>
      <c r="F18" s="54">
        <v>4.3099999999999996</v>
      </c>
      <c r="G18" s="54">
        <v>33.26</v>
      </c>
      <c r="H18" s="54">
        <v>14.59</v>
      </c>
      <c r="I18" s="55" t="s">
        <v>15</v>
      </c>
      <c r="J18" s="54">
        <v>0.36</v>
      </c>
      <c r="K18" s="54">
        <v>359.21</v>
      </c>
      <c r="L18" s="54">
        <v>25.23</v>
      </c>
      <c r="M18" s="54">
        <v>91.44</v>
      </c>
      <c r="N18" s="54">
        <v>207.60</v>
      </c>
      <c r="O18" s="54">
        <v>0</v>
      </c>
      <c r="P18" s="54">
        <v>0.52</v>
      </c>
      <c r="Q18" s="54">
        <v>16.940000000000001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17.59</v>
      </c>
      <c r="C19" s="54">
        <v>22.92</v>
      </c>
      <c r="D19" s="54">
        <v>27.33</v>
      </c>
      <c r="E19" s="54">
        <v>1.55</v>
      </c>
      <c r="F19" s="54">
        <v>3.09</v>
      </c>
      <c r="G19" s="54">
        <v>37.26</v>
      </c>
      <c r="H19" s="54">
        <v>15.10</v>
      </c>
      <c r="I19" s="55" t="s">
        <v>15</v>
      </c>
      <c r="J19" s="54">
        <v>0.57999999999999996</v>
      </c>
      <c r="K19" s="54">
        <v>354.91</v>
      </c>
      <c r="L19" s="54">
        <v>25.57</v>
      </c>
      <c r="M19" s="54">
        <v>91.85</v>
      </c>
      <c r="N19" s="54">
        <v>195.90</v>
      </c>
      <c r="O19" s="54">
        <v>0.40</v>
      </c>
      <c r="P19" s="54">
        <v>0.52</v>
      </c>
      <c r="Q19" s="54">
        <v>15.94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17.239999999999998</v>
      </c>
      <c r="C20" s="54">
        <v>23.49</v>
      </c>
      <c r="D20" s="54">
        <v>27.05</v>
      </c>
      <c r="E20" s="54">
        <v>1.29</v>
      </c>
      <c r="F20" s="54">
        <v>4.51</v>
      </c>
      <c r="G20" s="54">
        <v>37.28</v>
      </c>
      <c r="H20" s="54">
        <v>16.38</v>
      </c>
      <c r="I20" s="55" t="s">
        <v>15</v>
      </c>
      <c r="J20" s="54">
        <v>0.30</v>
      </c>
      <c r="K20" s="54">
        <v>353.42</v>
      </c>
      <c r="L20" s="54">
        <v>24.34</v>
      </c>
      <c r="M20" s="54">
        <v>97.25</v>
      </c>
      <c r="N20" s="54">
        <v>234.20</v>
      </c>
      <c r="O20" s="54">
        <v>0.60</v>
      </c>
      <c r="P20" s="54">
        <v>0.53</v>
      </c>
      <c r="Q20" s="54">
        <v>15.67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19.579999999999998</v>
      </c>
      <c r="C21" s="54">
        <v>25.63</v>
      </c>
      <c r="D21" s="54">
        <v>30.5</v>
      </c>
      <c r="E21" s="54">
        <v>0.93</v>
      </c>
      <c r="F21" s="54">
        <v>4.82</v>
      </c>
      <c r="G21" s="54">
        <v>32.450000000000003</v>
      </c>
      <c r="H21" s="54">
        <v>16.32</v>
      </c>
      <c r="I21" s="55" t="s">
        <v>15</v>
      </c>
      <c r="J21" s="54">
        <v>0.26</v>
      </c>
      <c r="K21" s="54">
        <v>35.71</v>
      </c>
      <c r="L21" s="54">
        <v>25.14</v>
      </c>
      <c r="M21" s="54">
        <v>96.35</v>
      </c>
      <c r="N21" s="54">
        <v>290.10000000000002</v>
      </c>
      <c r="O21" s="54">
        <v>0</v>
      </c>
      <c r="P21" s="54">
        <v>0.54</v>
      </c>
      <c r="Q21" s="54">
        <v>16.850000000000001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17.149999999999999</v>
      </c>
      <c r="C22" s="54">
        <v>25.96</v>
      </c>
      <c r="D22" s="54">
        <v>28.73</v>
      </c>
      <c r="E22" s="54">
        <v>0.94</v>
      </c>
      <c r="F22" s="54">
        <v>3.79</v>
      </c>
      <c r="G22" s="54">
        <v>29.46</v>
      </c>
      <c r="H22" s="54">
        <v>15.47</v>
      </c>
      <c r="I22" s="55" t="s">
        <v>15</v>
      </c>
      <c r="J22" s="54">
        <v>0.33</v>
      </c>
      <c r="K22" s="54">
        <v>27.55</v>
      </c>
      <c r="L22" s="54">
        <v>25.61</v>
      </c>
      <c r="M22" s="54">
        <v>92.41</v>
      </c>
      <c r="N22" s="54">
        <v>258.60000000000002</v>
      </c>
      <c r="O22" s="54">
        <v>0</v>
      </c>
      <c r="P22" s="54">
        <v>0.69</v>
      </c>
      <c r="Q22" s="54">
        <v>15.69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15.72</v>
      </c>
      <c r="C23" s="54">
        <v>27.51</v>
      </c>
      <c r="D23" s="54">
        <v>27.68</v>
      </c>
      <c r="E23" s="54">
        <v>0.89</v>
      </c>
      <c r="F23" s="54">
        <v>5.82</v>
      </c>
      <c r="G23" s="54">
        <v>39.119999999999997</v>
      </c>
      <c r="H23" s="54">
        <v>17.5</v>
      </c>
      <c r="I23" s="55" t="s">
        <v>15</v>
      </c>
      <c r="J23" s="54">
        <v>0.28999999999999998</v>
      </c>
      <c r="K23" s="54">
        <v>28.52</v>
      </c>
      <c r="L23" s="54">
        <v>26.39</v>
      </c>
      <c r="M23" s="54">
        <v>89.26</v>
      </c>
      <c r="N23" s="54">
        <v>314</v>
      </c>
      <c r="O23" s="54">
        <v>0</v>
      </c>
      <c r="P23" s="54">
        <v>0.95</v>
      </c>
      <c r="Q23" s="54">
        <v>16.97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16.12</v>
      </c>
      <c r="C24" s="54">
        <v>28.42</v>
      </c>
      <c r="D24" s="54">
        <v>28.54</v>
      </c>
      <c r="E24" s="54">
        <v>1.34</v>
      </c>
      <c r="F24" s="54">
        <v>7.36</v>
      </c>
      <c r="G24" s="54">
        <v>52.11</v>
      </c>
      <c r="H24" s="54">
        <v>20.59</v>
      </c>
      <c r="I24" s="55" t="s">
        <v>15</v>
      </c>
      <c r="J24" s="54">
        <v>0.26</v>
      </c>
      <c r="K24" s="54">
        <v>41.34</v>
      </c>
      <c r="L24" s="54">
        <v>25.91</v>
      </c>
      <c r="M24" s="54">
        <v>87.49</v>
      </c>
      <c r="N24" s="54">
        <v>265.30</v>
      </c>
      <c r="O24" s="54">
        <v>0</v>
      </c>
      <c r="P24" s="54">
        <v>1.03</v>
      </c>
      <c r="Q24" s="54">
        <v>17.09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13.16</v>
      </c>
      <c r="C25" s="54">
        <v>27.96</v>
      </c>
      <c r="D25" s="54">
        <v>25.98</v>
      </c>
      <c r="E25" s="54">
        <v>0.60</v>
      </c>
      <c r="F25" s="54">
        <v>3.86</v>
      </c>
      <c r="G25" s="54">
        <v>52.67</v>
      </c>
      <c r="H25" s="54">
        <v>22.37</v>
      </c>
      <c r="I25" s="55" t="s">
        <v>15</v>
      </c>
      <c r="J25" s="54">
        <v>0.37</v>
      </c>
      <c r="K25" s="54">
        <v>36.479999999999997</v>
      </c>
      <c r="L25" s="54">
        <v>26.16</v>
      </c>
      <c r="M25" s="54">
        <v>86.62</v>
      </c>
      <c r="N25" s="54">
        <v>248.40</v>
      </c>
      <c r="O25" s="54">
        <v>0</v>
      </c>
      <c r="P25" s="54">
        <v>0.82</v>
      </c>
      <c r="Q25" s="54">
        <v>15.87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9.92</v>
      </c>
      <c r="C26" s="54">
        <v>29.33</v>
      </c>
      <c r="D26" s="54">
        <v>24.78</v>
      </c>
      <c r="E26" s="54">
        <v>0.02</v>
      </c>
      <c r="F26" s="54">
        <v>7.60</v>
      </c>
      <c r="G26" s="54">
        <v>52.51</v>
      </c>
      <c r="H26" s="54">
        <v>24.08</v>
      </c>
      <c r="I26" s="55" t="s">
        <v>15</v>
      </c>
      <c r="J26" s="54">
        <v>0.35</v>
      </c>
      <c r="K26" s="54">
        <v>38.68</v>
      </c>
      <c r="L26" s="54">
        <v>25.55</v>
      </c>
      <c r="M26" s="54">
        <v>90.30</v>
      </c>
      <c r="N26" s="54">
        <v>98.80</v>
      </c>
      <c r="O26" s="54">
        <v>0</v>
      </c>
      <c r="P26" s="54">
        <v>0.76</v>
      </c>
      <c r="Q26" s="54">
        <v>16.420000000000002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11.80</v>
      </c>
      <c r="C27" s="54">
        <v>29.22</v>
      </c>
      <c r="D27" s="54">
        <v>26.24</v>
      </c>
      <c r="E27" s="54">
        <v>0.43</v>
      </c>
      <c r="F27" s="54">
        <v>6.07</v>
      </c>
      <c r="G27" s="54">
        <v>51.36</v>
      </c>
      <c r="H27" s="54">
        <v>18.30</v>
      </c>
      <c r="I27" s="55" t="s">
        <v>15</v>
      </c>
      <c r="J27" s="54">
        <v>0.32</v>
      </c>
      <c r="K27" s="54">
        <v>39.090000000000003</v>
      </c>
      <c r="L27" s="54">
        <v>25.26</v>
      </c>
      <c r="M27" s="54">
        <v>90.88</v>
      </c>
      <c r="N27" s="54">
        <v>53.10</v>
      </c>
      <c r="O27" s="54">
        <v>0</v>
      </c>
      <c r="P27" s="54">
        <v>0.73</v>
      </c>
      <c r="Q27" s="54">
        <v>16.920000000000002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8.4600000000000009</v>
      </c>
      <c r="C28" s="54">
        <v>27.72</v>
      </c>
      <c r="D28" s="54">
        <v>22.57</v>
      </c>
      <c r="E28" s="54">
        <v>0.32</v>
      </c>
      <c r="F28" s="54">
        <v>3.57</v>
      </c>
      <c r="G28" s="54">
        <v>50.79</v>
      </c>
      <c r="H28" s="54">
        <v>18.96</v>
      </c>
      <c r="I28" s="55" t="s">
        <v>15</v>
      </c>
      <c r="J28" s="54">
        <v>0.32</v>
      </c>
      <c r="K28" s="54">
        <v>44.43</v>
      </c>
      <c r="L28" s="54">
        <v>25.12</v>
      </c>
      <c r="M28" s="54">
        <v>91.55</v>
      </c>
      <c r="N28" s="54">
        <v>39.40</v>
      </c>
      <c r="O28" s="54">
        <v>0</v>
      </c>
      <c r="P28" s="54">
        <v>0.69</v>
      </c>
      <c r="Q28" s="54">
        <v>15.49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10.27</v>
      </c>
      <c r="C29" s="54">
        <v>29.89</v>
      </c>
      <c r="D29" s="54">
        <v>25.38</v>
      </c>
      <c r="E29" s="54">
        <v>1.1599999999999999</v>
      </c>
      <c r="F29" s="54">
        <v>6.87</v>
      </c>
      <c r="G29" s="54">
        <v>46.61</v>
      </c>
      <c r="H29" s="54">
        <v>17.20</v>
      </c>
      <c r="I29" s="55" t="s">
        <v>15</v>
      </c>
      <c r="J29" s="54">
        <v>0.18</v>
      </c>
      <c r="K29" s="54">
        <v>46.27</v>
      </c>
      <c r="L29" s="54">
        <v>25.03</v>
      </c>
      <c r="M29" s="54">
        <v>92.56</v>
      </c>
      <c r="N29" s="54">
        <v>39.299999999999997</v>
      </c>
      <c r="O29" s="54">
        <v>0</v>
      </c>
      <c r="P29" s="54">
        <v>0.71</v>
      </c>
      <c r="Q29" s="54">
        <v>16.66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11.28</v>
      </c>
      <c r="C30" s="54">
        <v>26.49</v>
      </c>
      <c r="D30" s="54">
        <v>24.31</v>
      </c>
      <c r="E30" s="54">
        <v>1.59</v>
      </c>
      <c r="F30" s="54">
        <v>8.43</v>
      </c>
      <c r="G30" s="54">
        <v>49.23</v>
      </c>
      <c r="H30" s="54">
        <v>18.079999999999998</v>
      </c>
      <c r="I30" s="55" t="s">
        <v>15</v>
      </c>
      <c r="J30" s="54">
        <v>0.33</v>
      </c>
      <c r="K30" s="54">
        <v>40.86</v>
      </c>
      <c r="L30" s="54">
        <v>24.71</v>
      </c>
      <c r="M30" s="54">
        <v>95.81</v>
      </c>
      <c r="N30" s="54">
        <v>38.799999999999997</v>
      </c>
      <c r="O30" s="54">
        <v>0</v>
      </c>
      <c r="P30" s="54">
        <v>0.65</v>
      </c>
      <c r="Q30" s="54">
        <v>17.73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8.83</v>
      </c>
      <c r="C31" s="54">
        <v>24.35</v>
      </c>
      <c r="D31" s="54">
        <v>20.83</v>
      </c>
      <c r="E31" s="54">
        <v>1.1599999999999999</v>
      </c>
      <c r="F31" s="54">
        <v>3.85</v>
      </c>
      <c r="G31" s="54">
        <v>38.40</v>
      </c>
      <c r="H31" s="54">
        <v>16.16</v>
      </c>
      <c r="I31" s="55" t="s">
        <v>15</v>
      </c>
      <c r="J31" s="54">
        <v>0.36</v>
      </c>
      <c r="K31" s="54">
        <v>45.22</v>
      </c>
      <c r="L31" s="54">
        <v>24.11</v>
      </c>
      <c r="M31" s="54">
        <v>95.22</v>
      </c>
      <c r="N31" s="54">
        <v>38.5</v>
      </c>
      <c r="O31" s="54">
        <v>0.20</v>
      </c>
      <c r="P31" s="54">
        <v>0.59</v>
      </c>
      <c r="Q31" s="54">
        <v>15.74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5.21</v>
      </c>
      <c r="C32" s="54">
        <v>25.59</v>
      </c>
      <c r="D32" s="54">
        <v>18.13</v>
      </c>
      <c r="E32" s="54">
        <v>0.90</v>
      </c>
      <c r="F32" s="54">
        <v>4.70</v>
      </c>
      <c r="G32" s="54">
        <v>24.77</v>
      </c>
      <c r="H32" s="54">
        <v>12.23</v>
      </c>
      <c r="I32" s="55" t="s">
        <v>15</v>
      </c>
      <c r="J32" s="54">
        <v>0.40</v>
      </c>
      <c r="K32" s="54">
        <v>38.659999999999997</v>
      </c>
      <c r="L32" s="54">
        <v>23.55</v>
      </c>
      <c r="M32" s="54">
        <v>94.94</v>
      </c>
      <c r="N32" s="54">
        <v>38.90</v>
      </c>
      <c r="O32" s="54">
        <v>0.20</v>
      </c>
      <c r="P32" s="54">
        <v>0.42</v>
      </c>
      <c r="Q32" s="54">
        <v>15.26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5.21</v>
      </c>
      <c r="C34" s="28">
        <f t="shared" si="0"/>
        <v>20.629999999999999</v>
      </c>
      <c r="D34" s="28">
        <f t="shared" si="0"/>
        <v>17.48</v>
      </c>
      <c r="E34" s="28">
        <f t="shared" si="0"/>
        <v>0.02</v>
      </c>
      <c r="F34" s="28">
        <f t="shared" si="0"/>
        <v>3.0899999999999999</v>
      </c>
      <c r="G34" s="28">
        <f t="shared" si="0"/>
        <v>19</v>
      </c>
      <c r="H34" s="28">
        <f t="shared" si="0"/>
        <v>9.5500000000000007</v>
      </c>
      <c r="I34" s="28">
        <f t="shared" si="0"/>
        <v>0</v>
      </c>
      <c r="J34" s="28">
        <f t="shared" si="0"/>
        <v>0.17999999999999999</v>
      </c>
      <c r="K34" s="28">
        <f t="shared" si="0"/>
        <v>12.220000000000001</v>
      </c>
      <c r="L34" s="28">
        <f t="shared" si="0"/>
        <v>22.960000000000001</v>
      </c>
      <c r="M34" s="28">
        <f t="shared" si="0"/>
        <v>86.620000000000005</v>
      </c>
      <c r="N34" s="28">
        <f t="shared" si="0"/>
        <v>38.399999999999999</v>
      </c>
      <c r="O34" s="28">
        <f t="shared" si="0"/>
        <v>0</v>
      </c>
      <c r="P34" s="28">
        <f t="shared" si="0"/>
        <v>0.40999999999999998</v>
      </c>
      <c r="Q34" s="28">
        <f t="shared" si="0"/>
        <v>15.26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19.600000000000001</v>
      </c>
      <c r="C35" s="29">
        <f t="shared" si="1"/>
        <v>29.890000000000001</v>
      </c>
      <c r="D35" s="29">
        <f t="shared" si="1"/>
        <v>30.5</v>
      </c>
      <c r="E35" s="29">
        <f t="shared" si="1"/>
        <v>1.75</v>
      </c>
      <c r="F35" s="29">
        <f t="shared" si="1"/>
        <v>8.4299999999999997</v>
      </c>
      <c r="G35" s="29">
        <f t="shared" si="1"/>
        <v>52.670000000000002</v>
      </c>
      <c r="H35" s="29">
        <f t="shared" si="1"/>
        <v>24.079999999999998</v>
      </c>
      <c r="I35" s="29">
        <f t="shared" si="1"/>
        <v>0</v>
      </c>
      <c r="J35" s="29">
        <f t="shared" si="1"/>
        <v>0.62</v>
      </c>
      <c r="K35" s="29">
        <f t="shared" si="1"/>
        <v>359.20999999999998</v>
      </c>
      <c r="L35" s="29">
        <f t="shared" si="1"/>
        <v>26.390000000000001</v>
      </c>
      <c r="M35" s="29">
        <f t="shared" si="1"/>
        <v>97.280000000000001</v>
      </c>
      <c r="N35" s="29">
        <f t="shared" si="1"/>
        <v>314</v>
      </c>
      <c r="O35" s="29">
        <f t="shared" si="1"/>
        <v>0.80000000000000004</v>
      </c>
      <c r="P35" s="29">
        <f t="shared" si="1"/>
        <v>1.03</v>
      </c>
      <c r="Q35" s="29">
        <f t="shared" si="1"/>
        <v>17.73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11.854999999999999</v>
      </c>
      <c r="C36" s="28">
        <f t="shared" si="2"/>
        <v>25.099583333333332</v>
      </c>
      <c r="D36" s="28">
        <f t="shared" si="2"/>
        <v>23.770416666666673</v>
      </c>
      <c r="E36" s="28">
        <f t="shared" si="2"/>
        <v>1.1658333333333333</v>
      </c>
      <c r="F36" s="28">
        <f t="shared" si="2"/>
        <v>4.7558333333333334</v>
      </c>
      <c r="G36" s="28">
        <f t="shared" si="2"/>
        <v>35.386249999999997</v>
      </c>
      <c r="H36" s="28">
        <f t="shared" si="2"/>
        <v>15.845416666666667</v>
      </c>
      <c r="I36" s="28" t="e">
        <f t="shared" si="2"/>
        <v>#DIV/0!</v>
      </c>
      <c r="J36" s="28">
        <f t="shared" si="2"/>
        <v>0.33624999999999999</v>
      </c>
      <c r="K36" s="28">
        <f t="shared" si="2"/>
        <v>103.90041666666667</v>
      </c>
      <c r="L36" s="28">
        <f t="shared" si="2"/>
        <v>24.755416666666665</v>
      </c>
      <c r="M36" s="28">
        <f t="shared" si="2"/>
        <v>93.790416666666658</v>
      </c>
      <c r="N36" s="28">
        <f t="shared" si="2"/>
        <v>125.45833333333337</v>
      </c>
      <c r="O36" s="28">
        <f t="shared" si="2"/>
        <v>0.1166666666666667</v>
      </c>
      <c r="P36" s="28">
        <f t="shared" si="2"/>
        <v>0.60291666666666666</v>
      </c>
      <c r="Q36" s="28">
        <f t="shared" si="2"/>
        <v>16.265833333333337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4.6837118316287505</v>
      </c>
      <c r="C37" s="28">
        <f t="shared" si="3" ref="C37:Q37">STDEV(C9:C32)</f>
        <v>2.7192333944741032</v>
      </c>
      <c r="D37" s="28">
        <f t="shared" si="3"/>
        <v>4.211807914161894</v>
      </c>
      <c r="E37" s="28">
        <f t="shared" si="3"/>
        <v>0.45905305809342734</v>
      </c>
      <c r="F37" s="28">
        <f t="shared" si="3"/>
        <v>1.5964659793394926</v>
      </c>
      <c r="G37" s="28">
        <f t="shared" si="3"/>
        <v>11.845826567412596</v>
      </c>
      <c r="H37" s="28">
        <f t="shared" si="3"/>
        <v>3.4866490442789129</v>
      </c>
      <c r="I37" s="28" t="e">
        <f t="shared" si="3"/>
        <v>#DIV/0!</v>
      </c>
      <c r="J37" s="28">
        <f t="shared" si="3"/>
        <v>0.09499713954503633</v>
      </c>
      <c r="K37" s="28">
        <f t="shared" si="3"/>
        <v>131.99378458618443</v>
      </c>
      <c r="L37" s="28">
        <f t="shared" si="3"/>
        <v>0.8668783534672817</v>
      </c>
      <c r="M37" s="28">
        <f t="shared" si="3"/>
        <v>3.2671254206860127</v>
      </c>
      <c r="N37" s="28">
        <f t="shared" si="3"/>
        <v>99.279333269783493</v>
      </c>
      <c r="O37" s="28">
        <f t="shared" si="3"/>
        <v>0.22001317483607494</v>
      </c>
      <c r="P37" s="28">
        <f t="shared" si="3"/>
        <v>0.16669365723481763</v>
      </c>
      <c r="Q37" s="28">
        <f t="shared" si="3"/>
        <v>0.67010652408642368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9baba4-453b-4d21-a1cd-0146c84d6f5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8" sqref="I6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4.08</v>
      </c>
      <c r="C9" s="54">
        <v>25.64</v>
      </c>
      <c r="D9" s="54">
        <v>17.920000000000002</v>
      </c>
      <c r="E9" s="54">
        <v>1.57</v>
      </c>
      <c r="F9" s="54">
        <v>3.45</v>
      </c>
      <c r="G9" s="54">
        <v>20.21</v>
      </c>
      <c r="H9" s="54">
        <v>10.06</v>
      </c>
      <c r="I9" s="55" t="s">
        <v>15</v>
      </c>
      <c r="J9" s="54">
        <v>0.42</v>
      </c>
      <c r="K9" s="54">
        <v>36.840000000000003</v>
      </c>
      <c r="L9" s="54">
        <v>23.54</v>
      </c>
      <c r="M9" s="54">
        <v>97.27</v>
      </c>
      <c r="N9" s="54">
        <v>40.299999999999997</v>
      </c>
      <c r="O9" s="54">
        <v>0.80</v>
      </c>
      <c r="P9" s="54">
        <v>0.42</v>
      </c>
      <c r="Q9" s="54">
        <v>15.72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4.9800000000000004</v>
      </c>
      <c r="C10" s="54">
        <v>25.40</v>
      </c>
      <c r="D10" s="54">
        <v>18.649999999999999</v>
      </c>
      <c r="E10" s="54">
        <v>1.40</v>
      </c>
      <c r="F10" s="54">
        <v>3.06</v>
      </c>
      <c r="G10" s="54">
        <v>24.32</v>
      </c>
      <c r="H10" s="54">
        <v>8.86</v>
      </c>
      <c r="I10" s="55" t="s">
        <v>15</v>
      </c>
      <c r="J10" s="54">
        <v>0.34</v>
      </c>
      <c r="K10" s="54">
        <v>37.33</v>
      </c>
      <c r="L10" s="54">
        <v>22.28</v>
      </c>
      <c r="M10" s="54">
        <v>97.28</v>
      </c>
      <c r="N10" s="54">
        <v>39.40</v>
      </c>
      <c r="O10" s="54">
        <v>0.60</v>
      </c>
      <c r="P10" s="54">
        <v>0.67</v>
      </c>
      <c r="Q10" s="54">
        <v>14.68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5.62</v>
      </c>
      <c r="C11" s="54">
        <v>25.51</v>
      </c>
      <c r="D11" s="54">
        <v>19.11</v>
      </c>
      <c r="E11" s="54">
        <v>1.52</v>
      </c>
      <c r="F11" s="54">
        <v>2.79</v>
      </c>
      <c r="G11" s="54">
        <v>29.61</v>
      </c>
      <c r="H11" s="54">
        <v>9.84</v>
      </c>
      <c r="I11" s="55" t="s">
        <v>15</v>
      </c>
      <c r="J11" s="54">
        <v>0.37</v>
      </c>
      <c r="K11" s="54">
        <v>45.81</v>
      </c>
      <c r="L11" s="54">
        <v>22.45</v>
      </c>
      <c r="M11" s="54">
        <v>97.28</v>
      </c>
      <c r="N11" s="54">
        <v>39.5</v>
      </c>
      <c r="O11" s="54">
        <v>0.20</v>
      </c>
      <c r="P11" s="54">
        <v>0.81</v>
      </c>
      <c r="Q11" s="54">
        <v>16.48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5.69</v>
      </c>
      <c r="C12" s="54">
        <v>24.09</v>
      </c>
      <c r="D12" s="54">
        <v>18.190000000000001</v>
      </c>
      <c r="E12" s="54">
        <v>1.46</v>
      </c>
      <c r="F12" s="54">
        <v>3.21</v>
      </c>
      <c r="G12" s="54">
        <v>24.70</v>
      </c>
      <c r="H12" s="54">
        <v>10.51</v>
      </c>
      <c r="I12" s="55" t="s">
        <v>15</v>
      </c>
      <c r="J12" s="54">
        <v>0.43</v>
      </c>
      <c r="K12" s="54">
        <v>27.11</v>
      </c>
      <c r="L12" s="54">
        <v>22.27</v>
      </c>
      <c r="M12" s="54">
        <v>97.28</v>
      </c>
      <c r="N12" s="54">
        <v>39.40</v>
      </c>
      <c r="O12" s="54">
        <v>0.80</v>
      </c>
      <c r="P12" s="54">
        <v>0.79</v>
      </c>
      <c r="Q12" s="54">
        <v>16.14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6.25</v>
      </c>
      <c r="C13" s="54">
        <v>25.5</v>
      </c>
      <c r="D13" s="54">
        <v>19.73</v>
      </c>
      <c r="E13" s="54">
        <v>0.56999999999999995</v>
      </c>
      <c r="F13" s="54">
        <v>2.95</v>
      </c>
      <c r="G13" s="54">
        <v>21.28</v>
      </c>
      <c r="H13" s="54">
        <v>10.220000000000001</v>
      </c>
      <c r="I13" s="55" t="s">
        <v>15</v>
      </c>
      <c r="J13" s="54">
        <v>0.35</v>
      </c>
      <c r="K13" s="54">
        <v>43.07</v>
      </c>
      <c r="L13" s="54">
        <v>22.22</v>
      </c>
      <c r="M13" s="54">
        <v>97.28</v>
      </c>
      <c r="N13" s="54">
        <v>39.40</v>
      </c>
      <c r="O13" s="54">
        <v>0.60</v>
      </c>
      <c r="P13" s="54">
        <v>0.87</v>
      </c>
      <c r="Q13" s="54">
        <v>14.75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10.90</v>
      </c>
      <c r="C14" s="54">
        <v>25.91</v>
      </c>
      <c r="D14" s="54">
        <v>23.69</v>
      </c>
      <c r="E14" s="54">
        <v>0.71</v>
      </c>
      <c r="F14" s="54">
        <v>2.86</v>
      </c>
      <c r="G14" s="54">
        <v>27.53</v>
      </c>
      <c r="H14" s="54">
        <v>13.12</v>
      </c>
      <c r="I14" s="55" t="s">
        <v>15</v>
      </c>
      <c r="J14" s="54">
        <v>0.28000000000000003</v>
      </c>
      <c r="K14" s="54">
        <v>33.19</v>
      </c>
      <c r="L14" s="54">
        <v>22.35</v>
      </c>
      <c r="M14" s="54">
        <v>97.28</v>
      </c>
      <c r="N14" s="54">
        <v>43</v>
      </c>
      <c r="O14" s="54">
        <v>0.40</v>
      </c>
      <c r="P14" s="54">
        <v>1.35</v>
      </c>
      <c r="Q14" s="54">
        <v>16.73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15.15</v>
      </c>
      <c r="C15" s="54">
        <v>25.14</v>
      </c>
      <c r="D15" s="54">
        <v>26.67</v>
      </c>
      <c r="E15" s="54">
        <v>0.94</v>
      </c>
      <c r="F15" s="54">
        <v>2.99</v>
      </c>
      <c r="G15" s="54">
        <v>35.5</v>
      </c>
      <c r="H15" s="54">
        <v>15.53</v>
      </c>
      <c r="I15" s="55" t="s">
        <v>15</v>
      </c>
      <c r="J15" s="54">
        <v>0.44</v>
      </c>
      <c r="K15" s="54">
        <v>355.60</v>
      </c>
      <c r="L15" s="54">
        <v>22.37</v>
      </c>
      <c r="M15" s="54">
        <v>97.30</v>
      </c>
      <c r="N15" s="54">
        <v>61.90</v>
      </c>
      <c r="O15" s="54">
        <v>1.60</v>
      </c>
      <c r="P15" s="54">
        <v>1.29</v>
      </c>
      <c r="Q15" s="54">
        <v>17.03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17.079999999999998</v>
      </c>
      <c r="C16" s="54">
        <v>23.66</v>
      </c>
      <c r="D16" s="54">
        <v>26.89</v>
      </c>
      <c r="E16" s="54">
        <v>0.96</v>
      </c>
      <c r="F16" s="54">
        <v>2.98</v>
      </c>
      <c r="G16" s="54">
        <v>35.47</v>
      </c>
      <c r="H16" s="54">
        <v>15.98</v>
      </c>
      <c r="I16" s="55" t="s">
        <v>15</v>
      </c>
      <c r="J16" s="54">
        <v>0.38</v>
      </c>
      <c r="K16" s="54">
        <v>352.19</v>
      </c>
      <c r="L16" s="54">
        <v>22.18</v>
      </c>
      <c r="M16" s="54">
        <v>97.30</v>
      </c>
      <c r="N16" s="54">
        <v>90.10</v>
      </c>
      <c r="O16" s="54">
        <v>1.20</v>
      </c>
      <c r="P16" s="54">
        <v>0.90</v>
      </c>
      <c r="Q16" s="54">
        <v>15.52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17.260000000000002</v>
      </c>
      <c r="C17" s="54">
        <v>24.36</v>
      </c>
      <c r="D17" s="54">
        <v>27.77</v>
      </c>
      <c r="E17" s="54">
        <v>1.1200000000000001</v>
      </c>
      <c r="F17" s="54">
        <v>2.79</v>
      </c>
      <c r="G17" s="54">
        <v>29.84</v>
      </c>
      <c r="H17" s="54">
        <v>14.16</v>
      </c>
      <c r="I17" s="55" t="s">
        <v>15</v>
      </c>
      <c r="J17" s="54">
        <v>0.39</v>
      </c>
      <c r="K17" s="54">
        <v>34.72</v>
      </c>
      <c r="L17" s="54">
        <v>22.43</v>
      </c>
      <c r="M17" s="54">
        <v>97.29</v>
      </c>
      <c r="N17" s="54">
        <v>113.90</v>
      </c>
      <c r="O17" s="54">
        <v>0.40</v>
      </c>
      <c r="P17" s="54">
        <v>0.75</v>
      </c>
      <c r="Q17" s="54">
        <v>16.97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20.98</v>
      </c>
      <c r="C18" s="54">
        <v>24.08</v>
      </c>
      <c r="D18" s="54">
        <v>30.62</v>
      </c>
      <c r="E18" s="54">
        <v>1.45</v>
      </c>
      <c r="F18" s="54">
        <v>2.64</v>
      </c>
      <c r="G18" s="54">
        <v>29.60</v>
      </c>
      <c r="H18" s="54">
        <v>15.56</v>
      </c>
      <c r="I18" s="55" t="s">
        <v>15</v>
      </c>
      <c r="J18" s="54">
        <v>0.43</v>
      </c>
      <c r="K18" s="54">
        <v>33.68</v>
      </c>
      <c r="L18" s="54">
        <v>22.43</v>
      </c>
      <c r="M18" s="54">
        <v>97.30</v>
      </c>
      <c r="N18" s="54">
        <v>186.10</v>
      </c>
      <c r="O18" s="54">
        <v>0.80</v>
      </c>
      <c r="P18" s="54">
        <v>1.02</v>
      </c>
      <c r="Q18" s="54">
        <v>16.98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23.64</v>
      </c>
      <c r="C19" s="54">
        <v>24.97</v>
      </c>
      <c r="D19" s="54">
        <v>32.40</v>
      </c>
      <c r="E19" s="54">
        <v>0.97</v>
      </c>
      <c r="F19" s="54">
        <v>2.75</v>
      </c>
      <c r="G19" s="54">
        <v>33.54</v>
      </c>
      <c r="H19" s="54">
        <v>16.71</v>
      </c>
      <c r="I19" s="55" t="s">
        <v>15</v>
      </c>
      <c r="J19" s="54">
        <v>0.48</v>
      </c>
      <c r="K19" s="54">
        <v>34.93</v>
      </c>
      <c r="L19" s="54">
        <v>22.98</v>
      </c>
      <c r="M19" s="54">
        <v>97.27</v>
      </c>
      <c r="N19" s="54">
        <v>266.70</v>
      </c>
      <c r="O19" s="54">
        <v>0.20</v>
      </c>
      <c r="P19" s="54">
        <v>1.39</v>
      </c>
      <c r="Q19" s="54">
        <v>15.99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22.76</v>
      </c>
      <c r="C20" s="54">
        <v>21.13</v>
      </c>
      <c r="D20" s="54">
        <v>30.56</v>
      </c>
      <c r="E20" s="54">
        <v>0.86</v>
      </c>
      <c r="F20" s="54">
        <v>2.11</v>
      </c>
      <c r="G20" s="54">
        <v>34.340000000000003</v>
      </c>
      <c r="H20" s="54">
        <v>18.03</v>
      </c>
      <c r="I20" s="55" t="s">
        <v>15</v>
      </c>
      <c r="J20" s="54">
        <v>0.43</v>
      </c>
      <c r="K20" s="54">
        <v>35.32</v>
      </c>
      <c r="L20" s="54">
        <v>22.89</v>
      </c>
      <c r="M20" s="54">
        <v>97.28</v>
      </c>
      <c r="N20" s="54">
        <v>192.10</v>
      </c>
      <c r="O20" s="54">
        <v>0.60</v>
      </c>
      <c r="P20" s="54">
        <v>1.30</v>
      </c>
      <c r="Q20" s="54">
        <v>16.600000000000001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19.64</v>
      </c>
      <c r="C21" s="54">
        <v>21.59</v>
      </c>
      <c r="D21" s="54">
        <v>27.22</v>
      </c>
      <c r="E21" s="54">
        <v>1.57</v>
      </c>
      <c r="F21" s="54">
        <v>3.18</v>
      </c>
      <c r="G21" s="54">
        <v>30.59</v>
      </c>
      <c r="H21" s="54">
        <v>17.27</v>
      </c>
      <c r="I21" s="55" t="s">
        <v>15</v>
      </c>
      <c r="J21" s="54">
        <v>0.46</v>
      </c>
      <c r="K21" s="54">
        <v>36.71</v>
      </c>
      <c r="L21" s="54">
        <v>22.54</v>
      </c>
      <c r="M21" s="54">
        <v>97.30</v>
      </c>
      <c r="N21" s="54">
        <v>165.80</v>
      </c>
      <c r="O21" s="54">
        <v>1.20</v>
      </c>
      <c r="P21" s="54">
        <v>1.03</v>
      </c>
      <c r="Q21" s="54">
        <v>16.18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18.420000000000002</v>
      </c>
      <c r="C22" s="54">
        <v>23.57</v>
      </c>
      <c r="D22" s="54">
        <v>27.51</v>
      </c>
      <c r="E22" s="54">
        <v>1.81</v>
      </c>
      <c r="F22" s="54">
        <v>2.94</v>
      </c>
      <c r="G22" s="54">
        <v>20.239999999999998</v>
      </c>
      <c r="H22" s="54">
        <v>14.05</v>
      </c>
      <c r="I22" s="55" t="s">
        <v>15</v>
      </c>
      <c r="J22" s="54">
        <v>0.45</v>
      </c>
      <c r="K22" s="54">
        <v>38.97</v>
      </c>
      <c r="L22" s="54">
        <v>22.60</v>
      </c>
      <c r="M22" s="54">
        <v>97.30</v>
      </c>
      <c r="N22" s="54">
        <v>169.30</v>
      </c>
      <c r="O22" s="54">
        <v>0.80</v>
      </c>
      <c r="P22" s="54">
        <v>0.86</v>
      </c>
      <c r="Q22" s="54">
        <v>15.09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18.940000000000001</v>
      </c>
      <c r="C23" s="54">
        <v>24.47</v>
      </c>
      <c r="D23" s="54">
        <v>27.34</v>
      </c>
      <c r="E23" s="54">
        <v>1.47</v>
      </c>
      <c r="F23" s="54">
        <v>3.03</v>
      </c>
      <c r="G23" s="54">
        <v>16.899999999999999</v>
      </c>
      <c r="H23" s="54">
        <v>15.42</v>
      </c>
      <c r="I23" s="55" t="s">
        <v>15</v>
      </c>
      <c r="J23" s="54">
        <v>0.41</v>
      </c>
      <c r="K23" s="54">
        <v>44.99</v>
      </c>
      <c r="L23" s="54">
        <v>22.48</v>
      </c>
      <c r="M23" s="54">
        <v>97.30</v>
      </c>
      <c r="N23" s="54">
        <v>133.80000000000001</v>
      </c>
      <c r="O23" s="54">
        <v>1.40</v>
      </c>
      <c r="P23" s="54">
        <v>0.87</v>
      </c>
      <c r="Q23" s="54">
        <v>16.16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16.309999999999999</v>
      </c>
      <c r="C24" s="54">
        <v>22.88</v>
      </c>
      <c r="D24" s="54">
        <v>26.35</v>
      </c>
      <c r="E24" s="54">
        <v>1.45</v>
      </c>
      <c r="F24" s="54">
        <v>3.41</v>
      </c>
      <c r="G24" s="54">
        <v>20.49</v>
      </c>
      <c r="H24" s="54">
        <v>9.27</v>
      </c>
      <c r="I24" s="55" t="s">
        <v>15</v>
      </c>
      <c r="J24" s="54">
        <v>0.55000000000000004</v>
      </c>
      <c r="K24" s="54">
        <v>36.43</v>
      </c>
      <c r="L24" s="54">
        <v>21.91</v>
      </c>
      <c r="M24" s="54">
        <v>97.30</v>
      </c>
      <c r="N24" s="54">
        <v>123.60</v>
      </c>
      <c r="O24" s="54">
        <v>0.40</v>
      </c>
      <c r="P24" s="54">
        <v>0.75</v>
      </c>
      <c r="Q24" s="54">
        <v>16.329999999999998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12.44</v>
      </c>
      <c r="C25" s="54">
        <v>22.62</v>
      </c>
      <c r="D25" s="54">
        <v>22.80</v>
      </c>
      <c r="E25" s="54">
        <v>0.85</v>
      </c>
      <c r="F25" s="54">
        <v>3.18</v>
      </c>
      <c r="G25" s="54">
        <v>19.670000000000002</v>
      </c>
      <c r="H25" s="54">
        <v>8.35</v>
      </c>
      <c r="I25" s="55" t="s">
        <v>15</v>
      </c>
      <c r="J25" s="54">
        <v>0.47</v>
      </c>
      <c r="K25" s="54">
        <v>41.72</v>
      </c>
      <c r="L25" s="54">
        <v>22.15</v>
      </c>
      <c r="M25" s="54">
        <v>97.28</v>
      </c>
      <c r="N25" s="54">
        <v>115.60</v>
      </c>
      <c r="O25" s="54">
        <v>0</v>
      </c>
      <c r="P25" s="54">
        <v>0.45</v>
      </c>
      <c r="Q25" s="54">
        <v>14.67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11.73</v>
      </c>
      <c r="C26" s="54">
        <v>22.76</v>
      </c>
      <c r="D26" s="54">
        <v>22.61</v>
      </c>
      <c r="E26" s="54">
        <v>0.69</v>
      </c>
      <c r="F26" s="54">
        <v>3.14</v>
      </c>
      <c r="G26" s="54">
        <v>27.90</v>
      </c>
      <c r="H26" s="54">
        <v>11.30</v>
      </c>
      <c r="I26" s="55" t="s">
        <v>15</v>
      </c>
      <c r="J26" s="54">
        <v>0.51</v>
      </c>
      <c r="K26" s="54">
        <v>39.299999999999997</v>
      </c>
      <c r="L26" s="54">
        <v>22.12</v>
      </c>
      <c r="M26" s="54">
        <v>97.28</v>
      </c>
      <c r="N26" s="54">
        <v>62.5</v>
      </c>
      <c r="O26" s="54">
        <v>0.20</v>
      </c>
      <c r="P26" s="54">
        <v>0.38</v>
      </c>
      <c r="Q26" s="54">
        <v>15.96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8.58</v>
      </c>
      <c r="C27" s="54">
        <v>22.11</v>
      </c>
      <c r="D27" s="54">
        <v>19.73</v>
      </c>
      <c r="E27" s="54">
        <v>0.87</v>
      </c>
      <c r="F27" s="54">
        <v>3.76</v>
      </c>
      <c r="G27" s="54">
        <v>25.35</v>
      </c>
      <c r="H27" s="54">
        <v>10.92</v>
      </c>
      <c r="I27" s="55" t="s">
        <v>15</v>
      </c>
      <c r="J27" s="54">
        <v>0.48</v>
      </c>
      <c r="K27" s="54">
        <v>44.27</v>
      </c>
      <c r="L27" s="54">
        <v>21.86</v>
      </c>
      <c r="M27" s="54">
        <v>97.28</v>
      </c>
      <c r="N27" s="54">
        <v>48.10</v>
      </c>
      <c r="O27" s="54">
        <v>0.20</v>
      </c>
      <c r="P27" s="54">
        <v>0.26</v>
      </c>
      <c r="Q27" s="54">
        <v>14.84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7.96</v>
      </c>
      <c r="C28" s="54">
        <v>21.88</v>
      </c>
      <c r="D28" s="54">
        <v>18.920000000000002</v>
      </c>
      <c r="E28" s="54">
        <v>0.85</v>
      </c>
      <c r="F28" s="54">
        <v>3.52</v>
      </c>
      <c r="G28" s="54">
        <v>35.549999999999997</v>
      </c>
      <c r="H28" s="54">
        <v>10.09</v>
      </c>
      <c r="I28" s="55" t="s">
        <v>15</v>
      </c>
      <c r="J28" s="54">
        <v>0.51</v>
      </c>
      <c r="K28" s="54">
        <v>38.93</v>
      </c>
      <c r="L28" s="54">
        <v>21.67</v>
      </c>
      <c r="M28" s="54">
        <v>97.28</v>
      </c>
      <c r="N28" s="54">
        <v>40.90</v>
      </c>
      <c r="O28" s="54">
        <v>1</v>
      </c>
      <c r="P28" s="54">
        <v>0.36</v>
      </c>
      <c r="Q28" s="54">
        <v>14.73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5.98</v>
      </c>
      <c r="C29" s="54">
        <v>22.64</v>
      </c>
      <c r="D29" s="54">
        <v>17.920000000000002</v>
      </c>
      <c r="E29" s="54">
        <v>0.38</v>
      </c>
      <c r="F29" s="54">
        <v>3.93</v>
      </c>
      <c r="G29" s="54">
        <v>26.94</v>
      </c>
      <c r="H29" s="54">
        <v>11.26</v>
      </c>
      <c r="I29" s="55" t="s">
        <v>15</v>
      </c>
      <c r="J29" s="54">
        <v>0.53</v>
      </c>
      <c r="K29" s="54">
        <v>43.03</v>
      </c>
      <c r="L29" s="54">
        <v>21.61</v>
      </c>
      <c r="M29" s="54">
        <v>97.30</v>
      </c>
      <c r="N29" s="54">
        <v>41</v>
      </c>
      <c r="O29" s="54">
        <v>1</v>
      </c>
      <c r="P29" s="54">
        <v>0.36</v>
      </c>
      <c r="Q29" s="54">
        <v>15.69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5.67</v>
      </c>
      <c r="C30" s="54">
        <v>21.54</v>
      </c>
      <c r="D30" s="54">
        <v>17.079999999999998</v>
      </c>
      <c r="E30" s="54">
        <v>0.70</v>
      </c>
      <c r="F30" s="54">
        <v>3.23</v>
      </c>
      <c r="G30" s="54">
        <v>22.93</v>
      </c>
      <c r="H30" s="54">
        <v>8.24</v>
      </c>
      <c r="I30" s="55" t="s">
        <v>15</v>
      </c>
      <c r="J30" s="54">
        <v>0.52</v>
      </c>
      <c r="K30" s="54">
        <v>43.33</v>
      </c>
      <c r="L30" s="54">
        <v>21.45</v>
      </c>
      <c r="M30" s="54">
        <v>97.30</v>
      </c>
      <c r="N30" s="54">
        <v>41</v>
      </c>
      <c r="O30" s="54">
        <v>1.20</v>
      </c>
      <c r="P30" s="54">
        <v>0.32</v>
      </c>
      <c r="Q30" s="54">
        <v>14.52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5.24</v>
      </c>
      <c r="C31" s="54">
        <v>22.84</v>
      </c>
      <c r="D31" s="54">
        <v>16.80</v>
      </c>
      <c r="E31" s="54">
        <v>0.28000000000000003</v>
      </c>
      <c r="F31" s="54">
        <v>3.46</v>
      </c>
      <c r="G31" s="54">
        <v>19.93</v>
      </c>
      <c r="H31" s="54">
        <v>6.17</v>
      </c>
      <c r="I31" s="55" t="s">
        <v>15</v>
      </c>
      <c r="J31" s="54">
        <v>0.55000000000000004</v>
      </c>
      <c r="K31" s="54">
        <v>43.20</v>
      </c>
      <c r="L31" s="54">
        <v>21.42</v>
      </c>
      <c r="M31" s="54">
        <v>97.30</v>
      </c>
      <c r="N31" s="54">
        <v>41</v>
      </c>
      <c r="O31" s="54">
        <v>0.80</v>
      </c>
      <c r="P31" s="54">
        <v>0.28999999999999998</v>
      </c>
      <c r="Q31" s="54">
        <v>14.42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4.32</v>
      </c>
      <c r="C32" s="54">
        <v>22.91</v>
      </c>
      <c r="D32" s="54">
        <v>16.579999999999998</v>
      </c>
      <c r="E32" s="54">
        <v>0.92</v>
      </c>
      <c r="F32" s="54">
        <v>3.81</v>
      </c>
      <c r="G32" s="54">
        <v>16.53</v>
      </c>
      <c r="H32" s="54">
        <v>6.13</v>
      </c>
      <c r="I32" s="55" t="s">
        <v>15</v>
      </c>
      <c r="J32" s="54">
        <v>0.55000000000000004</v>
      </c>
      <c r="K32" s="54">
        <v>47.62</v>
      </c>
      <c r="L32" s="54">
        <v>21.49</v>
      </c>
      <c r="M32" s="54">
        <v>97.30</v>
      </c>
      <c r="N32" s="54">
        <v>41</v>
      </c>
      <c r="O32" s="54">
        <v>1</v>
      </c>
      <c r="P32" s="54">
        <v>0.24</v>
      </c>
      <c r="Q32" s="54">
        <v>14.78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4.0800000000000001</v>
      </c>
      <c r="C34" s="28">
        <f t="shared" si="0"/>
        <v>21.129999999999999</v>
      </c>
      <c r="D34" s="28">
        <f t="shared" si="0"/>
        <v>16.579999999999998</v>
      </c>
      <c r="E34" s="28">
        <f t="shared" si="0"/>
        <v>0.28000000000000003</v>
      </c>
      <c r="F34" s="28">
        <f t="shared" si="0"/>
        <v>2.1099999999999999</v>
      </c>
      <c r="G34" s="28">
        <f t="shared" si="0"/>
        <v>16.530000000000001</v>
      </c>
      <c r="H34" s="28">
        <f t="shared" si="0"/>
        <v>6.1299999999999999</v>
      </c>
      <c r="I34" s="28">
        <f t="shared" si="0"/>
        <v>0</v>
      </c>
      <c r="J34" s="28">
        <f t="shared" si="0"/>
        <v>0.28000000000000003</v>
      </c>
      <c r="K34" s="28">
        <f t="shared" si="0"/>
        <v>27.109999999999999</v>
      </c>
      <c r="L34" s="28">
        <f t="shared" si="0"/>
        <v>21.420000000000002</v>
      </c>
      <c r="M34" s="28">
        <f t="shared" si="0"/>
        <v>97.269999999999996</v>
      </c>
      <c r="N34" s="28">
        <f t="shared" si="0"/>
        <v>39.399999999999999</v>
      </c>
      <c r="O34" s="28">
        <f t="shared" si="0"/>
        <v>0</v>
      </c>
      <c r="P34" s="28">
        <f t="shared" si="0"/>
        <v>0.23999999999999999</v>
      </c>
      <c r="Q34" s="28">
        <f t="shared" si="0"/>
        <v>14.42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23.640000000000001</v>
      </c>
      <c r="C35" s="29">
        <f t="shared" si="1"/>
        <v>25.91</v>
      </c>
      <c r="D35" s="29">
        <f t="shared" si="1"/>
        <v>32.399999999999999</v>
      </c>
      <c r="E35" s="29">
        <f t="shared" si="1"/>
        <v>1.8100000000000001</v>
      </c>
      <c r="F35" s="29">
        <f t="shared" si="1"/>
        <v>3.9300000000000002</v>
      </c>
      <c r="G35" s="29">
        <f t="shared" si="1"/>
        <v>35.549999999999997</v>
      </c>
      <c r="H35" s="29">
        <f t="shared" si="1"/>
        <v>18.030000000000001</v>
      </c>
      <c r="I35" s="29">
        <f t="shared" si="1"/>
        <v>0</v>
      </c>
      <c r="J35" s="29">
        <f t="shared" si="1"/>
        <v>0.55000000000000004</v>
      </c>
      <c r="K35" s="29">
        <f t="shared" si="1"/>
        <v>355.60000000000002</v>
      </c>
      <c r="L35" s="29">
        <f t="shared" si="1"/>
        <v>23.539999999999999</v>
      </c>
      <c r="M35" s="29">
        <f t="shared" si="1"/>
        <v>97.299999999999997</v>
      </c>
      <c r="N35" s="29">
        <f t="shared" si="1"/>
        <v>266.69999999999999</v>
      </c>
      <c r="O35" s="29">
        <f t="shared" si="1"/>
        <v>1.6000000000000001</v>
      </c>
      <c r="P35" s="29">
        <f t="shared" si="1"/>
        <v>1.3899999999999999</v>
      </c>
      <c r="Q35" s="29">
        <f t="shared" si="1"/>
        <v>17.030000000000001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12.067500000000001</v>
      </c>
      <c r="C36" s="28">
        <f t="shared" si="2"/>
        <v>23.633333333333329</v>
      </c>
      <c r="D36" s="28">
        <f t="shared" si="2"/>
        <v>23.044166666666673</v>
      </c>
      <c r="E36" s="28">
        <f t="shared" si="2"/>
        <v>1.0570833333333336</v>
      </c>
      <c r="F36" s="28">
        <f t="shared" si="2"/>
        <v>3.1320833333333336</v>
      </c>
      <c r="G36" s="28">
        <f t="shared" si="2"/>
        <v>26.206666666666663</v>
      </c>
      <c r="H36" s="28">
        <f t="shared" si="2"/>
        <v>11.960416666666669</v>
      </c>
      <c r="I36" s="28" t="e">
        <f t="shared" si="2"/>
        <v>#DIV/0!</v>
      </c>
      <c r="J36" s="28">
        <f t="shared" si="2"/>
        <v>0.44708333333333328</v>
      </c>
      <c r="K36" s="28">
        <f t="shared" si="2"/>
        <v>65.345416666666665</v>
      </c>
      <c r="L36" s="28">
        <f t="shared" si="2"/>
        <v>22.237083333333334</v>
      </c>
      <c r="M36" s="28">
        <f t="shared" si="2"/>
        <v>97.288749999999993</v>
      </c>
      <c r="N36" s="28">
        <f t="shared" si="2"/>
        <v>90.641666666666652</v>
      </c>
      <c r="O36" s="28">
        <f t="shared" si="2"/>
        <v>0.72499999999999998</v>
      </c>
      <c r="P36" s="28">
        <f t="shared" si="2"/>
        <v>0.73874999999999991</v>
      </c>
      <c r="Q36" s="28">
        <f t="shared" si="2"/>
        <v>15.706666666666663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6.5858677748513985</v>
      </c>
      <c r="C37" s="28">
        <f t="shared" si="3" ref="C37:Q37">STDEV(C9:C32)</f>
        <v>1.4707279081156193</v>
      </c>
      <c r="D37" s="28">
        <f t="shared" si="3"/>
        <v>5.0445768699764058</v>
      </c>
      <c r="E37" s="28">
        <f t="shared" si="3"/>
        <v>0.41503775801691767</v>
      </c>
      <c r="F37" s="28">
        <f t="shared" si="3"/>
        <v>0.40737739330958028</v>
      </c>
      <c r="G37" s="28">
        <f t="shared" si="3"/>
        <v>6.0729640830177303</v>
      </c>
      <c r="H37" s="28">
        <f t="shared" si="3"/>
        <v>3.5013183593645287</v>
      </c>
      <c r="I37" s="28" t="e">
        <f t="shared" si="3"/>
        <v>#DIV/0!</v>
      </c>
      <c r="J37" s="28">
        <f t="shared" si="3"/>
        <v>0.072320492415279436</v>
      </c>
      <c r="K37" s="28">
        <f t="shared" si="3"/>
        <v>89.003608816876266</v>
      </c>
      <c r="L37" s="28">
        <f t="shared" si="3"/>
        <v>0.50842877459933344</v>
      </c>
      <c r="M37" s="28">
        <f t="shared" si="3"/>
        <v>0.011156008324625115</v>
      </c>
      <c r="N37" s="28">
        <f t="shared" si="3"/>
        <v>65.077692141722082</v>
      </c>
      <c r="O37" s="28">
        <f t="shared" si="3"/>
        <v>0.42452018951322901</v>
      </c>
      <c r="P37" s="28">
        <f t="shared" si="3"/>
        <v>0.36852600049857892</v>
      </c>
      <c r="Q37" s="28">
        <f t="shared" si="3"/>
        <v>0.87598722775415283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e8fed2-d46a-41af-a8d9-5fedc63108d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58" sqref="H5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2.74</v>
      </c>
      <c r="C9" s="54">
        <v>19.829999999999998</v>
      </c>
      <c r="D9" s="54">
        <v>13.79</v>
      </c>
      <c r="E9" s="54">
        <v>1.23</v>
      </c>
      <c r="F9" s="54">
        <v>3.83</v>
      </c>
      <c r="G9" s="54">
        <v>14.29</v>
      </c>
      <c r="H9" s="54">
        <v>8.65</v>
      </c>
      <c r="I9" s="55" t="s">
        <v>15</v>
      </c>
      <c r="J9" s="54">
        <v>0.51</v>
      </c>
      <c r="K9" s="54">
        <v>44.69</v>
      </c>
      <c r="L9" s="54">
        <v>21.47</v>
      </c>
      <c r="M9" s="54">
        <v>97.30</v>
      </c>
      <c r="N9" s="54">
        <v>41</v>
      </c>
      <c r="O9" s="54">
        <v>1</v>
      </c>
      <c r="P9" s="54">
        <v>0.18</v>
      </c>
      <c r="Q9" s="54">
        <v>12.26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2.10</v>
      </c>
      <c r="C10" s="54">
        <v>20.37</v>
      </c>
      <c r="D10" s="54">
        <v>13.57</v>
      </c>
      <c r="E10" s="54">
        <v>0.82</v>
      </c>
      <c r="F10" s="54">
        <v>3.73</v>
      </c>
      <c r="G10" s="54">
        <v>12.32</v>
      </c>
      <c r="H10" s="54">
        <v>11.26</v>
      </c>
      <c r="I10" s="55" t="s">
        <v>15</v>
      </c>
      <c r="J10" s="54">
        <v>0.48</v>
      </c>
      <c r="K10" s="54">
        <v>45.73</v>
      </c>
      <c r="L10" s="54">
        <v>21.38</v>
      </c>
      <c r="M10" s="54">
        <v>97.30</v>
      </c>
      <c r="N10" s="54">
        <v>41.10</v>
      </c>
      <c r="O10" s="54">
        <v>1.20</v>
      </c>
      <c r="P10" s="54">
        <v>0.19</v>
      </c>
      <c r="Q10" s="54">
        <v>13.40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2.33</v>
      </c>
      <c r="C11" s="54">
        <v>20.25</v>
      </c>
      <c r="D11" s="54">
        <v>13.69</v>
      </c>
      <c r="E11" s="54">
        <v>1.1499999999999999</v>
      </c>
      <c r="F11" s="54">
        <v>3.77</v>
      </c>
      <c r="G11" s="54">
        <v>12.31</v>
      </c>
      <c r="H11" s="54">
        <v>7.93</v>
      </c>
      <c r="I11" s="55" t="s">
        <v>15</v>
      </c>
      <c r="J11" s="54">
        <v>0.54</v>
      </c>
      <c r="K11" s="54">
        <v>48.76</v>
      </c>
      <c r="L11" s="54">
        <v>21.29</v>
      </c>
      <c r="M11" s="54">
        <v>97.30</v>
      </c>
      <c r="N11" s="54">
        <v>41.30</v>
      </c>
      <c r="O11" s="54">
        <v>1.40</v>
      </c>
      <c r="P11" s="54">
        <v>0.19</v>
      </c>
      <c r="Q11" s="54">
        <v>13.25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2.0499999999999998</v>
      </c>
      <c r="C12" s="54">
        <v>19.68</v>
      </c>
      <c r="D12" s="54">
        <v>13.15</v>
      </c>
      <c r="E12" s="54">
        <v>1.1499999999999999</v>
      </c>
      <c r="F12" s="54">
        <v>4.0199999999999996</v>
      </c>
      <c r="G12" s="54">
        <v>11.86</v>
      </c>
      <c r="H12" s="54">
        <v>5.87</v>
      </c>
      <c r="I12" s="55" t="s">
        <v>15</v>
      </c>
      <c r="J12" s="54">
        <v>0.5</v>
      </c>
      <c r="K12" s="54">
        <v>46.88</v>
      </c>
      <c r="L12" s="54">
        <v>21.17</v>
      </c>
      <c r="M12" s="54">
        <v>97.30</v>
      </c>
      <c r="N12" s="54">
        <v>41.30</v>
      </c>
      <c r="O12" s="54">
        <v>3.20</v>
      </c>
      <c r="P12" s="54">
        <v>0.17</v>
      </c>
      <c r="Q12" s="54">
        <v>11.83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2.65</v>
      </c>
      <c r="C13" s="54">
        <v>21.03</v>
      </c>
      <c r="D13" s="54">
        <v>14.38</v>
      </c>
      <c r="E13" s="54">
        <v>0.99</v>
      </c>
      <c r="F13" s="54">
        <v>3.77</v>
      </c>
      <c r="G13" s="54">
        <v>8.40</v>
      </c>
      <c r="H13" s="54">
        <v>4.25</v>
      </c>
      <c r="I13" s="55" t="s">
        <v>15</v>
      </c>
      <c r="J13" s="54">
        <v>0.47</v>
      </c>
      <c r="K13" s="54">
        <v>47.57</v>
      </c>
      <c r="L13" s="54">
        <v>21.06</v>
      </c>
      <c r="M13" s="54">
        <v>97.30</v>
      </c>
      <c r="N13" s="54">
        <v>41.20</v>
      </c>
      <c r="O13" s="54">
        <v>1.80</v>
      </c>
      <c r="P13" s="54">
        <v>0.17</v>
      </c>
      <c r="Q13" s="54">
        <v>13.09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3.54</v>
      </c>
      <c r="C14" s="54">
        <v>22.86</v>
      </c>
      <c r="D14" s="54">
        <v>16.100000000000001</v>
      </c>
      <c r="E14" s="54">
        <v>1.05</v>
      </c>
      <c r="F14" s="54">
        <v>3.35</v>
      </c>
      <c r="G14" s="57" t="s">
        <v>8</v>
      </c>
      <c r="H14" s="57" t="s">
        <v>8</v>
      </c>
      <c r="I14" s="55" t="s">
        <v>15</v>
      </c>
      <c r="J14" s="54">
        <v>0.51</v>
      </c>
      <c r="K14" s="54">
        <v>40.65</v>
      </c>
      <c r="L14" s="54">
        <v>21.09</v>
      </c>
      <c r="M14" s="54">
        <v>97.30</v>
      </c>
      <c r="N14" s="54">
        <v>43.20</v>
      </c>
      <c r="O14" s="54">
        <v>2.40</v>
      </c>
      <c r="P14" s="54">
        <v>0.21</v>
      </c>
      <c r="Q14" s="54">
        <v>13.34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5.84</v>
      </c>
      <c r="C15" s="54">
        <v>24.68</v>
      </c>
      <c r="D15" s="54">
        <v>18.95</v>
      </c>
      <c r="E15" s="54">
        <v>1.33</v>
      </c>
      <c r="F15" s="54">
        <v>3.09</v>
      </c>
      <c r="G15" s="57" t="s">
        <v>8</v>
      </c>
      <c r="H15" s="57" t="s">
        <v>8</v>
      </c>
      <c r="I15" s="55" t="s">
        <v>15</v>
      </c>
      <c r="J15" s="54">
        <v>0.5</v>
      </c>
      <c r="K15" s="54">
        <v>41.85</v>
      </c>
      <c r="L15" s="54">
        <v>21.01</v>
      </c>
      <c r="M15" s="54">
        <v>97.30</v>
      </c>
      <c r="N15" s="54">
        <v>55.20</v>
      </c>
      <c r="O15" s="54">
        <v>1.80</v>
      </c>
      <c r="P15" s="54">
        <v>0.52</v>
      </c>
      <c r="Q15" s="54">
        <v>14.33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6.89</v>
      </c>
      <c r="C16" s="54">
        <v>25.67</v>
      </c>
      <c r="D16" s="54">
        <v>20.20</v>
      </c>
      <c r="E16" s="54">
        <v>0.91</v>
      </c>
      <c r="F16" s="54">
        <v>3.11</v>
      </c>
      <c r="G16" s="57" t="s">
        <v>8</v>
      </c>
      <c r="H16" s="57" t="s">
        <v>8</v>
      </c>
      <c r="I16" s="55" t="s">
        <v>15</v>
      </c>
      <c r="J16" s="54">
        <v>0.57999999999999996</v>
      </c>
      <c r="K16" s="54">
        <v>46.97</v>
      </c>
      <c r="L16" s="54">
        <v>20.99</v>
      </c>
      <c r="M16" s="54">
        <v>97.30</v>
      </c>
      <c r="N16" s="54">
        <v>79.70</v>
      </c>
      <c r="O16" s="54">
        <v>1.20</v>
      </c>
      <c r="P16" s="54">
        <v>0.5</v>
      </c>
      <c r="Q16" s="54">
        <v>15.21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7.28</v>
      </c>
      <c r="C17" s="54">
        <v>23.31</v>
      </c>
      <c r="D17" s="54">
        <v>19.350000000000001</v>
      </c>
      <c r="E17" s="54">
        <v>1.1499999999999999</v>
      </c>
      <c r="F17" s="54">
        <v>3.67</v>
      </c>
      <c r="G17" s="57" t="s">
        <v>8</v>
      </c>
      <c r="H17" s="57" t="s">
        <v>8</v>
      </c>
      <c r="I17" s="55" t="s">
        <v>15</v>
      </c>
      <c r="J17" s="54">
        <v>0.62</v>
      </c>
      <c r="K17" s="54">
        <v>40.840000000000003</v>
      </c>
      <c r="L17" s="54">
        <v>21.01</v>
      </c>
      <c r="M17" s="54">
        <v>97.30</v>
      </c>
      <c r="N17" s="54">
        <v>102.80</v>
      </c>
      <c r="O17" s="54">
        <v>1.40</v>
      </c>
      <c r="P17" s="54">
        <v>0.39</v>
      </c>
      <c r="Q17" s="54">
        <v>14.66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7.28</v>
      </c>
      <c r="C18" s="54">
        <v>21.86</v>
      </c>
      <c r="D18" s="54">
        <v>18.45</v>
      </c>
      <c r="E18" s="54">
        <v>1</v>
      </c>
      <c r="F18" s="54">
        <v>3.35</v>
      </c>
      <c r="G18" s="57" t="s">
        <v>8</v>
      </c>
      <c r="H18" s="57" t="s">
        <v>8</v>
      </c>
      <c r="I18" s="55" t="s">
        <v>15</v>
      </c>
      <c r="J18" s="54">
        <v>0.53</v>
      </c>
      <c r="K18" s="54">
        <v>38.090000000000003</v>
      </c>
      <c r="L18" s="54">
        <v>21.17</v>
      </c>
      <c r="M18" s="54">
        <v>97.30</v>
      </c>
      <c r="N18" s="54">
        <v>197.90</v>
      </c>
      <c r="O18" s="54">
        <v>1.20</v>
      </c>
      <c r="P18" s="54">
        <v>0.34</v>
      </c>
      <c r="Q18" s="54">
        <v>12.98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6.01</v>
      </c>
      <c r="C19" s="54">
        <v>22.28</v>
      </c>
      <c r="D19" s="54">
        <v>17.68</v>
      </c>
      <c r="E19" s="54">
        <v>1.05</v>
      </c>
      <c r="F19" s="54">
        <v>6.99</v>
      </c>
      <c r="G19" s="54">
        <v>11</v>
      </c>
      <c r="H19" s="54">
        <v>7.25</v>
      </c>
      <c r="I19" s="55" t="s">
        <v>15</v>
      </c>
      <c r="J19" s="54">
        <v>0.55000000000000004</v>
      </c>
      <c r="K19" s="54">
        <v>45.10</v>
      </c>
      <c r="L19" s="54">
        <v>22.07</v>
      </c>
      <c r="M19" s="54">
        <v>97.30</v>
      </c>
      <c r="N19" s="54">
        <v>316.39999999999998</v>
      </c>
      <c r="O19" s="54">
        <v>0.40</v>
      </c>
      <c r="P19" s="54">
        <v>0.39</v>
      </c>
      <c r="Q19" s="54">
        <v>13.53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7.28</v>
      </c>
      <c r="C20" s="54">
        <v>22.21</v>
      </c>
      <c r="D20" s="54">
        <v>18.739999999999998</v>
      </c>
      <c r="E20" s="54">
        <v>1.01</v>
      </c>
      <c r="F20" s="54">
        <v>3.75</v>
      </c>
      <c r="G20" s="54">
        <v>7.49</v>
      </c>
      <c r="H20" s="54">
        <v>6.34</v>
      </c>
      <c r="I20" s="55" t="s">
        <v>15</v>
      </c>
      <c r="J20" s="54">
        <v>0.56999999999999995</v>
      </c>
      <c r="K20" s="54">
        <v>40.71</v>
      </c>
      <c r="L20" s="54">
        <v>22.72</v>
      </c>
      <c r="M20" s="54">
        <v>97.27</v>
      </c>
      <c r="N20" s="54">
        <v>331</v>
      </c>
      <c r="O20" s="54">
        <v>0.20</v>
      </c>
      <c r="P20" s="54">
        <v>0.37</v>
      </c>
      <c r="Q20" s="54">
        <v>13.88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7.72</v>
      </c>
      <c r="C21" s="54">
        <v>22.82</v>
      </c>
      <c r="D21" s="54">
        <v>19.170000000000002</v>
      </c>
      <c r="E21" s="54">
        <v>1.45</v>
      </c>
      <c r="F21" s="54">
        <v>5</v>
      </c>
      <c r="G21" s="54">
        <v>9.7799999999999994</v>
      </c>
      <c r="H21" s="54">
        <v>4.51</v>
      </c>
      <c r="I21" s="55" t="s">
        <v>15</v>
      </c>
      <c r="J21" s="54">
        <v>0.68</v>
      </c>
      <c r="K21" s="54">
        <v>40.07</v>
      </c>
      <c r="L21" s="54">
        <v>23.26</v>
      </c>
      <c r="M21" s="54">
        <v>95.17</v>
      </c>
      <c r="N21" s="54">
        <v>335.10</v>
      </c>
      <c r="O21" s="54">
        <v>0</v>
      </c>
      <c r="P21" s="54">
        <v>0.45</v>
      </c>
      <c r="Q21" s="54">
        <v>14.02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8.18</v>
      </c>
      <c r="C22" s="54">
        <v>22.20</v>
      </c>
      <c r="D22" s="54">
        <v>18.43</v>
      </c>
      <c r="E22" s="54">
        <v>1.34</v>
      </c>
      <c r="F22" s="54">
        <v>3.67</v>
      </c>
      <c r="G22" s="54">
        <v>24.67</v>
      </c>
      <c r="H22" s="54">
        <v>3.32</v>
      </c>
      <c r="I22" s="55" t="s">
        <v>15</v>
      </c>
      <c r="J22" s="54">
        <v>0.62</v>
      </c>
      <c r="K22" s="54">
        <v>43.91</v>
      </c>
      <c r="L22" s="54">
        <v>23.10</v>
      </c>
      <c r="M22" s="54">
        <v>93.17</v>
      </c>
      <c r="N22" s="54">
        <v>205.90</v>
      </c>
      <c r="O22" s="54">
        <v>0</v>
      </c>
      <c r="P22" s="54">
        <v>0.71</v>
      </c>
      <c r="Q22" s="54">
        <v>14.47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8.56</v>
      </c>
      <c r="C23" s="54">
        <v>21.72</v>
      </c>
      <c r="D23" s="54">
        <v>19.5</v>
      </c>
      <c r="E23" s="54">
        <v>1.22</v>
      </c>
      <c r="F23" s="54">
        <v>4.41</v>
      </c>
      <c r="G23" s="54">
        <v>21.44</v>
      </c>
      <c r="H23" s="54">
        <v>2.66</v>
      </c>
      <c r="I23" s="55" t="s">
        <v>15</v>
      </c>
      <c r="J23" s="54">
        <v>0.54</v>
      </c>
      <c r="K23" s="54">
        <v>33.01</v>
      </c>
      <c r="L23" s="54">
        <v>23.45</v>
      </c>
      <c r="M23" s="54">
        <v>92.96</v>
      </c>
      <c r="N23" s="54">
        <v>270.60000000000002</v>
      </c>
      <c r="O23" s="54">
        <v>0</v>
      </c>
      <c r="P23" s="54">
        <v>0.71</v>
      </c>
      <c r="Q23" s="54">
        <v>15.03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7.76</v>
      </c>
      <c r="C24" s="54">
        <v>21.36</v>
      </c>
      <c r="D24" s="54">
        <v>18.37</v>
      </c>
      <c r="E24" s="54">
        <v>1.1599999999999999</v>
      </c>
      <c r="F24" s="54">
        <v>3.85</v>
      </c>
      <c r="G24" s="54">
        <v>35.61</v>
      </c>
      <c r="H24" s="54">
        <v>3.24</v>
      </c>
      <c r="I24" s="55" t="s">
        <v>15</v>
      </c>
      <c r="J24" s="54">
        <v>0.51</v>
      </c>
      <c r="K24" s="54">
        <v>37.19</v>
      </c>
      <c r="L24" s="54">
        <v>23.10</v>
      </c>
      <c r="M24" s="54">
        <v>93.51</v>
      </c>
      <c r="N24" s="54">
        <v>131.80000000000001</v>
      </c>
      <c r="O24" s="54">
        <v>0</v>
      </c>
      <c r="P24" s="54">
        <v>0.79</v>
      </c>
      <c r="Q24" s="54">
        <v>13.59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6.49</v>
      </c>
      <c r="C25" s="54">
        <v>22.05</v>
      </c>
      <c r="D25" s="54">
        <v>17.440000000000001</v>
      </c>
      <c r="E25" s="54">
        <v>1.08</v>
      </c>
      <c r="F25" s="54">
        <v>3.78</v>
      </c>
      <c r="G25" s="54">
        <v>29.38</v>
      </c>
      <c r="H25" s="54">
        <v>6.25</v>
      </c>
      <c r="I25" s="55" t="s">
        <v>15</v>
      </c>
      <c r="J25" s="54">
        <v>0.72</v>
      </c>
      <c r="K25" s="54">
        <v>39.94</v>
      </c>
      <c r="L25" s="54">
        <v>23.06</v>
      </c>
      <c r="M25" s="54">
        <v>92.09</v>
      </c>
      <c r="N25" s="54">
        <v>121.10</v>
      </c>
      <c r="O25" s="54">
        <v>0</v>
      </c>
      <c r="P25" s="54">
        <v>0.62</v>
      </c>
      <c r="Q25" s="54">
        <v>14.34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5.59</v>
      </c>
      <c r="C26" s="54">
        <v>21.58</v>
      </c>
      <c r="D26" s="54">
        <v>16.86</v>
      </c>
      <c r="E26" s="54">
        <v>1.21</v>
      </c>
      <c r="F26" s="54">
        <v>4.46</v>
      </c>
      <c r="G26" s="54">
        <v>22.55</v>
      </c>
      <c r="H26" s="54">
        <v>4.54</v>
      </c>
      <c r="I26" s="55" t="s">
        <v>15</v>
      </c>
      <c r="J26" s="54">
        <v>0.72</v>
      </c>
      <c r="K26" s="54">
        <v>28.93</v>
      </c>
      <c r="L26" s="54">
        <v>23.19</v>
      </c>
      <c r="M26" s="54">
        <v>87.96</v>
      </c>
      <c r="N26" s="54">
        <v>111.10</v>
      </c>
      <c r="O26" s="54">
        <v>0</v>
      </c>
      <c r="P26" s="54">
        <v>0.56000000000000005</v>
      </c>
      <c r="Q26" s="54">
        <v>14.34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3.87</v>
      </c>
      <c r="C27" s="54">
        <v>22.35</v>
      </c>
      <c r="D27" s="54">
        <v>16.09</v>
      </c>
      <c r="E27" s="54">
        <v>0.91</v>
      </c>
      <c r="F27" s="54">
        <v>4.0999999999999996</v>
      </c>
      <c r="G27" s="54">
        <v>28.08</v>
      </c>
      <c r="H27" s="54">
        <v>4.8499999999999996</v>
      </c>
      <c r="I27" s="55" t="s">
        <v>15</v>
      </c>
      <c r="J27" s="54">
        <v>0.62</v>
      </c>
      <c r="K27" s="54">
        <v>40.25</v>
      </c>
      <c r="L27" s="54">
        <v>22.68</v>
      </c>
      <c r="M27" s="54">
        <v>89.99</v>
      </c>
      <c r="N27" s="54">
        <v>47.5</v>
      </c>
      <c r="O27" s="54">
        <v>0</v>
      </c>
      <c r="P27" s="54">
        <v>0.54</v>
      </c>
      <c r="Q27" s="54">
        <v>13.68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4.57</v>
      </c>
      <c r="C28" s="54">
        <v>22.06</v>
      </c>
      <c r="D28" s="54">
        <v>16.48</v>
      </c>
      <c r="E28" s="54">
        <v>1.1599999999999999</v>
      </c>
      <c r="F28" s="54">
        <v>4.42</v>
      </c>
      <c r="G28" s="54">
        <v>24.34</v>
      </c>
      <c r="H28" s="54">
        <v>3.63</v>
      </c>
      <c r="I28" s="55" t="s">
        <v>15</v>
      </c>
      <c r="J28" s="54">
        <v>0.54</v>
      </c>
      <c r="K28" s="54">
        <v>37.450000000000003</v>
      </c>
      <c r="L28" s="54">
        <v>22.13</v>
      </c>
      <c r="M28" s="54">
        <v>92.49</v>
      </c>
      <c r="N28" s="54">
        <v>39.200000000000003</v>
      </c>
      <c r="O28" s="54">
        <v>0</v>
      </c>
      <c r="P28" s="54">
        <v>0.47</v>
      </c>
      <c r="Q28" s="54">
        <v>14.38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4.6900000000000004</v>
      </c>
      <c r="C29" s="54">
        <v>23.25</v>
      </c>
      <c r="D29" s="54">
        <v>17.09</v>
      </c>
      <c r="E29" s="54">
        <v>0.22</v>
      </c>
      <c r="F29" s="54">
        <v>3.73</v>
      </c>
      <c r="G29" s="54">
        <v>20.83</v>
      </c>
      <c r="H29" s="54">
        <v>3.61</v>
      </c>
      <c r="I29" s="55" t="s">
        <v>15</v>
      </c>
      <c r="J29" s="54">
        <v>0.60</v>
      </c>
      <c r="K29" s="54">
        <v>40.89</v>
      </c>
      <c r="L29" s="54">
        <v>22.04</v>
      </c>
      <c r="M29" s="54">
        <v>92.25</v>
      </c>
      <c r="N29" s="54">
        <v>39.5</v>
      </c>
      <c r="O29" s="54">
        <v>0</v>
      </c>
      <c r="P29" s="54">
        <v>0.46</v>
      </c>
      <c r="Q29" s="54">
        <v>14.32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4.6100000000000003</v>
      </c>
      <c r="C30" s="54">
        <v>24.30</v>
      </c>
      <c r="D30" s="54">
        <v>17.760000000000002</v>
      </c>
      <c r="E30" s="54">
        <v>0.08</v>
      </c>
      <c r="F30" s="54">
        <v>3.69</v>
      </c>
      <c r="G30" s="54">
        <v>22.20</v>
      </c>
      <c r="H30" s="54">
        <v>4.96</v>
      </c>
      <c r="I30" s="55" t="s">
        <v>15</v>
      </c>
      <c r="J30" s="54">
        <v>0.56000000000000005</v>
      </c>
      <c r="K30" s="54">
        <v>38.43</v>
      </c>
      <c r="L30" s="54">
        <v>21.97</v>
      </c>
      <c r="M30" s="54">
        <v>88.73</v>
      </c>
      <c r="N30" s="54">
        <v>39.90</v>
      </c>
      <c r="O30" s="54">
        <v>0</v>
      </c>
      <c r="P30" s="54">
        <v>0.49</v>
      </c>
      <c r="Q30" s="54">
        <v>14.52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3.28</v>
      </c>
      <c r="C31" s="54">
        <v>21.94</v>
      </c>
      <c r="D31" s="54">
        <v>15.38</v>
      </c>
      <c r="E31" s="54">
        <v>0.42</v>
      </c>
      <c r="F31" s="54">
        <v>4.70</v>
      </c>
      <c r="G31" s="54">
        <v>21.10</v>
      </c>
      <c r="H31" s="54">
        <v>5.78</v>
      </c>
      <c r="I31" s="55" t="s">
        <v>15</v>
      </c>
      <c r="J31" s="54">
        <v>0.52</v>
      </c>
      <c r="K31" s="54">
        <v>43.14</v>
      </c>
      <c r="L31" s="54">
        <v>21.90</v>
      </c>
      <c r="M31" s="54">
        <v>89.57</v>
      </c>
      <c r="N31" s="54">
        <v>39.90</v>
      </c>
      <c r="O31" s="54">
        <v>0</v>
      </c>
      <c r="P31" s="54">
        <v>0.35</v>
      </c>
      <c r="Q31" s="54">
        <v>13.60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2.34</v>
      </c>
      <c r="C32" s="54">
        <v>20.46</v>
      </c>
      <c r="D32" s="54">
        <v>13.74</v>
      </c>
      <c r="E32" s="54">
        <v>0.41</v>
      </c>
      <c r="F32" s="54">
        <v>4.5</v>
      </c>
      <c r="G32" s="54">
        <v>20.59</v>
      </c>
      <c r="H32" s="54">
        <v>7.10</v>
      </c>
      <c r="I32" s="55" t="s">
        <v>15</v>
      </c>
      <c r="J32" s="54">
        <v>0.45</v>
      </c>
      <c r="K32" s="54">
        <v>38.82</v>
      </c>
      <c r="L32" s="54">
        <v>21.86</v>
      </c>
      <c r="M32" s="54">
        <v>91.37</v>
      </c>
      <c r="N32" s="54">
        <v>39.799999999999997</v>
      </c>
      <c r="O32" s="54">
        <v>0</v>
      </c>
      <c r="P32" s="54">
        <v>0.25</v>
      </c>
      <c r="Q32" s="54">
        <v>12.65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2.0499999999999998</v>
      </c>
      <c r="C34" s="28">
        <f t="shared" si="0"/>
        <v>19.68</v>
      </c>
      <c r="D34" s="28">
        <f t="shared" si="0"/>
        <v>13.15</v>
      </c>
      <c r="E34" s="28">
        <f t="shared" si="0"/>
        <v>0.080000000000000002</v>
      </c>
      <c r="F34" s="28">
        <f t="shared" si="0"/>
        <v>3.0899999999999999</v>
      </c>
      <c r="G34" s="28">
        <f t="shared" si="0"/>
        <v>7.4900000000000002</v>
      </c>
      <c r="H34" s="28">
        <f t="shared" si="0"/>
        <v>2.6600000000000001</v>
      </c>
      <c r="I34" s="28">
        <f t="shared" si="0"/>
        <v>0</v>
      </c>
      <c r="J34" s="28">
        <f t="shared" si="0"/>
        <v>0.45000000000000001</v>
      </c>
      <c r="K34" s="28">
        <f t="shared" si="0"/>
        <v>28.93</v>
      </c>
      <c r="L34" s="28">
        <f t="shared" si="0"/>
        <v>20.989999999999998</v>
      </c>
      <c r="M34" s="28">
        <f t="shared" si="0"/>
        <v>87.959999999999994</v>
      </c>
      <c r="N34" s="28">
        <f t="shared" si="0"/>
        <v>39.200000000000003</v>
      </c>
      <c r="O34" s="28">
        <f t="shared" si="0"/>
        <v>0</v>
      </c>
      <c r="P34" s="28">
        <f t="shared" si="0"/>
        <v>0.17000000000000001</v>
      </c>
      <c r="Q34" s="28">
        <f t="shared" si="0"/>
        <v>11.83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8.5600000000000005</v>
      </c>
      <c r="C35" s="29">
        <f t="shared" si="1"/>
        <v>25.670000000000002</v>
      </c>
      <c r="D35" s="29">
        <f t="shared" si="1"/>
        <v>20.199999999999999</v>
      </c>
      <c r="E35" s="29">
        <f t="shared" si="1"/>
        <v>1.45</v>
      </c>
      <c r="F35" s="29">
        <f t="shared" si="1"/>
        <v>6.9900000000000002</v>
      </c>
      <c r="G35" s="29">
        <f t="shared" si="1"/>
        <v>35.609999999999999</v>
      </c>
      <c r="H35" s="29">
        <f t="shared" si="1"/>
        <v>11.26</v>
      </c>
      <c r="I35" s="29">
        <f t="shared" si="1"/>
        <v>0</v>
      </c>
      <c r="J35" s="29">
        <f t="shared" si="1"/>
        <v>0.71999999999999997</v>
      </c>
      <c r="K35" s="29">
        <f t="shared" si="1"/>
        <v>48.759999999999998</v>
      </c>
      <c r="L35" s="29">
        <f t="shared" si="1"/>
        <v>23.449999999999999</v>
      </c>
      <c r="M35" s="29">
        <f t="shared" si="1"/>
        <v>97.299999999999997</v>
      </c>
      <c r="N35" s="29">
        <f t="shared" si="1"/>
        <v>335.10000000000002</v>
      </c>
      <c r="O35" s="29">
        <f t="shared" si="1"/>
        <v>3.2000000000000002</v>
      </c>
      <c r="P35" s="29">
        <f t="shared" si="1"/>
        <v>0.79000000000000004</v>
      </c>
      <c r="Q35" s="29">
        <f t="shared" si="1"/>
        <v>15.210000000000001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5.1520833333333345</v>
      </c>
      <c r="C36" s="28">
        <f t="shared" si="2"/>
        <v>22.088333333333335</v>
      </c>
      <c r="D36" s="28">
        <f t="shared" si="2"/>
        <v>16.848333333333333</v>
      </c>
      <c r="E36" s="28">
        <f t="shared" si="2"/>
        <v>0.97916666666666652</v>
      </c>
      <c r="F36" s="28">
        <f t="shared" si="2"/>
        <v>4.0308333333333328</v>
      </c>
      <c r="G36" s="28">
        <f t="shared" si="2"/>
        <v>18.854736842105261</v>
      </c>
      <c r="H36" s="28">
        <f t="shared" si="2"/>
        <v>5.5789473684210513</v>
      </c>
      <c r="I36" s="28" t="e">
        <f t="shared" si="2"/>
        <v>#DIV/0!</v>
      </c>
      <c r="J36" s="28">
        <f t="shared" si="2"/>
        <v>0.55999999999999994</v>
      </c>
      <c r="K36" s="28">
        <f t="shared" si="2"/>
        <v>41.244583333333345</v>
      </c>
      <c r="L36" s="28">
        <f t="shared" si="2"/>
        <v>22.00708333333333</v>
      </c>
      <c r="M36" s="28">
        <f t="shared" si="2"/>
        <v>94.451250000000002</v>
      </c>
      <c r="N36" s="28">
        <f t="shared" si="2"/>
        <v>114.72916666666667</v>
      </c>
      <c r="O36" s="28">
        <f t="shared" si="2"/>
        <v>0.71666666666666667</v>
      </c>
      <c r="P36" s="28">
        <f t="shared" si="2"/>
        <v>0.41750000000000004</v>
      </c>
      <c r="Q36" s="28">
        <f t="shared" si="2"/>
        <v>13.779166666666667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2.1814952573799027</v>
      </c>
      <c r="C37" s="28">
        <f t="shared" si="3" ref="C37:Q37">STDEV(C9:C32)</f>
        <v>1.4824558550995175</v>
      </c>
      <c r="D37" s="28">
        <f t="shared" si="3"/>
        <v>2.1884830296382014</v>
      </c>
      <c r="E37" s="28">
        <f t="shared" si="3"/>
        <v>0.353871957519723</v>
      </c>
      <c r="F37" s="28">
        <f t="shared" si="3"/>
        <v>0.79171754222491941</v>
      </c>
      <c r="G37" s="28">
        <f t="shared" si="3"/>
        <v>7.8945138253100646</v>
      </c>
      <c r="H37" s="28">
        <f t="shared" si="3"/>
        <v>2.17518043884191</v>
      </c>
      <c r="I37" s="28" t="e">
        <f t="shared" si="3"/>
        <v>#DIV/0!</v>
      </c>
      <c r="J37" s="28">
        <f t="shared" si="3"/>
        <v>0.073306978136316092</v>
      </c>
      <c r="K37" s="28">
        <f t="shared" si="3"/>
        <v>4.6531690736030411</v>
      </c>
      <c r="L37" s="28">
        <f t="shared" si="3"/>
        <v>0.85776493773399087</v>
      </c>
      <c r="M37" s="28">
        <f t="shared" si="3"/>
        <v>3.2627173424190055</v>
      </c>
      <c r="N37" s="28">
        <f t="shared" si="3"/>
        <v>103.34658648647181</v>
      </c>
      <c r="O37" s="28">
        <f t="shared" si="3"/>
        <v>0.92297565405107784</v>
      </c>
      <c r="P37" s="28">
        <f t="shared" si="3"/>
        <v>0.18442036103754197</v>
      </c>
      <c r="Q37" s="28">
        <f t="shared" si="3"/>
        <v>0.84236167315814969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COUNT(G9:G32)+5</f>
        <v>24</v>
      </c>
      <c r="H38" s="32">
        <f>COUNT(H9:H32)+5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ee7dd7-9a91-41dd-9d2f-42bfbd55d01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J50" sqref="J50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1.83</v>
      </c>
      <c r="C9" s="54">
        <v>19.329999999999998</v>
      </c>
      <c r="D9" s="54">
        <v>12.78</v>
      </c>
      <c r="E9" s="54">
        <v>1.36</v>
      </c>
      <c r="F9" s="54">
        <v>4.84</v>
      </c>
      <c r="G9" s="54">
        <v>21.55</v>
      </c>
      <c r="H9" s="54">
        <v>8.91</v>
      </c>
      <c r="I9" s="55" t="s">
        <v>15</v>
      </c>
      <c r="J9" s="54">
        <v>0.49</v>
      </c>
      <c r="K9" s="54">
        <v>42.73</v>
      </c>
      <c r="L9" s="54">
        <v>21.52</v>
      </c>
      <c r="M9" s="54">
        <v>94.74</v>
      </c>
      <c r="N9" s="54">
        <v>35.10</v>
      </c>
      <c r="O9" s="54">
        <v>0</v>
      </c>
      <c r="P9" s="54">
        <v>0.17</v>
      </c>
      <c r="Q9" s="54">
        <v>12.14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1.73</v>
      </c>
      <c r="C10" s="54">
        <v>17.07</v>
      </c>
      <c r="D10" s="54">
        <v>11.38</v>
      </c>
      <c r="E10" s="54">
        <v>1.37</v>
      </c>
      <c r="F10" s="54">
        <v>5.0599999999999996</v>
      </c>
      <c r="G10" s="54">
        <v>22.79</v>
      </c>
      <c r="H10" s="54">
        <v>8.5399999999999991</v>
      </c>
      <c r="I10" s="55" t="s">
        <v>15</v>
      </c>
      <c r="J10" s="54">
        <v>0.5</v>
      </c>
      <c r="K10" s="54">
        <v>41.98</v>
      </c>
      <c r="L10" s="54">
        <v>21.02</v>
      </c>
      <c r="M10" s="54">
        <v>97.23</v>
      </c>
      <c r="N10" s="54">
        <v>34.40</v>
      </c>
      <c r="O10" s="54">
        <v>0</v>
      </c>
      <c r="P10" s="54">
        <v>0.14000000000000001</v>
      </c>
      <c r="Q10" s="54">
        <v>11.63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1.81</v>
      </c>
      <c r="C11" s="54">
        <v>18.760000000000002</v>
      </c>
      <c r="D11" s="54">
        <v>12.44</v>
      </c>
      <c r="E11" s="54">
        <v>1.25</v>
      </c>
      <c r="F11" s="54">
        <v>5.05</v>
      </c>
      <c r="G11" s="54">
        <v>17</v>
      </c>
      <c r="H11" s="54">
        <v>13.09</v>
      </c>
      <c r="I11" s="55" t="s">
        <v>15</v>
      </c>
      <c r="J11" s="54">
        <v>0.51</v>
      </c>
      <c r="K11" s="54">
        <v>41.83</v>
      </c>
      <c r="L11" s="54">
        <v>21.18</v>
      </c>
      <c r="M11" s="54">
        <v>97.16</v>
      </c>
      <c r="N11" s="54">
        <v>34.5</v>
      </c>
      <c r="O11" s="54">
        <v>0.20</v>
      </c>
      <c r="P11" s="54">
        <v>0.11</v>
      </c>
      <c r="Q11" s="54">
        <v>11.72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1.55</v>
      </c>
      <c r="C12" s="54">
        <v>18.36</v>
      </c>
      <c r="D12" s="54">
        <v>12.03</v>
      </c>
      <c r="E12" s="54">
        <v>1.26</v>
      </c>
      <c r="F12" s="54">
        <v>4.75</v>
      </c>
      <c r="G12" s="54">
        <v>15.90</v>
      </c>
      <c r="H12" s="54">
        <v>17.5</v>
      </c>
      <c r="I12" s="55" t="s">
        <v>15</v>
      </c>
      <c r="J12" s="54">
        <v>0.44</v>
      </c>
      <c r="K12" s="54">
        <v>39.72</v>
      </c>
      <c r="L12" s="54">
        <v>20.72</v>
      </c>
      <c r="M12" s="54">
        <v>97.28</v>
      </c>
      <c r="N12" s="54">
        <v>34.799999999999997</v>
      </c>
      <c r="O12" s="54">
        <v>0.40</v>
      </c>
      <c r="P12" s="54">
        <v>0.11</v>
      </c>
      <c r="Q12" s="54">
        <v>11.95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2.2000000000000002</v>
      </c>
      <c r="C13" s="54">
        <v>19.260000000000002</v>
      </c>
      <c r="D13" s="54">
        <v>13.04</v>
      </c>
      <c r="E13" s="54">
        <v>0.85</v>
      </c>
      <c r="F13" s="54">
        <v>4.47</v>
      </c>
      <c r="G13" s="54">
        <v>13.5</v>
      </c>
      <c r="H13" s="54">
        <v>12.25</v>
      </c>
      <c r="I13" s="55" t="s">
        <v>15</v>
      </c>
      <c r="J13" s="54">
        <v>0.34</v>
      </c>
      <c r="K13" s="54">
        <v>45.85</v>
      </c>
      <c r="L13" s="54">
        <v>20.46</v>
      </c>
      <c r="M13" s="54">
        <v>97.28</v>
      </c>
      <c r="N13" s="54">
        <v>34.700000000000003</v>
      </c>
      <c r="O13" s="54">
        <v>0.20</v>
      </c>
      <c r="P13" s="54">
        <v>0.12</v>
      </c>
      <c r="Q13" s="54">
        <v>12.25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2.39</v>
      </c>
      <c r="C14" s="54">
        <v>22.45</v>
      </c>
      <c r="D14" s="54">
        <v>14.94</v>
      </c>
      <c r="E14" s="54">
        <v>1.04</v>
      </c>
      <c r="F14" s="54">
        <v>3.95</v>
      </c>
      <c r="G14" s="54">
        <v>11.54</v>
      </c>
      <c r="H14" s="54">
        <v>8.57</v>
      </c>
      <c r="I14" s="55" t="s">
        <v>15</v>
      </c>
      <c r="J14" s="54">
        <v>0.32</v>
      </c>
      <c r="K14" s="54">
        <v>45.90</v>
      </c>
      <c r="L14" s="54">
        <v>20.23</v>
      </c>
      <c r="M14" s="54">
        <v>97.28</v>
      </c>
      <c r="N14" s="54">
        <v>41</v>
      </c>
      <c r="O14" s="54">
        <v>0.40</v>
      </c>
      <c r="P14" s="54">
        <v>0.12</v>
      </c>
      <c r="Q14" s="54">
        <v>12.43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2.61</v>
      </c>
      <c r="C15" s="54">
        <v>20.74</v>
      </c>
      <c r="D15" s="54">
        <v>14.18</v>
      </c>
      <c r="E15" s="54">
        <v>0.69</v>
      </c>
      <c r="F15" s="54">
        <v>4.05</v>
      </c>
      <c r="G15" s="54">
        <v>9.25</v>
      </c>
      <c r="H15" s="54">
        <v>6</v>
      </c>
      <c r="I15" s="55" t="s">
        <v>15</v>
      </c>
      <c r="J15" s="54">
        <v>0.32</v>
      </c>
      <c r="K15" s="54">
        <v>42.16</v>
      </c>
      <c r="L15" s="54">
        <v>20.12</v>
      </c>
      <c r="M15" s="54">
        <v>97.29</v>
      </c>
      <c r="N15" s="54">
        <v>71.5</v>
      </c>
      <c r="O15" s="54">
        <v>0.40</v>
      </c>
      <c r="P15" s="54">
        <v>0.14000000000000001</v>
      </c>
      <c r="Q15" s="54">
        <v>12.36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4.17</v>
      </c>
      <c r="C16" s="54">
        <v>21.60</v>
      </c>
      <c r="D16" s="54">
        <v>15.66</v>
      </c>
      <c r="E16" s="54">
        <v>1.04</v>
      </c>
      <c r="F16" s="54">
        <v>3.63</v>
      </c>
      <c r="G16" s="54">
        <v>9.4600000000000009</v>
      </c>
      <c r="H16" s="54">
        <v>5.23</v>
      </c>
      <c r="I16" s="55" t="s">
        <v>15</v>
      </c>
      <c r="J16" s="54">
        <v>0.36</v>
      </c>
      <c r="K16" s="54">
        <v>43.52</v>
      </c>
      <c r="L16" s="54">
        <v>20.61</v>
      </c>
      <c r="M16" s="54">
        <v>97.28</v>
      </c>
      <c r="N16" s="54">
        <v>119.5</v>
      </c>
      <c r="O16" s="54">
        <v>0.20</v>
      </c>
      <c r="P16" s="54">
        <v>0.19</v>
      </c>
      <c r="Q16" s="54">
        <v>13.46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4.34</v>
      </c>
      <c r="C17" s="54">
        <v>21.12</v>
      </c>
      <c r="D17" s="54">
        <v>15.78</v>
      </c>
      <c r="E17" s="54">
        <v>0.75</v>
      </c>
      <c r="F17" s="54">
        <v>3.43</v>
      </c>
      <c r="G17" s="54">
        <v>8.76</v>
      </c>
      <c r="H17" s="54">
        <v>5.23</v>
      </c>
      <c r="I17" s="55" t="s">
        <v>15</v>
      </c>
      <c r="J17" s="54">
        <v>0.44</v>
      </c>
      <c r="K17" s="54">
        <v>40.86</v>
      </c>
      <c r="L17" s="54">
        <v>21.15</v>
      </c>
      <c r="M17" s="54">
        <v>97.28</v>
      </c>
      <c r="N17" s="54">
        <v>150.40</v>
      </c>
      <c r="O17" s="54">
        <v>0.20</v>
      </c>
      <c r="P17" s="54">
        <v>0.23</v>
      </c>
      <c r="Q17" s="54">
        <v>13.23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4.24</v>
      </c>
      <c r="C18" s="54">
        <v>21.73</v>
      </c>
      <c r="D18" s="54">
        <v>15.98</v>
      </c>
      <c r="E18" s="54">
        <v>0.71</v>
      </c>
      <c r="F18" s="54">
        <v>3.78</v>
      </c>
      <c r="G18" s="54">
        <v>9.7899999999999991</v>
      </c>
      <c r="H18" s="54">
        <v>5.48</v>
      </c>
      <c r="I18" s="55" t="s">
        <v>15</v>
      </c>
      <c r="J18" s="54">
        <v>0.54</v>
      </c>
      <c r="K18" s="54">
        <v>38.880000000000003</v>
      </c>
      <c r="L18" s="54">
        <v>21.62</v>
      </c>
      <c r="M18" s="54">
        <v>97.28</v>
      </c>
      <c r="N18" s="54">
        <v>265.30</v>
      </c>
      <c r="O18" s="54">
        <v>0.20</v>
      </c>
      <c r="P18" s="54">
        <v>0.27</v>
      </c>
      <c r="Q18" s="54">
        <v>13.16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4.7699999999999996</v>
      </c>
      <c r="C19" s="54">
        <v>21.12</v>
      </c>
      <c r="D19" s="54">
        <v>17.86</v>
      </c>
      <c r="E19" s="54">
        <v>0.94</v>
      </c>
      <c r="F19" s="54">
        <v>4.4800000000000004</v>
      </c>
      <c r="G19" s="54">
        <v>12.07</v>
      </c>
      <c r="H19" s="54">
        <v>5.57</v>
      </c>
      <c r="I19" s="55" t="s">
        <v>15</v>
      </c>
      <c r="J19" s="54">
        <v>0.46</v>
      </c>
      <c r="K19" s="54">
        <v>41</v>
      </c>
      <c r="L19" s="54">
        <v>21.81</v>
      </c>
      <c r="M19" s="54">
        <v>97.28</v>
      </c>
      <c r="N19" s="54">
        <v>222.70</v>
      </c>
      <c r="O19" s="54">
        <v>0.20</v>
      </c>
      <c r="P19" s="54">
        <v>0.28000000000000003</v>
      </c>
      <c r="Q19" s="54">
        <v>13.15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4.4800000000000004</v>
      </c>
      <c r="C20" s="54">
        <v>18.78</v>
      </c>
      <c r="D20" s="54">
        <v>22.80</v>
      </c>
      <c r="E20" s="54">
        <v>0.72</v>
      </c>
      <c r="F20" s="54">
        <v>4.46</v>
      </c>
      <c r="G20" s="54">
        <v>9.41</v>
      </c>
      <c r="H20" s="54">
        <v>6.46</v>
      </c>
      <c r="I20" s="55" t="s">
        <v>15</v>
      </c>
      <c r="J20" s="54">
        <v>0.44</v>
      </c>
      <c r="K20" s="54">
        <v>37.130000000000003</v>
      </c>
      <c r="L20" s="54">
        <v>22.46</v>
      </c>
      <c r="M20" s="54">
        <v>97.28</v>
      </c>
      <c r="N20" s="54">
        <v>298</v>
      </c>
      <c r="O20" s="54">
        <v>0.20</v>
      </c>
      <c r="P20" s="54">
        <v>0.32</v>
      </c>
      <c r="Q20" s="54">
        <v>11.68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3.47</v>
      </c>
      <c r="C21" s="54">
        <v>19.170000000000002</v>
      </c>
      <c r="D21" s="54">
        <v>22.54</v>
      </c>
      <c r="E21" s="54">
        <v>1.18</v>
      </c>
      <c r="F21" s="54">
        <v>5.24</v>
      </c>
      <c r="G21" s="54">
        <v>10.029999999999999</v>
      </c>
      <c r="H21" s="54">
        <v>6.81</v>
      </c>
      <c r="I21" s="55" t="s">
        <v>15</v>
      </c>
      <c r="J21" s="54">
        <v>0.46</v>
      </c>
      <c r="K21" s="54">
        <v>39.729999999999997</v>
      </c>
      <c r="L21" s="54">
        <v>22.84</v>
      </c>
      <c r="M21" s="54">
        <v>97.22</v>
      </c>
      <c r="N21" s="54">
        <v>218.20</v>
      </c>
      <c r="O21" s="54">
        <v>0</v>
      </c>
      <c r="P21" s="54">
        <v>0.32</v>
      </c>
      <c r="Q21" s="54">
        <v>12.08</v>
      </c>
      <c r="R21" s="43"/>
      <c r="S21" s="43"/>
      <c r="T21" s="43"/>
      <c r="U21" s="43"/>
    </row>
    <row r="22" spans="1:21" s="11" customFormat="1" ht="15">
      <c r="A22" s="53" t="s">
        <v>147</v>
      </c>
      <c r="B22" s="58" t="s">
        <v>12</v>
      </c>
      <c r="C22" s="58" t="s">
        <v>12</v>
      </c>
      <c r="D22" s="58" t="s">
        <v>12</v>
      </c>
      <c r="E22" s="54">
        <v>5.5</v>
      </c>
      <c r="F22" s="54">
        <v>13.58</v>
      </c>
      <c r="G22" s="54">
        <v>20.04</v>
      </c>
      <c r="H22" s="54">
        <v>9.76</v>
      </c>
      <c r="I22" s="55" t="s">
        <v>15</v>
      </c>
      <c r="J22" s="54">
        <v>0.43</v>
      </c>
      <c r="K22" s="54">
        <v>37.770000000000003</v>
      </c>
      <c r="L22" s="54">
        <v>22.94</v>
      </c>
      <c r="M22" s="54">
        <v>97.20</v>
      </c>
      <c r="N22" s="54">
        <v>197.80</v>
      </c>
      <c r="O22" s="54">
        <v>0</v>
      </c>
      <c r="P22" s="54">
        <v>0.35</v>
      </c>
      <c r="Q22" s="54">
        <v>13.39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9.39</v>
      </c>
      <c r="C23" s="54">
        <v>35.11</v>
      </c>
      <c r="D23" s="54">
        <v>28.20</v>
      </c>
      <c r="E23" s="54">
        <v>1.91</v>
      </c>
      <c r="F23" s="54">
        <v>11.54</v>
      </c>
      <c r="G23" s="54">
        <v>14.42</v>
      </c>
      <c r="H23" s="54">
        <v>9.15</v>
      </c>
      <c r="I23" s="54">
        <v>1.75</v>
      </c>
      <c r="J23" s="54">
        <v>0.42</v>
      </c>
      <c r="K23" s="54">
        <v>38.89</v>
      </c>
      <c r="L23" s="54">
        <v>22.64</v>
      </c>
      <c r="M23" s="54">
        <v>97.25</v>
      </c>
      <c r="N23" s="54">
        <v>300.39999999999998</v>
      </c>
      <c r="O23" s="54">
        <v>0.40</v>
      </c>
      <c r="P23" s="54">
        <v>0.67</v>
      </c>
      <c r="Q23" s="54">
        <v>13.55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10.68</v>
      </c>
      <c r="C24" s="54">
        <v>41.06</v>
      </c>
      <c r="D24" s="54">
        <v>32.520000000000003</v>
      </c>
      <c r="E24" s="58" t="s">
        <v>12</v>
      </c>
      <c r="F24" s="54">
        <v>15.41</v>
      </c>
      <c r="G24" s="54">
        <v>13.63</v>
      </c>
      <c r="H24" s="54">
        <v>9.0399999999999991</v>
      </c>
      <c r="I24" s="54">
        <v>1.72</v>
      </c>
      <c r="J24" s="54">
        <v>0.42</v>
      </c>
      <c r="K24" s="54">
        <v>27.74</v>
      </c>
      <c r="L24" s="54">
        <v>22.56</v>
      </c>
      <c r="M24" s="54">
        <v>97.26</v>
      </c>
      <c r="N24" s="54">
        <v>253.40</v>
      </c>
      <c r="O24" s="54">
        <v>0.20</v>
      </c>
      <c r="P24" s="54">
        <v>0.91</v>
      </c>
      <c r="Q24" s="57" t="s">
        <v>8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6.93</v>
      </c>
      <c r="C25" s="54">
        <v>28.93</v>
      </c>
      <c r="D25" s="54">
        <v>22.42</v>
      </c>
      <c r="E25" s="54">
        <v>7.29</v>
      </c>
      <c r="F25" s="54">
        <v>6.55</v>
      </c>
      <c r="G25" s="54">
        <v>24.11</v>
      </c>
      <c r="H25" s="54">
        <v>10.16</v>
      </c>
      <c r="I25" s="54">
        <v>1.69</v>
      </c>
      <c r="J25" s="54">
        <v>0.44</v>
      </c>
      <c r="K25" s="54">
        <v>16.510000000000002</v>
      </c>
      <c r="L25" s="54">
        <v>22.36</v>
      </c>
      <c r="M25" s="54">
        <v>97.27</v>
      </c>
      <c r="N25" s="54">
        <v>144</v>
      </c>
      <c r="O25" s="54">
        <v>0.20</v>
      </c>
      <c r="P25" s="54">
        <v>0.35</v>
      </c>
      <c r="Q25" s="57" t="s">
        <v>8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10.23</v>
      </c>
      <c r="C26" s="54">
        <v>28.72</v>
      </c>
      <c r="D26" s="54">
        <v>25.35</v>
      </c>
      <c r="E26" s="54">
        <v>3.07</v>
      </c>
      <c r="F26" s="54">
        <v>3.28</v>
      </c>
      <c r="G26" s="54">
        <v>18.61</v>
      </c>
      <c r="H26" s="54">
        <v>11.88</v>
      </c>
      <c r="I26" s="54">
        <v>1.74</v>
      </c>
      <c r="J26" s="54">
        <v>0.27</v>
      </c>
      <c r="K26" s="54">
        <v>37.81</v>
      </c>
      <c r="L26" s="54">
        <v>22.03</v>
      </c>
      <c r="M26" s="54">
        <v>97.25</v>
      </c>
      <c r="N26" s="54">
        <v>116.90</v>
      </c>
      <c r="O26" s="54">
        <v>0</v>
      </c>
      <c r="P26" s="54">
        <v>0.42</v>
      </c>
      <c r="Q26" s="54">
        <v>12.27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20.82</v>
      </c>
      <c r="C27" s="54">
        <v>36.11</v>
      </c>
      <c r="D27" s="54">
        <v>37.92</v>
      </c>
      <c r="E27" s="54">
        <v>3.94</v>
      </c>
      <c r="F27" s="54">
        <v>3.83</v>
      </c>
      <c r="G27" s="54">
        <v>24.03</v>
      </c>
      <c r="H27" s="54">
        <v>18.52</v>
      </c>
      <c r="I27" s="54">
        <v>1.75</v>
      </c>
      <c r="J27" s="54">
        <v>0.20</v>
      </c>
      <c r="K27" s="54">
        <v>347.85</v>
      </c>
      <c r="L27" s="54">
        <v>21.88</v>
      </c>
      <c r="M27" s="54">
        <v>97.28</v>
      </c>
      <c r="N27" s="54">
        <v>48.80</v>
      </c>
      <c r="O27" s="54">
        <v>0</v>
      </c>
      <c r="P27" s="54">
        <v>0.94</v>
      </c>
      <c r="Q27" s="54">
        <v>14.48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19.14</v>
      </c>
      <c r="C28" s="54">
        <v>35.049999999999997</v>
      </c>
      <c r="D28" s="54">
        <v>35.869999999999997</v>
      </c>
      <c r="E28" s="54">
        <v>4.45</v>
      </c>
      <c r="F28" s="54">
        <v>3.53</v>
      </c>
      <c r="G28" s="54">
        <v>23.14</v>
      </c>
      <c r="H28" s="54">
        <v>15.12</v>
      </c>
      <c r="I28" s="54">
        <v>1.73</v>
      </c>
      <c r="J28" s="54">
        <v>0.11</v>
      </c>
      <c r="K28" s="54">
        <v>325.54000000000002</v>
      </c>
      <c r="L28" s="54">
        <v>21.59</v>
      </c>
      <c r="M28" s="54">
        <v>97.28</v>
      </c>
      <c r="N28" s="54">
        <v>41.40</v>
      </c>
      <c r="O28" s="54">
        <v>0.20</v>
      </c>
      <c r="P28" s="54">
        <v>1.03</v>
      </c>
      <c r="Q28" s="54">
        <v>15.37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18.18</v>
      </c>
      <c r="C29" s="54">
        <v>27.43</v>
      </c>
      <c r="D29" s="54">
        <v>30.60</v>
      </c>
      <c r="E29" s="54">
        <v>4.43</v>
      </c>
      <c r="F29" s="54">
        <v>3.24</v>
      </c>
      <c r="G29" s="54">
        <v>25.03</v>
      </c>
      <c r="H29" s="54">
        <v>14.74</v>
      </c>
      <c r="I29" s="54">
        <v>1.75</v>
      </c>
      <c r="J29" s="54">
        <v>0.13</v>
      </c>
      <c r="K29" s="54">
        <v>246.14</v>
      </c>
      <c r="L29" s="54">
        <v>21.64</v>
      </c>
      <c r="M29" s="54">
        <v>97.30</v>
      </c>
      <c r="N29" s="54">
        <v>41.40</v>
      </c>
      <c r="O29" s="54">
        <v>0.20</v>
      </c>
      <c r="P29" s="54">
        <v>0.81</v>
      </c>
      <c r="Q29" s="54">
        <v>14.83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17.95</v>
      </c>
      <c r="C30" s="54">
        <v>27.33</v>
      </c>
      <c r="D30" s="54">
        <v>29.80</v>
      </c>
      <c r="E30" s="54">
        <v>3.90</v>
      </c>
      <c r="F30" s="54">
        <v>3.81</v>
      </c>
      <c r="G30" s="54">
        <v>27.74</v>
      </c>
      <c r="H30" s="54">
        <v>15.81</v>
      </c>
      <c r="I30" s="54">
        <v>1.76</v>
      </c>
      <c r="J30" s="54">
        <v>0.06</v>
      </c>
      <c r="K30" s="54">
        <v>346.34</v>
      </c>
      <c r="L30" s="54">
        <v>21.89</v>
      </c>
      <c r="M30" s="54">
        <v>97.30</v>
      </c>
      <c r="N30" s="54">
        <v>41.40</v>
      </c>
      <c r="O30" s="54">
        <v>0</v>
      </c>
      <c r="P30" s="54">
        <v>0.76</v>
      </c>
      <c r="Q30" s="54">
        <v>16.600000000000001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17.440000000000001</v>
      </c>
      <c r="C31" s="54">
        <v>24.34</v>
      </c>
      <c r="D31" s="54">
        <v>27.54</v>
      </c>
      <c r="E31" s="54">
        <v>4.1500000000000004</v>
      </c>
      <c r="F31" s="54">
        <v>4.6900000000000004</v>
      </c>
      <c r="G31" s="54">
        <v>21.32</v>
      </c>
      <c r="H31" s="54">
        <v>13.31</v>
      </c>
      <c r="I31" s="54">
        <v>1.74</v>
      </c>
      <c r="J31" s="54">
        <v>0.070000000000000007</v>
      </c>
      <c r="K31" s="54">
        <v>286.27</v>
      </c>
      <c r="L31" s="54">
        <v>22.25</v>
      </c>
      <c r="M31" s="54">
        <v>97.30</v>
      </c>
      <c r="N31" s="54">
        <v>42.10</v>
      </c>
      <c r="O31" s="54">
        <v>0</v>
      </c>
      <c r="P31" s="54">
        <v>0.68</v>
      </c>
      <c r="Q31" s="54">
        <v>17.399999999999999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17.29</v>
      </c>
      <c r="C32" s="54">
        <v>23.52</v>
      </c>
      <c r="D32" s="54">
        <v>27.29</v>
      </c>
      <c r="E32" s="54">
        <v>4.0999999999999996</v>
      </c>
      <c r="F32" s="54">
        <v>3.5</v>
      </c>
      <c r="G32" s="54">
        <v>19.59</v>
      </c>
      <c r="H32" s="54">
        <v>12.26</v>
      </c>
      <c r="I32" s="54">
        <v>1.75</v>
      </c>
      <c r="J32" s="54">
        <v>0.11</v>
      </c>
      <c r="K32" s="54">
        <v>56.18</v>
      </c>
      <c r="L32" s="54">
        <v>22.31</v>
      </c>
      <c r="M32" s="54">
        <v>97.28</v>
      </c>
      <c r="N32" s="54">
        <v>42.20</v>
      </c>
      <c r="O32" s="54">
        <v>0</v>
      </c>
      <c r="P32" s="54">
        <v>0.65</v>
      </c>
      <c r="Q32" s="54">
        <v>15.79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1.55</v>
      </c>
      <c r="C34" s="28">
        <f t="shared" si="0"/>
        <v>17.07</v>
      </c>
      <c r="D34" s="28">
        <f t="shared" si="0"/>
        <v>11.380000000000001</v>
      </c>
      <c r="E34" s="28">
        <f t="shared" si="0"/>
        <v>0.68999999999999995</v>
      </c>
      <c r="F34" s="28">
        <f t="shared" si="0"/>
        <v>3.2400000000000002</v>
      </c>
      <c r="G34" s="28">
        <f t="shared" si="0"/>
        <v>8.7599999999999998</v>
      </c>
      <c r="H34" s="28">
        <f t="shared" si="0"/>
        <v>5.2300000000000004</v>
      </c>
      <c r="I34" s="28">
        <f t="shared" si="0"/>
        <v>1.6899999999999999</v>
      </c>
      <c r="J34" s="28">
        <f t="shared" si="0"/>
        <v>0.059999999999999998</v>
      </c>
      <c r="K34" s="28">
        <f t="shared" si="0"/>
        <v>16.510000000000002</v>
      </c>
      <c r="L34" s="28">
        <f t="shared" si="0"/>
        <v>20.120000000000001</v>
      </c>
      <c r="M34" s="28">
        <f t="shared" si="0"/>
        <v>94.739999999999995</v>
      </c>
      <c r="N34" s="28">
        <f t="shared" si="0"/>
        <v>34.399999999999999</v>
      </c>
      <c r="O34" s="28">
        <f t="shared" si="0"/>
        <v>0</v>
      </c>
      <c r="P34" s="28">
        <f t="shared" si="0"/>
        <v>0.11</v>
      </c>
      <c r="Q34" s="28">
        <f t="shared" si="0"/>
        <v>11.630000000000001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20.82</v>
      </c>
      <c r="C35" s="29">
        <f t="shared" si="1"/>
        <v>41.060000000000002</v>
      </c>
      <c r="D35" s="29">
        <f t="shared" si="1"/>
        <v>37.920000000000002</v>
      </c>
      <c r="E35" s="29">
        <f t="shared" si="1"/>
        <v>7.29</v>
      </c>
      <c r="F35" s="29">
        <f t="shared" si="1"/>
        <v>15.41</v>
      </c>
      <c r="G35" s="29">
        <f t="shared" si="1"/>
        <v>27.739999999999998</v>
      </c>
      <c r="H35" s="29">
        <f t="shared" si="1"/>
        <v>18.52</v>
      </c>
      <c r="I35" s="29">
        <f t="shared" si="1"/>
        <v>1.76</v>
      </c>
      <c r="J35" s="29">
        <f t="shared" si="1"/>
        <v>0.54000000000000004</v>
      </c>
      <c r="K35" s="29">
        <f t="shared" si="1"/>
        <v>347.85000000000002</v>
      </c>
      <c r="L35" s="29">
        <f t="shared" si="1"/>
        <v>22.940000000000001</v>
      </c>
      <c r="M35" s="29">
        <f t="shared" si="1"/>
        <v>97.299999999999997</v>
      </c>
      <c r="N35" s="29">
        <f t="shared" si="1"/>
        <v>300.39999999999998</v>
      </c>
      <c r="O35" s="29">
        <f t="shared" si="1"/>
        <v>0.40000000000000002</v>
      </c>
      <c r="P35" s="29">
        <f t="shared" si="1"/>
        <v>1.03</v>
      </c>
      <c r="Q35" s="29">
        <f t="shared" si="1"/>
        <v>17.399999999999999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8.1582608695652166</v>
      </c>
      <c r="C36" s="28">
        <f t="shared" si="2"/>
        <v>24.656086956521744</v>
      </c>
      <c r="D36" s="28">
        <f t="shared" si="2"/>
        <v>21.692173913043483</v>
      </c>
      <c r="E36" s="28">
        <f t="shared" si="2"/>
        <v>2.4304347826086956</v>
      </c>
      <c r="F36" s="28">
        <f t="shared" si="2"/>
        <v>5.4229166666666657</v>
      </c>
      <c r="G36" s="28">
        <f t="shared" si="2"/>
        <v>16.779583333333331</v>
      </c>
      <c r="H36" s="28">
        <f t="shared" si="2"/>
        <v>10.391250000000001</v>
      </c>
      <c r="I36" s="28">
        <f t="shared" si="2"/>
        <v>1.7380000000000002</v>
      </c>
      <c r="J36" s="28">
        <f t="shared" si="2"/>
        <v>0.34500000000000003</v>
      </c>
      <c r="K36" s="28">
        <f t="shared" si="2"/>
        <v>96.180416666666645</v>
      </c>
      <c r="L36" s="28">
        <f t="shared" si="2"/>
        <v>21.65958333333333</v>
      </c>
      <c r="M36" s="28">
        <f t="shared" si="2"/>
        <v>97.160416666666677</v>
      </c>
      <c r="N36" s="28">
        <f t="shared" si="2"/>
        <v>117.91250000000002</v>
      </c>
      <c r="O36" s="28">
        <f t="shared" si="2"/>
        <v>0.15833333333333338</v>
      </c>
      <c r="P36" s="28">
        <f t="shared" si="2"/>
        <v>0.42041666666666666</v>
      </c>
      <c r="Q36" s="28">
        <f t="shared" si="2"/>
        <v>13.405454545454546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6.8029797296170935</v>
      </c>
      <c r="C37" s="28">
        <f t="shared" si="3" ref="C37:Q37">STDEV(C9:C32)</f>
        <v>6.6939278720143767</v>
      </c>
      <c r="D37" s="28">
        <f t="shared" si="3"/>
        <v>8.2865975891642591</v>
      </c>
      <c r="E37" s="28">
        <f t="shared" si="3"/>
        <v>1.8937540357253599</v>
      </c>
      <c r="F37" s="28">
        <f t="shared" si="3"/>
        <v>3.2640591948578765</v>
      </c>
      <c r="G37" s="28">
        <f t="shared" si="3"/>
        <v>6.0301434687429527</v>
      </c>
      <c r="H37" s="28">
        <f t="shared" si="3"/>
        <v>4.028021752564209</v>
      </c>
      <c r="I37" s="28">
        <f t="shared" si="3"/>
        <v>0.020439612955674539</v>
      </c>
      <c r="J37" s="28">
        <f t="shared" si="3"/>
        <v>0.15222980340090522</v>
      </c>
      <c r="K37" s="28">
        <f t="shared" si="3"/>
        <v>113.94675627255143</v>
      </c>
      <c r="L37" s="28">
        <f t="shared" si="3"/>
        <v>0.8270349299529729</v>
      </c>
      <c r="M37" s="28">
        <f t="shared" si="3"/>
        <v>0.51663189457558156</v>
      </c>
      <c r="N37" s="28">
        <f t="shared" si="3"/>
        <v>95.890151430187743</v>
      </c>
      <c r="O37" s="28">
        <f t="shared" si="3"/>
        <v>0.1442120017518492</v>
      </c>
      <c r="P37" s="28">
        <f t="shared" si="3"/>
        <v>0.30113523131017383</v>
      </c>
      <c r="Q37" s="28">
        <f t="shared" si="3"/>
        <v>1.6645740976018031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>COUNT(E9:E32)+1</f>
        <v>24</v>
      </c>
      <c r="F38" s="32">
        <f t="shared" si="4" ref="F38:P38">COUNT(F9:F32)</f>
        <v>24</v>
      </c>
      <c r="G38" s="32">
        <f t="shared" si="4"/>
        <v>24</v>
      </c>
      <c r="H38" s="32">
        <f t="shared" si="4"/>
        <v>24</v>
      </c>
      <c r="I38" s="32">
        <f t="shared" si="4"/>
        <v>10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20be09-4878-4e5f-ad78-a58f73d90ea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58" sqref="I5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13.91</v>
      </c>
      <c r="C9" s="54">
        <v>24.64</v>
      </c>
      <c r="D9" s="54">
        <v>25.31</v>
      </c>
      <c r="E9" s="54">
        <v>4.9800000000000004</v>
      </c>
      <c r="F9" s="54">
        <v>4.62</v>
      </c>
      <c r="G9" s="54">
        <v>15.07</v>
      </c>
      <c r="H9" s="54">
        <v>11.15</v>
      </c>
      <c r="I9" s="54">
        <v>1.74</v>
      </c>
      <c r="J9" s="54">
        <v>0.15</v>
      </c>
      <c r="K9" s="54">
        <v>45.27</v>
      </c>
      <c r="L9" s="54">
        <v>22.25</v>
      </c>
      <c r="M9" s="54">
        <v>97.28</v>
      </c>
      <c r="N9" s="54">
        <v>42.10</v>
      </c>
      <c r="O9" s="54">
        <v>0.20</v>
      </c>
      <c r="P9" s="54">
        <v>0.54</v>
      </c>
      <c r="Q9" s="54">
        <v>16.45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10.39</v>
      </c>
      <c r="C10" s="54">
        <v>22.15</v>
      </c>
      <c r="D10" s="54">
        <v>21.85</v>
      </c>
      <c r="E10" s="54">
        <v>5.18</v>
      </c>
      <c r="F10" s="54">
        <v>3.36</v>
      </c>
      <c r="G10" s="54">
        <v>12.33</v>
      </c>
      <c r="H10" s="54">
        <v>8.2799999999999994</v>
      </c>
      <c r="I10" s="54">
        <v>1.75</v>
      </c>
      <c r="J10" s="54">
        <v>0.18</v>
      </c>
      <c r="K10" s="54">
        <v>44.53</v>
      </c>
      <c r="L10" s="54">
        <v>22.24</v>
      </c>
      <c r="M10" s="54">
        <v>97.28</v>
      </c>
      <c r="N10" s="54">
        <v>42.10</v>
      </c>
      <c r="O10" s="54">
        <v>0</v>
      </c>
      <c r="P10" s="54">
        <v>0.40</v>
      </c>
      <c r="Q10" s="54">
        <v>16.54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8.64</v>
      </c>
      <c r="C11" s="54">
        <v>23.97</v>
      </c>
      <c r="D11" s="54">
        <v>20.48</v>
      </c>
      <c r="E11" s="54">
        <v>5</v>
      </c>
      <c r="F11" s="54">
        <v>3.37</v>
      </c>
      <c r="G11" s="54">
        <v>13.03</v>
      </c>
      <c r="H11" s="54">
        <v>7.93</v>
      </c>
      <c r="I11" s="54">
        <v>1.73</v>
      </c>
      <c r="J11" s="54">
        <v>0.14000000000000001</v>
      </c>
      <c r="K11" s="54">
        <v>45.19</v>
      </c>
      <c r="L11" s="54">
        <v>22.17</v>
      </c>
      <c r="M11" s="54">
        <v>97.28</v>
      </c>
      <c r="N11" s="54">
        <v>42.10</v>
      </c>
      <c r="O11" s="54">
        <v>0</v>
      </c>
      <c r="P11" s="54">
        <v>0.36</v>
      </c>
      <c r="Q11" s="54">
        <v>13.82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7.08</v>
      </c>
      <c r="C12" s="54">
        <v>24.25</v>
      </c>
      <c r="D12" s="54">
        <v>20.329999999999998</v>
      </c>
      <c r="E12" s="54">
        <v>4.68</v>
      </c>
      <c r="F12" s="54">
        <v>3.65</v>
      </c>
      <c r="G12" s="54">
        <v>13.54</v>
      </c>
      <c r="H12" s="54">
        <v>6.91</v>
      </c>
      <c r="I12" s="54">
        <v>1.76</v>
      </c>
      <c r="J12" s="54">
        <v>0.14000000000000001</v>
      </c>
      <c r="K12" s="54">
        <v>40.44</v>
      </c>
      <c r="L12" s="54">
        <v>22.06</v>
      </c>
      <c r="M12" s="54">
        <v>97.26</v>
      </c>
      <c r="N12" s="54">
        <v>42.10</v>
      </c>
      <c r="O12" s="54">
        <v>0</v>
      </c>
      <c r="P12" s="54">
        <v>0.28999999999999998</v>
      </c>
      <c r="Q12" s="54">
        <v>14.66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7.04</v>
      </c>
      <c r="C13" s="54">
        <v>23.13</v>
      </c>
      <c r="D13" s="54">
        <v>19.71</v>
      </c>
      <c r="E13" s="54">
        <v>5.22</v>
      </c>
      <c r="F13" s="54">
        <v>3.76</v>
      </c>
      <c r="G13" s="54">
        <v>10.49</v>
      </c>
      <c r="H13" s="54">
        <v>5.23</v>
      </c>
      <c r="I13" s="54">
        <v>1.74</v>
      </c>
      <c r="J13" s="54">
        <v>0.28000000000000003</v>
      </c>
      <c r="K13" s="54">
        <v>51.94</v>
      </c>
      <c r="L13" s="54">
        <v>22.12</v>
      </c>
      <c r="M13" s="54">
        <v>97.25</v>
      </c>
      <c r="N13" s="54">
        <v>42.20</v>
      </c>
      <c r="O13" s="54">
        <v>0</v>
      </c>
      <c r="P13" s="54">
        <v>0.25</v>
      </c>
      <c r="Q13" s="54">
        <v>14.76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6.58</v>
      </c>
      <c r="C14" s="54">
        <v>23.86</v>
      </c>
      <c r="D14" s="54">
        <v>19.70</v>
      </c>
      <c r="E14" s="54">
        <v>4.8899999999999997</v>
      </c>
      <c r="F14" s="54">
        <v>3.54</v>
      </c>
      <c r="G14" s="54">
        <v>11.57</v>
      </c>
      <c r="H14" s="54">
        <v>6.23</v>
      </c>
      <c r="I14" s="54">
        <v>1.77</v>
      </c>
      <c r="J14" s="54">
        <v>0.28000000000000003</v>
      </c>
      <c r="K14" s="54">
        <v>46.23</v>
      </c>
      <c r="L14" s="54">
        <v>22.09</v>
      </c>
      <c r="M14" s="54">
        <v>97.25</v>
      </c>
      <c r="N14" s="54">
        <v>54.60</v>
      </c>
      <c r="O14" s="54">
        <v>0</v>
      </c>
      <c r="P14" s="54">
        <v>0.23</v>
      </c>
      <c r="Q14" s="54">
        <v>12.22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7.34</v>
      </c>
      <c r="C15" s="54">
        <v>23.71</v>
      </c>
      <c r="D15" s="54">
        <v>20</v>
      </c>
      <c r="E15" s="54">
        <v>4.66</v>
      </c>
      <c r="F15" s="54">
        <v>3.06</v>
      </c>
      <c r="G15" s="54">
        <v>9.9600000000000009</v>
      </c>
      <c r="H15" s="54">
        <v>4.6399999999999997</v>
      </c>
      <c r="I15" s="54">
        <v>1.69</v>
      </c>
      <c r="J15" s="54">
        <v>0.31</v>
      </c>
      <c r="K15" s="54">
        <v>46.67</v>
      </c>
      <c r="L15" s="54">
        <v>22.31</v>
      </c>
      <c r="M15" s="54">
        <v>96.82</v>
      </c>
      <c r="N15" s="54">
        <v>120.90</v>
      </c>
      <c r="O15" s="54">
        <v>0</v>
      </c>
      <c r="P15" s="54">
        <v>0.22</v>
      </c>
      <c r="Q15" s="54">
        <v>12.94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8</v>
      </c>
      <c r="C16" s="54">
        <v>24.20</v>
      </c>
      <c r="D16" s="54">
        <v>20.75</v>
      </c>
      <c r="E16" s="54">
        <v>4.91</v>
      </c>
      <c r="F16" s="54">
        <v>3.08</v>
      </c>
      <c r="G16" s="54">
        <v>10.90</v>
      </c>
      <c r="H16" s="54">
        <v>4.16</v>
      </c>
      <c r="I16" s="54">
        <v>1.71</v>
      </c>
      <c r="J16" s="54">
        <v>0.30</v>
      </c>
      <c r="K16" s="54">
        <v>39.53</v>
      </c>
      <c r="L16" s="54">
        <v>22.93</v>
      </c>
      <c r="M16" s="54">
        <v>96.47</v>
      </c>
      <c r="N16" s="54">
        <v>233.30</v>
      </c>
      <c r="O16" s="54">
        <v>0</v>
      </c>
      <c r="P16" s="54">
        <v>0.25</v>
      </c>
      <c r="Q16" s="54">
        <v>13.12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7.75</v>
      </c>
      <c r="C17" s="54">
        <v>25.86</v>
      </c>
      <c r="D17" s="54">
        <v>21.69</v>
      </c>
      <c r="E17" s="54">
        <v>3.42</v>
      </c>
      <c r="F17" s="54">
        <v>3.17</v>
      </c>
      <c r="G17" s="54">
        <v>17.97</v>
      </c>
      <c r="H17" s="54">
        <v>5.55</v>
      </c>
      <c r="I17" s="54">
        <v>1.73</v>
      </c>
      <c r="J17" s="54">
        <v>0.46</v>
      </c>
      <c r="K17" s="54">
        <v>46.58</v>
      </c>
      <c r="L17" s="54">
        <v>24.51</v>
      </c>
      <c r="M17" s="54">
        <v>92.80</v>
      </c>
      <c r="N17" s="54">
        <v>422.30</v>
      </c>
      <c r="O17" s="54">
        <v>0</v>
      </c>
      <c r="P17" s="54">
        <v>0.28000000000000003</v>
      </c>
      <c r="Q17" s="54">
        <v>11.41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8.4499999999999993</v>
      </c>
      <c r="C18" s="54">
        <v>27.33</v>
      </c>
      <c r="D18" s="54">
        <v>23.16</v>
      </c>
      <c r="E18" s="54">
        <v>3.91</v>
      </c>
      <c r="F18" s="54">
        <v>3.18</v>
      </c>
      <c r="G18" s="54">
        <v>21.81</v>
      </c>
      <c r="H18" s="54">
        <v>5.68</v>
      </c>
      <c r="I18" s="54">
        <v>1.74</v>
      </c>
      <c r="J18" s="54">
        <v>0.44</v>
      </c>
      <c r="K18" s="54">
        <v>42.21</v>
      </c>
      <c r="L18" s="54">
        <v>27.17</v>
      </c>
      <c r="M18" s="54">
        <v>83.17</v>
      </c>
      <c r="N18" s="54">
        <v>705.90</v>
      </c>
      <c r="O18" s="54">
        <v>0</v>
      </c>
      <c r="P18" s="54">
        <v>0.40</v>
      </c>
      <c r="Q18" s="54">
        <v>12.56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8.5399999999999991</v>
      </c>
      <c r="C19" s="54">
        <v>29.75</v>
      </c>
      <c r="D19" s="54">
        <v>24.5</v>
      </c>
      <c r="E19" s="54">
        <v>3.83</v>
      </c>
      <c r="F19" s="54">
        <v>3.57</v>
      </c>
      <c r="G19" s="54">
        <v>33.53</v>
      </c>
      <c r="H19" s="54">
        <v>8.3000000000000007</v>
      </c>
      <c r="I19" s="54">
        <v>1.72</v>
      </c>
      <c r="J19" s="54">
        <v>0.43</v>
      </c>
      <c r="K19" s="54">
        <v>43.41</v>
      </c>
      <c r="L19" s="54">
        <v>27.56</v>
      </c>
      <c r="M19" s="54">
        <v>75.30</v>
      </c>
      <c r="N19" s="54">
        <v>732.70</v>
      </c>
      <c r="O19" s="54">
        <v>0</v>
      </c>
      <c r="P19" s="54">
        <v>0.5</v>
      </c>
      <c r="Q19" s="54">
        <v>12.47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8.4700000000000006</v>
      </c>
      <c r="C20" s="54">
        <v>31.21</v>
      </c>
      <c r="D20" s="54">
        <v>25.31</v>
      </c>
      <c r="E20" s="54">
        <v>3.48</v>
      </c>
      <c r="F20" s="54">
        <v>4.38</v>
      </c>
      <c r="G20" s="54">
        <v>43.61</v>
      </c>
      <c r="H20" s="54">
        <v>10.050000000000001</v>
      </c>
      <c r="I20" s="54">
        <v>1.68</v>
      </c>
      <c r="J20" s="54">
        <v>0.43</v>
      </c>
      <c r="K20" s="54">
        <v>47.79</v>
      </c>
      <c r="L20" s="54">
        <v>27.20</v>
      </c>
      <c r="M20" s="54">
        <v>75.86</v>
      </c>
      <c r="N20" s="54">
        <v>552.60</v>
      </c>
      <c r="O20" s="54">
        <v>0</v>
      </c>
      <c r="P20" s="54">
        <v>0.54</v>
      </c>
      <c r="Q20" s="54">
        <v>11.67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5.32</v>
      </c>
      <c r="C21" s="54">
        <v>28.71</v>
      </c>
      <c r="D21" s="54">
        <v>21.20</v>
      </c>
      <c r="E21" s="54">
        <v>4.97</v>
      </c>
      <c r="F21" s="54">
        <v>4.76</v>
      </c>
      <c r="G21" s="54">
        <v>41.20</v>
      </c>
      <c r="H21" s="54">
        <v>11.37</v>
      </c>
      <c r="I21" s="54">
        <v>1.71</v>
      </c>
      <c r="J21" s="54">
        <v>0.49</v>
      </c>
      <c r="K21" s="54">
        <v>42.73</v>
      </c>
      <c r="L21" s="54">
        <v>28.52</v>
      </c>
      <c r="M21" s="54">
        <v>76.569999999999993</v>
      </c>
      <c r="N21" s="54">
        <v>1167.9000000000001</v>
      </c>
      <c r="O21" s="54">
        <v>0</v>
      </c>
      <c r="P21" s="54">
        <v>0.44</v>
      </c>
      <c r="Q21" s="54">
        <v>10.57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4.76</v>
      </c>
      <c r="C22" s="54">
        <v>26.66</v>
      </c>
      <c r="D22" s="54">
        <v>19.829999999999998</v>
      </c>
      <c r="E22" s="54">
        <v>5.5</v>
      </c>
      <c r="F22" s="54">
        <v>5.04</v>
      </c>
      <c r="G22" s="54">
        <v>42.99</v>
      </c>
      <c r="H22" s="54">
        <v>10.14</v>
      </c>
      <c r="I22" s="54">
        <v>1.72</v>
      </c>
      <c r="J22" s="54">
        <v>0.34</v>
      </c>
      <c r="K22" s="54">
        <v>42.75</v>
      </c>
      <c r="L22" s="54">
        <v>27.97</v>
      </c>
      <c r="M22" s="54">
        <v>74.92</v>
      </c>
      <c r="N22" s="54">
        <v>449.60</v>
      </c>
      <c r="O22" s="54">
        <v>0</v>
      </c>
      <c r="P22" s="54">
        <v>0.40</v>
      </c>
      <c r="Q22" s="54">
        <v>10.77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5.13</v>
      </c>
      <c r="C23" s="54">
        <v>26.35</v>
      </c>
      <c r="D23" s="54">
        <v>19.760000000000002</v>
      </c>
      <c r="E23" s="54">
        <v>4.41</v>
      </c>
      <c r="F23" s="54">
        <v>4.3099999999999996</v>
      </c>
      <c r="G23" s="54">
        <v>35.32</v>
      </c>
      <c r="H23" s="54">
        <v>11.85</v>
      </c>
      <c r="I23" s="54">
        <v>1.71</v>
      </c>
      <c r="J23" s="54">
        <v>0.42</v>
      </c>
      <c r="K23" s="54">
        <v>46.35</v>
      </c>
      <c r="L23" s="54">
        <v>27.23</v>
      </c>
      <c r="M23" s="54">
        <v>76.13</v>
      </c>
      <c r="N23" s="54">
        <v>378</v>
      </c>
      <c r="O23" s="54">
        <v>0</v>
      </c>
      <c r="P23" s="54">
        <v>0.37</v>
      </c>
      <c r="Q23" s="54">
        <v>9.15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5.74</v>
      </c>
      <c r="C24" s="54">
        <v>29.75</v>
      </c>
      <c r="D24" s="54">
        <v>21.98</v>
      </c>
      <c r="E24" s="54">
        <v>5.22</v>
      </c>
      <c r="F24" s="54">
        <v>5.76</v>
      </c>
      <c r="G24" s="54">
        <v>39.89</v>
      </c>
      <c r="H24" s="54">
        <v>11.78</v>
      </c>
      <c r="I24" s="54">
        <v>1.74</v>
      </c>
      <c r="J24" s="54">
        <v>0.37</v>
      </c>
      <c r="K24" s="54">
        <v>44.35</v>
      </c>
      <c r="L24" s="54">
        <v>27.41</v>
      </c>
      <c r="M24" s="54">
        <v>75.33</v>
      </c>
      <c r="N24" s="54">
        <v>305.80</v>
      </c>
      <c r="O24" s="54">
        <v>0</v>
      </c>
      <c r="P24" s="54">
        <v>0.35</v>
      </c>
      <c r="Q24" s="54">
        <v>11.75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5.15</v>
      </c>
      <c r="C25" s="54">
        <v>29.35</v>
      </c>
      <c r="D25" s="54">
        <v>21.48</v>
      </c>
      <c r="E25" s="54">
        <v>3.29</v>
      </c>
      <c r="F25" s="54">
        <v>5.49</v>
      </c>
      <c r="G25" s="54">
        <v>42.39</v>
      </c>
      <c r="H25" s="54">
        <v>14.02</v>
      </c>
      <c r="I25" s="54">
        <v>1.76</v>
      </c>
      <c r="J25" s="54">
        <v>0.36</v>
      </c>
      <c r="K25" s="54">
        <v>48.56</v>
      </c>
      <c r="L25" s="54">
        <v>27.20</v>
      </c>
      <c r="M25" s="54">
        <v>75.150000000000006</v>
      </c>
      <c r="N25" s="54">
        <v>184</v>
      </c>
      <c r="O25" s="54">
        <v>0</v>
      </c>
      <c r="P25" s="54">
        <v>0.38</v>
      </c>
      <c r="Q25" s="54">
        <v>12.03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6.90</v>
      </c>
      <c r="C26" s="54">
        <v>29.70</v>
      </c>
      <c r="D26" s="54">
        <v>22.82</v>
      </c>
      <c r="E26" s="54">
        <v>3.15</v>
      </c>
      <c r="F26" s="54">
        <v>5.32</v>
      </c>
      <c r="G26" s="54">
        <v>41.15</v>
      </c>
      <c r="H26" s="54">
        <v>14.13</v>
      </c>
      <c r="I26" s="54">
        <v>1.72</v>
      </c>
      <c r="J26" s="54">
        <v>0.35</v>
      </c>
      <c r="K26" s="54">
        <v>51.20</v>
      </c>
      <c r="L26" s="54">
        <v>26.86</v>
      </c>
      <c r="M26" s="54">
        <v>76.760000000000005</v>
      </c>
      <c r="N26" s="54">
        <v>108.60</v>
      </c>
      <c r="O26" s="54">
        <v>0</v>
      </c>
      <c r="P26" s="54">
        <v>0.43</v>
      </c>
      <c r="Q26" s="54">
        <v>9.36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24.90</v>
      </c>
      <c r="C27" s="54">
        <v>40.90</v>
      </c>
      <c r="D27" s="54">
        <v>43.83</v>
      </c>
      <c r="E27" s="54">
        <v>4.17</v>
      </c>
      <c r="F27" s="54">
        <v>12.66</v>
      </c>
      <c r="G27" s="54">
        <v>45.24</v>
      </c>
      <c r="H27" s="54">
        <v>12.91</v>
      </c>
      <c r="I27" s="54">
        <v>1.71</v>
      </c>
      <c r="J27" s="54">
        <v>1.1000000000000001</v>
      </c>
      <c r="K27" s="54">
        <v>62.22</v>
      </c>
      <c r="L27" s="54">
        <v>26.15</v>
      </c>
      <c r="M27" s="54">
        <v>82.51</v>
      </c>
      <c r="N27" s="54">
        <v>37.299999999999997</v>
      </c>
      <c r="O27" s="54">
        <v>0</v>
      </c>
      <c r="P27" s="54">
        <v>1.1399999999999999</v>
      </c>
      <c r="Q27" s="54">
        <v>13.12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9.92</v>
      </c>
      <c r="C28" s="54">
        <v>39.65</v>
      </c>
      <c r="D28" s="54">
        <v>28.55</v>
      </c>
      <c r="E28" s="54">
        <v>3.91</v>
      </c>
      <c r="F28" s="54">
        <v>5.97</v>
      </c>
      <c r="G28" s="54">
        <v>58.83</v>
      </c>
      <c r="H28" s="54">
        <v>13.30</v>
      </c>
      <c r="I28" s="54">
        <v>1.76</v>
      </c>
      <c r="J28" s="54">
        <v>2.71</v>
      </c>
      <c r="K28" s="54">
        <v>355.74</v>
      </c>
      <c r="L28" s="54">
        <v>24.66</v>
      </c>
      <c r="M28" s="54">
        <v>97.21</v>
      </c>
      <c r="N28" s="54">
        <v>29.30</v>
      </c>
      <c r="O28" s="54">
        <v>1</v>
      </c>
      <c r="P28" s="54">
        <v>0.67</v>
      </c>
      <c r="Q28" s="54">
        <v>15.43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17.61</v>
      </c>
      <c r="C29" s="54">
        <v>43.24</v>
      </c>
      <c r="D29" s="54">
        <v>39.28</v>
      </c>
      <c r="E29" s="54">
        <v>4.12</v>
      </c>
      <c r="F29" s="54">
        <v>5.47</v>
      </c>
      <c r="G29" s="54">
        <v>47.33</v>
      </c>
      <c r="H29" s="54">
        <v>11.31</v>
      </c>
      <c r="I29" s="54">
        <v>1.75</v>
      </c>
      <c r="J29" s="54">
        <v>1.08</v>
      </c>
      <c r="K29" s="54">
        <v>357.67</v>
      </c>
      <c r="L29" s="54">
        <v>22.28</v>
      </c>
      <c r="M29" s="54">
        <v>97.25</v>
      </c>
      <c r="N29" s="54">
        <v>26.30</v>
      </c>
      <c r="O29" s="54">
        <v>0.80</v>
      </c>
      <c r="P29" s="54">
        <v>0.86</v>
      </c>
      <c r="Q29" s="54">
        <v>12.03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27.44</v>
      </c>
      <c r="C30" s="54">
        <v>58.92</v>
      </c>
      <c r="D30" s="54">
        <v>55.68</v>
      </c>
      <c r="E30" s="54">
        <v>4.7300000000000004</v>
      </c>
      <c r="F30" s="54">
        <v>5.37</v>
      </c>
      <c r="G30" s="54">
        <v>33.40</v>
      </c>
      <c r="H30" s="54">
        <v>13.15</v>
      </c>
      <c r="I30" s="54">
        <v>1.73</v>
      </c>
      <c r="J30" s="54">
        <v>0.14000000000000001</v>
      </c>
      <c r="K30" s="54">
        <v>349.56</v>
      </c>
      <c r="L30" s="54">
        <v>22.51</v>
      </c>
      <c r="M30" s="54">
        <v>97.27</v>
      </c>
      <c r="N30" s="54">
        <v>26.20</v>
      </c>
      <c r="O30" s="54">
        <v>0</v>
      </c>
      <c r="P30" s="54">
        <v>1.1100000000000001</v>
      </c>
      <c r="Q30" s="54">
        <v>15.63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14</v>
      </c>
      <c r="C31" s="54">
        <v>37.17</v>
      </c>
      <c r="D31" s="54">
        <v>31.18</v>
      </c>
      <c r="E31" s="54">
        <v>4.24</v>
      </c>
      <c r="F31" s="54">
        <v>4.4800000000000004</v>
      </c>
      <c r="G31" s="54">
        <v>33.99</v>
      </c>
      <c r="H31" s="54">
        <v>10.85</v>
      </c>
      <c r="I31" s="54">
        <v>1.73</v>
      </c>
      <c r="J31" s="54">
        <v>0.39</v>
      </c>
      <c r="K31" s="54">
        <v>228.22</v>
      </c>
      <c r="L31" s="54">
        <v>22.64</v>
      </c>
      <c r="M31" s="54">
        <v>97.29</v>
      </c>
      <c r="N31" s="54">
        <v>26.5</v>
      </c>
      <c r="O31" s="54">
        <v>0</v>
      </c>
      <c r="P31" s="54">
        <v>0.72</v>
      </c>
      <c r="Q31" s="54">
        <v>16.38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14.36</v>
      </c>
      <c r="C32" s="54">
        <v>31.52</v>
      </c>
      <c r="D32" s="54">
        <v>29.83</v>
      </c>
      <c r="E32" s="54">
        <v>3.90</v>
      </c>
      <c r="F32" s="54">
        <v>5.78</v>
      </c>
      <c r="G32" s="54">
        <v>39.950000000000003</v>
      </c>
      <c r="H32" s="54">
        <v>10.65</v>
      </c>
      <c r="I32" s="54">
        <v>1.79</v>
      </c>
      <c r="J32" s="54">
        <v>0.18</v>
      </c>
      <c r="K32" s="54">
        <v>238.62</v>
      </c>
      <c r="L32" s="54">
        <v>23.06</v>
      </c>
      <c r="M32" s="54">
        <v>97.30</v>
      </c>
      <c r="N32" s="54">
        <v>26.80</v>
      </c>
      <c r="O32" s="54">
        <v>0</v>
      </c>
      <c r="P32" s="54">
        <v>0.67</v>
      </c>
      <c r="Q32" s="54">
        <v>15.71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4.7599999999999998</v>
      </c>
      <c r="C34" s="28">
        <f t="shared" si="0"/>
        <v>22.149999999999999</v>
      </c>
      <c r="D34" s="28">
        <f t="shared" si="0"/>
        <v>19.699999999999999</v>
      </c>
      <c r="E34" s="28">
        <f t="shared" si="0"/>
        <v>3.1499999999999999</v>
      </c>
      <c r="F34" s="28">
        <f t="shared" si="0"/>
        <v>3.0600000000000001</v>
      </c>
      <c r="G34" s="28">
        <f t="shared" si="0"/>
        <v>9.9600000000000009</v>
      </c>
      <c r="H34" s="28">
        <f t="shared" si="0"/>
        <v>4.1600000000000001</v>
      </c>
      <c r="I34" s="28">
        <f t="shared" si="0"/>
        <v>1.6799999999999999</v>
      </c>
      <c r="J34" s="28">
        <f t="shared" si="0"/>
        <v>0.14000000000000001</v>
      </c>
      <c r="K34" s="28">
        <f t="shared" si="0"/>
        <v>39.530000000000001</v>
      </c>
      <c r="L34" s="28">
        <f t="shared" si="0"/>
        <v>22.059999999999999</v>
      </c>
      <c r="M34" s="28">
        <f t="shared" si="0"/>
        <v>74.920000000000002</v>
      </c>
      <c r="N34" s="28">
        <f t="shared" si="0"/>
        <v>26.199999999999999</v>
      </c>
      <c r="O34" s="28">
        <f t="shared" si="0"/>
        <v>0</v>
      </c>
      <c r="P34" s="28">
        <f t="shared" si="0"/>
        <v>0.22</v>
      </c>
      <c r="Q34" s="28">
        <f t="shared" si="0"/>
        <v>9.1500000000000004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27.440000000000001</v>
      </c>
      <c r="C35" s="29">
        <f t="shared" si="1"/>
        <v>58.920000000000002</v>
      </c>
      <c r="D35" s="29">
        <f t="shared" si="1"/>
        <v>55.68</v>
      </c>
      <c r="E35" s="29">
        <f t="shared" si="1"/>
        <v>5.5</v>
      </c>
      <c r="F35" s="29">
        <f t="shared" si="1"/>
        <v>12.66</v>
      </c>
      <c r="G35" s="29">
        <f t="shared" si="1"/>
        <v>58.829999999999998</v>
      </c>
      <c r="H35" s="29">
        <f t="shared" si="1"/>
        <v>14.130000000000001</v>
      </c>
      <c r="I35" s="29">
        <f t="shared" si="1"/>
        <v>1.79</v>
      </c>
      <c r="J35" s="29">
        <f t="shared" si="1"/>
        <v>2.71</v>
      </c>
      <c r="K35" s="29">
        <f t="shared" si="1"/>
        <v>357.67000000000002</v>
      </c>
      <c r="L35" s="29">
        <f t="shared" si="1"/>
        <v>28.52</v>
      </c>
      <c r="M35" s="29">
        <f t="shared" si="1"/>
        <v>97.299999999999997</v>
      </c>
      <c r="N35" s="29">
        <f t="shared" si="1"/>
        <v>1167.9000000000001</v>
      </c>
      <c r="O35" s="29">
        <f t="shared" si="1"/>
        <v>1</v>
      </c>
      <c r="P35" s="29">
        <f t="shared" si="1"/>
        <v>1.1399999999999999</v>
      </c>
      <c r="Q35" s="29">
        <f t="shared" si="1"/>
        <v>16.539999999999999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10.1425</v>
      </c>
      <c r="C36" s="28">
        <f t="shared" si="2"/>
        <v>30.249166666666664</v>
      </c>
      <c r="D36" s="28">
        <f t="shared" si="2"/>
        <v>25.758749999999996</v>
      </c>
      <c r="E36" s="28">
        <f t="shared" si="2"/>
        <v>4.4070833333333335</v>
      </c>
      <c r="F36" s="28">
        <f t="shared" si="2"/>
        <v>4.7145833333333327</v>
      </c>
      <c r="G36" s="28">
        <f t="shared" si="2"/>
        <v>29.812083333333334</v>
      </c>
      <c r="H36" s="28">
        <f t="shared" si="2"/>
        <v>9.5654166666666658</v>
      </c>
      <c r="I36" s="28">
        <f t="shared" si="2"/>
        <v>1.7329166666666662</v>
      </c>
      <c r="J36" s="28">
        <f t="shared" si="2"/>
        <v>0.47791666666666671</v>
      </c>
      <c r="K36" s="28">
        <f t="shared" si="2"/>
        <v>100.32333333333332</v>
      </c>
      <c r="L36" s="28">
        <f t="shared" si="2"/>
        <v>24.629166666666666</v>
      </c>
      <c r="M36" s="28">
        <f t="shared" si="2"/>
        <v>88.654583333333335</v>
      </c>
      <c r="N36" s="28">
        <f t="shared" si="2"/>
        <v>241.63333333333341</v>
      </c>
      <c r="O36" s="28">
        <f t="shared" si="2"/>
        <v>0.083333333333333329</v>
      </c>
      <c r="P36" s="28">
        <f t="shared" si="2"/>
        <v>0.49166666666666664</v>
      </c>
      <c r="Q36" s="28">
        <f t="shared" si="2"/>
        <v>13.106249999999998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5.9426558621252985</v>
      </c>
      <c r="C37" s="28">
        <f t="shared" si="3" ref="C37:Q37">STDEV(C9:C32)</f>
        <v>8.4601731489458949</v>
      </c>
      <c r="D37" s="28">
        <f t="shared" si="3"/>
        <v>8.8980424386002337</v>
      </c>
      <c r="E37" s="28">
        <f t="shared" si="3"/>
        <v>0.68372050714020016</v>
      </c>
      <c r="F37" s="28">
        <f t="shared" si="3"/>
        <v>1.9546666104405157</v>
      </c>
      <c r="G37" s="28">
        <f t="shared" si="3"/>
        <v>15.004017716762656</v>
      </c>
      <c r="H37" s="28">
        <f t="shared" si="3"/>
        <v>3.1525420786995095</v>
      </c>
      <c r="I37" s="28">
        <f t="shared" si="3"/>
        <v>0.025448868885202598</v>
      </c>
      <c r="J37" s="28">
        <f t="shared" si="3"/>
        <v>0.53470820296573029</v>
      </c>
      <c r="K37" s="28">
        <f t="shared" si="3"/>
        <v>111.34846179865951</v>
      </c>
      <c r="L37" s="28">
        <f t="shared" si="3"/>
        <v>2.4478915801983137</v>
      </c>
      <c r="M37" s="28">
        <f t="shared" si="3"/>
        <v>10.136861266712623</v>
      </c>
      <c r="N37" s="28">
        <f t="shared" si="3"/>
        <v>298.67038930780433</v>
      </c>
      <c r="O37" s="28">
        <f t="shared" si="3"/>
        <v>0.25650945684180021</v>
      </c>
      <c r="P37" s="28">
        <f t="shared" si="3"/>
        <v>0.25535425804448469</v>
      </c>
      <c r="Q37" s="28">
        <f t="shared" si="3"/>
        <v>2.1877679960059391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7309f5-edea-4ca0-b11b-40741c4832e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6" sqref="G66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12.41</v>
      </c>
      <c r="C9" s="54">
        <v>27.44</v>
      </c>
      <c r="D9" s="54">
        <v>26.23</v>
      </c>
      <c r="E9" s="54">
        <v>4.51</v>
      </c>
      <c r="F9" s="54">
        <v>6.60</v>
      </c>
      <c r="G9" s="54">
        <v>30.20</v>
      </c>
      <c r="H9" s="54">
        <v>11.27</v>
      </c>
      <c r="I9" s="54">
        <v>1.75</v>
      </c>
      <c r="J9" s="54">
        <v>0.20</v>
      </c>
      <c r="K9" s="54">
        <v>49.70</v>
      </c>
      <c r="L9" s="54">
        <v>23.34</v>
      </c>
      <c r="M9" s="54">
        <v>97.23</v>
      </c>
      <c r="N9" s="54">
        <v>27.20</v>
      </c>
      <c r="O9" s="54">
        <v>0</v>
      </c>
      <c r="P9" s="54">
        <v>0.54</v>
      </c>
      <c r="Q9" s="54">
        <v>18.13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11.56</v>
      </c>
      <c r="C10" s="54">
        <v>27.43</v>
      </c>
      <c r="D10" s="54">
        <v>25.60</v>
      </c>
      <c r="E10" s="54">
        <v>4.30</v>
      </c>
      <c r="F10" s="54">
        <v>3.77</v>
      </c>
      <c r="G10" s="54">
        <v>26.21</v>
      </c>
      <c r="H10" s="54">
        <v>12</v>
      </c>
      <c r="I10" s="54">
        <v>1.72</v>
      </c>
      <c r="J10" s="54">
        <v>0.19</v>
      </c>
      <c r="K10" s="54">
        <v>45.74</v>
      </c>
      <c r="L10" s="54">
        <v>23.28</v>
      </c>
      <c r="M10" s="54">
        <v>97.25</v>
      </c>
      <c r="N10" s="54">
        <v>27.30</v>
      </c>
      <c r="O10" s="54">
        <v>0</v>
      </c>
      <c r="P10" s="54">
        <v>0.51</v>
      </c>
      <c r="Q10" s="54">
        <v>16.920000000000002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7.98</v>
      </c>
      <c r="C11" s="54">
        <v>26.46</v>
      </c>
      <c r="D11" s="54">
        <v>22.21</v>
      </c>
      <c r="E11" s="54">
        <v>4.30</v>
      </c>
      <c r="F11" s="54">
        <v>3.36</v>
      </c>
      <c r="G11" s="54">
        <v>19.84</v>
      </c>
      <c r="H11" s="54">
        <v>8.7899999999999991</v>
      </c>
      <c r="I11" s="54">
        <v>1.72</v>
      </c>
      <c r="J11" s="54">
        <v>0.31</v>
      </c>
      <c r="K11" s="54">
        <v>60.91</v>
      </c>
      <c r="L11" s="54">
        <v>23.12</v>
      </c>
      <c r="M11" s="54">
        <v>97.25</v>
      </c>
      <c r="N11" s="54">
        <v>27.10</v>
      </c>
      <c r="O11" s="54">
        <v>0</v>
      </c>
      <c r="P11" s="54">
        <v>0.42</v>
      </c>
      <c r="Q11" s="54">
        <v>14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5.07</v>
      </c>
      <c r="C12" s="54">
        <v>26.54</v>
      </c>
      <c r="D12" s="54">
        <v>19.989999999999998</v>
      </c>
      <c r="E12" s="54">
        <v>4.3499999999999996</v>
      </c>
      <c r="F12" s="54">
        <v>3.65</v>
      </c>
      <c r="G12" s="54">
        <v>15.75</v>
      </c>
      <c r="H12" s="54">
        <v>6.54</v>
      </c>
      <c r="I12" s="54">
        <v>1.76</v>
      </c>
      <c r="J12" s="54">
        <v>0.31</v>
      </c>
      <c r="K12" s="54">
        <v>51.80</v>
      </c>
      <c r="L12" s="54">
        <v>23.18</v>
      </c>
      <c r="M12" s="54">
        <v>97</v>
      </c>
      <c r="N12" s="54">
        <v>27</v>
      </c>
      <c r="O12" s="54">
        <v>0</v>
      </c>
      <c r="P12" s="54">
        <v>0.30</v>
      </c>
      <c r="Q12" s="54">
        <v>14.23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5.22</v>
      </c>
      <c r="C13" s="54">
        <v>27.01</v>
      </c>
      <c r="D13" s="54">
        <v>20.25</v>
      </c>
      <c r="E13" s="54">
        <v>3.92</v>
      </c>
      <c r="F13" s="54">
        <v>3.32</v>
      </c>
      <c r="G13" s="54">
        <v>15.65</v>
      </c>
      <c r="H13" s="54">
        <v>5.53</v>
      </c>
      <c r="I13" s="54">
        <v>1.71</v>
      </c>
      <c r="J13" s="54">
        <v>0.32</v>
      </c>
      <c r="K13" s="54">
        <v>57.69</v>
      </c>
      <c r="L13" s="54">
        <v>23.14</v>
      </c>
      <c r="M13" s="54">
        <v>96.58</v>
      </c>
      <c r="N13" s="54">
        <v>26.40</v>
      </c>
      <c r="O13" s="54">
        <v>0</v>
      </c>
      <c r="P13" s="54">
        <v>0.27</v>
      </c>
      <c r="Q13" s="54">
        <v>11.95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5.44</v>
      </c>
      <c r="C14" s="54">
        <v>25.21</v>
      </c>
      <c r="D14" s="54">
        <v>19.46</v>
      </c>
      <c r="E14" s="54">
        <v>3.58</v>
      </c>
      <c r="F14" s="54">
        <v>3.36</v>
      </c>
      <c r="G14" s="54">
        <v>21.30</v>
      </c>
      <c r="H14" s="54">
        <v>5.82</v>
      </c>
      <c r="I14" s="54">
        <v>1.76</v>
      </c>
      <c r="J14" s="54">
        <v>0.32</v>
      </c>
      <c r="K14" s="54">
        <v>49.41</v>
      </c>
      <c r="L14" s="54">
        <v>23.06</v>
      </c>
      <c r="M14" s="54">
        <v>97.12</v>
      </c>
      <c r="N14" s="54">
        <v>31.20</v>
      </c>
      <c r="O14" s="54">
        <v>0</v>
      </c>
      <c r="P14" s="54">
        <v>0.26</v>
      </c>
      <c r="Q14" s="54">
        <v>11.11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7.29</v>
      </c>
      <c r="C15" s="54">
        <v>27.43</v>
      </c>
      <c r="D15" s="54">
        <v>22.28</v>
      </c>
      <c r="E15" s="54">
        <v>3.86</v>
      </c>
      <c r="F15" s="54">
        <v>3.60</v>
      </c>
      <c r="G15" s="54">
        <v>20.82</v>
      </c>
      <c r="H15" s="54">
        <v>6.48</v>
      </c>
      <c r="I15" s="54">
        <v>1.73</v>
      </c>
      <c r="J15" s="54">
        <v>0.28999999999999998</v>
      </c>
      <c r="K15" s="54">
        <v>57.95</v>
      </c>
      <c r="L15" s="54">
        <v>23.25</v>
      </c>
      <c r="M15" s="54">
        <v>97.15</v>
      </c>
      <c r="N15" s="54">
        <v>78.900000000000006</v>
      </c>
      <c r="O15" s="54">
        <v>0</v>
      </c>
      <c r="P15" s="54">
        <v>0.26</v>
      </c>
      <c r="Q15" s="54">
        <v>12.71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7.93</v>
      </c>
      <c r="C16" s="54">
        <v>27</v>
      </c>
      <c r="D16" s="54">
        <v>22.52</v>
      </c>
      <c r="E16" s="54">
        <v>4.2300000000000004</v>
      </c>
      <c r="F16" s="54">
        <v>3.05</v>
      </c>
      <c r="G16" s="54">
        <v>30.61</v>
      </c>
      <c r="H16" s="54">
        <v>6.71</v>
      </c>
      <c r="I16" s="54">
        <v>1.74</v>
      </c>
      <c r="J16" s="54">
        <v>0.30</v>
      </c>
      <c r="K16" s="54">
        <v>51.77</v>
      </c>
      <c r="L16" s="54">
        <v>23.67</v>
      </c>
      <c r="M16" s="54">
        <v>97.05</v>
      </c>
      <c r="N16" s="54">
        <v>160.40</v>
      </c>
      <c r="O16" s="54">
        <v>0</v>
      </c>
      <c r="P16" s="54">
        <v>0.28000000000000003</v>
      </c>
      <c r="Q16" s="54">
        <v>10.82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8.18</v>
      </c>
      <c r="C17" s="54">
        <v>27.91</v>
      </c>
      <c r="D17" s="54">
        <v>23.26</v>
      </c>
      <c r="E17" s="54">
        <v>4.8899999999999997</v>
      </c>
      <c r="F17" s="54">
        <v>3.47</v>
      </c>
      <c r="G17" s="54">
        <v>26.17</v>
      </c>
      <c r="H17" s="54">
        <v>6.12</v>
      </c>
      <c r="I17" s="54">
        <v>1.72</v>
      </c>
      <c r="J17" s="54">
        <v>0.43</v>
      </c>
      <c r="K17" s="54">
        <v>44.43</v>
      </c>
      <c r="L17" s="54">
        <v>24.31</v>
      </c>
      <c r="M17" s="54">
        <v>94.04</v>
      </c>
      <c r="N17" s="54">
        <v>308</v>
      </c>
      <c r="O17" s="54">
        <v>0</v>
      </c>
      <c r="P17" s="54">
        <v>0.32</v>
      </c>
      <c r="Q17" s="54">
        <v>12.11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8.9600000000000009</v>
      </c>
      <c r="C18" s="54">
        <v>29.71</v>
      </c>
      <c r="D18" s="54">
        <v>24.60</v>
      </c>
      <c r="E18" s="54">
        <v>4.7300000000000004</v>
      </c>
      <c r="F18" s="54">
        <v>3.26</v>
      </c>
      <c r="G18" s="54">
        <v>32.06</v>
      </c>
      <c r="H18" s="54">
        <v>9.8699999999999992</v>
      </c>
      <c r="I18" s="54">
        <v>1.71</v>
      </c>
      <c r="J18" s="54">
        <v>0.47</v>
      </c>
      <c r="K18" s="54">
        <v>40.590000000000003</v>
      </c>
      <c r="L18" s="54">
        <v>25.38</v>
      </c>
      <c r="M18" s="54">
        <v>87.53</v>
      </c>
      <c r="N18" s="54">
        <v>454.80</v>
      </c>
      <c r="O18" s="54">
        <v>0</v>
      </c>
      <c r="P18" s="54">
        <v>0.39</v>
      </c>
      <c r="Q18" s="54">
        <v>12.89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9.0299999999999994</v>
      </c>
      <c r="C19" s="54">
        <v>29.72</v>
      </c>
      <c r="D19" s="54">
        <v>24.94</v>
      </c>
      <c r="E19" s="54">
        <v>4.97</v>
      </c>
      <c r="F19" s="54">
        <v>3.34</v>
      </c>
      <c r="G19" s="54">
        <v>35.5</v>
      </c>
      <c r="H19" s="54">
        <v>12.83</v>
      </c>
      <c r="I19" s="54">
        <v>1.76</v>
      </c>
      <c r="J19" s="54">
        <v>0.45</v>
      </c>
      <c r="K19" s="54">
        <v>43.03</v>
      </c>
      <c r="L19" s="54">
        <v>25.23</v>
      </c>
      <c r="M19" s="54">
        <v>87.31</v>
      </c>
      <c r="N19" s="54">
        <v>466.70</v>
      </c>
      <c r="O19" s="54">
        <v>0.20</v>
      </c>
      <c r="P19" s="54">
        <v>0.48</v>
      </c>
      <c r="Q19" s="54">
        <v>9.98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8.68</v>
      </c>
      <c r="C20" s="54">
        <v>32.049999999999997</v>
      </c>
      <c r="D20" s="54">
        <v>25.37</v>
      </c>
      <c r="E20" s="54">
        <v>4.72</v>
      </c>
      <c r="F20" s="54">
        <v>4.37</v>
      </c>
      <c r="G20" s="54">
        <v>39.74</v>
      </c>
      <c r="H20" s="54">
        <v>13.16</v>
      </c>
      <c r="I20" s="54">
        <v>1.76</v>
      </c>
      <c r="J20" s="54">
        <v>0.42</v>
      </c>
      <c r="K20" s="54">
        <v>34.950000000000003</v>
      </c>
      <c r="L20" s="54">
        <v>27.12</v>
      </c>
      <c r="M20" s="54">
        <v>79.52</v>
      </c>
      <c r="N20" s="54">
        <v>532.29999999999995</v>
      </c>
      <c r="O20" s="54">
        <v>0</v>
      </c>
      <c r="P20" s="54">
        <v>0.48</v>
      </c>
      <c r="Q20" s="54">
        <v>11.36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8.5399999999999991</v>
      </c>
      <c r="C21" s="54">
        <v>32.799999999999997</v>
      </c>
      <c r="D21" s="54">
        <v>26.13</v>
      </c>
      <c r="E21" s="54">
        <v>3.71</v>
      </c>
      <c r="F21" s="54">
        <v>4.5599999999999996</v>
      </c>
      <c r="G21" s="54">
        <v>46.37</v>
      </c>
      <c r="H21" s="54">
        <v>12.64</v>
      </c>
      <c r="I21" s="54">
        <v>1.70</v>
      </c>
      <c r="J21" s="54">
        <v>0.37</v>
      </c>
      <c r="K21" s="54">
        <v>40.75</v>
      </c>
      <c r="L21" s="54">
        <v>27.33</v>
      </c>
      <c r="M21" s="54">
        <v>79.83</v>
      </c>
      <c r="N21" s="54">
        <v>533.20000000000005</v>
      </c>
      <c r="O21" s="54">
        <v>0</v>
      </c>
      <c r="P21" s="54">
        <v>0.49</v>
      </c>
      <c r="Q21" s="54">
        <v>12.33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7.01</v>
      </c>
      <c r="C22" s="54">
        <v>32.17</v>
      </c>
      <c r="D22" s="54">
        <v>24.67</v>
      </c>
      <c r="E22" s="54">
        <v>4.30</v>
      </c>
      <c r="F22" s="54">
        <v>4.03</v>
      </c>
      <c r="G22" s="54">
        <v>48.46</v>
      </c>
      <c r="H22" s="54">
        <v>12.18</v>
      </c>
      <c r="I22" s="54">
        <v>1.71</v>
      </c>
      <c r="J22" s="54">
        <v>0.39</v>
      </c>
      <c r="K22" s="54">
        <v>35.79</v>
      </c>
      <c r="L22" s="54">
        <v>27.51</v>
      </c>
      <c r="M22" s="54">
        <v>79.98</v>
      </c>
      <c r="N22" s="54">
        <v>529.60</v>
      </c>
      <c r="O22" s="54">
        <v>0</v>
      </c>
      <c r="P22" s="54">
        <v>0.48</v>
      </c>
      <c r="Q22" s="54">
        <v>9.39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5.60</v>
      </c>
      <c r="C23" s="54">
        <v>31.74</v>
      </c>
      <c r="D23" s="54">
        <v>23.30</v>
      </c>
      <c r="E23" s="54">
        <v>3.66</v>
      </c>
      <c r="F23" s="54">
        <v>4.75</v>
      </c>
      <c r="G23" s="54">
        <v>48.48</v>
      </c>
      <c r="H23" s="54">
        <v>13.88</v>
      </c>
      <c r="I23" s="54">
        <v>1.78</v>
      </c>
      <c r="J23" s="54">
        <v>0.41</v>
      </c>
      <c r="K23" s="54">
        <v>33.89</v>
      </c>
      <c r="L23" s="54">
        <v>27.06</v>
      </c>
      <c r="M23" s="54">
        <v>80.569999999999993</v>
      </c>
      <c r="N23" s="54">
        <v>494.40</v>
      </c>
      <c r="O23" s="54">
        <v>0</v>
      </c>
      <c r="P23" s="54">
        <v>0.47</v>
      </c>
      <c r="Q23" s="54">
        <v>11.17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7.63</v>
      </c>
      <c r="C24" s="54">
        <v>32.270000000000003</v>
      </c>
      <c r="D24" s="54">
        <v>25.12</v>
      </c>
      <c r="E24" s="54">
        <v>3.95</v>
      </c>
      <c r="F24" s="54">
        <v>5.72</v>
      </c>
      <c r="G24" s="54">
        <v>52.81</v>
      </c>
      <c r="H24" s="54">
        <v>16.41</v>
      </c>
      <c r="I24" s="54">
        <v>1.71</v>
      </c>
      <c r="J24" s="54">
        <v>0.34</v>
      </c>
      <c r="K24" s="54">
        <v>28.48</v>
      </c>
      <c r="L24" s="54">
        <v>27.91</v>
      </c>
      <c r="M24" s="54">
        <v>77.569999999999993</v>
      </c>
      <c r="N24" s="54">
        <v>316.39999999999998</v>
      </c>
      <c r="O24" s="54">
        <v>0</v>
      </c>
      <c r="P24" s="54">
        <v>0.5</v>
      </c>
      <c r="Q24" s="54">
        <v>11.96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8.36</v>
      </c>
      <c r="C25" s="54">
        <v>31.88</v>
      </c>
      <c r="D25" s="54">
        <v>25.54</v>
      </c>
      <c r="E25" s="54">
        <v>4.55</v>
      </c>
      <c r="F25" s="54">
        <v>4.3099999999999996</v>
      </c>
      <c r="G25" s="54">
        <v>53.75</v>
      </c>
      <c r="H25" s="54">
        <v>17.32</v>
      </c>
      <c r="I25" s="54">
        <v>1.70</v>
      </c>
      <c r="J25" s="54">
        <v>0.30</v>
      </c>
      <c r="K25" s="54">
        <v>39.979999999999997</v>
      </c>
      <c r="L25" s="54">
        <v>27.84</v>
      </c>
      <c r="M25" s="54">
        <v>76.5</v>
      </c>
      <c r="N25" s="54">
        <v>249.30</v>
      </c>
      <c r="O25" s="54">
        <v>0</v>
      </c>
      <c r="P25" s="54">
        <v>0.56999999999999995</v>
      </c>
      <c r="Q25" s="54">
        <v>10.29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12.58</v>
      </c>
      <c r="C26" s="54">
        <v>33.33</v>
      </c>
      <c r="D26" s="54">
        <v>29.66</v>
      </c>
      <c r="E26" s="54">
        <v>4.9400000000000004</v>
      </c>
      <c r="F26" s="54">
        <v>12.27</v>
      </c>
      <c r="G26" s="54">
        <v>58.43</v>
      </c>
      <c r="H26" s="54">
        <v>17.559999999999999</v>
      </c>
      <c r="I26" s="54">
        <v>1.71</v>
      </c>
      <c r="J26" s="54">
        <v>0.33</v>
      </c>
      <c r="K26" s="54">
        <v>238.28</v>
      </c>
      <c r="L26" s="54">
        <v>27.05</v>
      </c>
      <c r="M26" s="54">
        <v>80.98</v>
      </c>
      <c r="N26" s="54">
        <v>106.90</v>
      </c>
      <c r="O26" s="54">
        <v>0</v>
      </c>
      <c r="P26" s="54">
        <v>0.67</v>
      </c>
      <c r="Q26" s="54">
        <v>13.89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13.11</v>
      </c>
      <c r="C27" s="54">
        <v>32.72</v>
      </c>
      <c r="D27" s="54">
        <v>29.86</v>
      </c>
      <c r="E27" s="54">
        <v>5.13</v>
      </c>
      <c r="F27" s="54">
        <v>12.36</v>
      </c>
      <c r="G27" s="54">
        <v>55.54</v>
      </c>
      <c r="H27" s="54">
        <v>19.34</v>
      </c>
      <c r="I27" s="54">
        <v>1.74</v>
      </c>
      <c r="J27" s="54">
        <v>0.93</v>
      </c>
      <c r="K27" s="54">
        <v>286.82</v>
      </c>
      <c r="L27" s="54">
        <v>25.83</v>
      </c>
      <c r="M27" s="54">
        <v>97.23</v>
      </c>
      <c r="N27" s="54">
        <v>31.90</v>
      </c>
      <c r="O27" s="54">
        <v>0.20</v>
      </c>
      <c r="P27" s="54">
        <v>0.76</v>
      </c>
      <c r="Q27" s="54">
        <v>15.71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10.89</v>
      </c>
      <c r="C28" s="54">
        <v>32.40</v>
      </c>
      <c r="D28" s="54">
        <v>27.07</v>
      </c>
      <c r="E28" s="54">
        <v>5.05</v>
      </c>
      <c r="F28" s="54">
        <v>3.39</v>
      </c>
      <c r="G28" s="54">
        <v>47.96</v>
      </c>
      <c r="H28" s="54">
        <v>18.79</v>
      </c>
      <c r="I28" s="54">
        <v>1.75</v>
      </c>
      <c r="J28" s="54">
        <v>1.64</v>
      </c>
      <c r="K28" s="54">
        <v>357.43</v>
      </c>
      <c r="L28" s="54">
        <v>23.46</v>
      </c>
      <c r="M28" s="54">
        <v>97.27</v>
      </c>
      <c r="N28" s="54">
        <v>32.90</v>
      </c>
      <c r="O28" s="54">
        <v>0.20</v>
      </c>
      <c r="P28" s="54">
        <v>0.61</v>
      </c>
      <c r="Q28" s="54">
        <v>13.44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10.96</v>
      </c>
      <c r="C29" s="54">
        <v>36.799999999999997</v>
      </c>
      <c r="D29" s="54">
        <v>30.34</v>
      </c>
      <c r="E29" s="54">
        <v>5.74</v>
      </c>
      <c r="F29" s="54">
        <v>6.64</v>
      </c>
      <c r="G29" s="54">
        <v>34.659999999999997</v>
      </c>
      <c r="H29" s="54">
        <v>14.45</v>
      </c>
      <c r="I29" s="54">
        <v>1.72</v>
      </c>
      <c r="J29" s="54">
        <v>0.35</v>
      </c>
      <c r="K29" s="54">
        <v>42.12</v>
      </c>
      <c r="L29" s="54">
        <v>23.66</v>
      </c>
      <c r="M29" s="54">
        <v>97.25</v>
      </c>
      <c r="N29" s="54">
        <v>31.60</v>
      </c>
      <c r="O29" s="54">
        <v>0</v>
      </c>
      <c r="P29" s="54">
        <v>0.68</v>
      </c>
      <c r="Q29" s="54">
        <v>15.88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9.68</v>
      </c>
      <c r="C30" s="54">
        <v>32.92</v>
      </c>
      <c r="D30" s="54">
        <v>27.22</v>
      </c>
      <c r="E30" s="54">
        <v>5.61</v>
      </c>
      <c r="F30" s="54">
        <v>5.84</v>
      </c>
      <c r="G30" s="54">
        <v>33.26</v>
      </c>
      <c r="H30" s="54">
        <v>13.12</v>
      </c>
      <c r="I30" s="54">
        <v>1.76</v>
      </c>
      <c r="J30" s="54">
        <v>0.34</v>
      </c>
      <c r="K30" s="54">
        <v>59.84</v>
      </c>
      <c r="L30" s="54">
        <v>23.47</v>
      </c>
      <c r="M30" s="54">
        <v>97.03</v>
      </c>
      <c r="N30" s="54">
        <v>31.70</v>
      </c>
      <c r="O30" s="54">
        <v>0</v>
      </c>
      <c r="P30" s="54">
        <v>0.62</v>
      </c>
      <c r="Q30" s="54">
        <v>16.21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7.78</v>
      </c>
      <c r="C31" s="54">
        <v>30.39</v>
      </c>
      <c r="D31" s="54">
        <v>24.30</v>
      </c>
      <c r="E31" s="54">
        <v>5.43</v>
      </c>
      <c r="F31" s="54">
        <v>3.40</v>
      </c>
      <c r="G31" s="54">
        <v>33.42</v>
      </c>
      <c r="H31" s="54">
        <v>10.45</v>
      </c>
      <c r="I31" s="54">
        <v>1.71</v>
      </c>
      <c r="J31" s="54">
        <v>0.27</v>
      </c>
      <c r="K31" s="54">
        <v>54.58</v>
      </c>
      <c r="L31" s="54">
        <v>23.29</v>
      </c>
      <c r="M31" s="54">
        <v>95.38</v>
      </c>
      <c r="N31" s="54">
        <v>31.30</v>
      </c>
      <c r="O31" s="54">
        <v>0</v>
      </c>
      <c r="P31" s="54">
        <v>0.52</v>
      </c>
      <c r="Q31" s="54">
        <v>12.49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6.17</v>
      </c>
      <c r="C32" s="54">
        <v>29.52</v>
      </c>
      <c r="D32" s="54">
        <v>22.53</v>
      </c>
      <c r="E32" s="54">
        <v>4.87</v>
      </c>
      <c r="F32" s="54">
        <v>4.70</v>
      </c>
      <c r="G32" s="54">
        <v>33.10</v>
      </c>
      <c r="H32" s="54">
        <v>10.91</v>
      </c>
      <c r="I32" s="54">
        <v>1.73</v>
      </c>
      <c r="J32" s="54">
        <v>0.26</v>
      </c>
      <c r="K32" s="54">
        <v>47.18</v>
      </c>
      <c r="L32" s="54">
        <v>23.41</v>
      </c>
      <c r="M32" s="54">
        <v>94.29</v>
      </c>
      <c r="N32" s="54">
        <v>31.30</v>
      </c>
      <c r="O32" s="54">
        <v>0</v>
      </c>
      <c r="P32" s="54">
        <v>0.45</v>
      </c>
      <c r="Q32" s="54">
        <v>13.15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5.0700000000000003</v>
      </c>
      <c r="C34" s="28">
        <f t="shared" si="0"/>
        <v>25.210000000000001</v>
      </c>
      <c r="D34" s="28">
        <f t="shared" si="0"/>
        <v>19.460000000000001</v>
      </c>
      <c r="E34" s="28">
        <f t="shared" si="0"/>
        <v>3.5800000000000001</v>
      </c>
      <c r="F34" s="28">
        <f t="shared" si="0"/>
        <v>3.0499999999999998</v>
      </c>
      <c r="G34" s="28">
        <f t="shared" si="0"/>
        <v>15.65</v>
      </c>
      <c r="H34" s="28">
        <f t="shared" si="0"/>
        <v>5.5300000000000002</v>
      </c>
      <c r="I34" s="28">
        <f t="shared" si="0"/>
        <v>1.7</v>
      </c>
      <c r="J34" s="28">
        <f t="shared" si="0"/>
        <v>0.19</v>
      </c>
      <c r="K34" s="28">
        <f t="shared" si="0"/>
        <v>28.48</v>
      </c>
      <c r="L34" s="28">
        <f t="shared" si="0"/>
        <v>23.059999999999999</v>
      </c>
      <c r="M34" s="28">
        <f t="shared" si="0"/>
        <v>76.5</v>
      </c>
      <c r="N34" s="28">
        <f t="shared" si="0"/>
        <v>26.399999999999999</v>
      </c>
      <c r="O34" s="28">
        <f t="shared" si="0"/>
        <v>0</v>
      </c>
      <c r="P34" s="28">
        <f t="shared" si="0"/>
        <v>0.26000000000000001</v>
      </c>
      <c r="Q34" s="28">
        <f t="shared" si="0"/>
        <v>9.3900000000000006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13.109999999999999</v>
      </c>
      <c r="C35" s="29">
        <f t="shared" si="1"/>
        <v>36.799999999999997</v>
      </c>
      <c r="D35" s="29">
        <f t="shared" si="1"/>
        <v>30.34</v>
      </c>
      <c r="E35" s="29">
        <f t="shared" si="1"/>
        <v>5.7400000000000002</v>
      </c>
      <c r="F35" s="29">
        <f t="shared" si="1"/>
        <v>12.359999999999999</v>
      </c>
      <c r="G35" s="29">
        <f t="shared" si="1"/>
        <v>58.43</v>
      </c>
      <c r="H35" s="29">
        <f t="shared" si="1"/>
        <v>19.34</v>
      </c>
      <c r="I35" s="29">
        <f t="shared" si="1"/>
        <v>1.78</v>
      </c>
      <c r="J35" s="29">
        <f t="shared" si="1"/>
        <v>1.6399999999999999</v>
      </c>
      <c r="K35" s="29">
        <f t="shared" si="1"/>
        <v>357.43000000000001</v>
      </c>
      <c r="L35" s="29">
        <f t="shared" si="1"/>
        <v>27.91</v>
      </c>
      <c r="M35" s="29">
        <f t="shared" si="1"/>
        <v>97.269999999999996</v>
      </c>
      <c r="N35" s="29">
        <f t="shared" si="1"/>
        <v>533.20000000000005</v>
      </c>
      <c r="O35" s="29">
        <f t="shared" si="1"/>
        <v>0.20000000000000001</v>
      </c>
      <c r="P35" s="29">
        <f t="shared" si="1"/>
        <v>0.76000000000000001</v>
      </c>
      <c r="Q35" s="29">
        <f t="shared" si="1"/>
        <v>18.129999999999999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8.5858333333333317</v>
      </c>
      <c r="C36" s="28">
        <f t="shared" si="2"/>
        <v>30.118749999999995</v>
      </c>
      <c r="D36" s="28">
        <f t="shared" si="2"/>
        <v>24.685416666666669</v>
      </c>
      <c r="E36" s="28">
        <f t="shared" si="2"/>
        <v>4.5541666666666663</v>
      </c>
      <c r="F36" s="28">
        <f t="shared" si="2"/>
        <v>4.8800000000000008</v>
      </c>
      <c r="G36" s="28">
        <f t="shared" si="2"/>
        <v>35.837083333333332</v>
      </c>
      <c r="H36" s="28">
        <f t="shared" si="2"/>
        <v>11.757083333333332</v>
      </c>
      <c r="I36" s="28">
        <f t="shared" si="2"/>
        <v>1.7316666666666667</v>
      </c>
      <c r="J36" s="28">
        <f t="shared" si="2"/>
        <v>0.41416666666666663</v>
      </c>
      <c r="K36" s="28">
        <f t="shared" si="2"/>
        <v>77.212916666666658</v>
      </c>
      <c r="L36" s="28">
        <f t="shared" si="2"/>
        <v>24.829166666666666</v>
      </c>
      <c r="M36" s="28">
        <f t="shared" si="2"/>
        <v>90.787916666666661</v>
      </c>
      <c r="N36" s="28">
        <f t="shared" si="2"/>
        <v>191.1583333333333</v>
      </c>
      <c r="O36" s="28">
        <f t="shared" si="2"/>
        <v>0.025000000000000005</v>
      </c>
      <c r="P36" s="28">
        <f t="shared" si="2"/>
        <v>0.47208333333333324</v>
      </c>
      <c r="Q36" s="28">
        <f t="shared" si="2"/>
        <v>13.005000000000001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2.3540767906404185</v>
      </c>
      <c r="C37" s="28">
        <f t="shared" si="3" ref="C37:Q37">STDEV(C9:C32)</f>
        <v>2.9281650471717362</v>
      </c>
      <c r="D37" s="28">
        <f t="shared" si="3"/>
        <v>2.9247801540073679</v>
      </c>
      <c r="E37" s="28">
        <f t="shared" si="3"/>
        <v>0.60831139527646216</v>
      </c>
      <c r="F37" s="28">
        <f t="shared" si="3"/>
        <v>2.5185071492591713</v>
      </c>
      <c r="G37" s="28">
        <f t="shared" si="3"/>
        <v>12.996065451133482</v>
      </c>
      <c r="H37" s="28">
        <f t="shared" si="3"/>
        <v>4.2341966839025131</v>
      </c>
      <c r="I37" s="28">
        <f t="shared" si="3"/>
        <v>0.023343683004870615</v>
      </c>
      <c r="J37" s="28">
        <f t="shared" si="3"/>
        <v>0.29633877010385701</v>
      </c>
      <c r="K37" s="28">
        <f t="shared" si="3"/>
        <v>86.031492640229118</v>
      </c>
      <c r="L37" s="28">
        <f t="shared" si="3"/>
        <v>1.8467454726030084</v>
      </c>
      <c r="M37" s="28">
        <f t="shared" si="3"/>
        <v>8.0518169589589998</v>
      </c>
      <c r="N37" s="28">
        <f t="shared" si="3"/>
        <v>203.38387332218906</v>
      </c>
      <c r="O37" s="28">
        <f t="shared" si="3"/>
        <v>0.067566392469217626</v>
      </c>
      <c r="P37" s="28">
        <f t="shared" si="3"/>
        <v>0.14077361309893133</v>
      </c>
      <c r="Q37" s="28">
        <f t="shared" si="3"/>
        <v>2.2725909366221981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41277b-27fc-41ea-919a-e5563f5e971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9" sqref="H69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5.34</v>
      </c>
      <c r="C9" s="54">
        <v>28.64</v>
      </c>
      <c r="D9" s="54">
        <v>21.21</v>
      </c>
      <c r="E9" s="54">
        <v>4.08</v>
      </c>
      <c r="F9" s="54">
        <v>4.75</v>
      </c>
      <c r="G9" s="54">
        <v>27.72</v>
      </c>
      <c r="H9" s="54">
        <v>7.68</v>
      </c>
      <c r="I9" s="54">
        <v>1.72</v>
      </c>
      <c r="J9" s="54">
        <v>0.28000000000000003</v>
      </c>
      <c r="K9" s="54">
        <v>43.76</v>
      </c>
      <c r="L9" s="54">
        <v>23.30</v>
      </c>
      <c r="M9" s="54">
        <v>95.67</v>
      </c>
      <c r="N9" s="54">
        <v>29.40</v>
      </c>
      <c r="O9" s="54">
        <v>0</v>
      </c>
      <c r="P9" s="54">
        <v>0.35</v>
      </c>
      <c r="Q9" s="54">
        <v>12.91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4.5</v>
      </c>
      <c r="C10" s="54">
        <v>27.31</v>
      </c>
      <c r="D10" s="54">
        <v>19.97</v>
      </c>
      <c r="E10" s="54">
        <v>3.78</v>
      </c>
      <c r="F10" s="54">
        <v>3.65</v>
      </c>
      <c r="G10" s="54">
        <v>25.15</v>
      </c>
      <c r="H10" s="54">
        <v>5.55</v>
      </c>
      <c r="I10" s="54">
        <v>1.74</v>
      </c>
      <c r="J10" s="54">
        <v>0.33</v>
      </c>
      <c r="K10" s="54">
        <v>44.85</v>
      </c>
      <c r="L10" s="54">
        <v>22.99</v>
      </c>
      <c r="M10" s="54">
        <v>95.84</v>
      </c>
      <c r="N10" s="54">
        <v>29.40</v>
      </c>
      <c r="O10" s="54">
        <v>0</v>
      </c>
      <c r="P10" s="54">
        <v>0.31</v>
      </c>
      <c r="Q10" s="54">
        <v>9.60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4.20</v>
      </c>
      <c r="C11" s="54">
        <v>29.68</v>
      </c>
      <c r="D11" s="54">
        <v>21.04</v>
      </c>
      <c r="E11" s="54">
        <v>4.0999999999999996</v>
      </c>
      <c r="F11" s="54">
        <v>3.46</v>
      </c>
      <c r="G11" s="54">
        <v>21.37</v>
      </c>
      <c r="H11" s="54">
        <v>5.23</v>
      </c>
      <c r="I11" s="54">
        <v>1.74</v>
      </c>
      <c r="J11" s="54">
        <v>0.28000000000000003</v>
      </c>
      <c r="K11" s="54">
        <v>46.77</v>
      </c>
      <c r="L11" s="54">
        <v>22.94</v>
      </c>
      <c r="M11" s="54">
        <v>95.30</v>
      </c>
      <c r="N11" s="54">
        <v>29.10</v>
      </c>
      <c r="O11" s="54">
        <v>0</v>
      </c>
      <c r="P11" s="54">
        <v>0.32</v>
      </c>
      <c r="Q11" s="54">
        <v>11.67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5.0199999999999996</v>
      </c>
      <c r="C12" s="54">
        <v>30.05</v>
      </c>
      <c r="D12" s="54">
        <v>21.71</v>
      </c>
      <c r="E12" s="54">
        <v>4.43</v>
      </c>
      <c r="F12" s="54">
        <v>3.23</v>
      </c>
      <c r="G12" s="54">
        <v>22.61</v>
      </c>
      <c r="H12" s="54">
        <v>6.20</v>
      </c>
      <c r="I12" s="54">
        <v>1.72</v>
      </c>
      <c r="J12" s="54">
        <v>0.28999999999999998</v>
      </c>
      <c r="K12" s="54">
        <v>40.07</v>
      </c>
      <c r="L12" s="54">
        <v>22.95</v>
      </c>
      <c r="M12" s="54">
        <v>92.88</v>
      </c>
      <c r="N12" s="54">
        <v>29.20</v>
      </c>
      <c r="O12" s="54">
        <v>0</v>
      </c>
      <c r="P12" s="54">
        <v>0.43</v>
      </c>
      <c r="Q12" s="54">
        <v>12.18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6.17</v>
      </c>
      <c r="C13" s="54">
        <v>30.66</v>
      </c>
      <c r="D13" s="54">
        <v>23.16</v>
      </c>
      <c r="E13" s="54">
        <v>3.18</v>
      </c>
      <c r="F13" s="54">
        <v>2.86</v>
      </c>
      <c r="G13" s="54">
        <v>25.82</v>
      </c>
      <c r="H13" s="54">
        <v>7.03</v>
      </c>
      <c r="I13" s="54">
        <v>1.72</v>
      </c>
      <c r="J13" s="54">
        <v>0.24</v>
      </c>
      <c r="K13" s="54">
        <v>40.10</v>
      </c>
      <c r="L13" s="54">
        <v>22.80</v>
      </c>
      <c r="M13" s="54">
        <v>94.37</v>
      </c>
      <c r="N13" s="54">
        <v>29</v>
      </c>
      <c r="O13" s="54">
        <v>0</v>
      </c>
      <c r="P13" s="54">
        <v>0.49</v>
      </c>
      <c r="Q13" s="54">
        <v>9.91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9.93</v>
      </c>
      <c r="C14" s="54">
        <v>30.74</v>
      </c>
      <c r="D14" s="54">
        <v>25.93</v>
      </c>
      <c r="E14" s="54">
        <v>3.36</v>
      </c>
      <c r="F14" s="54">
        <v>3.51</v>
      </c>
      <c r="G14" s="54">
        <v>30.76</v>
      </c>
      <c r="H14" s="54">
        <v>9.5</v>
      </c>
      <c r="I14" s="54">
        <v>1.74</v>
      </c>
      <c r="J14" s="54">
        <v>0.21</v>
      </c>
      <c r="K14" s="54">
        <v>41.55</v>
      </c>
      <c r="L14" s="54">
        <v>22.46</v>
      </c>
      <c r="M14" s="54">
        <v>96.90</v>
      </c>
      <c r="N14" s="54">
        <v>46</v>
      </c>
      <c r="O14" s="54">
        <v>0</v>
      </c>
      <c r="P14" s="54">
        <v>0.48</v>
      </c>
      <c r="Q14" s="54">
        <v>14.03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9</v>
      </c>
      <c r="C15" s="54">
        <v>30.35</v>
      </c>
      <c r="D15" s="54">
        <v>25.17</v>
      </c>
      <c r="E15" s="54">
        <v>3.52</v>
      </c>
      <c r="F15" s="54">
        <v>3.30</v>
      </c>
      <c r="G15" s="54">
        <v>33.47</v>
      </c>
      <c r="H15" s="54">
        <v>11.76</v>
      </c>
      <c r="I15" s="54">
        <v>1.71</v>
      </c>
      <c r="J15" s="54">
        <v>0.34</v>
      </c>
      <c r="K15" s="54">
        <v>46.16</v>
      </c>
      <c r="L15" s="54">
        <v>23.10</v>
      </c>
      <c r="M15" s="54">
        <v>97.24</v>
      </c>
      <c r="N15" s="54">
        <v>105.70</v>
      </c>
      <c r="O15" s="54">
        <v>0</v>
      </c>
      <c r="P15" s="54">
        <v>0.46</v>
      </c>
      <c r="Q15" s="54">
        <v>14.36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11.16</v>
      </c>
      <c r="C16" s="54">
        <v>29.42</v>
      </c>
      <c r="D16" s="54">
        <v>26.43</v>
      </c>
      <c r="E16" s="54">
        <v>3.59</v>
      </c>
      <c r="F16" s="54">
        <v>3.03</v>
      </c>
      <c r="G16" s="54">
        <v>38.35</v>
      </c>
      <c r="H16" s="54">
        <v>10.86</v>
      </c>
      <c r="I16" s="54">
        <v>1.73</v>
      </c>
      <c r="J16" s="54">
        <v>0.33</v>
      </c>
      <c r="K16" s="54">
        <v>43.18</v>
      </c>
      <c r="L16" s="54">
        <v>24.05</v>
      </c>
      <c r="M16" s="54">
        <v>94.52</v>
      </c>
      <c r="N16" s="54">
        <v>280</v>
      </c>
      <c r="O16" s="54">
        <v>0</v>
      </c>
      <c r="P16" s="54">
        <v>0.37</v>
      </c>
      <c r="Q16" s="54">
        <v>11.16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10.60</v>
      </c>
      <c r="C17" s="54">
        <v>31.80</v>
      </c>
      <c r="D17" s="54">
        <v>27.34</v>
      </c>
      <c r="E17" s="54">
        <v>4.4000000000000004</v>
      </c>
      <c r="F17" s="54">
        <v>3.26</v>
      </c>
      <c r="G17" s="54">
        <v>36.75</v>
      </c>
      <c r="H17" s="54">
        <v>11.84</v>
      </c>
      <c r="I17" s="54">
        <v>1.74</v>
      </c>
      <c r="J17" s="54">
        <v>0.44</v>
      </c>
      <c r="K17" s="54">
        <v>37.93</v>
      </c>
      <c r="L17" s="54">
        <v>25.26</v>
      </c>
      <c r="M17" s="54">
        <v>88.25</v>
      </c>
      <c r="N17" s="54">
        <v>412.20</v>
      </c>
      <c r="O17" s="54">
        <v>0</v>
      </c>
      <c r="P17" s="54">
        <v>0.37</v>
      </c>
      <c r="Q17" s="54">
        <v>12.85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9.3000000000000007</v>
      </c>
      <c r="C18" s="54">
        <v>32.57</v>
      </c>
      <c r="D18" s="54">
        <v>26.62</v>
      </c>
      <c r="E18" s="54">
        <v>4.8099999999999996</v>
      </c>
      <c r="F18" s="54">
        <v>3.52</v>
      </c>
      <c r="G18" s="54">
        <v>41.95</v>
      </c>
      <c r="H18" s="54">
        <v>13.37</v>
      </c>
      <c r="I18" s="54">
        <v>1.74</v>
      </c>
      <c r="J18" s="54">
        <v>0.45</v>
      </c>
      <c r="K18" s="54">
        <v>40.10</v>
      </c>
      <c r="L18" s="54">
        <v>26.86</v>
      </c>
      <c r="M18" s="54">
        <v>78.78</v>
      </c>
      <c r="N18" s="54">
        <v>653</v>
      </c>
      <c r="O18" s="54">
        <v>0</v>
      </c>
      <c r="P18" s="54">
        <v>0.44</v>
      </c>
      <c r="Q18" s="54">
        <v>12.90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7.70</v>
      </c>
      <c r="C19" s="54">
        <v>34.19</v>
      </c>
      <c r="D19" s="54">
        <v>25.67</v>
      </c>
      <c r="E19" s="54">
        <v>4.38</v>
      </c>
      <c r="F19" s="54">
        <v>3.74</v>
      </c>
      <c r="G19" s="54">
        <v>47.15</v>
      </c>
      <c r="H19" s="54">
        <v>13.73</v>
      </c>
      <c r="I19" s="54">
        <v>1.69</v>
      </c>
      <c r="J19" s="54">
        <v>0.44</v>
      </c>
      <c r="K19" s="54">
        <v>37.380000000000003</v>
      </c>
      <c r="L19" s="54">
        <v>27.37</v>
      </c>
      <c r="M19" s="54">
        <v>74.739999999999995</v>
      </c>
      <c r="N19" s="54">
        <v>692.60</v>
      </c>
      <c r="O19" s="54">
        <v>0</v>
      </c>
      <c r="P19" s="54">
        <v>0.53</v>
      </c>
      <c r="Q19" s="54">
        <v>9.73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7.45</v>
      </c>
      <c r="C20" s="54">
        <v>35.43</v>
      </c>
      <c r="D20" s="54">
        <v>26.66</v>
      </c>
      <c r="E20" s="54">
        <v>4.3600000000000003</v>
      </c>
      <c r="F20" s="54">
        <v>5.07</v>
      </c>
      <c r="G20" s="54">
        <v>49.72</v>
      </c>
      <c r="H20" s="54">
        <v>13.90</v>
      </c>
      <c r="I20" s="54">
        <v>1.74</v>
      </c>
      <c r="J20" s="54">
        <v>0.38</v>
      </c>
      <c r="K20" s="54">
        <v>37.74</v>
      </c>
      <c r="L20" s="54">
        <v>26.42</v>
      </c>
      <c r="M20" s="54">
        <v>76.38</v>
      </c>
      <c r="N20" s="54">
        <v>318.30</v>
      </c>
      <c r="O20" s="54">
        <v>0</v>
      </c>
      <c r="P20" s="54">
        <v>0.55000000000000004</v>
      </c>
      <c r="Q20" s="54">
        <v>11.93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6.93</v>
      </c>
      <c r="C21" s="54">
        <v>35.130000000000003</v>
      </c>
      <c r="D21" s="54">
        <v>26.24</v>
      </c>
      <c r="E21" s="54">
        <v>3.67</v>
      </c>
      <c r="F21" s="54">
        <v>3.90</v>
      </c>
      <c r="G21" s="54">
        <v>53.80</v>
      </c>
      <c r="H21" s="54">
        <v>16.420000000000002</v>
      </c>
      <c r="I21" s="54">
        <v>1.76</v>
      </c>
      <c r="J21" s="54">
        <v>0.36</v>
      </c>
      <c r="K21" s="54">
        <v>38.270000000000003</v>
      </c>
      <c r="L21" s="54">
        <v>26.68</v>
      </c>
      <c r="M21" s="54">
        <v>84.67</v>
      </c>
      <c r="N21" s="54">
        <v>517.60</v>
      </c>
      <c r="O21" s="54">
        <v>0</v>
      </c>
      <c r="P21" s="54">
        <v>0.54</v>
      </c>
      <c r="Q21" s="54">
        <v>11.72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5.37</v>
      </c>
      <c r="C22" s="54">
        <v>33.35</v>
      </c>
      <c r="D22" s="54">
        <v>23.93</v>
      </c>
      <c r="E22" s="54">
        <v>4.5599999999999996</v>
      </c>
      <c r="F22" s="54">
        <v>3.61</v>
      </c>
      <c r="G22" s="54">
        <v>54.77</v>
      </c>
      <c r="H22" s="54">
        <v>19.07</v>
      </c>
      <c r="I22" s="54">
        <v>1.71</v>
      </c>
      <c r="J22" s="54">
        <v>0.38</v>
      </c>
      <c r="K22" s="54">
        <v>44.31</v>
      </c>
      <c r="L22" s="54">
        <v>25.64</v>
      </c>
      <c r="M22" s="54">
        <v>97.26</v>
      </c>
      <c r="N22" s="54">
        <v>304.5</v>
      </c>
      <c r="O22" s="54">
        <v>2</v>
      </c>
      <c r="P22" s="54">
        <v>0.5</v>
      </c>
      <c r="Q22" s="54">
        <v>9.43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6.39</v>
      </c>
      <c r="C23" s="54">
        <v>34.159999999999997</v>
      </c>
      <c r="D23" s="54">
        <v>24.68</v>
      </c>
      <c r="E23" s="54">
        <v>3.92</v>
      </c>
      <c r="F23" s="54">
        <v>5.15</v>
      </c>
      <c r="G23" s="54">
        <v>53.49</v>
      </c>
      <c r="H23" s="54">
        <v>15.56</v>
      </c>
      <c r="I23" s="54">
        <v>1.70</v>
      </c>
      <c r="J23" s="54">
        <v>0.35</v>
      </c>
      <c r="K23" s="54">
        <v>41.93</v>
      </c>
      <c r="L23" s="54">
        <v>25.58</v>
      </c>
      <c r="M23" s="54">
        <v>94.93</v>
      </c>
      <c r="N23" s="54">
        <v>645.60</v>
      </c>
      <c r="O23" s="54">
        <v>0</v>
      </c>
      <c r="P23" s="54">
        <v>0.47</v>
      </c>
      <c r="Q23" s="54">
        <v>11.35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5.38</v>
      </c>
      <c r="C24" s="54">
        <v>34.54</v>
      </c>
      <c r="D24" s="54">
        <v>24.61</v>
      </c>
      <c r="E24" s="54">
        <v>4.1100000000000003</v>
      </c>
      <c r="F24" s="54">
        <v>4.12</v>
      </c>
      <c r="G24" s="54">
        <v>49.72</v>
      </c>
      <c r="H24" s="54">
        <v>14.89</v>
      </c>
      <c r="I24" s="54">
        <v>1.77</v>
      </c>
      <c r="J24" s="54">
        <v>0.44</v>
      </c>
      <c r="K24" s="54">
        <v>39.06</v>
      </c>
      <c r="L24" s="54">
        <v>26.43</v>
      </c>
      <c r="M24" s="54">
        <v>81.38</v>
      </c>
      <c r="N24" s="54">
        <v>336.5</v>
      </c>
      <c r="O24" s="54">
        <v>0</v>
      </c>
      <c r="P24" s="54">
        <v>0.49</v>
      </c>
      <c r="Q24" s="54">
        <v>10.47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4.6100000000000003</v>
      </c>
      <c r="C25" s="54">
        <v>33.270000000000003</v>
      </c>
      <c r="D25" s="54">
        <v>23.28</v>
      </c>
      <c r="E25" s="54">
        <v>4.16</v>
      </c>
      <c r="F25" s="54">
        <v>4.76</v>
      </c>
      <c r="G25" s="54">
        <v>54.88</v>
      </c>
      <c r="H25" s="54">
        <v>16.86</v>
      </c>
      <c r="I25" s="54">
        <v>1.72</v>
      </c>
      <c r="J25" s="54">
        <v>0.44</v>
      </c>
      <c r="K25" s="54">
        <v>40.92</v>
      </c>
      <c r="L25" s="54">
        <v>26.29</v>
      </c>
      <c r="M25" s="54">
        <v>78.25</v>
      </c>
      <c r="N25" s="54">
        <v>222.60</v>
      </c>
      <c r="O25" s="54">
        <v>0</v>
      </c>
      <c r="P25" s="54">
        <v>0.46</v>
      </c>
      <c r="Q25" s="54">
        <v>10.25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9.11</v>
      </c>
      <c r="C26" s="54">
        <v>34.28</v>
      </c>
      <c r="D26" s="54">
        <v>27.27</v>
      </c>
      <c r="E26" s="54">
        <v>4.4800000000000004</v>
      </c>
      <c r="F26" s="54">
        <v>5.86</v>
      </c>
      <c r="G26" s="54">
        <v>57.38</v>
      </c>
      <c r="H26" s="54">
        <v>19.309999999999999</v>
      </c>
      <c r="I26" s="54">
        <v>1.75</v>
      </c>
      <c r="J26" s="54">
        <v>0.31</v>
      </c>
      <c r="K26" s="54">
        <v>42.67</v>
      </c>
      <c r="L26" s="54">
        <v>25.87</v>
      </c>
      <c r="M26" s="54">
        <v>80.14</v>
      </c>
      <c r="N26" s="54">
        <v>127.10</v>
      </c>
      <c r="O26" s="54">
        <v>0</v>
      </c>
      <c r="P26" s="54">
        <v>0.48</v>
      </c>
      <c r="Q26" s="54">
        <v>12.30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6.84</v>
      </c>
      <c r="C27" s="54">
        <v>34.270000000000003</v>
      </c>
      <c r="D27" s="54">
        <v>25.37</v>
      </c>
      <c r="E27" s="54">
        <v>4.7699999999999996</v>
      </c>
      <c r="F27" s="54">
        <v>4.9000000000000004</v>
      </c>
      <c r="G27" s="54">
        <v>63.49</v>
      </c>
      <c r="H27" s="54">
        <v>17.920000000000002</v>
      </c>
      <c r="I27" s="54">
        <v>1.77</v>
      </c>
      <c r="J27" s="54">
        <v>0.25</v>
      </c>
      <c r="K27" s="54">
        <v>47.51</v>
      </c>
      <c r="L27" s="54">
        <v>25.16</v>
      </c>
      <c r="M27" s="54">
        <v>84.28</v>
      </c>
      <c r="N27" s="54">
        <v>50.10</v>
      </c>
      <c r="O27" s="54">
        <v>0</v>
      </c>
      <c r="P27" s="54">
        <v>0.53</v>
      </c>
      <c r="Q27" s="54">
        <v>10.72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7.78</v>
      </c>
      <c r="C28" s="54">
        <v>36.74</v>
      </c>
      <c r="D28" s="54">
        <v>27.44</v>
      </c>
      <c r="E28" s="54">
        <v>4.51</v>
      </c>
      <c r="F28" s="54">
        <v>10.76</v>
      </c>
      <c r="G28" s="54">
        <v>61.88</v>
      </c>
      <c r="H28" s="54">
        <v>13.44</v>
      </c>
      <c r="I28" s="54">
        <v>1.75</v>
      </c>
      <c r="J28" s="54">
        <v>0.22</v>
      </c>
      <c r="K28" s="54">
        <v>41.69</v>
      </c>
      <c r="L28" s="54">
        <v>24.48</v>
      </c>
      <c r="M28" s="54">
        <v>87.06</v>
      </c>
      <c r="N28" s="54">
        <v>26.10</v>
      </c>
      <c r="O28" s="54">
        <v>0</v>
      </c>
      <c r="P28" s="54">
        <v>0.67</v>
      </c>
      <c r="Q28" s="54">
        <v>11.82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8.65</v>
      </c>
      <c r="C29" s="54">
        <v>33.90</v>
      </c>
      <c r="D29" s="54">
        <v>26.69</v>
      </c>
      <c r="E29" s="54">
        <v>5.29</v>
      </c>
      <c r="F29" s="54">
        <v>13.47</v>
      </c>
      <c r="G29" s="54">
        <v>63.16</v>
      </c>
      <c r="H29" s="54">
        <v>16.670000000000002</v>
      </c>
      <c r="I29" s="54">
        <v>1.71</v>
      </c>
      <c r="J29" s="54">
        <v>0.070000000000000007</v>
      </c>
      <c r="K29" s="54">
        <v>242.92</v>
      </c>
      <c r="L29" s="54">
        <v>24.08</v>
      </c>
      <c r="M29" s="54">
        <v>90.17</v>
      </c>
      <c r="N29" s="54">
        <v>26.10</v>
      </c>
      <c r="O29" s="54">
        <v>0</v>
      </c>
      <c r="P29" s="54">
        <v>0.59</v>
      </c>
      <c r="Q29" s="54">
        <v>15.16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8.1300000000000008</v>
      </c>
      <c r="C30" s="54">
        <v>31.59</v>
      </c>
      <c r="D30" s="54">
        <v>25.25</v>
      </c>
      <c r="E30" s="54">
        <v>5.72</v>
      </c>
      <c r="F30" s="54">
        <v>5.74</v>
      </c>
      <c r="G30" s="54">
        <v>64.23</v>
      </c>
      <c r="H30" s="54">
        <v>17.37</v>
      </c>
      <c r="I30" s="54">
        <v>1.76</v>
      </c>
      <c r="J30" s="54">
        <v>0.18</v>
      </c>
      <c r="K30" s="54">
        <v>235.63</v>
      </c>
      <c r="L30" s="54">
        <v>23.96</v>
      </c>
      <c r="M30" s="54">
        <v>89.92</v>
      </c>
      <c r="N30" s="54">
        <v>26</v>
      </c>
      <c r="O30" s="54">
        <v>0</v>
      </c>
      <c r="P30" s="54">
        <v>0.56000000000000005</v>
      </c>
      <c r="Q30" s="54">
        <v>13.92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6.82</v>
      </c>
      <c r="C31" s="54">
        <v>32.36</v>
      </c>
      <c r="D31" s="54">
        <v>24.54</v>
      </c>
      <c r="E31" s="54">
        <v>4.8499999999999996</v>
      </c>
      <c r="F31" s="54">
        <v>5.84</v>
      </c>
      <c r="G31" s="54">
        <v>61.19</v>
      </c>
      <c r="H31" s="54">
        <v>17.57</v>
      </c>
      <c r="I31" s="54">
        <v>1.71</v>
      </c>
      <c r="J31" s="54">
        <v>0.27</v>
      </c>
      <c r="K31" s="54">
        <v>57.62</v>
      </c>
      <c r="L31" s="54">
        <v>23.54</v>
      </c>
      <c r="M31" s="54">
        <v>92.94</v>
      </c>
      <c r="N31" s="54">
        <v>26</v>
      </c>
      <c r="O31" s="54">
        <v>0</v>
      </c>
      <c r="P31" s="54">
        <v>0.52</v>
      </c>
      <c r="Q31" s="54">
        <v>14.38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6.64</v>
      </c>
      <c r="C32" s="54">
        <v>30.54</v>
      </c>
      <c r="D32" s="54">
        <v>23.42</v>
      </c>
      <c r="E32" s="54">
        <v>5.13</v>
      </c>
      <c r="F32" s="54">
        <v>5.59</v>
      </c>
      <c r="G32" s="54">
        <v>56.73</v>
      </c>
      <c r="H32" s="54">
        <v>16.11</v>
      </c>
      <c r="I32" s="54">
        <v>1.72</v>
      </c>
      <c r="J32" s="54">
        <v>0.19</v>
      </c>
      <c r="K32" s="54">
        <v>54.19</v>
      </c>
      <c r="L32" s="54">
        <v>23.09</v>
      </c>
      <c r="M32" s="54">
        <v>95.01</v>
      </c>
      <c r="N32" s="54">
        <v>25.90</v>
      </c>
      <c r="O32" s="54">
        <v>0</v>
      </c>
      <c r="P32" s="54">
        <v>0.41</v>
      </c>
      <c r="Q32" s="54">
        <v>15.15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4.2000000000000002</v>
      </c>
      <c r="C34" s="28">
        <f t="shared" si="0"/>
        <v>27.309999999999999</v>
      </c>
      <c r="D34" s="28">
        <f t="shared" si="0"/>
        <v>19.969999999999999</v>
      </c>
      <c r="E34" s="28">
        <f t="shared" si="0"/>
        <v>3.1800000000000002</v>
      </c>
      <c r="F34" s="28">
        <f t="shared" si="0"/>
        <v>2.8599999999999999</v>
      </c>
      <c r="G34" s="28">
        <f t="shared" si="0"/>
        <v>21.370000000000001</v>
      </c>
      <c r="H34" s="28">
        <f t="shared" si="0"/>
        <v>5.2300000000000004</v>
      </c>
      <c r="I34" s="28">
        <f t="shared" si="0"/>
        <v>1.6899999999999999</v>
      </c>
      <c r="J34" s="28">
        <f t="shared" si="0"/>
        <v>0.070000000000000007</v>
      </c>
      <c r="K34" s="28">
        <f t="shared" si="0"/>
        <v>37.380000000000003</v>
      </c>
      <c r="L34" s="28">
        <f t="shared" si="0"/>
        <v>22.460000000000001</v>
      </c>
      <c r="M34" s="28">
        <f t="shared" si="0"/>
        <v>74.739999999999995</v>
      </c>
      <c r="N34" s="28">
        <f t="shared" si="0"/>
        <v>25.899999999999999</v>
      </c>
      <c r="O34" s="28">
        <f t="shared" si="0"/>
        <v>0</v>
      </c>
      <c r="P34" s="28">
        <f t="shared" si="0"/>
        <v>0.31</v>
      </c>
      <c r="Q34" s="28">
        <f t="shared" si="0"/>
        <v>9.4299999999999997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11.16</v>
      </c>
      <c r="C35" s="29">
        <f t="shared" si="1"/>
        <v>36.740000000000002</v>
      </c>
      <c r="D35" s="29">
        <f t="shared" si="1"/>
        <v>27.440000000000001</v>
      </c>
      <c r="E35" s="29">
        <f t="shared" si="1"/>
        <v>5.7199999999999998</v>
      </c>
      <c r="F35" s="29">
        <f t="shared" si="1"/>
        <v>13.470000000000001</v>
      </c>
      <c r="G35" s="29">
        <f t="shared" si="1"/>
        <v>64.230000000000004</v>
      </c>
      <c r="H35" s="29">
        <f t="shared" si="1"/>
        <v>19.309999999999999</v>
      </c>
      <c r="I35" s="29">
        <f t="shared" si="1"/>
        <v>1.77</v>
      </c>
      <c r="J35" s="29">
        <f t="shared" si="1"/>
        <v>0.45000000000000001</v>
      </c>
      <c r="K35" s="29">
        <f t="shared" si="1"/>
        <v>242.91999999999999</v>
      </c>
      <c r="L35" s="29">
        <f t="shared" si="1"/>
        <v>27.370000000000001</v>
      </c>
      <c r="M35" s="29">
        <f t="shared" si="1"/>
        <v>97.260000000000005</v>
      </c>
      <c r="N35" s="29">
        <f t="shared" si="1"/>
        <v>692.60000000000002</v>
      </c>
      <c r="O35" s="29">
        <f t="shared" si="1"/>
        <v>2</v>
      </c>
      <c r="P35" s="29">
        <f t="shared" si="1"/>
        <v>0.67000000000000004</v>
      </c>
      <c r="Q35" s="29">
        <f t="shared" si="1"/>
        <v>15.16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7.2091666666666647</v>
      </c>
      <c r="C36" s="28">
        <f t="shared" si="2"/>
        <v>32.290416666666665</v>
      </c>
      <c r="D36" s="28">
        <f t="shared" si="2"/>
        <v>24.734583333333333</v>
      </c>
      <c r="E36" s="28">
        <f t="shared" si="2"/>
        <v>4.2983333333333338</v>
      </c>
      <c r="F36" s="28">
        <f t="shared" si="2"/>
        <v>4.8783333333333339</v>
      </c>
      <c r="G36" s="28">
        <f t="shared" si="2"/>
        <v>45.647500000000001</v>
      </c>
      <c r="H36" s="28">
        <f t="shared" si="2"/>
        <v>13.243333333333334</v>
      </c>
      <c r="I36" s="28">
        <f t="shared" si="2"/>
        <v>1.7316666666666667</v>
      </c>
      <c r="J36" s="28">
        <f t="shared" si="2"/>
        <v>0.31125000000000008</v>
      </c>
      <c r="K36" s="28">
        <f t="shared" si="2"/>
        <v>59.429583333333333</v>
      </c>
      <c r="L36" s="28">
        <f t="shared" si="2"/>
        <v>24.637500000000003</v>
      </c>
      <c r="M36" s="28">
        <f t="shared" si="2"/>
        <v>89.03666666666669</v>
      </c>
      <c r="N36" s="28">
        <f t="shared" si="2"/>
        <v>207.8333333333334</v>
      </c>
      <c r="O36" s="28">
        <f t="shared" si="2"/>
        <v>0.083333333333333329</v>
      </c>
      <c r="P36" s="28">
        <f t="shared" si="2"/>
        <v>0.47166666666666668</v>
      </c>
      <c r="Q36" s="28">
        <f t="shared" si="2"/>
        <v>12.079166666666666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1.9765558905342953</v>
      </c>
      <c r="C37" s="28">
        <f t="shared" si="3" ref="C37:Q37">STDEV(C9:C32)</f>
        <v>2.4077961764933993</v>
      </c>
      <c r="D37" s="28">
        <f t="shared" si="3"/>
        <v>2.1353565615436541</v>
      </c>
      <c r="E37" s="28">
        <f t="shared" si="3"/>
        <v>0.62052338824762787</v>
      </c>
      <c r="F37" s="28">
        <f t="shared" si="3"/>
        <v>2.4555291055912556</v>
      </c>
      <c r="G37" s="28">
        <f t="shared" si="3"/>
        <v>14.504211157603427</v>
      </c>
      <c r="H37" s="28">
        <f t="shared" si="3"/>
        <v>4.4071864895444586</v>
      </c>
      <c r="I37" s="28">
        <f t="shared" si="3"/>
        <v>0.0218028052974974</v>
      </c>
      <c r="J37" s="28">
        <f t="shared" si="3"/>
        <v>0.098259306451591644</v>
      </c>
      <c r="K37" s="28">
        <f t="shared" si="3"/>
        <v>55.616262516826673</v>
      </c>
      <c r="L37" s="28">
        <f t="shared" si="3"/>
        <v>1.5495448139485293</v>
      </c>
      <c r="M37" s="28">
        <f t="shared" si="3"/>
        <v>7.3938674157925535</v>
      </c>
      <c r="N37" s="28">
        <f t="shared" si="3"/>
        <v>228.30895479717756</v>
      </c>
      <c r="O37" s="28">
        <f t="shared" si="3"/>
        <v>0.40824829046386302</v>
      </c>
      <c r="P37" s="28">
        <f t="shared" si="3"/>
        <v>0.087011576774321239</v>
      </c>
      <c r="Q37" s="28">
        <f t="shared" si="3"/>
        <v>1.7639183572417731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400f51-0e22-4589-a499-ddafe402721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6" sqref="H66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6.40</v>
      </c>
      <c r="C9" s="54">
        <v>29.68</v>
      </c>
      <c r="D9" s="54">
        <v>22.64</v>
      </c>
      <c r="E9" s="54">
        <v>2.90</v>
      </c>
      <c r="F9" s="54">
        <v>3.28</v>
      </c>
      <c r="G9" s="54">
        <v>43.48</v>
      </c>
      <c r="H9" s="54">
        <v>12.40</v>
      </c>
      <c r="I9" s="54">
        <v>1.72</v>
      </c>
      <c r="J9" s="54">
        <v>0.17</v>
      </c>
      <c r="K9" s="54">
        <v>40.96</v>
      </c>
      <c r="L9" s="54">
        <v>22.68</v>
      </c>
      <c r="M9" s="54">
        <v>96.37</v>
      </c>
      <c r="N9" s="54">
        <v>25.80</v>
      </c>
      <c r="O9" s="54">
        <v>0</v>
      </c>
      <c r="P9" s="54">
        <v>0.38</v>
      </c>
      <c r="Q9" s="54">
        <v>12.38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5.46</v>
      </c>
      <c r="C10" s="54">
        <v>29.06</v>
      </c>
      <c r="D10" s="54">
        <v>21.70</v>
      </c>
      <c r="E10" s="54">
        <v>3.01</v>
      </c>
      <c r="F10" s="54">
        <v>4.0999999999999996</v>
      </c>
      <c r="G10" s="54">
        <v>34.47</v>
      </c>
      <c r="H10" s="54">
        <v>9.23</v>
      </c>
      <c r="I10" s="54">
        <v>1.78</v>
      </c>
      <c r="J10" s="54">
        <v>0.20</v>
      </c>
      <c r="K10" s="54">
        <v>44.10</v>
      </c>
      <c r="L10" s="54">
        <v>22.42</v>
      </c>
      <c r="M10" s="54">
        <v>97.18</v>
      </c>
      <c r="N10" s="54">
        <v>25.70</v>
      </c>
      <c r="O10" s="54">
        <v>0</v>
      </c>
      <c r="P10" s="54">
        <v>0.30</v>
      </c>
      <c r="Q10" s="54">
        <v>13.09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5.60</v>
      </c>
      <c r="C11" s="54">
        <v>28.94</v>
      </c>
      <c r="D11" s="54">
        <v>21.75</v>
      </c>
      <c r="E11" s="54">
        <v>3.56</v>
      </c>
      <c r="F11" s="54">
        <v>4.6900000000000004</v>
      </c>
      <c r="G11" s="54">
        <v>28.64</v>
      </c>
      <c r="H11" s="54">
        <v>8.52</v>
      </c>
      <c r="I11" s="54">
        <v>1.75</v>
      </c>
      <c r="J11" s="54">
        <v>0.22</v>
      </c>
      <c r="K11" s="54">
        <v>51.86</v>
      </c>
      <c r="L11" s="54">
        <v>22.38</v>
      </c>
      <c r="M11" s="54">
        <v>97.23</v>
      </c>
      <c r="N11" s="54">
        <v>26.10</v>
      </c>
      <c r="O11" s="54">
        <v>0</v>
      </c>
      <c r="P11" s="54">
        <v>0.26</v>
      </c>
      <c r="Q11" s="54">
        <v>14.15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5.55</v>
      </c>
      <c r="C12" s="54">
        <v>28.86</v>
      </c>
      <c r="D12" s="54">
        <v>21.57</v>
      </c>
      <c r="E12" s="54">
        <v>3.28</v>
      </c>
      <c r="F12" s="54">
        <v>3.40</v>
      </c>
      <c r="G12" s="54">
        <v>28.48</v>
      </c>
      <c r="H12" s="54">
        <v>7.56</v>
      </c>
      <c r="I12" s="54">
        <v>1.76</v>
      </c>
      <c r="J12" s="54">
        <v>0.10</v>
      </c>
      <c r="K12" s="54">
        <v>90.02</v>
      </c>
      <c r="L12" s="54">
        <v>22.28</v>
      </c>
      <c r="M12" s="54">
        <v>97.24</v>
      </c>
      <c r="N12" s="54">
        <v>26.20</v>
      </c>
      <c r="O12" s="54">
        <v>0</v>
      </c>
      <c r="P12" s="54">
        <v>0.22</v>
      </c>
      <c r="Q12" s="54">
        <v>11.06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5.70</v>
      </c>
      <c r="C13" s="54">
        <v>29.10</v>
      </c>
      <c r="D13" s="54">
        <v>21.85</v>
      </c>
      <c r="E13" s="54">
        <v>4.3899999999999997</v>
      </c>
      <c r="F13" s="54">
        <v>5.72</v>
      </c>
      <c r="G13" s="54">
        <v>26.95</v>
      </c>
      <c r="H13" s="54">
        <v>6.27</v>
      </c>
      <c r="I13" s="54">
        <v>1.75</v>
      </c>
      <c r="J13" s="54">
        <v>0.12</v>
      </c>
      <c r="K13" s="54">
        <v>47.38</v>
      </c>
      <c r="L13" s="54">
        <v>22.45</v>
      </c>
      <c r="M13" s="54">
        <v>97.23</v>
      </c>
      <c r="N13" s="54">
        <v>26.20</v>
      </c>
      <c r="O13" s="54">
        <v>0</v>
      </c>
      <c r="P13" s="54">
        <v>0.21</v>
      </c>
      <c r="Q13" s="54">
        <v>14.55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7.24</v>
      </c>
      <c r="C14" s="54">
        <v>29.54</v>
      </c>
      <c r="D14" s="54">
        <v>23.40</v>
      </c>
      <c r="E14" s="54">
        <v>4.7699999999999996</v>
      </c>
      <c r="F14" s="54">
        <v>5.43</v>
      </c>
      <c r="G14" s="54">
        <v>29.24</v>
      </c>
      <c r="H14" s="54">
        <v>9.93</v>
      </c>
      <c r="I14" s="54">
        <v>1.69</v>
      </c>
      <c r="J14" s="54">
        <v>0.27</v>
      </c>
      <c r="K14" s="54">
        <v>45.46</v>
      </c>
      <c r="L14" s="54">
        <v>22.62</v>
      </c>
      <c r="M14" s="54">
        <v>96.14</v>
      </c>
      <c r="N14" s="54">
        <v>41.60</v>
      </c>
      <c r="O14" s="54">
        <v>0</v>
      </c>
      <c r="P14" s="54">
        <v>0.20</v>
      </c>
      <c r="Q14" s="54">
        <v>15.51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7.43</v>
      </c>
      <c r="C15" s="54">
        <v>29.67</v>
      </c>
      <c r="D15" s="54">
        <v>23.61</v>
      </c>
      <c r="E15" s="54">
        <v>4.3499999999999996</v>
      </c>
      <c r="F15" s="54">
        <v>3.02</v>
      </c>
      <c r="G15" s="54">
        <v>26.72</v>
      </c>
      <c r="H15" s="54">
        <v>10.38</v>
      </c>
      <c r="I15" s="54">
        <v>1.76</v>
      </c>
      <c r="J15" s="54">
        <v>0.36</v>
      </c>
      <c r="K15" s="54">
        <v>43.17</v>
      </c>
      <c r="L15" s="54">
        <v>22.98</v>
      </c>
      <c r="M15" s="54">
        <v>93.72</v>
      </c>
      <c r="N15" s="54">
        <v>92.70</v>
      </c>
      <c r="O15" s="54">
        <v>0</v>
      </c>
      <c r="P15" s="54">
        <v>0.22</v>
      </c>
      <c r="Q15" s="54">
        <v>12.05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10.11</v>
      </c>
      <c r="C16" s="54">
        <v>31.60</v>
      </c>
      <c r="D16" s="54">
        <v>26.84</v>
      </c>
      <c r="E16" s="54">
        <v>4.37</v>
      </c>
      <c r="F16" s="54">
        <v>2.94</v>
      </c>
      <c r="G16" s="54">
        <v>30.97</v>
      </c>
      <c r="H16" s="54">
        <v>12.21</v>
      </c>
      <c r="I16" s="54">
        <v>1.71</v>
      </c>
      <c r="J16" s="54">
        <v>0.32</v>
      </c>
      <c r="K16" s="54">
        <v>41.85</v>
      </c>
      <c r="L16" s="54">
        <v>23.92</v>
      </c>
      <c r="M16" s="54">
        <v>90.74</v>
      </c>
      <c r="N16" s="54">
        <v>208.60</v>
      </c>
      <c r="O16" s="54">
        <v>0</v>
      </c>
      <c r="P16" s="54">
        <v>0.31</v>
      </c>
      <c r="Q16" s="54">
        <v>14.15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10.70</v>
      </c>
      <c r="C17" s="54">
        <v>32.630000000000003</v>
      </c>
      <c r="D17" s="54">
        <v>27.82</v>
      </c>
      <c r="E17" s="54">
        <v>4.12</v>
      </c>
      <c r="F17" s="54">
        <v>3.09</v>
      </c>
      <c r="G17" s="54">
        <v>37.06</v>
      </c>
      <c r="H17" s="54">
        <v>12.33</v>
      </c>
      <c r="I17" s="54">
        <v>1.72</v>
      </c>
      <c r="J17" s="54">
        <v>0.35</v>
      </c>
      <c r="K17" s="54">
        <v>41.10</v>
      </c>
      <c r="L17" s="54">
        <v>24.88</v>
      </c>
      <c r="M17" s="54">
        <v>84.94</v>
      </c>
      <c r="N17" s="54">
        <v>337.80</v>
      </c>
      <c r="O17" s="54">
        <v>0</v>
      </c>
      <c r="P17" s="54">
        <v>0.35</v>
      </c>
      <c r="Q17" s="54">
        <v>14.64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9.99</v>
      </c>
      <c r="C18" s="54">
        <v>32.58</v>
      </c>
      <c r="D18" s="54">
        <v>27.08</v>
      </c>
      <c r="E18" s="54">
        <v>3.92</v>
      </c>
      <c r="F18" s="54">
        <v>3.38</v>
      </c>
      <c r="G18" s="54">
        <v>42.94</v>
      </c>
      <c r="H18" s="54">
        <v>10.79</v>
      </c>
      <c r="I18" s="54">
        <v>1.73</v>
      </c>
      <c r="J18" s="54">
        <v>0.45</v>
      </c>
      <c r="K18" s="54">
        <v>36.17</v>
      </c>
      <c r="L18" s="54">
        <v>26.22</v>
      </c>
      <c r="M18" s="54">
        <v>80.37</v>
      </c>
      <c r="N18" s="54">
        <v>517.10</v>
      </c>
      <c r="O18" s="54">
        <v>0</v>
      </c>
      <c r="P18" s="54">
        <v>0.45</v>
      </c>
      <c r="Q18" s="54">
        <v>11.25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9.2100000000000009</v>
      </c>
      <c r="C19" s="54">
        <v>35.299999999999997</v>
      </c>
      <c r="D19" s="54">
        <v>28.16</v>
      </c>
      <c r="E19" s="54">
        <v>3.91</v>
      </c>
      <c r="F19" s="54">
        <v>3.72</v>
      </c>
      <c r="G19" s="54">
        <v>47.62</v>
      </c>
      <c r="H19" s="54">
        <v>13.5</v>
      </c>
      <c r="I19" s="54">
        <v>1.73</v>
      </c>
      <c r="J19" s="54">
        <v>0.54</v>
      </c>
      <c r="K19" s="54">
        <v>38.76</v>
      </c>
      <c r="L19" s="54">
        <v>28.01</v>
      </c>
      <c r="M19" s="54">
        <v>74.38</v>
      </c>
      <c r="N19" s="54">
        <v>564.29999999999995</v>
      </c>
      <c r="O19" s="54">
        <v>0</v>
      </c>
      <c r="P19" s="54">
        <v>0.61</v>
      </c>
      <c r="Q19" s="54">
        <v>12.85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8.98</v>
      </c>
      <c r="C20" s="54">
        <v>36.24</v>
      </c>
      <c r="D20" s="54">
        <v>27.37</v>
      </c>
      <c r="E20" s="54">
        <v>4.1500000000000004</v>
      </c>
      <c r="F20" s="54">
        <v>4.32</v>
      </c>
      <c r="G20" s="54">
        <v>53.12</v>
      </c>
      <c r="H20" s="54">
        <v>17.29</v>
      </c>
      <c r="I20" s="54">
        <v>1.76</v>
      </c>
      <c r="J20" s="54">
        <v>0.42</v>
      </c>
      <c r="K20" s="54">
        <v>31.62</v>
      </c>
      <c r="L20" s="54">
        <v>27.93</v>
      </c>
      <c r="M20" s="54">
        <v>67.489999999999995</v>
      </c>
      <c r="N20" s="54">
        <v>565.60</v>
      </c>
      <c r="O20" s="54">
        <v>0</v>
      </c>
      <c r="P20" s="54">
        <v>0.59</v>
      </c>
      <c r="Q20" s="54">
        <v>12.08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5.87</v>
      </c>
      <c r="C21" s="54">
        <v>35.369999999999997</v>
      </c>
      <c r="D21" s="54">
        <v>25.19</v>
      </c>
      <c r="E21" s="54">
        <v>4.28</v>
      </c>
      <c r="F21" s="54">
        <v>5.58</v>
      </c>
      <c r="G21" s="54">
        <v>58.73</v>
      </c>
      <c r="H21" s="54">
        <v>16.80</v>
      </c>
      <c r="I21" s="54">
        <v>1.74</v>
      </c>
      <c r="J21" s="54">
        <v>0.54</v>
      </c>
      <c r="K21" s="54">
        <v>15.5</v>
      </c>
      <c r="L21" s="54">
        <v>29.57</v>
      </c>
      <c r="M21" s="54">
        <v>64.290000000000006</v>
      </c>
      <c r="N21" s="54">
        <v>790</v>
      </c>
      <c r="O21" s="54">
        <v>0</v>
      </c>
      <c r="P21" s="54">
        <v>0.53</v>
      </c>
      <c r="Q21" s="54">
        <v>8.99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6.83</v>
      </c>
      <c r="C22" s="54">
        <v>36.75</v>
      </c>
      <c r="D22" s="54">
        <v>26.91</v>
      </c>
      <c r="E22" s="54">
        <v>4.33</v>
      </c>
      <c r="F22" s="54">
        <v>6.27</v>
      </c>
      <c r="G22" s="54">
        <v>60.38</v>
      </c>
      <c r="H22" s="54">
        <v>15.06</v>
      </c>
      <c r="I22" s="54">
        <v>1.70</v>
      </c>
      <c r="J22" s="54">
        <v>0.51</v>
      </c>
      <c r="K22" s="54">
        <v>20.85</v>
      </c>
      <c r="L22" s="54">
        <v>29.62</v>
      </c>
      <c r="M22" s="54">
        <v>63.12</v>
      </c>
      <c r="N22" s="54">
        <v>679.40</v>
      </c>
      <c r="O22" s="54">
        <v>0</v>
      </c>
      <c r="P22" s="54">
        <v>0.5</v>
      </c>
      <c r="Q22" s="54">
        <v>10.86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4.83</v>
      </c>
      <c r="C23" s="54">
        <v>37.020000000000003</v>
      </c>
      <c r="D23" s="54">
        <v>25.59</v>
      </c>
      <c r="E23" s="54">
        <v>4.2300000000000004</v>
      </c>
      <c r="F23" s="54">
        <v>5.26</v>
      </c>
      <c r="G23" s="54">
        <v>62.32</v>
      </c>
      <c r="H23" s="54">
        <v>17.260000000000002</v>
      </c>
      <c r="I23" s="54">
        <v>1.71</v>
      </c>
      <c r="J23" s="54">
        <v>0.42</v>
      </c>
      <c r="K23" s="54">
        <v>38.94</v>
      </c>
      <c r="L23" s="54">
        <v>29.14</v>
      </c>
      <c r="M23" s="54">
        <v>66.010000000000005</v>
      </c>
      <c r="N23" s="54">
        <v>578.60</v>
      </c>
      <c r="O23" s="54">
        <v>0</v>
      </c>
      <c r="P23" s="54">
        <v>0.52</v>
      </c>
      <c r="Q23" s="54">
        <v>11.03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4.29</v>
      </c>
      <c r="C24" s="54">
        <v>37.770000000000003</v>
      </c>
      <c r="D24" s="54">
        <v>25.58</v>
      </c>
      <c r="E24" s="54">
        <v>4.41</v>
      </c>
      <c r="F24" s="54">
        <v>4.8899999999999997</v>
      </c>
      <c r="G24" s="54">
        <v>68.05</v>
      </c>
      <c r="H24" s="54">
        <v>17.79</v>
      </c>
      <c r="I24" s="54">
        <v>1.76</v>
      </c>
      <c r="J24" s="54">
        <v>0.37</v>
      </c>
      <c r="K24" s="54">
        <v>38.64</v>
      </c>
      <c r="L24" s="54">
        <v>27.87</v>
      </c>
      <c r="M24" s="54">
        <v>67.75</v>
      </c>
      <c r="N24" s="54">
        <v>320.80</v>
      </c>
      <c r="O24" s="54">
        <v>0</v>
      </c>
      <c r="P24" s="54">
        <v>0.56000000000000005</v>
      </c>
      <c r="Q24" s="54">
        <v>8.64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6.53</v>
      </c>
      <c r="C25" s="54">
        <v>37.43</v>
      </c>
      <c r="D25" s="54">
        <v>27.18</v>
      </c>
      <c r="E25" s="54">
        <v>4.5599999999999996</v>
      </c>
      <c r="F25" s="54">
        <v>7.89</v>
      </c>
      <c r="G25" s="54">
        <v>65.30</v>
      </c>
      <c r="H25" s="54">
        <v>19.02</v>
      </c>
      <c r="I25" s="54">
        <v>1.72</v>
      </c>
      <c r="J25" s="54">
        <v>0.31</v>
      </c>
      <c r="K25" s="54">
        <v>44.91</v>
      </c>
      <c r="L25" s="54">
        <v>26.66</v>
      </c>
      <c r="M25" s="54">
        <v>70.02</v>
      </c>
      <c r="N25" s="54">
        <v>148.10</v>
      </c>
      <c r="O25" s="54">
        <v>0</v>
      </c>
      <c r="P25" s="54">
        <v>0.51</v>
      </c>
      <c r="Q25" s="54">
        <v>11.55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6.60</v>
      </c>
      <c r="C26" s="54">
        <v>37.14</v>
      </c>
      <c r="D26" s="54">
        <v>26.94</v>
      </c>
      <c r="E26" s="54">
        <v>4.24</v>
      </c>
      <c r="F26" s="54">
        <v>7.46</v>
      </c>
      <c r="G26" s="54">
        <v>62.04</v>
      </c>
      <c r="H26" s="54">
        <v>19.399999999999999</v>
      </c>
      <c r="I26" s="54">
        <v>1.73</v>
      </c>
      <c r="J26" s="54">
        <v>0.34</v>
      </c>
      <c r="K26" s="54">
        <v>45.5</v>
      </c>
      <c r="L26" s="54">
        <v>26.57</v>
      </c>
      <c r="M26" s="54">
        <v>74.70</v>
      </c>
      <c r="N26" s="54">
        <v>124.20</v>
      </c>
      <c r="O26" s="54">
        <v>0</v>
      </c>
      <c r="P26" s="54">
        <v>0.52</v>
      </c>
      <c r="Q26" s="54">
        <v>11.51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6.78</v>
      </c>
      <c r="C27" s="54">
        <v>39.67</v>
      </c>
      <c r="D27" s="54">
        <v>28.62</v>
      </c>
      <c r="E27" s="54">
        <v>4.3099999999999996</v>
      </c>
      <c r="F27" s="54">
        <v>4.21</v>
      </c>
      <c r="G27" s="54">
        <v>64.56</v>
      </c>
      <c r="H27" s="54">
        <v>21.08</v>
      </c>
      <c r="I27" s="54">
        <v>1.75</v>
      </c>
      <c r="J27" s="54">
        <v>0.38</v>
      </c>
      <c r="K27" s="54">
        <v>51.84</v>
      </c>
      <c r="L27" s="54">
        <v>25.79</v>
      </c>
      <c r="M27" s="54">
        <v>79.13</v>
      </c>
      <c r="N27" s="54">
        <v>43.40</v>
      </c>
      <c r="O27" s="54">
        <v>0</v>
      </c>
      <c r="P27" s="54">
        <v>0.56000000000000005</v>
      </c>
      <c r="Q27" s="54">
        <v>9.91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9.3800000000000008</v>
      </c>
      <c r="C28" s="54">
        <v>38.46</v>
      </c>
      <c r="D28" s="54">
        <v>30.04</v>
      </c>
      <c r="E28" s="54">
        <v>4.66</v>
      </c>
      <c r="F28" s="54">
        <v>7.89</v>
      </c>
      <c r="G28" s="54">
        <v>64.709999999999994</v>
      </c>
      <c r="H28" s="54">
        <v>21.08</v>
      </c>
      <c r="I28" s="54">
        <v>1.72</v>
      </c>
      <c r="J28" s="54">
        <v>0.25</v>
      </c>
      <c r="K28" s="54">
        <v>45.14</v>
      </c>
      <c r="L28" s="54">
        <v>25.09</v>
      </c>
      <c r="M28" s="54">
        <v>81.569999999999993</v>
      </c>
      <c r="N28" s="54">
        <v>26.40</v>
      </c>
      <c r="O28" s="54">
        <v>0</v>
      </c>
      <c r="P28" s="54">
        <v>0.71</v>
      </c>
      <c r="Q28" s="54">
        <v>13.37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11.99</v>
      </c>
      <c r="C29" s="54">
        <v>39.97</v>
      </c>
      <c r="D29" s="54">
        <v>32.97</v>
      </c>
      <c r="E29" s="54">
        <v>5.17</v>
      </c>
      <c r="F29" s="54">
        <v>5.18</v>
      </c>
      <c r="G29" s="54">
        <v>66.56</v>
      </c>
      <c r="H29" s="54">
        <v>20.95</v>
      </c>
      <c r="I29" s="54">
        <v>1.74</v>
      </c>
      <c r="J29" s="54">
        <v>0.22</v>
      </c>
      <c r="K29" s="54">
        <v>46.96</v>
      </c>
      <c r="L29" s="54">
        <v>24.75</v>
      </c>
      <c r="M29" s="54">
        <v>86.5</v>
      </c>
      <c r="N29" s="54">
        <v>28.40</v>
      </c>
      <c r="O29" s="54">
        <v>0</v>
      </c>
      <c r="P29" s="54">
        <v>0.81</v>
      </c>
      <c r="Q29" s="54">
        <v>13.80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8.7899999999999991</v>
      </c>
      <c r="C30" s="54">
        <v>36.19</v>
      </c>
      <c r="D30" s="54">
        <v>28.24</v>
      </c>
      <c r="E30" s="54">
        <v>5.34</v>
      </c>
      <c r="F30" s="54">
        <v>5.63</v>
      </c>
      <c r="G30" s="54">
        <v>71.56</v>
      </c>
      <c r="H30" s="54">
        <v>22.36</v>
      </c>
      <c r="I30" s="54">
        <v>1.74</v>
      </c>
      <c r="J30" s="54">
        <v>0.13</v>
      </c>
      <c r="K30" s="54">
        <v>34.65</v>
      </c>
      <c r="L30" s="54">
        <v>24.35</v>
      </c>
      <c r="M30" s="54">
        <v>88.85</v>
      </c>
      <c r="N30" s="54">
        <v>28.60</v>
      </c>
      <c r="O30" s="54">
        <v>0</v>
      </c>
      <c r="P30" s="54">
        <v>0.71</v>
      </c>
      <c r="Q30" s="54">
        <v>12.59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7.85</v>
      </c>
      <c r="C31" s="54">
        <v>32.409999999999997</v>
      </c>
      <c r="D31" s="54">
        <v>25.48</v>
      </c>
      <c r="E31" s="54">
        <v>4.9400000000000004</v>
      </c>
      <c r="F31" s="54">
        <v>9.14</v>
      </c>
      <c r="G31" s="54">
        <v>65.41</v>
      </c>
      <c r="H31" s="54">
        <v>21.28</v>
      </c>
      <c r="I31" s="54">
        <v>1.74</v>
      </c>
      <c r="J31" s="54">
        <v>0.18</v>
      </c>
      <c r="K31" s="54">
        <v>48.71</v>
      </c>
      <c r="L31" s="54">
        <v>24.13</v>
      </c>
      <c r="M31" s="54">
        <v>89.87</v>
      </c>
      <c r="N31" s="54">
        <v>28.5</v>
      </c>
      <c r="O31" s="54">
        <v>0</v>
      </c>
      <c r="P31" s="54">
        <v>0.61</v>
      </c>
      <c r="Q31" s="54">
        <v>15.87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8.24</v>
      </c>
      <c r="C32" s="54">
        <v>31.11</v>
      </c>
      <c r="D32" s="54">
        <v>25.07</v>
      </c>
      <c r="E32" s="54">
        <v>5.60</v>
      </c>
      <c r="F32" s="54">
        <v>7.86</v>
      </c>
      <c r="G32" s="54">
        <v>63.07</v>
      </c>
      <c r="H32" s="54">
        <v>18.63</v>
      </c>
      <c r="I32" s="54">
        <v>1.78</v>
      </c>
      <c r="J32" s="54">
        <v>0.11</v>
      </c>
      <c r="K32" s="54">
        <v>232.19</v>
      </c>
      <c r="L32" s="54">
        <v>23.86</v>
      </c>
      <c r="M32" s="54">
        <v>92.25</v>
      </c>
      <c r="N32" s="54">
        <v>28.60</v>
      </c>
      <c r="O32" s="54">
        <v>0</v>
      </c>
      <c r="P32" s="54">
        <v>0.54</v>
      </c>
      <c r="Q32" s="54">
        <v>15.42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4.29</v>
      </c>
      <c r="C34" s="28">
        <f t="shared" si="0"/>
        <v>28.859999999999999</v>
      </c>
      <c r="D34" s="28">
        <f t="shared" si="0"/>
        <v>21.57</v>
      </c>
      <c r="E34" s="28">
        <f t="shared" si="0"/>
        <v>2.8999999999999999</v>
      </c>
      <c r="F34" s="28">
        <f t="shared" si="0"/>
        <v>2.9399999999999999</v>
      </c>
      <c r="G34" s="28">
        <f t="shared" si="0"/>
        <v>26.719999999999999</v>
      </c>
      <c r="H34" s="28">
        <f t="shared" si="0"/>
        <v>6.2699999999999996</v>
      </c>
      <c r="I34" s="28">
        <f t="shared" si="0"/>
        <v>1.6899999999999999</v>
      </c>
      <c r="J34" s="28">
        <f t="shared" si="0"/>
        <v>0.10000000000000001</v>
      </c>
      <c r="K34" s="28">
        <f t="shared" si="0"/>
        <v>15.5</v>
      </c>
      <c r="L34" s="28">
        <f t="shared" si="0"/>
        <v>22.280000000000001</v>
      </c>
      <c r="M34" s="28">
        <f t="shared" si="0"/>
        <v>63.119999999999997</v>
      </c>
      <c r="N34" s="28">
        <f t="shared" si="0"/>
        <v>25.699999999999999</v>
      </c>
      <c r="O34" s="28">
        <f t="shared" si="0"/>
        <v>0</v>
      </c>
      <c r="P34" s="28">
        <f t="shared" si="0"/>
        <v>0.20000000000000001</v>
      </c>
      <c r="Q34" s="28">
        <f t="shared" si="0"/>
        <v>8.6400000000000006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11.99</v>
      </c>
      <c r="C35" s="29">
        <f t="shared" si="1"/>
        <v>39.969999999999999</v>
      </c>
      <c r="D35" s="29">
        <f t="shared" si="1"/>
        <v>32.969999999999999</v>
      </c>
      <c r="E35" s="29">
        <f t="shared" si="1"/>
        <v>5.5999999999999996</v>
      </c>
      <c r="F35" s="29">
        <f t="shared" si="1"/>
        <v>9.1400000000000006</v>
      </c>
      <c r="G35" s="29">
        <f t="shared" si="1"/>
        <v>71.560000000000002</v>
      </c>
      <c r="H35" s="29">
        <f t="shared" si="1"/>
        <v>22.359999999999999</v>
      </c>
      <c r="I35" s="29">
        <f t="shared" si="1"/>
        <v>1.78</v>
      </c>
      <c r="J35" s="29">
        <f t="shared" si="1"/>
        <v>0.54000000000000004</v>
      </c>
      <c r="K35" s="29">
        <f t="shared" si="1"/>
        <v>232.19</v>
      </c>
      <c r="L35" s="29">
        <f t="shared" si="1"/>
        <v>29.620000000000001</v>
      </c>
      <c r="M35" s="29">
        <f t="shared" si="1"/>
        <v>97.239999999999995</v>
      </c>
      <c r="N35" s="29">
        <f t="shared" si="1"/>
        <v>790</v>
      </c>
      <c r="O35" s="29">
        <f t="shared" si="1"/>
        <v>0</v>
      </c>
      <c r="P35" s="29">
        <f t="shared" si="1"/>
        <v>0.81000000000000005</v>
      </c>
      <c r="Q35" s="29">
        <f t="shared" si="1"/>
        <v>15.869999999999999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7.5145833333333334</v>
      </c>
      <c r="C36" s="28">
        <f t="shared" si="2"/>
        <v>33.853749999999998</v>
      </c>
      <c r="D36" s="28">
        <f t="shared" si="2"/>
        <v>25.900000000000006</v>
      </c>
      <c r="E36" s="28">
        <f t="shared" si="2"/>
        <v>4.2833333333333323</v>
      </c>
      <c r="F36" s="28">
        <f t="shared" si="2"/>
        <v>5.1812499999999995</v>
      </c>
      <c r="G36" s="28">
        <f t="shared" si="2"/>
        <v>50.099166666666662</v>
      </c>
      <c r="H36" s="28">
        <f t="shared" si="2"/>
        <v>15.046666666666667</v>
      </c>
      <c r="I36" s="28">
        <f t="shared" si="2"/>
        <v>1.7370833333333335</v>
      </c>
      <c r="J36" s="28">
        <f t="shared" si="2"/>
        <v>0.30333333333333329</v>
      </c>
      <c r="K36" s="28">
        <f t="shared" si="2"/>
        <v>50.678333333333335</v>
      </c>
      <c r="L36" s="28">
        <f t="shared" si="2"/>
        <v>25.257083333333338</v>
      </c>
      <c r="M36" s="28">
        <f t="shared" si="2"/>
        <v>83.212083333333339</v>
      </c>
      <c r="N36" s="28">
        <f t="shared" si="2"/>
        <v>220.11250000000004</v>
      </c>
      <c r="O36" s="28">
        <f t="shared" si="2"/>
        <v>0</v>
      </c>
      <c r="P36" s="28">
        <f t="shared" si="2"/>
        <v>0.46583333333333332</v>
      </c>
      <c r="Q36" s="28">
        <f t="shared" si="2"/>
        <v>12.554166666666667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2.0140268535118042</v>
      </c>
      <c r="C37" s="28">
        <f t="shared" si="3" ref="C37:Q37">STDEV(C9:C32)</f>
        <v>3.7955475202216968</v>
      </c>
      <c r="D37" s="28">
        <f t="shared" si="3"/>
        <v>2.8792586606246831</v>
      </c>
      <c r="E37" s="28">
        <f t="shared" si="3"/>
        <v>0.65774758384806986</v>
      </c>
      <c r="F37" s="28">
        <f t="shared" si="3"/>
        <v>1.7941215908094692</v>
      </c>
      <c r="G37" s="28">
        <f t="shared" si="3"/>
        <v>16.040996910543253</v>
      </c>
      <c r="H37" s="28">
        <f t="shared" si="3"/>
        <v>4.971719732793602</v>
      </c>
      <c r="I37" s="28">
        <f t="shared" si="3"/>
        <v>0.02349452603529574</v>
      </c>
      <c r="J37" s="28">
        <f t="shared" si="3"/>
        <v>0.1358921140709301</v>
      </c>
      <c r="K37" s="28">
        <f t="shared" si="3"/>
        <v>40.854976778065009</v>
      </c>
      <c r="L37" s="28">
        <f t="shared" si="3"/>
        <v>2.4430637913091413</v>
      </c>
      <c r="M37" s="28">
        <f t="shared" si="3"/>
        <v>12.086048363142927</v>
      </c>
      <c r="N37" s="28">
        <f t="shared" si="3"/>
        <v>253.74056300721293</v>
      </c>
      <c r="O37" s="28">
        <f t="shared" si="3"/>
        <v>0</v>
      </c>
      <c r="P37" s="28">
        <f t="shared" si="3"/>
        <v>0.17485190420981153</v>
      </c>
      <c r="Q37" s="28">
        <f t="shared" si="3"/>
        <v>1.9859942568914455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617ed5-3dce-4277-85e9-0d88c5c0a42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3" sqref="I63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7.24</v>
      </c>
      <c r="C9" s="54">
        <v>30.59</v>
      </c>
      <c r="D9" s="54">
        <v>23.91</v>
      </c>
      <c r="E9" s="54">
        <v>4.26</v>
      </c>
      <c r="F9" s="54">
        <v>7.71</v>
      </c>
      <c r="G9" s="54">
        <v>50.19</v>
      </c>
      <c r="H9" s="54">
        <v>15.59</v>
      </c>
      <c r="I9" s="54">
        <v>1.71</v>
      </c>
      <c r="J9" s="54">
        <v>0.08</v>
      </c>
      <c r="K9" s="54">
        <v>215.36</v>
      </c>
      <c r="L9" s="54">
        <v>23.56</v>
      </c>
      <c r="M9" s="54">
        <v>92.63</v>
      </c>
      <c r="N9" s="54">
        <v>28.60</v>
      </c>
      <c r="O9" s="54">
        <v>0</v>
      </c>
      <c r="P9" s="54">
        <v>0.47</v>
      </c>
      <c r="Q9" s="54">
        <v>13.45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6.26</v>
      </c>
      <c r="C10" s="54">
        <v>27.11</v>
      </c>
      <c r="D10" s="54">
        <v>21.27</v>
      </c>
      <c r="E10" s="54">
        <v>4.59</v>
      </c>
      <c r="F10" s="54">
        <v>7.81</v>
      </c>
      <c r="G10" s="54">
        <v>38.40</v>
      </c>
      <c r="H10" s="54">
        <v>16.70</v>
      </c>
      <c r="I10" s="54">
        <v>1.74</v>
      </c>
      <c r="J10" s="54">
        <v>0.19</v>
      </c>
      <c r="K10" s="54">
        <v>38.10</v>
      </c>
      <c r="L10" s="54">
        <v>23.32</v>
      </c>
      <c r="M10" s="54">
        <v>92.72</v>
      </c>
      <c r="N10" s="54">
        <v>28.5</v>
      </c>
      <c r="O10" s="54">
        <v>0</v>
      </c>
      <c r="P10" s="54">
        <v>0.33</v>
      </c>
      <c r="Q10" s="54">
        <v>16.47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7.13</v>
      </c>
      <c r="C11" s="54">
        <v>30.85</v>
      </c>
      <c r="D11" s="54">
        <v>23.93</v>
      </c>
      <c r="E11" s="54">
        <v>4.92</v>
      </c>
      <c r="F11" s="54">
        <v>3.48</v>
      </c>
      <c r="G11" s="54">
        <v>39.369999999999997</v>
      </c>
      <c r="H11" s="54">
        <v>13.43</v>
      </c>
      <c r="I11" s="54">
        <v>1.72</v>
      </c>
      <c r="J11" s="54">
        <v>0.23</v>
      </c>
      <c r="K11" s="54">
        <v>43.57</v>
      </c>
      <c r="L11" s="54">
        <v>23.16</v>
      </c>
      <c r="M11" s="54">
        <v>92.40</v>
      </c>
      <c r="N11" s="54">
        <v>28.40</v>
      </c>
      <c r="O11" s="54">
        <v>0</v>
      </c>
      <c r="P11" s="54">
        <v>0.34</v>
      </c>
      <c r="Q11" s="54">
        <v>15.49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6.10</v>
      </c>
      <c r="C12" s="54">
        <v>30.51</v>
      </c>
      <c r="D12" s="54">
        <v>23.02</v>
      </c>
      <c r="E12" s="54">
        <v>4.30</v>
      </c>
      <c r="F12" s="54">
        <v>3.97</v>
      </c>
      <c r="G12" s="54">
        <v>35.130000000000003</v>
      </c>
      <c r="H12" s="54">
        <v>12.31</v>
      </c>
      <c r="I12" s="54">
        <v>1.77</v>
      </c>
      <c r="J12" s="54">
        <v>0.34</v>
      </c>
      <c r="K12" s="54">
        <v>50.63</v>
      </c>
      <c r="L12" s="54">
        <v>22.97</v>
      </c>
      <c r="M12" s="54">
        <v>93.62</v>
      </c>
      <c r="N12" s="54">
        <v>28.30</v>
      </c>
      <c r="O12" s="54">
        <v>0</v>
      </c>
      <c r="P12" s="54">
        <v>0.28999999999999998</v>
      </c>
      <c r="Q12" s="54">
        <v>12.68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7.93</v>
      </c>
      <c r="C13" s="54">
        <v>30.17</v>
      </c>
      <c r="D13" s="54">
        <v>23.82</v>
      </c>
      <c r="E13" s="54">
        <v>4.83</v>
      </c>
      <c r="F13" s="54">
        <v>5.48</v>
      </c>
      <c r="G13" s="54">
        <v>36.43</v>
      </c>
      <c r="H13" s="54">
        <v>9.7200000000000006</v>
      </c>
      <c r="I13" s="54">
        <v>1.71</v>
      </c>
      <c r="J13" s="54">
        <v>0.20</v>
      </c>
      <c r="K13" s="54">
        <v>48.55</v>
      </c>
      <c r="L13" s="54">
        <v>22.76</v>
      </c>
      <c r="M13" s="54">
        <v>94.07</v>
      </c>
      <c r="N13" s="54">
        <v>28.30</v>
      </c>
      <c r="O13" s="54">
        <v>0</v>
      </c>
      <c r="P13" s="54">
        <v>0.24</v>
      </c>
      <c r="Q13" s="54">
        <v>14.07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6.74</v>
      </c>
      <c r="C14" s="54">
        <v>30.75</v>
      </c>
      <c r="D14" s="54">
        <v>23.63</v>
      </c>
      <c r="E14" s="54">
        <v>4.92</v>
      </c>
      <c r="F14" s="54">
        <v>3.03</v>
      </c>
      <c r="G14" s="54">
        <v>34.590000000000003</v>
      </c>
      <c r="H14" s="54">
        <v>11.91</v>
      </c>
      <c r="I14" s="54">
        <v>1.73</v>
      </c>
      <c r="J14" s="54">
        <v>0.27</v>
      </c>
      <c r="K14" s="54">
        <v>39.72</v>
      </c>
      <c r="L14" s="54">
        <v>22.70</v>
      </c>
      <c r="M14" s="54">
        <v>94.22</v>
      </c>
      <c r="N14" s="54">
        <v>41.10</v>
      </c>
      <c r="O14" s="54">
        <v>0</v>
      </c>
      <c r="P14" s="54">
        <v>0.25</v>
      </c>
      <c r="Q14" s="54">
        <v>13.41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10.39</v>
      </c>
      <c r="C15" s="54">
        <v>34.630000000000003</v>
      </c>
      <c r="D15" s="54">
        <v>28.74</v>
      </c>
      <c r="E15" s="54">
        <v>5.30</v>
      </c>
      <c r="F15" s="54">
        <v>2.91</v>
      </c>
      <c r="G15" s="54">
        <v>34.81</v>
      </c>
      <c r="H15" s="54">
        <v>9.61</v>
      </c>
      <c r="I15" s="54">
        <v>1.78</v>
      </c>
      <c r="J15" s="54">
        <v>0.25</v>
      </c>
      <c r="K15" s="54">
        <v>48.13</v>
      </c>
      <c r="L15" s="54">
        <v>23</v>
      </c>
      <c r="M15" s="54">
        <v>94.01</v>
      </c>
      <c r="N15" s="54">
        <v>106.5</v>
      </c>
      <c r="O15" s="54">
        <v>0</v>
      </c>
      <c r="P15" s="54">
        <v>0.31</v>
      </c>
      <c r="Q15" s="54">
        <v>13.44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11.40</v>
      </c>
      <c r="C16" s="54">
        <v>32.86</v>
      </c>
      <c r="D16" s="54">
        <v>28.39</v>
      </c>
      <c r="E16" s="54">
        <v>5.23</v>
      </c>
      <c r="F16" s="54">
        <v>3.12</v>
      </c>
      <c r="G16" s="54">
        <v>40.19</v>
      </c>
      <c r="H16" s="54">
        <v>8.42</v>
      </c>
      <c r="I16" s="54">
        <v>1.70</v>
      </c>
      <c r="J16" s="54">
        <v>0.28999999999999998</v>
      </c>
      <c r="K16" s="54">
        <v>39.58</v>
      </c>
      <c r="L16" s="54">
        <v>24</v>
      </c>
      <c r="M16" s="54">
        <v>91.83</v>
      </c>
      <c r="N16" s="54">
        <v>250.60</v>
      </c>
      <c r="O16" s="54">
        <v>0</v>
      </c>
      <c r="P16" s="54">
        <v>0.35</v>
      </c>
      <c r="Q16" s="54">
        <v>14.86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11.15</v>
      </c>
      <c r="C17" s="54">
        <v>33.31</v>
      </c>
      <c r="D17" s="54">
        <v>28.32</v>
      </c>
      <c r="E17" s="54">
        <v>4.59</v>
      </c>
      <c r="F17" s="54">
        <v>2.97</v>
      </c>
      <c r="G17" s="54">
        <v>44.33</v>
      </c>
      <c r="H17" s="54">
        <v>11.72</v>
      </c>
      <c r="I17" s="54">
        <v>1.71</v>
      </c>
      <c r="J17" s="54">
        <v>0.37</v>
      </c>
      <c r="K17" s="54">
        <v>30.40</v>
      </c>
      <c r="L17" s="54">
        <v>26.47</v>
      </c>
      <c r="M17" s="54">
        <v>84.36</v>
      </c>
      <c r="N17" s="54">
        <v>524.90</v>
      </c>
      <c r="O17" s="54">
        <v>0</v>
      </c>
      <c r="P17" s="54">
        <v>0.44</v>
      </c>
      <c r="Q17" s="54">
        <v>13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11.60</v>
      </c>
      <c r="C18" s="54">
        <v>35.81</v>
      </c>
      <c r="D18" s="54">
        <v>29.99</v>
      </c>
      <c r="E18" s="54">
        <v>3.92</v>
      </c>
      <c r="F18" s="54">
        <v>3.48</v>
      </c>
      <c r="G18" s="54">
        <v>48.81</v>
      </c>
      <c r="H18" s="54">
        <v>14.57</v>
      </c>
      <c r="I18" s="54">
        <v>1.75</v>
      </c>
      <c r="J18" s="54">
        <v>0.48</v>
      </c>
      <c r="K18" s="54">
        <v>27.49</v>
      </c>
      <c r="L18" s="54">
        <v>28.22</v>
      </c>
      <c r="M18" s="54">
        <v>75.58</v>
      </c>
      <c r="N18" s="54">
        <v>614.10</v>
      </c>
      <c r="O18" s="54">
        <v>0</v>
      </c>
      <c r="P18" s="54">
        <v>0.64</v>
      </c>
      <c r="Q18" s="54">
        <v>13.17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9.93</v>
      </c>
      <c r="C19" s="54">
        <v>36.81</v>
      </c>
      <c r="D19" s="54">
        <v>29.43</v>
      </c>
      <c r="E19" s="54">
        <v>4.3499999999999996</v>
      </c>
      <c r="F19" s="54">
        <v>6.05</v>
      </c>
      <c r="G19" s="54">
        <v>54.89</v>
      </c>
      <c r="H19" s="54">
        <v>15.73</v>
      </c>
      <c r="I19" s="54">
        <v>1.75</v>
      </c>
      <c r="J19" s="54">
        <v>0.41</v>
      </c>
      <c r="K19" s="54">
        <v>30.41</v>
      </c>
      <c r="L19" s="54">
        <v>29.05</v>
      </c>
      <c r="M19" s="54">
        <v>66.83</v>
      </c>
      <c r="N19" s="54">
        <v>687.80</v>
      </c>
      <c r="O19" s="54">
        <v>0</v>
      </c>
      <c r="P19" s="54">
        <v>0.67</v>
      </c>
      <c r="Q19" s="54">
        <v>13.51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6.48</v>
      </c>
      <c r="C20" s="54">
        <v>36.28</v>
      </c>
      <c r="D20" s="54">
        <v>26.39</v>
      </c>
      <c r="E20" s="54">
        <v>3.80</v>
      </c>
      <c r="F20" s="54">
        <v>5.71</v>
      </c>
      <c r="G20" s="54">
        <v>52.94</v>
      </c>
      <c r="H20" s="54">
        <v>14.70</v>
      </c>
      <c r="I20" s="54">
        <v>1.76</v>
      </c>
      <c r="J20" s="54">
        <v>0.59</v>
      </c>
      <c r="K20" s="54">
        <v>41.49</v>
      </c>
      <c r="L20" s="54">
        <v>30.12</v>
      </c>
      <c r="M20" s="54">
        <v>66.099999999999994</v>
      </c>
      <c r="N20" s="54">
        <v>741.60</v>
      </c>
      <c r="O20" s="54">
        <v>0</v>
      </c>
      <c r="P20" s="54">
        <v>0.57999999999999996</v>
      </c>
      <c r="Q20" s="54">
        <v>10.75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5.36</v>
      </c>
      <c r="C21" s="54">
        <v>35.659999999999997</v>
      </c>
      <c r="D21" s="54">
        <v>25.28</v>
      </c>
      <c r="E21" s="54">
        <v>4.0599999999999996</v>
      </c>
      <c r="F21" s="54">
        <v>7.02</v>
      </c>
      <c r="G21" s="54">
        <v>53.37</v>
      </c>
      <c r="H21" s="54">
        <v>18.07</v>
      </c>
      <c r="I21" s="54">
        <v>1.72</v>
      </c>
      <c r="J21" s="54">
        <v>0.34</v>
      </c>
      <c r="K21" s="54">
        <v>56.33</v>
      </c>
      <c r="L21" s="54">
        <v>29.30</v>
      </c>
      <c r="M21" s="54">
        <v>65.819999999999993</v>
      </c>
      <c r="N21" s="54">
        <v>747.80</v>
      </c>
      <c r="O21" s="54">
        <v>0</v>
      </c>
      <c r="P21" s="54">
        <v>0.67</v>
      </c>
      <c r="Q21" s="54">
        <v>10.45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4.3600000000000003</v>
      </c>
      <c r="C22" s="54">
        <v>35.369999999999997</v>
      </c>
      <c r="D22" s="54">
        <v>24.31</v>
      </c>
      <c r="E22" s="54">
        <v>4.59</v>
      </c>
      <c r="F22" s="54">
        <v>11.13</v>
      </c>
      <c r="G22" s="54">
        <v>69.30</v>
      </c>
      <c r="H22" s="54">
        <v>19.13</v>
      </c>
      <c r="I22" s="54">
        <v>1.74</v>
      </c>
      <c r="J22" s="54">
        <v>0.20</v>
      </c>
      <c r="K22" s="54">
        <v>297.18</v>
      </c>
      <c r="L22" s="54">
        <v>27.94</v>
      </c>
      <c r="M22" s="54">
        <v>69.20</v>
      </c>
      <c r="N22" s="54">
        <v>488.20</v>
      </c>
      <c r="O22" s="54">
        <v>0</v>
      </c>
      <c r="P22" s="54">
        <v>0.57999999999999996</v>
      </c>
      <c r="Q22" s="54">
        <v>11.52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6.82</v>
      </c>
      <c r="C23" s="54">
        <v>31.79</v>
      </c>
      <c r="D23" s="54">
        <v>24.03</v>
      </c>
      <c r="E23" s="54">
        <v>4</v>
      </c>
      <c r="F23" s="54">
        <v>5.21</v>
      </c>
      <c r="G23" s="54">
        <v>58.58</v>
      </c>
      <c r="H23" s="54">
        <v>19.5</v>
      </c>
      <c r="I23" s="54">
        <v>1.74</v>
      </c>
      <c r="J23" s="54">
        <v>0.26</v>
      </c>
      <c r="K23" s="54">
        <v>48.95</v>
      </c>
      <c r="L23" s="54">
        <v>28.48</v>
      </c>
      <c r="M23" s="54">
        <v>67.89</v>
      </c>
      <c r="N23" s="54">
        <v>444.60</v>
      </c>
      <c r="O23" s="54">
        <v>0</v>
      </c>
      <c r="P23" s="54">
        <v>0.53</v>
      </c>
      <c r="Q23" s="54">
        <v>8.56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5.72</v>
      </c>
      <c r="C24" s="54">
        <v>35.36</v>
      </c>
      <c r="D24" s="54">
        <v>25.39</v>
      </c>
      <c r="E24" s="54">
        <v>4.24</v>
      </c>
      <c r="F24" s="54">
        <v>10.78</v>
      </c>
      <c r="G24" s="54">
        <v>75.59</v>
      </c>
      <c r="H24" s="54">
        <v>22.73</v>
      </c>
      <c r="I24" s="54">
        <v>1.73</v>
      </c>
      <c r="J24" s="54">
        <v>0.27</v>
      </c>
      <c r="K24" s="54">
        <v>41.57</v>
      </c>
      <c r="L24" s="54">
        <v>28.28</v>
      </c>
      <c r="M24" s="54">
        <v>65.55</v>
      </c>
      <c r="N24" s="54">
        <v>333.10</v>
      </c>
      <c r="O24" s="54">
        <v>0</v>
      </c>
      <c r="P24" s="54">
        <v>0.5</v>
      </c>
      <c r="Q24" s="54">
        <v>11.97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17.190000000000001</v>
      </c>
      <c r="C25" s="54">
        <v>40.10</v>
      </c>
      <c r="D25" s="54">
        <v>36.58</v>
      </c>
      <c r="E25" s="54">
        <v>5.37</v>
      </c>
      <c r="F25" s="54">
        <v>10.02</v>
      </c>
      <c r="G25" s="54">
        <v>67.03</v>
      </c>
      <c r="H25" s="54">
        <v>24.41</v>
      </c>
      <c r="I25" s="54">
        <v>1.69</v>
      </c>
      <c r="J25" s="54">
        <v>1.20</v>
      </c>
      <c r="K25" s="54">
        <v>28.33</v>
      </c>
      <c r="L25" s="54">
        <v>27.87</v>
      </c>
      <c r="M25" s="54">
        <v>76.06</v>
      </c>
      <c r="N25" s="54">
        <v>115.30</v>
      </c>
      <c r="O25" s="54">
        <v>0</v>
      </c>
      <c r="P25" s="54">
        <v>0.67</v>
      </c>
      <c r="Q25" s="54">
        <v>12.99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28.45</v>
      </c>
      <c r="C26" s="54">
        <v>47.01</v>
      </c>
      <c r="D26" s="54">
        <v>49.01</v>
      </c>
      <c r="E26" s="54">
        <v>5.29</v>
      </c>
      <c r="F26" s="54">
        <v>8.9700000000000006</v>
      </c>
      <c r="G26" s="54">
        <v>106.85</v>
      </c>
      <c r="H26" s="54">
        <v>28.62</v>
      </c>
      <c r="I26" s="54">
        <v>1.72</v>
      </c>
      <c r="J26" s="54">
        <v>0.38</v>
      </c>
      <c r="K26" s="54">
        <v>166.40</v>
      </c>
      <c r="L26" s="54">
        <v>26.55</v>
      </c>
      <c r="M26" s="54">
        <v>77.52</v>
      </c>
      <c r="N26" s="54">
        <v>80.400000000000006</v>
      </c>
      <c r="O26" s="54">
        <v>0</v>
      </c>
      <c r="P26" s="54">
        <v>0.91</v>
      </c>
      <c r="Q26" s="54">
        <v>13.64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20.55</v>
      </c>
      <c r="C27" s="54">
        <v>43.79</v>
      </c>
      <c r="D27" s="54">
        <v>40.57</v>
      </c>
      <c r="E27" s="54">
        <v>5.16</v>
      </c>
      <c r="F27" s="54">
        <v>13.25</v>
      </c>
      <c r="G27" s="54">
        <v>114.30</v>
      </c>
      <c r="H27" s="54">
        <v>25.69</v>
      </c>
      <c r="I27" s="54">
        <v>1.73</v>
      </c>
      <c r="J27" s="54">
        <v>2</v>
      </c>
      <c r="K27" s="54">
        <v>185.06</v>
      </c>
      <c r="L27" s="54">
        <v>25.66</v>
      </c>
      <c r="M27" s="54">
        <v>95.46</v>
      </c>
      <c r="N27" s="54">
        <v>35</v>
      </c>
      <c r="O27" s="54">
        <v>0.40</v>
      </c>
      <c r="P27" s="54">
        <v>0.77</v>
      </c>
      <c r="Q27" s="54">
        <v>16.309999999999999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17.98</v>
      </c>
      <c r="C28" s="54">
        <v>51.85</v>
      </c>
      <c r="D28" s="54">
        <v>44.32</v>
      </c>
      <c r="E28" s="54">
        <v>5.68</v>
      </c>
      <c r="F28" s="54">
        <v>8.4499999999999993</v>
      </c>
      <c r="G28" s="54">
        <v>74.91</v>
      </c>
      <c r="H28" s="54">
        <v>25.23</v>
      </c>
      <c r="I28" s="54">
        <v>1.74</v>
      </c>
      <c r="J28" s="54">
        <v>0.33</v>
      </c>
      <c r="K28" s="54">
        <v>299.27</v>
      </c>
      <c r="L28" s="54">
        <v>23.33</v>
      </c>
      <c r="M28" s="54">
        <v>96.61</v>
      </c>
      <c r="N28" s="54">
        <v>30.5</v>
      </c>
      <c r="O28" s="54">
        <v>0</v>
      </c>
      <c r="P28" s="54">
        <v>0.76</v>
      </c>
      <c r="Q28" s="54">
        <v>16.36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16.54</v>
      </c>
      <c r="C29" s="54">
        <v>36.46</v>
      </c>
      <c r="D29" s="54">
        <v>34.67</v>
      </c>
      <c r="E29" s="54">
        <v>4.4000000000000004</v>
      </c>
      <c r="F29" s="54">
        <v>5.99</v>
      </c>
      <c r="G29" s="54">
        <v>53.52</v>
      </c>
      <c r="H29" s="54">
        <v>20.079999999999998</v>
      </c>
      <c r="I29" s="54">
        <v>1.71</v>
      </c>
      <c r="J29" s="54">
        <v>0.57999999999999996</v>
      </c>
      <c r="K29" s="54">
        <v>213.70</v>
      </c>
      <c r="L29" s="54">
        <v>23.45</v>
      </c>
      <c r="M29" s="54">
        <v>94.14</v>
      </c>
      <c r="N29" s="54">
        <v>30.20</v>
      </c>
      <c r="O29" s="54">
        <v>0</v>
      </c>
      <c r="P29" s="54">
        <v>0.75</v>
      </c>
      <c r="Q29" s="54">
        <v>14.62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16.48</v>
      </c>
      <c r="C30" s="54">
        <v>35.979999999999997</v>
      </c>
      <c r="D30" s="54">
        <v>34.369999999999997</v>
      </c>
      <c r="E30" s="54">
        <v>4.67</v>
      </c>
      <c r="F30" s="54">
        <v>9.2100000000000009</v>
      </c>
      <c r="G30" s="54">
        <v>49.41</v>
      </c>
      <c r="H30" s="54">
        <v>21.03</v>
      </c>
      <c r="I30" s="54">
        <v>1.74</v>
      </c>
      <c r="J30" s="54">
        <v>0.69</v>
      </c>
      <c r="K30" s="54">
        <v>222.69</v>
      </c>
      <c r="L30" s="54">
        <v>23.45</v>
      </c>
      <c r="M30" s="54">
        <v>97.16</v>
      </c>
      <c r="N30" s="54">
        <v>30.10</v>
      </c>
      <c r="O30" s="54">
        <v>0</v>
      </c>
      <c r="P30" s="54">
        <v>0.69</v>
      </c>
      <c r="Q30" s="54">
        <v>18.41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13.75</v>
      </c>
      <c r="C31" s="54">
        <v>29.33</v>
      </c>
      <c r="D31" s="54">
        <v>28.5</v>
      </c>
      <c r="E31" s="54">
        <v>4.9400000000000004</v>
      </c>
      <c r="F31" s="54">
        <v>8.2100000000000009</v>
      </c>
      <c r="G31" s="54">
        <v>49.27</v>
      </c>
      <c r="H31" s="54">
        <v>17.36</v>
      </c>
      <c r="I31" s="54">
        <v>1.73</v>
      </c>
      <c r="J31" s="54">
        <v>0.13</v>
      </c>
      <c r="K31" s="54">
        <v>243.51</v>
      </c>
      <c r="L31" s="54">
        <v>23.25</v>
      </c>
      <c r="M31" s="54">
        <v>97.23</v>
      </c>
      <c r="N31" s="54">
        <v>29.80</v>
      </c>
      <c r="O31" s="54">
        <v>0</v>
      </c>
      <c r="P31" s="54">
        <v>0.56999999999999995</v>
      </c>
      <c r="Q31" s="54">
        <v>19.11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14.51</v>
      </c>
      <c r="C32" s="54">
        <v>29.31</v>
      </c>
      <c r="D32" s="54">
        <v>28.88</v>
      </c>
      <c r="E32" s="54">
        <v>4.34</v>
      </c>
      <c r="F32" s="54">
        <v>4.63</v>
      </c>
      <c r="G32" s="54">
        <v>40.090000000000003</v>
      </c>
      <c r="H32" s="54">
        <v>18.989999999999998</v>
      </c>
      <c r="I32" s="54">
        <v>1.71</v>
      </c>
      <c r="J32" s="54">
        <v>0.070000000000000007</v>
      </c>
      <c r="K32" s="54">
        <v>343.07</v>
      </c>
      <c r="L32" s="54">
        <v>23.22</v>
      </c>
      <c r="M32" s="54">
        <v>97.23</v>
      </c>
      <c r="N32" s="54">
        <v>29.80</v>
      </c>
      <c r="O32" s="54">
        <v>0</v>
      </c>
      <c r="P32" s="54">
        <v>0.59</v>
      </c>
      <c r="Q32" s="54">
        <v>15.5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4.3600000000000003</v>
      </c>
      <c r="C34" s="28">
        <f t="shared" si="0"/>
        <v>27.109999999999999</v>
      </c>
      <c r="D34" s="28">
        <f t="shared" si="0"/>
        <v>21.27</v>
      </c>
      <c r="E34" s="28">
        <f t="shared" si="0"/>
        <v>3.7999999999999998</v>
      </c>
      <c r="F34" s="28">
        <f t="shared" si="0"/>
        <v>2.9100000000000001</v>
      </c>
      <c r="G34" s="28">
        <f t="shared" si="0"/>
        <v>34.590000000000003</v>
      </c>
      <c r="H34" s="28">
        <f t="shared" si="0"/>
        <v>8.4199999999999999</v>
      </c>
      <c r="I34" s="28">
        <f t="shared" si="0"/>
        <v>1.6899999999999999</v>
      </c>
      <c r="J34" s="28">
        <f t="shared" si="0"/>
        <v>0.070000000000000007</v>
      </c>
      <c r="K34" s="28">
        <f t="shared" si="0"/>
        <v>27.489999999999998</v>
      </c>
      <c r="L34" s="28">
        <f t="shared" si="0"/>
        <v>22.699999999999999</v>
      </c>
      <c r="M34" s="28">
        <f t="shared" si="0"/>
        <v>65.549999999999997</v>
      </c>
      <c r="N34" s="28">
        <f t="shared" si="0"/>
        <v>28.300000000000001</v>
      </c>
      <c r="O34" s="28">
        <f t="shared" si="0"/>
        <v>0</v>
      </c>
      <c r="P34" s="28">
        <f t="shared" si="0"/>
        <v>0.23999999999999999</v>
      </c>
      <c r="Q34" s="28">
        <f t="shared" si="0"/>
        <v>8.5600000000000005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28.449999999999999</v>
      </c>
      <c r="C35" s="29">
        <f t="shared" si="1"/>
        <v>51.850000000000001</v>
      </c>
      <c r="D35" s="29">
        <f t="shared" si="1"/>
        <v>49.009999999999998</v>
      </c>
      <c r="E35" s="29">
        <f t="shared" si="1"/>
        <v>5.6799999999999997</v>
      </c>
      <c r="F35" s="29">
        <f t="shared" si="1"/>
        <v>13.25</v>
      </c>
      <c r="G35" s="29">
        <f t="shared" si="1"/>
        <v>114.3</v>
      </c>
      <c r="H35" s="29">
        <f t="shared" si="1"/>
        <v>28.620000000000001</v>
      </c>
      <c r="I35" s="29">
        <f t="shared" si="1"/>
        <v>1.78</v>
      </c>
      <c r="J35" s="29">
        <f t="shared" si="1"/>
        <v>2</v>
      </c>
      <c r="K35" s="29">
        <f t="shared" si="1"/>
        <v>343.06999999999999</v>
      </c>
      <c r="L35" s="29">
        <f t="shared" si="1"/>
        <v>30.120000000000001</v>
      </c>
      <c r="M35" s="29">
        <f t="shared" si="1"/>
        <v>97.230000000000004</v>
      </c>
      <c r="N35" s="29">
        <f t="shared" si="1"/>
        <v>747.79999999999995</v>
      </c>
      <c r="O35" s="29">
        <f t="shared" si="1"/>
        <v>0.40000000000000002</v>
      </c>
      <c r="P35" s="29">
        <f t="shared" si="1"/>
        <v>0.91000000000000003</v>
      </c>
      <c r="Q35" s="29">
        <f t="shared" si="1"/>
        <v>19.109999999999999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11.2525</v>
      </c>
      <c r="C36" s="28">
        <f t="shared" si="2"/>
        <v>35.070416666666667</v>
      </c>
      <c r="D36" s="28">
        <f t="shared" si="2"/>
        <v>29.447916666666668</v>
      </c>
      <c r="E36" s="28">
        <f t="shared" si="2"/>
        <v>4.6562500000000009</v>
      </c>
      <c r="F36" s="28">
        <f t="shared" si="2"/>
        <v>6.6079166666666671</v>
      </c>
      <c r="G36" s="28">
        <f t="shared" si="2"/>
        <v>55.095833333333331</v>
      </c>
      <c r="H36" s="28">
        <f t="shared" si="2"/>
        <v>17.302083333333332</v>
      </c>
      <c r="I36" s="28">
        <f t="shared" si="2"/>
        <v>1.7304166666666665</v>
      </c>
      <c r="J36" s="28">
        <f t="shared" si="2"/>
        <v>0.42291666666666666</v>
      </c>
      <c r="K36" s="28">
        <f t="shared" si="2"/>
        <v>116.64541666666668</v>
      </c>
      <c r="L36" s="28">
        <f t="shared" si="2"/>
        <v>25.421250000000011</v>
      </c>
      <c r="M36" s="28">
        <f t="shared" si="2"/>
        <v>84.926666666666677</v>
      </c>
      <c r="N36" s="28">
        <f t="shared" si="2"/>
        <v>229.3125</v>
      </c>
      <c r="O36" s="28">
        <f t="shared" si="2"/>
        <v>0.016666666666666666</v>
      </c>
      <c r="P36" s="28">
        <f t="shared" si="2"/>
        <v>0.53749999999999998</v>
      </c>
      <c r="Q36" s="28">
        <f t="shared" si="2"/>
        <v>13.905833333333335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5.9297351286252376</v>
      </c>
      <c r="C37" s="28">
        <f t="shared" si="3" ref="C37:Q37">STDEV(C9:C32)</f>
        <v>5.8367586889260101</v>
      </c>
      <c r="D37" s="28">
        <f t="shared" si="3"/>
        <v>7.1265004395209806</v>
      </c>
      <c r="E37" s="28">
        <f t="shared" si="3"/>
        <v>0.51065867525059405</v>
      </c>
      <c r="F37" s="28">
        <f t="shared" si="3"/>
        <v>2.9620424492256174</v>
      </c>
      <c r="G37" s="28">
        <f t="shared" si="3"/>
        <v>21.018550588482093</v>
      </c>
      <c r="H37" s="28">
        <f t="shared" si="3"/>
        <v>5.4780724785010051</v>
      </c>
      <c r="I37" s="28">
        <f t="shared" si="3"/>
        <v>0.021964233112765054</v>
      </c>
      <c r="J37" s="28">
        <f t="shared" si="3"/>
        <v>0.41099538944485436</v>
      </c>
      <c r="K37" s="28">
        <f t="shared" si="3"/>
        <v>105.92381421196154</v>
      </c>
      <c r="L37" s="28">
        <f t="shared" si="3"/>
        <v>2.5833889311455258</v>
      </c>
      <c r="M37" s="28">
        <f t="shared" si="3"/>
        <v>12.366774443844569</v>
      </c>
      <c r="N37" s="28">
        <f t="shared" si="3"/>
        <v>265.82142798519266</v>
      </c>
      <c r="O37" s="28">
        <f t="shared" si="3"/>
        <v>0.081649658092772623</v>
      </c>
      <c r="P37" s="28">
        <f t="shared" si="3"/>
        <v>0.18629686454455022</v>
      </c>
      <c r="Q37" s="28">
        <f t="shared" si="3"/>
        <v>2.438532910096372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143bdf-a8ee-4fb6-b289-e07b8ffc390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13.07</v>
      </c>
      <c r="C9" s="54">
        <v>27.71</v>
      </c>
      <c r="D9" s="54">
        <v>27.06</v>
      </c>
      <c r="E9" s="54">
        <v>5.48</v>
      </c>
      <c r="F9" s="54">
        <v>9.36</v>
      </c>
      <c r="G9" s="54">
        <v>41.55</v>
      </c>
      <c r="H9" s="54">
        <v>15.44</v>
      </c>
      <c r="I9" s="54">
        <v>1.77</v>
      </c>
      <c r="J9" s="54">
        <v>0.15</v>
      </c>
      <c r="K9" s="54">
        <v>254.98</v>
      </c>
      <c r="L9" s="54">
        <v>22.98</v>
      </c>
      <c r="M9" s="54">
        <v>97.23</v>
      </c>
      <c r="N9" s="54">
        <v>29.70</v>
      </c>
      <c r="O9" s="54">
        <v>0</v>
      </c>
      <c r="P9" s="54">
        <v>0.47</v>
      </c>
      <c r="Q9" s="54">
        <v>18.37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11.57</v>
      </c>
      <c r="C10" s="54">
        <v>27.93</v>
      </c>
      <c r="D10" s="54">
        <v>25.98</v>
      </c>
      <c r="E10" s="54">
        <v>4.79</v>
      </c>
      <c r="F10" s="54">
        <v>7.46</v>
      </c>
      <c r="G10" s="54">
        <v>33.86</v>
      </c>
      <c r="H10" s="54">
        <v>15</v>
      </c>
      <c r="I10" s="54">
        <v>1.74</v>
      </c>
      <c r="J10" s="54">
        <v>0.14000000000000001</v>
      </c>
      <c r="K10" s="54">
        <v>341.21</v>
      </c>
      <c r="L10" s="54">
        <v>22.69</v>
      </c>
      <c r="M10" s="54">
        <v>97.24</v>
      </c>
      <c r="N10" s="54">
        <v>29.60</v>
      </c>
      <c r="O10" s="54">
        <v>0</v>
      </c>
      <c r="P10" s="54">
        <v>0.39</v>
      </c>
      <c r="Q10" s="54">
        <v>18.53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11.88</v>
      </c>
      <c r="C11" s="54">
        <v>30.18</v>
      </c>
      <c r="D11" s="54">
        <v>27.41</v>
      </c>
      <c r="E11" s="54">
        <v>4.95</v>
      </c>
      <c r="F11" s="54">
        <v>3.44</v>
      </c>
      <c r="G11" s="54">
        <v>31.64</v>
      </c>
      <c r="H11" s="54">
        <v>12.44</v>
      </c>
      <c r="I11" s="54">
        <v>1.70</v>
      </c>
      <c r="J11" s="54">
        <v>0.12</v>
      </c>
      <c r="K11" s="54">
        <v>37.979999999999997</v>
      </c>
      <c r="L11" s="54">
        <v>22.41</v>
      </c>
      <c r="M11" s="54">
        <v>97.24</v>
      </c>
      <c r="N11" s="54">
        <v>29.5</v>
      </c>
      <c r="O11" s="54">
        <v>0</v>
      </c>
      <c r="P11" s="54">
        <v>0.40</v>
      </c>
      <c r="Q11" s="54">
        <v>15.13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10.82</v>
      </c>
      <c r="C12" s="54">
        <v>28.39</v>
      </c>
      <c r="D12" s="54">
        <v>25.64</v>
      </c>
      <c r="E12" s="54">
        <v>4.87</v>
      </c>
      <c r="F12" s="54">
        <v>6.35</v>
      </c>
      <c r="G12" s="54">
        <v>28.55</v>
      </c>
      <c r="H12" s="54">
        <v>10.61</v>
      </c>
      <c r="I12" s="54">
        <v>1.70</v>
      </c>
      <c r="J12" s="54">
        <v>0.15</v>
      </c>
      <c r="K12" s="54">
        <v>44.31</v>
      </c>
      <c r="L12" s="54">
        <v>22.30</v>
      </c>
      <c r="M12" s="54">
        <v>97.24</v>
      </c>
      <c r="N12" s="54">
        <v>29.60</v>
      </c>
      <c r="O12" s="54">
        <v>0</v>
      </c>
      <c r="P12" s="54">
        <v>0.34</v>
      </c>
      <c r="Q12" s="54">
        <v>18.09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11.21</v>
      </c>
      <c r="C13" s="54">
        <v>29.01</v>
      </c>
      <c r="D13" s="54">
        <v>26.29</v>
      </c>
      <c r="E13" s="54">
        <v>3.85</v>
      </c>
      <c r="F13" s="54">
        <v>5.21</v>
      </c>
      <c r="G13" s="54">
        <v>33.17</v>
      </c>
      <c r="H13" s="54">
        <v>9.85</v>
      </c>
      <c r="I13" s="54">
        <v>1.73</v>
      </c>
      <c r="J13" s="54">
        <v>0.18</v>
      </c>
      <c r="K13" s="54">
        <v>51.32</v>
      </c>
      <c r="L13" s="54">
        <v>22.23</v>
      </c>
      <c r="M13" s="54">
        <v>97.24</v>
      </c>
      <c r="N13" s="54">
        <v>29.70</v>
      </c>
      <c r="O13" s="54">
        <v>0</v>
      </c>
      <c r="P13" s="54">
        <v>0.32</v>
      </c>
      <c r="Q13" s="54">
        <v>18.32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10.96</v>
      </c>
      <c r="C14" s="54">
        <v>30.21</v>
      </c>
      <c r="D14" s="54">
        <v>26.61</v>
      </c>
      <c r="E14" s="54">
        <v>3.77</v>
      </c>
      <c r="F14" s="54">
        <v>3.40</v>
      </c>
      <c r="G14" s="54">
        <v>33.92</v>
      </c>
      <c r="H14" s="54">
        <v>10.71</v>
      </c>
      <c r="I14" s="54">
        <v>1.71</v>
      </c>
      <c r="J14" s="54">
        <v>0.10</v>
      </c>
      <c r="K14" s="54">
        <v>55.21</v>
      </c>
      <c r="L14" s="54">
        <v>22.09</v>
      </c>
      <c r="M14" s="54">
        <v>97.27</v>
      </c>
      <c r="N14" s="54">
        <v>51.30</v>
      </c>
      <c r="O14" s="54">
        <v>0</v>
      </c>
      <c r="P14" s="54">
        <v>0.28999999999999998</v>
      </c>
      <c r="Q14" s="54">
        <v>15.18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11.85</v>
      </c>
      <c r="C15" s="54">
        <v>28.93</v>
      </c>
      <c r="D15" s="54">
        <v>26.44</v>
      </c>
      <c r="E15" s="54">
        <v>4.32</v>
      </c>
      <c r="F15" s="54">
        <v>4.5599999999999996</v>
      </c>
      <c r="G15" s="54">
        <v>38.14</v>
      </c>
      <c r="H15" s="54">
        <v>9.6300000000000008</v>
      </c>
      <c r="I15" s="54">
        <v>1.77</v>
      </c>
      <c r="J15" s="54">
        <v>0.08</v>
      </c>
      <c r="K15" s="54">
        <v>359.90</v>
      </c>
      <c r="L15" s="54">
        <v>22.66</v>
      </c>
      <c r="M15" s="54">
        <v>97.23</v>
      </c>
      <c r="N15" s="54">
        <v>92.10</v>
      </c>
      <c r="O15" s="54">
        <v>0</v>
      </c>
      <c r="P15" s="54">
        <v>0.33</v>
      </c>
      <c r="Q15" s="54">
        <v>18.13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13.98</v>
      </c>
      <c r="C16" s="54">
        <v>30.64</v>
      </c>
      <c r="D16" s="54">
        <v>29.42</v>
      </c>
      <c r="E16" s="54">
        <v>4.3499999999999996</v>
      </c>
      <c r="F16" s="54">
        <v>3.21</v>
      </c>
      <c r="G16" s="54">
        <v>42.11</v>
      </c>
      <c r="H16" s="54">
        <v>10.10</v>
      </c>
      <c r="I16" s="54">
        <v>1.75</v>
      </c>
      <c r="J16" s="54">
        <v>0.32</v>
      </c>
      <c r="K16" s="54">
        <v>38.68</v>
      </c>
      <c r="L16" s="54">
        <v>24.98</v>
      </c>
      <c r="M16" s="54">
        <v>96.57</v>
      </c>
      <c r="N16" s="54">
        <v>380.20</v>
      </c>
      <c r="O16" s="54">
        <v>0</v>
      </c>
      <c r="P16" s="54">
        <v>0.36</v>
      </c>
      <c r="Q16" s="54">
        <v>18.46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14.15</v>
      </c>
      <c r="C17" s="54">
        <v>32.56</v>
      </c>
      <c r="D17" s="54">
        <v>30.61</v>
      </c>
      <c r="E17" s="54">
        <v>4.66</v>
      </c>
      <c r="F17" s="54">
        <v>3.12</v>
      </c>
      <c r="G17" s="54">
        <v>49.77</v>
      </c>
      <c r="H17" s="54">
        <v>12.28</v>
      </c>
      <c r="I17" s="54">
        <v>1.69</v>
      </c>
      <c r="J17" s="54">
        <v>0.5</v>
      </c>
      <c r="K17" s="54">
        <v>33.299999999999997</v>
      </c>
      <c r="L17" s="54">
        <v>30.20</v>
      </c>
      <c r="M17" s="54">
        <v>87.54</v>
      </c>
      <c r="N17" s="54">
        <v>597.5</v>
      </c>
      <c r="O17" s="54">
        <v>0</v>
      </c>
      <c r="P17" s="54">
        <v>0.55000000000000004</v>
      </c>
      <c r="Q17" s="54">
        <v>14.80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15.35</v>
      </c>
      <c r="C18" s="54">
        <v>35.33</v>
      </c>
      <c r="D18" s="54">
        <v>33.10</v>
      </c>
      <c r="E18" s="54">
        <v>5.37</v>
      </c>
      <c r="F18" s="54">
        <v>4.83</v>
      </c>
      <c r="G18" s="54">
        <v>60.06</v>
      </c>
      <c r="H18" s="54">
        <v>15.14</v>
      </c>
      <c r="I18" s="54">
        <v>1.76</v>
      </c>
      <c r="J18" s="54">
        <v>1.26</v>
      </c>
      <c r="K18" s="54">
        <v>15.12</v>
      </c>
      <c r="L18" s="54">
        <v>31.67</v>
      </c>
      <c r="M18" s="54">
        <v>60.57</v>
      </c>
      <c r="N18" s="54">
        <v>735.60</v>
      </c>
      <c r="O18" s="54">
        <v>0</v>
      </c>
      <c r="P18" s="54">
        <v>0.56000000000000005</v>
      </c>
      <c r="Q18" s="54">
        <v>16.190000000000001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14.24</v>
      </c>
      <c r="C19" s="54">
        <v>34.479999999999997</v>
      </c>
      <c r="D19" s="54">
        <v>31.04</v>
      </c>
      <c r="E19" s="54">
        <v>5.74</v>
      </c>
      <c r="F19" s="54">
        <v>3.96</v>
      </c>
      <c r="G19" s="54">
        <v>61.56</v>
      </c>
      <c r="H19" s="54">
        <v>16.670000000000002</v>
      </c>
      <c r="I19" s="54">
        <v>1.77</v>
      </c>
      <c r="J19" s="54">
        <v>1.1000000000000001</v>
      </c>
      <c r="K19" s="54">
        <v>358.56</v>
      </c>
      <c r="L19" s="54">
        <v>31.17</v>
      </c>
      <c r="M19" s="54">
        <v>61.93</v>
      </c>
      <c r="N19" s="54">
        <v>603.60</v>
      </c>
      <c r="O19" s="54">
        <v>0</v>
      </c>
      <c r="P19" s="54">
        <v>0.57999999999999996</v>
      </c>
      <c r="Q19" s="54">
        <v>15.65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13.5</v>
      </c>
      <c r="C20" s="54">
        <v>36.479999999999997</v>
      </c>
      <c r="D20" s="54">
        <v>31.39</v>
      </c>
      <c r="E20" s="54">
        <v>4.62</v>
      </c>
      <c r="F20" s="54">
        <v>4.4800000000000004</v>
      </c>
      <c r="G20" s="54">
        <v>66.81</v>
      </c>
      <c r="H20" s="54">
        <v>16.84</v>
      </c>
      <c r="I20" s="54">
        <v>1.71</v>
      </c>
      <c r="J20" s="54">
        <v>0.54</v>
      </c>
      <c r="K20" s="54">
        <v>82.90</v>
      </c>
      <c r="L20" s="54">
        <v>30.54</v>
      </c>
      <c r="M20" s="54">
        <v>69.56</v>
      </c>
      <c r="N20" s="54">
        <v>522.29999999999995</v>
      </c>
      <c r="O20" s="54">
        <v>0</v>
      </c>
      <c r="P20" s="54">
        <v>0.59</v>
      </c>
      <c r="Q20" s="54">
        <v>12.75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10.66</v>
      </c>
      <c r="C21" s="54">
        <v>36.57</v>
      </c>
      <c r="D21" s="54">
        <v>30.03</v>
      </c>
      <c r="E21" s="54">
        <v>5.55</v>
      </c>
      <c r="F21" s="54">
        <v>7.56</v>
      </c>
      <c r="G21" s="54">
        <v>71.11</v>
      </c>
      <c r="H21" s="54">
        <v>17.62</v>
      </c>
      <c r="I21" s="54">
        <v>1.71</v>
      </c>
      <c r="J21" s="54">
        <v>0.32</v>
      </c>
      <c r="K21" s="54">
        <v>45.49</v>
      </c>
      <c r="L21" s="54">
        <v>30.69</v>
      </c>
      <c r="M21" s="54">
        <v>70.14</v>
      </c>
      <c r="N21" s="54">
        <v>855.5</v>
      </c>
      <c r="O21" s="54">
        <v>0</v>
      </c>
      <c r="P21" s="54">
        <v>0.61</v>
      </c>
      <c r="Q21" s="54">
        <v>15.22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7.57</v>
      </c>
      <c r="C22" s="54">
        <v>39.090000000000003</v>
      </c>
      <c r="D22" s="54">
        <v>28.55</v>
      </c>
      <c r="E22" s="54">
        <v>4.66</v>
      </c>
      <c r="F22" s="54">
        <v>5.88</v>
      </c>
      <c r="G22" s="54">
        <v>74.010000000000005</v>
      </c>
      <c r="H22" s="54">
        <v>19.91</v>
      </c>
      <c r="I22" s="54">
        <v>1.71</v>
      </c>
      <c r="J22" s="54">
        <v>0.55000000000000004</v>
      </c>
      <c r="K22" s="54">
        <v>27.95</v>
      </c>
      <c r="L22" s="54">
        <v>31.53</v>
      </c>
      <c r="M22" s="54">
        <v>56.89</v>
      </c>
      <c r="N22" s="54">
        <v>946.70</v>
      </c>
      <c r="O22" s="54">
        <v>0</v>
      </c>
      <c r="P22" s="54">
        <v>0.54</v>
      </c>
      <c r="Q22" s="54">
        <v>14.89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6.41</v>
      </c>
      <c r="C23" s="54">
        <v>38.42</v>
      </c>
      <c r="D23" s="54">
        <v>27.58</v>
      </c>
      <c r="E23" s="54">
        <v>4.0599999999999996</v>
      </c>
      <c r="F23" s="54">
        <v>5.52</v>
      </c>
      <c r="G23" s="54">
        <v>74.209999999999994</v>
      </c>
      <c r="H23" s="54">
        <v>20.67</v>
      </c>
      <c r="I23" s="54">
        <v>1.74</v>
      </c>
      <c r="J23" s="54">
        <v>0.56000000000000005</v>
      </c>
      <c r="K23" s="54">
        <v>28.67</v>
      </c>
      <c r="L23" s="54">
        <v>31.20</v>
      </c>
      <c r="M23" s="54">
        <v>57.68</v>
      </c>
      <c r="N23" s="54">
        <v>744.90</v>
      </c>
      <c r="O23" s="54">
        <v>0</v>
      </c>
      <c r="P23" s="54">
        <v>0.5</v>
      </c>
      <c r="Q23" s="54">
        <v>11.61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7.60</v>
      </c>
      <c r="C24" s="54">
        <v>37.56</v>
      </c>
      <c r="D24" s="54">
        <v>27.81</v>
      </c>
      <c r="E24" s="54">
        <v>4.72</v>
      </c>
      <c r="F24" s="54">
        <v>9.16</v>
      </c>
      <c r="G24" s="54">
        <v>74.680000000000007</v>
      </c>
      <c r="H24" s="54">
        <v>20.52</v>
      </c>
      <c r="I24" s="54">
        <v>1.71</v>
      </c>
      <c r="J24" s="54">
        <v>0.36</v>
      </c>
      <c r="K24" s="54">
        <v>42.83</v>
      </c>
      <c r="L24" s="54">
        <v>29.69</v>
      </c>
      <c r="M24" s="54">
        <v>59.86</v>
      </c>
      <c r="N24" s="54">
        <v>308</v>
      </c>
      <c r="O24" s="54">
        <v>0</v>
      </c>
      <c r="P24" s="54">
        <v>0.53</v>
      </c>
      <c r="Q24" s="54">
        <v>14.04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8.90</v>
      </c>
      <c r="C25" s="54">
        <v>36.51</v>
      </c>
      <c r="D25" s="54">
        <v>28.58</v>
      </c>
      <c r="E25" s="54">
        <v>5.30</v>
      </c>
      <c r="F25" s="54">
        <v>5.08</v>
      </c>
      <c r="G25" s="54">
        <v>76.89</v>
      </c>
      <c r="H25" s="54">
        <v>22.56</v>
      </c>
      <c r="I25" s="54">
        <v>1.77</v>
      </c>
      <c r="J25" s="54">
        <v>0.63</v>
      </c>
      <c r="K25" s="54">
        <v>33.04</v>
      </c>
      <c r="L25" s="54">
        <v>29.99</v>
      </c>
      <c r="M25" s="54">
        <v>60.54</v>
      </c>
      <c r="N25" s="54">
        <v>230.80</v>
      </c>
      <c r="O25" s="54">
        <v>0</v>
      </c>
      <c r="P25" s="54">
        <v>0.53</v>
      </c>
      <c r="Q25" s="54">
        <v>13.63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7.61</v>
      </c>
      <c r="C26" s="54">
        <v>39.08</v>
      </c>
      <c r="D26" s="54">
        <v>28.85</v>
      </c>
      <c r="E26" s="54">
        <v>5.05</v>
      </c>
      <c r="F26" s="54">
        <v>8.8699999999999992</v>
      </c>
      <c r="G26" s="54">
        <v>82.61</v>
      </c>
      <c r="H26" s="54">
        <v>21.20</v>
      </c>
      <c r="I26" s="54">
        <v>1.74</v>
      </c>
      <c r="J26" s="54">
        <v>0.35</v>
      </c>
      <c r="K26" s="54">
        <v>47.59</v>
      </c>
      <c r="L26" s="54">
        <v>28.66</v>
      </c>
      <c r="M26" s="54">
        <v>64.790000000000006</v>
      </c>
      <c r="N26" s="54">
        <v>109</v>
      </c>
      <c r="O26" s="54">
        <v>0</v>
      </c>
      <c r="P26" s="54">
        <v>0.55000000000000004</v>
      </c>
      <c r="Q26" s="54">
        <v>12.17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32.729999999999997</v>
      </c>
      <c r="C27" s="54">
        <v>58.32</v>
      </c>
      <c r="D27" s="54">
        <v>59.73</v>
      </c>
      <c r="E27" s="54">
        <v>6.14</v>
      </c>
      <c r="F27" s="54">
        <v>14.15</v>
      </c>
      <c r="G27" s="54">
        <v>80.41</v>
      </c>
      <c r="H27" s="54">
        <v>21.16</v>
      </c>
      <c r="I27" s="54">
        <v>1.70</v>
      </c>
      <c r="J27" s="54">
        <v>0.24</v>
      </c>
      <c r="K27" s="54">
        <v>39.729999999999997</v>
      </c>
      <c r="L27" s="54">
        <v>27.52</v>
      </c>
      <c r="M27" s="54">
        <v>70.010000000000005</v>
      </c>
      <c r="N27" s="54">
        <v>47</v>
      </c>
      <c r="O27" s="54">
        <v>0</v>
      </c>
      <c r="P27" s="54">
        <v>0.89</v>
      </c>
      <c r="Q27" s="54">
        <v>14.11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14.84</v>
      </c>
      <c r="C28" s="54">
        <v>43.55</v>
      </c>
      <c r="D28" s="54">
        <v>37.22</v>
      </c>
      <c r="E28" s="54">
        <v>5.61</v>
      </c>
      <c r="F28" s="54">
        <v>7.43</v>
      </c>
      <c r="G28" s="54">
        <v>81.489999999999995</v>
      </c>
      <c r="H28" s="54">
        <v>24.96</v>
      </c>
      <c r="I28" s="54">
        <v>1.77</v>
      </c>
      <c r="J28" s="54">
        <v>0.18</v>
      </c>
      <c r="K28" s="54">
        <v>54.14</v>
      </c>
      <c r="L28" s="54">
        <v>26.72</v>
      </c>
      <c r="M28" s="54">
        <v>72.27</v>
      </c>
      <c r="N28" s="54">
        <v>29</v>
      </c>
      <c r="O28" s="54">
        <v>0</v>
      </c>
      <c r="P28" s="54">
        <v>0.97</v>
      </c>
      <c r="Q28" s="54">
        <v>13.54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21.39</v>
      </c>
      <c r="C29" s="54">
        <v>53.60</v>
      </c>
      <c r="D29" s="54">
        <v>46.92</v>
      </c>
      <c r="E29" s="54">
        <v>4.04</v>
      </c>
      <c r="F29" s="54">
        <v>9.0500000000000007</v>
      </c>
      <c r="G29" s="54">
        <v>83.29</v>
      </c>
      <c r="H29" s="54">
        <v>21.51</v>
      </c>
      <c r="I29" s="54">
        <v>1.73</v>
      </c>
      <c r="J29" s="54">
        <v>0.09</v>
      </c>
      <c r="K29" s="54">
        <v>51.89</v>
      </c>
      <c r="L29" s="54">
        <v>26.16</v>
      </c>
      <c r="M29" s="54">
        <v>76.05</v>
      </c>
      <c r="N29" s="54">
        <v>28.90</v>
      </c>
      <c r="O29" s="54">
        <v>0</v>
      </c>
      <c r="P29" s="54">
        <v>1.05</v>
      </c>
      <c r="Q29" s="54">
        <v>13.26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18.5</v>
      </c>
      <c r="C30" s="54">
        <v>47.31</v>
      </c>
      <c r="D30" s="54">
        <v>42.24</v>
      </c>
      <c r="E30" s="54">
        <v>3.89</v>
      </c>
      <c r="F30" s="54">
        <v>10.87</v>
      </c>
      <c r="G30" s="54">
        <v>89.52</v>
      </c>
      <c r="H30" s="54">
        <v>24.93</v>
      </c>
      <c r="I30" s="54">
        <v>1.74</v>
      </c>
      <c r="J30" s="54">
        <v>0.14000000000000001</v>
      </c>
      <c r="K30" s="54">
        <v>45.56</v>
      </c>
      <c r="L30" s="54">
        <v>25.77</v>
      </c>
      <c r="M30" s="54">
        <v>81.81</v>
      </c>
      <c r="N30" s="54">
        <v>28.90</v>
      </c>
      <c r="O30" s="54">
        <v>0</v>
      </c>
      <c r="P30" s="54">
        <v>0.99</v>
      </c>
      <c r="Q30" s="54">
        <v>16.41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17.93</v>
      </c>
      <c r="C31" s="54">
        <v>39.65</v>
      </c>
      <c r="D31" s="54">
        <v>37.549999999999997</v>
      </c>
      <c r="E31" s="54">
        <v>3.75</v>
      </c>
      <c r="F31" s="54">
        <v>8.5</v>
      </c>
      <c r="G31" s="54">
        <v>82.19</v>
      </c>
      <c r="H31" s="54">
        <v>24.03</v>
      </c>
      <c r="I31" s="54">
        <v>1.72</v>
      </c>
      <c r="J31" s="54">
        <v>0.20</v>
      </c>
      <c r="K31" s="54">
        <v>47.66</v>
      </c>
      <c r="L31" s="54">
        <v>25.31</v>
      </c>
      <c r="M31" s="54">
        <v>82.5</v>
      </c>
      <c r="N31" s="54">
        <v>29</v>
      </c>
      <c r="O31" s="54">
        <v>0</v>
      </c>
      <c r="P31" s="54">
        <v>0.82</v>
      </c>
      <c r="Q31" s="54">
        <v>15.11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12.26</v>
      </c>
      <c r="C32" s="54">
        <v>36.57</v>
      </c>
      <c r="D32" s="54">
        <v>31.01</v>
      </c>
      <c r="E32" s="54">
        <v>3.58</v>
      </c>
      <c r="F32" s="54">
        <v>16.98</v>
      </c>
      <c r="G32" s="54">
        <v>80.58</v>
      </c>
      <c r="H32" s="54">
        <v>25.31</v>
      </c>
      <c r="I32" s="54">
        <v>1.77</v>
      </c>
      <c r="J32" s="54">
        <v>0.18</v>
      </c>
      <c r="K32" s="54">
        <v>45.14</v>
      </c>
      <c r="L32" s="54">
        <v>25</v>
      </c>
      <c r="M32" s="54">
        <v>84.06</v>
      </c>
      <c r="N32" s="54">
        <v>29</v>
      </c>
      <c r="O32" s="54">
        <v>0</v>
      </c>
      <c r="P32" s="54">
        <v>0.74</v>
      </c>
      <c r="Q32" s="54">
        <v>16.239999999999998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6.4100000000000001</v>
      </c>
      <c r="C34" s="28">
        <f t="shared" si="0"/>
        <v>27.710000000000001</v>
      </c>
      <c r="D34" s="28">
        <f t="shared" si="0"/>
        <v>25.640000000000001</v>
      </c>
      <c r="E34" s="28">
        <f t="shared" si="0"/>
        <v>3.5800000000000001</v>
      </c>
      <c r="F34" s="28">
        <f t="shared" si="0"/>
        <v>3.1200000000000001</v>
      </c>
      <c r="G34" s="28">
        <f t="shared" si="0"/>
        <v>28.550000000000001</v>
      </c>
      <c r="H34" s="28">
        <f t="shared" si="0"/>
        <v>9.6300000000000008</v>
      </c>
      <c r="I34" s="28">
        <f t="shared" si="0"/>
        <v>1.6899999999999999</v>
      </c>
      <c r="J34" s="28">
        <f t="shared" si="0"/>
        <v>0.080000000000000002</v>
      </c>
      <c r="K34" s="28">
        <f t="shared" si="0"/>
        <v>15.119999999999999</v>
      </c>
      <c r="L34" s="28">
        <f t="shared" si="0"/>
        <v>22.09</v>
      </c>
      <c r="M34" s="28">
        <f t="shared" si="0"/>
        <v>56.890000000000001</v>
      </c>
      <c r="N34" s="28">
        <f t="shared" si="0"/>
        <v>28.899999999999999</v>
      </c>
      <c r="O34" s="28">
        <f t="shared" si="0"/>
        <v>0</v>
      </c>
      <c r="P34" s="28">
        <f t="shared" si="0"/>
        <v>0.28999999999999998</v>
      </c>
      <c r="Q34" s="28">
        <f t="shared" si="0"/>
        <v>11.609999999999999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32.729999999999997</v>
      </c>
      <c r="C35" s="29">
        <f t="shared" si="1"/>
        <v>58.32</v>
      </c>
      <c r="D35" s="29">
        <f t="shared" si="1"/>
        <v>59.729999999999997</v>
      </c>
      <c r="E35" s="29">
        <f t="shared" si="1"/>
        <v>6.1399999999999997</v>
      </c>
      <c r="F35" s="29">
        <f t="shared" si="1"/>
        <v>16.98</v>
      </c>
      <c r="G35" s="29">
        <f t="shared" si="1"/>
        <v>89.519999999999996</v>
      </c>
      <c r="H35" s="29">
        <f t="shared" si="1"/>
        <v>25.309999999999999</v>
      </c>
      <c r="I35" s="29">
        <f t="shared" si="1"/>
        <v>1.77</v>
      </c>
      <c r="J35" s="29">
        <f t="shared" si="1"/>
        <v>1.26</v>
      </c>
      <c r="K35" s="29">
        <f t="shared" si="1"/>
        <v>359.89999999999998</v>
      </c>
      <c r="L35" s="29">
        <f t="shared" si="1"/>
        <v>31.670000000000002</v>
      </c>
      <c r="M35" s="29">
        <f t="shared" si="1"/>
        <v>97.269999999999996</v>
      </c>
      <c r="N35" s="29">
        <f t="shared" si="1"/>
        <v>946.70000000000005</v>
      </c>
      <c r="O35" s="29">
        <f t="shared" si="1"/>
        <v>0</v>
      </c>
      <c r="P35" s="29">
        <f t="shared" si="1"/>
        <v>1.05</v>
      </c>
      <c r="Q35" s="29">
        <f t="shared" si="1"/>
        <v>18.530000000000001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13.290833333333333</v>
      </c>
      <c r="C36" s="28">
        <f t="shared" si="2"/>
        <v>36.586666666666673</v>
      </c>
      <c r="D36" s="28">
        <f t="shared" si="2"/>
        <v>31.960833333333337</v>
      </c>
      <c r="E36" s="28">
        <f t="shared" si="2"/>
        <v>4.7133333333333338</v>
      </c>
      <c r="F36" s="28">
        <f t="shared" si="2"/>
        <v>7.0179166666666672</v>
      </c>
      <c r="G36" s="28">
        <f t="shared" si="2"/>
        <v>61.338750000000005</v>
      </c>
      <c r="H36" s="28">
        <f t="shared" si="2"/>
        <v>17.462083333333336</v>
      </c>
      <c r="I36" s="28">
        <f t="shared" si="2"/>
        <v>1.7337500000000003</v>
      </c>
      <c r="J36" s="28">
        <f t="shared" si="2"/>
        <v>0.35166666666666663</v>
      </c>
      <c r="K36" s="28">
        <f t="shared" si="2"/>
        <v>90.964999999999989</v>
      </c>
      <c r="L36" s="28">
        <f t="shared" si="2"/>
        <v>26.84</v>
      </c>
      <c r="M36" s="28">
        <f t="shared" si="2"/>
        <v>78.894166666666663</v>
      </c>
      <c r="N36" s="28">
        <f t="shared" si="2"/>
        <v>271.55833333333328</v>
      </c>
      <c r="O36" s="28">
        <f t="shared" si="2"/>
        <v>0</v>
      </c>
      <c r="P36" s="28">
        <f t="shared" si="2"/>
        <v>0.57916666666666683</v>
      </c>
      <c r="Q36" s="28">
        <f t="shared" si="2"/>
        <v>15.409583333333339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5.5004805455418229</v>
      </c>
      <c r="C37" s="28">
        <f t="shared" si="3" ref="C37:Q37">STDEV(C9:C32)</f>
        <v>7.8787361967494789</v>
      </c>
      <c r="D37" s="28">
        <f t="shared" si="3"/>
        <v>7.9556640564889269</v>
      </c>
      <c r="E37" s="28">
        <f t="shared" si="3"/>
        <v>0.71819015688692844</v>
      </c>
      <c r="F37" s="28">
        <f t="shared" si="3"/>
        <v>3.4806995538336771</v>
      </c>
      <c r="G37" s="28">
        <f t="shared" si="3"/>
        <v>20.71260009553102</v>
      </c>
      <c r="H37" s="28">
        <f t="shared" si="3"/>
        <v>5.30404028049385</v>
      </c>
      <c r="I37" s="28">
        <f t="shared" si="3"/>
        <v>0.027475285336968337</v>
      </c>
      <c r="J37" s="28">
        <f t="shared" si="3"/>
        <v>0.30637667448202804</v>
      </c>
      <c r="K37" s="28">
        <f t="shared" si="3"/>
        <v>110.76519662154126</v>
      </c>
      <c r="L37" s="28">
        <f t="shared" si="3"/>
        <v>3.5457187901934129</v>
      </c>
      <c r="M37" s="28">
        <f t="shared" si="3"/>
        <v>15.523159112776648</v>
      </c>
      <c r="N37" s="28">
        <f t="shared" si="3"/>
        <v>314.49446517099227</v>
      </c>
      <c r="O37" s="28">
        <f t="shared" si="3"/>
        <v>0</v>
      </c>
      <c r="P37" s="28">
        <f t="shared" si="3"/>
        <v>0.22237681820585986</v>
      </c>
      <c r="Q37" s="28">
        <f t="shared" si="3"/>
        <v>2.095233678296172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57fd98-1627-4de8-b112-5adf4a52e9d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7" sqref="H67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8.24</v>
      </c>
      <c r="C9" s="54">
        <v>29.06</v>
      </c>
      <c r="D9" s="54">
        <v>23.94</v>
      </c>
      <c r="E9" s="54">
        <v>4.30</v>
      </c>
      <c r="F9" s="54">
        <v>14.27</v>
      </c>
      <c r="G9" s="54">
        <v>79.20</v>
      </c>
      <c r="H9" s="54">
        <v>25.24</v>
      </c>
      <c r="I9" s="54">
        <v>1.72</v>
      </c>
      <c r="J9" s="54">
        <v>0.17</v>
      </c>
      <c r="K9" s="54">
        <v>50.38</v>
      </c>
      <c r="L9" s="54">
        <v>24.70</v>
      </c>
      <c r="M9" s="54">
        <v>86.75</v>
      </c>
      <c r="N9" s="54">
        <v>29</v>
      </c>
      <c r="O9" s="54">
        <v>0</v>
      </c>
      <c r="P9" s="54">
        <v>0.54</v>
      </c>
      <c r="Q9" s="54">
        <v>17.82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8.68</v>
      </c>
      <c r="C10" s="54">
        <v>31.08</v>
      </c>
      <c r="D10" s="54">
        <v>25.41</v>
      </c>
      <c r="E10" s="54">
        <v>3.99</v>
      </c>
      <c r="F10" s="54">
        <v>9.44</v>
      </c>
      <c r="G10" s="54">
        <v>65.819999999999993</v>
      </c>
      <c r="H10" s="54">
        <v>21.33</v>
      </c>
      <c r="I10" s="54">
        <v>1.73</v>
      </c>
      <c r="J10" s="54">
        <v>0.12</v>
      </c>
      <c r="K10" s="54">
        <v>44.70</v>
      </c>
      <c r="L10" s="54">
        <v>24.30</v>
      </c>
      <c r="M10" s="54">
        <v>88.44</v>
      </c>
      <c r="N10" s="54">
        <v>29</v>
      </c>
      <c r="O10" s="54">
        <v>0</v>
      </c>
      <c r="P10" s="54">
        <v>0.54</v>
      </c>
      <c r="Q10" s="54">
        <v>15.76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8.7100000000000009</v>
      </c>
      <c r="C11" s="54">
        <v>31.46</v>
      </c>
      <c r="D11" s="54">
        <v>25.64</v>
      </c>
      <c r="E11" s="54">
        <v>4.05</v>
      </c>
      <c r="F11" s="54">
        <v>13.04</v>
      </c>
      <c r="G11" s="54">
        <v>57.71</v>
      </c>
      <c r="H11" s="54">
        <v>19.97</v>
      </c>
      <c r="I11" s="54">
        <v>1.74</v>
      </c>
      <c r="J11" s="54">
        <v>0.15</v>
      </c>
      <c r="K11" s="54">
        <v>276.17</v>
      </c>
      <c r="L11" s="54">
        <v>24.05</v>
      </c>
      <c r="M11" s="54">
        <v>88.81</v>
      </c>
      <c r="N11" s="54">
        <v>29.10</v>
      </c>
      <c r="O11" s="54">
        <v>0</v>
      </c>
      <c r="P11" s="54">
        <v>0.48</v>
      </c>
      <c r="Q11" s="54">
        <v>16.989999999999998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8.19</v>
      </c>
      <c r="C12" s="54">
        <v>28.81</v>
      </c>
      <c r="D12" s="54">
        <v>23.76</v>
      </c>
      <c r="E12" s="54">
        <v>4.22</v>
      </c>
      <c r="F12" s="54">
        <v>12.84</v>
      </c>
      <c r="G12" s="54">
        <v>54.92</v>
      </c>
      <c r="H12" s="54">
        <v>18.29</v>
      </c>
      <c r="I12" s="54">
        <v>1.73</v>
      </c>
      <c r="J12" s="54">
        <v>0.14000000000000001</v>
      </c>
      <c r="K12" s="54">
        <v>43.31</v>
      </c>
      <c r="L12" s="54">
        <v>24.04</v>
      </c>
      <c r="M12" s="54">
        <v>89.25</v>
      </c>
      <c r="N12" s="54">
        <v>29.30</v>
      </c>
      <c r="O12" s="54">
        <v>0</v>
      </c>
      <c r="P12" s="54">
        <v>0.36</v>
      </c>
      <c r="Q12" s="54">
        <v>18.350000000000001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9.01</v>
      </c>
      <c r="C13" s="54">
        <v>31.19</v>
      </c>
      <c r="D13" s="54">
        <v>25.73</v>
      </c>
      <c r="E13" s="54">
        <v>5.33</v>
      </c>
      <c r="F13" s="54">
        <v>5.55</v>
      </c>
      <c r="G13" s="54">
        <v>50.70</v>
      </c>
      <c r="H13" s="54">
        <v>18.489999999999998</v>
      </c>
      <c r="I13" s="54">
        <v>1.76</v>
      </c>
      <c r="J13" s="54">
        <v>0.11</v>
      </c>
      <c r="K13" s="54">
        <v>34.79</v>
      </c>
      <c r="L13" s="54">
        <v>23.86</v>
      </c>
      <c r="M13" s="54">
        <v>90.83</v>
      </c>
      <c r="N13" s="54">
        <v>29.40</v>
      </c>
      <c r="O13" s="54">
        <v>0</v>
      </c>
      <c r="P13" s="54">
        <v>0.37</v>
      </c>
      <c r="Q13" s="54">
        <v>15.61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9.02</v>
      </c>
      <c r="C14" s="54">
        <v>31.39</v>
      </c>
      <c r="D14" s="54">
        <v>25.85</v>
      </c>
      <c r="E14" s="54">
        <v>4.82</v>
      </c>
      <c r="F14" s="54">
        <v>7.41</v>
      </c>
      <c r="G14" s="54">
        <v>47.84</v>
      </c>
      <c r="H14" s="54">
        <v>14.84</v>
      </c>
      <c r="I14" s="54">
        <v>1.76</v>
      </c>
      <c r="J14" s="54">
        <v>0.10</v>
      </c>
      <c r="K14" s="54">
        <v>351.27</v>
      </c>
      <c r="L14" s="54">
        <v>23.66</v>
      </c>
      <c r="M14" s="54">
        <v>92.96</v>
      </c>
      <c r="N14" s="54">
        <v>40.200000000000003</v>
      </c>
      <c r="O14" s="54">
        <v>0</v>
      </c>
      <c r="P14" s="54">
        <v>0.43</v>
      </c>
      <c r="Q14" s="54">
        <v>16.850000000000001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12.75</v>
      </c>
      <c r="C15" s="54">
        <v>32.11</v>
      </c>
      <c r="D15" s="54">
        <v>28.93</v>
      </c>
      <c r="E15" s="54">
        <v>5.71</v>
      </c>
      <c r="F15" s="54">
        <v>6.60</v>
      </c>
      <c r="G15" s="54">
        <v>46.06</v>
      </c>
      <c r="H15" s="54">
        <v>14.18</v>
      </c>
      <c r="I15" s="54">
        <v>1.75</v>
      </c>
      <c r="J15" s="54">
        <v>0.21</v>
      </c>
      <c r="K15" s="54">
        <v>37.89</v>
      </c>
      <c r="L15" s="54">
        <v>24.14</v>
      </c>
      <c r="M15" s="54">
        <v>92.79</v>
      </c>
      <c r="N15" s="54">
        <v>159.19999999999999</v>
      </c>
      <c r="O15" s="54">
        <v>0</v>
      </c>
      <c r="P15" s="54">
        <v>0.37</v>
      </c>
      <c r="Q15" s="54">
        <v>18.23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13.97</v>
      </c>
      <c r="C16" s="54">
        <v>32.520000000000003</v>
      </c>
      <c r="D16" s="54">
        <v>30.44</v>
      </c>
      <c r="E16" s="54">
        <v>5.08</v>
      </c>
      <c r="F16" s="54">
        <v>3.33</v>
      </c>
      <c r="G16" s="54">
        <v>50.19</v>
      </c>
      <c r="H16" s="54">
        <v>16.170000000000002</v>
      </c>
      <c r="I16" s="54">
        <v>1.74</v>
      </c>
      <c r="J16" s="54">
        <v>0.26</v>
      </c>
      <c r="K16" s="54">
        <v>35.67</v>
      </c>
      <c r="L16" s="54">
        <v>26.46</v>
      </c>
      <c r="M16" s="54">
        <v>86.35</v>
      </c>
      <c r="N16" s="54">
        <v>330.5</v>
      </c>
      <c r="O16" s="54">
        <v>0</v>
      </c>
      <c r="P16" s="54">
        <v>0.52</v>
      </c>
      <c r="Q16" s="54">
        <v>15.24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17.739999999999998</v>
      </c>
      <c r="C17" s="54">
        <v>35.369999999999997</v>
      </c>
      <c r="D17" s="54">
        <v>35.03</v>
      </c>
      <c r="E17" s="54">
        <v>5.89</v>
      </c>
      <c r="F17" s="54">
        <v>6.30</v>
      </c>
      <c r="G17" s="54">
        <v>62.56</v>
      </c>
      <c r="H17" s="54">
        <v>18.14</v>
      </c>
      <c r="I17" s="54">
        <v>1.72</v>
      </c>
      <c r="J17" s="54">
        <v>0.55000000000000004</v>
      </c>
      <c r="K17" s="54">
        <v>359.47</v>
      </c>
      <c r="L17" s="54">
        <v>29.81</v>
      </c>
      <c r="M17" s="54">
        <v>74.30</v>
      </c>
      <c r="N17" s="54">
        <v>614.40</v>
      </c>
      <c r="O17" s="54">
        <v>0</v>
      </c>
      <c r="P17" s="54">
        <v>0.63</v>
      </c>
      <c r="Q17" s="54">
        <v>16.55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17.61</v>
      </c>
      <c r="C18" s="54">
        <v>36.40</v>
      </c>
      <c r="D18" s="54">
        <v>35.10</v>
      </c>
      <c r="E18" s="54">
        <v>6.01</v>
      </c>
      <c r="F18" s="54">
        <v>8</v>
      </c>
      <c r="G18" s="54">
        <v>77.61</v>
      </c>
      <c r="H18" s="54">
        <v>19.59</v>
      </c>
      <c r="I18" s="54">
        <v>1.71</v>
      </c>
      <c r="J18" s="54">
        <v>1</v>
      </c>
      <c r="K18" s="54">
        <v>21.68</v>
      </c>
      <c r="L18" s="54">
        <v>32.82</v>
      </c>
      <c r="M18" s="54">
        <v>67.92</v>
      </c>
      <c r="N18" s="54">
        <v>799.60</v>
      </c>
      <c r="O18" s="54">
        <v>0</v>
      </c>
      <c r="P18" s="54">
        <v>0.62</v>
      </c>
      <c r="Q18" s="54">
        <v>17.04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13.04</v>
      </c>
      <c r="C19" s="54">
        <v>39.08</v>
      </c>
      <c r="D19" s="54">
        <v>31.58</v>
      </c>
      <c r="E19" s="54">
        <v>5.32</v>
      </c>
      <c r="F19" s="54">
        <v>5.01</v>
      </c>
      <c r="G19" s="54">
        <v>67.349999999999994</v>
      </c>
      <c r="H19" s="54">
        <v>21.55</v>
      </c>
      <c r="I19" s="54">
        <v>1.72</v>
      </c>
      <c r="J19" s="54">
        <v>0.91</v>
      </c>
      <c r="K19" s="54">
        <v>359.07</v>
      </c>
      <c r="L19" s="54">
        <v>33.93</v>
      </c>
      <c r="M19" s="54">
        <v>54.28</v>
      </c>
      <c r="N19" s="54">
        <v>946.30</v>
      </c>
      <c r="O19" s="54">
        <v>0</v>
      </c>
      <c r="P19" s="54">
        <v>0.57999999999999996</v>
      </c>
      <c r="Q19" s="54">
        <v>13.88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10.16</v>
      </c>
      <c r="C20" s="54">
        <v>40.020000000000003</v>
      </c>
      <c r="D20" s="54">
        <v>30.31</v>
      </c>
      <c r="E20" s="54">
        <v>5.69</v>
      </c>
      <c r="F20" s="54">
        <v>11.49</v>
      </c>
      <c r="G20" s="54">
        <v>79.290000000000006</v>
      </c>
      <c r="H20" s="54">
        <v>18.41</v>
      </c>
      <c r="I20" s="54">
        <v>1.78</v>
      </c>
      <c r="J20" s="54">
        <v>0.68</v>
      </c>
      <c r="K20" s="54">
        <v>13.01</v>
      </c>
      <c r="L20" s="54">
        <v>33.03</v>
      </c>
      <c r="M20" s="54">
        <v>53.73</v>
      </c>
      <c r="N20" s="54">
        <v>972.30</v>
      </c>
      <c r="O20" s="54">
        <v>0</v>
      </c>
      <c r="P20" s="54">
        <v>0.55000000000000004</v>
      </c>
      <c r="Q20" s="54">
        <v>14.21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7.57</v>
      </c>
      <c r="C21" s="54">
        <v>38.93</v>
      </c>
      <c r="D21" s="54">
        <v>27.08</v>
      </c>
      <c r="E21" s="54">
        <v>5.56</v>
      </c>
      <c r="F21" s="54">
        <v>10.40</v>
      </c>
      <c r="G21" s="54">
        <v>73.459999999999994</v>
      </c>
      <c r="H21" s="54">
        <v>19.190000000000001</v>
      </c>
      <c r="I21" s="54">
        <v>1.74</v>
      </c>
      <c r="J21" s="54">
        <v>0.35</v>
      </c>
      <c r="K21" s="54">
        <v>46.13</v>
      </c>
      <c r="L21" s="54">
        <v>30.02</v>
      </c>
      <c r="M21" s="54">
        <v>61.06</v>
      </c>
      <c r="N21" s="54">
        <v>958.30</v>
      </c>
      <c r="O21" s="54">
        <v>0</v>
      </c>
      <c r="P21" s="54">
        <v>0.56999999999999995</v>
      </c>
      <c r="Q21" s="54">
        <v>14.60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4.6100000000000003</v>
      </c>
      <c r="C22" s="54">
        <v>35.72</v>
      </c>
      <c r="D22" s="54">
        <v>24.26</v>
      </c>
      <c r="E22" s="54">
        <v>4.84</v>
      </c>
      <c r="F22" s="54">
        <v>5.56</v>
      </c>
      <c r="G22" s="54">
        <v>71.709999999999994</v>
      </c>
      <c r="H22" s="54">
        <v>17.73</v>
      </c>
      <c r="I22" s="54">
        <v>1.75</v>
      </c>
      <c r="J22" s="54">
        <v>0.39</v>
      </c>
      <c r="K22" s="54">
        <v>39.49</v>
      </c>
      <c r="L22" s="54">
        <v>30.14</v>
      </c>
      <c r="M22" s="54">
        <v>59.31</v>
      </c>
      <c r="N22" s="54">
        <v>745.90</v>
      </c>
      <c r="O22" s="54">
        <v>0</v>
      </c>
      <c r="P22" s="54">
        <v>0.48</v>
      </c>
      <c r="Q22" s="54">
        <v>10.42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3.82</v>
      </c>
      <c r="C23" s="54">
        <v>35.229999999999997</v>
      </c>
      <c r="D23" s="54">
        <v>23.69</v>
      </c>
      <c r="E23" s="54">
        <v>4.62</v>
      </c>
      <c r="F23" s="54">
        <v>8.23</v>
      </c>
      <c r="G23" s="54">
        <v>64.13</v>
      </c>
      <c r="H23" s="54">
        <v>16.39</v>
      </c>
      <c r="I23" s="54">
        <v>1.74</v>
      </c>
      <c r="J23" s="54">
        <v>0.41</v>
      </c>
      <c r="K23" s="54">
        <v>38.71</v>
      </c>
      <c r="L23" s="54">
        <v>29.90</v>
      </c>
      <c r="M23" s="54">
        <v>60.27</v>
      </c>
      <c r="N23" s="54">
        <v>644.60</v>
      </c>
      <c r="O23" s="54">
        <v>0</v>
      </c>
      <c r="P23" s="54">
        <v>0.44</v>
      </c>
      <c r="Q23" s="54">
        <v>11.28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3.98</v>
      </c>
      <c r="C24" s="54">
        <v>35.159999999999997</v>
      </c>
      <c r="D24" s="54">
        <v>23.89</v>
      </c>
      <c r="E24" s="54">
        <v>4.87</v>
      </c>
      <c r="F24" s="54">
        <v>6.83</v>
      </c>
      <c r="G24" s="54">
        <v>59.26</v>
      </c>
      <c r="H24" s="54">
        <v>18.04</v>
      </c>
      <c r="I24" s="54">
        <v>1.72</v>
      </c>
      <c r="J24" s="54">
        <v>0.44</v>
      </c>
      <c r="K24" s="54">
        <v>40.46</v>
      </c>
      <c r="L24" s="54">
        <v>29.24</v>
      </c>
      <c r="M24" s="54">
        <v>64.23</v>
      </c>
      <c r="N24" s="54">
        <v>341.40</v>
      </c>
      <c r="O24" s="54">
        <v>0</v>
      </c>
      <c r="P24" s="54">
        <v>0.41</v>
      </c>
      <c r="Q24" s="54">
        <v>11.34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3.24</v>
      </c>
      <c r="C25" s="54">
        <v>34.130000000000003</v>
      </c>
      <c r="D25" s="54">
        <v>22.69</v>
      </c>
      <c r="E25" s="54">
        <v>4.3099999999999996</v>
      </c>
      <c r="F25" s="54">
        <v>6.13</v>
      </c>
      <c r="G25" s="54">
        <v>62.17</v>
      </c>
      <c r="H25" s="54">
        <v>21.20</v>
      </c>
      <c r="I25" s="54">
        <v>1.75</v>
      </c>
      <c r="J25" s="54">
        <v>0.44</v>
      </c>
      <c r="K25" s="54">
        <v>47.79</v>
      </c>
      <c r="L25" s="54">
        <v>28.72</v>
      </c>
      <c r="M25" s="54">
        <v>61.96</v>
      </c>
      <c r="N25" s="54">
        <v>204.90</v>
      </c>
      <c r="O25" s="54">
        <v>0</v>
      </c>
      <c r="P25" s="54">
        <v>0.40</v>
      </c>
      <c r="Q25" s="54">
        <v>7.92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7.09</v>
      </c>
      <c r="C26" s="54">
        <v>38.07</v>
      </c>
      <c r="D26" s="54">
        <v>27.99</v>
      </c>
      <c r="E26" s="54">
        <v>4.38</v>
      </c>
      <c r="F26" s="54">
        <v>10.82</v>
      </c>
      <c r="G26" s="54">
        <v>54.27</v>
      </c>
      <c r="H26" s="54">
        <v>17.260000000000002</v>
      </c>
      <c r="I26" s="54">
        <v>1.73</v>
      </c>
      <c r="J26" s="54">
        <v>0.41</v>
      </c>
      <c r="K26" s="54">
        <v>42.11</v>
      </c>
      <c r="L26" s="54">
        <v>28.41</v>
      </c>
      <c r="M26" s="54">
        <v>67.010000000000005</v>
      </c>
      <c r="N26" s="54">
        <v>112.80</v>
      </c>
      <c r="O26" s="54">
        <v>0</v>
      </c>
      <c r="P26" s="54">
        <v>0.52</v>
      </c>
      <c r="Q26" s="54">
        <v>11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5.35</v>
      </c>
      <c r="C27" s="54">
        <v>38.93</v>
      </c>
      <c r="D27" s="54">
        <v>27.05</v>
      </c>
      <c r="E27" s="54">
        <v>5.18</v>
      </c>
      <c r="F27" s="54">
        <v>8.44</v>
      </c>
      <c r="G27" s="54">
        <v>56.68</v>
      </c>
      <c r="H27" s="54">
        <v>19.309999999999999</v>
      </c>
      <c r="I27" s="54">
        <v>1.77</v>
      </c>
      <c r="J27" s="54">
        <v>0.30</v>
      </c>
      <c r="K27" s="54">
        <v>45.82</v>
      </c>
      <c r="L27" s="54">
        <v>27.55</v>
      </c>
      <c r="M27" s="54">
        <v>70.099999999999994</v>
      </c>
      <c r="N27" s="54">
        <v>42.60</v>
      </c>
      <c r="O27" s="54">
        <v>0</v>
      </c>
      <c r="P27" s="54">
        <v>0.56000000000000005</v>
      </c>
      <c r="Q27" s="54">
        <v>12.10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7</v>
      </c>
      <c r="C28" s="54">
        <v>38.83</v>
      </c>
      <c r="D28" s="54">
        <v>28.17</v>
      </c>
      <c r="E28" s="54">
        <v>4.51</v>
      </c>
      <c r="F28" s="54">
        <v>4.5</v>
      </c>
      <c r="G28" s="54">
        <v>53.34</v>
      </c>
      <c r="H28" s="54">
        <v>15.32</v>
      </c>
      <c r="I28" s="54">
        <v>1.72</v>
      </c>
      <c r="J28" s="54">
        <v>0.27</v>
      </c>
      <c r="K28" s="54">
        <v>55.45</v>
      </c>
      <c r="L28" s="54">
        <v>26.89</v>
      </c>
      <c r="M28" s="54">
        <v>69.70</v>
      </c>
      <c r="N28" s="54">
        <v>25.30</v>
      </c>
      <c r="O28" s="54">
        <v>0</v>
      </c>
      <c r="P28" s="54">
        <v>0.60</v>
      </c>
      <c r="Q28" s="54">
        <v>10.66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14.58</v>
      </c>
      <c r="C29" s="54">
        <v>39.53</v>
      </c>
      <c r="D29" s="54">
        <v>33.72</v>
      </c>
      <c r="E29" s="54">
        <v>4.79</v>
      </c>
      <c r="F29" s="54">
        <v>9.66</v>
      </c>
      <c r="G29" s="54">
        <v>56.76</v>
      </c>
      <c r="H29" s="54">
        <v>15.63</v>
      </c>
      <c r="I29" s="54">
        <v>1.71</v>
      </c>
      <c r="J29" s="54">
        <v>0.28000000000000003</v>
      </c>
      <c r="K29" s="54">
        <v>41.93</v>
      </c>
      <c r="L29" s="54">
        <v>26.45</v>
      </c>
      <c r="M29" s="54">
        <v>71.64</v>
      </c>
      <c r="N29" s="54">
        <v>25.20</v>
      </c>
      <c r="O29" s="54">
        <v>0</v>
      </c>
      <c r="P29" s="54">
        <v>0.75</v>
      </c>
      <c r="Q29" s="54">
        <v>14.14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14.96</v>
      </c>
      <c r="C30" s="54">
        <v>38.630000000000003</v>
      </c>
      <c r="D30" s="54">
        <v>34.60</v>
      </c>
      <c r="E30" s="54">
        <v>4.9400000000000004</v>
      </c>
      <c r="F30" s="54">
        <v>6.66</v>
      </c>
      <c r="G30" s="54">
        <v>58.48</v>
      </c>
      <c r="H30" s="54">
        <v>17.88</v>
      </c>
      <c r="I30" s="54">
        <v>1.73</v>
      </c>
      <c r="J30" s="54">
        <v>0.25</v>
      </c>
      <c r="K30" s="54">
        <v>45.04</v>
      </c>
      <c r="L30" s="54">
        <v>26.04</v>
      </c>
      <c r="M30" s="54">
        <v>76.78</v>
      </c>
      <c r="N30" s="54">
        <v>25.20</v>
      </c>
      <c r="O30" s="54">
        <v>0</v>
      </c>
      <c r="P30" s="54">
        <v>0.73</v>
      </c>
      <c r="Q30" s="54">
        <v>14.98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11.96</v>
      </c>
      <c r="C31" s="54">
        <v>37.31</v>
      </c>
      <c r="D31" s="54">
        <v>31.47</v>
      </c>
      <c r="E31" s="54">
        <v>4.2300000000000004</v>
      </c>
      <c r="F31" s="54">
        <v>8.0299999999999994</v>
      </c>
      <c r="G31" s="54">
        <v>63.31</v>
      </c>
      <c r="H31" s="54">
        <v>17.59</v>
      </c>
      <c r="I31" s="54">
        <v>1.74</v>
      </c>
      <c r="J31" s="54">
        <v>0.25</v>
      </c>
      <c r="K31" s="54">
        <v>44.92</v>
      </c>
      <c r="L31" s="54">
        <v>25.74</v>
      </c>
      <c r="M31" s="54">
        <v>79.319999999999993</v>
      </c>
      <c r="N31" s="54">
        <v>25.30</v>
      </c>
      <c r="O31" s="54">
        <v>0</v>
      </c>
      <c r="P31" s="54">
        <v>0.64</v>
      </c>
      <c r="Q31" s="54">
        <v>12.59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6.87</v>
      </c>
      <c r="C32" s="54">
        <v>32.26</v>
      </c>
      <c r="D32" s="54">
        <v>24.61</v>
      </c>
      <c r="E32" s="54">
        <v>4.66</v>
      </c>
      <c r="F32" s="54">
        <v>22.08</v>
      </c>
      <c r="G32" s="54">
        <v>58.45</v>
      </c>
      <c r="H32" s="54">
        <v>18.05</v>
      </c>
      <c r="I32" s="54">
        <v>1.72</v>
      </c>
      <c r="J32" s="54">
        <v>0.17</v>
      </c>
      <c r="K32" s="54">
        <v>42.12</v>
      </c>
      <c r="L32" s="54">
        <v>25.49</v>
      </c>
      <c r="M32" s="54">
        <v>82.10</v>
      </c>
      <c r="N32" s="54">
        <v>25.40</v>
      </c>
      <c r="O32" s="54">
        <v>0</v>
      </c>
      <c r="P32" s="54">
        <v>0.53</v>
      </c>
      <c r="Q32" s="54">
        <v>16.61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3.2400000000000002</v>
      </c>
      <c r="C34" s="28">
        <f t="shared" si="0"/>
        <v>28.809999999999999</v>
      </c>
      <c r="D34" s="28">
        <f t="shared" si="0"/>
        <v>22.690000000000001</v>
      </c>
      <c r="E34" s="28">
        <f t="shared" si="0"/>
        <v>3.9900000000000002</v>
      </c>
      <c r="F34" s="28">
        <f t="shared" si="0"/>
        <v>3.3300000000000001</v>
      </c>
      <c r="G34" s="28">
        <f t="shared" si="0"/>
        <v>46.060000000000002</v>
      </c>
      <c r="H34" s="28">
        <f t="shared" si="0"/>
        <v>14.18</v>
      </c>
      <c r="I34" s="28">
        <f t="shared" si="0"/>
        <v>1.71</v>
      </c>
      <c r="J34" s="28">
        <f t="shared" si="0"/>
        <v>0.10000000000000001</v>
      </c>
      <c r="K34" s="28">
        <f t="shared" si="0"/>
        <v>13.01</v>
      </c>
      <c r="L34" s="28">
        <f t="shared" si="0"/>
        <v>23.66</v>
      </c>
      <c r="M34" s="28">
        <f t="shared" si="0"/>
        <v>53.729999999999997</v>
      </c>
      <c r="N34" s="28">
        <f t="shared" si="0"/>
        <v>25.199999999999999</v>
      </c>
      <c r="O34" s="28">
        <f t="shared" si="0"/>
        <v>0</v>
      </c>
      <c r="P34" s="28">
        <f t="shared" si="0"/>
        <v>0.35999999999999999</v>
      </c>
      <c r="Q34" s="28">
        <f t="shared" si="0"/>
        <v>7.9199999999999999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17.739999999999998</v>
      </c>
      <c r="C35" s="29">
        <f t="shared" si="1"/>
        <v>40.020000000000003</v>
      </c>
      <c r="D35" s="29">
        <f t="shared" si="1"/>
        <v>35.100000000000001</v>
      </c>
      <c r="E35" s="29">
        <f t="shared" si="1"/>
        <v>6.0099999999999998</v>
      </c>
      <c r="F35" s="29">
        <f t="shared" si="1"/>
        <v>22.079999999999998</v>
      </c>
      <c r="G35" s="29">
        <f t="shared" si="1"/>
        <v>79.290000000000006</v>
      </c>
      <c r="H35" s="29">
        <f t="shared" si="1"/>
        <v>25.239999999999998</v>
      </c>
      <c r="I35" s="29">
        <f t="shared" si="1"/>
        <v>1.78</v>
      </c>
      <c r="J35" s="29">
        <f t="shared" si="1"/>
        <v>1</v>
      </c>
      <c r="K35" s="29">
        <f t="shared" si="1"/>
        <v>359.47000000000003</v>
      </c>
      <c r="L35" s="29">
        <f t="shared" si="1"/>
        <v>33.93</v>
      </c>
      <c r="M35" s="29">
        <f t="shared" si="1"/>
        <v>92.959999999999994</v>
      </c>
      <c r="N35" s="29">
        <f t="shared" si="1"/>
        <v>972.29999999999995</v>
      </c>
      <c r="O35" s="29">
        <f t="shared" si="1"/>
        <v>0</v>
      </c>
      <c r="P35" s="29">
        <f t="shared" si="1"/>
        <v>0.75</v>
      </c>
      <c r="Q35" s="29">
        <f t="shared" si="1"/>
        <v>18.350000000000001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9.5062499999999996</v>
      </c>
      <c r="C36" s="28">
        <f t="shared" si="2"/>
        <v>35.050833333333337</v>
      </c>
      <c r="D36" s="28">
        <f t="shared" si="2"/>
        <v>27.955833333333334</v>
      </c>
      <c r="E36" s="28">
        <f t="shared" si="2"/>
        <v>4.8875000000000011</v>
      </c>
      <c r="F36" s="28">
        <f t="shared" si="2"/>
        <v>8.7758333333333329</v>
      </c>
      <c r="G36" s="28">
        <f t="shared" si="2"/>
        <v>61.302916666666668</v>
      </c>
      <c r="H36" s="28">
        <f t="shared" si="2"/>
        <v>18.324583333333333</v>
      </c>
      <c r="I36" s="28">
        <f t="shared" si="2"/>
        <v>1.7366666666666664</v>
      </c>
      <c r="J36" s="28">
        <f t="shared" si="2"/>
        <v>0.34833333333333338</v>
      </c>
      <c r="K36" s="28">
        <f t="shared" si="2"/>
        <v>89.890833333333333</v>
      </c>
      <c r="L36" s="28">
        <f t="shared" si="2"/>
        <v>27.474583333333339</v>
      </c>
      <c r="M36" s="28">
        <f t="shared" si="2"/>
        <v>74.578749999999985</v>
      </c>
      <c r="N36" s="28">
        <f t="shared" si="2"/>
        <v>299.38333333333333</v>
      </c>
      <c r="O36" s="28">
        <f t="shared" si="2"/>
        <v>0</v>
      </c>
      <c r="P36" s="28">
        <f t="shared" si="2"/>
        <v>0.52583333333333337</v>
      </c>
      <c r="Q36" s="28">
        <f t="shared" si="2"/>
        <v>14.340416666666668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4.2204191142586787</v>
      </c>
      <c r="C37" s="28">
        <f t="shared" si="3" ref="C37:Q37">STDEV(C9:C32)</f>
        <v>3.552763672149462</v>
      </c>
      <c r="D37" s="28">
        <f t="shared" si="3"/>
        <v>3.9590874186364533</v>
      </c>
      <c r="E37" s="28">
        <f t="shared" si="3"/>
        <v>0.5952511344327438</v>
      </c>
      <c r="F37" s="28">
        <f t="shared" si="3"/>
        <v>4.0093596113037329</v>
      </c>
      <c r="G37" s="28">
        <f t="shared" si="3"/>
        <v>9.590563513917834</v>
      </c>
      <c r="H37" s="28">
        <f t="shared" si="3"/>
        <v>2.4494808308251117</v>
      </c>
      <c r="I37" s="28">
        <f t="shared" si="3"/>
        <v>0.018572224859501475</v>
      </c>
      <c r="J37" s="28">
        <f t="shared" si="3"/>
        <v>0.23713262967793144</v>
      </c>
      <c r="K37" s="28">
        <f t="shared" si="3"/>
        <v>113.9191572207417</v>
      </c>
      <c r="L37" s="28">
        <f t="shared" si="3"/>
        <v>3.1140620461923931</v>
      </c>
      <c r="M37" s="28">
        <f t="shared" si="3"/>
        <v>12.857070906027127</v>
      </c>
      <c r="N37" s="28">
        <f t="shared" si="3"/>
        <v>355.91271605447776</v>
      </c>
      <c r="O37" s="28">
        <f t="shared" si="3"/>
        <v>0</v>
      </c>
      <c r="P37" s="28">
        <f t="shared" si="3"/>
        <v>0.10701144459992271</v>
      </c>
      <c r="Q37" s="28">
        <f t="shared" si="3"/>
        <v>2.8504896286758212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d67531-cc54-461f-9ec3-7930612640f3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84" sqref="H8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7.30</v>
      </c>
      <c r="C9" s="54">
        <v>32.11</v>
      </c>
      <c r="D9" s="54">
        <v>24.87</v>
      </c>
      <c r="E9" s="54">
        <v>3.99</v>
      </c>
      <c r="F9" s="54">
        <v>8.41</v>
      </c>
      <c r="G9" s="54">
        <v>52.60</v>
      </c>
      <c r="H9" s="54">
        <v>18.59</v>
      </c>
      <c r="I9" s="54">
        <v>1.71</v>
      </c>
      <c r="J9" s="54">
        <v>0.22</v>
      </c>
      <c r="K9" s="54">
        <v>51.61</v>
      </c>
      <c r="L9" s="54">
        <v>25.21</v>
      </c>
      <c r="M9" s="54">
        <v>83.87</v>
      </c>
      <c r="N9" s="54">
        <v>25.5</v>
      </c>
      <c r="O9" s="54">
        <v>0</v>
      </c>
      <c r="P9" s="54">
        <v>0.48</v>
      </c>
      <c r="Q9" s="54">
        <v>16.36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6.38</v>
      </c>
      <c r="C10" s="54">
        <v>32.54</v>
      </c>
      <c r="D10" s="54">
        <v>24.37</v>
      </c>
      <c r="E10" s="54">
        <v>3.76</v>
      </c>
      <c r="F10" s="54">
        <v>7.92</v>
      </c>
      <c r="G10" s="54">
        <v>47.35</v>
      </c>
      <c r="H10" s="54">
        <v>19.18</v>
      </c>
      <c r="I10" s="54">
        <v>1.72</v>
      </c>
      <c r="J10" s="54">
        <v>0.20</v>
      </c>
      <c r="K10" s="54">
        <v>54.25</v>
      </c>
      <c r="L10" s="54">
        <v>25</v>
      </c>
      <c r="M10" s="54">
        <v>84.43</v>
      </c>
      <c r="N10" s="54">
        <v>25.60</v>
      </c>
      <c r="O10" s="54">
        <v>0</v>
      </c>
      <c r="P10" s="54">
        <v>0.44</v>
      </c>
      <c r="Q10" s="54">
        <v>12.97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6.89</v>
      </c>
      <c r="C11" s="54">
        <v>28.78</v>
      </c>
      <c r="D11" s="54">
        <v>22.70</v>
      </c>
      <c r="E11" s="54">
        <v>3.66</v>
      </c>
      <c r="F11" s="54">
        <v>9.93</v>
      </c>
      <c r="G11" s="54">
        <v>41.69</v>
      </c>
      <c r="H11" s="54">
        <v>17.78</v>
      </c>
      <c r="I11" s="54">
        <v>1.71</v>
      </c>
      <c r="J11" s="54">
        <v>0.30</v>
      </c>
      <c r="K11" s="54">
        <v>43.73</v>
      </c>
      <c r="L11" s="54">
        <v>24.75</v>
      </c>
      <c r="M11" s="54">
        <v>86.09</v>
      </c>
      <c r="N11" s="54">
        <v>25.40</v>
      </c>
      <c r="O11" s="54">
        <v>0</v>
      </c>
      <c r="P11" s="54">
        <v>0.35</v>
      </c>
      <c r="Q11" s="54">
        <v>14.36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5.21</v>
      </c>
      <c r="C12" s="54">
        <v>30.58</v>
      </c>
      <c r="D12" s="54">
        <v>22.33</v>
      </c>
      <c r="E12" s="54">
        <v>4.0999999999999996</v>
      </c>
      <c r="F12" s="54">
        <v>4.5999999999999996</v>
      </c>
      <c r="G12" s="54">
        <v>39.94</v>
      </c>
      <c r="H12" s="54">
        <v>13.28</v>
      </c>
      <c r="I12" s="54">
        <v>1.77</v>
      </c>
      <c r="J12" s="54">
        <v>0.20</v>
      </c>
      <c r="K12" s="54">
        <v>48.33</v>
      </c>
      <c r="L12" s="54">
        <v>24.44</v>
      </c>
      <c r="M12" s="54">
        <v>89.39</v>
      </c>
      <c r="N12" s="54">
        <v>25.30</v>
      </c>
      <c r="O12" s="54">
        <v>0</v>
      </c>
      <c r="P12" s="54">
        <v>0.33</v>
      </c>
      <c r="Q12" s="54">
        <v>14.19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8.09</v>
      </c>
      <c r="C13" s="54">
        <v>32.51</v>
      </c>
      <c r="D13" s="54">
        <v>25.72</v>
      </c>
      <c r="E13" s="54">
        <v>5.60</v>
      </c>
      <c r="F13" s="54">
        <v>9.4600000000000009</v>
      </c>
      <c r="G13" s="54">
        <v>39.93</v>
      </c>
      <c r="H13" s="54">
        <v>13.33</v>
      </c>
      <c r="I13" s="54">
        <v>1.70</v>
      </c>
      <c r="J13" s="54">
        <v>0.19</v>
      </c>
      <c r="K13" s="54">
        <v>46.74</v>
      </c>
      <c r="L13" s="54">
        <v>24.01</v>
      </c>
      <c r="M13" s="54">
        <v>91.83</v>
      </c>
      <c r="N13" s="54">
        <v>25.40</v>
      </c>
      <c r="O13" s="54">
        <v>0</v>
      </c>
      <c r="P13" s="54">
        <v>0.42</v>
      </c>
      <c r="Q13" s="54">
        <v>12.44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6.64</v>
      </c>
      <c r="C14" s="54">
        <v>29.97</v>
      </c>
      <c r="D14" s="54">
        <v>23.16</v>
      </c>
      <c r="E14" s="54">
        <v>5.19</v>
      </c>
      <c r="F14" s="54">
        <v>8.06</v>
      </c>
      <c r="G14" s="54">
        <v>42.37</v>
      </c>
      <c r="H14" s="54">
        <v>12.71</v>
      </c>
      <c r="I14" s="54">
        <v>1.73</v>
      </c>
      <c r="J14" s="54">
        <v>0.15</v>
      </c>
      <c r="K14" s="54">
        <v>356.37</v>
      </c>
      <c r="L14" s="54">
        <v>23.81</v>
      </c>
      <c r="M14" s="54">
        <v>95.04</v>
      </c>
      <c r="N14" s="54">
        <v>41.90</v>
      </c>
      <c r="O14" s="54">
        <v>0</v>
      </c>
      <c r="P14" s="54">
        <v>0.47</v>
      </c>
      <c r="Q14" s="54">
        <v>16.25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10.56</v>
      </c>
      <c r="C15" s="54">
        <v>33.619999999999997</v>
      </c>
      <c r="D15" s="54">
        <v>28.32</v>
      </c>
      <c r="E15" s="54">
        <v>5.49</v>
      </c>
      <c r="F15" s="54">
        <v>3.38</v>
      </c>
      <c r="G15" s="54">
        <v>39.159999999999997</v>
      </c>
      <c r="H15" s="54">
        <v>14.97</v>
      </c>
      <c r="I15" s="54">
        <v>1.71</v>
      </c>
      <c r="J15" s="54">
        <v>0.18</v>
      </c>
      <c r="K15" s="54">
        <v>47.93</v>
      </c>
      <c r="L15" s="54">
        <v>25.01</v>
      </c>
      <c r="M15" s="54">
        <v>95.29</v>
      </c>
      <c r="N15" s="54">
        <v>202.5</v>
      </c>
      <c r="O15" s="54">
        <v>0</v>
      </c>
      <c r="P15" s="54">
        <v>0.47</v>
      </c>
      <c r="Q15" s="54">
        <v>15.36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13.94</v>
      </c>
      <c r="C16" s="54">
        <v>35.71</v>
      </c>
      <c r="D16" s="54">
        <v>31.32</v>
      </c>
      <c r="E16" s="54">
        <v>5.19</v>
      </c>
      <c r="F16" s="54">
        <v>5.53</v>
      </c>
      <c r="G16" s="54">
        <v>46.01</v>
      </c>
      <c r="H16" s="54">
        <v>15.55</v>
      </c>
      <c r="I16" s="54">
        <v>1.73</v>
      </c>
      <c r="J16" s="54">
        <v>0.30</v>
      </c>
      <c r="K16" s="54">
        <v>36.78</v>
      </c>
      <c r="L16" s="54">
        <v>27.40</v>
      </c>
      <c r="M16" s="54">
        <v>82.10</v>
      </c>
      <c r="N16" s="54">
        <v>397.5</v>
      </c>
      <c r="O16" s="54">
        <v>0</v>
      </c>
      <c r="P16" s="54">
        <v>0.64</v>
      </c>
      <c r="Q16" s="54">
        <v>13.74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13.20</v>
      </c>
      <c r="C17" s="54">
        <v>36.11</v>
      </c>
      <c r="D17" s="54">
        <v>31.80</v>
      </c>
      <c r="E17" s="54">
        <v>5.35</v>
      </c>
      <c r="F17" s="54">
        <v>5.98</v>
      </c>
      <c r="G17" s="54">
        <v>56.96</v>
      </c>
      <c r="H17" s="54">
        <v>17.27</v>
      </c>
      <c r="I17" s="54">
        <v>1.72</v>
      </c>
      <c r="J17" s="54">
        <v>0.73</v>
      </c>
      <c r="K17" s="54">
        <v>359.25</v>
      </c>
      <c r="L17" s="54">
        <v>31.73</v>
      </c>
      <c r="M17" s="54">
        <v>70.989999999999995</v>
      </c>
      <c r="N17" s="54">
        <v>644</v>
      </c>
      <c r="O17" s="54">
        <v>0</v>
      </c>
      <c r="P17" s="54">
        <v>0.63</v>
      </c>
      <c r="Q17" s="54">
        <v>15.27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12.31</v>
      </c>
      <c r="C18" s="54">
        <v>36.83</v>
      </c>
      <c r="D18" s="54">
        <v>31.49</v>
      </c>
      <c r="E18" s="54">
        <v>5.28</v>
      </c>
      <c r="F18" s="54">
        <v>3.96</v>
      </c>
      <c r="G18" s="54">
        <v>61.21</v>
      </c>
      <c r="H18" s="54">
        <v>19.53</v>
      </c>
      <c r="I18" s="54">
        <v>1.70</v>
      </c>
      <c r="J18" s="54">
        <v>0.88</v>
      </c>
      <c r="K18" s="54">
        <v>358.24</v>
      </c>
      <c r="L18" s="54">
        <v>32.450000000000003</v>
      </c>
      <c r="M18" s="54">
        <v>53.67</v>
      </c>
      <c r="N18" s="54">
        <v>819</v>
      </c>
      <c r="O18" s="54">
        <v>0</v>
      </c>
      <c r="P18" s="54">
        <v>0.60</v>
      </c>
      <c r="Q18" s="54">
        <v>13.72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10.07</v>
      </c>
      <c r="C19" s="54">
        <v>39.479999999999997</v>
      </c>
      <c r="D19" s="54">
        <v>30.23</v>
      </c>
      <c r="E19" s="54">
        <v>4.80</v>
      </c>
      <c r="F19" s="54">
        <v>4.37</v>
      </c>
      <c r="G19" s="54">
        <v>57.19</v>
      </c>
      <c r="H19" s="54">
        <v>15.66</v>
      </c>
      <c r="I19" s="54">
        <v>1.73</v>
      </c>
      <c r="J19" s="54">
        <v>0.63</v>
      </c>
      <c r="K19" s="54">
        <v>17.489999999999998</v>
      </c>
      <c r="L19" s="54">
        <v>31.02</v>
      </c>
      <c r="M19" s="54">
        <v>56.10</v>
      </c>
      <c r="N19" s="54">
        <v>805.80</v>
      </c>
      <c r="O19" s="54">
        <v>0</v>
      </c>
      <c r="P19" s="54">
        <v>0.56999999999999995</v>
      </c>
      <c r="Q19" s="54">
        <v>12.45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8.90</v>
      </c>
      <c r="C20" s="54">
        <v>40.97</v>
      </c>
      <c r="D20" s="54">
        <v>31.04</v>
      </c>
      <c r="E20" s="54">
        <v>4.93</v>
      </c>
      <c r="F20" s="54">
        <v>4.91</v>
      </c>
      <c r="G20" s="54">
        <v>58.83</v>
      </c>
      <c r="H20" s="54">
        <v>18.91</v>
      </c>
      <c r="I20" s="54">
        <v>1.79</v>
      </c>
      <c r="J20" s="54">
        <v>0.85</v>
      </c>
      <c r="K20" s="54">
        <v>359.36</v>
      </c>
      <c r="L20" s="54">
        <v>32.64</v>
      </c>
      <c r="M20" s="54">
        <v>51.54</v>
      </c>
      <c r="N20" s="54">
        <v>945.70</v>
      </c>
      <c r="O20" s="54">
        <v>0</v>
      </c>
      <c r="P20" s="54">
        <v>0.55000000000000004</v>
      </c>
      <c r="Q20" s="54">
        <v>13.27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7.24</v>
      </c>
      <c r="C21" s="54">
        <v>37.590000000000003</v>
      </c>
      <c r="D21" s="54">
        <v>27.84</v>
      </c>
      <c r="E21" s="54">
        <v>4.67</v>
      </c>
      <c r="F21" s="54">
        <v>4.1399999999999997</v>
      </c>
      <c r="G21" s="54">
        <v>58.96</v>
      </c>
      <c r="H21" s="54">
        <v>18.079999999999998</v>
      </c>
      <c r="I21" s="54">
        <v>1.74</v>
      </c>
      <c r="J21" s="54">
        <v>1.02</v>
      </c>
      <c r="K21" s="54">
        <v>357.29</v>
      </c>
      <c r="L21" s="54">
        <v>33.090000000000003</v>
      </c>
      <c r="M21" s="54">
        <v>49.24</v>
      </c>
      <c r="N21" s="54">
        <v>999.90</v>
      </c>
      <c r="O21" s="54">
        <v>0</v>
      </c>
      <c r="P21" s="54">
        <v>0.5</v>
      </c>
      <c r="Q21" s="54">
        <v>10.80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5.88</v>
      </c>
      <c r="C22" s="54">
        <v>37.83</v>
      </c>
      <c r="D22" s="54">
        <v>26.68</v>
      </c>
      <c r="E22" s="54">
        <v>4.29</v>
      </c>
      <c r="F22" s="54">
        <v>5.20</v>
      </c>
      <c r="G22" s="54">
        <v>58.46</v>
      </c>
      <c r="H22" s="54">
        <v>15.89</v>
      </c>
      <c r="I22" s="54">
        <v>1.77</v>
      </c>
      <c r="J22" s="54">
        <v>0.86</v>
      </c>
      <c r="K22" s="54">
        <v>356.84</v>
      </c>
      <c r="L22" s="54">
        <v>32.799999999999997</v>
      </c>
      <c r="M22" s="54">
        <v>47.39</v>
      </c>
      <c r="N22" s="54">
        <v>926.5</v>
      </c>
      <c r="O22" s="54">
        <v>0</v>
      </c>
      <c r="P22" s="54">
        <v>0.46</v>
      </c>
      <c r="Q22" s="54">
        <v>9.4600000000000009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5.86</v>
      </c>
      <c r="C23" s="54">
        <v>37.40</v>
      </c>
      <c r="D23" s="54">
        <v>26.41</v>
      </c>
      <c r="E23" s="54">
        <v>5.0999999999999996</v>
      </c>
      <c r="F23" s="54">
        <v>5.81</v>
      </c>
      <c r="G23" s="54">
        <v>60.92</v>
      </c>
      <c r="H23" s="54">
        <v>16.78</v>
      </c>
      <c r="I23" s="54">
        <v>1.71</v>
      </c>
      <c r="J23" s="54">
        <v>0.80</v>
      </c>
      <c r="K23" s="54">
        <v>356.81</v>
      </c>
      <c r="L23" s="54">
        <v>32.54</v>
      </c>
      <c r="M23" s="54">
        <v>53.14</v>
      </c>
      <c r="N23" s="54">
        <v>786.60</v>
      </c>
      <c r="O23" s="54">
        <v>0</v>
      </c>
      <c r="P23" s="54">
        <v>0.42</v>
      </c>
      <c r="Q23" s="54">
        <v>10.55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5.0999999999999996</v>
      </c>
      <c r="C24" s="54">
        <v>37.409999999999997</v>
      </c>
      <c r="D24" s="54">
        <v>25.65</v>
      </c>
      <c r="E24" s="54">
        <v>4.95</v>
      </c>
      <c r="F24" s="54">
        <v>5.71</v>
      </c>
      <c r="G24" s="54">
        <v>61.43</v>
      </c>
      <c r="H24" s="54">
        <v>16.309999999999999</v>
      </c>
      <c r="I24" s="54">
        <v>1.75</v>
      </c>
      <c r="J24" s="54">
        <v>0.43</v>
      </c>
      <c r="K24" s="54">
        <v>35.29</v>
      </c>
      <c r="L24" s="54">
        <v>30.14</v>
      </c>
      <c r="M24" s="54">
        <v>57.83</v>
      </c>
      <c r="N24" s="54">
        <v>294.89999999999998</v>
      </c>
      <c r="O24" s="54">
        <v>0</v>
      </c>
      <c r="P24" s="54">
        <v>0.43</v>
      </c>
      <c r="Q24" s="54">
        <v>8.6199999999999992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4.74</v>
      </c>
      <c r="C25" s="54">
        <v>38.5</v>
      </c>
      <c r="D25" s="54">
        <v>26.34</v>
      </c>
      <c r="E25" s="54">
        <v>4.4000000000000004</v>
      </c>
      <c r="F25" s="54">
        <v>8.6199999999999992</v>
      </c>
      <c r="G25" s="54">
        <v>60.76</v>
      </c>
      <c r="H25" s="54">
        <v>17.5</v>
      </c>
      <c r="I25" s="54">
        <v>1.72</v>
      </c>
      <c r="J25" s="54">
        <v>0.38</v>
      </c>
      <c r="K25" s="54">
        <v>46.82</v>
      </c>
      <c r="L25" s="54">
        <v>29.40</v>
      </c>
      <c r="M25" s="54">
        <v>61.71</v>
      </c>
      <c r="N25" s="54">
        <v>191.90</v>
      </c>
      <c r="O25" s="54">
        <v>0</v>
      </c>
      <c r="P25" s="54">
        <v>0.45</v>
      </c>
      <c r="Q25" s="54">
        <v>9.83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7.42</v>
      </c>
      <c r="C26" s="54">
        <v>40.18</v>
      </c>
      <c r="D26" s="54">
        <v>28.24</v>
      </c>
      <c r="E26" s="54">
        <v>4.79</v>
      </c>
      <c r="F26" s="54">
        <v>7.58</v>
      </c>
      <c r="G26" s="54">
        <v>59.96</v>
      </c>
      <c r="H26" s="54">
        <v>18.739999999999998</v>
      </c>
      <c r="I26" s="54">
        <v>1.73</v>
      </c>
      <c r="J26" s="54">
        <v>0.47</v>
      </c>
      <c r="K26" s="54">
        <v>41.52</v>
      </c>
      <c r="L26" s="54">
        <v>28.18</v>
      </c>
      <c r="M26" s="54">
        <v>61.35</v>
      </c>
      <c r="N26" s="54">
        <v>94.40</v>
      </c>
      <c r="O26" s="54">
        <v>0</v>
      </c>
      <c r="P26" s="54">
        <v>0.46</v>
      </c>
      <c r="Q26" s="54">
        <v>11.17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7.92</v>
      </c>
      <c r="C27" s="54">
        <v>39.58</v>
      </c>
      <c r="D27" s="54">
        <v>28.83</v>
      </c>
      <c r="E27" s="54">
        <v>4.37</v>
      </c>
      <c r="F27" s="54">
        <v>4.95</v>
      </c>
      <c r="G27" s="54">
        <v>56.32</v>
      </c>
      <c r="H27" s="54">
        <v>17.86</v>
      </c>
      <c r="I27" s="54">
        <v>1.74</v>
      </c>
      <c r="J27" s="54">
        <v>0.36</v>
      </c>
      <c r="K27" s="54">
        <v>44.10</v>
      </c>
      <c r="L27" s="54">
        <v>27.60</v>
      </c>
      <c r="M27" s="54">
        <v>64.16</v>
      </c>
      <c r="N27" s="54">
        <v>41</v>
      </c>
      <c r="O27" s="54">
        <v>0</v>
      </c>
      <c r="P27" s="54">
        <v>0.51</v>
      </c>
      <c r="Q27" s="54">
        <v>9.08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12.41</v>
      </c>
      <c r="C28" s="54">
        <v>42.71</v>
      </c>
      <c r="D28" s="54">
        <v>34.81</v>
      </c>
      <c r="E28" s="54">
        <v>4.79</v>
      </c>
      <c r="F28" s="54">
        <v>14.56</v>
      </c>
      <c r="G28" s="54">
        <v>53.47</v>
      </c>
      <c r="H28" s="54">
        <v>16.91</v>
      </c>
      <c r="I28" s="54">
        <v>1.80</v>
      </c>
      <c r="J28" s="54">
        <v>0.27</v>
      </c>
      <c r="K28" s="54">
        <v>45.38</v>
      </c>
      <c r="L28" s="54">
        <v>26.90</v>
      </c>
      <c r="M28" s="54">
        <v>68.20</v>
      </c>
      <c r="N28" s="54">
        <v>20.100000000000001</v>
      </c>
      <c r="O28" s="54">
        <v>0</v>
      </c>
      <c r="P28" s="54">
        <v>0.88</v>
      </c>
      <c r="Q28" s="54">
        <v>12.46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12.39</v>
      </c>
      <c r="C29" s="54">
        <v>48.11</v>
      </c>
      <c r="D29" s="54">
        <v>37.78</v>
      </c>
      <c r="E29" s="54">
        <v>3.97</v>
      </c>
      <c r="F29" s="54">
        <v>10.27</v>
      </c>
      <c r="G29" s="54">
        <v>65.19</v>
      </c>
      <c r="H29" s="54">
        <v>19.66</v>
      </c>
      <c r="I29" s="54">
        <v>1.73</v>
      </c>
      <c r="J29" s="54">
        <v>0.25</v>
      </c>
      <c r="K29" s="54">
        <v>43.02</v>
      </c>
      <c r="L29" s="54">
        <v>26.66</v>
      </c>
      <c r="M29" s="54">
        <v>73.45</v>
      </c>
      <c r="N29" s="54">
        <v>20.100000000000001</v>
      </c>
      <c r="O29" s="54">
        <v>0</v>
      </c>
      <c r="P29" s="54">
        <v>0.96</v>
      </c>
      <c r="Q29" s="54">
        <v>13.20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11.15</v>
      </c>
      <c r="C30" s="54">
        <v>43.31</v>
      </c>
      <c r="D30" s="54">
        <v>34.14</v>
      </c>
      <c r="E30" s="54">
        <v>3.41</v>
      </c>
      <c r="F30" s="54">
        <v>6.10</v>
      </c>
      <c r="G30" s="54">
        <v>77.89</v>
      </c>
      <c r="H30" s="54">
        <v>22.66</v>
      </c>
      <c r="I30" s="54">
        <v>1.74</v>
      </c>
      <c r="J30" s="54">
        <v>0.24</v>
      </c>
      <c r="K30" s="54">
        <v>44.98</v>
      </c>
      <c r="L30" s="54">
        <v>25.86</v>
      </c>
      <c r="M30" s="54">
        <v>81.83</v>
      </c>
      <c r="N30" s="54">
        <v>20</v>
      </c>
      <c r="O30" s="54">
        <v>0</v>
      </c>
      <c r="P30" s="54">
        <v>0.69</v>
      </c>
      <c r="Q30" s="54">
        <v>11.91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9.1199999999999992</v>
      </c>
      <c r="C31" s="54">
        <v>38.909999999999997</v>
      </c>
      <c r="D31" s="54">
        <v>30.08</v>
      </c>
      <c r="E31" s="54">
        <v>3.87</v>
      </c>
      <c r="F31" s="54">
        <v>13.61</v>
      </c>
      <c r="G31" s="54">
        <v>68.569999999999993</v>
      </c>
      <c r="H31" s="54">
        <v>22.02</v>
      </c>
      <c r="I31" s="54">
        <v>1.69</v>
      </c>
      <c r="J31" s="54">
        <v>0.24</v>
      </c>
      <c r="K31" s="54">
        <v>54.27</v>
      </c>
      <c r="L31" s="54">
        <v>25.25</v>
      </c>
      <c r="M31" s="54">
        <v>83.08</v>
      </c>
      <c r="N31" s="54">
        <v>20</v>
      </c>
      <c r="O31" s="54">
        <v>0</v>
      </c>
      <c r="P31" s="54">
        <v>0.65</v>
      </c>
      <c r="Q31" s="54">
        <v>15.12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8.26</v>
      </c>
      <c r="C32" s="54">
        <v>34.729999999999997</v>
      </c>
      <c r="D32" s="54">
        <v>27.09</v>
      </c>
      <c r="E32" s="54">
        <v>5.29</v>
      </c>
      <c r="F32" s="54">
        <v>10.44</v>
      </c>
      <c r="G32" s="54">
        <v>64.83</v>
      </c>
      <c r="H32" s="54">
        <v>18.46</v>
      </c>
      <c r="I32" s="54">
        <v>1.74</v>
      </c>
      <c r="J32" s="54">
        <v>0.22</v>
      </c>
      <c r="K32" s="54">
        <v>45.49</v>
      </c>
      <c r="L32" s="54">
        <v>24.99</v>
      </c>
      <c r="M32" s="54">
        <v>82.57</v>
      </c>
      <c r="N32" s="54">
        <v>20.20</v>
      </c>
      <c r="O32" s="54">
        <v>0</v>
      </c>
      <c r="P32" s="54">
        <v>0.55000000000000004</v>
      </c>
      <c r="Q32" s="54">
        <v>15.65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4.7400000000000002</v>
      </c>
      <c r="C34" s="28">
        <f t="shared" si="0"/>
        <v>28.780000000000001</v>
      </c>
      <c r="D34" s="28">
        <f t="shared" si="0"/>
        <v>22.329999999999998</v>
      </c>
      <c r="E34" s="28">
        <f t="shared" si="0"/>
        <v>3.4100000000000001</v>
      </c>
      <c r="F34" s="28">
        <f t="shared" si="0"/>
        <v>3.3799999999999999</v>
      </c>
      <c r="G34" s="28">
        <f t="shared" si="0"/>
        <v>39.159999999999997</v>
      </c>
      <c r="H34" s="28">
        <f t="shared" si="0"/>
        <v>12.710000000000001</v>
      </c>
      <c r="I34" s="28">
        <f t="shared" si="0"/>
        <v>1.6899999999999999</v>
      </c>
      <c r="J34" s="28">
        <f t="shared" si="0"/>
        <v>0.14999999999999999</v>
      </c>
      <c r="K34" s="28">
        <f t="shared" si="0"/>
        <v>17.489999999999998</v>
      </c>
      <c r="L34" s="28">
        <f t="shared" si="0"/>
        <v>23.809999999999999</v>
      </c>
      <c r="M34" s="28">
        <f t="shared" si="0"/>
        <v>47.390000000000001</v>
      </c>
      <c r="N34" s="28">
        <f t="shared" si="0"/>
        <v>20</v>
      </c>
      <c r="O34" s="28">
        <f t="shared" si="0"/>
        <v>0</v>
      </c>
      <c r="P34" s="28">
        <f t="shared" si="0"/>
        <v>0.33000000000000002</v>
      </c>
      <c r="Q34" s="28">
        <f t="shared" si="0"/>
        <v>8.6199999999999992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13.94</v>
      </c>
      <c r="C35" s="29">
        <f t="shared" si="1"/>
        <v>48.109999999999999</v>
      </c>
      <c r="D35" s="29">
        <f t="shared" si="1"/>
        <v>37.780000000000001</v>
      </c>
      <c r="E35" s="29">
        <f t="shared" si="1"/>
        <v>5.5999999999999996</v>
      </c>
      <c r="F35" s="29">
        <f t="shared" si="1"/>
        <v>14.56</v>
      </c>
      <c r="G35" s="29">
        <f t="shared" si="1"/>
        <v>77.890000000000001</v>
      </c>
      <c r="H35" s="29">
        <f t="shared" si="1"/>
        <v>22.66</v>
      </c>
      <c r="I35" s="29">
        <f t="shared" si="1"/>
        <v>1.8</v>
      </c>
      <c r="J35" s="29">
        <f t="shared" si="1"/>
        <v>1.02</v>
      </c>
      <c r="K35" s="29">
        <f t="shared" si="1"/>
        <v>359.36000000000001</v>
      </c>
      <c r="L35" s="29">
        <f t="shared" si="1"/>
        <v>33.090000000000003</v>
      </c>
      <c r="M35" s="29">
        <f t="shared" si="1"/>
        <v>95.290000000000006</v>
      </c>
      <c r="N35" s="29">
        <f t="shared" si="1"/>
        <v>999.89999999999998</v>
      </c>
      <c r="O35" s="29">
        <f t="shared" si="1"/>
        <v>0</v>
      </c>
      <c r="P35" s="29">
        <f t="shared" si="1"/>
        <v>0.95999999999999996</v>
      </c>
      <c r="Q35" s="29">
        <f t="shared" si="1"/>
        <v>16.359999999999999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8.6241666666666656</v>
      </c>
      <c r="C36" s="28">
        <f t="shared" si="2"/>
        <v>36.894583333333337</v>
      </c>
      <c r="D36" s="28">
        <f t="shared" si="2"/>
        <v>28.385000000000005</v>
      </c>
      <c r="E36" s="28">
        <f t="shared" si="2"/>
        <v>4.6350000000000007</v>
      </c>
      <c r="F36" s="28">
        <f t="shared" si="2"/>
        <v>7.229166666666667</v>
      </c>
      <c r="G36" s="28">
        <f t="shared" si="2"/>
        <v>55.416666666666664</v>
      </c>
      <c r="H36" s="28">
        <f t="shared" si="2"/>
        <v>17.401250000000001</v>
      </c>
      <c r="I36" s="28">
        <f t="shared" si="2"/>
        <v>1.7324999999999999</v>
      </c>
      <c r="J36" s="28">
        <f t="shared" si="2"/>
        <v>0.43208333333333337</v>
      </c>
      <c r="K36" s="28">
        <f t="shared" si="2"/>
        <v>135.49541666666667</v>
      </c>
      <c r="L36" s="28">
        <f t="shared" si="2"/>
        <v>27.95333333333333</v>
      </c>
      <c r="M36" s="28">
        <f t="shared" si="2"/>
        <v>71.845416666666665</v>
      </c>
      <c r="N36" s="28">
        <f t="shared" si="2"/>
        <v>309.13333333333327</v>
      </c>
      <c r="O36" s="28">
        <f t="shared" si="2"/>
        <v>0</v>
      </c>
      <c r="P36" s="28">
        <f t="shared" si="2"/>
        <v>0.53791666666666671</v>
      </c>
      <c r="Q36" s="28">
        <f t="shared" si="2"/>
        <v>12.842916666666669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2.7676955045302765</v>
      </c>
      <c r="C37" s="28">
        <f t="shared" si="3" ref="C37:Q37">STDEV(C9:C32)</f>
        <v>4.5814408016300243</v>
      </c>
      <c r="D37" s="28">
        <f t="shared" si="3"/>
        <v>3.9476905741920789</v>
      </c>
      <c r="E37" s="28">
        <f t="shared" si="3"/>
        <v>0.6360407424740524</v>
      </c>
      <c r="F37" s="28">
        <f t="shared" si="3"/>
        <v>2.9910866378897021</v>
      </c>
      <c r="G37" s="28">
        <f t="shared" si="3"/>
        <v>10.04070570301176</v>
      </c>
      <c r="H37" s="28">
        <f t="shared" si="3"/>
        <v>2.4783292276994739</v>
      </c>
      <c r="I37" s="28">
        <f t="shared" si="3"/>
        <v>0.027701828537983326</v>
      </c>
      <c r="J37" s="28">
        <f t="shared" si="3"/>
        <v>0.27538082985072748</v>
      </c>
      <c r="K37" s="28">
        <f t="shared" si="3"/>
        <v>145.85179410379945</v>
      </c>
      <c r="L37" s="28">
        <f t="shared" si="3"/>
        <v>3.2810995859245145</v>
      </c>
      <c r="M37" s="28">
        <f t="shared" si="3"/>
        <v>15.716644176371322</v>
      </c>
      <c r="N37" s="28">
        <f t="shared" si="3"/>
        <v>370.2515650868682</v>
      </c>
      <c r="O37" s="28">
        <f t="shared" si="3"/>
        <v>0</v>
      </c>
      <c r="P37" s="28">
        <f t="shared" si="3"/>
        <v>0.14995591139504555</v>
      </c>
      <c r="Q37" s="28">
        <f t="shared" si="3"/>
        <v>2.2970992656460933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77de7d-5ae7-4468-9652-5afe225d2e7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5" sqref="H65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7.70</v>
      </c>
      <c r="C9" s="54">
        <v>33.72</v>
      </c>
      <c r="D9" s="54">
        <v>26.08</v>
      </c>
      <c r="E9" s="54">
        <v>5.24</v>
      </c>
      <c r="F9" s="54">
        <v>6.22</v>
      </c>
      <c r="G9" s="54">
        <v>55.69</v>
      </c>
      <c r="H9" s="54">
        <v>17.22</v>
      </c>
      <c r="I9" s="54">
        <v>1.68</v>
      </c>
      <c r="J9" s="54">
        <v>0.19</v>
      </c>
      <c r="K9" s="54">
        <v>45.18</v>
      </c>
      <c r="L9" s="54">
        <v>24.78</v>
      </c>
      <c r="M9" s="54">
        <v>85.43</v>
      </c>
      <c r="N9" s="54">
        <v>20.100000000000001</v>
      </c>
      <c r="O9" s="54">
        <v>0</v>
      </c>
      <c r="P9" s="54">
        <v>0.5</v>
      </c>
      <c r="Q9" s="54">
        <v>12.63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6.67</v>
      </c>
      <c r="C10" s="54">
        <v>33</v>
      </c>
      <c r="D10" s="54">
        <v>24.85</v>
      </c>
      <c r="E10" s="54">
        <v>5.38</v>
      </c>
      <c r="F10" s="54">
        <v>13.40</v>
      </c>
      <c r="G10" s="54">
        <v>47.12</v>
      </c>
      <c r="H10" s="54">
        <v>13.33</v>
      </c>
      <c r="I10" s="54">
        <v>1.70</v>
      </c>
      <c r="J10" s="54">
        <v>0.21</v>
      </c>
      <c r="K10" s="54">
        <v>44.17</v>
      </c>
      <c r="L10" s="54">
        <v>24.40</v>
      </c>
      <c r="M10" s="54">
        <v>87.51</v>
      </c>
      <c r="N10" s="54">
        <v>20.20</v>
      </c>
      <c r="O10" s="54">
        <v>0</v>
      </c>
      <c r="P10" s="54">
        <v>0.42</v>
      </c>
      <c r="Q10" s="54">
        <v>15.24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7.14</v>
      </c>
      <c r="C11" s="54">
        <v>30.75</v>
      </c>
      <c r="D11" s="54">
        <v>23.99</v>
      </c>
      <c r="E11" s="54">
        <v>5.58</v>
      </c>
      <c r="F11" s="54">
        <v>12.25</v>
      </c>
      <c r="G11" s="54">
        <v>39.82</v>
      </c>
      <c r="H11" s="54">
        <v>13.54</v>
      </c>
      <c r="I11" s="54">
        <v>1.71</v>
      </c>
      <c r="J11" s="54">
        <v>0.18</v>
      </c>
      <c r="K11" s="54">
        <v>46.84</v>
      </c>
      <c r="L11" s="54">
        <v>24.12</v>
      </c>
      <c r="M11" s="54">
        <v>91.05</v>
      </c>
      <c r="N11" s="54">
        <v>20.100000000000001</v>
      </c>
      <c r="O11" s="54">
        <v>0</v>
      </c>
      <c r="P11" s="54">
        <v>0.37</v>
      </c>
      <c r="Q11" s="54">
        <v>16.149999999999999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6.95</v>
      </c>
      <c r="C12" s="54">
        <v>31.56</v>
      </c>
      <c r="D12" s="54">
        <v>24.28</v>
      </c>
      <c r="E12" s="54">
        <v>5.70</v>
      </c>
      <c r="F12" s="54">
        <v>5.01</v>
      </c>
      <c r="G12" s="54">
        <v>37.36</v>
      </c>
      <c r="H12" s="54">
        <v>11.67</v>
      </c>
      <c r="I12" s="54">
        <v>1.75</v>
      </c>
      <c r="J12" s="54">
        <v>0.15</v>
      </c>
      <c r="K12" s="54">
        <v>54.49</v>
      </c>
      <c r="L12" s="54">
        <v>23.76</v>
      </c>
      <c r="M12" s="54">
        <v>92.10</v>
      </c>
      <c r="N12" s="54">
        <v>20.20</v>
      </c>
      <c r="O12" s="54">
        <v>0</v>
      </c>
      <c r="P12" s="54">
        <v>0.35</v>
      </c>
      <c r="Q12" s="54">
        <v>13.16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6.46</v>
      </c>
      <c r="C13" s="54">
        <v>30.77</v>
      </c>
      <c r="D13" s="54">
        <v>23.45</v>
      </c>
      <c r="E13" s="54">
        <v>4.70</v>
      </c>
      <c r="F13" s="54">
        <v>10.93</v>
      </c>
      <c r="G13" s="54">
        <v>36.840000000000003</v>
      </c>
      <c r="H13" s="54">
        <v>12.05</v>
      </c>
      <c r="I13" s="54">
        <v>1.72</v>
      </c>
      <c r="J13" s="54">
        <v>0.15</v>
      </c>
      <c r="K13" s="54">
        <v>44.01</v>
      </c>
      <c r="L13" s="54">
        <v>23.55</v>
      </c>
      <c r="M13" s="54">
        <v>93.47</v>
      </c>
      <c r="N13" s="54">
        <v>20.100000000000001</v>
      </c>
      <c r="O13" s="54">
        <v>0</v>
      </c>
      <c r="P13" s="54">
        <v>0.28999999999999998</v>
      </c>
      <c r="Q13" s="54">
        <v>16.170000000000002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8.36</v>
      </c>
      <c r="C14" s="54">
        <v>31.74</v>
      </c>
      <c r="D14" s="54">
        <v>25.51</v>
      </c>
      <c r="E14" s="54">
        <v>5</v>
      </c>
      <c r="F14" s="54">
        <v>7.55</v>
      </c>
      <c r="G14" s="54">
        <v>37.11</v>
      </c>
      <c r="H14" s="54">
        <v>12.69</v>
      </c>
      <c r="I14" s="54">
        <v>1.77</v>
      </c>
      <c r="J14" s="54">
        <v>0.21</v>
      </c>
      <c r="K14" s="54">
        <v>41.68</v>
      </c>
      <c r="L14" s="54">
        <v>23.24</v>
      </c>
      <c r="M14" s="54">
        <v>93.78</v>
      </c>
      <c r="N14" s="54">
        <v>35.90</v>
      </c>
      <c r="O14" s="54">
        <v>0</v>
      </c>
      <c r="P14" s="54">
        <v>0.28999999999999998</v>
      </c>
      <c r="Q14" s="54">
        <v>16.53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8.86</v>
      </c>
      <c r="C15" s="54">
        <v>33.94</v>
      </c>
      <c r="D15" s="54">
        <v>27.04</v>
      </c>
      <c r="E15" s="54">
        <v>4.70</v>
      </c>
      <c r="F15" s="54">
        <v>3.64</v>
      </c>
      <c r="G15" s="54">
        <v>35.909999999999997</v>
      </c>
      <c r="H15" s="54">
        <v>11.37</v>
      </c>
      <c r="I15" s="54">
        <v>1.73</v>
      </c>
      <c r="J15" s="54">
        <v>0.23</v>
      </c>
      <c r="K15" s="54">
        <v>40.69</v>
      </c>
      <c r="L15" s="54">
        <v>24.34</v>
      </c>
      <c r="M15" s="54">
        <v>92.61</v>
      </c>
      <c r="N15" s="54">
        <v>152.60</v>
      </c>
      <c r="O15" s="54">
        <v>0</v>
      </c>
      <c r="P15" s="54">
        <v>0.30</v>
      </c>
      <c r="Q15" s="54">
        <v>13.69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8.8699999999999992</v>
      </c>
      <c r="C16" s="54">
        <v>34.020000000000003</v>
      </c>
      <c r="D16" s="54">
        <v>27.11</v>
      </c>
      <c r="E16" s="54">
        <v>5.25</v>
      </c>
      <c r="F16" s="54">
        <v>4.3499999999999996</v>
      </c>
      <c r="G16" s="54">
        <v>32.54</v>
      </c>
      <c r="H16" s="54">
        <v>10.99</v>
      </c>
      <c r="I16" s="54">
        <v>1.76</v>
      </c>
      <c r="J16" s="54">
        <v>0.33</v>
      </c>
      <c r="K16" s="54">
        <v>41.04</v>
      </c>
      <c r="L16" s="54">
        <v>25.40</v>
      </c>
      <c r="M16" s="54">
        <v>84.06</v>
      </c>
      <c r="N16" s="54">
        <v>380.20</v>
      </c>
      <c r="O16" s="54">
        <v>0</v>
      </c>
      <c r="P16" s="54">
        <v>0.34</v>
      </c>
      <c r="Q16" s="54">
        <v>14.92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8.89</v>
      </c>
      <c r="C17" s="54">
        <v>35.58</v>
      </c>
      <c r="D17" s="54">
        <v>28.05</v>
      </c>
      <c r="E17" s="54">
        <v>5.87</v>
      </c>
      <c r="F17" s="54">
        <v>4</v>
      </c>
      <c r="G17" s="54">
        <v>39.58</v>
      </c>
      <c r="H17" s="54">
        <v>13.03</v>
      </c>
      <c r="I17" s="54">
        <v>1.76</v>
      </c>
      <c r="J17" s="54">
        <v>0.36</v>
      </c>
      <c r="K17" s="54">
        <v>35.549999999999997</v>
      </c>
      <c r="L17" s="54">
        <v>28.52</v>
      </c>
      <c r="M17" s="54">
        <v>74.239999999999995</v>
      </c>
      <c r="N17" s="54">
        <v>649.40</v>
      </c>
      <c r="O17" s="54">
        <v>0</v>
      </c>
      <c r="P17" s="54">
        <v>0.56999999999999995</v>
      </c>
      <c r="Q17" s="54">
        <v>14.96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8.6300000000000008</v>
      </c>
      <c r="C18" s="54">
        <v>38.700000000000003</v>
      </c>
      <c r="D18" s="54">
        <v>29.06</v>
      </c>
      <c r="E18" s="54">
        <v>4.93</v>
      </c>
      <c r="F18" s="54">
        <v>3.74</v>
      </c>
      <c r="G18" s="54">
        <v>50.17</v>
      </c>
      <c r="H18" s="54">
        <v>13.98</v>
      </c>
      <c r="I18" s="54">
        <v>1.81</v>
      </c>
      <c r="J18" s="54">
        <v>0.44</v>
      </c>
      <c r="K18" s="54">
        <v>37.01</v>
      </c>
      <c r="L18" s="54">
        <v>29.57</v>
      </c>
      <c r="M18" s="54">
        <v>64.900000000000006</v>
      </c>
      <c r="N18" s="54">
        <v>740.30</v>
      </c>
      <c r="O18" s="54">
        <v>0</v>
      </c>
      <c r="P18" s="54">
        <v>0.73</v>
      </c>
      <c r="Q18" s="54">
        <v>12.08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7.12</v>
      </c>
      <c r="C19" s="54">
        <v>40.86</v>
      </c>
      <c r="D19" s="54">
        <v>29.53</v>
      </c>
      <c r="E19" s="54">
        <v>5.30</v>
      </c>
      <c r="F19" s="54">
        <v>5.60</v>
      </c>
      <c r="G19" s="54">
        <v>54.18</v>
      </c>
      <c r="H19" s="54">
        <v>15.77</v>
      </c>
      <c r="I19" s="54">
        <v>1.74</v>
      </c>
      <c r="J19" s="54">
        <v>0.34</v>
      </c>
      <c r="K19" s="54">
        <v>38.590000000000003</v>
      </c>
      <c r="L19" s="54">
        <v>29.63</v>
      </c>
      <c r="M19" s="54">
        <v>64.75</v>
      </c>
      <c r="N19" s="54">
        <v>926.60</v>
      </c>
      <c r="O19" s="54">
        <v>0</v>
      </c>
      <c r="P19" s="54">
        <v>0.77</v>
      </c>
      <c r="Q19" s="54">
        <v>13.51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5.80</v>
      </c>
      <c r="C20" s="54">
        <v>40.56</v>
      </c>
      <c r="D20" s="54">
        <v>27.82</v>
      </c>
      <c r="E20" s="54">
        <v>5.67</v>
      </c>
      <c r="F20" s="54">
        <v>6.17</v>
      </c>
      <c r="G20" s="54">
        <v>56.62</v>
      </c>
      <c r="H20" s="54">
        <v>16.20</v>
      </c>
      <c r="I20" s="54">
        <v>1.72</v>
      </c>
      <c r="J20" s="54">
        <v>0.21</v>
      </c>
      <c r="K20" s="54">
        <v>37.68</v>
      </c>
      <c r="L20" s="54">
        <v>30.11</v>
      </c>
      <c r="M20" s="54">
        <v>57.40</v>
      </c>
      <c r="N20" s="54">
        <v>1034.0999999999999</v>
      </c>
      <c r="O20" s="54">
        <v>0</v>
      </c>
      <c r="P20" s="54">
        <v>0.72</v>
      </c>
      <c r="Q20" s="54">
        <v>13.05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3.43</v>
      </c>
      <c r="C21" s="54">
        <v>37.049999999999997</v>
      </c>
      <c r="D21" s="54">
        <v>24.49</v>
      </c>
      <c r="E21" s="54">
        <v>3.33</v>
      </c>
      <c r="F21" s="54">
        <v>7.06</v>
      </c>
      <c r="G21" s="54">
        <v>58.49</v>
      </c>
      <c r="H21" s="54">
        <v>19.38</v>
      </c>
      <c r="I21" s="54">
        <v>1.71</v>
      </c>
      <c r="J21" s="54">
        <v>0.41</v>
      </c>
      <c r="K21" s="54">
        <v>46</v>
      </c>
      <c r="L21" s="54">
        <v>29.38</v>
      </c>
      <c r="M21" s="54">
        <v>59.12</v>
      </c>
      <c r="N21" s="54">
        <v>878.40</v>
      </c>
      <c r="O21" s="54">
        <v>0</v>
      </c>
      <c r="P21" s="54">
        <v>0.59</v>
      </c>
      <c r="Q21" s="54">
        <v>7.77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3.62</v>
      </c>
      <c r="C22" s="54">
        <v>34.090000000000003</v>
      </c>
      <c r="D22" s="54">
        <v>23.01</v>
      </c>
      <c r="E22" s="54">
        <v>3.78</v>
      </c>
      <c r="F22" s="54">
        <v>8.34</v>
      </c>
      <c r="G22" s="54">
        <v>58.45</v>
      </c>
      <c r="H22" s="54">
        <v>16</v>
      </c>
      <c r="I22" s="54">
        <v>1.75</v>
      </c>
      <c r="J22" s="54">
        <v>0.26</v>
      </c>
      <c r="K22" s="54">
        <v>212.97</v>
      </c>
      <c r="L22" s="54">
        <v>30.14</v>
      </c>
      <c r="M22" s="54">
        <v>56.46</v>
      </c>
      <c r="N22" s="54">
        <v>907.80</v>
      </c>
      <c r="O22" s="54">
        <v>0</v>
      </c>
      <c r="P22" s="54">
        <v>0.46</v>
      </c>
      <c r="Q22" s="54">
        <v>9.2200000000000006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3.07</v>
      </c>
      <c r="C23" s="54">
        <v>33.880000000000003</v>
      </c>
      <c r="D23" s="54">
        <v>22.45</v>
      </c>
      <c r="E23" s="54">
        <v>3.41</v>
      </c>
      <c r="F23" s="54">
        <v>6.54</v>
      </c>
      <c r="G23" s="54">
        <v>55.66</v>
      </c>
      <c r="H23" s="54">
        <v>14.46</v>
      </c>
      <c r="I23" s="54">
        <v>1.75</v>
      </c>
      <c r="J23" s="54">
        <v>0.38</v>
      </c>
      <c r="K23" s="54">
        <v>255.39</v>
      </c>
      <c r="L23" s="54">
        <v>29.84</v>
      </c>
      <c r="M23" s="54">
        <v>55.87</v>
      </c>
      <c r="N23" s="54">
        <v>718.20</v>
      </c>
      <c r="O23" s="54">
        <v>0</v>
      </c>
      <c r="P23" s="54">
        <v>0.41</v>
      </c>
      <c r="Q23" s="54">
        <v>9.4499999999999993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2.97</v>
      </c>
      <c r="C24" s="54">
        <v>33.549999999999997</v>
      </c>
      <c r="D24" s="54">
        <v>22.07</v>
      </c>
      <c r="E24" s="54">
        <v>3.56</v>
      </c>
      <c r="F24" s="54">
        <v>6.75</v>
      </c>
      <c r="G24" s="54">
        <v>45.83</v>
      </c>
      <c r="H24" s="54">
        <v>15.40</v>
      </c>
      <c r="I24" s="54">
        <v>1.77</v>
      </c>
      <c r="J24" s="54">
        <v>0.38</v>
      </c>
      <c r="K24" s="54">
        <v>356.18</v>
      </c>
      <c r="L24" s="54">
        <v>29.61</v>
      </c>
      <c r="M24" s="54">
        <v>58.13</v>
      </c>
      <c r="N24" s="54">
        <v>330.90</v>
      </c>
      <c r="O24" s="54">
        <v>0</v>
      </c>
      <c r="P24" s="54">
        <v>0.37</v>
      </c>
      <c r="Q24" s="54">
        <v>6.73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6.07</v>
      </c>
      <c r="C25" s="54">
        <v>35.840000000000003</v>
      </c>
      <c r="D25" s="54">
        <v>25.14</v>
      </c>
      <c r="E25" s="54">
        <v>4.91</v>
      </c>
      <c r="F25" s="54">
        <v>15.30</v>
      </c>
      <c r="G25" s="54">
        <v>47.37</v>
      </c>
      <c r="H25" s="54">
        <v>16.329999999999998</v>
      </c>
      <c r="I25" s="54">
        <v>1.72</v>
      </c>
      <c r="J25" s="54">
        <v>0.37</v>
      </c>
      <c r="K25" s="54">
        <v>38.11</v>
      </c>
      <c r="L25" s="54">
        <v>28.73</v>
      </c>
      <c r="M25" s="54">
        <v>60.39</v>
      </c>
      <c r="N25" s="54">
        <v>168.5</v>
      </c>
      <c r="O25" s="54">
        <v>0</v>
      </c>
      <c r="P25" s="54">
        <v>0.41</v>
      </c>
      <c r="Q25" s="54">
        <v>9.94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5.85</v>
      </c>
      <c r="C26" s="54">
        <v>35.85</v>
      </c>
      <c r="D26" s="54">
        <v>25.76</v>
      </c>
      <c r="E26" s="54">
        <v>4.82</v>
      </c>
      <c r="F26" s="54">
        <v>6.05</v>
      </c>
      <c r="G26" s="54">
        <v>47.24</v>
      </c>
      <c r="H26" s="54">
        <v>16.95</v>
      </c>
      <c r="I26" s="54">
        <v>1.74</v>
      </c>
      <c r="J26" s="54">
        <v>0.22</v>
      </c>
      <c r="K26" s="54">
        <v>49.03</v>
      </c>
      <c r="L26" s="54">
        <v>28.05</v>
      </c>
      <c r="M26" s="54">
        <v>64.959999999999994</v>
      </c>
      <c r="N26" s="54">
        <v>101.40</v>
      </c>
      <c r="O26" s="54">
        <v>0</v>
      </c>
      <c r="P26" s="54">
        <v>0.43</v>
      </c>
      <c r="Q26" s="54">
        <v>10.15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5.45</v>
      </c>
      <c r="C27" s="54">
        <v>34.520000000000003</v>
      </c>
      <c r="D27" s="54">
        <v>24.44</v>
      </c>
      <c r="E27" s="54">
        <v>3.94</v>
      </c>
      <c r="F27" s="54">
        <v>11.66</v>
      </c>
      <c r="G27" s="54">
        <v>51.21</v>
      </c>
      <c r="H27" s="54">
        <v>16.38</v>
      </c>
      <c r="I27" s="54">
        <v>1.74</v>
      </c>
      <c r="J27" s="54">
        <v>0.18</v>
      </c>
      <c r="K27" s="54">
        <v>214.39</v>
      </c>
      <c r="L27" s="54">
        <v>27.33</v>
      </c>
      <c r="M27" s="54">
        <v>67.209999999999994</v>
      </c>
      <c r="N27" s="54">
        <v>33.40</v>
      </c>
      <c r="O27" s="54">
        <v>0</v>
      </c>
      <c r="P27" s="54">
        <v>0.53</v>
      </c>
      <c r="Q27" s="54">
        <v>9.07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8.3800000000000008</v>
      </c>
      <c r="C28" s="54">
        <v>35.94</v>
      </c>
      <c r="D28" s="54">
        <v>27.42</v>
      </c>
      <c r="E28" s="54">
        <v>4.20</v>
      </c>
      <c r="F28" s="54">
        <v>10.72</v>
      </c>
      <c r="G28" s="54">
        <v>50.93</v>
      </c>
      <c r="H28" s="54">
        <v>16.87</v>
      </c>
      <c r="I28" s="54">
        <v>1.74</v>
      </c>
      <c r="J28" s="54">
        <v>0.28000000000000003</v>
      </c>
      <c r="K28" s="54">
        <v>353.22</v>
      </c>
      <c r="L28" s="54">
        <v>26.96</v>
      </c>
      <c r="M28" s="54">
        <v>72.150000000000006</v>
      </c>
      <c r="N28" s="54">
        <v>22.5</v>
      </c>
      <c r="O28" s="54">
        <v>0</v>
      </c>
      <c r="P28" s="54">
        <v>0.56999999999999995</v>
      </c>
      <c r="Q28" s="54">
        <v>13.5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14.08</v>
      </c>
      <c r="C29" s="54">
        <v>36.76</v>
      </c>
      <c r="D29" s="54">
        <v>32.08</v>
      </c>
      <c r="E29" s="54">
        <v>4.07</v>
      </c>
      <c r="F29" s="54">
        <v>4.79</v>
      </c>
      <c r="G29" s="54">
        <v>51.03</v>
      </c>
      <c r="H29" s="54">
        <v>14.11</v>
      </c>
      <c r="I29" s="54">
        <v>1.75</v>
      </c>
      <c r="J29" s="54">
        <v>0.27</v>
      </c>
      <c r="K29" s="54">
        <v>47.72</v>
      </c>
      <c r="L29" s="54">
        <v>26.47</v>
      </c>
      <c r="M29" s="54">
        <v>74.14</v>
      </c>
      <c r="N29" s="54">
        <v>22.40</v>
      </c>
      <c r="O29" s="54">
        <v>0</v>
      </c>
      <c r="P29" s="54">
        <v>0.55000000000000004</v>
      </c>
      <c r="Q29" s="54">
        <v>13.12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14.43</v>
      </c>
      <c r="C30" s="54">
        <v>37.090000000000003</v>
      </c>
      <c r="D30" s="54">
        <v>33.33</v>
      </c>
      <c r="E30" s="54">
        <v>3.91</v>
      </c>
      <c r="F30" s="54">
        <v>10.09</v>
      </c>
      <c r="G30" s="54">
        <v>53.37</v>
      </c>
      <c r="H30" s="54">
        <v>12.48</v>
      </c>
      <c r="I30" s="54">
        <v>1.75</v>
      </c>
      <c r="J30" s="54">
        <v>0.21</v>
      </c>
      <c r="K30" s="54">
        <v>49.63</v>
      </c>
      <c r="L30" s="54">
        <v>26.20</v>
      </c>
      <c r="M30" s="54">
        <v>77.349999999999994</v>
      </c>
      <c r="N30" s="54">
        <v>22.30</v>
      </c>
      <c r="O30" s="54">
        <v>0</v>
      </c>
      <c r="P30" s="54">
        <v>0.56000000000000005</v>
      </c>
      <c r="Q30" s="54">
        <v>13.46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15.20</v>
      </c>
      <c r="C31" s="54">
        <v>32.19</v>
      </c>
      <c r="D31" s="54">
        <v>29.34</v>
      </c>
      <c r="E31" s="54">
        <v>3.84</v>
      </c>
      <c r="F31" s="54">
        <v>11.38</v>
      </c>
      <c r="G31" s="54">
        <v>53.68</v>
      </c>
      <c r="H31" s="54">
        <v>15.92</v>
      </c>
      <c r="I31" s="54">
        <v>1.75</v>
      </c>
      <c r="J31" s="54">
        <v>0.72</v>
      </c>
      <c r="K31" s="54">
        <v>40.29</v>
      </c>
      <c r="L31" s="54">
        <v>25.86</v>
      </c>
      <c r="M31" s="54">
        <v>80.349999999999994</v>
      </c>
      <c r="N31" s="54">
        <v>22.5</v>
      </c>
      <c r="O31" s="54">
        <v>0</v>
      </c>
      <c r="P31" s="54">
        <v>0.60</v>
      </c>
      <c r="Q31" s="54">
        <v>15.52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13.35</v>
      </c>
      <c r="C32" s="54">
        <v>34.18</v>
      </c>
      <c r="D32" s="54">
        <v>30.56</v>
      </c>
      <c r="E32" s="54">
        <v>4.4800000000000004</v>
      </c>
      <c r="F32" s="54">
        <v>5.27</v>
      </c>
      <c r="G32" s="54">
        <v>50.10</v>
      </c>
      <c r="H32" s="54">
        <v>12.87</v>
      </c>
      <c r="I32" s="54">
        <v>1.76</v>
      </c>
      <c r="J32" s="54">
        <v>0.79</v>
      </c>
      <c r="K32" s="54">
        <v>359.21</v>
      </c>
      <c r="L32" s="54">
        <v>25.23</v>
      </c>
      <c r="M32" s="54">
        <v>80.19</v>
      </c>
      <c r="N32" s="54">
        <v>22.60</v>
      </c>
      <c r="O32" s="54">
        <v>0</v>
      </c>
      <c r="P32" s="54">
        <v>0.53</v>
      </c>
      <c r="Q32" s="54">
        <v>14.34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2.9700000000000002</v>
      </c>
      <c r="C34" s="28">
        <f t="shared" si="0"/>
        <v>30.75</v>
      </c>
      <c r="D34" s="28">
        <f t="shared" si="0"/>
        <v>22.07</v>
      </c>
      <c r="E34" s="28">
        <f t="shared" si="0"/>
        <v>3.3300000000000001</v>
      </c>
      <c r="F34" s="28">
        <f t="shared" si="0"/>
        <v>3.6400000000000001</v>
      </c>
      <c r="G34" s="28">
        <f t="shared" si="0"/>
        <v>32.539999999999999</v>
      </c>
      <c r="H34" s="28">
        <f t="shared" si="0"/>
        <v>10.99</v>
      </c>
      <c r="I34" s="28">
        <f t="shared" si="0"/>
        <v>1.6799999999999999</v>
      </c>
      <c r="J34" s="28">
        <f t="shared" si="0"/>
        <v>0.14999999999999999</v>
      </c>
      <c r="K34" s="28">
        <f t="shared" si="0"/>
        <v>35.549999999999997</v>
      </c>
      <c r="L34" s="28">
        <f t="shared" si="0"/>
        <v>23.239999999999998</v>
      </c>
      <c r="M34" s="28">
        <f t="shared" si="0"/>
        <v>55.869999999999997</v>
      </c>
      <c r="N34" s="28">
        <f t="shared" si="0"/>
        <v>20.100000000000001</v>
      </c>
      <c r="O34" s="28">
        <f t="shared" si="0"/>
        <v>0</v>
      </c>
      <c r="P34" s="28">
        <f t="shared" si="0"/>
        <v>0.28999999999999998</v>
      </c>
      <c r="Q34" s="28">
        <f t="shared" si="0"/>
        <v>6.7300000000000004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15.199999999999999</v>
      </c>
      <c r="C35" s="29">
        <f t="shared" si="1"/>
        <v>40.859999999999999</v>
      </c>
      <c r="D35" s="29">
        <f t="shared" si="1"/>
        <v>33.329999999999998</v>
      </c>
      <c r="E35" s="29">
        <f t="shared" si="1"/>
        <v>5.8700000000000001</v>
      </c>
      <c r="F35" s="29">
        <f t="shared" si="1"/>
        <v>15.300000000000001</v>
      </c>
      <c r="G35" s="29">
        <f t="shared" si="1"/>
        <v>58.490000000000002</v>
      </c>
      <c r="H35" s="29">
        <f t="shared" si="1"/>
        <v>19.379999999999999</v>
      </c>
      <c r="I35" s="29">
        <f t="shared" si="1"/>
        <v>1.8100000000000001</v>
      </c>
      <c r="J35" s="29">
        <f t="shared" si="1"/>
        <v>0.79000000000000004</v>
      </c>
      <c r="K35" s="29">
        <f t="shared" si="1"/>
        <v>359.20999999999998</v>
      </c>
      <c r="L35" s="29">
        <f t="shared" si="1"/>
        <v>30.140000000000001</v>
      </c>
      <c r="M35" s="29">
        <f t="shared" si="1"/>
        <v>93.780000000000001</v>
      </c>
      <c r="N35" s="29">
        <f t="shared" si="1"/>
        <v>1034.0999999999999</v>
      </c>
      <c r="O35" s="29">
        <f t="shared" si="1"/>
        <v>0</v>
      </c>
      <c r="P35" s="29">
        <f t="shared" si="1"/>
        <v>0.77000000000000002</v>
      </c>
      <c r="Q35" s="29">
        <f t="shared" si="1"/>
        <v>16.530000000000001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7.8062500000000012</v>
      </c>
      <c r="C36" s="28">
        <f t="shared" si="2"/>
        <v>34.839166666666664</v>
      </c>
      <c r="D36" s="28">
        <f t="shared" si="2"/>
        <v>26.535833333333333</v>
      </c>
      <c r="E36" s="28">
        <f t="shared" si="2"/>
        <v>4.6487500000000006</v>
      </c>
      <c r="F36" s="28">
        <f t="shared" si="2"/>
        <v>7.7837500000000004</v>
      </c>
      <c r="G36" s="28">
        <f t="shared" si="2"/>
        <v>47.762499999999996</v>
      </c>
      <c r="H36" s="28">
        <f t="shared" si="2"/>
        <v>14.541250000000003</v>
      </c>
      <c r="I36" s="28">
        <f t="shared" si="2"/>
        <v>1.740833333333333</v>
      </c>
      <c r="J36" s="28">
        <f t="shared" si="2"/>
        <v>0.31124999999999997</v>
      </c>
      <c r="K36" s="28">
        <f t="shared" si="2"/>
        <v>105.37791666666668</v>
      </c>
      <c r="L36" s="28">
        <f t="shared" si="2"/>
        <v>26.884166666666673</v>
      </c>
      <c r="M36" s="28">
        <f t="shared" si="2"/>
        <v>74.484166666666667</v>
      </c>
      <c r="N36" s="28">
        <f t="shared" si="2"/>
        <v>302.94583333333327</v>
      </c>
      <c r="O36" s="28">
        <f t="shared" si="2"/>
        <v>0</v>
      </c>
      <c r="P36" s="28">
        <f t="shared" si="2"/>
        <v>0.48583333333333334</v>
      </c>
      <c r="Q36" s="28">
        <f t="shared" si="2"/>
        <v>12.681666666666663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3.4706493722670086</v>
      </c>
      <c r="C37" s="28">
        <f t="shared" si="3" ref="C37:Q37">STDEV(C9:C32)</f>
        <v>2.7327449437399447</v>
      </c>
      <c r="D37" s="28">
        <f t="shared" si="3"/>
        <v>2.9999390090418472</v>
      </c>
      <c r="E37" s="28">
        <f t="shared" si="3"/>
        <v>0.77914843425927793</v>
      </c>
      <c r="F37" s="28">
        <f t="shared" si="3"/>
        <v>3.3538683862331142</v>
      </c>
      <c r="G37" s="28">
        <f t="shared" si="3"/>
        <v>7.891324487936882</v>
      </c>
      <c r="H37" s="28">
        <f t="shared" si="3"/>
        <v>2.1896124582654353</v>
      </c>
      <c r="I37" s="28">
        <f t="shared" si="3"/>
        <v>0.027013147630876665</v>
      </c>
      <c r="J37" s="28">
        <f t="shared" si="3"/>
        <v>0.16171129669340017</v>
      </c>
      <c r="K37" s="28">
        <f t="shared" si="3"/>
        <v>115.10741202966325</v>
      </c>
      <c r="L37" s="28">
        <f t="shared" si="3"/>
        <v>2.3892820763944367</v>
      </c>
      <c r="M37" s="28">
        <f t="shared" si="3"/>
        <v>13.357439521843588</v>
      </c>
      <c r="N37" s="28">
        <f t="shared" si="3"/>
        <v>368.87300746199628</v>
      </c>
      <c r="O37" s="28">
        <f t="shared" si="3"/>
        <v>0</v>
      </c>
      <c r="P37" s="28">
        <f t="shared" si="3"/>
        <v>0.13900005213219754</v>
      </c>
      <c r="Q37" s="28">
        <f t="shared" si="3"/>
        <v>2.7928723980669456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149932-5089-4910-8a3f-1c0f51417809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10.80</v>
      </c>
      <c r="C9" s="54">
        <v>33.630000000000003</v>
      </c>
      <c r="D9" s="54">
        <v>28.52</v>
      </c>
      <c r="E9" s="54">
        <v>4.9000000000000004</v>
      </c>
      <c r="F9" s="54">
        <v>17.70</v>
      </c>
      <c r="G9" s="54">
        <v>43.41</v>
      </c>
      <c r="H9" s="54">
        <v>9.36</v>
      </c>
      <c r="I9" s="54">
        <v>1.78</v>
      </c>
      <c r="J9" s="54">
        <v>0.28000000000000003</v>
      </c>
      <c r="K9" s="54">
        <v>356.38</v>
      </c>
      <c r="L9" s="54">
        <v>24.60</v>
      </c>
      <c r="M9" s="54">
        <v>80.12</v>
      </c>
      <c r="N9" s="54">
        <v>22.40</v>
      </c>
      <c r="O9" s="54">
        <v>0</v>
      </c>
      <c r="P9" s="54">
        <v>0.45</v>
      </c>
      <c r="Q9" s="54">
        <v>15.19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7.5</v>
      </c>
      <c r="C10" s="54">
        <v>26.48</v>
      </c>
      <c r="D10" s="54">
        <v>21.92</v>
      </c>
      <c r="E10" s="54">
        <v>5.19</v>
      </c>
      <c r="F10" s="54">
        <v>20.010000000000002</v>
      </c>
      <c r="G10" s="54">
        <v>37.92</v>
      </c>
      <c r="H10" s="54">
        <v>8.24</v>
      </c>
      <c r="I10" s="54">
        <v>1.71</v>
      </c>
      <c r="J10" s="54">
        <v>0.15</v>
      </c>
      <c r="K10" s="54">
        <v>357.41</v>
      </c>
      <c r="L10" s="54">
        <v>24.31</v>
      </c>
      <c r="M10" s="54">
        <v>79.66</v>
      </c>
      <c r="N10" s="54">
        <v>22.30</v>
      </c>
      <c r="O10" s="54">
        <v>0</v>
      </c>
      <c r="P10" s="54">
        <v>0.28999999999999998</v>
      </c>
      <c r="Q10" s="54">
        <v>17.940000000000001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8.07</v>
      </c>
      <c r="C11" s="54">
        <v>30.14</v>
      </c>
      <c r="D11" s="54">
        <v>24.40</v>
      </c>
      <c r="E11" s="54">
        <v>5.47</v>
      </c>
      <c r="F11" s="54">
        <v>13.62</v>
      </c>
      <c r="G11" s="54">
        <v>33.19</v>
      </c>
      <c r="H11" s="54">
        <v>10.56</v>
      </c>
      <c r="I11" s="54">
        <v>1.74</v>
      </c>
      <c r="J11" s="54">
        <v>0.070000000000000007</v>
      </c>
      <c r="K11" s="54">
        <v>277.31</v>
      </c>
      <c r="L11" s="54">
        <v>24.08</v>
      </c>
      <c r="M11" s="54">
        <v>83.89</v>
      </c>
      <c r="N11" s="54">
        <v>22.30</v>
      </c>
      <c r="O11" s="54">
        <v>0</v>
      </c>
      <c r="P11" s="54">
        <v>0.32</v>
      </c>
      <c r="Q11" s="54">
        <v>16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7.24</v>
      </c>
      <c r="C12" s="54">
        <v>30.05</v>
      </c>
      <c r="D12" s="54">
        <v>23.53</v>
      </c>
      <c r="E12" s="54">
        <v>5.07</v>
      </c>
      <c r="F12" s="54">
        <v>14.35</v>
      </c>
      <c r="G12" s="54">
        <v>32.71</v>
      </c>
      <c r="H12" s="54">
        <v>9.42</v>
      </c>
      <c r="I12" s="54">
        <v>1.74</v>
      </c>
      <c r="J12" s="54">
        <v>0.06</v>
      </c>
      <c r="K12" s="54">
        <v>353.28</v>
      </c>
      <c r="L12" s="54">
        <v>24.16</v>
      </c>
      <c r="M12" s="54">
        <v>81.48</v>
      </c>
      <c r="N12" s="54">
        <v>22.30</v>
      </c>
      <c r="O12" s="54">
        <v>0</v>
      </c>
      <c r="P12" s="54">
        <v>0.30</v>
      </c>
      <c r="Q12" s="54">
        <v>16.45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6.83</v>
      </c>
      <c r="C13" s="54">
        <v>28.58</v>
      </c>
      <c r="D13" s="54">
        <v>22.54</v>
      </c>
      <c r="E13" s="54">
        <v>4.76</v>
      </c>
      <c r="F13" s="54">
        <v>13.82</v>
      </c>
      <c r="G13" s="54">
        <v>29.63</v>
      </c>
      <c r="H13" s="54">
        <v>8.27</v>
      </c>
      <c r="I13" s="54">
        <v>1.73</v>
      </c>
      <c r="J13" s="54">
        <v>0.04</v>
      </c>
      <c r="K13" s="54">
        <v>286.94</v>
      </c>
      <c r="L13" s="54">
        <v>24</v>
      </c>
      <c r="M13" s="54">
        <v>89.71</v>
      </c>
      <c r="N13" s="54">
        <v>22.30</v>
      </c>
      <c r="O13" s="54">
        <v>0</v>
      </c>
      <c r="P13" s="54">
        <v>0.25</v>
      </c>
      <c r="Q13" s="54">
        <v>18.91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9.01</v>
      </c>
      <c r="C14" s="54">
        <v>32.94</v>
      </c>
      <c r="D14" s="54">
        <v>26.70</v>
      </c>
      <c r="E14" s="54">
        <v>4.57</v>
      </c>
      <c r="F14" s="54">
        <v>7.65</v>
      </c>
      <c r="G14" s="54">
        <v>32.56</v>
      </c>
      <c r="H14" s="54">
        <v>9.58</v>
      </c>
      <c r="I14" s="54">
        <v>1.73</v>
      </c>
      <c r="J14" s="54">
        <v>0.09</v>
      </c>
      <c r="K14" s="54">
        <v>272.67</v>
      </c>
      <c r="L14" s="54">
        <v>23.73</v>
      </c>
      <c r="M14" s="54">
        <v>94.69</v>
      </c>
      <c r="N14" s="54">
        <v>44.60</v>
      </c>
      <c r="O14" s="54">
        <v>0</v>
      </c>
      <c r="P14" s="54">
        <v>0.27</v>
      </c>
      <c r="Q14" s="54">
        <v>16.98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18.510000000000002</v>
      </c>
      <c r="C15" s="54">
        <v>35.61</v>
      </c>
      <c r="D15" s="54">
        <v>35.79</v>
      </c>
      <c r="E15" s="54">
        <v>4.37</v>
      </c>
      <c r="F15" s="54">
        <v>8.34</v>
      </c>
      <c r="G15" s="54">
        <v>32.68</v>
      </c>
      <c r="H15" s="54">
        <v>12.38</v>
      </c>
      <c r="I15" s="54">
        <v>1.73</v>
      </c>
      <c r="J15" s="54">
        <v>0.12</v>
      </c>
      <c r="K15" s="54">
        <v>231.86</v>
      </c>
      <c r="L15" s="54">
        <v>24.66</v>
      </c>
      <c r="M15" s="54">
        <v>94.59</v>
      </c>
      <c r="N15" s="54">
        <v>106.40</v>
      </c>
      <c r="O15" s="54">
        <v>0</v>
      </c>
      <c r="P15" s="54">
        <v>0.40</v>
      </c>
      <c r="Q15" s="54">
        <v>17.46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16</v>
      </c>
      <c r="C16" s="54">
        <v>35.08</v>
      </c>
      <c r="D16" s="54">
        <v>33.49</v>
      </c>
      <c r="E16" s="54">
        <v>4.6100000000000003</v>
      </c>
      <c r="F16" s="54">
        <v>8.14</v>
      </c>
      <c r="G16" s="54">
        <v>41.31</v>
      </c>
      <c r="H16" s="54">
        <v>13.61</v>
      </c>
      <c r="I16" s="54">
        <v>1.69</v>
      </c>
      <c r="J16" s="54">
        <v>0.14000000000000001</v>
      </c>
      <c r="K16" s="54">
        <v>46.61</v>
      </c>
      <c r="L16" s="54">
        <v>25.48</v>
      </c>
      <c r="M16" s="54">
        <v>87.33</v>
      </c>
      <c r="N16" s="54">
        <v>213</v>
      </c>
      <c r="O16" s="54">
        <v>0</v>
      </c>
      <c r="P16" s="54">
        <v>0.40</v>
      </c>
      <c r="Q16" s="54">
        <v>18.88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15.13</v>
      </c>
      <c r="C17" s="54">
        <v>34.840000000000003</v>
      </c>
      <c r="D17" s="54">
        <v>32.42</v>
      </c>
      <c r="E17" s="54">
        <v>4.4400000000000004</v>
      </c>
      <c r="F17" s="54">
        <v>3.66</v>
      </c>
      <c r="G17" s="54">
        <v>43.26</v>
      </c>
      <c r="H17" s="54">
        <v>15.67</v>
      </c>
      <c r="I17" s="54">
        <v>1.73</v>
      </c>
      <c r="J17" s="54">
        <v>0.25</v>
      </c>
      <c r="K17" s="54">
        <v>36.68</v>
      </c>
      <c r="L17" s="54">
        <v>26.62</v>
      </c>
      <c r="M17" s="54">
        <v>82.41</v>
      </c>
      <c r="N17" s="54">
        <v>361.20</v>
      </c>
      <c r="O17" s="54">
        <v>0</v>
      </c>
      <c r="P17" s="54">
        <v>0.35</v>
      </c>
      <c r="Q17" s="54">
        <v>15.80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11.75</v>
      </c>
      <c r="C18" s="54">
        <v>35.92</v>
      </c>
      <c r="D18" s="54">
        <v>30.27</v>
      </c>
      <c r="E18" s="54">
        <v>3.86</v>
      </c>
      <c r="F18" s="54">
        <v>5.19</v>
      </c>
      <c r="G18" s="54">
        <v>46.01</v>
      </c>
      <c r="H18" s="54">
        <v>16.05</v>
      </c>
      <c r="I18" s="54">
        <v>1.76</v>
      </c>
      <c r="J18" s="54">
        <v>0.32</v>
      </c>
      <c r="K18" s="54">
        <v>32.43</v>
      </c>
      <c r="L18" s="54">
        <v>28.72</v>
      </c>
      <c r="M18" s="54">
        <v>74.89</v>
      </c>
      <c r="N18" s="54">
        <v>564.5</v>
      </c>
      <c r="O18" s="54">
        <v>0</v>
      </c>
      <c r="P18" s="54">
        <v>0.54</v>
      </c>
      <c r="Q18" s="54">
        <v>15.62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10.78</v>
      </c>
      <c r="C19" s="54">
        <v>37.869999999999997</v>
      </c>
      <c r="D19" s="54">
        <v>30.79</v>
      </c>
      <c r="E19" s="54">
        <v>4.55</v>
      </c>
      <c r="F19" s="54">
        <v>5.52</v>
      </c>
      <c r="G19" s="54">
        <v>50.85</v>
      </c>
      <c r="H19" s="54">
        <v>12.10</v>
      </c>
      <c r="I19" s="54">
        <v>1.76</v>
      </c>
      <c r="J19" s="54">
        <v>0.28999999999999998</v>
      </c>
      <c r="K19" s="54">
        <v>55.93</v>
      </c>
      <c r="L19" s="54">
        <v>29.40</v>
      </c>
      <c r="M19" s="54">
        <v>66.88</v>
      </c>
      <c r="N19" s="54">
        <v>874.40</v>
      </c>
      <c r="O19" s="54">
        <v>0</v>
      </c>
      <c r="P19" s="54">
        <v>0.57999999999999996</v>
      </c>
      <c r="Q19" s="54">
        <v>15.78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7.78</v>
      </c>
      <c r="C20" s="54">
        <v>39.32</v>
      </c>
      <c r="D20" s="54">
        <v>28.64</v>
      </c>
      <c r="E20" s="54">
        <v>4.03</v>
      </c>
      <c r="F20" s="54">
        <v>5.38</v>
      </c>
      <c r="G20" s="54">
        <v>54.58</v>
      </c>
      <c r="H20" s="54">
        <v>15.06</v>
      </c>
      <c r="I20" s="54">
        <v>1.72</v>
      </c>
      <c r="J20" s="54">
        <v>1.70</v>
      </c>
      <c r="K20" s="54">
        <v>27.48</v>
      </c>
      <c r="L20" s="54">
        <v>30.31</v>
      </c>
      <c r="M20" s="54">
        <v>64.489999999999995</v>
      </c>
      <c r="N20" s="54">
        <v>757.40</v>
      </c>
      <c r="O20" s="54">
        <v>0</v>
      </c>
      <c r="P20" s="54">
        <v>0.61</v>
      </c>
      <c r="Q20" s="54">
        <v>12.99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11.94</v>
      </c>
      <c r="C21" s="54">
        <v>45.95</v>
      </c>
      <c r="D21" s="54">
        <v>35.14</v>
      </c>
      <c r="E21" s="58" t="s">
        <v>12</v>
      </c>
      <c r="F21" s="54">
        <v>21.34</v>
      </c>
      <c r="G21" s="54">
        <v>54.98</v>
      </c>
      <c r="H21" s="54">
        <v>17.18</v>
      </c>
      <c r="I21" s="54">
        <v>1.78</v>
      </c>
      <c r="J21" s="54">
        <v>1.67</v>
      </c>
      <c r="K21" s="54">
        <v>86.54</v>
      </c>
      <c r="L21" s="54">
        <v>27.72</v>
      </c>
      <c r="M21" s="54">
        <v>97.26</v>
      </c>
      <c r="N21" s="54">
        <v>126.60</v>
      </c>
      <c r="O21" s="54">
        <v>2.80</v>
      </c>
      <c r="P21" s="54">
        <v>0.85</v>
      </c>
      <c r="Q21" s="54">
        <v>12.01</v>
      </c>
      <c r="R21" s="43"/>
      <c r="S21" s="43"/>
      <c r="T21" s="43"/>
      <c r="U21" s="43"/>
    </row>
    <row r="22" spans="1:21" s="11" customFormat="1" ht="15">
      <c r="A22" s="53" t="s">
        <v>387</v>
      </c>
      <c r="B22" s="58" t="s">
        <v>12</v>
      </c>
      <c r="C22" s="58" t="s">
        <v>12</v>
      </c>
      <c r="D22" s="58" t="s">
        <v>12</v>
      </c>
      <c r="E22" s="58" t="s">
        <v>12</v>
      </c>
      <c r="F22" s="54">
        <v>10.32</v>
      </c>
      <c r="G22" s="58" t="s">
        <v>12</v>
      </c>
      <c r="H22" s="58" t="s">
        <v>12</v>
      </c>
      <c r="I22" s="54">
        <v>1.77</v>
      </c>
      <c r="J22" s="54">
        <v>0.84</v>
      </c>
      <c r="K22" s="54">
        <v>275.02999999999997</v>
      </c>
      <c r="L22" s="54">
        <v>23.85</v>
      </c>
      <c r="M22" s="54">
        <v>97.28</v>
      </c>
      <c r="N22" s="54">
        <v>283.80</v>
      </c>
      <c r="O22" s="54">
        <v>0.60</v>
      </c>
      <c r="P22" s="58" t="s">
        <v>12</v>
      </c>
      <c r="Q22" s="58" t="s">
        <v>12</v>
      </c>
      <c r="R22" s="43"/>
      <c r="S22" s="43"/>
      <c r="T22" s="43"/>
      <c r="U22" s="43"/>
    </row>
    <row r="23" spans="1:21" s="11" customFormat="1" ht="15">
      <c r="A23" s="53" t="s">
        <v>388</v>
      </c>
      <c r="B23" s="58" t="s">
        <v>12</v>
      </c>
      <c r="C23" s="58" t="s">
        <v>12</v>
      </c>
      <c r="D23" s="58" t="s">
        <v>12</v>
      </c>
      <c r="E23" s="54">
        <v>3.5</v>
      </c>
      <c r="F23" s="58" t="s">
        <v>12</v>
      </c>
      <c r="G23" s="58" t="s">
        <v>12</v>
      </c>
      <c r="H23" s="58" t="s">
        <v>12</v>
      </c>
      <c r="I23" s="54">
        <v>1.72</v>
      </c>
      <c r="J23" s="54">
        <v>0.26</v>
      </c>
      <c r="K23" s="54">
        <v>353.16</v>
      </c>
      <c r="L23" s="54">
        <v>27.79</v>
      </c>
      <c r="M23" s="54">
        <v>97.11</v>
      </c>
      <c r="N23" s="54">
        <v>549.10</v>
      </c>
      <c r="O23" s="54">
        <v>0</v>
      </c>
      <c r="P23" s="58" t="s">
        <v>12</v>
      </c>
      <c r="Q23" s="54">
        <v>8.0399999999999991</v>
      </c>
      <c r="R23" s="43"/>
      <c r="S23" s="43"/>
      <c r="T23" s="43"/>
      <c r="U23" s="43"/>
    </row>
    <row r="24" spans="1:21" s="11" customFormat="1" ht="15">
      <c r="A24" s="53" t="s">
        <v>389</v>
      </c>
      <c r="B24" s="58" t="s">
        <v>12</v>
      </c>
      <c r="C24" s="58" t="s">
        <v>12</v>
      </c>
      <c r="D24" s="58" t="s">
        <v>12</v>
      </c>
      <c r="E24" s="54">
        <v>4.95</v>
      </c>
      <c r="F24" s="54">
        <v>9.93</v>
      </c>
      <c r="G24" s="54">
        <v>49.54</v>
      </c>
      <c r="H24" s="54">
        <v>17.03</v>
      </c>
      <c r="I24" s="54">
        <v>1.77</v>
      </c>
      <c r="J24" s="54">
        <v>0.31</v>
      </c>
      <c r="K24" s="54">
        <v>35.979999999999997</v>
      </c>
      <c r="L24" s="54">
        <v>28.32</v>
      </c>
      <c r="M24" s="54">
        <v>70.739999999999995</v>
      </c>
      <c r="N24" s="54">
        <v>409.90</v>
      </c>
      <c r="O24" s="54">
        <v>0</v>
      </c>
      <c r="P24" s="54">
        <v>0.82</v>
      </c>
      <c r="Q24" s="54">
        <v>7.51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6.05</v>
      </c>
      <c r="C25" s="54">
        <v>27.47</v>
      </c>
      <c r="D25" s="54">
        <v>20.5</v>
      </c>
      <c r="E25" s="54">
        <v>5.60</v>
      </c>
      <c r="F25" s="54">
        <v>7.15</v>
      </c>
      <c r="G25" s="54">
        <v>54.85</v>
      </c>
      <c r="H25" s="54">
        <v>21.98</v>
      </c>
      <c r="I25" s="54">
        <v>1.73</v>
      </c>
      <c r="J25" s="54">
        <v>0.22</v>
      </c>
      <c r="K25" s="54">
        <v>50.03</v>
      </c>
      <c r="L25" s="54">
        <v>27.66</v>
      </c>
      <c r="M25" s="54">
        <v>69.55</v>
      </c>
      <c r="N25" s="54">
        <v>249.40</v>
      </c>
      <c r="O25" s="54">
        <v>0</v>
      </c>
      <c r="P25" s="54">
        <v>0.70</v>
      </c>
      <c r="Q25" s="54">
        <v>3.82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4.53</v>
      </c>
      <c r="C26" s="54">
        <v>24.65</v>
      </c>
      <c r="D26" s="54">
        <v>18.36</v>
      </c>
      <c r="E26" s="54">
        <v>4.62</v>
      </c>
      <c r="F26" s="54">
        <v>6.70</v>
      </c>
      <c r="G26" s="54">
        <v>70.34</v>
      </c>
      <c r="H26" s="54">
        <v>23.51</v>
      </c>
      <c r="I26" s="54">
        <v>1.71</v>
      </c>
      <c r="J26" s="54">
        <v>0.25</v>
      </c>
      <c r="K26" s="54">
        <v>46.72</v>
      </c>
      <c r="L26" s="54">
        <v>27.17</v>
      </c>
      <c r="M26" s="54">
        <v>72.650000000000006</v>
      </c>
      <c r="N26" s="54">
        <v>153.90</v>
      </c>
      <c r="O26" s="54">
        <v>0</v>
      </c>
      <c r="P26" s="54">
        <v>0.51</v>
      </c>
      <c r="Q26" s="54">
        <v>0.25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13.62</v>
      </c>
      <c r="C27" s="54">
        <v>32.43</v>
      </c>
      <c r="D27" s="54">
        <v>27.46</v>
      </c>
      <c r="E27" s="54">
        <v>5.14</v>
      </c>
      <c r="F27" s="54">
        <v>9.4499999999999993</v>
      </c>
      <c r="G27" s="54">
        <v>70.34</v>
      </c>
      <c r="H27" s="54">
        <v>23.51</v>
      </c>
      <c r="I27" s="54">
        <v>1.75</v>
      </c>
      <c r="J27" s="54">
        <v>0.23</v>
      </c>
      <c r="K27" s="54">
        <v>47.57</v>
      </c>
      <c r="L27" s="54">
        <v>26.45</v>
      </c>
      <c r="M27" s="54">
        <v>78.37</v>
      </c>
      <c r="N27" s="54">
        <v>58.70</v>
      </c>
      <c r="O27" s="54">
        <v>0</v>
      </c>
      <c r="P27" s="54">
        <v>0.69</v>
      </c>
      <c r="Q27" s="54">
        <v>2.48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8.1199999999999992</v>
      </c>
      <c r="C28" s="54">
        <v>30.65</v>
      </c>
      <c r="D28" s="54">
        <v>23.24</v>
      </c>
      <c r="E28" s="54">
        <v>5.57</v>
      </c>
      <c r="F28" s="54">
        <v>9.1999999999999993</v>
      </c>
      <c r="G28" s="54">
        <v>71.27</v>
      </c>
      <c r="H28" s="54">
        <v>16.04</v>
      </c>
      <c r="I28" s="54">
        <v>1.69</v>
      </c>
      <c r="J28" s="54">
        <v>0.10</v>
      </c>
      <c r="K28" s="54">
        <v>208.07</v>
      </c>
      <c r="L28" s="54">
        <v>25.73</v>
      </c>
      <c r="M28" s="54">
        <v>80.37</v>
      </c>
      <c r="N28" s="54">
        <v>40.90</v>
      </c>
      <c r="O28" s="54">
        <v>0</v>
      </c>
      <c r="P28" s="54">
        <v>0.66</v>
      </c>
      <c r="Q28" s="54">
        <v>4.66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8.23</v>
      </c>
      <c r="C29" s="54">
        <v>23.40</v>
      </c>
      <c r="D29" s="54">
        <v>19.670000000000002</v>
      </c>
      <c r="E29" s="54">
        <v>4.03</v>
      </c>
      <c r="F29" s="54">
        <v>5.30</v>
      </c>
      <c r="G29" s="54">
        <v>71.27</v>
      </c>
      <c r="H29" s="54">
        <v>16.04</v>
      </c>
      <c r="I29" s="54">
        <v>1.72</v>
      </c>
      <c r="J29" s="54">
        <v>0.06</v>
      </c>
      <c r="K29" s="54">
        <v>230.31</v>
      </c>
      <c r="L29" s="54">
        <v>25.51</v>
      </c>
      <c r="M29" s="54">
        <v>84.98</v>
      </c>
      <c r="N29" s="54">
        <v>41</v>
      </c>
      <c r="O29" s="54">
        <v>0</v>
      </c>
      <c r="P29" s="54">
        <v>0.56999999999999995</v>
      </c>
      <c r="Q29" s="54">
        <v>3.89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8.7899999999999991</v>
      </c>
      <c r="C30" s="54">
        <v>27.92</v>
      </c>
      <c r="D30" s="54">
        <v>23.75</v>
      </c>
      <c r="E30" s="54">
        <v>4.47</v>
      </c>
      <c r="F30" s="54">
        <v>8.7200000000000006</v>
      </c>
      <c r="G30" s="59" t="s">
        <v>14</v>
      </c>
      <c r="H30" s="59" t="s">
        <v>14</v>
      </c>
      <c r="I30" s="54">
        <v>1.74</v>
      </c>
      <c r="J30" s="54">
        <v>0.18</v>
      </c>
      <c r="K30" s="54">
        <v>324.48</v>
      </c>
      <c r="L30" s="54">
        <v>25.12</v>
      </c>
      <c r="M30" s="54">
        <v>86.74</v>
      </c>
      <c r="N30" s="54">
        <v>41.60</v>
      </c>
      <c r="O30" s="54">
        <v>0</v>
      </c>
      <c r="P30" s="54">
        <v>0.60</v>
      </c>
      <c r="Q30" s="54">
        <v>5.90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9.25</v>
      </c>
      <c r="C31" s="54">
        <v>21.33</v>
      </c>
      <c r="D31" s="54">
        <v>20.09</v>
      </c>
      <c r="E31" s="54">
        <v>4.12</v>
      </c>
      <c r="F31" s="54">
        <v>5.17</v>
      </c>
      <c r="G31" s="59" t="s">
        <v>14</v>
      </c>
      <c r="H31" s="59" t="s">
        <v>14</v>
      </c>
      <c r="I31" s="54">
        <v>1.70</v>
      </c>
      <c r="J31" s="54">
        <v>0.21</v>
      </c>
      <c r="K31" s="54">
        <v>46.42</v>
      </c>
      <c r="L31" s="54">
        <v>24.74</v>
      </c>
      <c r="M31" s="54">
        <v>87.95</v>
      </c>
      <c r="N31" s="54">
        <v>41.70</v>
      </c>
      <c r="O31" s="54">
        <v>0</v>
      </c>
      <c r="P31" s="54">
        <v>0.53</v>
      </c>
      <c r="Q31" s="54">
        <v>7.41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8.6199999999999992</v>
      </c>
      <c r="C32" s="54">
        <v>16.010000000000002</v>
      </c>
      <c r="D32" s="54">
        <v>17.04</v>
      </c>
      <c r="E32" s="54">
        <v>3.58</v>
      </c>
      <c r="F32" s="54">
        <v>2.31</v>
      </c>
      <c r="G32" s="54">
        <v>59.96</v>
      </c>
      <c r="H32" s="54">
        <v>18.059999999999999</v>
      </c>
      <c r="I32" s="54">
        <v>1.72</v>
      </c>
      <c r="J32" s="54">
        <v>0.25</v>
      </c>
      <c r="K32" s="54">
        <v>45.13</v>
      </c>
      <c r="L32" s="54">
        <v>24.43</v>
      </c>
      <c r="M32" s="54">
        <v>90.93</v>
      </c>
      <c r="N32" s="54">
        <v>41.70</v>
      </c>
      <c r="O32" s="54">
        <v>0</v>
      </c>
      <c r="P32" s="54">
        <v>0.49</v>
      </c>
      <c r="Q32" s="54">
        <v>5.64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4.5300000000000002</v>
      </c>
      <c r="C34" s="28">
        <f t="shared" si="0"/>
        <v>16.010000000000002</v>
      </c>
      <c r="D34" s="28">
        <f t="shared" si="0"/>
        <v>17.039999999999999</v>
      </c>
      <c r="E34" s="28">
        <f t="shared" si="0"/>
        <v>3.5</v>
      </c>
      <c r="F34" s="28">
        <f t="shared" si="0"/>
        <v>2.3100000000000001</v>
      </c>
      <c r="G34" s="28">
        <f t="shared" si="0"/>
        <v>29.629999999999999</v>
      </c>
      <c r="H34" s="28">
        <f t="shared" si="0"/>
        <v>8.2400000000000002</v>
      </c>
      <c r="I34" s="28">
        <f t="shared" si="0"/>
        <v>1.6899999999999999</v>
      </c>
      <c r="J34" s="28">
        <f t="shared" si="0"/>
        <v>0.040000000000000001</v>
      </c>
      <c r="K34" s="28">
        <f t="shared" si="0"/>
        <v>27.48</v>
      </c>
      <c r="L34" s="28">
        <f t="shared" si="0"/>
        <v>23.73</v>
      </c>
      <c r="M34" s="28">
        <f t="shared" si="0"/>
        <v>64.489999999999995</v>
      </c>
      <c r="N34" s="28">
        <f t="shared" si="0"/>
        <v>22.300000000000001</v>
      </c>
      <c r="O34" s="28">
        <f t="shared" si="0"/>
        <v>0</v>
      </c>
      <c r="P34" s="28">
        <f t="shared" si="0"/>
        <v>0.25</v>
      </c>
      <c r="Q34" s="28">
        <f t="shared" si="0"/>
        <v>0.25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18.510000000000002</v>
      </c>
      <c r="C35" s="29">
        <f t="shared" si="1"/>
        <v>45.950000000000003</v>
      </c>
      <c r="D35" s="29">
        <f t="shared" si="1"/>
        <v>35.789999999999999</v>
      </c>
      <c r="E35" s="29">
        <f t="shared" si="1"/>
        <v>5.5999999999999996</v>
      </c>
      <c r="F35" s="29">
        <f t="shared" si="1"/>
        <v>21.34</v>
      </c>
      <c r="G35" s="29">
        <f t="shared" si="1"/>
        <v>71.269999999999996</v>
      </c>
      <c r="H35" s="29">
        <f t="shared" si="1"/>
        <v>23.510000000000002</v>
      </c>
      <c r="I35" s="29">
        <f t="shared" si="1"/>
        <v>1.78</v>
      </c>
      <c r="J35" s="29">
        <f t="shared" si="1"/>
        <v>1.7</v>
      </c>
      <c r="K35" s="29">
        <f t="shared" si="1"/>
        <v>357.41000000000003</v>
      </c>
      <c r="L35" s="29">
        <f t="shared" si="1"/>
        <v>30.309999999999999</v>
      </c>
      <c r="M35" s="29">
        <f t="shared" si="1"/>
        <v>97.280000000000001</v>
      </c>
      <c r="N35" s="29">
        <f t="shared" si="1"/>
        <v>874.39999999999998</v>
      </c>
      <c r="O35" s="29">
        <f t="shared" si="1"/>
        <v>2.7999999999999998</v>
      </c>
      <c r="P35" s="29">
        <f t="shared" si="1"/>
        <v>0.84999999999999998</v>
      </c>
      <c r="Q35" s="29">
        <f t="shared" si="1"/>
        <v>18.91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9.9309523809523803</v>
      </c>
      <c r="C36" s="28">
        <f t="shared" si="2"/>
        <v>30.965238095238089</v>
      </c>
      <c r="D36" s="28">
        <f t="shared" si="2"/>
        <v>25.917142857142856</v>
      </c>
      <c r="E36" s="28">
        <f t="shared" si="2"/>
        <v>4.6090909090909085</v>
      </c>
      <c r="F36" s="28">
        <f t="shared" si="2"/>
        <v>9.5204347826086941</v>
      </c>
      <c r="G36" s="28">
        <f t="shared" si="2"/>
        <v>49.033000000000001</v>
      </c>
      <c r="H36" s="28">
        <f t="shared" si="2"/>
        <v>14.682499999999999</v>
      </c>
      <c r="I36" s="28">
        <f t="shared" si="2"/>
        <v>1.7341666666666669</v>
      </c>
      <c r="J36" s="28">
        <f t="shared" si="2"/>
        <v>0.33708333333333323</v>
      </c>
      <c r="K36" s="28">
        <f t="shared" si="2"/>
        <v>170.18416666666664</v>
      </c>
      <c r="L36" s="28">
        <f t="shared" si="2"/>
        <v>26.02333333333333</v>
      </c>
      <c r="M36" s="28">
        <f t="shared" si="2"/>
        <v>83.086249999999993</v>
      </c>
      <c r="N36" s="28">
        <f t="shared" si="2"/>
        <v>211.30833333333328</v>
      </c>
      <c r="O36" s="28">
        <f t="shared" si="2"/>
        <v>0.14166666666666666</v>
      </c>
      <c r="P36" s="28">
        <f t="shared" si="2"/>
        <v>0.50818181818181818</v>
      </c>
      <c r="Q36" s="28">
        <f t="shared" si="2"/>
        <v>11.287391304347825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3.5034795628944453</v>
      </c>
      <c r="C37" s="28">
        <f t="shared" si="3" ref="C37:Q37">STDEV(C9:C32)</f>
        <v>6.6923931586897041</v>
      </c>
      <c r="D37" s="28">
        <f t="shared" si="3"/>
        <v>5.6014811816671646</v>
      </c>
      <c r="E37" s="28">
        <f t="shared" si="3"/>
        <v>0.6004832109060918</v>
      </c>
      <c r="F37" s="28">
        <f t="shared" si="3"/>
        <v>5.0997116480523328</v>
      </c>
      <c r="G37" s="28">
        <f t="shared" si="3"/>
        <v>14.160362803856488</v>
      </c>
      <c r="H37" s="28">
        <f t="shared" si="3"/>
        <v>4.7778687992825777</v>
      </c>
      <c r="I37" s="28">
        <f t="shared" si="3"/>
        <v>0.026029526155580691</v>
      </c>
      <c r="J37" s="28">
        <f t="shared" si="3"/>
        <v>0.44427252864671357</v>
      </c>
      <c r="K37" s="28">
        <f t="shared" si="3"/>
        <v>132.23144847006998</v>
      </c>
      <c r="L37" s="28">
        <f t="shared" si="3"/>
        <v>1.9409447871247305</v>
      </c>
      <c r="M37" s="28">
        <f t="shared" si="3"/>
        <v>9.7892260263849717</v>
      </c>
      <c r="N37" s="28">
        <f t="shared" si="3"/>
        <v>250.29452202080492</v>
      </c>
      <c r="O37" s="28">
        <f t="shared" si="3"/>
        <v>0.57929242196400899</v>
      </c>
      <c r="P37" s="28">
        <f t="shared" si="3"/>
        <v>0.17431871094926379</v>
      </c>
      <c r="Q37" s="28">
        <f t="shared" si="3"/>
        <v>6.0749577008563351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COUNT(B9:B32)+3</f>
        <v>24</v>
      </c>
      <c r="C38" s="32">
        <f>COUNT(C9:C32)+3</f>
        <v>24</v>
      </c>
      <c r="D38" s="32">
        <f>COUNT(D9:D32)+3</f>
        <v>24</v>
      </c>
      <c r="E38" s="32">
        <f>COUNT(E9:E32)+2</f>
        <v>24</v>
      </c>
      <c r="F38" s="32">
        <f>COUNT(F9:F32)+1</f>
        <v>24</v>
      </c>
      <c r="G38" s="32">
        <f>COUNT(G9:G32)+4</f>
        <v>24</v>
      </c>
      <c r="H38" s="32">
        <f>COUNT(H9:H32)+4</f>
        <v>24</v>
      </c>
      <c r="I38" s="32">
        <f t="shared" si="4" ref="I38:O38">COUNT(I9:I32)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>IF(G38&gt;=22,"&gt;90%",IF(G38&lt;=22,"&lt;90%"))</f>
        <v>&gt;90%</v>
      </c>
      <c r="H39" s="29" t="str">
        <f>IF(H38&gt;=22,"&gt;90%",IF(H38&lt;=22,"&lt;90%"))</f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>IF(G38&gt;=22,"OK",IF(G38&lt;=22,"LESS"))</f>
        <v>OK</v>
      </c>
      <c r="H40" s="29" t="str">
        <f>IF(H38&gt;=22,"OK",IF(H38&lt;=22,"LESS"))</f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c151af-6cf3-4a9b-843a-c62eb3f65d6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55" sqref="H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7.29</v>
      </c>
      <c r="C9" s="54">
        <v>15.52</v>
      </c>
      <c r="D9" s="54">
        <v>15.70</v>
      </c>
      <c r="E9" s="54">
        <v>4.16</v>
      </c>
      <c r="F9" s="54">
        <v>5.36</v>
      </c>
      <c r="G9" s="54">
        <v>48.87</v>
      </c>
      <c r="H9" s="54">
        <v>3.78</v>
      </c>
      <c r="I9" s="54">
        <v>1.71</v>
      </c>
      <c r="J9" s="54">
        <v>0.23</v>
      </c>
      <c r="K9" s="54">
        <v>42.04</v>
      </c>
      <c r="L9" s="54">
        <v>24.08</v>
      </c>
      <c r="M9" s="54">
        <v>92.36</v>
      </c>
      <c r="N9" s="54">
        <v>41.70</v>
      </c>
      <c r="O9" s="54">
        <v>0</v>
      </c>
      <c r="P9" s="54">
        <v>0.40</v>
      </c>
      <c r="Q9" s="54">
        <v>5.55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7.19</v>
      </c>
      <c r="C10" s="54">
        <v>14.72</v>
      </c>
      <c r="D10" s="54">
        <v>14.92</v>
      </c>
      <c r="E10" s="54">
        <v>4.34</v>
      </c>
      <c r="F10" s="54">
        <v>2.34</v>
      </c>
      <c r="G10" s="54">
        <v>46.06</v>
      </c>
      <c r="H10" s="54">
        <v>40.89</v>
      </c>
      <c r="I10" s="54">
        <v>1.72</v>
      </c>
      <c r="J10" s="54">
        <v>0.23</v>
      </c>
      <c r="K10" s="54">
        <v>43.71</v>
      </c>
      <c r="L10" s="54">
        <v>23.80</v>
      </c>
      <c r="M10" s="54">
        <v>92.26</v>
      </c>
      <c r="N10" s="54">
        <v>41.70</v>
      </c>
      <c r="O10" s="54">
        <v>0</v>
      </c>
      <c r="P10" s="54">
        <v>0.33</v>
      </c>
      <c r="Q10" s="54">
        <v>6.53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6.72</v>
      </c>
      <c r="C11" s="54">
        <v>12.48</v>
      </c>
      <c r="D11" s="54">
        <v>13.49</v>
      </c>
      <c r="E11" s="54">
        <v>4.16</v>
      </c>
      <c r="F11" s="54">
        <v>1.74</v>
      </c>
      <c r="G11" s="54">
        <v>39.630000000000003</v>
      </c>
      <c r="H11" s="54">
        <v>61.45</v>
      </c>
      <c r="I11" s="54">
        <v>1.72</v>
      </c>
      <c r="J11" s="54">
        <v>0.22</v>
      </c>
      <c r="K11" s="54">
        <v>43.67</v>
      </c>
      <c r="L11" s="54">
        <v>23.61</v>
      </c>
      <c r="M11" s="54">
        <v>91.95</v>
      </c>
      <c r="N11" s="54">
        <v>41.60</v>
      </c>
      <c r="O11" s="54">
        <v>0</v>
      </c>
      <c r="P11" s="54">
        <v>0.32</v>
      </c>
      <c r="Q11" s="54">
        <v>3.93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5.69</v>
      </c>
      <c r="C12" s="54">
        <v>12.30</v>
      </c>
      <c r="D12" s="54">
        <v>12.33</v>
      </c>
      <c r="E12" s="54">
        <v>4.1500000000000004</v>
      </c>
      <c r="F12" s="54">
        <v>6.07</v>
      </c>
      <c r="G12" s="54">
        <v>35.49</v>
      </c>
      <c r="H12" s="54">
        <v>61.45</v>
      </c>
      <c r="I12" s="54">
        <v>1.71</v>
      </c>
      <c r="J12" s="54">
        <v>0.15</v>
      </c>
      <c r="K12" s="54">
        <v>60.04</v>
      </c>
      <c r="L12" s="54">
        <v>23.21</v>
      </c>
      <c r="M12" s="54">
        <v>94.53</v>
      </c>
      <c r="N12" s="54">
        <v>41.60</v>
      </c>
      <c r="O12" s="54">
        <v>0</v>
      </c>
      <c r="P12" s="54">
        <v>0.26</v>
      </c>
      <c r="Q12" s="54">
        <v>5.12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6.94</v>
      </c>
      <c r="C13" s="54">
        <v>14.30</v>
      </c>
      <c r="D13" s="54">
        <v>14.75</v>
      </c>
      <c r="E13" s="54">
        <v>4.45</v>
      </c>
      <c r="F13" s="54">
        <v>2.4900000000000002</v>
      </c>
      <c r="G13" s="54">
        <v>32.43</v>
      </c>
      <c r="H13" s="54">
        <v>14.60</v>
      </c>
      <c r="I13" s="54">
        <v>1.71</v>
      </c>
      <c r="J13" s="54">
        <v>0.17</v>
      </c>
      <c r="K13" s="54">
        <v>36.04</v>
      </c>
      <c r="L13" s="54">
        <v>23.11</v>
      </c>
      <c r="M13" s="54">
        <v>94.73</v>
      </c>
      <c r="N13" s="54">
        <v>41.5</v>
      </c>
      <c r="O13" s="54">
        <v>0</v>
      </c>
      <c r="P13" s="54">
        <v>0.24</v>
      </c>
      <c r="Q13" s="54">
        <v>6.43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7.16</v>
      </c>
      <c r="C14" s="54">
        <v>14.18</v>
      </c>
      <c r="D14" s="54">
        <v>14.77</v>
      </c>
      <c r="E14" s="54">
        <v>4.76</v>
      </c>
      <c r="F14" s="54">
        <v>1.43</v>
      </c>
      <c r="G14" s="54">
        <v>28.83</v>
      </c>
      <c r="H14" s="54">
        <v>14.60</v>
      </c>
      <c r="I14" s="54">
        <v>1.76</v>
      </c>
      <c r="J14" s="54">
        <v>0.20</v>
      </c>
      <c r="K14" s="54">
        <v>41.77</v>
      </c>
      <c r="L14" s="54">
        <v>23</v>
      </c>
      <c r="M14" s="54">
        <v>95.94</v>
      </c>
      <c r="N14" s="54">
        <v>56.60</v>
      </c>
      <c r="O14" s="54">
        <v>0</v>
      </c>
      <c r="P14" s="54">
        <v>0.27</v>
      </c>
      <c r="Q14" s="54">
        <v>5.13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8.6199999999999992</v>
      </c>
      <c r="C15" s="54">
        <v>16.78</v>
      </c>
      <c r="D15" s="54">
        <v>17.47</v>
      </c>
      <c r="E15" s="54">
        <v>4.57</v>
      </c>
      <c r="F15" s="54">
        <v>3.58</v>
      </c>
      <c r="G15" s="54">
        <v>33.159999999999997</v>
      </c>
      <c r="H15" s="54">
        <v>13.13</v>
      </c>
      <c r="I15" s="54">
        <v>1.73</v>
      </c>
      <c r="J15" s="54">
        <v>0.19</v>
      </c>
      <c r="K15" s="54">
        <v>37.85</v>
      </c>
      <c r="L15" s="54">
        <v>23.13</v>
      </c>
      <c r="M15" s="54">
        <v>96.25</v>
      </c>
      <c r="N15" s="54">
        <v>156.80000000000001</v>
      </c>
      <c r="O15" s="54">
        <v>0</v>
      </c>
      <c r="P15" s="54">
        <v>0.27</v>
      </c>
      <c r="Q15" s="54">
        <v>6.93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9.67</v>
      </c>
      <c r="C16" s="54">
        <v>15.52</v>
      </c>
      <c r="D16" s="54">
        <v>17.260000000000002</v>
      </c>
      <c r="E16" s="54">
        <v>4.62</v>
      </c>
      <c r="F16" s="54">
        <v>0.93</v>
      </c>
      <c r="G16" s="54">
        <v>35.25</v>
      </c>
      <c r="H16" s="54">
        <v>12.80</v>
      </c>
      <c r="I16" s="54">
        <v>1.75</v>
      </c>
      <c r="J16" s="54">
        <v>0.34</v>
      </c>
      <c r="K16" s="54">
        <v>44.25</v>
      </c>
      <c r="L16" s="54">
        <v>25.10</v>
      </c>
      <c r="M16" s="54">
        <v>88.08</v>
      </c>
      <c r="N16" s="54">
        <v>400.20</v>
      </c>
      <c r="O16" s="54">
        <v>0</v>
      </c>
      <c r="P16" s="54">
        <v>0.32</v>
      </c>
      <c r="Q16" s="54">
        <v>7.40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8.25</v>
      </c>
      <c r="C17" s="54">
        <v>16.579999999999998</v>
      </c>
      <c r="D17" s="54">
        <v>16.850000000000001</v>
      </c>
      <c r="E17" s="54">
        <v>4.30</v>
      </c>
      <c r="F17" s="54">
        <v>1.77</v>
      </c>
      <c r="G17" s="54">
        <v>35.25</v>
      </c>
      <c r="H17" s="54">
        <v>12.80</v>
      </c>
      <c r="I17" s="54">
        <v>1.71</v>
      </c>
      <c r="J17" s="54">
        <v>0.37</v>
      </c>
      <c r="K17" s="54">
        <v>42.23</v>
      </c>
      <c r="L17" s="54">
        <v>25.95</v>
      </c>
      <c r="M17" s="54">
        <v>84.96</v>
      </c>
      <c r="N17" s="54">
        <v>547.70000000000005</v>
      </c>
      <c r="O17" s="54">
        <v>0</v>
      </c>
      <c r="P17" s="54">
        <v>0.41</v>
      </c>
      <c r="Q17" s="54">
        <v>5.1100000000000003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8.4700000000000006</v>
      </c>
      <c r="C18" s="54">
        <v>17.57</v>
      </c>
      <c r="D18" s="54">
        <v>17.73</v>
      </c>
      <c r="E18" s="54">
        <v>5.24</v>
      </c>
      <c r="F18" s="54">
        <v>2.0099999999999998</v>
      </c>
      <c r="G18" s="54">
        <v>44.72</v>
      </c>
      <c r="H18" s="54">
        <v>15.35</v>
      </c>
      <c r="I18" s="54">
        <v>1.72</v>
      </c>
      <c r="J18" s="54">
        <v>0.41</v>
      </c>
      <c r="K18" s="54">
        <v>40.590000000000003</v>
      </c>
      <c r="L18" s="54">
        <v>29.85</v>
      </c>
      <c r="M18" s="54">
        <v>73.31</v>
      </c>
      <c r="N18" s="54">
        <v>782.70</v>
      </c>
      <c r="O18" s="54">
        <v>0</v>
      </c>
      <c r="P18" s="54">
        <v>0.5</v>
      </c>
      <c r="Q18" s="54">
        <v>3.28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8.5500000000000007</v>
      </c>
      <c r="C19" s="54">
        <v>19.04</v>
      </c>
      <c r="D19" s="54">
        <v>18.329999999999998</v>
      </c>
      <c r="E19" s="54">
        <v>4.68</v>
      </c>
      <c r="F19" s="54">
        <v>2.87</v>
      </c>
      <c r="G19" s="54">
        <v>51.96</v>
      </c>
      <c r="H19" s="54">
        <v>23.12</v>
      </c>
      <c r="I19" s="54">
        <v>1.73</v>
      </c>
      <c r="J19" s="54">
        <v>0.43</v>
      </c>
      <c r="K19" s="54">
        <v>354.65</v>
      </c>
      <c r="L19" s="54">
        <v>29.70</v>
      </c>
      <c r="M19" s="54">
        <v>67.680000000000007</v>
      </c>
      <c r="N19" s="54">
        <v>847.60</v>
      </c>
      <c r="O19" s="54">
        <v>0</v>
      </c>
      <c r="P19" s="54">
        <v>0.60</v>
      </c>
      <c r="Q19" s="54">
        <v>4.03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7.25</v>
      </c>
      <c r="C20" s="54">
        <v>21.79</v>
      </c>
      <c r="D20" s="54">
        <v>18.559999999999999</v>
      </c>
      <c r="E20" s="54">
        <v>4.28</v>
      </c>
      <c r="F20" s="54">
        <v>6.13</v>
      </c>
      <c r="G20" s="54">
        <v>56.70</v>
      </c>
      <c r="H20" s="54">
        <v>23.12</v>
      </c>
      <c r="I20" s="54">
        <v>1.72</v>
      </c>
      <c r="J20" s="54">
        <v>0.41</v>
      </c>
      <c r="K20" s="54">
        <v>17.62</v>
      </c>
      <c r="L20" s="54">
        <v>30.58</v>
      </c>
      <c r="M20" s="54">
        <v>67.260000000000005</v>
      </c>
      <c r="N20" s="54">
        <v>686.90</v>
      </c>
      <c r="O20" s="54">
        <v>0</v>
      </c>
      <c r="P20" s="54">
        <v>0.62</v>
      </c>
      <c r="Q20" s="54">
        <v>1.71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7.19</v>
      </c>
      <c r="C21" s="54">
        <v>22.33</v>
      </c>
      <c r="D21" s="54">
        <v>19.28</v>
      </c>
      <c r="E21" s="54">
        <v>4.38</v>
      </c>
      <c r="F21" s="54">
        <v>5.40</v>
      </c>
      <c r="G21" s="54">
        <v>59.23</v>
      </c>
      <c r="H21" s="54">
        <v>22.37</v>
      </c>
      <c r="I21" s="54">
        <v>1.74</v>
      </c>
      <c r="J21" s="54">
        <v>0.56999999999999995</v>
      </c>
      <c r="K21" s="54">
        <v>357.78</v>
      </c>
      <c r="L21" s="54">
        <v>31.07</v>
      </c>
      <c r="M21" s="54">
        <v>65.010000000000005</v>
      </c>
      <c r="N21" s="54">
        <v>795.20</v>
      </c>
      <c r="O21" s="54">
        <v>0</v>
      </c>
      <c r="P21" s="54">
        <v>0.61</v>
      </c>
      <c r="Q21" s="54">
        <v>2.0099999999999998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5.45</v>
      </c>
      <c r="C22" s="54">
        <v>20.04</v>
      </c>
      <c r="D22" s="54">
        <v>16.510000000000002</v>
      </c>
      <c r="E22" s="54">
        <v>4.20</v>
      </c>
      <c r="F22" s="54">
        <v>2.88</v>
      </c>
      <c r="G22" s="54">
        <v>59.23</v>
      </c>
      <c r="H22" s="54">
        <v>22.37</v>
      </c>
      <c r="I22" s="54">
        <v>1.74</v>
      </c>
      <c r="J22" s="54">
        <v>0.89</v>
      </c>
      <c r="K22" s="54">
        <v>358.06</v>
      </c>
      <c r="L22" s="54">
        <v>32.130000000000003</v>
      </c>
      <c r="M22" s="54">
        <v>58.59</v>
      </c>
      <c r="N22" s="54">
        <v>799.40</v>
      </c>
      <c r="O22" s="54">
        <v>0</v>
      </c>
      <c r="P22" s="54">
        <v>0.61</v>
      </c>
      <c r="Q22" s="54">
        <v>2.0499999999999998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6.43</v>
      </c>
      <c r="C23" s="54">
        <v>22.80</v>
      </c>
      <c r="D23" s="54">
        <v>18.59</v>
      </c>
      <c r="E23" s="54">
        <v>4.53</v>
      </c>
      <c r="F23" s="54">
        <v>7.27</v>
      </c>
      <c r="G23" s="54">
        <v>56.46</v>
      </c>
      <c r="H23" s="54">
        <v>27.54</v>
      </c>
      <c r="I23" s="54">
        <v>1.70</v>
      </c>
      <c r="J23" s="54">
        <v>0.56999999999999995</v>
      </c>
      <c r="K23" s="54">
        <v>358.55</v>
      </c>
      <c r="L23" s="54">
        <v>31.92</v>
      </c>
      <c r="M23" s="54">
        <v>59.15</v>
      </c>
      <c r="N23" s="54">
        <v>740.80</v>
      </c>
      <c r="O23" s="54">
        <v>0</v>
      </c>
      <c r="P23" s="54">
        <v>0.64</v>
      </c>
      <c r="Q23" s="54">
        <v>0.06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7.77</v>
      </c>
      <c r="C24" s="54">
        <v>23.09</v>
      </c>
      <c r="D24" s="54">
        <v>17.97</v>
      </c>
      <c r="E24" s="54">
        <v>4.6100000000000003</v>
      </c>
      <c r="F24" s="54">
        <v>10.029999999999999</v>
      </c>
      <c r="G24" s="54">
        <v>58.22</v>
      </c>
      <c r="H24" s="54">
        <v>27.54</v>
      </c>
      <c r="I24" s="54">
        <v>1.79</v>
      </c>
      <c r="J24" s="54">
        <v>0.55000000000000004</v>
      </c>
      <c r="K24" s="54">
        <v>355.66</v>
      </c>
      <c r="L24" s="54">
        <v>30.38</v>
      </c>
      <c r="M24" s="54">
        <v>59.75</v>
      </c>
      <c r="N24" s="54">
        <v>280.70</v>
      </c>
      <c r="O24" s="54">
        <v>0</v>
      </c>
      <c r="P24" s="54">
        <v>0.64</v>
      </c>
      <c r="Q24" s="54">
        <v>1.07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4.5</v>
      </c>
      <c r="C25" s="54">
        <v>18.48</v>
      </c>
      <c r="D25" s="54">
        <v>15.10</v>
      </c>
      <c r="E25" s="54">
        <v>4</v>
      </c>
      <c r="F25" s="54">
        <v>3.93</v>
      </c>
      <c r="G25" s="54">
        <v>58.22</v>
      </c>
      <c r="H25" s="54">
        <v>22.86</v>
      </c>
      <c r="I25" s="54">
        <v>1.72</v>
      </c>
      <c r="J25" s="54">
        <v>0.25</v>
      </c>
      <c r="K25" s="54">
        <v>32.28</v>
      </c>
      <c r="L25" s="54">
        <v>29.16</v>
      </c>
      <c r="M25" s="54">
        <v>60.15</v>
      </c>
      <c r="N25" s="54">
        <v>168.40</v>
      </c>
      <c r="O25" s="54">
        <v>0</v>
      </c>
      <c r="P25" s="54">
        <v>0.61</v>
      </c>
      <c r="Q25" s="54">
        <v>1.02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6.26</v>
      </c>
      <c r="C26" s="54">
        <v>19.88</v>
      </c>
      <c r="D26" s="54">
        <v>17.29</v>
      </c>
      <c r="E26" s="54">
        <v>4.01</v>
      </c>
      <c r="F26" s="54">
        <v>11.14</v>
      </c>
      <c r="G26" s="54">
        <v>56.63</v>
      </c>
      <c r="H26" s="54">
        <v>21.10</v>
      </c>
      <c r="I26" s="54">
        <v>1.74</v>
      </c>
      <c r="J26" s="54">
        <v>0.26</v>
      </c>
      <c r="K26" s="54">
        <v>44.56</v>
      </c>
      <c r="L26" s="54">
        <v>28.92</v>
      </c>
      <c r="M26" s="54">
        <v>63.77</v>
      </c>
      <c r="N26" s="54">
        <v>97.40</v>
      </c>
      <c r="O26" s="54">
        <v>0</v>
      </c>
      <c r="P26" s="54">
        <v>0.56000000000000005</v>
      </c>
      <c r="Q26" s="54">
        <v>1.0900000000000001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7.60</v>
      </c>
      <c r="C27" s="54">
        <v>24.68</v>
      </c>
      <c r="D27" s="54">
        <v>20.60</v>
      </c>
      <c r="E27" s="54">
        <v>4.04</v>
      </c>
      <c r="F27" s="54">
        <v>9.59</v>
      </c>
      <c r="G27" s="54">
        <v>53.02</v>
      </c>
      <c r="H27" s="54">
        <v>17.13</v>
      </c>
      <c r="I27" s="54">
        <v>1.74</v>
      </c>
      <c r="J27" s="54">
        <v>0.19</v>
      </c>
      <c r="K27" s="54">
        <v>36.340000000000003</v>
      </c>
      <c r="L27" s="54">
        <v>27.87</v>
      </c>
      <c r="M27" s="54">
        <v>68.72</v>
      </c>
      <c r="N27" s="54">
        <v>37</v>
      </c>
      <c r="O27" s="54">
        <v>0</v>
      </c>
      <c r="P27" s="54">
        <v>0.56000000000000005</v>
      </c>
      <c r="Q27" s="54">
        <v>3.14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6.85</v>
      </c>
      <c r="C28" s="54">
        <v>27.05</v>
      </c>
      <c r="D28" s="54">
        <v>21.72</v>
      </c>
      <c r="E28" s="54">
        <v>4.04</v>
      </c>
      <c r="F28" s="54">
        <v>10.029999999999999</v>
      </c>
      <c r="G28" s="54">
        <v>53.99</v>
      </c>
      <c r="H28" s="54">
        <v>15.84</v>
      </c>
      <c r="I28" s="54">
        <v>1.74</v>
      </c>
      <c r="J28" s="54">
        <v>0.21</v>
      </c>
      <c r="K28" s="54">
        <v>357.79</v>
      </c>
      <c r="L28" s="54">
        <v>27.07</v>
      </c>
      <c r="M28" s="54">
        <v>72.66</v>
      </c>
      <c r="N28" s="54">
        <v>23.10</v>
      </c>
      <c r="O28" s="54">
        <v>0</v>
      </c>
      <c r="P28" s="54">
        <v>0.77</v>
      </c>
      <c r="Q28" s="54">
        <v>2.13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10.97</v>
      </c>
      <c r="C29" s="54">
        <v>27.98</v>
      </c>
      <c r="D29" s="54">
        <v>25.53</v>
      </c>
      <c r="E29" s="54">
        <v>4.5599999999999996</v>
      </c>
      <c r="F29" s="54">
        <v>10.65</v>
      </c>
      <c r="G29" s="54">
        <v>53.99</v>
      </c>
      <c r="H29" s="54">
        <v>15.84</v>
      </c>
      <c r="I29" s="54">
        <v>1.72</v>
      </c>
      <c r="J29" s="54">
        <v>0.82</v>
      </c>
      <c r="K29" s="54">
        <v>41.61</v>
      </c>
      <c r="L29" s="54">
        <v>26.71</v>
      </c>
      <c r="M29" s="54">
        <v>77.28</v>
      </c>
      <c r="N29" s="54">
        <v>23.70</v>
      </c>
      <c r="O29" s="54">
        <v>0</v>
      </c>
      <c r="P29" s="54">
        <v>0.80</v>
      </c>
      <c r="Q29" s="54">
        <v>4.24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16</v>
      </c>
      <c r="C30" s="54">
        <v>43.30</v>
      </c>
      <c r="D30" s="54">
        <v>33.729999999999997</v>
      </c>
      <c r="E30" s="54">
        <v>4.59</v>
      </c>
      <c r="F30" s="54">
        <v>10.40</v>
      </c>
      <c r="G30" s="54">
        <v>70.78</v>
      </c>
      <c r="H30" s="54">
        <v>21.88</v>
      </c>
      <c r="I30" s="54">
        <v>1.76</v>
      </c>
      <c r="J30" s="54">
        <v>0.39</v>
      </c>
      <c r="K30" s="54">
        <v>306.74</v>
      </c>
      <c r="L30" s="54">
        <v>25.28</v>
      </c>
      <c r="M30" s="54">
        <v>79.70</v>
      </c>
      <c r="N30" s="54">
        <v>23.5</v>
      </c>
      <c r="O30" s="54">
        <v>0</v>
      </c>
      <c r="P30" s="54">
        <v>0.89</v>
      </c>
      <c r="Q30" s="54">
        <v>9.0299999999999994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10.53</v>
      </c>
      <c r="C31" s="54">
        <v>20.21</v>
      </c>
      <c r="D31" s="54">
        <v>20.89</v>
      </c>
      <c r="E31" s="54">
        <v>4.43</v>
      </c>
      <c r="F31" s="54">
        <v>2.94</v>
      </c>
      <c r="G31" s="54">
        <v>70.78</v>
      </c>
      <c r="H31" s="54">
        <v>21.88</v>
      </c>
      <c r="I31" s="54">
        <v>1.73</v>
      </c>
      <c r="J31" s="54">
        <v>0.25</v>
      </c>
      <c r="K31" s="54">
        <v>51.45</v>
      </c>
      <c r="L31" s="54">
        <v>25.27</v>
      </c>
      <c r="M31" s="54">
        <v>79.86</v>
      </c>
      <c r="N31" s="54">
        <v>23.40</v>
      </c>
      <c r="O31" s="54">
        <v>0</v>
      </c>
      <c r="P31" s="54">
        <v>0.69</v>
      </c>
      <c r="Q31" s="54">
        <v>7.64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6.94</v>
      </c>
      <c r="C32" s="54">
        <v>16.399999999999999</v>
      </c>
      <c r="D32" s="54">
        <v>15.73</v>
      </c>
      <c r="E32" s="54">
        <v>4.2300000000000004</v>
      </c>
      <c r="F32" s="54">
        <v>4.51</v>
      </c>
      <c r="G32" s="54">
        <v>57.70</v>
      </c>
      <c r="H32" s="54">
        <v>18.38</v>
      </c>
      <c r="I32" s="54">
        <v>1.74</v>
      </c>
      <c r="J32" s="54">
        <v>0.27</v>
      </c>
      <c r="K32" s="54">
        <v>44.34</v>
      </c>
      <c r="L32" s="54">
        <v>24.70</v>
      </c>
      <c r="M32" s="54">
        <v>82.41</v>
      </c>
      <c r="N32" s="54">
        <v>23.40</v>
      </c>
      <c r="O32" s="54">
        <v>0</v>
      </c>
      <c r="P32" s="54">
        <v>0.54</v>
      </c>
      <c r="Q32" s="54">
        <v>4.42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</v>
      </c>
      <c r="C34" s="28">
        <f t="shared" si="0"/>
        <v>12.300000000000001</v>
      </c>
      <c r="D34" s="28">
        <f t="shared" si="0"/>
        <v>12.33</v>
      </c>
      <c r="E34" s="28">
        <f t="shared" si="0"/>
        <v>4</v>
      </c>
      <c r="F34" s="28">
        <f t="shared" si="0"/>
        <v>0.93000000000000005</v>
      </c>
      <c r="G34" s="28">
        <f t="shared" si="0"/>
        <v>28.829999999999998</v>
      </c>
      <c r="H34" s="28">
        <f t="shared" si="0"/>
        <v>3.7799999999999998</v>
      </c>
      <c r="I34" s="28">
        <f t="shared" si="0"/>
        <v>1.7</v>
      </c>
      <c r="J34" s="28">
        <f t="shared" si="0"/>
        <v>0.14999999999999999</v>
      </c>
      <c r="K34" s="28">
        <f t="shared" si="0"/>
        <v>17.620000000000001</v>
      </c>
      <c r="L34" s="28">
        <f t="shared" si="0"/>
        <v>23</v>
      </c>
      <c r="M34" s="28">
        <f t="shared" si="0"/>
        <v>58.590000000000003</v>
      </c>
      <c r="N34" s="28">
        <f t="shared" si="0"/>
        <v>23.100000000000001</v>
      </c>
      <c r="O34" s="28">
        <f t="shared" si="0"/>
        <v>0</v>
      </c>
      <c r="P34" s="28">
        <f t="shared" si="0"/>
        <v>0.23999999999999999</v>
      </c>
      <c r="Q34" s="28">
        <f t="shared" si="0"/>
        <v>0.059999999999999998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</v>
      </c>
      <c r="C35" s="29">
        <f t="shared" si="1"/>
        <v>43.299999999999997</v>
      </c>
      <c r="D35" s="29">
        <f t="shared" si="1"/>
        <v>33.729999999999997</v>
      </c>
      <c r="E35" s="29">
        <f t="shared" si="1"/>
        <v>5.2400000000000002</v>
      </c>
      <c r="F35" s="29">
        <f t="shared" si="1"/>
        <v>11.140000000000001</v>
      </c>
      <c r="G35" s="29">
        <f t="shared" si="1"/>
        <v>70.780000000000001</v>
      </c>
      <c r="H35" s="29">
        <f t="shared" si="1"/>
        <v>61.450000000000003</v>
      </c>
      <c r="I35" s="29">
        <f t="shared" si="1"/>
        <v>1.79</v>
      </c>
      <c r="J35" s="29">
        <f t="shared" si="1"/>
        <v>0.89000000000000001</v>
      </c>
      <c r="K35" s="29">
        <f t="shared" si="1"/>
        <v>358.55000000000001</v>
      </c>
      <c r="L35" s="29">
        <f t="shared" si="1"/>
        <v>32.130000000000003</v>
      </c>
      <c r="M35" s="29">
        <f t="shared" si="1"/>
        <v>96.25</v>
      </c>
      <c r="N35" s="29">
        <f t="shared" si="1"/>
        <v>847.60000000000002</v>
      </c>
      <c r="O35" s="29">
        <f t="shared" si="1"/>
        <v>0</v>
      </c>
      <c r="P35" s="29">
        <f t="shared" si="1"/>
        <v>0.89000000000000001</v>
      </c>
      <c r="Q35" s="29">
        <f t="shared" si="1"/>
        <v>9.0299999999999994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7.845416666666666</v>
      </c>
      <c r="C36" s="28">
        <f t="shared" si="2"/>
        <v>19.875833333333333</v>
      </c>
      <c r="D36" s="28">
        <f t="shared" si="2"/>
        <v>18.129166666666666</v>
      </c>
      <c r="E36" s="28">
        <f t="shared" si="2"/>
        <v>4.3887500000000008</v>
      </c>
      <c r="F36" s="28">
        <f t="shared" si="2"/>
        <v>5.2287500000000007</v>
      </c>
      <c r="G36" s="28">
        <f t="shared" si="2"/>
        <v>49.858333333333341</v>
      </c>
      <c r="H36" s="28">
        <f t="shared" si="2"/>
        <v>22.992500000000003</v>
      </c>
      <c r="I36" s="28">
        <f t="shared" si="2"/>
        <v>1.7312499999999995</v>
      </c>
      <c r="J36" s="28">
        <f t="shared" si="2"/>
        <v>0.35708333333333336</v>
      </c>
      <c r="K36" s="28">
        <f t="shared" si="2"/>
        <v>131.23416666666665</v>
      </c>
      <c r="L36" s="28">
        <f t="shared" si="2"/>
        <v>26.900000000000002</v>
      </c>
      <c r="M36" s="28">
        <f t="shared" si="2"/>
        <v>77.765000000000015</v>
      </c>
      <c r="N36" s="28">
        <f t="shared" si="2"/>
        <v>280.10833333333329</v>
      </c>
      <c r="O36" s="28">
        <f t="shared" si="2"/>
        <v>0</v>
      </c>
      <c r="P36" s="28">
        <f t="shared" si="2"/>
        <v>0.51916666666666667</v>
      </c>
      <c r="Q36" s="28">
        <f t="shared" si="2"/>
        <v>4.1270833333333332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2.2888576591955156</v>
      </c>
      <c r="C37" s="28">
        <f t="shared" si="3" ref="C37:Q37">STDEV(C9:C32)</f>
        <v>6.588099228857704</v>
      </c>
      <c r="D37" s="28">
        <f t="shared" si="3"/>
        <v>4.3830978886455627</v>
      </c>
      <c r="E37" s="28">
        <f t="shared" si="3"/>
        <v>0.29193972725174983</v>
      </c>
      <c r="F37" s="28">
        <f t="shared" si="3"/>
        <v>3.4034692179291546</v>
      </c>
      <c r="G37" s="28">
        <f t="shared" si="3"/>
        <v>11.871904600382326</v>
      </c>
      <c r="H37" s="28">
        <f t="shared" si="3"/>
        <v>13.764984325391037</v>
      </c>
      <c r="I37" s="28">
        <f t="shared" si="3"/>
        <v>0.02028331934073567</v>
      </c>
      <c r="J37" s="28">
        <f t="shared" si="3"/>
        <v>0.19887682809624443</v>
      </c>
      <c r="K37" s="28">
        <f t="shared" si="3"/>
        <v>143.83955542069506</v>
      </c>
      <c r="L37" s="28">
        <f t="shared" si="3"/>
        <v>3.1094861871097095</v>
      </c>
      <c r="M37" s="28">
        <f t="shared" si="3"/>
        <v>13.352588089791832</v>
      </c>
      <c r="N37" s="28">
        <f t="shared" si="3"/>
        <v>320.14427307029888</v>
      </c>
      <c r="O37" s="28">
        <f t="shared" si="3"/>
        <v>0</v>
      </c>
      <c r="P37" s="28">
        <f t="shared" si="3"/>
        <v>0.18577491445450781</v>
      </c>
      <c r="Q37" s="28">
        <f t="shared" si="3"/>
        <v>2.4338008906568995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0674e6-11f7-427a-99c2-094b4f97816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5.42</v>
      </c>
      <c r="C9" s="54">
        <v>14.73</v>
      </c>
      <c r="D9" s="54">
        <v>13.59</v>
      </c>
      <c r="E9" s="54">
        <v>5.51</v>
      </c>
      <c r="F9" s="54">
        <v>7.59</v>
      </c>
      <c r="G9" s="54">
        <v>43.33</v>
      </c>
      <c r="H9" s="54">
        <v>15.65</v>
      </c>
      <c r="I9" s="54">
        <v>1.72</v>
      </c>
      <c r="J9" s="54">
        <v>0.28999999999999998</v>
      </c>
      <c r="K9" s="54">
        <v>45.96</v>
      </c>
      <c r="L9" s="54">
        <v>24.53</v>
      </c>
      <c r="M9" s="54">
        <v>85.74</v>
      </c>
      <c r="N9" s="54">
        <v>23.5</v>
      </c>
      <c r="O9" s="54">
        <v>0</v>
      </c>
      <c r="P9" s="54">
        <v>0.44</v>
      </c>
      <c r="Q9" s="54">
        <v>3.65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6.10</v>
      </c>
      <c r="C10" s="54">
        <v>13.73</v>
      </c>
      <c r="D10" s="54">
        <v>13.76</v>
      </c>
      <c r="E10" s="54">
        <v>4.87</v>
      </c>
      <c r="F10" s="54">
        <v>2.04</v>
      </c>
      <c r="G10" s="54">
        <v>36.67</v>
      </c>
      <c r="H10" s="54">
        <v>11.10</v>
      </c>
      <c r="I10" s="54">
        <v>1.72</v>
      </c>
      <c r="J10" s="54">
        <v>0.24</v>
      </c>
      <c r="K10" s="54">
        <v>43.44</v>
      </c>
      <c r="L10" s="54">
        <v>24.14</v>
      </c>
      <c r="M10" s="54">
        <v>91.12</v>
      </c>
      <c r="N10" s="54">
        <v>23.40</v>
      </c>
      <c r="O10" s="54">
        <v>0</v>
      </c>
      <c r="P10" s="54">
        <v>0.38</v>
      </c>
      <c r="Q10" s="54">
        <v>3.19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5.12</v>
      </c>
      <c r="C11" s="54">
        <v>12.98</v>
      </c>
      <c r="D11" s="54">
        <v>12.56</v>
      </c>
      <c r="E11" s="54">
        <v>5.32</v>
      </c>
      <c r="F11" s="54">
        <v>6.33</v>
      </c>
      <c r="G11" s="54">
        <v>34.54</v>
      </c>
      <c r="H11" s="54">
        <v>9.39</v>
      </c>
      <c r="I11" s="54">
        <v>1.75</v>
      </c>
      <c r="J11" s="54">
        <v>0.17</v>
      </c>
      <c r="K11" s="54">
        <v>42.37</v>
      </c>
      <c r="L11" s="54">
        <v>23.75</v>
      </c>
      <c r="M11" s="54">
        <v>95.41</v>
      </c>
      <c r="N11" s="54">
        <v>23.40</v>
      </c>
      <c r="O11" s="54">
        <v>0</v>
      </c>
      <c r="P11" s="54">
        <v>0.32</v>
      </c>
      <c r="Q11" s="54">
        <v>3.36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5.72</v>
      </c>
      <c r="C12" s="54">
        <v>13.45</v>
      </c>
      <c r="D12" s="54">
        <v>13.30</v>
      </c>
      <c r="E12" s="54">
        <v>5.24</v>
      </c>
      <c r="F12" s="54">
        <v>5.17</v>
      </c>
      <c r="G12" s="54">
        <v>34.54</v>
      </c>
      <c r="H12" s="54">
        <v>11.5</v>
      </c>
      <c r="I12" s="54">
        <v>1.74</v>
      </c>
      <c r="J12" s="54">
        <v>0.17</v>
      </c>
      <c r="K12" s="54">
        <v>109.23</v>
      </c>
      <c r="L12" s="54">
        <v>23.42</v>
      </c>
      <c r="M12" s="54">
        <v>96.58</v>
      </c>
      <c r="N12" s="54">
        <v>23.40</v>
      </c>
      <c r="O12" s="54">
        <v>0</v>
      </c>
      <c r="P12" s="54">
        <v>0.28999999999999998</v>
      </c>
      <c r="Q12" s="54">
        <v>5.22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5.52</v>
      </c>
      <c r="C13" s="54">
        <v>13.21</v>
      </c>
      <c r="D13" s="54">
        <v>12.76</v>
      </c>
      <c r="E13" s="54">
        <v>5.03</v>
      </c>
      <c r="F13" s="54">
        <v>1.61</v>
      </c>
      <c r="G13" s="54">
        <v>28.13</v>
      </c>
      <c r="H13" s="54">
        <v>11.5</v>
      </c>
      <c r="I13" s="54">
        <v>1.74</v>
      </c>
      <c r="J13" s="54">
        <v>0.25</v>
      </c>
      <c r="K13" s="54">
        <v>42.72</v>
      </c>
      <c r="L13" s="54">
        <v>23.27</v>
      </c>
      <c r="M13" s="54">
        <v>97.25</v>
      </c>
      <c r="N13" s="54">
        <v>23.40</v>
      </c>
      <c r="O13" s="54">
        <v>0</v>
      </c>
      <c r="P13" s="54">
        <v>0.27</v>
      </c>
      <c r="Q13" s="54">
        <v>3.75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6.06</v>
      </c>
      <c r="C14" s="54">
        <v>14.10</v>
      </c>
      <c r="D14" s="54">
        <v>13.93</v>
      </c>
      <c r="E14" s="54">
        <v>5.49</v>
      </c>
      <c r="F14" s="54">
        <v>1.87</v>
      </c>
      <c r="G14" s="54">
        <v>28.74</v>
      </c>
      <c r="H14" s="54">
        <v>13.29</v>
      </c>
      <c r="I14" s="54">
        <v>1.73</v>
      </c>
      <c r="J14" s="54">
        <v>0.28000000000000003</v>
      </c>
      <c r="K14" s="54">
        <v>39.99</v>
      </c>
      <c r="L14" s="54">
        <v>23.37</v>
      </c>
      <c r="M14" s="54">
        <v>97.24</v>
      </c>
      <c r="N14" s="54">
        <v>40.700000000000003</v>
      </c>
      <c r="O14" s="54">
        <v>0</v>
      </c>
      <c r="P14" s="54">
        <v>0.26</v>
      </c>
      <c r="Q14" s="54">
        <v>3.48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6.71</v>
      </c>
      <c r="C15" s="54">
        <v>14.57</v>
      </c>
      <c r="D15" s="54">
        <v>14.71</v>
      </c>
      <c r="E15" s="54">
        <v>5.04</v>
      </c>
      <c r="F15" s="54">
        <v>2.25</v>
      </c>
      <c r="G15" s="54">
        <v>28.74</v>
      </c>
      <c r="H15" s="54">
        <v>13.29</v>
      </c>
      <c r="I15" s="54">
        <v>1.68</v>
      </c>
      <c r="J15" s="54">
        <v>0.34</v>
      </c>
      <c r="K15" s="54">
        <v>37.64</v>
      </c>
      <c r="L15" s="54">
        <v>24.10</v>
      </c>
      <c r="M15" s="54">
        <v>93.35</v>
      </c>
      <c r="N15" s="54">
        <v>217.60</v>
      </c>
      <c r="O15" s="54">
        <v>0</v>
      </c>
      <c r="P15" s="54">
        <v>0.27</v>
      </c>
      <c r="Q15" s="54">
        <v>3.47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7.68</v>
      </c>
      <c r="C16" s="54">
        <v>15.65</v>
      </c>
      <c r="D16" s="54">
        <v>15.84</v>
      </c>
      <c r="E16" s="54">
        <v>4.83</v>
      </c>
      <c r="F16" s="54">
        <v>0.89</v>
      </c>
      <c r="G16" s="54">
        <v>32.97</v>
      </c>
      <c r="H16" s="54">
        <v>11.76</v>
      </c>
      <c r="I16" s="54">
        <v>1.77</v>
      </c>
      <c r="J16" s="54">
        <v>0.36</v>
      </c>
      <c r="K16" s="54">
        <v>38.17</v>
      </c>
      <c r="L16" s="54">
        <v>26.32</v>
      </c>
      <c r="M16" s="54">
        <v>83.95</v>
      </c>
      <c r="N16" s="54">
        <v>439.60</v>
      </c>
      <c r="O16" s="54">
        <v>0</v>
      </c>
      <c r="P16" s="54">
        <v>0.35</v>
      </c>
      <c r="Q16" s="54">
        <v>2.2799999999999998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9.90</v>
      </c>
      <c r="C17" s="54">
        <v>18.809999999999999</v>
      </c>
      <c r="D17" s="54">
        <v>19.62</v>
      </c>
      <c r="E17" s="54">
        <v>4.34</v>
      </c>
      <c r="F17" s="54">
        <v>2.35</v>
      </c>
      <c r="G17" s="54">
        <v>51.68</v>
      </c>
      <c r="H17" s="54">
        <v>13.03</v>
      </c>
      <c r="I17" s="54">
        <v>1.73</v>
      </c>
      <c r="J17" s="54">
        <v>0.43</v>
      </c>
      <c r="K17" s="54">
        <v>358.71</v>
      </c>
      <c r="L17" s="54">
        <v>29.62</v>
      </c>
      <c r="M17" s="54">
        <v>75.23</v>
      </c>
      <c r="N17" s="54">
        <v>566.70000000000005</v>
      </c>
      <c r="O17" s="54">
        <v>0</v>
      </c>
      <c r="P17" s="54">
        <v>0.46</v>
      </c>
      <c r="Q17" s="54">
        <v>2.42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10.65</v>
      </c>
      <c r="C18" s="54">
        <v>17.53</v>
      </c>
      <c r="D18" s="54">
        <v>19.510000000000002</v>
      </c>
      <c r="E18" s="54">
        <v>4.72</v>
      </c>
      <c r="F18" s="54">
        <v>1.90</v>
      </c>
      <c r="G18" s="54">
        <v>52.30</v>
      </c>
      <c r="H18" s="54">
        <v>13.03</v>
      </c>
      <c r="I18" s="54">
        <v>1.72</v>
      </c>
      <c r="J18" s="54">
        <v>0.92</v>
      </c>
      <c r="K18" s="54">
        <v>357.51</v>
      </c>
      <c r="L18" s="54">
        <v>32.29</v>
      </c>
      <c r="M18" s="54">
        <v>65.95</v>
      </c>
      <c r="N18" s="54">
        <v>781.90</v>
      </c>
      <c r="O18" s="54">
        <v>0</v>
      </c>
      <c r="P18" s="54">
        <v>0.46</v>
      </c>
      <c r="Q18" s="54">
        <v>3.37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8.5</v>
      </c>
      <c r="C19" s="54">
        <v>18.37</v>
      </c>
      <c r="D19" s="54">
        <v>18.23</v>
      </c>
      <c r="E19" s="54">
        <v>3.95</v>
      </c>
      <c r="F19" s="54">
        <v>2.10</v>
      </c>
      <c r="G19" s="54">
        <v>52.30</v>
      </c>
      <c r="H19" s="54">
        <v>11.13</v>
      </c>
      <c r="I19" s="54">
        <v>1.74</v>
      </c>
      <c r="J19" s="54">
        <v>0.90</v>
      </c>
      <c r="K19" s="54">
        <v>356.88</v>
      </c>
      <c r="L19" s="54">
        <v>32.76</v>
      </c>
      <c r="M19" s="54">
        <v>57.73</v>
      </c>
      <c r="N19" s="54">
        <v>930.90</v>
      </c>
      <c r="O19" s="54">
        <v>0</v>
      </c>
      <c r="P19" s="54">
        <v>0.49</v>
      </c>
      <c r="Q19" s="54">
        <v>1.25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9.14</v>
      </c>
      <c r="C20" s="54">
        <v>18.32</v>
      </c>
      <c r="D20" s="54">
        <v>18.36</v>
      </c>
      <c r="E20" s="54">
        <v>4.47</v>
      </c>
      <c r="F20" s="54">
        <v>6.30</v>
      </c>
      <c r="G20" s="54">
        <v>45.80</v>
      </c>
      <c r="H20" s="54">
        <v>14.54</v>
      </c>
      <c r="I20" s="54">
        <v>1.74</v>
      </c>
      <c r="J20" s="54">
        <v>0.66</v>
      </c>
      <c r="K20" s="54">
        <v>358.38</v>
      </c>
      <c r="L20" s="54">
        <v>33.06</v>
      </c>
      <c r="M20" s="54">
        <v>55.86</v>
      </c>
      <c r="N20" s="54">
        <v>1071.9000000000001</v>
      </c>
      <c r="O20" s="54">
        <v>0</v>
      </c>
      <c r="P20" s="54">
        <v>0.49</v>
      </c>
      <c r="Q20" s="54">
        <v>0.73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7.85</v>
      </c>
      <c r="C21" s="54">
        <v>19.420000000000002</v>
      </c>
      <c r="D21" s="54">
        <v>18.28</v>
      </c>
      <c r="E21" s="54">
        <v>4.43</v>
      </c>
      <c r="F21" s="54">
        <v>3.49</v>
      </c>
      <c r="G21" s="54">
        <v>47.22</v>
      </c>
      <c r="H21" s="54">
        <v>14.54</v>
      </c>
      <c r="I21" s="54">
        <v>1.73</v>
      </c>
      <c r="J21" s="54">
        <v>0.59</v>
      </c>
      <c r="K21" s="54">
        <v>357.16</v>
      </c>
      <c r="L21" s="54">
        <v>32.479999999999997</v>
      </c>
      <c r="M21" s="54">
        <v>52.82</v>
      </c>
      <c r="N21" s="54">
        <v>986.5</v>
      </c>
      <c r="O21" s="54">
        <v>0</v>
      </c>
      <c r="P21" s="54">
        <v>0.49</v>
      </c>
      <c r="Q21" s="54">
        <v>1.98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6.72</v>
      </c>
      <c r="C22" s="54">
        <v>21.63</v>
      </c>
      <c r="D22" s="54">
        <v>17.13</v>
      </c>
      <c r="E22" s="54">
        <v>4.24</v>
      </c>
      <c r="F22" s="54">
        <v>5.53</v>
      </c>
      <c r="G22" s="54">
        <v>47.22</v>
      </c>
      <c r="H22" s="54">
        <v>13.58</v>
      </c>
      <c r="I22" s="54">
        <v>1.73</v>
      </c>
      <c r="J22" s="54">
        <v>0.53</v>
      </c>
      <c r="K22" s="54">
        <v>359.96</v>
      </c>
      <c r="L22" s="54">
        <v>32.659999999999997</v>
      </c>
      <c r="M22" s="54">
        <v>51.58</v>
      </c>
      <c r="N22" s="54">
        <v>963.60</v>
      </c>
      <c r="O22" s="54">
        <v>0</v>
      </c>
      <c r="P22" s="54">
        <v>0.47</v>
      </c>
      <c r="Q22" s="54">
        <v>0.47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7.39</v>
      </c>
      <c r="C23" s="54">
        <v>21.10</v>
      </c>
      <c r="D23" s="54">
        <v>18.399999999999999</v>
      </c>
      <c r="E23" s="54">
        <v>4.0599999999999996</v>
      </c>
      <c r="F23" s="54">
        <v>9.1300000000000008</v>
      </c>
      <c r="G23" s="54">
        <v>33.659999999999997</v>
      </c>
      <c r="H23" s="54">
        <v>12.77</v>
      </c>
      <c r="I23" s="54">
        <v>1.75</v>
      </c>
      <c r="J23" s="54">
        <v>0.67</v>
      </c>
      <c r="K23" s="54">
        <v>353.07</v>
      </c>
      <c r="L23" s="54">
        <v>34.340000000000003</v>
      </c>
      <c r="M23" s="54">
        <v>56</v>
      </c>
      <c r="N23" s="54">
        <v>844.20</v>
      </c>
      <c r="O23" s="54">
        <v>0</v>
      </c>
      <c r="P23" s="54">
        <v>0.5</v>
      </c>
      <c r="Q23" s="54">
        <v>2.94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4.25</v>
      </c>
      <c r="C24" s="54">
        <v>19.98</v>
      </c>
      <c r="D24" s="54">
        <v>15.18</v>
      </c>
      <c r="E24" s="54">
        <v>4.63</v>
      </c>
      <c r="F24" s="54">
        <v>10.28</v>
      </c>
      <c r="G24" s="54">
        <v>56.33</v>
      </c>
      <c r="H24" s="54">
        <v>17.64</v>
      </c>
      <c r="I24" s="54">
        <v>1.75</v>
      </c>
      <c r="J24" s="54">
        <v>0.27</v>
      </c>
      <c r="K24" s="54">
        <v>53.60</v>
      </c>
      <c r="L24" s="54">
        <v>30.36</v>
      </c>
      <c r="M24" s="54">
        <v>60.16</v>
      </c>
      <c r="N24" s="54">
        <v>302.89999999999998</v>
      </c>
      <c r="O24" s="54">
        <v>0</v>
      </c>
      <c r="P24" s="54">
        <v>0.45</v>
      </c>
      <c r="Q24" s="54">
        <v>3.26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3.26</v>
      </c>
      <c r="C25" s="54">
        <v>17.30</v>
      </c>
      <c r="D25" s="54">
        <v>13.16</v>
      </c>
      <c r="E25" s="54">
        <v>4.08</v>
      </c>
      <c r="F25" s="54">
        <v>8.0299999999999994</v>
      </c>
      <c r="G25" s="54">
        <v>56.33</v>
      </c>
      <c r="H25" s="54">
        <v>17.64</v>
      </c>
      <c r="I25" s="54">
        <v>1.75</v>
      </c>
      <c r="J25" s="54">
        <v>0.23</v>
      </c>
      <c r="K25" s="54">
        <v>270.98</v>
      </c>
      <c r="L25" s="54">
        <v>29.45</v>
      </c>
      <c r="M25" s="54">
        <v>63.13</v>
      </c>
      <c r="N25" s="54">
        <v>166</v>
      </c>
      <c r="O25" s="54">
        <v>0</v>
      </c>
      <c r="P25" s="54">
        <v>0.44</v>
      </c>
      <c r="Q25" s="5" t="s">
        <v>14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7.19</v>
      </c>
      <c r="C26" s="54">
        <v>22.65</v>
      </c>
      <c r="D26" s="54">
        <v>19.559999999999999</v>
      </c>
      <c r="E26" s="54">
        <v>4.47</v>
      </c>
      <c r="F26" s="54">
        <v>7.05</v>
      </c>
      <c r="G26" s="54">
        <v>54.51</v>
      </c>
      <c r="H26" s="54">
        <v>15.98</v>
      </c>
      <c r="I26" s="54">
        <v>1.74</v>
      </c>
      <c r="J26" s="54">
        <v>0.38</v>
      </c>
      <c r="K26" s="54">
        <v>42.61</v>
      </c>
      <c r="L26" s="54">
        <v>29.36</v>
      </c>
      <c r="M26" s="54">
        <v>65.70</v>
      </c>
      <c r="N26" s="54">
        <v>123</v>
      </c>
      <c r="O26" s="54">
        <v>0</v>
      </c>
      <c r="P26" s="54">
        <v>0.53</v>
      </c>
      <c r="Q26" s="54">
        <v>2.4300000000000002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7.92</v>
      </c>
      <c r="C27" s="54">
        <v>19.350000000000001</v>
      </c>
      <c r="D27" s="54">
        <v>17.510000000000002</v>
      </c>
      <c r="E27" s="54">
        <v>3.92</v>
      </c>
      <c r="F27" s="54">
        <v>3.99</v>
      </c>
      <c r="G27" s="54">
        <v>54.51</v>
      </c>
      <c r="H27" s="54">
        <v>14.53</v>
      </c>
      <c r="I27" s="54">
        <v>1.77</v>
      </c>
      <c r="J27" s="54">
        <v>0.65</v>
      </c>
      <c r="K27" s="54">
        <v>34.799999999999997</v>
      </c>
      <c r="L27" s="54">
        <v>28.55</v>
      </c>
      <c r="M27" s="54">
        <v>67.239999999999995</v>
      </c>
      <c r="N27" s="54">
        <v>44.20</v>
      </c>
      <c r="O27" s="54">
        <v>0</v>
      </c>
      <c r="P27" s="54">
        <v>0.52</v>
      </c>
      <c r="Q27" s="54">
        <v>1.92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12.45</v>
      </c>
      <c r="C28" s="54">
        <v>21.57</v>
      </c>
      <c r="D28" s="54">
        <v>23.18</v>
      </c>
      <c r="E28" s="54">
        <v>3.67</v>
      </c>
      <c r="F28" s="54">
        <v>6.06</v>
      </c>
      <c r="G28" s="54">
        <v>48.63</v>
      </c>
      <c r="H28" s="54">
        <v>13.72</v>
      </c>
      <c r="I28" s="54">
        <v>1.75</v>
      </c>
      <c r="J28" s="54">
        <v>0.45</v>
      </c>
      <c r="K28" s="54">
        <v>15.80</v>
      </c>
      <c r="L28" s="54">
        <v>26.42</v>
      </c>
      <c r="M28" s="54">
        <v>72.569999999999993</v>
      </c>
      <c r="N28" s="54">
        <v>26.90</v>
      </c>
      <c r="O28" s="54">
        <v>0</v>
      </c>
      <c r="P28" s="54">
        <v>0.66</v>
      </c>
      <c r="Q28" s="54">
        <v>1.48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21.43</v>
      </c>
      <c r="C29" s="54">
        <v>32.200000000000003</v>
      </c>
      <c r="D29" s="54">
        <v>36.25</v>
      </c>
      <c r="E29" s="54">
        <v>4.16</v>
      </c>
      <c r="F29" s="54">
        <v>6.47</v>
      </c>
      <c r="G29" s="54">
        <v>50.33</v>
      </c>
      <c r="H29" s="54">
        <v>14.75</v>
      </c>
      <c r="I29" s="54">
        <v>1.74</v>
      </c>
      <c r="J29" s="54">
        <v>0.36</v>
      </c>
      <c r="K29" s="54">
        <v>39.10</v>
      </c>
      <c r="L29" s="54">
        <v>26.5</v>
      </c>
      <c r="M29" s="54">
        <v>79.69</v>
      </c>
      <c r="N29" s="54">
        <v>26.60</v>
      </c>
      <c r="O29" s="54">
        <v>0</v>
      </c>
      <c r="P29" s="54">
        <v>0.91</v>
      </c>
      <c r="Q29" s="54">
        <v>5.59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11.97</v>
      </c>
      <c r="C30" s="54">
        <v>25.06</v>
      </c>
      <c r="D30" s="54">
        <v>24.72</v>
      </c>
      <c r="E30" s="54">
        <v>3.89</v>
      </c>
      <c r="F30" s="54">
        <v>2.16</v>
      </c>
      <c r="G30" s="54">
        <v>54.44</v>
      </c>
      <c r="H30" s="54">
        <v>19.64</v>
      </c>
      <c r="I30" s="54">
        <v>1.73</v>
      </c>
      <c r="J30" s="54">
        <v>0.30</v>
      </c>
      <c r="K30" s="54">
        <v>44.33</v>
      </c>
      <c r="L30" s="54">
        <v>25.64</v>
      </c>
      <c r="M30" s="54">
        <v>81.91</v>
      </c>
      <c r="N30" s="54">
        <v>26.70</v>
      </c>
      <c r="O30" s="54">
        <v>0</v>
      </c>
      <c r="P30" s="54">
        <v>1.01</v>
      </c>
      <c r="Q30" s="54">
        <v>5.38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9.1300000000000008</v>
      </c>
      <c r="C31" s="54">
        <v>16.57</v>
      </c>
      <c r="D31" s="54">
        <v>17.760000000000002</v>
      </c>
      <c r="E31" s="54">
        <v>4.0199999999999996</v>
      </c>
      <c r="F31" s="54">
        <v>2.87</v>
      </c>
      <c r="G31" s="54">
        <v>54.44</v>
      </c>
      <c r="H31" s="54">
        <v>19.64</v>
      </c>
      <c r="I31" s="54">
        <v>1.73</v>
      </c>
      <c r="J31" s="54">
        <v>0.34</v>
      </c>
      <c r="K31" s="54">
        <v>44.22</v>
      </c>
      <c r="L31" s="54">
        <v>24.93</v>
      </c>
      <c r="M31" s="54">
        <v>85.14</v>
      </c>
      <c r="N31" s="54">
        <v>26.80</v>
      </c>
      <c r="O31" s="54">
        <v>0</v>
      </c>
      <c r="P31" s="54">
        <v>0.76</v>
      </c>
      <c r="Q31" s="54">
        <v>2.38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5.73</v>
      </c>
      <c r="C32" s="54">
        <v>16.52</v>
      </c>
      <c r="D32" s="54">
        <v>15</v>
      </c>
      <c r="E32" s="54">
        <v>4.07</v>
      </c>
      <c r="F32" s="54">
        <v>12.19</v>
      </c>
      <c r="G32" s="54">
        <v>49.64</v>
      </c>
      <c r="H32" s="54">
        <v>14.63</v>
      </c>
      <c r="I32" s="54">
        <v>1.76</v>
      </c>
      <c r="J32" s="54">
        <v>0.34</v>
      </c>
      <c r="K32" s="54">
        <v>40.880000000000003</v>
      </c>
      <c r="L32" s="54">
        <v>24.17</v>
      </c>
      <c r="M32" s="54">
        <v>90.19</v>
      </c>
      <c r="N32" s="54">
        <v>26.70</v>
      </c>
      <c r="O32" s="54">
        <v>0</v>
      </c>
      <c r="P32" s="54">
        <v>0.59</v>
      </c>
      <c r="Q32" s="54">
        <v>3.80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3.2599999999999998</v>
      </c>
      <c r="C34" s="28">
        <f t="shared" si="0"/>
        <v>12.98</v>
      </c>
      <c r="D34" s="28">
        <f t="shared" si="0"/>
        <v>12.56</v>
      </c>
      <c r="E34" s="28">
        <f t="shared" si="0"/>
        <v>3.6699999999999999</v>
      </c>
      <c r="F34" s="28">
        <f t="shared" si="0"/>
        <v>0.89000000000000001</v>
      </c>
      <c r="G34" s="28">
        <f t="shared" si="0"/>
        <v>28.129999999999999</v>
      </c>
      <c r="H34" s="28">
        <f t="shared" si="0"/>
        <v>9.3900000000000006</v>
      </c>
      <c r="I34" s="28">
        <f t="shared" si="0"/>
        <v>1.6799999999999999</v>
      </c>
      <c r="J34" s="28">
        <f t="shared" si="0"/>
        <v>0.17000000000000001</v>
      </c>
      <c r="K34" s="28">
        <f t="shared" si="0"/>
        <v>15.800000000000001</v>
      </c>
      <c r="L34" s="28">
        <f t="shared" si="0"/>
        <v>23.27</v>
      </c>
      <c r="M34" s="28">
        <f t="shared" si="0"/>
        <v>51.579999999999998</v>
      </c>
      <c r="N34" s="28">
        <f t="shared" si="0"/>
        <v>23.399999999999999</v>
      </c>
      <c r="O34" s="28">
        <f t="shared" si="0"/>
        <v>0</v>
      </c>
      <c r="P34" s="28">
        <f t="shared" si="0"/>
        <v>0.26000000000000001</v>
      </c>
      <c r="Q34" s="28">
        <f t="shared" si="0"/>
        <v>0.46999999999999997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21.43</v>
      </c>
      <c r="C35" s="29">
        <f t="shared" si="1"/>
        <v>32.200000000000003</v>
      </c>
      <c r="D35" s="29">
        <f t="shared" si="1"/>
        <v>36.25</v>
      </c>
      <c r="E35" s="29">
        <f t="shared" si="1"/>
        <v>5.5099999999999998</v>
      </c>
      <c r="F35" s="29">
        <f t="shared" si="1"/>
        <v>12.19</v>
      </c>
      <c r="G35" s="29">
        <f t="shared" si="1"/>
        <v>56.329999999999998</v>
      </c>
      <c r="H35" s="29">
        <f t="shared" si="1"/>
        <v>19.640000000000001</v>
      </c>
      <c r="I35" s="29">
        <f t="shared" si="1"/>
        <v>1.77</v>
      </c>
      <c r="J35" s="29">
        <f t="shared" si="1"/>
        <v>0.92000000000000004</v>
      </c>
      <c r="K35" s="29">
        <f t="shared" si="1"/>
        <v>359.95999999999998</v>
      </c>
      <c r="L35" s="29">
        <f t="shared" si="1"/>
        <v>34.340000000000003</v>
      </c>
      <c r="M35" s="29">
        <f t="shared" si="1"/>
        <v>97.25</v>
      </c>
      <c r="N35" s="29">
        <f t="shared" si="1"/>
        <v>1071.9000000000001</v>
      </c>
      <c r="O35" s="29">
        <f t="shared" si="1"/>
        <v>0</v>
      </c>
      <c r="P35" s="29">
        <f t="shared" si="1"/>
        <v>1.01</v>
      </c>
      <c r="Q35" s="29">
        <f t="shared" si="1"/>
        <v>5.5899999999999999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7.9920833333333325</v>
      </c>
      <c r="C36" s="28">
        <f t="shared" si="2"/>
        <v>18.283333333333331</v>
      </c>
      <c r="D36" s="28">
        <f t="shared" si="2"/>
        <v>17.595833333333335</v>
      </c>
      <c r="E36" s="28">
        <f t="shared" si="2"/>
        <v>4.5187499999999998</v>
      </c>
      <c r="F36" s="28">
        <f t="shared" si="2"/>
        <v>4.9020833333333327</v>
      </c>
      <c r="G36" s="28">
        <f t="shared" si="2"/>
        <v>44.875000000000007</v>
      </c>
      <c r="H36" s="28">
        <f t="shared" si="2"/>
        <v>14.094583333333333</v>
      </c>
      <c r="I36" s="28">
        <f t="shared" si="2"/>
        <v>1.7379166666666663</v>
      </c>
      <c r="J36" s="28">
        <f t="shared" si="2"/>
        <v>0.42166666666666663</v>
      </c>
      <c r="K36" s="28">
        <f t="shared" si="2"/>
        <v>145.31291666666667</v>
      </c>
      <c r="L36" s="28">
        <f t="shared" si="2"/>
        <v>27.728749999999994</v>
      </c>
      <c r="M36" s="28">
        <f t="shared" si="2"/>
        <v>75.897500000000022</v>
      </c>
      <c r="N36" s="28">
        <f t="shared" si="2"/>
        <v>322.10416666666663</v>
      </c>
      <c r="O36" s="28">
        <f t="shared" si="2"/>
        <v>0</v>
      </c>
      <c r="P36" s="28">
        <f t="shared" si="2"/>
        <v>0.49208333333333337</v>
      </c>
      <c r="Q36" s="28">
        <f t="shared" si="2"/>
        <v>2.9478260869565212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3.6665586034800586</v>
      </c>
      <c r="C37" s="28">
        <f t="shared" si="3" ref="C37:Q37">STDEV(C9:C32)</f>
        <v>4.4261197715249585</v>
      </c>
      <c r="D37" s="28">
        <f t="shared" si="3"/>
        <v>5.1030510197473786</v>
      </c>
      <c r="E37" s="28">
        <f t="shared" si="3"/>
        <v>0.54358162060621329</v>
      </c>
      <c r="F37" s="28">
        <f t="shared" si="3"/>
        <v>3.0857061473083012</v>
      </c>
      <c r="G37" s="28">
        <f t="shared" si="3"/>
        <v>9.8200646416007054</v>
      </c>
      <c r="H37" s="28">
        <f t="shared" si="3"/>
        <v>2.6246688887100311</v>
      </c>
      <c r="I37" s="28">
        <f t="shared" si="3"/>
        <v>0.018645238736370008</v>
      </c>
      <c r="J37" s="28">
        <f t="shared" si="3"/>
        <v>0.21049975042155333</v>
      </c>
      <c r="K37" s="28">
        <f t="shared" si="3"/>
        <v>147.15004192642721</v>
      </c>
      <c r="L37" s="28">
        <f t="shared" si="3"/>
        <v>3.7391062783598326</v>
      </c>
      <c r="M37" s="28">
        <f t="shared" si="3"/>
        <v>15.755842325667709</v>
      </c>
      <c r="N37" s="28">
        <f t="shared" si="3"/>
        <v>387.71205415669732</v>
      </c>
      <c r="O37" s="28">
        <f t="shared" si="3"/>
        <v>0</v>
      </c>
      <c r="P37" s="28">
        <f t="shared" si="3"/>
        <v>0.18884037811283139</v>
      </c>
      <c r="Q37" s="28">
        <f t="shared" si="3"/>
        <v>1.3548899872204971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1bc883-fa52-451b-bd76-863b4843efd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0" sqref="I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4.79</v>
      </c>
      <c r="C9" s="54">
        <v>14.21</v>
      </c>
      <c r="D9" s="54">
        <v>12.97</v>
      </c>
      <c r="E9" s="54">
        <v>3.38</v>
      </c>
      <c r="F9" s="54">
        <v>2.29</v>
      </c>
      <c r="G9" s="54">
        <v>44.62</v>
      </c>
      <c r="H9" s="54">
        <v>16.09</v>
      </c>
      <c r="I9" s="54">
        <v>1.76</v>
      </c>
      <c r="J9" s="54">
        <v>0.25</v>
      </c>
      <c r="K9" s="54">
        <v>44.77</v>
      </c>
      <c r="L9" s="54">
        <v>23.81</v>
      </c>
      <c r="M9" s="54">
        <v>90.29</v>
      </c>
      <c r="N9" s="54">
        <v>26.5</v>
      </c>
      <c r="O9" s="54">
        <v>0</v>
      </c>
      <c r="P9" s="54">
        <v>0.49</v>
      </c>
      <c r="Q9" s="54">
        <v>2.93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3.81</v>
      </c>
      <c r="C10" s="54">
        <v>11.91</v>
      </c>
      <c r="D10" s="54">
        <v>10.73</v>
      </c>
      <c r="E10" s="54">
        <v>3.63</v>
      </c>
      <c r="F10" s="54">
        <v>4.6500000000000004</v>
      </c>
      <c r="G10" s="54">
        <v>38.229999999999997</v>
      </c>
      <c r="H10" s="54">
        <v>16.09</v>
      </c>
      <c r="I10" s="54">
        <v>1.75</v>
      </c>
      <c r="J10" s="54">
        <v>0.28000000000000003</v>
      </c>
      <c r="K10" s="54">
        <v>43.57</v>
      </c>
      <c r="L10" s="54">
        <v>23.71</v>
      </c>
      <c r="M10" s="54">
        <v>93.05</v>
      </c>
      <c r="N10" s="54">
        <v>26.70</v>
      </c>
      <c r="O10" s="54">
        <v>0</v>
      </c>
      <c r="P10" s="54">
        <v>0.39</v>
      </c>
      <c r="Q10" s="54">
        <v>1.1599999999999999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4.43</v>
      </c>
      <c r="C11" s="54">
        <v>12.04</v>
      </c>
      <c r="D11" s="54">
        <v>11.49</v>
      </c>
      <c r="E11" s="54">
        <v>3.56</v>
      </c>
      <c r="F11" s="54">
        <v>6.98</v>
      </c>
      <c r="G11" s="54">
        <v>26.38</v>
      </c>
      <c r="H11" s="54">
        <v>13.5</v>
      </c>
      <c r="I11" s="54">
        <v>1.74</v>
      </c>
      <c r="J11" s="54">
        <v>0.16</v>
      </c>
      <c r="K11" s="54">
        <v>44.59</v>
      </c>
      <c r="L11" s="54">
        <v>23.44</v>
      </c>
      <c r="M11" s="54">
        <v>95.83</v>
      </c>
      <c r="N11" s="54">
        <v>26.70</v>
      </c>
      <c r="O11" s="54">
        <v>0</v>
      </c>
      <c r="P11" s="54">
        <v>0.33</v>
      </c>
      <c r="Q11" s="54">
        <v>3.71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4.45</v>
      </c>
      <c r="C12" s="54">
        <v>11.49</v>
      </c>
      <c r="D12" s="54">
        <v>11.20</v>
      </c>
      <c r="E12" s="54">
        <v>5.40</v>
      </c>
      <c r="F12" s="54">
        <v>1.55</v>
      </c>
      <c r="G12" s="54">
        <v>23.51</v>
      </c>
      <c r="H12" s="54">
        <v>11.55</v>
      </c>
      <c r="I12" s="54">
        <v>1.74</v>
      </c>
      <c r="J12" s="54">
        <v>0.26</v>
      </c>
      <c r="K12" s="54">
        <v>39.299999999999997</v>
      </c>
      <c r="L12" s="54">
        <v>23.43</v>
      </c>
      <c r="M12" s="54">
        <v>97.15</v>
      </c>
      <c r="N12" s="54">
        <v>26.5</v>
      </c>
      <c r="O12" s="54">
        <v>0</v>
      </c>
      <c r="P12" s="54">
        <v>0.31</v>
      </c>
      <c r="Q12" s="54">
        <v>2.36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5.15</v>
      </c>
      <c r="C13" s="54">
        <v>14.62</v>
      </c>
      <c r="D13" s="54">
        <v>13.49</v>
      </c>
      <c r="E13" s="54">
        <v>5.39</v>
      </c>
      <c r="F13" s="54">
        <v>4.55</v>
      </c>
      <c r="G13" s="54">
        <v>23.51</v>
      </c>
      <c r="H13" s="54">
        <v>8.09</v>
      </c>
      <c r="I13" s="54">
        <v>1.77</v>
      </c>
      <c r="J13" s="54">
        <v>0.16</v>
      </c>
      <c r="K13" s="54">
        <v>39.549999999999997</v>
      </c>
      <c r="L13" s="54">
        <v>23.25</v>
      </c>
      <c r="M13" s="54">
        <v>97.25</v>
      </c>
      <c r="N13" s="54">
        <v>26.5</v>
      </c>
      <c r="O13" s="54">
        <v>0</v>
      </c>
      <c r="P13" s="54">
        <v>0.30</v>
      </c>
      <c r="Q13" s="54">
        <v>1.37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7.37</v>
      </c>
      <c r="C14" s="54">
        <v>15.54</v>
      </c>
      <c r="D14" s="54">
        <v>15.55</v>
      </c>
      <c r="E14" s="54">
        <v>6.09</v>
      </c>
      <c r="F14" s="54">
        <v>4.7300000000000004</v>
      </c>
      <c r="G14" s="54">
        <v>26.61</v>
      </c>
      <c r="H14" s="54">
        <v>5.66</v>
      </c>
      <c r="I14" s="54">
        <v>1.73</v>
      </c>
      <c r="J14" s="54">
        <v>0.28000000000000003</v>
      </c>
      <c r="K14" s="54">
        <v>354.32</v>
      </c>
      <c r="L14" s="54">
        <v>23.59</v>
      </c>
      <c r="M14" s="54">
        <v>97.25</v>
      </c>
      <c r="N14" s="54">
        <v>45.40</v>
      </c>
      <c r="O14" s="54">
        <v>0</v>
      </c>
      <c r="P14" s="54">
        <v>0.37</v>
      </c>
      <c r="Q14" s="54">
        <v>4.4000000000000004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11.82</v>
      </c>
      <c r="C15" s="54">
        <v>14.53</v>
      </c>
      <c r="D15" s="54">
        <v>18.57</v>
      </c>
      <c r="E15" s="54">
        <v>5.72</v>
      </c>
      <c r="F15" s="54">
        <v>1.1499999999999999</v>
      </c>
      <c r="G15" s="54">
        <v>34.86</v>
      </c>
      <c r="H15" s="54">
        <v>20.86</v>
      </c>
      <c r="I15" s="54">
        <v>1.73</v>
      </c>
      <c r="J15" s="54">
        <v>0.35</v>
      </c>
      <c r="K15" s="54">
        <v>353.86</v>
      </c>
      <c r="L15" s="54">
        <v>24.58</v>
      </c>
      <c r="M15" s="54">
        <v>95.5</v>
      </c>
      <c r="N15" s="54">
        <v>101</v>
      </c>
      <c r="O15" s="54">
        <v>0</v>
      </c>
      <c r="P15" s="54">
        <v>0.38</v>
      </c>
      <c r="Q15" s="54">
        <v>2.97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14.94</v>
      </c>
      <c r="C16" s="54">
        <v>18.079999999999998</v>
      </c>
      <c r="D16" s="54">
        <v>23.01</v>
      </c>
      <c r="E16" s="54">
        <v>5.24</v>
      </c>
      <c r="F16" s="54">
        <v>2.60</v>
      </c>
      <c r="G16" s="54">
        <v>50.98</v>
      </c>
      <c r="H16" s="54">
        <v>20.86</v>
      </c>
      <c r="I16" s="54">
        <v>1.72</v>
      </c>
      <c r="J16" s="54">
        <v>0.5</v>
      </c>
      <c r="K16" s="54">
        <v>355.5</v>
      </c>
      <c r="L16" s="54">
        <v>29.85</v>
      </c>
      <c r="M16" s="54">
        <v>89.44</v>
      </c>
      <c r="N16" s="54">
        <v>459.5</v>
      </c>
      <c r="O16" s="54">
        <v>0</v>
      </c>
      <c r="P16" s="54">
        <v>0.43</v>
      </c>
      <c r="Q16" s="54">
        <v>4.95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14.21</v>
      </c>
      <c r="C17" s="54">
        <v>19.170000000000002</v>
      </c>
      <c r="D17" s="54">
        <v>23.26</v>
      </c>
      <c r="E17" s="54">
        <v>3.89</v>
      </c>
      <c r="F17" s="54">
        <v>4.59</v>
      </c>
      <c r="G17" s="54">
        <v>54.87</v>
      </c>
      <c r="H17" s="54">
        <v>23.24</v>
      </c>
      <c r="I17" s="54">
        <v>1.74</v>
      </c>
      <c r="J17" s="54">
        <v>0.70</v>
      </c>
      <c r="K17" s="54">
        <v>354.08</v>
      </c>
      <c r="L17" s="54">
        <v>30.24</v>
      </c>
      <c r="M17" s="54">
        <v>73.77</v>
      </c>
      <c r="N17" s="54">
        <v>351.5</v>
      </c>
      <c r="O17" s="54">
        <v>0</v>
      </c>
      <c r="P17" s="54">
        <v>0.48</v>
      </c>
      <c r="Q17" s="54">
        <v>5.58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14.16</v>
      </c>
      <c r="C18" s="54">
        <v>16.23</v>
      </c>
      <c r="D18" s="54">
        <v>21.61</v>
      </c>
      <c r="E18" s="54">
        <v>3.77</v>
      </c>
      <c r="F18" s="54">
        <v>2.0099999999999998</v>
      </c>
      <c r="G18" s="54">
        <v>59</v>
      </c>
      <c r="H18" s="54">
        <v>23.24</v>
      </c>
      <c r="I18" s="54">
        <v>1.72</v>
      </c>
      <c r="J18" s="54">
        <v>0.87</v>
      </c>
      <c r="K18" s="54">
        <v>354.45</v>
      </c>
      <c r="L18" s="54">
        <v>29.76</v>
      </c>
      <c r="M18" s="54">
        <v>74.44</v>
      </c>
      <c r="N18" s="54">
        <v>523.5</v>
      </c>
      <c r="O18" s="54">
        <v>0</v>
      </c>
      <c r="P18" s="54">
        <v>0.48</v>
      </c>
      <c r="Q18" s="54">
        <v>3.80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11.10</v>
      </c>
      <c r="C19" s="54">
        <v>22.01</v>
      </c>
      <c r="D19" s="54">
        <v>21.17</v>
      </c>
      <c r="E19" s="54">
        <v>3.89</v>
      </c>
      <c r="F19" s="54">
        <v>7.04</v>
      </c>
      <c r="G19" s="54">
        <v>61.42</v>
      </c>
      <c r="H19" s="54">
        <v>18.30</v>
      </c>
      <c r="I19" s="54">
        <v>1.78</v>
      </c>
      <c r="J19" s="54">
        <v>0.80</v>
      </c>
      <c r="K19" s="54">
        <v>358.87</v>
      </c>
      <c r="L19" s="54">
        <v>32.31</v>
      </c>
      <c r="M19" s="54">
        <v>64.08</v>
      </c>
      <c r="N19" s="54">
        <v>732.5</v>
      </c>
      <c r="O19" s="54">
        <v>0</v>
      </c>
      <c r="P19" s="54">
        <v>0.56000000000000005</v>
      </c>
      <c r="Q19" s="54">
        <v>4.1900000000000004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8.7200000000000006</v>
      </c>
      <c r="C20" s="54">
        <v>22.79</v>
      </c>
      <c r="D20" s="54">
        <v>20.86</v>
      </c>
      <c r="E20" s="54">
        <v>3.98</v>
      </c>
      <c r="F20" s="54">
        <v>6.56</v>
      </c>
      <c r="G20" s="54">
        <v>61.42</v>
      </c>
      <c r="H20" s="54">
        <v>18.30</v>
      </c>
      <c r="I20" s="54">
        <v>1.73</v>
      </c>
      <c r="J20" s="54">
        <v>1.1100000000000001</v>
      </c>
      <c r="K20" s="54">
        <v>355.78</v>
      </c>
      <c r="L20" s="54">
        <v>32.26</v>
      </c>
      <c r="M20" s="54">
        <v>58.52</v>
      </c>
      <c r="N20" s="54">
        <v>599.60</v>
      </c>
      <c r="O20" s="54">
        <v>0</v>
      </c>
      <c r="P20" s="54">
        <v>0.59</v>
      </c>
      <c r="Q20" s="54">
        <v>3.29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7.52</v>
      </c>
      <c r="C21" s="54">
        <v>24.82</v>
      </c>
      <c r="D21" s="54">
        <v>21.03</v>
      </c>
      <c r="E21" s="54">
        <v>4.20</v>
      </c>
      <c r="F21" s="54">
        <v>6.75</v>
      </c>
      <c r="G21" s="54">
        <v>53.20</v>
      </c>
      <c r="H21" s="54">
        <v>17.100000000000001</v>
      </c>
      <c r="I21" s="54">
        <v>1.79</v>
      </c>
      <c r="J21" s="54">
        <v>0.87</v>
      </c>
      <c r="K21" s="54">
        <v>357.06</v>
      </c>
      <c r="L21" s="54">
        <v>31.13</v>
      </c>
      <c r="M21" s="54">
        <v>61.83</v>
      </c>
      <c r="N21" s="54">
        <v>472.80</v>
      </c>
      <c r="O21" s="54">
        <v>0</v>
      </c>
      <c r="P21" s="54">
        <v>0.56999999999999995</v>
      </c>
      <c r="Q21" s="54">
        <v>1.24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8.9499999999999993</v>
      </c>
      <c r="C22" s="54">
        <v>22.35</v>
      </c>
      <c r="D22" s="54">
        <v>20.80</v>
      </c>
      <c r="E22" s="54">
        <v>4.72</v>
      </c>
      <c r="F22" s="54">
        <v>8.64</v>
      </c>
      <c r="G22" s="54">
        <v>55.19</v>
      </c>
      <c r="H22" s="54">
        <v>16.649999999999999</v>
      </c>
      <c r="I22" s="54">
        <v>1.75</v>
      </c>
      <c r="J22" s="54">
        <v>0.78</v>
      </c>
      <c r="K22" s="54">
        <v>357.80</v>
      </c>
      <c r="L22" s="54">
        <v>31.69</v>
      </c>
      <c r="M22" s="54">
        <v>60.45</v>
      </c>
      <c r="N22" s="54">
        <v>505.5</v>
      </c>
      <c r="O22" s="54">
        <v>0</v>
      </c>
      <c r="P22" s="54">
        <v>0.57999999999999996</v>
      </c>
      <c r="Q22" s="54">
        <v>2.75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10.41</v>
      </c>
      <c r="C23" s="54">
        <v>22.74</v>
      </c>
      <c r="D23" s="54">
        <v>20.84</v>
      </c>
      <c r="E23" s="54">
        <v>5.04</v>
      </c>
      <c r="F23" s="54">
        <v>9.35</v>
      </c>
      <c r="G23" s="54">
        <v>74.959999999999994</v>
      </c>
      <c r="H23" s="54">
        <v>16.649999999999999</v>
      </c>
      <c r="I23" s="54">
        <v>1.74</v>
      </c>
      <c r="J23" s="54">
        <v>1.24</v>
      </c>
      <c r="K23" s="54">
        <v>354.20</v>
      </c>
      <c r="L23" s="54">
        <v>30.61</v>
      </c>
      <c r="M23" s="54">
        <v>61.92</v>
      </c>
      <c r="N23" s="54">
        <v>289.89999999999998</v>
      </c>
      <c r="O23" s="54">
        <v>0</v>
      </c>
      <c r="P23" s="54">
        <v>0.56000000000000005</v>
      </c>
      <c r="Q23" s="54">
        <v>4.8600000000000003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7.38</v>
      </c>
      <c r="C24" s="54">
        <v>24.61</v>
      </c>
      <c r="D24" s="54">
        <v>20.43</v>
      </c>
      <c r="E24" s="54">
        <v>4.7300000000000004</v>
      </c>
      <c r="F24" s="54">
        <v>7.44</v>
      </c>
      <c r="G24" s="54">
        <v>74.959999999999994</v>
      </c>
      <c r="H24" s="54">
        <v>12.12</v>
      </c>
      <c r="I24" s="54">
        <v>1.73</v>
      </c>
      <c r="J24" s="54">
        <v>0.77</v>
      </c>
      <c r="K24" s="54">
        <v>356.91</v>
      </c>
      <c r="L24" s="54">
        <v>30.13</v>
      </c>
      <c r="M24" s="54">
        <v>68.989999999999995</v>
      </c>
      <c r="N24" s="54">
        <v>272.60000000000002</v>
      </c>
      <c r="O24" s="54">
        <v>0</v>
      </c>
      <c r="P24" s="54">
        <v>0.54</v>
      </c>
      <c r="Q24" s="54">
        <v>10.199999999999999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7.26</v>
      </c>
      <c r="C25" s="54">
        <v>26.31</v>
      </c>
      <c r="D25" s="54">
        <v>19.850000000000001</v>
      </c>
      <c r="E25" s="54">
        <v>4.99</v>
      </c>
      <c r="F25" s="54">
        <v>18.18</v>
      </c>
      <c r="G25" s="54">
        <v>72.19</v>
      </c>
      <c r="H25" s="54">
        <v>15.60</v>
      </c>
      <c r="I25" s="54">
        <v>0.28999999999999998</v>
      </c>
      <c r="J25" s="54">
        <v>0.89</v>
      </c>
      <c r="K25" s="54">
        <v>164.69</v>
      </c>
      <c r="L25" s="54">
        <v>27.86</v>
      </c>
      <c r="M25" s="54">
        <v>86.92</v>
      </c>
      <c r="N25" s="54">
        <v>78.20</v>
      </c>
      <c r="O25" s="54">
        <v>0.40</v>
      </c>
      <c r="P25" s="54">
        <v>0.52</v>
      </c>
      <c r="Q25" s="54">
        <v>13.21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7.86</v>
      </c>
      <c r="C26" s="54">
        <v>25.96</v>
      </c>
      <c r="D26" s="54">
        <v>21.92</v>
      </c>
      <c r="E26" s="54">
        <v>4.91</v>
      </c>
      <c r="F26" s="54">
        <v>4.8499999999999996</v>
      </c>
      <c r="G26" s="54">
        <v>57.35</v>
      </c>
      <c r="H26" s="54">
        <v>15.60</v>
      </c>
      <c r="I26" s="54">
        <v>0.34</v>
      </c>
      <c r="J26" s="54">
        <v>1.67</v>
      </c>
      <c r="K26" s="54">
        <v>356.51</v>
      </c>
      <c r="L26" s="54">
        <v>23.47</v>
      </c>
      <c r="M26" s="54">
        <v>97.55</v>
      </c>
      <c r="N26" s="54">
        <v>9.1999999999999993</v>
      </c>
      <c r="O26" s="54">
        <v>27.20</v>
      </c>
      <c r="P26" s="54">
        <v>0.5</v>
      </c>
      <c r="Q26" s="54">
        <v>10.79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5.90</v>
      </c>
      <c r="C27" s="54">
        <v>16.920000000000002</v>
      </c>
      <c r="D27" s="54">
        <v>15.16</v>
      </c>
      <c r="E27" s="54">
        <v>4.4800000000000004</v>
      </c>
      <c r="F27" s="54">
        <v>2.0299999999999998</v>
      </c>
      <c r="G27" s="54">
        <v>53.34</v>
      </c>
      <c r="H27" s="54">
        <v>12.39</v>
      </c>
      <c r="I27" s="54">
        <v>0.28999999999999998</v>
      </c>
      <c r="J27" s="54">
        <v>0.95</v>
      </c>
      <c r="K27" s="54">
        <v>104.77</v>
      </c>
      <c r="L27" s="54">
        <v>20.79</v>
      </c>
      <c r="M27" s="54">
        <v>97.60</v>
      </c>
      <c r="N27" s="54">
        <v>5.80</v>
      </c>
      <c r="O27" s="54">
        <v>5</v>
      </c>
      <c r="P27" s="54">
        <v>0.43</v>
      </c>
      <c r="Q27" s="54">
        <v>8.42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19.18</v>
      </c>
      <c r="C28" s="54">
        <v>27.46</v>
      </c>
      <c r="D28" s="54">
        <v>31.83</v>
      </c>
      <c r="E28" s="54">
        <v>5.0599999999999996</v>
      </c>
      <c r="F28" s="54">
        <v>2.96</v>
      </c>
      <c r="G28" s="54">
        <v>35.479999999999997</v>
      </c>
      <c r="H28" s="54">
        <v>9.98</v>
      </c>
      <c r="I28" s="54">
        <v>0.5</v>
      </c>
      <c r="J28" s="54">
        <v>0.28999999999999998</v>
      </c>
      <c r="K28" s="54">
        <v>356.23</v>
      </c>
      <c r="L28" s="54">
        <v>21.47</v>
      </c>
      <c r="M28" s="54">
        <v>97.60</v>
      </c>
      <c r="N28" s="54">
        <v>5.60</v>
      </c>
      <c r="O28" s="54">
        <v>0.80</v>
      </c>
      <c r="P28" s="54">
        <v>0.86</v>
      </c>
      <c r="Q28" s="54">
        <v>14.51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11.48</v>
      </c>
      <c r="C29" s="54">
        <v>16.28</v>
      </c>
      <c r="D29" s="54">
        <v>19.20</v>
      </c>
      <c r="E29" s="54">
        <v>4.3099999999999996</v>
      </c>
      <c r="F29" s="54">
        <v>1.52</v>
      </c>
      <c r="G29" s="54">
        <v>26.88</v>
      </c>
      <c r="H29" s="54">
        <v>8.9600000000000009</v>
      </c>
      <c r="I29" s="54">
        <v>0.5</v>
      </c>
      <c r="J29" s="54">
        <v>0.27</v>
      </c>
      <c r="K29" s="54">
        <v>355.47</v>
      </c>
      <c r="L29" s="54">
        <v>21.46</v>
      </c>
      <c r="M29" s="54">
        <v>97.63</v>
      </c>
      <c r="N29" s="54">
        <v>5.60</v>
      </c>
      <c r="O29" s="54">
        <v>0.80</v>
      </c>
      <c r="P29" s="54">
        <v>0.61</v>
      </c>
      <c r="Q29" s="54">
        <v>14.82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12.36</v>
      </c>
      <c r="C30" s="54">
        <v>17.14</v>
      </c>
      <c r="D30" s="54">
        <v>20.66</v>
      </c>
      <c r="E30" s="54">
        <v>3.74</v>
      </c>
      <c r="F30" s="54">
        <v>0.68</v>
      </c>
      <c r="G30" s="54">
        <v>23.13</v>
      </c>
      <c r="H30" s="54">
        <v>6.33</v>
      </c>
      <c r="I30" s="54">
        <v>0.41</v>
      </c>
      <c r="J30" s="54">
        <v>0.5</v>
      </c>
      <c r="K30" s="54">
        <v>349.07</v>
      </c>
      <c r="L30" s="54">
        <v>21.5</v>
      </c>
      <c r="M30" s="54">
        <v>97.65</v>
      </c>
      <c r="N30" s="54">
        <v>5.80</v>
      </c>
      <c r="O30" s="54">
        <v>0</v>
      </c>
      <c r="P30" s="54">
        <v>0.61</v>
      </c>
      <c r="Q30" s="54">
        <v>12.06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12.41</v>
      </c>
      <c r="C31" s="54">
        <v>18.510000000000002</v>
      </c>
      <c r="D31" s="54">
        <v>21.39</v>
      </c>
      <c r="E31" s="54">
        <v>4.3899999999999997</v>
      </c>
      <c r="F31" s="54">
        <v>1.61</v>
      </c>
      <c r="G31" s="54">
        <v>18.12</v>
      </c>
      <c r="H31" s="54">
        <v>7.39</v>
      </c>
      <c r="I31" s="54">
        <v>0.47</v>
      </c>
      <c r="J31" s="54">
        <v>0.40</v>
      </c>
      <c r="K31" s="54">
        <v>332.37</v>
      </c>
      <c r="L31" s="54">
        <v>21.35</v>
      </c>
      <c r="M31" s="54">
        <v>97.67</v>
      </c>
      <c r="N31" s="54">
        <v>5.80</v>
      </c>
      <c r="O31" s="54">
        <v>0</v>
      </c>
      <c r="P31" s="54">
        <v>0.60</v>
      </c>
      <c r="Q31" s="54">
        <v>13.73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11.24</v>
      </c>
      <c r="C32" s="54">
        <v>15.78</v>
      </c>
      <c r="D32" s="54">
        <v>19.02</v>
      </c>
      <c r="E32" s="54">
        <v>4.0999999999999996</v>
      </c>
      <c r="F32" s="54">
        <v>2</v>
      </c>
      <c r="G32" s="54">
        <v>18.12</v>
      </c>
      <c r="H32" s="54">
        <v>7.39</v>
      </c>
      <c r="I32" s="54">
        <v>0.46</v>
      </c>
      <c r="J32" s="54">
        <v>0.28999999999999998</v>
      </c>
      <c r="K32" s="54">
        <v>350.64</v>
      </c>
      <c r="L32" s="54">
        <v>21.35</v>
      </c>
      <c r="M32" s="54">
        <v>97.65</v>
      </c>
      <c r="N32" s="54">
        <v>5.60</v>
      </c>
      <c r="O32" s="54">
        <v>0.20</v>
      </c>
      <c r="P32" s="54">
        <v>0.53</v>
      </c>
      <c r="Q32" s="54">
        <v>12.96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3.8100000000000001</v>
      </c>
      <c r="C34" s="28">
        <f t="shared" si="0"/>
        <v>11.49</v>
      </c>
      <c r="D34" s="28">
        <f t="shared" si="0"/>
        <v>10.73</v>
      </c>
      <c r="E34" s="28">
        <f t="shared" si="0"/>
        <v>3.3799999999999999</v>
      </c>
      <c r="F34" s="28">
        <f t="shared" si="0"/>
        <v>0.68000000000000005</v>
      </c>
      <c r="G34" s="28">
        <f t="shared" si="0"/>
        <v>18.120000000000001</v>
      </c>
      <c r="H34" s="28">
        <f t="shared" si="0"/>
        <v>5.6600000000000001</v>
      </c>
      <c r="I34" s="28">
        <f t="shared" si="0"/>
        <v>0.28999999999999998</v>
      </c>
      <c r="J34" s="28">
        <f t="shared" si="0"/>
        <v>0.16</v>
      </c>
      <c r="K34" s="28">
        <f t="shared" si="0"/>
        <v>39.299999999999997</v>
      </c>
      <c r="L34" s="28">
        <f t="shared" si="0"/>
        <v>20.789999999999999</v>
      </c>
      <c r="M34" s="28">
        <f t="shared" si="0"/>
        <v>58.520000000000003</v>
      </c>
      <c r="N34" s="28">
        <f t="shared" si="0"/>
        <v>5.5999999999999996</v>
      </c>
      <c r="O34" s="28">
        <f t="shared" si="0"/>
        <v>0</v>
      </c>
      <c r="P34" s="28">
        <f t="shared" si="0"/>
        <v>0.29999999999999999</v>
      </c>
      <c r="Q34" s="28">
        <f t="shared" si="0"/>
        <v>1.1599999999999999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19.18</v>
      </c>
      <c r="C35" s="29">
        <f t="shared" si="1"/>
        <v>27.460000000000001</v>
      </c>
      <c r="D35" s="29">
        <f t="shared" si="1"/>
        <v>31.829999999999998</v>
      </c>
      <c r="E35" s="29">
        <f t="shared" si="1"/>
        <v>6.0899999999999999</v>
      </c>
      <c r="F35" s="29">
        <f t="shared" si="1"/>
        <v>18.18</v>
      </c>
      <c r="G35" s="29">
        <f t="shared" si="1"/>
        <v>74.959999999999994</v>
      </c>
      <c r="H35" s="29">
        <f t="shared" si="1"/>
        <v>23.239999999999998</v>
      </c>
      <c r="I35" s="29">
        <f t="shared" si="1"/>
        <v>1.79</v>
      </c>
      <c r="J35" s="29">
        <f t="shared" si="1"/>
        <v>1.6699999999999999</v>
      </c>
      <c r="K35" s="29">
        <f t="shared" si="1"/>
        <v>358.87</v>
      </c>
      <c r="L35" s="29">
        <f t="shared" si="1"/>
        <v>32.310000000000002</v>
      </c>
      <c r="M35" s="29">
        <f t="shared" si="1"/>
        <v>97.670000000000002</v>
      </c>
      <c r="N35" s="29">
        <f t="shared" si="1"/>
        <v>732.5</v>
      </c>
      <c r="O35" s="29">
        <f t="shared" si="1"/>
        <v>27.199999999999999</v>
      </c>
      <c r="P35" s="29">
        <f t="shared" si="1"/>
        <v>0.85999999999999999</v>
      </c>
      <c r="Q35" s="29">
        <f t="shared" si="1"/>
        <v>14.82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9.4541666666666675</v>
      </c>
      <c r="C36" s="28">
        <f t="shared" si="2"/>
        <v>18.812499999999996</v>
      </c>
      <c r="D36" s="28">
        <f t="shared" si="2"/>
        <v>19.001666666666669</v>
      </c>
      <c r="E36" s="28">
        <f t="shared" si="2"/>
        <v>4.5254166666666666</v>
      </c>
      <c r="F36" s="28">
        <f t="shared" si="2"/>
        <v>4.7795833333333331</v>
      </c>
      <c r="G36" s="28">
        <f t="shared" si="2"/>
        <v>44.513749999999995</v>
      </c>
      <c r="H36" s="28">
        <f t="shared" si="2"/>
        <v>14.2475</v>
      </c>
      <c r="I36" s="28">
        <f t="shared" si="2"/>
        <v>1.2991666666666666</v>
      </c>
      <c r="J36" s="28">
        <f t="shared" si="2"/>
        <v>0.60999999999999999</v>
      </c>
      <c r="K36" s="28">
        <f t="shared" si="2"/>
        <v>270.59833333333341</v>
      </c>
      <c r="L36" s="28">
        <f t="shared" si="2"/>
        <v>25.960000000000004</v>
      </c>
      <c r="M36" s="28">
        <f t="shared" si="2"/>
        <v>85.41791666666667</v>
      </c>
      <c r="N36" s="28">
        <f t="shared" si="2"/>
        <v>192.01250000000007</v>
      </c>
      <c r="O36" s="28">
        <f t="shared" si="2"/>
        <v>1.4333333333333329</v>
      </c>
      <c r="P36" s="28">
        <f t="shared" si="2"/>
        <v>0.50083333333333324</v>
      </c>
      <c r="Q36" s="28">
        <f t="shared" si="2"/>
        <v>6.6774999999999993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3.9493058461793842</v>
      </c>
      <c r="C37" s="28">
        <f t="shared" si="3" ref="C37:Q37">STDEV(C9:C32)</f>
        <v>4.8906132361992434</v>
      </c>
      <c r="D37" s="28">
        <f t="shared" si="3"/>
        <v>4.7710746822061232</v>
      </c>
      <c r="E37" s="28">
        <f t="shared" si="3"/>
        <v>0.73968253570243669</v>
      </c>
      <c r="F37" s="28">
        <f t="shared" si="3"/>
        <v>3.8326701773575294</v>
      </c>
      <c r="G37" s="28">
        <f t="shared" si="3"/>
        <v>18.521495341195127</v>
      </c>
      <c r="H37" s="28">
        <f t="shared" si="3"/>
        <v>5.2854733242037639</v>
      </c>
      <c r="I37" s="28">
        <f t="shared" si="3"/>
        <v>0.64616538915739441</v>
      </c>
      <c r="J37" s="28">
        <f t="shared" si="3"/>
        <v>0.39174081937579275</v>
      </c>
      <c r="K37" s="28">
        <f t="shared" si="3"/>
        <v>134.68672807236996</v>
      </c>
      <c r="L37" s="28">
        <f t="shared" si="3"/>
        <v>4.1865353528746434</v>
      </c>
      <c r="M37" s="28">
        <f t="shared" si="3"/>
        <v>15.04690607492231</v>
      </c>
      <c r="N37" s="28">
        <f t="shared" si="3"/>
        <v>235.86864309076404</v>
      </c>
      <c r="O37" s="28">
        <f t="shared" si="3"/>
        <v>5.5834122858358919</v>
      </c>
      <c r="P37" s="28">
        <f t="shared" si="3"/>
        <v>0.12377808567251995</v>
      </c>
      <c r="Q37" s="28">
        <f t="shared" si="3"/>
        <v>4.7471723849228304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4872e6-9881-4455-af4c-fd8eb9eac5f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9.1199999999999992</v>
      </c>
      <c r="C9" s="54">
        <v>13.48</v>
      </c>
      <c r="D9" s="54">
        <v>16.05</v>
      </c>
      <c r="E9" s="54">
        <v>4.5</v>
      </c>
      <c r="F9" s="54">
        <v>0.87</v>
      </c>
      <c r="G9" s="54">
        <v>17.12</v>
      </c>
      <c r="H9" s="54">
        <v>6.42</v>
      </c>
      <c r="I9" s="54">
        <v>0.39</v>
      </c>
      <c r="J9" s="54">
        <v>0.28999999999999998</v>
      </c>
      <c r="K9" s="54">
        <v>351.57</v>
      </c>
      <c r="L9" s="54">
        <v>21.5</v>
      </c>
      <c r="M9" s="54">
        <v>97.62</v>
      </c>
      <c r="N9" s="54">
        <v>5.70</v>
      </c>
      <c r="O9" s="54">
        <v>0</v>
      </c>
      <c r="P9" s="54">
        <v>0.47</v>
      </c>
      <c r="Q9" s="54">
        <v>9.76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6.89</v>
      </c>
      <c r="C10" s="54">
        <v>14.82</v>
      </c>
      <c r="D10" s="54">
        <v>14.35</v>
      </c>
      <c r="E10" s="54">
        <v>4.5</v>
      </c>
      <c r="F10" s="54">
        <v>3.55</v>
      </c>
      <c r="G10" s="54">
        <v>17.809999999999999</v>
      </c>
      <c r="H10" s="54">
        <v>7.19</v>
      </c>
      <c r="I10" s="54">
        <v>0.38</v>
      </c>
      <c r="J10" s="54">
        <v>0.19</v>
      </c>
      <c r="K10" s="54">
        <v>359.84</v>
      </c>
      <c r="L10" s="54">
        <v>21.49</v>
      </c>
      <c r="M10" s="54">
        <v>97.53</v>
      </c>
      <c r="N10" s="54">
        <v>5.80</v>
      </c>
      <c r="O10" s="54">
        <v>0</v>
      </c>
      <c r="P10" s="54">
        <v>0.42</v>
      </c>
      <c r="Q10" s="54">
        <v>10.85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6.35</v>
      </c>
      <c r="C11" s="54">
        <v>13.91</v>
      </c>
      <c r="D11" s="54">
        <v>14.03</v>
      </c>
      <c r="E11" s="54">
        <v>4.4800000000000004</v>
      </c>
      <c r="F11" s="54">
        <v>1.78</v>
      </c>
      <c r="G11" s="54">
        <v>17.809999999999999</v>
      </c>
      <c r="H11" s="54">
        <v>7.19</v>
      </c>
      <c r="I11" s="54">
        <v>0.34</v>
      </c>
      <c r="J11" s="54">
        <v>0.19</v>
      </c>
      <c r="K11" s="54">
        <v>31.04</v>
      </c>
      <c r="L11" s="54">
        <v>21.45</v>
      </c>
      <c r="M11" s="54">
        <v>97.43</v>
      </c>
      <c r="N11" s="54">
        <v>5.80</v>
      </c>
      <c r="O11" s="54">
        <v>0</v>
      </c>
      <c r="P11" s="54">
        <v>0.46</v>
      </c>
      <c r="Q11" s="54">
        <v>11.18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5.70</v>
      </c>
      <c r="C12" s="54">
        <v>11.55</v>
      </c>
      <c r="D12" s="54">
        <v>12.23</v>
      </c>
      <c r="E12" s="54">
        <v>5.01</v>
      </c>
      <c r="F12" s="54">
        <v>1.48</v>
      </c>
      <c r="G12" s="54">
        <v>17.16</v>
      </c>
      <c r="H12" s="54">
        <v>7.58</v>
      </c>
      <c r="I12" s="54">
        <v>0.41</v>
      </c>
      <c r="J12" s="54">
        <v>0.21</v>
      </c>
      <c r="K12" s="54">
        <v>26.37</v>
      </c>
      <c r="L12" s="54">
        <v>21.52</v>
      </c>
      <c r="M12" s="54">
        <v>97.63</v>
      </c>
      <c r="N12" s="54">
        <v>5.90</v>
      </c>
      <c r="O12" s="54">
        <v>0</v>
      </c>
      <c r="P12" s="54">
        <v>0.43</v>
      </c>
      <c r="Q12" s="54">
        <v>8.61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4.75</v>
      </c>
      <c r="C13" s="54">
        <v>12.43</v>
      </c>
      <c r="D13" s="54">
        <v>11.96</v>
      </c>
      <c r="E13" s="54">
        <v>5.82</v>
      </c>
      <c r="F13" s="54">
        <v>5.0599999999999996</v>
      </c>
      <c r="G13" s="54">
        <v>19.07</v>
      </c>
      <c r="H13" s="54">
        <v>7.58</v>
      </c>
      <c r="I13" s="54">
        <v>0.36</v>
      </c>
      <c r="J13" s="54">
        <v>0.20</v>
      </c>
      <c r="K13" s="54">
        <v>24.12</v>
      </c>
      <c r="L13" s="54">
        <v>21.76</v>
      </c>
      <c r="M13" s="54">
        <v>97.63</v>
      </c>
      <c r="N13" s="54">
        <v>5.80</v>
      </c>
      <c r="O13" s="54">
        <v>0</v>
      </c>
      <c r="P13" s="54">
        <v>0.38</v>
      </c>
      <c r="Q13" s="54">
        <v>9.69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5.13</v>
      </c>
      <c r="C14" s="54">
        <v>12</v>
      </c>
      <c r="D14" s="54">
        <v>11.93</v>
      </c>
      <c r="E14" s="54">
        <v>5.45</v>
      </c>
      <c r="F14" s="54">
        <v>1.82</v>
      </c>
      <c r="G14" s="54">
        <v>19.07</v>
      </c>
      <c r="H14" s="54">
        <v>6.75</v>
      </c>
      <c r="I14" s="54">
        <v>0.28999999999999998</v>
      </c>
      <c r="J14" s="54">
        <v>0.18</v>
      </c>
      <c r="K14" s="54">
        <v>27.54</v>
      </c>
      <c r="L14" s="54">
        <v>21.80</v>
      </c>
      <c r="M14" s="54">
        <v>97.65</v>
      </c>
      <c r="N14" s="54">
        <v>11.10</v>
      </c>
      <c r="O14" s="54">
        <v>0</v>
      </c>
      <c r="P14" s="54">
        <v>0.37</v>
      </c>
      <c r="Q14" s="54">
        <v>10.28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6.25</v>
      </c>
      <c r="C15" s="54">
        <v>11.89</v>
      </c>
      <c r="D15" s="54">
        <v>12.77</v>
      </c>
      <c r="E15" s="54">
        <v>4.92</v>
      </c>
      <c r="F15" s="54">
        <v>1.30</v>
      </c>
      <c r="G15" s="54">
        <v>17.87</v>
      </c>
      <c r="H15" s="54">
        <v>9.49</v>
      </c>
      <c r="I15" s="54">
        <v>0.30</v>
      </c>
      <c r="J15" s="54">
        <v>0.20</v>
      </c>
      <c r="K15" s="54">
        <v>26.49</v>
      </c>
      <c r="L15" s="54">
        <v>22.09</v>
      </c>
      <c r="M15" s="54">
        <v>97.65</v>
      </c>
      <c r="N15" s="54">
        <v>57.40</v>
      </c>
      <c r="O15" s="54">
        <v>0</v>
      </c>
      <c r="P15" s="54">
        <v>0.36</v>
      </c>
      <c r="Q15" s="54">
        <v>8.91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10.65</v>
      </c>
      <c r="C16" s="54">
        <v>16.809999999999999</v>
      </c>
      <c r="D16" s="54">
        <v>18.23</v>
      </c>
      <c r="E16" s="54">
        <v>5.85</v>
      </c>
      <c r="F16" s="54">
        <v>3.47</v>
      </c>
      <c r="G16" s="54">
        <v>22.93</v>
      </c>
      <c r="H16" s="54">
        <v>9.49</v>
      </c>
      <c r="I16" s="54">
        <v>0.28000000000000003</v>
      </c>
      <c r="J16" s="54">
        <v>0.18</v>
      </c>
      <c r="K16" s="54">
        <v>347.57</v>
      </c>
      <c r="L16" s="54">
        <v>22.84</v>
      </c>
      <c r="M16" s="54">
        <v>97.67</v>
      </c>
      <c r="N16" s="54">
        <v>134.80000000000001</v>
      </c>
      <c r="O16" s="54">
        <v>0</v>
      </c>
      <c r="P16" s="54">
        <v>0.45</v>
      </c>
      <c r="Q16" s="54">
        <v>11.67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9.68</v>
      </c>
      <c r="C17" s="54">
        <v>14.29</v>
      </c>
      <c r="D17" s="54">
        <v>16.940000000000001</v>
      </c>
      <c r="E17" s="54">
        <v>3.89</v>
      </c>
      <c r="F17" s="54">
        <v>1.03</v>
      </c>
      <c r="G17" s="54">
        <v>27.62</v>
      </c>
      <c r="H17" s="54">
        <v>9.67</v>
      </c>
      <c r="I17" s="54">
        <v>0.33</v>
      </c>
      <c r="J17" s="54">
        <v>0.21</v>
      </c>
      <c r="K17" s="54">
        <v>353.25</v>
      </c>
      <c r="L17" s="54">
        <v>24.66</v>
      </c>
      <c r="M17" s="54">
        <v>97.65</v>
      </c>
      <c r="N17" s="54">
        <v>452.40</v>
      </c>
      <c r="O17" s="54">
        <v>0</v>
      </c>
      <c r="P17" s="54">
        <v>0.47</v>
      </c>
      <c r="Q17" s="54">
        <v>12.14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14.09</v>
      </c>
      <c r="C18" s="54">
        <v>21.07</v>
      </c>
      <c r="D18" s="54">
        <v>24.22</v>
      </c>
      <c r="E18" s="54">
        <v>3.62</v>
      </c>
      <c r="F18" s="54">
        <v>3.5</v>
      </c>
      <c r="G18" s="54">
        <v>33.01</v>
      </c>
      <c r="H18" s="54">
        <v>11.34</v>
      </c>
      <c r="I18" s="54">
        <v>0.42</v>
      </c>
      <c r="J18" s="54">
        <v>0.21</v>
      </c>
      <c r="K18" s="54">
        <v>352.45</v>
      </c>
      <c r="L18" s="54">
        <v>25.03</v>
      </c>
      <c r="M18" s="54">
        <v>93.17</v>
      </c>
      <c r="N18" s="54">
        <v>185</v>
      </c>
      <c r="O18" s="54">
        <v>0</v>
      </c>
      <c r="P18" s="54">
        <v>0.74</v>
      </c>
      <c r="Q18" s="54">
        <v>10.78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15.71</v>
      </c>
      <c r="C19" s="54">
        <v>24.19</v>
      </c>
      <c r="D19" s="54">
        <v>26.84</v>
      </c>
      <c r="E19" s="54">
        <v>4.8600000000000003</v>
      </c>
      <c r="F19" s="54">
        <v>4.12</v>
      </c>
      <c r="G19" s="54">
        <v>45.90</v>
      </c>
      <c r="H19" s="54">
        <v>11.34</v>
      </c>
      <c r="I19" s="54">
        <v>0.54</v>
      </c>
      <c r="J19" s="54">
        <v>0.39</v>
      </c>
      <c r="K19" s="54">
        <v>338.64</v>
      </c>
      <c r="L19" s="54">
        <v>27.29</v>
      </c>
      <c r="M19" s="54">
        <v>92.94</v>
      </c>
      <c r="N19" s="54">
        <v>459.70</v>
      </c>
      <c r="O19" s="54">
        <v>0</v>
      </c>
      <c r="P19" s="54">
        <v>0.71</v>
      </c>
      <c r="Q19" s="54">
        <v>14.63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14.31</v>
      </c>
      <c r="C20" s="54">
        <v>18.43</v>
      </c>
      <c r="D20" s="54">
        <v>22.51</v>
      </c>
      <c r="E20" s="54">
        <v>4.54</v>
      </c>
      <c r="F20" s="54">
        <v>1.75</v>
      </c>
      <c r="G20" s="54">
        <v>45.90</v>
      </c>
      <c r="H20" s="54">
        <v>12.92</v>
      </c>
      <c r="I20" s="54">
        <v>0.52</v>
      </c>
      <c r="J20" s="54">
        <v>0.41</v>
      </c>
      <c r="K20" s="54">
        <v>356.51</v>
      </c>
      <c r="L20" s="54">
        <v>26.72</v>
      </c>
      <c r="M20" s="54">
        <v>91.30</v>
      </c>
      <c r="N20" s="54">
        <v>330.80</v>
      </c>
      <c r="O20" s="54">
        <v>0.20</v>
      </c>
      <c r="P20" s="54">
        <v>0.70</v>
      </c>
      <c r="Q20" s="54">
        <v>14.64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12.86</v>
      </c>
      <c r="C21" s="54">
        <v>21.32</v>
      </c>
      <c r="D21" s="54">
        <v>22.06</v>
      </c>
      <c r="E21" s="54">
        <v>5.04</v>
      </c>
      <c r="F21" s="54">
        <v>3.25</v>
      </c>
      <c r="G21" s="54">
        <v>44.73</v>
      </c>
      <c r="H21" s="54">
        <v>12.92</v>
      </c>
      <c r="I21" s="54">
        <v>0.52</v>
      </c>
      <c r="J21" s="54">
        <v>0.22</v>
      </c>
      <c r="K21" s="54">
        <v>343.29</v>
      </c>
      <c r="L21" s="54">
        <v>26.10</v>
      </c>
      <c r="M21" s="54">
        <v>97.30</v>
      </c>
      <c r="N21" s="54">
        <v>516.20000000000005</v>
      </c>
      <c r="O21" s="54">
        <v>0</v>
      </c>
      <c r="P21" s="54">
        <v>0.70</v>
      </c>
      <c r="Q21" s="54">
        <v>12.75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12.98</v>
      </c>
      <c r="C22" s="54">
        <v>23.61</v>
      </c>
      <c r="D22" s="54">
        <v>23.95</v>
      </c>
      <c r="E22" s="54">
        <v>5.82</v>
      </c>
      <c r="F22" s="54">
        <v>8.91</v>
      </c>
      <c r="G22" s="54">
        <v>42.5</v>
      </c>
      <c r="H22" s="54">
        <v>12.55</v>
      </c>
      <c r="I22" s="54">
        <v>0.48</v>
      </c>
      <c r="J22" s="54">
        <v>0.28999999999999998</v>
      </c>
      <c r="K22" s="54">
        <v>345.20</v>
      </c>
      <c r="L22" s="54">
        <v>26.20</v>
      </c>
      <c r="M22" s="54">
        <v>96.66</v>
      </c>
      <c r="N22" s="54">
        <v>716.70</v>
      </c>
      <c r="O22" s="54">
        <v>1</v>
      </c>
      <c r="P22" s="54">
        <v>0.62</v>
      </c>
      <c r="Q22" s="54">
        <v>14.23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10.10</v>
      </c>
      <c r="C23" s="54">
        <v>17.989999999999998</v>
      </c>
      <c r="D23" s="54">
        <v>19.32</v>
      </c>
      <c r="E23" s="54">
        <v>4.8600000000000003</v>
      </c>
      <c r="F23" s="54">
        <v>4.66</v>
      </c>
      <c r="G23" s="54">
        <v>44.02</v>
      </c>
      <c r="H23" s="54">
        <v>15.19</v>
      </c>
      <c r="I23" s="54">
        <v>0.44</v>
      </c>
      <c r="J23" s="54">
        <v>0.99</v>
      </c>
      <c r="K23" s="54">
        <v>327.14999999999998</v>
      </c>
      <c r="L23" s="54">
        <v>29.07</v>
      </c>
      <c r="M23" s="54">
        <v>81.739999999999995</v>
      </c>
      <c r="N23" s="54">
        <v>604.40</v>
      </c>
      <c r="O23" s="54">
        <v>0</v>
      </c>
      <c r="P23" s="54">
        <v>0.60</v>
      </c>
      <c r="Q23" s="54">
        <v>14.11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9.6999999999999993</v>
      </c>
      <c r="C24" s="54">
        <v>19.71</v>
      </c>
      <c r="D24" s="54">
        <v>19.95</v>
      </c>
      <c r="E24" s="54">
        <v>5.36</v>
      </c>
      <c r="F24" s="54">
        <v>4.5599999999999996</v>
      </c>
      <c r="G24" s="54">
        <v>47.45</v>
      </c>
      <c r="H24" s="54">
        <v>15.19</v>
      </c>
      <c r="I24" s="54">
        <v>0.42</v>
      </c>
      <c r="J24" s="54">
        <v>1.05</v>
      </c>
      <c r="K24" s="54">
        <v>335.03</v>
      </c>
      <c r="L24" s="54">
        <v>28.59</v>
      </c>
      <c r="M24" s="54">
        <v>80.11</v>
      </c>
      <c r="N24" s="54">
        <v>276.80</v>
      </c>
      <c r="O24" s="54">
        <v>0</v>
      </c>
      <c r="P24" s="54">
        <v>0.59</v>
      </c>
      <c r="Q24" s="54">
        <v>11.81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11.26</v>
      </c>
      <c r="C25" s="54">
        <v>21.17</v>
      </c>
      <c r="D25" s="54">
        <v>22</v>
      </c>
      <c r="E25" s="54">
        <v>5.14</v>
      </c>
      <c r="F25" s="54">
        <v>5.26</v>
      </c>
      <c r="G25" s="54">
        <v>53.86</v>
      </c>
      <c r="H25" s="54">
        <v>16.38</v>
      </c>
      <c r="I25" s="54">
        <v>0.39</v>
      </c>
      <c r="J25" s="54">
        <v>0.76</v>
      </c>
      <c r="K25" s="54">
        <v>353.05</v>
      </c>
      <c r="L25" s="54">
        <v>28.20</v>
      </c>
      <c r="M25" s="54">
        <v>80.34</v>
      </c>
      <c r="N25" s="54">
        <v>234.10</v>
      </c>
      <c r="O25" s="54">
        <v>0</v>
      </c>
      <c r="P25" s="54">
        <v>0.59</v>
      </c>
      <c r="Q25" s="54">
        <v>11.39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11.19</v>
      </c>
      <c r="C26" s="54">
        <v>21.57</v>
      </c>
      <c r="D26" s="54">
        <v>21.44</v>
      </c>
      <c r="E26" s="54">
        <v>5.72</v>
      </c>
      <c r="F26" s="54">
        <v>4.45</v>
      </c>
      <c r="G26" s="54">
        <v>57.59</v>
      </c>
      <c r="H26" s="54">
        <v>17.57</v>
      </c>
      <c r="I26" s="54">
        <v>0.40</v>
      </c>
      <c r="J26" s="54">
        <v>0.38</v>
      </c>
      <c r="K26" s="54">
        <v>335.68</v>
      </c>
      <c r="L26" s="54">
        <v>26.96</v>
      </c>
      <c r="M26" s="54">
        <v>90.54</v>
      </c>
      <c r="N26" s="54">
        <v>113.90</v>
      </c>
      <c r="O26" s="54">
        <v>0.20</v>
      </c>
      <c r="P26" s="54">
        <v>0.65</v>
      </c>
      <c r="Q26" s="54">
        <v>10.83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12.41</v>
      </c>
      <c r="C27" s="54">
        <v>34.49</v>
      </c>
      <c r="D27" s="54">
        <v>29.04</v>
      </c>
      <c r="E27" s="54">
        <v>5.30</v>
      </c>
      <c r="F27" s="54">
        <v>8.84</v>
      </c>
      <c r="G27" s="54">
        <v>57.59</v>
      </c>
      <c r="H27" s="54">
        <v>18.20</v>
      </c>
      <c r="I27" s="54">
        <v>0.44</v>
      </c>
      <c r="J27" s="54">
        <v>0.85</v>
      </c>
      <c r="K27" s="54">
        <v>323.38</v>
      </c>
      <c r="L27" s="54">
        <v>25.79</v>
      </c>
      <c r="M27" s="54">
        <v>97.73</v>
      </c>
      <c r="N27" s="54">
        <v>10</v>
      </c>
      <c r="O27" s="54">
        <v>2.40</v>
      </c>
      <c r="P27" s="54">
        <v>0.74</v>
      </c>
      <c r="Q27" s="54">
        <v>11.20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11.76</v>
      </c>
      <c r="C28" s="54">
        <v>27.28</v>
      </c>
      <c r="D28" s="54">
        <v>25.53</v>
      </c>
      <c r="E28" s="54">
        <v>5.31</v>
      </c>
      <c r="F28" s="54">
        <v>8.2200000000000006</v>
      </c>
      <c r="G28" s="54">
        <v>54.39</v>
      </c>
      <c r="H28" s="54">
        <v>18.20</v>
      </c>
      <c r="I28" s="54">
        <v>0.5</v>
      </c>
      <c r="J28" s="54">
        <v>0.51</v>
      </c>
      <c r="K28" s="54">
        <v>338.98</v>
      </c>
      <c r="L28" s="54">
        <v>23.57</v>
      </c>
      <c r="M28" s="54">
        <v>97.78</v>
      </c>
      <c r="N28" s="54">
        <v>6.30</v>
      </c>
      <c r="O28" s="54">
        <v>11.40</v>
      </c>
      <c r="P28" s="54">
        <v>0.76</v>
      </c>
      <c r="Q28" s="54">
        <v>13.22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10.62</v>
      </c>
      <c r="C29" s="54">
        <v>19.79</v>
      </c>
      <c r="D29" s="54">
        <v>19.489999999999998</v>
      </c>
      <c r="E29" s="54">
        <v>4.7300000000000004</v>
      </c>
      <c r="F29" s="54">
        <v>6.87</v>
      </c>
      <c r="G29" s="54">
        <v>46.83</v>
      </c>
      <c r="H29" s="54">
        <v>17.18</v>
      </c>
      <c r="I29" s="54">
        <v>0.47</v>
      </c>
      <c r="J29" s="54">
        <v>1.33</v>
      </c>
      <c r="K29" s="54">
        <v>336.10</v>
      </c>
      <c r="L29" s="54">
        <v>22.39</v>
      </c>
      <c r="M29" s="54">
        <v>97.78</v>
      </c>
      <c r="N29" s="54">
        <v>6</v>
      </c>
      <c r="O29" s="54">
        <v>13</v>
      </c>
      <c r="P29" s="54">
        <v>0.70</v>
      </c>
      <c r="Q29" s="54">
        <v>13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13.64</v>
      </c>
      <c r="C30" s="54">
        <v>27.65</v>
      </c>
      <c r="D30" s="54">
        <v>27.49</v>
      </c>
      <c r="E30" s="54">
        <v>5.16</v>
      </c>
      <c r="F30" s="54">
        <v>13.64</v>
      </c>
      <c r="G30" s="54">
        <v>31.89</v>
      </c>
      <c r="H30" s="54">
        <v>13.76</v>
      </c>
      <c r="I30" s="54">
        <v>0.45</v>
      </c>
      <c r="J30" s="54">
        <v>0.95</v>
      </c>
      <c r="K30" s="54">
        <v>349.12</v>
      </c>
      <c r="L30" s="54">
        <v>22.60</v>
      </c>
      <c r="M30" s="54">
        <v>97.78</v>
      </c>
      <c r="N30" s="54">
        <v>6.30</v>
      </c>
      <c r="O30" s="54">
        <v>1.40</v>
      </c>
      <c r="P30" s="54">
        <v>0.73</v>
      </c>
      <c r="Q30" s="54">
        <v>12.62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12.60</v>
      </c>
      <c r="C31" s="54">
        <v>21.70</v>
      </c>
      <c r="D31" s="54">
        <v>23.37</v>
      </c>
      <c r="E31" s="54">
        <v>5.38</v>
      </c>
      <c r="F31" s="54">
        <v>11.07</v>
      </c>
      <c r="G31" s="54">
        <v>27.59</v>
      </c>
      <c r="H31" s="54">
        <v>11.89</v>
      </c>
      <c r="I31" s="54">
        <v>0.42</v>
      </c>
      <c r="J31" s="54">
        <v>1.06</v>
      </c>
      <c r="K31" s="54">
        <v>356.25</v>
      </c>
      <c r="L31" s="54">
        <v>22.14</v>
      </c>
      <c r="M31" s="54">
        <v>97.78</v>
      </c>
      <c r="N31" s="54">
        <v>6.90</v>
      </c>
      <c r="O31" s="54">
        <v>0.20</v>
      </c>
      <c r="P31" s="54">
        <v>0.69</v>
      </c>
      <c r="Q31" s="54">
        <v>15.40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10.27</v>
      </c>
      <c r="C32" s="54">
        <v>15.31</v>
      </c>
      <c r="D32" s="54">
        <v>17.87</v>
      </c>
      <c r="E32" s="54">
        <v>4.76</v>
      </c>
      <c r="F32" s="54">
        <v>4.26</v>
      </c>
      <c r="G32" s="54">
        <v>25.58</v>
      </c>
      <c r="H32" s="54">
        <v>12.78</v>
      </c>
      <c r="I32" s="5" t="s">
        <v>14</v>
      </c>
      <c r="J32" s="54">
        <v>0.37</v>
      </c>
      <c r="K32" s="54">
        <v>352.22</v>
      </c>
      <c r="L32" s="54">
        <v>21.57</v>
      </c>
      <c r="M32" s="54">
        <v>97.78</v>
      </c>
      <c r="N32" s="54">
        <v>6.10</v>
      </c>
      <c r="O32" s="54">
        <v>0.20</v>
      </c>
      <c r="P32" s="54">
        <v>0.68</v>
      </c>
      <c r="Q32" s="54">
        <v>13.92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4.75</v>
      </c>
      <c r="C34" s="28">
        <f t="shared" si="0"/>
        <v>11.550000000000001</v>
      </c>
      <c r="D34" s="28">
        <f t="shared" si="0"/>
        <v>11.93</v>
      </c>
      <c r="E34" s="28">
        <f t="shared" si="0"/>
        <v>3.6200000000000001</v>
      </c>
      <c r="F34" s="28">
        <f t="shared" si="0"/>
        <v>0.87</v>
      </c>
      <c r="G34" s="28">
        <f t="shared" si="0"/>
        <v>17.120000000000001</v>
      </c>
      <c r="H34" s="28">
        <f t="shared" si="0"/>
        <v>6.4199999999999999</v>
      </c>
      <c r="I34" s="28">
        <f t="shared" si="0"/>
        <v>0.28000000000000003</v>
      </c>
      <c r="J34" s="28">
        <f t="shared" si="0"/>
        <v>0.17999999999999999</v>
      </c>
      <c r="K34" s="28">
        <f t="shared" si="0"/>
        <v>24.120000000000001</v>
      </c>
      <c r="L34" s="28">
        <f t="shared" si="0"/>
        <v>21.449999999999999</v>
      </c>
      <c r="M34" s="28">
        <f t="shared" si="0"/>
        <v>80.109999999999999</v>
      </c>
      <c r="N34" s="28">
        <f t="shared" si="0"/>
        <v>5.7000000000000002</v>
      </c>
      <c r="O34" s="28">
        <f t="shared" si="0"/>
        <v>0</v>
      </c>
      <c r="P34" s="28">
        <f t="shared" si="0"/>
        <v>0.35999999999999999</v>
      </c>
      <c r="Q34" s="28">
        <f t="shared" si="0"/>
        <v>8.6099999999999994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15.710000000000001</v>
      </c>
      <c r="C35" s="29">
        <f t="shared" si="1"/>
        <v>34.490000000000002</v>
      </c>
      <c r="D35" s="29">
        <f t="shared" si="1"/>
        <v>29.039999999999999</v>
      </c>
      <c r="E35" s="29">
        <f t="shared" si="1"/>
        <v>5.8499999999999996</v>
      </c>
      <c r="F35" s="29">
        <f t="shared" si="1"/>
        <v>13.640000000000001</v>
      </c>
      <c r="G35" s="29">
        <f t="shared" si="1"/>
        <v>57.590000000000003</v>
      </c>
      <c r="H35" s="29">
        <f t="shared" si="1"/>
        <v>18.199999999999999</v>
      </c>
      <c r="I35" s="29">
        <f t="shared" si="1"/>
        <v>0.54000000000000004</v>
      </c>
      <c r="J35" s="29">
        <f t="shared" si="1"/>
        <v>1.3300000000000001</v>
      </c>
      <c r="K35" s="29">
        <f t="shared" si="1"/>
        <v>359.83999999999997</v>
      </c>
      <c r="L35" s="29">
        <f t="shared" si="1"/>
        <v>29.07</v>
      </c>
      <c r="M35" s="29">
        <f t="shared" si="1"/>
        <v>97.780000000000001</v>
      </c>
      <c r="N35" s="29">
        <f t="shared" si="1"/>
        <v>716.70000000000005</v>
      </c>
      <c r="O35" s="29">
        <f t="shared" si="1"/>
        <v>13</v>
      </c>
      <c r="P35" s="29">
        <f t="shared" si="1"/>
        <v>0.76000000000000001</v>
      </c>
      <c r="Q35" s="29">
        <f t="shared" si="1"/>
        <v>15.4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10.334166666666667</v>
      </c>
      <c r="C36" s="28">
        <f t="shared" si="2"/>
        <v>19.019166666666667</v>
      </c>
      <c r="D36" s="28">
        <f t="shared" si="2"/>
        <v>19.732083333333335</v>
      </c>
      <c r="E36" s="28">
        <f t="shared" si="2"/>
        <v>5.0008333333333335</v>
      </c>
      <c r="F36" s="28">
        <f t="shared" si="2"/>
        <v>4.7383333333333342</v>
      </c>
      <c r="G36" s="28">
        <f t="shared" si="2"/>
        <v>34.803750000000001</v>
      </c>
      <c r="H36" s="28">
        <f t="shared" si="2"/>
        <v>12.032083333333331</v>
      </c>
      <c r="I36" s="28">
        <f t="shared" si="2"/>
        <v>0.41260869565217401</v>
      </c>
      <c r="J36" s="28">
        <f t="shared" si="2"/>
        <v>0.48416666666666658</v>
      </c>
      <c r="K36" s="28">
        <f t="shared" si="2"/>
        <v>278.78500000000008</v>
      </c>
      <c r="L36" s="28">
        <f t="shared" si="2"/>
        <v>24.222083333333334</v>
      </c>
      <c r="M36" s="28">
        <f t="shared" si="2"/>
        <v>94.549583333333331</v>
      </c>
      <c r="N36" s="28">
        <f t="shared" si="2"/>
        <v>173.49583333333337</v>
      </c>
      <c r="O36" s="28">
        <f t="shared" si="2"/>
        <v>1.2499999999999998</v>
      </c>
      <c r="P36" s="28">
        <f t="shared" si="2"/>
        <v>0.58374999999999999</v>
      </c>
      <c r="Q36" s="28">
        <f t="shared" si="2"/>
        <v>11.984166666666665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3.1130188293494241</v>
      </c>
      <c r="C37" s="28">
        <f t="shared" si="3" ref="C37:Q37">STDEV(C9:C32)</f>
        <v>5.804463737104598</v>
      </c>
      <c r="D37" s="28">
        <f t="shared" si="3"/>
        <v>5.1843711447644854</v>
      </c>
      <c r="E37" s="28">
        <f t="shared" si="3"/>
        <v>0.5744480652854097</v>
      </c>
      <c r="F37" s="28">
        <f t="shared" si="3"/>
        <v>3.3326613815474806</v>
      </c>
      <c r="G37" s="28">
        <f t="shared" si="3"/>
        <v>14.6013149534405</v>
      </c>
      <c r="H37" s="28">
        <f t="shared" si="3"/>
        <v>3.8612162751118269</v>
      </c>
      <c r="I37" s="28">
        <f t="shared" si="3"/>
        <v>0.073929781875921141</v>
      </c>
      <c r="J37" s="28">
        <f t="shared" si="3"/>
        <v>0.35990236196075132</v>
      </c>
      <c r="K37" s="28">
        <f t="shared" si="3"/>
        <v>132.20222615372236</v>
      </c>
      <c r="L37" s="28">
        <f t="shared" si="3"/>
        <v>2.6236366715034687</v>
      </c>
      <c r="M37" s="28">
        <f t="shared" si="3"/>
        <v>5.7638351356552953</v>
      </c>
      <c r="N37" s="28">
        <f t="shared" si="3"/>
        <v>223.51894867475252</v>
      </c>
      <c r="O37" s="28">
        <f t="shared" si="3"/>
        <v>3.4283980287414502</v>
      </c>
      <c r="P37" s="28">
        <f t="shared" si="3"/>
        <v>0.13691674715743854</v>
      </c>
      <c r="Q37" s="28">
        <f t="shared" si="3"/>
        <v>1.8924148746961007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c2591c-4435-49dd-8953-c048497d6a4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3" sqref="I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7.41</v>
      </c>
      <c r="C9" s="54">
        <v>13.38</v>
      </c>
      <c r="D9" s="54">
        <v>14.62</v>
      </c>
      <c r="E9" s="54">
        <v>4.6399999999999997</v>
      </c>
      <c r="F9" s="54">
        <v>12.36</v>
      </c>
      <c r="G9" s="54">
        <v>25.58</v>
      </c>
      <c r="H9" s="54">
        <v>12.78</v>
      </c>
      <c r="I9" s="57" t="s">
        <v>8</v>
      </c>
      <c r="J9" s="54">
        <v>0.37</v>
      </c>
      <c r="K9" s="54">
        <v>202.40</v>
      </c>
      <c r="L9" s="54">
        <v>21.61</v>
      </c>
      <c r="M9" s="54">
        <v>97.78</v>
      </c>
      <c r="N9" s="54">
        <v>6.20</v>
      </c>
      <c r="O9" s="54">
        <v>0</v>
      </c>
      <c r="P9" s="54">
        <v>0.57999999999999996</v>
      </c>
      <c r="Q9" s="54">
        <v>12.66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5.67</v>
      </c>
      <c r="C10" s="54">
        <v>17.809999999999999</v>
      </c>
      <c r="D10" s="54">
        <v>14.93</v>
      </c>
      <c r="E10" s="54">
        <v>4.75</v>
      </c>
      <c r="F10" s="54">
        <v>16.36</v>
      </c>
      <c r="G10" s="54">
        <v>22.14</v>
      </c>
      <c r="H10" s="54">
        <v>12.73</v>
      </c>
      <c r="I10" s="57" t="s">
        <v>8</v>
      </c>
      <c r="J10" s="54">
        <v>0.31</v>
      </c>
      <c r="K10" s="54">
        <v>207.62</v>
      </c>
      <c r="L10" s="54">
        <v>21.70</v>
      </c>
      <c r="M10" s="54">
        <v>97.80</v>
      </c>
      <c r="N10" s="54">
        <v>5.80</v>
      </c>
      <c r="O10" s="54">
        <v>0</v>
      </c>
      <c r="P10" s="54">
        <v>0.65</v>
      </c>
      <c r="Q10" s="54">
        <v>15.41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6.04</v>
      </c>
      <c r="C11" s="54">
        <v>17.079999999999998</v>
      </c>
      <c r="D11" s="54">
        <v>14.99</v>
      </c>
      <c r="E11" s="54">
        <v>4.83</v>
      </c>
      <c r="F11" s="54">
        <v>6.83</v>
      </c>
      <c r="G11" s="54">
        <v>17.18</v>
      </c>
      <c r="H11" s="54">
        <v>10.08</v>
      </c>
      <c r="I11" s="57" t="s">
        <v>8</v>
      </c>
      <c r="J11" s="54">
        <v>0.06</v>
      </c>
      <c r="K11" s="54">
        <v>332.37</v>
      </c>
      <c r="L11" s="54">
        <v>21.85</v>
      </c>
      <c r="M11" s="54">
        <v>97.80</v>
      </c>
      <c r="N11" s="54">
        <v>5.60</v>
      </c>
      <c r="O11" s="54">
        <v>0</v>
      </c>
      <c r="P11" s="54">
        <v>0.69</v>
      </c>
      <c r="Q11" s="54">
        <v>15.15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5.30</v>
      </c>
      <c r="C12" s="54">
        <v>12.19</v>
      </c>
      <c r="D12" s="54">
        <v>12.02</v>
      </c>
      <c r="E12" s="54">
        <v>4.83</v>
      </c>
      <c r="F12" s="54">
        <v>7.92</v>
      </c>
      <c r="G12" s="54">
        <v>18.59</v>
      </c>
      <c r="H12" s="54">
        <v>12.49</v>
      </c>
      <c r="I12" s="57" t="s">
        <v>8</v>
      </c>
      <c r="J12" s="54">
        <v>0.09</v>
      </c>
      <c r="K12" s="54">
        <v>28.08</v>
      </c>
      <c r="L12" s="54">
        <v>21.94</v>
      </c>
      <c r="M12" s="54">
        <v>97.80</v>
      </c>
      <c r="N12" s="54">
        <v>5.80</v>
      </c>
      <c r="O12" s="54">
        <v>0</v>
      </c>
      <c r="P12" s="54">
        <v>0.57999999999999996</v>
      </c>
      <c r="Q12" s="54">
        <v>16.30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8.44</v>
      </c>
      <c r="C13" s="54">
        <v>16.71</v>
      </c>
      <c r="D13" s="54">
        <v>17.28</v>
      </c>
      <c r="E13" s="54">
        <v>4.68</v>
      </c>
      <c r="F13" s="54">
        <v>12.65</v>
      </c>
      <c r="G13" s="54">
        <v>18.59</v>
      </c>
      <c r="H13" s="54">
        <v>12.49</v>
      </c>
      <c r="I13" s="57" t="s">
        <v>8</v>
      </c>
      <c r="J13" s="54">
        <v>0.08</v>
      </c>
      <c r="K13" s="54">
        <v>359.60</v>
      </c>
      <c r="L13" s="54">
        <v>21.95</v>
      </c>
      <c r="M13" s="54">
        <v>97.80</v>
      </c>
      <c r="N13" s="54">
        <v>5.70</v>
      </c>
      <c r="O13" s="54">
        <v>0</v>
      </c>
      <c r="P13" s="54">
        <v>0.55000000000000004</v>
      </c>
      <c r="Q13" s="54">
        <v>17.55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7.51</v>
      </c>
      <c r="C14" s="54">
        <v>15.57</v>
      </c>
      <c r="D14" s="54">
        <v>15.91</v>
      </c>
      <c r="E14" s="54">
        <v>4.42</v>
      </c>
      <c r="F14" s="54">
        <v>6.48</v>
      </c>
      <c r="G14" s="54">
        <v>19.32</v>
      </c>
      <c r="H14" s="54">
        <v>9.85</v>
      </c>
      <c r="I14" s="57" t="s">
        <v>8</v>
      </c>
      <c r="J14" s="54">
        <v>0.35</v>
      </c>
      <c r="K14" s="54">
        <v>353.33</v>
      </c>
      <c r="L14" s="54">
        <v>22.02</v>
      </c>
      <c r="M14" s="54">
        <v>97.80</v>
      </c>
      <c r="N14" s="54">
        <v>11.60</v>
      </c>
      <c r="O14" s="54">
        <v>0</v>
      </c>
      <c r="P14" s="54">
        <v>0.55000000000000004</v>
      </c>
      <c r="Q14" s="54">
        <v>16.30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7.38</v>
      </c>
      <c r="C15" s="54">
        <v>30.90</v>
      </c>
      <c r="D15" s="54">
        <v>24.26</v>
      </c>
      <c r="E15" s="54">
        <v>5.34</v>
      </c>
      <c r="F15" s="54">
        <v>9.32</v>
      </c>
      <c r="G15" s="54">
        <v>25.74</v>
      </c>
      <c r="H15" s="54">
        <v>9.85</v>
      </c>
      <c r="I15" s="57" t="s">
        <v>8</v>
      </c>
      <c r="J15" s="54">
        <v>0.78</v>
      </c>
      <c r="K15" s="54">
        <v>155.31</v>
      </c>
      <c r="L15" s="54">
        <v>22.30</v>
      </c>
      <c r="M15" s="54">
        <v>97.57</v>
      </c>
      <c r="N15" s="54">
        <v>46.60</v>
      </c>
      <c r="O15" s="54">
        <v>0</v>
      </c>
      <c r="P15" s="54">
        <v>0.56000000000000005</v>
      </c>
      <c r="Q15" s="54">
        <v>17.68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7.14</v>
      </c>
      <c r="C16" s="54">
        <v>16.97</v>
      </c>
      <c r="D16" s="54">
        <v>15.53</v>
      </c>
      <c r="E16" s="54">
        <v>5.43</v>
      </c>
      <c r="F16" s="54">
        <v>6.29</v>
      </c>
      <c r="G16" s="54">
        <v>25.85</v>
      </c>
      <c r="H16" s="54">
        <v>9.16</v>
      </c>
      <c r="I16" s="57" t="s">
        <v>8</v>
      </c>
      <c r="J16" s="54">
        <v>1.58</v>
      </c>
      <c r="K16" s="54">
        <v>167.06</v>
      </c>
      <c r="L16" s="54">
        <v>22.45</v>
      </c>
      <c r="M16" s="54">
        <v>97.71</v>
      </c>
      <c r="N16" s="54">
        <v>88.20</v>
      </c>
      <c r="O16" s="54">
        <v>0</v>
      </c>
      <c r="P16" s="54">
        <v>0.57999999999999996</v>
      </c>
      <c r="Q16" s="54">
        <v>18.78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6.96</v>
      </c>
      <c r="C17" s="54">
        <v>13.12</v>
      </c>
      <c r="D17" s="54">
        <v>14.12</v>
      </c>
      <c r="E17" s="54">
        <v>3.93</v>
      </c>
      <c r="F17" s="54">
        <v>1.63</v>
      </c>
      <c r="G17" s="54">
        <v>25.85</v>
      </c>
      <c r="H17" s="54">
        <v>34.79</v>
      </c>
      <c r="I17" s="57" t="s">
        <v>8</v>
      </c>
      <c r="J17" s="54">
        <v>1.39</v>
      </c>
      <c r="K17" s="54">
        <v>154</v>
      </c>
      <c r="L17" s="54">
        <v>22.43</v>
      </c>
      <c r="M17" s="54">
        <v>97.80</v>
      </c>
      <c r="N17" s="54">
        <v>183.70</v>
      </c>
      <c r="O17" s="54">
        <v>0.40</v>
      </c>
      <c r="P17" s="54">
        <v>0.56999999999999995</v>
      </c>
      <c r="Q17" s="54">
        <v>17.399999999999999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6.90</v>
      </c>
      <c r="C18" s="54">
        <v>14.05</v>
      </c>
      <c r="D18" s="54">
        <v>14.31</v>
      </c>
      <c r="E18" s="54">
        <v>4</v>
      </c>
      <c r="F18" s="54">
        <v>5.93</v>
      </c>
      <c r="G18" s="54">
        <v>22.30</v>
      </c>
      <c r="H18" s="54">
        <v>34.79</v>
      </c>
      <c r="I18" s="57" t="s">
        <v>8</v>
      </c>
      <c r="J18" s="54">
        <v>1.32</v>
      </c>
      <c r="K18" s="54">
        <v>153.59</v>
      </c>
      <c r="L18" s="54">
        <v>25.05</v>
      </c>
      <c r="M18" s="54">
        <v>97.75</v>
      </c>
      <c r="N18" s="54">
        <v>574.90</v>
      </c>
      <c r="O18" s="54">
        <v>0</v>
      </c>
      <c r="P18" s="54">
        <v>0.54</v>
      </c>
      <c r="Q18" s="54">
        <v>17.940000000000001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6.18</v>
      </c>
      <c r="C19" s="54">
        <v>13.69</v>
      </c>
      <c r="D19" s="54">
        <v>13.80</v>
      </c>
      <c r="E19" s="54">
        <v>4.29</v>
      </c>
      <c r="F19" s="54">
        <v>3.31</v>
      </c>
      <c r="G19" s="54">
        <v>23.67</v>
      </c>
      <c r="H19" s="54">
        <v>27.43</v>
      </c>
      <c r="I19" s="57" t="s">
        <v>8</v>
      </c>
      <c r="J19" s="54">
        <v>2.11</v>
      </c>
      <c r="K19" s="54">
        <v>158.06</v>
      </c>
      <c r="L19" s="54">
        <v>26.08</v>
      </c>
      <c r="M19" s="54">
        <v>92.07</v>
      </c>
      <c r="N19" s="54">
        <v>654.5</v>
      </c>
      <c r="O19" s="54">
        <v>0</v>
      </c>
      <c r="P19" s="54">
        <v>0.53</v>
      </c>
      <c r="Q19" s="54">
        <v>18.059999999999999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4.4000000000000004</v>
      </c>
      <c r="C20" s="54">
        <v>13.04</v>
      </c>
      <c r="D20" s="54">
        <v>11.77</v>
      </c>
      <c r="E20" s="54">
        <v>3.88</v>
      </c>
      <c r="F20" s="54">
        <v>2.5499999999999998</v>
      </c>
      <c r="G20" s="54">
        <v>23.67</v>
      </c>
      <c r="H20" s="54">
        <v>22.21</v>
      </c>
      <c r="I20" s="57" t="s">
        <v>8</v>
      </c>
      <c r="J20" s="54">
        <v>1.46</v>
      </c>
      <c r="K20" s="54">
        <v>153.90</v>
      </c>
      <c r="L20" s="54">
        <v>26.93</v>
      </c>
      <c r="M20" s="54">
        <v>85.02</v>
      </c>
      <c r="N20" s="54">
        <v>822.70</v>
      </c>
      <c r="O20" s="54">
        <v>0</v>
      </c>
      <c r="P20" s="54">
        <v>0.47</v>
      </c>
      <c r="Q20" s="54">
        <v>16.32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4.26</v>
      </c>
      <c r="C21" s="54">
        <v>12.08</v>
      </c>
      <c r="D21" s="54">
        <v>11.30</v>
      </c>
      <c r="E21" s="54">
        <v>4.72</v>
      </c>
      <c r="F21" s="54">
        <v>5.42</v>
      </c>
      <c r="G21" s="54">
        <v>21.71</v>
      </c>
      <c r="H21" s="54">
        <v>20</v>
      </c>
      <c r="I21" s="57" t="s">
        <v>8</v>
      </c>
      <c r="J21" s="54">
        <v>1.65</v>
      </c>
      <c r="K21" s="54">
        <v>148.94999999999999</v>
      </c>
      <c r="L21" s="54">
        <v>27.10</v>
      </c>
      <c r="M21" s="54">
        <v>80.34</v>
      </c>
      <c r="N21" s="54">
        <v>522.29999999999995</v>
      </c>
      <c r="O21" s="54">
        <v>0</v>
      </c>
      <c r="P21" s="54">
        <v>0.41</v>
      </c>
      <c r="Q21" s="54">
        <v>16.809999999999999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4.37</v>
      </c>
      <c r="C22" s="54">
        <v>11.78</v>
      </c>
      <c r="D22" s="54">
        <v>11.21</v>
      </c>
      <c r="E22" s="54">
        <v>5.14</v>
      </c>
      <c r="F22" s="54">
        <v>9.9600000000000009</v>
      </c>
      <c r="G22" s="54">
        <v>21.71</v>
      </c>
      <c r="H22" s="54">
        <v>15.53</v>
      </c>
      <c r="I22" s="57" t="s">
        <v>8</v>
      </c>
      <c r="J22" s="54">
        <v>1.1200000000000001</v>
      </c>
      <c r="K22" s="54">
        <v>169.68</v>
      </c>
      <c r="L22" s="54">
        <v>27.77</v>
      </c>
      <c r="M22" s="54">
        <v>79.11</v>
      </c>
      <c r="N22" s="54">
        <v>979.20</v>
      </c>
      <c r="O22" s="54">
        <v>0</v>
      </c>
      <c r="P22" s="54">
        <v>0.37</v>
      </c>
      <c r="Q22" s="54">
        <v>17.03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4.33</v>
      </c>
      <c r="C23" s="54">
        <v>12.44</v>
      </c>
      <c r="D23" s="54">
        <v>11.63</v>
      </c>
      <c r="E23" s="54">
        <v>5.33</v>
      </c>
      <c r="F23" s="54">
        <v>3.20</v>
      </c>
      <c r="G23" s="54">
        <v>17.66</v>
      </c>
      <c r="H23" s="54">
        <v>22.73</v>
      </c>
      <c r="I23" s="57" t="s">
        <v>8</v>
      </c>
      <c r="J23" s="54">
        <v>0.95</v>
      </c>
      <c r="K23" s="54">
        <v>170.48</v>
      </c>
      <c r="L23" s="54">
        <v>27.64</v>
      </c>
      <c r="M23" s="54">
        <v>77.290000000000006</v>
      </c>
      <c r="N23" s="54">
        <v>467.90</v>
      </c>
      <c r="O23" s="54">
        <v>0</v>
      </c>
      <c r="P23" s="54">
        <v>0.34</v>
      </c>
      <c r="Q23" s="54">
        <v>14.43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3.95</v>
      </c>
      <c r="C24" s="54">
        <v>12.73</v>
      </c>
      <c r="D24" s="54">
        <v>11.38</v>
      </c>
      <c r="E24" s="54">
        <v>5.21</v>
      </c>
      <c r="F24" s="54">
        <v>16.760000000000002</v>
      </c>
      <c r="G24" s="54">
        <v>16.43</v>
      </c>
      <c r="H24" s="54">
        <v>22.73</v>
      </c>
      <c r="I24" s="57" t="s">
        <v>8</v>
      </c>
      <c r="J24" s="54">
        <v>1.01</v>
      </c>
      <c r="K24" s="54">
        <v>163.46</v>
      </c>
      <c r="L24" s="54">
        <v>27.5</v>
      </c>
      <c r="M24" s="54">
        <v>78.22</v>
      </c>
      <c r="N24" s="54">
        <v>180.20</v>
      </c>
      <c r="O24" s="54">
        <v>0</v>
      </c>
      <c r="P24" s="54">
        <v>0.31</v>
      </c>
      <c r="Q24" s="54">
        <v>15.23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6.35</v>
      </c>
      <c r="C25" s="54">
        <v>15.68</v>
      </c>
      <c r="D25" s="54">
        <v>15.04</v>
      </c>
      <c r="E25" s="54">
        <v>4.9800000000000004</v>
      </c>
      <c r="F25" s="54">
        <v>11.12</v>
      </c>
      <c r="G25" s="54">
        <v>13.32</v>
      </c>
      <c r="H25" s="54">
        <v>18</v>
      </c>
      <c r="I25" s="57" t="s">
        <v>8</v>
      </c>
      <c r="J25" s="54">
        <v>0.91</v>
      </c>
      <c r="K25" s="54">
        <v>322.41000000000003</v>
      </c>
      <c r="L25" s="54">
        <v>26.88</v>
      </c>
      <c r="M25" s="54">
        <v>97.83</v>
      </c>
      <c r="N25" s="54">
        <v>113.70</v>
      </c>
      <c r="O25" s="54">
        <v>4.4000000000000004</v>
      </c>
      <c r="P25" s="54">
        <v>0.36</v>
      </c>
      <c r="Q25" s="54">
        <v>17.25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13.36</v>
      </c>
      <c r="C26" s="54">
        <v>21.49</v>
      </c>
      <c r="D26" s="54">
        <v>23.38</v>
      </c>
      <c r="E26" s="54">
        <v>5.0199999999999996</v>
      </c>
      <c r="F26" s="54">
        <v>4.7300000000000004</v>
      </c>
      <c r="G26" s="54">
        <v>13.32</v>
      </c>
      <c r="H26" s="54">
        <v>12.64</v>
      </c>
      <c r="I26" s="57" t="s">
        <v>8</v>
      </c>
      <c r="J26" s="54">
        <v>1.34</v>
      </c>
      <c r="K26" s="54">
        <v>198.73</v>
      </c>
      <c r="L26" s="54">
        <v>22.90</v>
      </c>
      <c r="M26" s="54">
        <v>97.83</v>
      </c>
      <c r="N26" s="54">
        <v>21.5</v>
      </c>
      <c r="O26" s="54">
        <v>5.20</v>
      </c>
      <c r="P26" s="54">
        <v>0.51</v>
      </c>
      <c r="Q26" s="54">
        <v>14.79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23.90</v>
      </c>
      <c r="C27" s="54">
        <v>42.46</v>
      </c>
      <c r="D27" s="54">
        <v>43.89</v>
      </c>
      <c r="E27" s="54">
        <v>5.05</v>
      </c>
      <c r="F27" s="54">
        <v>7.15</v>
      </c>
      <c r="G27" s="54">
        <v>11.55</v>
      </c>
      <c r="H27" s="54">
        <v>9.25</v>
      </c>
      <c r="I27" s="57" t="s">
        <v>8</v>
      </c>
      <c r="J27" s="54">
        <v>4</v>
      </c>
      <c r="K27" s="54">
        <v>143.52000000000001</v>
      </c>
      <c r="L27" s="54">
        <v>22.55</v>
      </c>
      <c r="M27" s="54">
        <v>97.83</v>
      </c>
      <c r="N27" s="54">
        <v>8</v>
      </c>
      <c r="O27" s="54">
        <v>2.60</v>
      </c>
      <c r="P27" s="54">
        <v>1.23</v>
      </c>
      <c r="Q27" s="54">
        <v>15.26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14.16</v>
      </c>
      <c r="C28" s="54">
        <v>36</v>
      </c>
      <c r="D28" s="54">
        <v>30.14</v>
      </c>
      <c r="E28" s="54">
        <v>5.55</v>
      </c>
      <c r="F28" s="54">
        <v>3.26</v>
      </c>
      <c r="G28" s="54">
        <v>13.41</v>
      </c>
      <c r="H28" s="54">
        <v>7.51</v>
      </c>
      <c r="I28" s="57" t="s">
        <v>8</v>
      </c>
      <c r="J28" s="54">
        <v>1.88</v>
      </c>
      <c r="K28" s="54">
        <v>182.43</v>
      </c>
      <c r="L28" s="54">
        <v>22.99</v>
      </c>
      <c r="M28" s="54">
        <v>97.83</v>
      </c>
      <c r="N28" s="54">
        <v>6.20</v>
      </c>
      <c r="O28" s="54">
        <v>0</v>
      </c>
      <c r="P28" s="54">
        <v>0.64</v>
      </c>
      <c r="Q28" s="54">
        <v>16.62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16.510000000000002</v>
      </c>
      <c r="C29" s="54">
        <v>30.79</v>
      </c>
      <c r="D29" s="54">
        <v>31.52</v>
      </c>
      <c r="E29" s="54">
        <v>4.7699999999999996</v>
      </c>
      <c r="F29" s="54">
        <v>2.77</v>
      </c>
      <c r="G29" s="54">
        <v>16.70</v>
      </c>
      <c r="H29" s="54">
        <v>6.13</v>
      </c>
      <c r="I29" s="57" t="s">
        <v>8</v>
      </c>
      <c r="J29" s="54">
        <v>4.1399999999999997</v>
      </c>
      <c r="K29" s="54">
        <v>176.49</v>
      </c>
      <c r="L29" s="54">
        <v>23.34</v>
      </c>
      <c r="M29" s="54">
        <v>97.83</v>
      </c>
      <c r="N29" s="54">
        <v>7.10</v>
      </c>
      <c r="O29" s="54">
        <v>0</v>
      </c>
      <c r="P29" s="54">
        <v>0.63</v>
      </c>
      <c r="Q29" s="54">
        <v>16.95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12.54</v>
      </c>
      <c r="C30" s="54">
        <v>17.97</v>
      </c>
      <c r="D30" s="54">
        <v>21.26</v>
      </c>
      <c r="E30" s="54">
        <v>5.09</v>
      </c>
      <c r="F30" s="54">
        <v>4.93</v>
      </c>
      <c r="G30" s="54">
        <v>16.70</v>
      </c>
      <c r="H30" s="54">
        <v>6.13</v>
      </c>
      <c r="I30" s="57" t="s">
        <v>8</v>
      </c>
      <c r="J30" s="54">
        <v>1.46</v>
      </c>
      <c r="K30" s="54">
        <v>154.68</v>
      </c>
      <c r="L30" s="54">
        <v>23.18</v>
      </c>
      <c r="M30" s="54">
        <v>97.80</v>
      </c>
      <c r="N30" s="54">
        <v>7</v>
      </c>
      <c r="O30" s="54">
        <v>0</v>
      </c>
      <c r="P30" s="54">
        <v>0.51</v>
      </c>
      <c r="Q30" s="54">
        <v>19.20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13.17</v>
      </c>
      <c r="C31" s="54">
        <v>25.59</v>
      </c>
      <c r="D31" s="54">
        <v>25.98</v>
      </c>
      <c r="E31" s="54">
        <v>4.97</v>
      </c>
      <c r="F31" s="54">
        <v>2.5099999999999998</v>
      </c>
      <c r="G31" s="54">
        <v>15.46</v>
      </c>
      <c r="H31" s="54">
        <v>4.29</v>
      </c>
      <c r="I31" s="57" t="s">
        <v>8</v>
      </c>
      <c r="J31" s="54">
        <v>0.16</v>
      </c>
      <c r="K31" s="54">
        <v>255.23</v>
      </c>
      <c r="L31" s="54">
        <v>22.66</v>
      </c>
      <c r="M31" s="54">
        <v>97.83</v>
      </c>
      <c r="N31" s="54">
        <v>6</v>
      </c>
      <c r="O31" s="54">
        <v>0</v>
      </c>
      <c r="P31" s="54">
        <v>0.48</v>
      </c>
      <c r="Q31" s="54">
        <v>19.059999999999999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12.35</v>
      </c>
      <c r="C32" s="54">
        <v>21.54</v>
      </c>
      <c r="D32" s="54">
        <v>23.08</v>
      </c>
      <c r="E32" s="54">
        <v>4.46</v>
      </c>
      <c r="F32" s="54">
        <v>3.13</v>
      </c>
      <c r="G32" s="54">
        <v>14.91</v>
      </c>
      <c r="H32" s="54">
        <v>3.06</v>
      </c>
      <c r="I32" s="57" t="s">
        <v>8</v>
      </c>
      <c r="J32" s="54">
        <v>0.43</v>
      </c>
      <c r="K32" s="54">
        <v>193.87</v>
      </c>
      <c r="L32" s="54">
        <v>22.62</v>
      </c>
      <c r="M32" s="54">
        <v>97.82</v>
      </c>
      <c r="N32" s="54">
        <v>5.70</v>
      </c>
      <c r="O32" s="54">
        <v>0</v>
      </c>
      <c r="P32" s="54">
        <v>0.45</v>
      </c>
      <c r="Q32" s="54">
        <v>17.52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3.9500000000000002</v>
      </c>
      <c r="C34" s="28">
        <f t="shared" si="0"/>
        <v>11.779999999999999</v>
      </c>
      <c r="D34" s="28">
        <f t="shared" si="0"/>
        <v>11.210000000000001</v>
      </c>
      <c r="E34" s="28">
        <f t="shared" si="0"/>
        <v>3.8799999999999999</v>
      </c>
      <c r="F34" s="28">
        <f t="shared" si="0"/>
        <v>1.6299999999999999</v>
      </c>
      <c r="G34" s="28">
        <f t="shared" si="0"/>
        <v>11.550000000000001</v>
      </c>
      <c r="H34" s="28">
        <f t="shared" si="0"/>
        <v>3.0600000000000001</v>
      </c>
      <c r="I34" s="28">
        <f t="shared" si="0"/>
        <v>0</v>
      </c>
      <c r="J34" s="28">
        <f t="shared" si="0"/>
        <v>0.059999999999999998</v>
      </c>
      <c r="K34" s="28">
        <f t="shared" si="0"/>
        <v>28.079999999999998</v>
      </c>
      <c r="L34" s="28">
        <f t="shared" si="0"/>
        <v>21.609999999999999</v>
      </c>
      <c r="M34" s="28">
        <f t="shared" si="0"/>
        <v>77.290000000000006</v>
      </c>
      <c r="N34" s="28">
        <f t="shared" si="0"/>
        <v>5.5999999999999996</v>
      </c>
      <c r="O34" s="28">
        <f t="shared" si="0"/>
        <v>0</v>
      </c>
      <c r="P34" s="28">
        <f t="shared" si="0"/>
        <v>0.31</v>
      </c>
      <c r="Q34" s="28">
        <f t="shared" si="0"/>
        <v>12.66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23.899999999999999</v>
      </c>
      <c r="C35" s="29">
        <f t="shared" si="1"/>
        <v>42.460000000000001</v>
      </c>
      <c r="D35" s="29">
        <f t="shared" si="1"/>
        <v>43.890000000000001</v>
      </c>
      <c r="E35" s="29">
        <f t="shared" si="1"/>
        <v>5.5499999999999998</v>
      </c>
      <c r="F35" s="29">
        <f t="shared" si="1"/>
        <v>16.760000000000002</v>
      </c>
      <c r="G35" s="29">
        <f t="shared" si="1"/>
        <v>25.850000000000001</v>
      </c>
      <c r="H35" s="29">
        <f t="shared" si="1"/>
        <v>34.789999999999999</v>
      </c>
      <c r="I35" s="29">
        <f t="shared" si="1"/>
        <v>0</v>
      </c>
      <c r="J35" s="29">
        <f t="shared" si="1"/>
        <v>4.1399999999999997</v>
      </c>
      <c r="K35" s="29">
        <f t="shared" si="1"/>
        <v>359.60000000000002</v>
      </c>
      <c r="L35" s="29">
        <f t="shared" si="1"/>
        <v>27.77</v>
      </c>
      <c r="M35" s="29">
        <f t="shared" si="1"/>
        <v>97.829999999999998</v>
      </c>
      <c r="N35" s="29">
        <f t="shared" si="1"/>
        <v>979.20000000000005</v>
      </c>
      <c r="O35" s="29">
        <f t="shared" si="1"/>
        <v>5.2000000000000002</v>
      </c>
      <c r="P35" s="29">
        <f t="shared" si="1"/>
        <v>1.23</v>
      </c>
      <c r="Q35" s="29">
        <f t="shared" si="1"/>
        <v>19.199999999999999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8.6908333333333321</v>
      </c>
      <c r="C36" s="28">
        <f t="shared" si="2"/>
        <v>18.96083333333333</v>
      </c>
      <c r="D36" s="28">
        <f t="shared" si="2"/>
        <v>18.472916666666666</v>
      </c>
      <c r="E36" s="28">
        <f t="shared" si="2"/>
        <v>4.8045833333333325</v>
      </c>
      <c r="F36" s="28">
        <f t="shared" si="2"/>
        <v>6.9404166666666667</v>
      </c>
      <c r="G36" s="28">
        <f t="shared" si="2"/>
        <v>19.223333333333333</v>
      </c>
      <c r="H36" s="28">
        <f t="shared" si="2"/>
        <v>14.860416666666667</v>
      </c>
      <c r="I36" s="28" t="e">
        <f t="shared" si="2"/>
        <v>#DIV/0!</v>
      </c>
      <c r="J36" s="28">
        <f t="shared" si="2"/>
        <v>1.20625</v>
      </c>
      <c r="K36" s="28">
        <f t="shared" si="2"/>
        <v>196.05208333333329</v>
      </c>
      <c r="L36" s="28">
        <f t="shared" si="2"/>
        <v>23.893333333333331</v>
      </c>
      <c r="M36" s="28">
        <f t="shared" si="2"/>
        <v>93.844166666666638</v>
      </c>
      <c r="N36" s="28">
        <f t="shared" si="2"/>
        <v>197.33749999999998</v>
      </c>
      <c r="O36" s="28">
        <f t="shared" si="2"/>
        <v>0.52500000000000002</v>
      </c>
      <c r="P36" s="28">
        <f t="shared" si="2"/>
        <v>0.54541666666666677</v>
      </c>
      <c r="Q36" s="28">
        <f t="shared" si="2"/>
        <v>16.654166666666665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4.8611279033526404</v>
      </c>
      <c r="C37" s="28">
        <f t="shared" si="3" ref="C37:Q37">STDEV(C9:C32)</f>
        <v>8.3339556434304818</v>
      </c>
      <c r="D37" s="28">
        <f t="shared" si="3"/>
        <v>8.1006668964145678</v>
      </c>
      <c r="E37" s="28">
        <f t="shared" si="3"/>
        <v>0.46092514875370288</v>
      </c>
      <c r="F37" s="28">
        <f t="shared" si="3"/>
        <v>4.3389885408895728</v>
      </c>
      <c r="G37" s="28">
        <f t="shared" si="3"/>
        <v>4.4900572928141651</v>
      </c>
      <c r="H37" s="28">
        <f t="shared" si="3"/>
        <v>8.8132521161214257</v>
      </c>
      <c r="I37" s="28" t="e">
        <f t="shared" si="3"/>
        <v>#DIV/0!</v>
      </c>
      <c r="J37" s="28">
        <f t="shared" si="3"/>
        <v>1.0704522104151162</v>
      </c>
      <c r="K37" s="28">
        <f t="shared" si="3"/>
        <v>77.149681843248771</v>
      </c>
      <c r="L37" s="28">
        <f t="shared" si="3"/>
        <v>2.2481560882424176</v>
      </c>
      <c r="M37" s="28">
        <f t="shared" si="3"/>
        <v>7.4567401180680681</v>
      </c>
      <c r="N37" s="28">
        <f t="shared" si="3"/>
        <v>297.94941912797162</v>
      </c>
      <c r="O37" s="28">
        <f t="shared" si="3"/>
        <v>1.4250095346744327</v>
      </c>
      <c r="P37" s="28">
        <f t="shared" si="3"/>
        <v>0.17742062932518524</v>
      </c>
      <c r="Q37" s="28">
        <f t="shared" si="3"/>
        <v>1.5702199144419688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af7573-1fa3-4199-a333-67b4538fd28e}">
  <sheetPr codeName=""/>
  <dimension ref="A1:U119"/>
  <sheetViews>
    <sheetView workbookViewId="0" topLeftCell="A1">
      <pane xSplit="1" ySplit="8" topLeftCell="B28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10.130000000000001</v>
      </c>
      <c r="C9" s="54">
        <v>12.49</v>
      </c>
      <c r="D9" s="54">
        <v>15.56</v>
      </c>
      <c r="E9" s="54">
        <v>5.12</v>
      </c>
      <c r="F9" s="54">
        <v>4.82</v>
      </c>
      <c r="G9" s="54">
        <v>14.91</v>
      </c>
      <c r="H9" s="54">
        <v>5.40</v>
      </c>
      <c r="I9" s="57" t="s">
        <v>8</v>
      </c>
      <c r="J9" s="54">
        <v>0.82</v>
      </c>
      <c r="K9" s="54">
        <v>164.10</v>
      </c>
      <c r="L9" s="54">
        <v>22.52</v>
      </c>
      <c r="M9" s="54">
        <v>97.82</v>
      </c>
      <c r="N9" s="54">
        <v>5.70</v>
      </c>
      <c r="O9" s="54">
        <v>0</v>
      </c>
      <c r="P9" s="54">
        <v>0.40</v>
      </c>
      <c r="Q9" s="54">
        <v>19.61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10.32</v>
      </c>
      <c r="C10" s="54">
        <v>12.18</v>
      </c>
      <c r="D10" s="54">
        <v>16.29</v>
      </c>
      <c r="E10" s="54">
        <v>5.20</v>
      </c>
      <c r="F10" s="54">
        <v>2.76</v>
      </c>
      <c r="G10" s="54">
        <v>14.11</v>
      </c>
      <c r="H10" s="54">
        <v>5.40</v>
      </c>
      <c r="I10" s="57" t="s">
        <v>8</v>
      </c>
      <c r="J10" s="54">
        <v>2.35</v>
      </c>
      <c r="K10" s="54">
        <v>192.45</v>
      </c>
      <c r="L10" s="54">
        <v>22.48</v>
      </c>
      <c r="M10" s="54">
        <v>97.84</v>
      </c>
      <c r="N10" s="54">
        <v>5.80</v>
      </c>
      <c r="O10" s="54">
        <v>0</v>
      </c>
      <c r="P10" s="54">
        <v>0.36</v>
      </c>
      <c r="Q10" s="54">
        <v>19.57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8.81</v>
      </c>
      <c r="C11" s="54">
        <v>10.93</v>
      </c>
      <c r="D11" s="54">
        <v>14.15</v>
      </c>
      <c r="E11" s="54">
        <v>4.7300000000000004</v>
      </c>
      <c r="F11" s="54">
        <v>3.44</v>
      </c>
      <c r="G11" s="54">
        <v>12.77</v>
      </c>
      <c r="H11" s="54">
        <v>4.18</v>
      </c>
      <c r="I11" s="57" t="s">
        <v>8</v>
      </c>
      <c r="J11" s="54">
        <v>1.60</v>
      </c>
      <c r="K11" s="54">
        <v>183.20</v>
      </c>
      <c r="L11" s="54">
        <v>22.28</v>
      </c>
      <c r="M11" s="54">
        <v>97.85</v>
      </c>
      <c r="N11" s="54">
        <v>5.80</v>
      </c>
      <c r="O11" s="54">
        <v>0</v>
      </c>
      <c r="P11" s="54">
        <v>0.33</v>
      </c>
      <c r="Q11" s="54">
        <v>18.12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7.60</v>
      </c>
      <c r="C12" s="54">
        <v>10.48</v>
      </c>
      <c r="D12" s="54">
        <v>13.02</v>
      </c>
      <c r="E12" s="54">
        <v>4.8499999999999996</v>
      </c>
      <c r="F12" s="54">
        <v>4.1100000000000003</v>
      </c>
      <c r="G12" s="54">
        <v>10.06</v>
      </c>
      <c r="H12" s="54">
        <v>3.28</v>
      </c>
      <c r="I12" s="57" t="s">
        <v>8</v>
      </c>
      <c r="J12" s="54">
        <v>1.03</v>
      </c>
      <c r="K12" s="54">
        <v>163.86</v>
      </c>
      <c r="L12" s="54">
        <v>21.98</v>
      </c>
      <c r="M12" s="54">
        <v>97.86</v>
      </c>
      <c r="N12" s="54">
        <v>5.60</v>
      </c>
      <c r="O12" s="54">
        <v>0</v>
      </c>
      <c r="P12" s="54">
        <v>0.28999999999999998</v>
      </c>
      <c r="Q12" s="54">
        <v>19.09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7.65</v>
      </c>
      <c r="C13" s="54">
        <v>11.39</v>
      </c>
      <c r="D13" s="54">
        <v>13.72</v>
      </c>
      <c r="E13" s="54">
        <v>4.01</v>
      </c>
      <c r="F13" s="54">
        <v>2.2799999999999998</v>
      </c>
      <c r="G13" s="54">
        <v>8.19</v>
      </c>
      <c r="H13" s="54">
        <v>2.2999999999999998</v>
      </c>
      <c r="I13" s="57" t="s">
        <v>8</v>
      </c>
      <c r="J13" s="54">
        <v>1.94</v>
      </c>
      <c r="K13" s="54">
        <v>185.70</v>
      </c>
      <c r="L13" s="54">
        <v>21.94</v>
      </c>
      <c r="M13" s="54">
        <v>97.87</v>
      </c>
      <c r="N13" s="54">
        <v>5.80</v>
      </c>
      <c r="O13" s="54">
        <v>0</v>
      </c>
      <c r="P13" s="54">
        <v>0.27</v>
      </c>
      <c r="Q13" s="54">
        <v>18.600000000000001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7.28</v>
      </c>
      <c r="C14" s="54">
        <v>11.44</v>
      </c>
      <c r="D14" s="54">
        <v>12.95</v>
      </c>
      <c r="E14" s="54">
        <v>4.07</v>
      </c>
      <c r="F14" s="54">
        <v>2.79</v>
      </c>
      <c r="G14" s="54">
        <v>8.14</v>
      </c>
      <c r="H14" s="54">
        <v>1.69</v>
      </c>
      <c r="I14" s="57" t="s">
        <v>8</v>
      </c>
      <c r="J14" s="54">
        <v>1.31</v>
      </c>
      <c r="K14" s="54">
        <v>169.48</v>
      </c>
      <c r="L14" s="54">
        <v>21.86</v>
      </c>
      <c r="M14" s="54">
        <v>97.89</v>
      </c>
      <c r="N14" s="54">
        <v>9.3000000000000007</v>
      </c>
      <c r="O14" s="54">
        <v>0.20</v>
      </c>
      <c r="P14" s="54">
        <v>0.26</v>
      </c>
      <c r="Q14" s="54">
        <v>18.37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8.0500000000000007</v>
      </c>
      <c r="C15" s="54">
        <v>13.01</v>
      </c>
      <c r="D15" s="54">
        <v>14.93</v>
      </c>
      <c r="E15" s="54">
        <v>4.1399999999999997</v>
      </c>
      <c r="F15" s="54">
        <v>3.43</v>
      </c>
      <c r="G15" s="54">
        <v>10.24</v>
      </c>
      <c r="H15" s="54">
        <v>1.57</v>
      </c>
      <c r="I15" s="57" t="s">
        <v>8</v>
      </c>
      <c r="J15" s="54">
        <v>1.36</v>
      </c>
      <c r="K15" s="54">
        <v>181.73</v>
      </c>
      <c r="L15" s="54">
        <v>21.97</v>
      </c>
      <c r="M15" s="54">
        <v>97.90</v>
      </c>
      <c r="N15" s="54">
        <v>45</v>
      </c>
      <c r="O15" s="54">
        <v>0</v>
      </c>
      <c r="P15" s="54">
        <v>0.25</v>
      </c>
      <c r="Q15" s="54">
        <v>18.670000000000002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8.5399999999999991</v>
      </c>
      <c r="C16" s="54">
        <v>11.90</v>
      </c>
      <c r="D16" s="54">
        <v>14.71</v>
      </c>
      <c r="E16" s="54">
        <v>4.25</v>
      </c>
      <c r="F16" s="54">
        <v>0.97</v>
      </c>
      <c r="G16" s="54">
        <v>10.24</v>
      </c>
      <c r="H16" s="54">
        <v>1.64</v>
      </c>
      <c r="I16" s="57" t="s">
        <v>8</v>
      </c>
      <c r="J16" s="54">
        <v>1.65</v>
      </c>
      <c r="K16" s="54">
        <v>162.22</v>
      </c>
      <c r="L16" s="54">
        <v>22.61</v>
      </c>
      <c r="M16" s="54">
        <v>97.86</v>
      </c>
      <c r="N16" s="54">
        <v>171.10</v>
      </c>
      <c r="O16" s="54">
        <v>0.20</v>
      </c>
      <c r="P16" s="54">
        <v>0.25</v>
      </c>
      <c r="Q16" s="54">
        <v>17.899999999999999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7.90</v>
      </c>
      <c r="C17" s="54">
        <v>12.34</v>
      </c>
      <c r="D17" s="54">
        <v>14.11</v>
      </c>
      <c r="E17" s="54">
        <v>5.5</v>
      </c>
      <c r="F17" s="54">
        <v>1.52</v>
      </c>
      <c r="G17" s="54">
        <v>9.39</v>
      </c>
      <c r="H17" s="54">
        <v>1.64</v>
      </c>
      <c r="I17" s="57" t="s">
        <v>8</v>
      </c>
      <c r="J17" s="54">
        <v>1.41</v>
      </c>
      <c r="K17" s="54">
        <v>159.80000000000001</v>
      </c>
      <c r="L17" s="54">
        <v>23.25</v>
      </c>
      <c r="M17" s="54">
        <v>96.36</v>
      </c>
      <c r="N17" s="54">
        <v>255.80</v>
      </c>
      <c r="O17" s="54">
        <v>0</v>
      </c>
      <c r="P17" s="54">
        <v>0.25</v>
      </c>
      <c r="Q17" s="54">
        <v>17.29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7.24</v>
      </c>
      <c r="C18" s="54">
        <v>12.43</v>
      </c>
      <c r="D18" s="54">
        <v>13.95</v>
      </c>
      <c r="E18" s="54">
        <v>5.45</v>
      </c>
      <c r="F18" s="54">
        <v>4.4800000000000004</v>
      </c>
      <c r="G18" s="54">
        <v>9.39</v>
      </c>
      <c r="H18" s="54">
        <v>2.38</v>
      </c>
      <c r="I18" s="57" t="s">
        <v>8</v>
      </c>
      <c r="J18" s="54">
        <v>0.95</v>
      </c>
      <c r="K18" s="54">
        <v>200.33</v>
      </c>
      <c r="L18" s="54">
        <v>23.66</v>
      </c>
      <c r="M18" s="54">
        <v>91.76</v>
      </c>
      <c r="N18" s="54">
        <v>286.70</v>
      </c>
      <c r="O18" s="54">
        <v>0</v>
      </c>
      <c r="P18" s="54">
        <v>0.25</v>
      </c>
      <c r="Q18" s="54">
        <v>17.23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6.39</v>
      </c>
      <c r="C19" s="54">
        <v>11.38</v>
      </c>
      <c r="D19" s="54">
        <v>12.70</v>
      </c>
      <c r="E19" s="54">
        <v>5.19</v>
      </c>
      <c r="F19" s="54">
        <v>1.81</v>
      </c>
      <c r="G19" s="54">
        <v>9.27</v>
      </c>
      <c r="H19" s="54">
        <v>2.73</v>
      </c>
      <c r="I19" s="57" t="s">
        <v>8</v>
      </c>
      <c r="J19" s="54">
        <v>1.88</v>
      </c>
      <c r="K19" s="54">
        <v>209.67</v>
      </c>
      <c r="L19" s="54">
        <v>24.85</v>
      </c>
      <c r="M19" s="54">
        <v>92.51</v>
      </c>
      <c r="N19" s="54">
        <v>440.90</v>
      </c>
      <c r="O19" s="54">
        <v>0</v>
      </c>
      <c r="P19" s="54">
        <v>0.25</v>
      </c>
      <c r="Q19" s="54">
        <v>15.44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6.05</v>
      </c>
      <c r="C20" s="54">
        <v>12.23</v>
      </c>
      <c r="D20" s="54">
        <v>12.28</v>
      </c>
      <c r="E20" s="54">
        <v>4.96</v>
      </c>
      <c r="F20" s="54">
        <v>3.37</v>
      </c>
      <c r="G20" s="54">
        <v>13.48</v>
      </c>
      <c r="H20" s="54">
        <v>2.73</v>
      </c>
      <c r="I20" s="57" t="s">
        <v>8</v>
      </c>
      <c r="J20" s="54">
        <v>1</v>
      </c>
      <c r="K20" s="54">
        <v>166.53</v>
      </c>
      <c r="L20" s="54">
        <v>24.93</v>
      </c>
      <c r="M20" s="54">
        <v>86.51</v>
      </c>
      <c r="N20" s="54">
        <v>625.10</v>
      </c>
      <c r="O20" s="54">
        <v>0</v>
      </c>
      <c r="P20" s="54">
        <v>0.26</v>
      </c>
      <c r="Q20" s="54">
        <v>14.44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5.1100000000000003</v>
      </c>
      <c r="C21" s="54">
        <v>12.24</v>
      </c>
      <c r="D21" s="54">
        <v>12.14</v>
      </c>
      <c r="E21" s="54">
        <v>3.87</v>
      </c>
      <c r="F21" s="54">
        <v>2.83</v>
      </c>
      <c r="G21" s="54">
        <v>13.48</v>
      </c>
      <c r="H21" s="54">
        <v>2.34</v>
      </c>
      <c r="I21" s="57" t="s">
        <v>8</v>
      </c>
      <c r="J21" s="54">
        <v>0.56999999999999995</v>
      </c>
      <c r="K21" s="54">
        <v>183.97</v>
      </c>
      <c r="L21" s="54">
        <v>24.46</v>
      </c>
      <c r="M21" s="54">
        <v>90.03</v>
      </c>
      <c r="N21" s="54">
        <v>403.30</v>
      </c>
      <c r="O21" s="54">
        <v>0</v>
      </c>
      <c r="P21" s="54">
        <v>0.25</v>
      </c>
      <c r="Q21" s="54">
        <v>13.62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4.32</v>
      </c>
      <c r="C22" s="54">
        <v>11.10</v>
      </c>
      <c r="D22" s="54">
        <v>10.75</v>
      </c>
      <c r="E22" s="54">
        <v>3.39</v>
      </c>
      <c r="F22" s="54">
        <v>2.48</v>
      </c>
      <c r="G22" s="54">
        <v>13.41</v>
      </c>
      <c r="H22" s="54">
        <v>3.35</v>
      </c>
      <c r="I22" s="57" t="s">
        <v>8</v>
      </c>
      <c r="J22" s="54">
        <v>0.35</v>
      </c>
      <c r="K22" s="54">
        <v>352.44</v>
      </c>
      <c r="L22" s="54">
        <v>25.03</v>
      </c>
      <c r="M22" s="54">
        <v>87.21</v>
      </c>
      <c r="N22" s="54">
        <v>411.90</v>
      </c>
      <c r="O22" s="54">
        <v>0</v>
      </c>
      <c r="P22" s="54">
        <v>0.25</v>
      </c>
      <c r="Q22" s="54">
        <v>10.48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5.51</v>
      </c>
      <c r="C23" s="54">
        <v>13.79</v>
      </c>
      <c r="D23" s="54">
        <v>13.32</v>
      </c>
      <c r="E23" s="54">
        <v>3.68</v>
      </c>
      <c r="F23" s="54">
        <v>5.67</v>
      </c>
      <c r="G23" s="54">
        <v>13.41</v>
      </c>
      <c r="H23" s="54">
        <v>3.82</v>
      </c>
      <c r="I23" s="57" t="s">
        <v>8</v>
      </c>
      <c r="J23" s="54">
        <v>0.09</v>
      </c>
      <c r="K23" s="54">
        <v>343.26</v>
      </c>
      <c r="L23" s="54">
        <v>24.59</v>
      </c>
      <c r="M23" s="54">
        <v>94.44</v>
      </c>
      <c r="N23" s="54">
        <v>140.40</v>
      </c>
      <c r="O23" s="54">
        <v>0</v>
      </c>
      <c r="P23" s="54">
        <v>0.28999999999999998</v>
      </c>
      <c r="Q23" s="54">
        <v>9.7100000000000009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5.93</v>
      </c>
      <c r="C24" s="54">
        <v>16.09</v>
      </c>
      <c r="D24" s="54">
        <v>14.93</v>
      </c>
      <c r="E24" s="54">
        <v>4.33</v>
      </c>
      <c r="F24" s="54">
        <v>5.94</v>
      </c>
      <c r="G24" s="54">
        <v>16.399999999999999</v>
      </c>
      <c r="H24" s="54">
        <v>7.20</v>
      </c>
      <c r="I24" s="57" t="s">
        <v>8</v>
      </c>
      <c r="J24" s="54">
        <v>0.19</v>
      </c>
      <c r="K24" s="54">
        <v>245.67</v>
      </c>
      <c r="L24" s="54">
        <v>24.42</v>
      </c>
      <c r="M24" s="54">
        <v>89.08</v>
      </c>
      <c r="N24" s="54">
        <v>207.20</v>
      </c>
      <c r="O24" s="54">
        <v>0</v>
      </c>
      <c r="P24" s="54">
        <v>0.28999999999999998</v>
      </c>
      <c r="Q24" s="54">
        <v>11.18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4.80</v>
      </c>
      <c r="C25" s="54">
        <v>14.40</v>
      </c>
      <c r="D25" s="54">
        <v>13.09</v>
      </c>
      <c r="E25" s="54">
        <v>4.87</v>
      </c>
      <c r="F25" s="54">
        <v>4.43</v>
      </c>
      <c r="G25" s="54">
        <v>17.36</v>
      </c>
      <c r="H25" s="54">
        <v>7.20</v>
      </c>
      <c r="I25" s="57" t="s">
        <v>8</v>
      </c>
      <c r="J25" s="54">
        <v>0.14000000000000001</v>
      </c>
      <c r="K25" s="54">
        <v>190.76</v>
      </c>
      <c r="L25" s="54">
        <v>24.24</v>
      </c>
      <c r="M25" s="54">
        <v>89.74</v>
      </c>
      <c r="N25" s="54">
        <v>115.10</v>
      </c>
      <c r="O25" s="54">
        <v>0</v>
      </c>
      <c r="P25" s="54">
        <v>0.28999999999999998</v>
      </c>
      <c r="Q25" s="54">
        <v>8.67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5.31</v>
      </c>
      <c r="C26" s="54">
        <v>14.78</v>
      </c>
      <c r="D26" s="54">
        <v>13.5</v>
      </c>
      <c r="E26" s="54">
        <v>4.87</v>
      </c>
      <c r="F26" s="54">
        <v>4.1900000000000004</v>
      </c>
      <c r="G26" s="54">
        <v>19.03</v>
      </c>
      <c r="H26" s="54">
        <v>5.43</v>
      </c>
      <c r="I26" s="57" t="s">
        <v>8</v>
      </c>
      <c r="J26" s="54">
        <v>0.15</v>
      </c>
      <c r="K26" s="54">
        <v>40.42</v>
      </c>
      <c r="L26" s="54">
        <v>24.16</v>
      </c>
      <c r="M26" s="54">
        <v>90.14</v>
      </c>
      <c r="N26" s="54">
        <v>76.70</v>
      </c>
      <c r="O26" s="54">
        <v>0</v>
      </c>
      <c r="P26" s="54">
        <v>0.35</v>
      </c>
      <c r="Q26" s="54">
        <v>9.09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5.0199999999999996</v>
      </c>
      <c r="C27" s="54">
        <v>16.68</v>
      </c>
      <c r="D27" s="54">
        <v>14.52</v>
      </c>
      <c r="E27" s="54">
        <v>5.28</v>
      </c>
      <c r="F27" s="54">
        <v>5.17</v>
      </c>
      <c r="G27" s="54">
        <v>20.079999999999998</v>
      </c>
      <c r="H27" s="54">
        <v>3.90</v>
      </c>
      <c r="I27" s="57" t="s">
        <v>8</v>
      </c>
      <c r="J27" s="54">
        <v>0.18</v>
      </c>
      <c r="K27" s="54">
        <v>175.09</v>
      </c>
      <c r="L27" s="54">
        <v>23.55</v>
      </c>
      <c r="M27" s="54">
        <v>94.34</v>
      </c>
      <c r="N27" s="54">
        <v>17.80</v>
      </c>
      <c r="O27" s="54">
        <v>0</v>
      </c>
      <c r="P27" s="54">
        <v>0.41</v>
      </c>
      <c r="Q27" s="54">
        <v>9.64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4.62</v>
      </c>
      <c r="C28" s="54">
        <v>13.05</v>
      </c>
      <c r="D28" s="54">
        <v>12.12</v>
      </c>
      <c r="E28" s="54">
        <v>4.76</v>
      </c>
      <c r="F28" s="54">
        <v>3.60</v>
      </c>
      <c r="G28" s="54">
        <v>24.37</v>
      </c>
      <c r="H28" s="54">
        <v>3.64</v>
      </c>
      <c r="I28" s="57" t="s">
        <v>8</v>
      </c>
      <c r="J28" s="54">
        <v>0.25</v>
      </c>
      <c r="K28" s="54">
        <v>199.19</v>
      </c>
      <c r="L28" s="54">
        <v>22.88</v>
      </c>
      <c r="M28" s="54">
        <v>97.26</v>
      </c>
      <c r="N28" s="54">
        <v>5.80</v>
      </c>
      <c r="O28" s="54">
        <v>0</v>
      </c>
      <c r="P28" s="54">
        <v>0.37</v>
      </c>
      <c r="Q28" s="54">
        <v>8.26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7</v>
      </c>
      <c r="C29" s="54">
        <v>15.73</v>
      </c>
      <c r="D29" s="54">
        <v>14.91</v>
      </c>
      <c r="E29" s="54">
        <v>4.41</v>
      </c>
      <c r="F29" s="54">
        <v>6.38</v>
      </c>
      <c r="G29" s="54">
        <v>24.61</v>
      </c>
      <c r="H29" s="54">
        <v>2.79</v>
      </c>
      <c r="I29" s="57" t="s">
        <v>8</v>
      </c>
      <c r="J29" s="54">
        <v>0.15</v>
      </c>
      <c r="K29" s="54">
        <v>187.08</v>
      </c>
      <c r="L29" s="54">
        <v>22.75</v>
      </c>
      <c r="M29" s="54">
        <v>97.86</v>
      </c>
      <c r="N29" s="54">
        <v>5.80</v>
      </c>
      <c r="O29" s="54">
        <v>0</v>
      </c>
      <c r="P29" s="54">
        <v>0.38</v>
      </c>
      <c r="Q29" s="54">
        <v>11.46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5.44</v>
      </c>
      <c r="C30" s="54">
        <v>15.65</v>
      </c>
      <c r="D30" s="54">
        <v>14.15</v>
      </c>
      <c r="E30" s="54">
        <v>4.47</v>
      </c>
      <c r="F30" s="54">
        <v>7.37</v>
      </c>
      <c r="G30" s="54">
        <v>24.61</v>
      </c>
      <c r="H30" s="54">
        <v>7.30</v>
      </c>
      <c r="I30" s="57" t="s">
        <v>8</v>
      </c>
      <c r="J30" s="54">
        <v>0.11</v>
      </c>
      <c r="K30" s="54">
        <v>218.70</v>
      </c>
      <c r="L30" s="54">
        <v>22.53</v>
      </c>
      <c r="M30" s="54">
        <v>97.87</v>
      </c>
      <c r="N30" s="54">
        <v>5.70</v>
      </c>
      <c r="O30" s="54">
        <v>0</v>
      </c>
      <c r="P30" s="54">
        <v>0.37</v>
      </c>
      <c r="Q30" s="54">
        <v>13.13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6.22</v>
      </c>
      <c r="C31" s="54">
        <v>13.29</v>
      </c>
      <c r="D31" s="54">
        <v>13.61</v>
      </c>
      <c r="E31" s="54">
        <v>4.18</v>
      </c>
      <c r="F31" s="54">
        <v>4.18</v>
      </c>
      <c r="G31" s="54">
        <v>23.25</v>
      </c>
      <c r="H31" s="54">
        <v>10.79</v>
      </c>
      <c r="I31" s="57" t="s">
        <v>8</v>
      </c>
      <c r="J31" s="54">
        <v>0.19</v>
      </c>
      <c r="K31" s="54">
        <v>191.22</v>
      </c>
      <c r="L31" s="54">
        <v>22.27</v>
      </c>
      <c r="M31" s="54">
        <v>97.88</v>
      </c>
      <c r="N31" s="54">
        <v>5.5</v>
      </c>
      <c r="O31" s="54">
        <v>0</v>
      </c>
      <c r="P31" s="54">
        <v>0.36</v>
      </c>
      <c r="Q31" s="54">
        <v>11.35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5.03</v>
      </c>
      <c r="C32" s="54">
        <v>12.75</v>
      </c>
      <c r="D32" s="54">
        <v>11.94</v>
      </c>
      <c r="E32" s="54">
        <v>4.41</v>
      </c>
      <c r="F32" s="54">
        <v>10.039999999999999</v>
      </c>
      <c r="G32" s="54">
        <v>24.42</v>
      </c>
      <c r="H32" s="54">
        <v>10.79</v>
      </c>
      <c r="I32" s="57" t="s">
        <v>8</v>
      </c>
      <c r="J32" s="54">
        <v>0.47</v>
      </c>
      <c r="K32" s="54">
        <v>178.01</v>
      </c>
      <c r="L32" s="54">
        <v>21.98</v>
      </c>
      <c r="M32" s="54">
        <v>97.90</v>
      </c>
      <c r="N32" s="54">
        <v>5.60</v>
      </c>
      <c r="O32" s="54">
        <v>0</v>
      </c>
      <c r="P32" s="54">
        <v>0.33</v>
      </c>
      <c r="Q32" s="54">
        <v>14.18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4.3200000000000003</v>
      </c>
      <c r="C34" s="28">
        <f t="shared" si="0"/>
        <v>10.48</v>
      </c>
      <c r="D34" s="28">
        <f t="shared" si="0"/>
        <v>10.75</v>
      </c>
      <c r="E34" s="28">
        <f t="shared" si="0"/>
        <v>3.3900000000000001</v>
      </c>
      <c r="F34" s="28">
        <f t="shared" si="0"/>
        <v>0.96999999999999997</v>
      </c>
      <c r="G34" s="28">
        <f t="shared" si="0"/>
        <v>8.1400000000000006</v>
      </c>
      <c r="H34" s="28">
        <f t="shared" si="0"/>
        <v>1.5700000000000001</v>
      </c>
      <c r="I34" s="28">
        <f t="shared" si="0"/>
        <v>0</v>
      </c>
      <c r="J34" s="28">
        <f t="shared" si="0"/>
        <v>0.089999999999999997</v>
      </c>
      <c r="K34" s="28">
        <f t="shared" si="0"/>
        <v>40.420000000000002</v>
      </c>
      <c r="L34" s="28">
        <f t="shared" si="0"/>
        <v>21.859999999999999</v>
      </c>
      <c r="M34" s="28">
        <f t="shared" si="0"/>
        <v>86.510000000000005</v>
      </c>
      <c r="N34" s="28">
        <f t="shared" si="0"/>
        <v>5.5</v>
      </c>
      <c r="O34" s="28">
        <f t="shared" si="0"/>
        <v>0</v>
      </c>
      <c r="P34" s="28">
        <f t="shared" si="0"/>
        <v>0.25</v>
      </c>
      <c r="Q34" s="28">
        <f t="shared" si="0"/>
        <v>8.2599999999999998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10.32</v>
      </c>
      <c r="C35" s="29">
        <f t="shared" si="1"/>
        <v>16.68</v>
      </c>
      <c r="D35" s="29">
        <f t="shared" si="1"/>
        <v>16.289999999999999</v>
      </c>
      <c r="E35" s="29">
        <f t="shared" si="1"/>
        <v>5.5</v>
      </c>
      <c r="F35" s="29">
        <f t="shared" si="1"/>
        <v>10.039999999999999</v>
      </c>
      <c r="G35" s="29">
        <f t="shared" si="1"/>
        <v>24.609999999999999</v>
      </c>
      <c r="H35" s="29">
        <f t="shared" si="1"/>
        <v>10.789999999999999</v>
      </c>
      <c r="I35" s="29">
        <f t="shared" si="1"/>
        <v>0</v>
      </c>
      <c r="J35" s="29">
        <f t="shared" si="1"/>
        <v>2.3500000000000001</v>
      </c>
      <c r="K35" s="29">
        <f t="shared" si="1"/>
        <v>352.44</v>
      </c>
      <c r="L35" s="29">
        <f t="shared" si="1"/>
        <v>25.030000000000001</v>
      </c>
      <c r="M35" s="29">
        <f t="shared" si="1"/>
        <v>97.900000000000006</v>
      </c>
      <c r="N35" s="29">
        <f t="shared" si="1"/>
        <v>625.10000000000002</v>
      </c>
      <c r="O35" s="29">
        <f t="shared" si="1"/>
        <v>0.20000000000000001</v>
      </c>
      <c r="P35" s="29">
        <f t="shared" si="1"/>
        <v>0.40999999999999998</v>
      </c>
      <c r="Q35" s="29">
        <f t="shared" si="1"/>
        <v>19.609999999999999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6.6779166666666656</v>
      </c>
      <c r="C36" s="28">
        <f t="shared" si="2"/>
        <v>12.989583333333334</v>
      </c>
      <c r="D36" s="28">
        <f t="shared" si="2"/>
        <v>13.639583333333334</v>
      </c>
      <c r="E36" s="28">
        <f t="shared" si="2"/>
        <v>4.5829166666666667</v>
      </c>
      <c r="F36" s="28">
        <f t="shared" si="2"/>
        <v>4.0858333333333325</v>
      </c>
      <c r="G36" s="28">
        <f t="shared" si="2"/>
        <v>15.192500000000003</v>
      </c>
      <c r="H36" s="28">
        <f t="shared" si="2"/>
        <v>4.3120833333333337</v>
      </c>
      <c r="I36" s="28" t="e">
        <f t="shared" si="2"/>
        <v>#DIV/0!</v>
      </c>
      <c r="J36" s="28">
        <f t="shared" si="2"/>
        <v>0.83916666666666673</v>
      </c>
      <c r="K36" s="28">
        <f t="shared" si="2"/>
        <v>193.53666666666672</v>
      </c>
      <c r="L36" s="28">
        <f t="shared" si="2"/>
        <v>23.216249999999999</v>
      </c>
      <c r="M36" s="28">
        <f t="shared" si="2"/>
        <v>94.740833333333342</v>
      </c>
      <c r="N36" s="28">
        <f t="shared" si="2"/>
        <v>135.97499999999999</v>
      </c>
      <c r="O36" s="28">
        <f t="shared" si="2"/>
        <v>0.016666666666666666</v>
      </c>
      <c r="P36" s="28">
        <f t="shared" si="2"/>
        <v>0.3066666666666667</v>
      </c>
      <c r="Q36" s="28">
        <f t="shared" si="2"/>
        <v>14.379166666666665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1.6991838940494655</v>
      </c>
      <c r="C37" s="28">
        <f t="shared" si="3" ref="C37:Q37">STDEV(C9:C32)</f>
        <v>1.7374881398823654</v>
      </c>
      <c r="D37" s="28">
        <f t="shared" si="3"/>
        <v>1.2893290441380632</v>
      </c>
      <c r="E37" s="28">
        <f t="shared" si="3"/>
        <v>0.57072401894181835</v>
      </c>
      <c r="F37" s="28">
        <f t="shared" si="3"/>
        <v>2.0149224101291323</v>
      </c>
      <c r="G37" s="28">
        <f t="shared" si="3"/>
        <v>5.7194148758189449</v>
      </c>
      <c r="H37" s="28">
        <f t="shared" si="3"/>
        <v>2.6677705708775954</v>
      </c>
      <c r="I37" s="28" t="e">
        <f t="shared" si="3"/>
        <v>#DIV/0!</v>
      </c>
      <c r="J37" s="28">
        <f t="shared" si="3"/>
        <v>0.70130261821758555</v>
      </c>
      <c r="K37" s="28">
        <f t="shared" si="3"/>
        <v>59.348716821897426</v>
      </c>
      <c r="L37" s="28">
        <f t="shared" si="3"/>
        <v>1.1047872606544431</v>
      </c>
      <c r="M37" s="28">
        <f t="shared" si="3"/>
        <v>3.9848101985967386</v>
      </c>
      <c r="N37" s="28">
        <f t="shared" si="3"/>
        <v>178.78206614174988</v>
      </c>
      <c r="O37" s="28">
        <f t="shared" si="3"/>
        <v>0.056465970257327996</v>
      </c>
      <c r="P37" s="28">
        <f t="shared" si="3"/>
        <v>0.05545594935478599</v>
      </c>
      <c r="Q37" s="28">
        <f t="shared" si="3"/>
        <v>3.9582494117724742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8a4d3a-bf01-4845-a2c7-2831c74507c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5.42</v>
      </c>
      <c r="C9" s="54">
        <v>11.47</v>
      </c>
      <c r="D9" s="54">
        <v>11.58</v>
      </c>
      <c r="E9" s="54">
        <v>4.2699999999999996</v>
      </c>
      <c r="F9" s="54">
        <v>8</v>
      </c>
      <c r="G9" s="54">
        <v>24.55</v>
      </c>
      <c r="H9" s="54">
        <v>11.21</v>
      </c>
      <c r="I9" s="57" t="s">
        <v>8</v>
      </c>
      <c r="J9" s="54">
        <v>0.31</v>
      </c>
      <c r="K9" s="54">
        <v>176.74</v>
      </c>
      <c r="L9" s="54">
        <v>21.71</v>
      </c>
      <c r="M9" s="54">
        <v>97.93</v>
      </c>
      <c r="N9" s="54">
        <v>5.60</v>
      </c>
      <c r="O9" s="54">
        <v>0</v>
      </c>
      <c r="P9" s="54">
        <v>0.31</v>
      </c>
      <c r="Q9" s="54">
        <v>15.75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5.49</v>
      </c>
      <c r="C10" s="54">
        <v>10.16</v>
      </c>
      <c r="D10" s="54">
        <v>11.13</v>
      </c>
      <c r="E10" s="54">
        <v>4.04</v>
      </c>
      <c r="F10" s="54">
        <v>4.4000000000000004</v>
      </c>
      <c r="G10" s="54">
        <v>24.55</v>
      </c>
      <c r="H10" s="54">
        <v>11.21</v>
      </c>
      <c r="I10" s="57" t="s">
        <v>8</v>
      </c>
      <c r="J10" s="54">
        <v>0.47</v>
      </c>
      <c r="K10" s="54">
        <v>164.82</v>
      </c>
      <c r="L10" s="54">
        <v>21.73</v>
      </c>
      <c r="M10" s="54">
        <v>97.92</v>
      </c>
      <c r="N10" s="54">
        <v>5.80</v>
      </c>
      <c r="O10" s="54">
        <v>0</v>
      </c>
      <c r="P10" s="54">
        <v>0.30</v>
      </c>
      <c r="Q10" s="54">
        <v>14.15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5.18</v>
      </c>
      <c r="C11" s="54">
        <v>9.9499999999999993</v>
      </c>
      <c r="D11" s="54">
        <v>10.82</v>
      </c>
      <c r="E11" s="54">
        <v>3.77</v>
      </c>
      <c r="F11" s="54">
        <v>7.35</v>
      </c>
      <c r="G11" s="54">
        <v>23.33</v>
      </c>
      <c r="H11" s="54">
        <v>11.21</v>
      </c>
      <c r="I11" s="57" t="s">
        <v>8</v>
      </c>
      <c r="J11" s="54">
        <v>0.80</v>
      </c>
      <c r="K11" s="54">
        <v>157.15</v>
      </c>
      <c r="L11" s="54">
        <v>21.92</v>
      </c>
      <c r="M11" s="54">
        <v>97.93</v>
      </c>
      <c r="N11" s="54">
        <v>5.90</v>
      </c>
      <c r="O11" s="54">
        <v>0</v>
      </c>
      <c r="P11" s="54">
        <v>0.26</v>
      </c>
      <c r="Q11" s="54">
        <v>17.20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5.58</v>
      </c>
      <c r="C12" s="54">
        <v>9.9499999999999993</v>
      </c>
      <c r="D12" s="54">
        <v>11.05</v>
      </c>
      <c r="E12" s="54">
        <v>4.38</v>
      </c>
      <c r="F12" s="54">
        <v>5.96</v>
      </c>
      <c r="G12" s="54">
        <v>21.88</v>
      </c>
      <c r="H12" s="54">
        <v>13.21</v>
      </c>
      <c r="I12" s="57" t="s">
        <v>8</v>
      </c>
      <c r="J12" s="54">
        <v>0.66</v>
      </c>
      <c r="K12" s="54">
        <v>171.38</v>
      </c>
      <c r="L12" s="54">
        <v>21.97</v>
      </c>
      <c r="M12" s="54">
        <v>97.93</v>
      </c>
      <c r="N12" s="54">
        <v>6.10</v>
      </c>
      <c r="O12" s="54">
        <v>0</v>
      </c>
      <c r="P12" s="54">
        <v>0.27</v>
      </c>
      <c r="Q12" s="54">
        <v>17.72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5.40</v>
      </c>
      <c r="C13" s="54">
        <v>10.17</v>
      </c>
      <c r="D13" s="54">
        <v>11</v>
      </c>
      <c r="E13" s="54">
        <v>4.2300000000000004</v>
      </c>
      <c r="F13" s="54">
        <v>3.80</v>
      </c>
      <c r="G13" s="54">
        <v>21.68</v>
      </c>
      <c r="H13" s="54">
        <v>13.21</v>
      </c>
      <c r="I13" s="57" t="s">
        <v>8</v>
      </c>
      <c r="J13" s="54">
        <v>0.56999999999999995</v>
      </c>
      <c r="K13" s="54">
        <v>160.96</v>
      </c>
      <c r="L13" s="54">
        <v>21.94</v>
      </c>
      <c r="M13" s="54">
        <v>97.93</v>
      </c>
      <c r="N13" s="54">
        <v>6.10</v>
      </c>
      <c r="O13" s="54">
        <v>0</v>
      </c>
      <c r="P13" s="54">
        <v>0.26</v>
      </c>
      <c r="Q13" s="54">
        <v>15.67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6.18</v>
      </c>
      <c r="C14" s="54">
        <v>17.57</v>
      </c>
      <c r="D14" s="54">
        <v>15.95</v>
      </c>
      <c r="E14" s="54">
        <v>4.63</v>
      </c>
      <c r="F14" s="54">
        <v>5.49</v>
      </c>
      <c r="G14" s="54">
        <v>20.43</v>
      </c>
      <c r="H14" s="54">
        <v>9.56</v>
      </c>
      <c r="I14" s="57" t="s">
        <v>8</v>
      </c>
      <c r="J14" s="54">
        <v>0.48</v>
      </c>
      <c r="K14" s="54">
        <v>146.66999999999999</v>
      </c>
      <c r="L14" s="54">
        <v>22</v>
      </c>
      <c r="M14" s="54">
        <v>97.93</v>
      </c>
      <c r="N14" s="54">
        <v>8</v>
      </c>
      <c r="O14" s="54">
        <v>0</v>
      </c>
      <c r="P14" s="54">
        <v>0.24</v>
      </c>
      <c r="Q14" s="54">
        <v>17.59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7.82</v>
      </c>
      <c r="C15" s="54">
        <v>18.100000000000001</v>
      </c>
      <c r="D15" s="54">
        <v>16.75</v>
      </c>
      <c r="E15" s="54">
        <v>4.1900000000000004</v>
      </c>
      <c r="F15" s="54">
        <v>3.23</v>
      </c>
      <c r="G15" s="54">
        <v>20.60</v>
      </c>
      <c r="H15" s="54">
        <v>9.56</v>
      </c>
      <c r="I15" s="57" t="s">
        <v>8</v>
      </c>
      <c r="J15" s="54">
        <v>0.82</v>
      </c>
      <c r="K15" s="54">
        <v>155.66999999999999</v>
      </c>
      <c r="L15" s="54">
        <v>22.09</v>
      </c>
      <c r="M15" s="54">
        <v>97.93</v>
      </c>
      <c r="N15" s="54">
        <v>29.20</v>
      </c>
      <c r="O15" s="54">
        <v>0</v>
      </c>
      <c r="P15" s="54">
        <v>0.27</v>
      </c>
      <c r="Q15" s="54">
        <v>17.510000000000002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8.68</v>
      </c>
      <c r="C16" s="54">
        <v>11.98</v>
      </c>
      <c r="D16" s="54">
        <v>14.82</v>
      </c>
      <c r="E16" s="54">
        <v>4.88</v>
      </c>
      <c r="F16" s="54">
        <v>2.13</v>
      </c>
      <c r="G16" s="54">
        <v>21.19</v>
      </c>
      <c r="H16" s="54">
        <v>9.5</v>
      </c>
      <c r="I16" s="57" t="s">
        <v>8</v>
      </c>
      <c r="J16" s="54">
        <v>0.96</v>
      </c>
      <c r="K16" s="54">
        <v>165.63</v>
      </c>
      <c r="L16" s="54">
        <v>22.74</v>
      </c>
      <c r="M16" s="54">
        <v>97.93</v>
      </c>
      <c r="N16" s="54">
        <v>126.90</v>
      </c>
      <c r="O16" s="54">
        <v>0</v>
      </c>
      <c r="P16" s="54">
        <v>0.28999999999999998</v>
      </c>
      <c r="Q16" s="54">
        <v>16.89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8.8699999999999992</v>
      </c>
      <c r="C17" s="54">
        <v>12.70</v>
      </c>
      <c r="D17" s="54">
        <v>15.42</v>
      </c>
      <c r="E17" s="54">
        <v>6.29</v>
      </c>
      <c r="F17" s="54">
        <v>2.63</v>
      </c>
      <c r="G17" s="54">
        <v>21.19</v>
      </c>
      <c r="H17" s="54">
        <v>8.2899999999999991</v>
      </c>
      <c r="I17" s="57" t="s">
        <v>8</v>
      </c>
      <c r="J17" s="54">
        <v>0.38</v>
      </c>
      <c r="K17" s="54">
        <v>195.09</v>
      </c>
      <c r="L17" s="54">
        <v>23.38</v>
      </c>
      <c r="M17" s="54">
        <v>97.90</v>
      </c>
      <c r="N17" s="54">
        <v>139.40</v>
      </c>
      <c r="O17" s="54">
        <v>0</v>
      </c>
      <c r="P17" s="54">
        <v>0.30</v>
      </c>
      <c r="Q17" s="54">
        <v>17.66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9.43</v>
      </c>
      <c r="C18" s="54">
        <v>13.80</v>
      </c>
      <c r="D18" s="54">
        <v>16.43</v>
      </c>
      <c r="E18" s="54">
        <v>6.13</v>
      </c>
      <c r="F18" s="54">
        <v>1.78</v>
      </c>
      <c r="G18" s="54">
        <v>23.35</v>
      </c>
      <c r="H18" s="54">
        <v>12.08</v>
      </c>
      <c r="I18" s="57" t="s">
        <v>8</v>
      </c>
      <c r="J18" s="54">
        <v>0.35</v>
      </c>
      <c r="K18" s="54">
        <v>203.06</v>
      </c>
      <c r="L18" s="54">
        <v>23.99</v>
      </c>
      <c r="M18" s="54">
        <v>97.85</v>
      </c>
      <c r="N18" s="54">
        <v>273.89999999999998</v>
      </c>
      <c r="O18" s="54">
        <v>0</v>
      </c>
      <c r="P18" s="54">
        <v>0.30</v>
      </c>
      <c r="Q18" s="54">
        <v>17.36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7.93</v>
      </c>
      <c r="C19" s="54">
        <v>14.28</v>
      </c>
      <c r="D19" s="54">
        <v>14.06</v>
      </c>
      <c r="E19" s="54">
        <v>5.57</v>
      </c>
      <c r="F19" s="54">
        <v>3.46</v>
      </c>
      <c r="G19" s="54">
        <v>23.35</v>
      </c>
      <c r="H19" s="54">
        <v>12.08</v>
      </c>
      <c r="I19" s="57" t="s">
        <v>8</v>
      </c>
      <c r="J19" s="54">
        <v>0.25</v>
      </c>
      <c r="K19" s="54">
        <v>199.23</v>
      </c>
      <c r="L19" s="54">
        <v>24.41</v>
      </c>
      <c r="M19" s="54">
        <v>96.14</v>
      </c>
      <c r="N19" s="54">
        <v>264.20</v>
      </c>
      <c r="O19" s="54">
        <v>0</v>
      </c>
      <c r="P19" s="54">
        <v>0.34</v>
      </c>
      <c r="Q19" s="54">
        <v>15.41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6.78</v>
      </c>
      <c r="C20" s="54">
        <v>17.34</v>
      </c>
      <c r="D20" s="54">
        <v>16.30</v>
      </c>
      <c r="E20" s="54">
        <v>5.69</v>
      </c>
      <c r="F20" s="54">
        <v>4.05</v>
      </c>
      <c r="G20" s="54">
        <v>29.92</v>
      </c>
      <c r="H20" s="54">
        <v>13.26</v>
      </c>
      <c r="I20" s="57" t="s">
        <v>8</v>
      </c>
      <c r="J20" s="54">
        <v>0.18</v>
      </c>
      <c r="K20" s="54">
        <v>27.41</v>
      </c>
      <c r="L20" s="54">
        <v>25.18</v>
      </c>
      <c r="M20" s="54">
        <v>92.19</v>
      </c>
      <c r="N20" s="54">
        <v>336.40</v>
      </c>
      <c r="O20" s="54">
        <v>0</v>
      </c>
      <c r="P20" s="54">
        <v>0.39</v>
      </c>
      <c r="Q20" s="54">
        <v>12.16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4.0999999999999996</v>
      </c>
      <c r="C21" s="54">
        <v>15.86</v>
      </c>
      <c r="D21" s="54">
        <v>13.33</v>
      </c>
      <c r="E21" s="54">
        <v>4.2300000000000004</v>
      </c>
      <c r="F21" s="54">
        <v>3.30</v>
      </c>
      <c r="G21" s="54">
        <v>37.36</v>
      </c>
      <c r="H21" s="54">
        <v>13.26</v>
      </c>
      <c r="I21" s="57" t="s">
        <v>8</v>
      </c>
      <c r="J21" s="54">
        <v>0.22</v>
      </c>
      <c r="K21" s="54">
        <v>179.52</v>
      </c>
      <c r="L21" s="54">
        <v>25.97</v>
      </c>
      <c r="M21" s="54">
        <v>85.74</v>
      </c>
      <c r="N21" s="54">
        <v>423.90</v>
      </c>
      <c r="O21" s="54">
        <v>0</v>
      </c>
      <c r="P21" s="54">
        <v>0.36</v>
      </c>
      <c r="Q21" s="54">
        <v>10.16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8.52</v>
      </c>
      <c r="C22" s="54">
        <v>18.66</v>
      </c>
      <c r="D22" s="54">
        <v>18.43</v>
      </c>
      <c r="E22" s="54">
        <v>3.85</v>
      </c>
      <c r="F22" s="54">
        <v>6.21</v>
      </c>
      <c r="G22" s="54">
        <v>37.36</v>
      </c>
      <c r="H22" s="54">
        <v>13.69</v>
      </c>
      <c r="I22" s="57" t="s">
        <v>8</v>
      </c>
      <c r="J22" s="54">
        <v>0.26</v>
      </c>
      <c r="K22" s="54">
        <v>359.20</v>
      </c>
      <c r="L22" s="54">
        <v>26.62</v>
      </c>
      <c r="M22" s="54">
        <v>89.64</v>
      </c>
      <c r="N22" s="54">
        <v>257.70</v>
      </c>
      <c r="O22" s="54">
        <v>0</v>
      </c>
      <c r="P22" s="54">
        <v>0.46</v>
      </c>
      <c r="Q22" s="54">
        <v>7.11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10.02</v>
      </c>
      <c r="C23" s="54">
        <v>24</v>
      </c>
      <c r="D23" s="54">
        <v>22.57</v>
      </c>
      <c r="E23" s="54">
        <v>4.8499999999999996</v>
      </c>
      <c r="F23" s="54">
        <v>6.33</v>
      </c>
      <c r="G23" s="54">
        <v>36.19</v>
      </c>
      <c r="H23" s="54">
        <v>13.69</v>
      </c>
      <c r="I23" s="57" t="s">
        <v>8</v>
      </c>
      <c r="J23" s="54">
        <v>0.27</v>
      </c>
      <c r="K23" s="54">
        <v>34.92</v>
      </c>
      <c r="L23" s="54">
        <v>26.28</v>
      </c>
      <c r="M23" s="54">
        <v>85.51</v>
      </c>
      <c r="N23" s="54">
        <v>533.79999999999995</v>
      </c>
      <c r="O23" s="54">
        <v>0</v>
      </c>
      <c r="P23" s="54">
        <v>0.60</v>
      </c>
      <c r="Q23" s="54">
        <v>10.08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9.60</v>
      </c>
      <c r="C24" s="54">
        <v>19.940000000000001</v>
      </c>
      <c r="D24" s="54">
        <v>20</v>
      </c>
      <c r="E24" s="54">
        <v>4.16</v>
      </c>
      <c r="F24" s="54">
        <v>2.2200000000000002</v>
      </c>
      <c r="G24" s="54">
        <v>37.69</v>
      </c>
      <c r="H24" s="54">
        <v>14.11</v>
      </c>
      <c r="I24" s="57" t="s">
        <v>8</v>
      </c>
      <c r="J24" s="54">
        <v>0.28000000000000003</v>
      </c>
      <c r="K24" s="54">
        <v>359.85</v>
      </c>
      <c r="L24" s="54">
        <v>26.69</v>
      </c>
      <c r="M24" s="54">
        <v>82.12</v>
      </c>
      <c r="N24" s="54">
        <v>310.89999999999998</v>
      </c>
      <c r="O24" s="54">
        <v>0</v>
      </c>
      <c r="P24" s="54">
        <v>0.41</v>
      </c>
      <c r="Q24" s="54">
        <v>8.19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8.32</v>
      </c>
      <c r="C25" s="54">
        <v>21.44</v>
      </c>
      <c r="D25" s="54">
        <v>19.80</v>
      </c>
      <c r="E25" s="54">
        <v>4.42</v>
      </c>
      <c r="F25" s="54">
        <v>2.62</v>
      </c>
      <c r="G25" s="54">
        <v>37.69</v>
      </c>
      <c r="H25" s="54">
        <v>14.11</v>
      </c>
      <c r="I25" s="57" t="s">
        <v>8</v>
      </c>
      <c r="J25" s="54">
        <v>0.31</v>
      </c>
      <c r="K25" s="54">
        <v>21.98</v>
      </c>
      <c r="L25" s="54">
        <v>26.28</v>
      </c>
      <c r="M25" s="54">
        <v>85.30</v>
      </c>
      <c r="N25" s="54">
        <v>174.60</v>
      </c>
      <c r="O25" s="54">
        <v>0</v>
      </c>
      <c r="P25" s="54">
        <v>0.45</v>
      </c>
      <c r="Q25" s="54">
        <v>8.0500000000000007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9.2100000000000009</v>
      </c>
      <c r="C26" s="54">
        <v>23.63</v>
      </c>
      <c r="D26" s="54">
        <v>21.71</v>
      </c>
      <c r="E26" s="54">
        <v>5.21</v>
      </c>
      <c r="F26" s="54">
        <v>4.75</v>
      </c>
      <c r="G26" s="54">
        <v>37.06</v>
      </c>
      <c r="H26" s="54">
        <v>13.60</v>
      </c>
      <c r="I26" s="57" t="s">
        <v>8</v>
      </c>
      <c r="J26" s="54">
        <v>0.25</v>
      </c>
      <c r="K26" s="54">
        <v>24.93</v>
      </c>
      <c r="L26" s="54">
        <v>25.76</v>
      </c>
      <c r="M26" s="54">
        <v>89.59</v>
      </c>
      <c r="N26" s="54">
        <v>91.90</v>
      </c>
      <c r="O26" s="54">
        <v>0</v>
      </c>
      <c r="P26" s="54">
        <v>0.51</v>
      </c>
      <c r="Q26" s="54">
        <v>8.9700000000000006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8.77</v>
      </c>
      <c r="C27" s="54">
        <v>17.5</v>
      </c>
      <c r="D27" s="54">
        <v>17.98</v>
      </c>
      <c r="E27" s="54">
        <v>5.25</v>
      </c>
      <c r="F27" s="54">
        <v>2.71</v>
      </c>
      <c r="G27" s="54">
        <v>40.549999999999997</v>
      </c>
      <c r="H27" s="54">
        <v>14.49</v>
      </c>
      <c r="I27" s="57" t="s">
        <v>8</v>
      </c>
      <c r="J27" s="54">
        <v>0.08</v>
      </c>
      <c r="K27" s="54">
        <v>341.03</v>
      </c>
      <c r="L27" s="54">
        <v>24.85</v>
      </c>
      <c r="M27" s="54">
        <v>92.97</v>
      </c>
      <c r="N27" s="54">
        <v>17.30</v>
      </c>
      <c r="O27" s="54">
        <v>0</v>
      </c>
      <c r="P27" s="54">
        <v>0.51</v>
      </c>
      <c r="Q27" s="54">
        <v>8.86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7.83</v>
      </c>
      <c r="C28" s="54">
        <v>23.11</v>
      </c>
      <c r="D28" s="54">
        <v>19.54</v>
      </c>
      <c r="E28" s="54">
        <v>5.19</v>
      </c>
      <c r="F28" s="54">
        <v>7.89</v>
      </c>
      <c r="G28" s="54">
        <v>46.29</v>
      </c>
      <c r="H28" s="54">
        <v>14.64</v>
      </c>
      <c r="I28" s="57" t="s">
        <v>8</v>
      </c>
      <c r="J28" s="54">
        <v>0.14000000000000001</v>
      </c>
      <c r="K28" s="54">
        <v>44.33</v>
      </c>
      <c r="L28" s="54">
        <v>24.23</v>
      </c>
      <c r="M28" s="54">
        <v>96.05</v>
      </c>
      <c r="N28" s="54">
        <v>6.10</v>
      </c>
      <c r="O28" s="54">
        <v>0</v>
      </c>
      <c r="P28" s="54">
        <v>0.65</v>
      </c>
      <c r="Q28" s="54">
        <v>9.57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6.56</v>
      </c>
      <c r="C29" s="54">
        <v>20.47</v>
      </c>
      <c r="D29" s="54">
        <v>17.86</v>
      </c>
      <c r="E29" s="54">
        <v>5.09</v>
      </c>
      <c r="F29" s="54">
        <v>7.92</v>
      </c>
      <c r="G29" s="54">
        <v>46.29</v>
      </c>
      <c r="H29" s="54">
        <v>15.87</v>
      </c>
      <c r="I29" s="57" t="s">
        <v>8</v>
      </c>
      <c r="J29" s="54">
        <v>0.03</v>
      </c>
      <c r="K29" s="54">
        <v>137.41999999999999</v>
      </c>
      <c r="L29" s="54">
        <v>23.90</v>
      </c>
      <c r="M29" s="54">
        <v>97.31</v>
      </c>
      <c r="N29" s="54">
        <v>6.10</v>
      </c>
      <c r="O29" s="54">
        <v>0</v>
      </c>
      <c r="P29" s="54">
        <v>0.60</v>
      </c>
      <c r="Q29" s="54">
        <v>12.36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7.72</v>
      </c>
      <c r="C30" s="54">
        <v>15.65</v>
      </c>
      <c r="D30" s="54">
        <v>16.12</v>
      </c>
      <c r="E30" s="54">
        <v>4.62</v>
      </c>
      <c r="F30" s="54">
        <v>4.1100000000000003</v>
      </c>
      <c r="G30" s="54">
        <v>44.42</v>
      </c>
      <c r="H30" s="54">
        <v>15.87</v>
      </c>
      <c r="I30" s="57" t="s">
        <v>8</v>
      </c>
      <c r="J30" s="54">
        <v>0.25</v>
      </c>
      <c r="K30" s="54">
        <v>202.28</v>
      </c>
      <c r="L30" s="54">
        <v>23.44</v>
      </c>
      <c r="M30" s="54">
        <v>97.95</v>
      </c>
      <c r="N30" s="54">
        <v>6.10</v>
      </c>
      <c r="O30" s="54">
        <v>0</v>
      </c>
      <c r="P30" s="54">
        <v>0.56000000000000005</v>
      </c>
      <c r="Q30" s="54">
        <v>11.49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7.76</v>
      </c>
      <c r="C31" s="54">
        <v>15.61</v>
      </c>
      <c r="D31" s="54">
        <v>16.13</v>
      </c>
      <c r="E31" s="54">
        <v>4.78</v>
      </c>
      <c r="F31" s="54">
        <v>10</v>
      </c>
      <c r="G31" s="54">
        <v>44.42</v>
      </c>
      <c r="H31" s="54">
        <v>13.36</v>
      </c>
      <c r="I31" s="57" t="s">
        <v>8</v>
      </c>
      <c r="J31" s="54">
        <v>0.23</v>
      </c>
      <c r="K31" s="54">
        <v>193.38</v>
      </c>
      <c r="L31" s="54">
        <v>23.03</v>
      </c>
      <c r="M31" s="54">
        <v>97.95</v>
      </c>
      <c r="N31" s="54">
        <v>6.10</v>
      </c>
      <c r="O31" s="54">
        <v>0</v>
      </c>
      <c r="P31" s="54">
        <v>0.54</v>
      </c>
      <c r="Q31" s="54">
        <v>11.54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10.33</v>
      </c>
      <c r="C32" s="54">
        <v>19.27</v>
      </c>
      <c r="D32" s="54">
        <v>20.12</v>
      </c>
      <c r="E32" s="54">
        <v>4.7699999999999996</v>
      </c>
      <c r="F32" s="54">
        <v>11.16</v>
      </c>
      <c r="G32" s="54">
        <v>33.69</v>
      </c>
      <c r="H32" s="54">
        <v>13.36</v>
      </c>
      <c r="I32" s="57" t="s">
        <v>8</v>
      </c>
      <c r="J32" s="54">
        <v>0.18</v>
      </c>
      <c r="K32" s="54">
        <v>205.64</v>
      </c>
      <c r="L32" s="54">
        <v>23.18</v>
      </c>
      <c r="M32" s="54">
        <v>97.95</v>
      </c>
      <c r="N32" s="54">
        <v>6.20</v>
      </c>
      <c r="O32" s="54">
        <v>0</v>
      </c>
      <c r="P32" s="54">
        <v>0.47</v>
      </c>
      <c r="Q32" s="54">
        <v>15.57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4.0999999999999996</v>
      </c>
      <c r="C34" s="28">
        <f t="shared" si="0"/>
        <v>9.9499999999999993</v>
      </c>
      <c r="D34" s="28">
        <f t="shared" si="0"/>
        <v>10.82</v>
      </c>
      <c r="E34" s="28">
        <f t="shared" si="0"/>
        <v>3.77</v>
      </c>
      <c r="F34" s="28">
        <f t="shared" si="0"/>
        <v>1.78</v>
      </c>
      <c r="G34" s="28">
        <f t="shared" si="0"/>
        <v>20.43</v>
      </c>
      <c r="H34" s="28">
        <f t="shared" si="0"/>
        <v>8.2899999999999991</v>
      </c>
      <c r="I34" s="28">
        <f t="shared" si="0"/>
        <v>0</v>
      </c>
      <c r="J34" s="28">
        <f t="shared" si="0"/>
        <v>0.029999999999999999</v>
      </c>
      <c r="K34" s="28">
        <f t="shared" si="0"/>
        <v>21.98</v>
      </c>
      <c r="L34" s="28">
        <f t="shared" si="0"/>
        <v>21.710000000000001</v>
      </c>
      <c r="M34" s="28">
        <f t="shared" si="0"/>
        <v>82.120000000000005</v>
      </c>
      <c r="N34" s="28">
        <f t="shared" si="0"/>
        <v>5.5999999999999996</v>
      </c>
      <c r="O34" s="28">
        <f t="shared" si="0"/>
        <v>0</v>
      </c>
      <c r="P34" s="28">
        <f t="shared" si="0"/>
        <v>0.23999999999999999</v>
      </c>
      <c r="Q34" s="28">
        <f t="shared" si="0"/>
        <v>7.1100000000000003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10.33</v>
      </c>
      <c r="C35" s="29">
        <f t="shared" si="1"/>
        <v>24</v>
      </c>
      <c r="D35" s="29">
        <f t="shared" si="1"/>
        <v>22.57</v>
      </c>
      <c r="E35" s="29">
        <f t="shared" si="1"/>
        <v>6.29</v>
      </c>
      <c r="F35" s="29">
        <f t="shared" si="1"/>
        <v>11.16</v>
      </c>
      <c r="G35" s="29">
        <f t="shared" si="1"/>
        <v>46.289999999999999</v>
      </c>
      <c r="H35" s="29">
        <f t="shared" si="1"/>
        <v>15.869999999999999</v>
      </c>
      <c r="I35" s="29">
        <f t="shared" si="1"/>
        <v>0</v>
      </c>
      <c r="J35" s="29">
        <f t="shared" si="1"/>
        <v>0.95999999999999996</v>
      </c>
      <c r="K35" s="29">
        <f t="shared" si="1"/>
        <v>359.85000000000002</v>
      </c>
      <c r="L35" s="29">
        <f t="shared" si="1"/>
        <v>26.690000000000001</v>
      </c>
      <c r="M35" s="29">
        <f t="shared" si="1"/>
        <v>97.950000000000003</v>
      </c>
      <c r="N35" s="29">
        <f t="shared" si="1"/>
        <v>533.79999999999995</v>
      </c>
      <c r="O35" s="29">
        <f t="shared" si="1"/>
        <v>0</v>
      </c>
      <c r="P35" s="29">
        <f t="shared" si="1"/>
        <v>0.65000000000000002</v>
      </c>
      <c r="Q35" s="29">
        <f t="shared" si="1"/>
        <v>17.719999999999999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7.5625</v>
      </c>
      <c r="C36" s="28">
        <f t="shared" si="2"/>
        <v>16.358750000000001</v>
      </c>
      <c r="D36" s="28">
        <f t="shared" si="2"/>
        <v>16.204166666666669</v>
      </c>
      <c r="E36" s="28">
        <f t="shared" si="2"/>
        <v>4.7704166666666659</v>
      </c>
      <c r="F36" s="28">
        <f t="shared" si="2"/>
        <v>5.0625</v>
      </c>
      <c r="G36" s="28">
        <f t="shared" si="2"/>
        <v>31.459583333333324</v>
      </c>
      <c r="H36" s="28">
        <f t="shared" si="2"/>
        <v>12.684583333333336</v>
      </c>
      <c r="I36" s="28" t="e">
        <f t="shared" si="2"/>
        <v>#DIV/0!</v>
      </c>
      <c r="J36" s="28">
        <f t="shared" si="2"/>
        <v>0.36374999999999996</v>
      </c>
      <c r="K36" s="28">
        <f t="shared" si="2"/>
        <v>167.84541666666667</v>
      </c>
      <c r="L36" s="28">
        <f t="shared" si="2"/>
        <v>23.887083333333333</v>
      </c>
      <c r="M36" s="28">
        <f t="shared" si="2"/>
        <v>94.399583333333325</v>
      </c>
      <c r="N36" s="28">
        <f t="shared" si="2"/>
        <v>127.00833333333333</v>
      </c>
      <c r="O36" s="28">
        <f t="shared" si="2"/>
        <v>0</v>
      </c>
      <c r="P36" s="28">
        <f t="shared" si="2"/>
        <v>0.40208333333333335</v>
      </c>
      <c r="Q36" s="28">
        <f t="shared" si="2"/>
        <v>13.209166666666668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1.7318179691471243</v>
      </c>
      <c r="C37" s="28">
        <f t="shared" si="3" ref="C37:Q37">STDEV(C9:C32)</f>
        <v>4.4742289231242669</v>
      </c>
      <c r="D37" s="28">
        <f t="shared" si="3"/>
        <v>3.4958371724426542</v>
      </c>
      <c r="E37" s="28">
        <f t="shared" si="3"/>
        <v>0.67904971430136229</v>
      </c>
      <c r="F37" s="28">
        <f t="shared" si="3"/>
        <v>2.5830404228519068</v>
      </c>
      <c r="G37" s="28">
        <f t="shared" si="3"/>
        <v>9.3200128191583484</v>
      </c>
      <c r="H37" s="28">
        <f t="shared" si="3"/>
        <v>2.0071740445032256</v>
      </c>
      <c r="I37" s="28" t="e">
        <f t="shared" si="3"/>
        <v>#DIV/0!</v>
      </c>
      <c r="J37" s="28">
        <f t="shared" si="3"/>
        <v>0.24035865411650084</v>
      </c>
      <c r="K37" s="28">
        <f t="shared" si="3"/>
        <v>94.635163424282112</v>
      </c>
      <c r="L37" s="28">
        <f t="shared" si="3"/>
        <v>1.7213581068110317</v>
      </c>
      <c r="M37" s="28">
        <f t="shared" si="3"/>
        <v>5.1758372388617877</v>
      </c>
      <c r="N37" s="28">
        <f t="shared" si="3"/>
        <v>158.05708081924533</v>
      </c>
      <c r="O37" s="28">
        <f t="shared" si="3"/>
        <v>0</v>
      </c>
      <c r="P37" s="28">
        <f t="shared" si="3"/>
        <v>0.1280278219310389</v>
      </c>
      <c r="Q37" s="28">
        <f t="shared" si="3"/>
        <v>3.6958012800270046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0e4ca3-6672-4277-a6e6-e5b6a79f648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6.80</v>
      </c>
      <c r="C9" s="54">
        <v>10.62</v>
      </c>
      <c r="D9" s="54">
        <v>12.61</v>
      </c>
      <c r="E9" s="54">
        <v>3.96</v>
      </c>
      <c r="F9" s="54">
        <v>2.39</v>
      </c>
      <c r="G9" s="54">
        <v>33.53</v>
      </c>
      <c r="H9" s="54">
        <v>14.02</v>
      </c>
      <c r="I9" s="57" t="s">
        <v>8</v>
      </c>
      <c r="J9" s="54">
        <v>0.23</v>
      </c>
      <c r="K9" s="54">
        <v>38.60</v>
      </c>
      <c r="L9" s="54">
        <v>23.17</v>
      </c>
      <c r="M9" s="54">
        <v>97.95</v>
      </c>
      <c r="N9" s="54">
        <v>6.5</v>
      </c>
      <c r="O9" s="54">
        <v>0</v>
      </c>
      <c r="P9" s="54">
        <v>0.46</v>
      </c>
      <c r="Q9" s="54">
        <v>13.89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5.71</v>
      </c>
      <c r="C10" s="54">
        <v>9.9700000000000006</v>
      </c>
      <c r="D10" s="54">
        <v>11.37</v>
      </c>
      <c r="E10" s="54">
        <v>3.47</v>
      </c>
      <c r="F10" s="54">
        <v>9.16</v>
      </c>
      <c r="G10" s="54">
        <v>33.53</v>
      </c>
      <c r="H10" s="54">
        <v>14.02</v>
      </c>
      <c r="I10" s="57" t="s">
        <v>8</v>
      </c>
      <c r="J10" s="54">
        <v>0.22</v>
      </c>
      <c r="K10" s="54">
        <v>114.01</v>
      </c>
      <c r="L10" s="54">
        <v>23.24</v>
      </c>
      <c r="M10" s="54">
        <v>97.95</v>
      </c>
      <c r="N10" s="54">
        <v>6.60</v>
      </c>
      <c r="O10" s="54">
        <v>0</v>
      </c>
      <c r="P10" s="54">
        <v>0.39</v>
      </c>
      <c r="Q10" s="54">
        <v>12.49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4.91</v>
      </c>
      <c r="C11" s="54">
        <v>10.46</v>
      </c>
      <c r="D11" s="54">
        <v>10.65</v>
      </c>
      <c r="E11" s="54">
        <v>3.58</v>
      </c>
      <c r="F11" s="54">
        <v>6.85</v>
      </c>
      <c r="G11" s="54">
        <v>30.32</v>
      </c>
      <c r="H11" s="54">
        <v>9.86</v>
      </c>
      <c r="I11" s="57" t="s">
        <v>8</v>
      </c>
      <c r="J11" s="54">
        <v>0.22</v>
      </c>
      <c r="K11" s="54">
        <v>36.32</v>
      </c>
      <c r="L11" s="54">
        <v>23.23</v>
      </c>
      <c r="M11" s="54">
        <v>97.97</v>
      </c>
      <c r="N11" s="54">
        <v>6.70</v>
      </c>
      <c r="O11" s="54">
        <v>0</v>
      </c>
      <c r="P11" s="54">
        <v>0.36</v>
      </c>
      <c r="Q11" s="54">
        <v>13.35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4.72</v>
      </c>
      <c r="C12" s="54">
        <v>9.0399999999999991</v>
      </c>
      <c r="D12" s="54">
        <v>9.99</v>
      </c>
      <c r="E12" s="54">
        <v>3.95</v>
      </c>
      <c r="F12" s="54">
        <v>2.16</v>
      </c>
      <c r="G12" s="54">
        <v>27.27</v>
      </c>
      <c r="H12" s="54">
        <v>10.5</v>
      </c>
      <c r="I12" s="57" t="s">
        <v>8</v>
      </c>
      <c r="J12" s="54">
        <v>0.17</v>
      </c>
      <c r="K12" s="54">
        <v>33.340000000000003</v>
      </c>
      <c r="L12" s="54">
        <v>23.10</v>
      </c>
      <c r="M12" s="54">
        <v>97.98</v>
      </c>
      <c r="N12" s="54">
        <v>7</v>
      </c>
      <c r="O12" s="54">
        <v>0</v>
      </c>
      <c r="P12" s="54">
        <v>0.35</v>
      </c>
      <c r="Q12" s="54">
        <v>11.64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4.4800000000000004</v>
      </c>
      <c r="C13" s="54">
        <v>10.24</v>
      </c>
      <c r="D13" s="54">
        <v>10.53</v>
      </c>
      <c r="E13" s="54">
        <v>4.74</v>
      </c>
      <c r="F13" s="54">
        <v>3.56</v>
      </c>
      <c r="G13" s="54">
        <v>27.27</v>
      </c>
      <c r="H13" s="54">
        <v>10.5</v>
      </c>
      <c r="I13" s="57" t="s">
        <v>8</v>
      </c>
      <c r="J13" s="54">
        <v>0.21</v>
      </c>
      <c r="K13" s="54">
        <v>25.58</v>
      </c>
      <c r="L13" s="54">
        <v>22.93</v>
      </c>
      <c r="M13" s="54">
        <v>97.98</v>
      </c>
      <c r="N13" s="54">
        <v>6.90</v>
      </c>
      <c r="O13" s="54">
        <v>0</v>
      </c>
      <c r="P13" s="54">
        <v>0.31</v>
      </c>
      <c r="Q13" s="54">
        <v>10.27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4.45</v>
      </c>
      <c r="C14" s="54">
        <v>10.92</v>
      </c>
      <c r="D14" s="54">
        <v>10.88</v>
      </c>
      <c r="E14" s="54">
        <v>4.8499999999999996</v>
      </c>
      <c r="F14" s="54">
        <v>2.80</v>
      </c>
      <c r="G14" s="54">
        <v>28.47</v>
      </c>
      <c r="H14" s="54">
        <v>9.9499999999999993</v>
      </c>
      <c r="I14" s="57" t="s">
        <v>8</v>
      </c>
      <c r="J14" s="54">
        <v>0.19</v>
      </c>
      <c r="K14" s="54">
        <v>30.30</v>
      </c>
      <c r="L14" s="54">
        <v>22.85</v>
      </c>
      <c r="M14" s="54">
        <v>98</v>
      </c>
      <c r="N14" s="54">
        <v>27</v>
      </c>
      <c r="O14" s="54">
        <v>0</v>
      </c>
      <c r="P14" s="54">
        <v>0.30</v>
      </c>
      <c r="Q14" s="54">
        <v>10.66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4.59</v>
      </c>
      <c r="C15" s="54">
        <v>10.60</v>
      </c>
      <c r="D15" s="54">
        <v>10.81</v>
      </c>
      <c r="E15" s="54">
        <v>5.13</v>
      </c>
      <c r="F15" s="54">
        <v>1.26</v>
      </c>
      <c r="G15" s="54">
        <v>31.66</v>
      </c>
      <c r="H15" s="54">
        <v>11.78</v>
      </c>
      <c r="I15" s="57" t="s">
        <v>8</v>
      </c>
      <c r="J15" s="54">
        <v>0.26</v>
      </c>
      <c r="K15" s="54">
        <v>41.85</v>
      </c>
      <c r="L15" s="54">
        <v>23.44</v>
      </c>
      <c r="M15" s="54">
        <v>98</v>
      </c>
      <c r="N15" s="54">
        <v>163</v>
      </c>
      <c r="O15" s="54">
        <v>0</v>
      </c>
      <c r="P15" s="54">
        <v>0.31</v>
      </c>
      <c r="Q15" s="54">
        <v>8.91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6.13</v>
      </c>
      <c r="C16" s="54">
        <v>12.94</v>
      </c>
      <c r="D16" s="54">
        <v>13.35</v>
      </c>
      <c r="E16" s="54">
        <v>5.08</v>
      </c>
      <c r="F16" s="54">
        <v>2.09</v>
      </c>
      <c r="G16" s="54">
        <v>31.66</v>
      </c>
      <c r="H16" s="54">
        <v>15.06</v>
      </c>
      <c r="I16" s="57" t="s">
        <v>8</v>
      </c>
      <c r="J16" s="54">
        <v>0.31</v>
      </c>
      <c r="K16" s="54">
        <v>26.26</v>
      </c>
      <c r="L16" s="54">
        <v>25.25</v>
      </c>
      <c r="M16" s="54">
        <v>96.17</v>
      </c>
      <c r="N16" s="54">
        <v>328.30</v>
      </c>
      <c r="O16" s="54">
        <v>0</v>
      </c>
      <c r="P16" s="54">
        <v>0.35</v>
      </c>
      <c r="Q16" s="54">
        <v>9.07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7.39</v>
      </c>
      <c r="C17" s="54">
        <v>12.49</v>
      </c>
      <c r="D17" s="54">
        <v>13.80</v>
      </c>
      <c r="E17" s="54">
        <v>3.44</v>
      </c>
      <c r="F17" s="54">
        <v>1.28</v>
      </c>
      <c r="G17" s="54">
        <v>29.71</v>
      </c>
      <c r="H17" s="54">
        <v>18.59</v>
      </c>
      <c r="I17" s="57" t="s">
        <v>8</v>
      </c>
      <c r="J17" s="54">
        <v>0.32</v>
      </c>
      <c r="K17" s="54">
        <v>358.56</v>
      </c>
      <c r="L17" s="54">
        <v>27.39</v>
      </c>
      <c r="M17" s="54">
        <v>87.75</v>
      </c>
      <c r="N17" s="54">
        <v>402.70</v>
      </c>
      <c r="O17" s="54">
        <v>0</v>
      </c>
      <c r="P17" s="54">
        <v>0.37</v>
      </c>
      <c r="Q17" s="54">
        <v>8.65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7.84</v>
      </c>
      <c r="C18" s="54">
        <v>13.97</v>
      </c>
      <c r="D18" s="54">
        <v>15.01</v>
      </c>
      <c r="E18" s="54">
        <v>3.26</v>
      </c>
      <c r="F18" s="54">
        <v>1.43</v>
      </c>
      <c r="G18" s="54">
        <v>39</v>
      </c>
      <c r="H18" s="54">
        <v>18.59</v>
      </c>
      <c r="I18" s="57" t="s">
        <v>8</v>
      </c>
      <c r="J18" s="54">
        <v>0.23</v>
      </c>
      <c r="K18" s="54">
        <v>352.01</v>
      </c>
      <c r="L18" s="54">
        <v>27.91</v>
      </c>
      <c r="M18" s="54">
        <v>81.650000000000006</v>
      </c>
      <c r="N18" s="54">
        <v>760.10</v>
      </c>
      <c r="O18" s="54">
        <v>0</v>
      </c>
      <c r="P18" s="54">
        <v>0.48</v>
      </c>
      <c r="Q18" s="54">
        <v>8.32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7.99</v>
      </c>
      <c r="C19" s="54">
        <v>29.92</v>
      </c>
      <c r="D19" s="54">
        <v>23.15</v>
      </c>
      <c r="E19" s="54">
        <v>3.62</v>
      </c>
      <c r="F19" s="54">
        <v>15.86</v>
      </c>
      <c r="G19" s="54">
        <v>39</v>
      </c>
      <c r="H19" s="54">
        <v>20.70</v>
      </c>
      <c r="I19" s="57" t="s">
        <v>8</v>
      </c>
      <c r="J19" s="54">
        <v>0.33</v>
      </c>
      <c r="K19" s="54">
        <v>355.59</v>
      </c>
      <c r="L19" s="54">
        <v>28.65</v>
      </c>
      <c r="M19" s="54">
        <v>73.819999999999993</v>
      </c>
      <c r="N19" s="54">
        <v>824.30</v>
      </c>
      <c r="O19" s="54">
        <v>0</v>
      </c>
      <c r="P19" s="54">
        <v>0.65</v>
      </c>
      <c r="Q19" s="54">
        <v>11.5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4.9000000000000004</v>
      </c>
      <c r="C20" s="54">
        <v>32.21</v>
      </c>
      <c r="D20" s="54">
        <v>23</v>
      </c>
      <c r="E20" s="54">
        <v>3.61</v>
      </c>
      <c r="F20" s="54">
        <v>12.56</v>
      </c>
      <c r="G20" s="54">
        <v>37.17</v>
      </c>
      <c r="H20" s="54">
        <v>20.70</v>
      </c>
      <c r="I20" s="57" t="s">
        <v>8</v>
      </c>
      <c r="J20" s="54">
        <v>0.31</v>
      </c>
      <c r="K20" s="54">
        <v>28.45</v>
      </c>
      <c r="L20" s="54">
        <v>28.31</v>
      </c>
      <c r="M20" s="54">
        <v>74.31</v>
      </c>
      <c r="N20" s="54">
        <v>818.10</v>
      </c>
      <c r="O20" s="54">
        <v>0</v>
      </c>
      <c r="P20" s="54">
        <v>0.60</v>
      </c>
      <c r="Q20" s="54">
        <v>12.5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3.58</v>
      </c>
      <c r="C21" s="54">
        <v>19.04</v>
      </c>
      <c r="D21" s="54">
        <v>14.35</v>
      </c>
      <c r="E21" s="54">
        <v>3.34</v>
      </c>
      <c r="F21" s="54">
        <v>6.08</v>
      </c>
      <c r="G21" s="54">
        <v>47.44</v>
      </c>
      <c r="H21" s="54">
        <v>23.74</v>
      </c>
      <c r="I21" s="57" t="s">
        <v>8</v>
      </c>
      <c r="J21" s="54">
        <v>0.30</v>
      </c>
      <c r="K21" s="54">
        <v>23.44</v>
      </c>
      <c r="L21" s="54">
        <v>28.47</v>
      </c>
      <c r="M21" s="54">
        <v>71.12</v>
      </c>
      <c r="N21" s="54">
        <v>705.30</v>
      </c>
      <c r="O21" s="54">
        <v>0</v>
      </c>
      <c r="P21" s="54">
        <v>0.51</v>
      </c>
      <c r="Q21" s="54">
        <v>5.94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4.49</v>
      </c>
      <c r="C22" s="54">
        <v>18.559999999999999</v>
      </c>
      <c r="D22" s="54">
        <v>14.08</v>
      </c>
      <c r="E22" s="54">
        <v>4.4000000000000004</v>
      </c>
      <c r="F22" s="54">
        <v>7.38</v>
      </c>
      <c r="G22" s="54">
        <v>47.44</v>
      </c>
      <c r="H22" s="54">
        <v>23.74</v>
      </c>
      <c r="I22" s="57" t="s">
        <v>8</v>
      </c>
      <c r="J22" s="54">
        <v>0.28000000000000003</v>
      </c>
      <c r="K22" s="54">
        <v>34.79</v>
      </c>
      <c r="L22" s="54">
        <v>28.18</v>
      </c>
      <c r="M22" s="54">
        <v>71.16</v>
      </c>
      <c r="N22" s="54">
        <v>587.90</v>
      </c>
      <c r="O22" s="54">
        <v>0</v>
      </c>
      <c r="P22" s="54">
        <v>0.38</v>
      </c>
      <c r="Q22" s="54">
        <v>6.85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4.75</v>
      </c>
      <c r="C23" s="54">
        <v>15.56</v>
      </c>
      <c r="D23" s="54">
        <v>13.55</v>
      </c>
      <c r="E23" s="54">
        <v>3.90</v>
      </c>
      <c r="F23" s="54">
        <v>3.54</v>
      </c>
      <c r="G23" s="54">
        <v>33.75</v>
      </c>
      <c r="H23" s="54">
        <v>16.45</v>
      </c>
      <c r="I23" s="54">
        <v>0.11</v>
      </c>
      <c r="J23" s="54">
        <v>0.44</v>
      </c>
      <c r="K23" s="54">
        <v>346.44</v>
      </c>
      <c r="L23" s="54">
        <v>29.06</v>
      </c>
      <c r="M23" s="54">
        <v>69.41</v>
      </c>
      <c r="N23" s="54">
        <v>709.70</v>
      </c>
      <c r="O23" s="54">
        <v>0</v>
      </c>
      <c r="P23" s="54">
        <v>0.36</v>
      </c>
      <c r="Q23" s="54">
        <v>6.42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4.5</v>
      </c>
      <c r="C24" s="54">
        <v>19.309999999999999</v>
      </c>
      <c r="D24" s="54">
        <v>15.56</v>
      </c>
      <c r="E24" s="54">
        <v>3.87</v>
      </c>
      <c r="F24" s="54">
        <v>3.35</v>
      </c>
      <c r="G24" s="54">
        <v>45.39</v>
      </c>
      <c r="H24" s="54">
        <v>20.27</v>
      </c>
      <c r="I24" s="54">
        <v>0.11</v>
      </c>
      <c r="J24" s="54">
        <v>0.38</v>
      </c>
      <c r="K24" s="54">
        <v>19.600000000000001</v>
      </c>
      <c r="L24" s="54">
        <v>28.55</v>
      </c>
      <c r="M24" s="54">
        <v>71.89</v>
      </c>
      <c r="N24" s="54">
        <v>263.5</v>
      </c>
      <c r="O24" s="54">
        <v>0</v>
      </c>
      <c r="P24" s="54">
        <v>0.39</v>
      </c>
      <c r="Q24" s="54">
        <v>4.99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6.99</v>
      </c>
      <c r="C25" s="54">
        <v>21.47</v>
      </c>
      <c r="D25" s="54">
        <v>18.75</v>
      </c>
      <c r="E25" s="54">
        <v>5.56</v>
      </c>
      <c r="F25" s="54">
        <v>5.18</v>
      </c>
      <c r="G25" s="54">
        <v>45.39</v>
      </c>
      <c r="H25" s="54">
        <v>20.27</v>
      </c>
      <c r="I25" s="54">
        <v>0.11</v>
      </c>
      <c r="J25" s="54">
        <v>0.40</v>
      </c>
      <c r="K25" s="54">
        <v>358.74</v>
      </c>
      <c r="L25" s="54">
        <v>28.03</v>
      </c>
      <c r="M25" s="54">
        <v>72.17</v>
      </c>
      <c r="N25" s="54">
        <v>177.10</v>
      </c>
      <c r="O25" s="54">
        <v>0</v>
      </c>
      <c r="P25" s="54">
        <v>0.52</v>
      </c>
      <c r="Q25" s="54">
        <v>7.10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8.76</v>
      </c>
      <c r="C26" s="54">
        <v>38.770000000000003</v>
      </c>
      <c r="D26" s="54">
        <v>27.63</v>
      </c>
      <c r="E26" s="54">
        <v>5.77</v>
      </c>
      <c r="F26" s="54">
        <v>6.39</v>
      </c>
      <c r="G26" s="54">
        <v>44.39</v>
      </c>
      <c r="H26" s="54">
        <v>16.98</v>
      </c>
      <c r="I26" s="54">
        <v>0.11</v>
      </c>
      <c r="J26" s="54">
        <v>0.42</v>
      </c>
      <c r="K26" s="54">
        <v>353.15</v>
      </c>
      <c r="L26" s="54">
        <v>27.33</v>
      </c>
      <c r="M26" s="54">
        <v>75.77</v>
      </c>
      <c r="N26" s="54">
        <v>76.099999999999994</v>
      </c>
      <c r="O26" s="54">
        <v>0</v>
      </c>
      <c r="P26" s="54">
        <v>0.93</v>
      </c>
      <c r="Q26" s="54">
        <v>10.41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5.77</v>
      </c>
      <c r="C27" s="54">
        <v>28.44</v>
      </c>
      <c r="D27" s="54">
        <v>21.61</v>
      </c>
      <c r="E27" s="54">
        <v>5.61</v>
      </c>
      <c r="F27" s="54">
        <v>7.43</v>
      </c>
      <c r="G27" s="54">
        <v>61.88</v>
      </c>
      <c r="H27" s="54">
        <v>18.16</v>
      </c>
      <c r="I27" s="54">
        <v>0.11</v>
      </c>
      <c r="J27" s="54">
        <v>0.16</v>
      </c>
      <c r="K27" s="54">
        <v>206.73</v>
      </c>
      <c r="L27" s="54">
        <v>26.04</v>
      </c>
      <c r="M27" s="54">
        <v>81.62</v>
      </c>
      <c r="N27" s="54">
        <v>21.30</v>
      </c>
      <c r="O27" s="54">
        <v>0</v>
      </c>
      <c r="P27" s="54">
        <v>0.91</v>
      </c>
      <c r="Q27" s="54">
        <v>9.23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7.75</v>
      </c>
      <c r="C28" s="54">
        <v>27.58</v>
      </c>
      <c r="D28" s="54">
        <v>22.52</v>
      </c>
      <c r="E28" s="54">
        <v>6.29</v>
      </c>
      <c r="F28" s="54">
        <v>14.48</v>
      </c>
      <c r="G28" s="54">
        <v>61.88</v>
      </c>
      <c r="H28" s="54">
        <v>20.48</v>
      </c>
      <c r="I28" s="54">
        <v>0.11</v>
      </c>
      <c r="J28" s="54">
        <v>0.23</v>
      </c>
      <c r="K28" s="54">
        <v>191.52</v>
      </c>
      <c r="L28" s="54">
        <v>25.38</v>
      </c>
      <c r="M28" s="54">
        <v>89.21</v>
      </c>
      <c r="N28" s="54">
        <v>11.40</v>
      </c>
      <c r="O28" s="54">
        <v>0</v>
      </c>
      <c r="P28" s="54">
        <v>0.63</v>
      </c>
      <c r="Q28" s="54">
        <v>9.31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7.68</v>
      </c>
      <c r="C29" s="54">
        <v>30.93</v>
      </c>
      <c r="D29" s="54">
        <v>22.79</v>
      </c>
      <c r="E29" s="54">
        <v>4.42</v>
      </c>
      <c r="F29" s="54">
        <v>7.90</v>
      </c>
      <c r="G29" s="54">
        <v>53.79</v>
      </c>
      <c r="H29" s="54">
        <v>20.48</v>
      </c>
      <c r="I29" s="54">
        <v>0.11</v>
      </c>
      <c r="J29" s="54">
        <v>0.26</v>
      </c>
      <c r="K29" s="54">
        <v>201.07</v>
      </c>
      <c r="L29" s="54">
        <v>24.79</v>
      </c>
      <c r="M29" s="54">
        <v>91.89</v>
      </c>
      <c r="N29" s="54">
        <v>11.30</v>
      </c>
      <c r="O29" s="54">
        <v>0</v>
      </c>
      <c r="P29" s="54">
        <v>0.61</v>
      </c>
      <c r="Q29" s="54">
        <v>10.15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9.64</v>
      </c>
      <c r="C30" s="54">
        <v>23.42</v>
      </c>
      <c r="D30" s="54">
        <v>21.39</v>
      </c>
      <c r="E30" s="54">
        <v>4.3099999999999996</v>
      </c>
      <c r="F30" s="54">
        <v>8.24</v>
      </c>
      <c r="G30" s="54">
        <v>51.82</v>
      </c>
      <c r="H30" s="54">
        <v>19.36</v>
      </c>
      <c r="I30" s="54">
        <v>0.11</v>
      </c>
      <c r="J30" s="54">
        <v>0.12</v>
      </c>
      <c r="K30" s="54">
        <v>196.47</v>
      </c>
      <c r="L30" s="54">
        <v>24.69</v>
      </c>
      <c r="M30" s="54">
        <v>92.29</v>
      </c>
      <c r="N30" s="54">
        <v>11.20</v>
      </c>
      <c r="O30" s="54">
        <v>0</v>
      </c>
      <c r="P30" s="54">
        <v>0.68</v>
      </c>
      <c r="Q30" s="54">
        <v>10.51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9.24</v>
      </c>
      <c r="C31" s="54">
        <v>27.36</v>
      </c>
      <c r="D31" s="54">
        <v>23.80</v>
      </c>
      <c r="E31" s="54">
        <v>4.54</v>
      </c>
      <c r="F31" s="54">
        <v>10.46</v>
      </c>
      <c r="G31" s="54">
        <v>48.21</v>
      </c>
      <c r="H31" s="54">
        <v>19.36</v>
      </c>
      <c r="I31" s="54">
        <v>0.11</v>
      </c>
      <c r="J31" s="54">
        <v>0.12</v>
      </c>
      <c r="K31" s="54">
        <v>350.92</v>
      </c>
      <c r="L31" s="54">
        <v>24.70</v>
      </c>
      <c r="M31" s="54">
        <v>93.67</v>
      </c>
      <c r="N31" s="54">
        <v>11.30</v>
      </c>
      <c r="O31" s="54">
        <v>0</v>
      </c>
      <c r="P31" s="54">
        <v>0.65</v>
      </c>
      <c r="Q31" s="54">
        <v>12.11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7.54</v>
      </c>
      <c r="C32" s="54">
        <v>18.77</v>
      </c>
      <c r="D32" s="54">
        <v>17.70</v>
      </c>
      <c r="E32" s="54">
        <v>4.83</v>
      </c>
      <c r="F32" s="54">
        <v>5.18</v>
      </c>
      <c r="G32" s="54">
        <v>43.56</v>
      </c>
      <c r="H32" s="54">
        <v>16.03</v>
      </c>
      <c r="I32" s="54">
        <v>0.11</v>
      </c>
      <c r="J32" s="54">
        <v>0.08</v>
      </c>
      <c r="K32" s="54">
        <v>358.91</v>
      </c>
      <c r="L32" s="54">
        <v>24.40</v>
      </c>
      <c r="M32" s="54">
        <v>97.68</v>
      </c>
      <c r="N32" s="54">
        <v>11.30</v>
      </c>
      <c r="O32" s="54">
        <v>0</v>
      </c>
      <c r="P32" s="54">
        <v>0.52</v>
      </c>
      <c r="Q32" s="54">
        <v>13.60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3.5800000000000001</v>
      </c>
      <c r="C34" s="28">
        <f t="shared" si="0"/>
        <v>9.0399999999999991</v>
      </c>
      <c r="D34" s="28">
        <f t="shared" si="0"/>
        <v>9.9900000000000002</v>
      </c>
      <c r="E34" s="28">
        <f t="shared" si="0"/>
        <v>3.2599999999999998</v>
      </c>
      <c r="F34" s="28">
        <f t="shared" si="0"/>
        <v>1.26</v>
      </c>
      <c r="G34" s="28">
        <f t="shared" si="0"/>
        <v>27.27</v>
      </c>
      <c r="H34" s="28">
        <f t="shared" si="0"/>
        <v>9.8599999999999994</v>
      </c>
      <c r="I34" s="28">
        <f t="shared" si="0"/>
        <v>0.11</v>
      </c>
      <c r="J34" s="28">
        <f t="shared" si="0"/>
        <v>0.080000000000000002</v>
      </c>
      <c r="K34" s="28">
        <f t="shared" si="0"/>
        <v>19.600000000000001</v>
      </c>
      <c r="L34" s="28">
        <f t="shared" si="0"/>
        <v>22.850000000000001</v>
      </c>
      <c r="M34" s="28">
        <f t="shared" si="0"/>
        <v>69.409999999999997</v>
      </c>
      <c r="N34" s="28">
        <f t="shared" si="0"/>
        <v>6.5</v>
      </c>
      <c r="O34" s="28">
        <f t="shared" si="0"/>
        <v>0</v>
      </c>
      <c r="P34" s="28">
        <f t="shared" si="0"/>
        <v>0.29999999999999999</v>
      </c>
      <c r="Q34" s="28">
        <f t="shared" si="0"/>
        <v>4.9900000000000002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9.6400000000000006</v>
      </c>
      <c r="C35" s="29">
        <f t="shared" si="1"/>
        <v>38.770000000000003</v>
      </c>
      <c r="D35" s="29">
        <f t="shared" si="1"/>
        <v>27.629999999999999</v>
      </c>
      <c r="E35" s="29">
        <f t="shared" si="1"/>
        <v>6.29</v>
      </c>
      <c r="F35" s="29">
        <f t="shared" si="1"/>
        <v>15.859999999999999</v>
      </c>
      <c r="G35" s="29">
        <f t="shared" si="1"/>
        <v>61.880000000000003</v>
      </c>
      <c r="H35" s="29">
        <f t="shared" si="1"/>
        <v>23.739999999999998</v>
      </c>
      <c r="I35" s="29">
        <f t="shared" si="1"/>
        <v>0.11</v>
      </c>
      <c r="J35" s="29">
        <f t="shared" si="1"/>
        <v>0.44</v>
      </c>
      <c r="K35" s="29">
        <f t="shared" si="1"/>
        <v>358.91000000000003</v>
      </c>
      <c r="L35" s="29">
        <f t="shared" si="1"/>
        <v>29.059999999999999</v>
      </c>
      <c r="M35" s="29">
        <f t="shared" si="1"/>
        <v>98</v>
      </c>
      <c r="N35" s="29">
        <f t="shared" si="1"/>
        <v>824.29999999999995</v>
      </c>
      <c r="O35" s="29">
        <f t="shared" si="1"/>
        <v>0</v>
      </c>
      <c r="P35" s="29">
        <f t="shared" si="1"/>
        <v>0.93000000000000005</v>
      </c>
      <c r="Q35" s="29">
        <f t="shared" si="1"/>
        <v>13.890000000000001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6.2749999999999995</v>
      </c>
      <c r="C36" s="28">
        <f t="shared" si="2"/>
        <v>19.274583333333336</v>
      </c>
      <c r="D36" s="28">
        <f t="shared" si="2"/>
        <v>16.620000000000001</v>
      </c>
      <c r="E36" s="28">
        <f t="shared" si="2"/>
        <v>4.3970833333333337</v>
      </c>
      <c r="F36" s="28">
        <f t="shared" si="2"/>
        <v>6.1254166666666672</v>
      </c>
      <c r="G36" s="28">
        <f t="shared" si="2"/>
        <v>40.563749999999999</v>
      </c>
      <c r="H36" s="28">
        <f t="shared" si="2"/>
        <v>17.06625</v>
      </c>
      <c r="I36" s="28">
        <f t="shared" si="2"/>
        <v>0.11000000000000001</v>
      </c>
      <c r="J36" s="28">
        <f t="shared" si="2"/>
        <v>0.25791666666666674</v>
      </c>
      <c r="K36" s="28">
        <f t="shared" si="2"/>
        <v>170.11041666666668</v>
      </c>
      <c r="L36" s="28">
        <f t="shared" si="2"/>
        <v>25.795416666666672</v>
      </c>
      <c r="M36" s="28">
        <f t="shared" si="2"/>
        <v>86.558750000000032</v>
      </c>
      <c r="N36" s="28">
        <f t="shared" si="2"/>
        <v>248.10833333333335</v>
      </c>
      <c r="O36" s="28">
        <f t="shared" si="2"/>
        <v>0</v>
      </c>
      <c r="P36" s="28">
        <f t="shared" si="2"/>
        <v>0.50083333333333335</v>
      </c>
      <c r="Q36" s="28">
        <f t="shared" si="2"/>
        <v>9.911249999999999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1.7636991757691285</v>
      </c>
      <c r="C37" s="28">
        <f t="shared" si="3" ref="C37:Q37">STDEV(C9:C32)</f>
        <v>8.6889249743650652</v>
      </c>
      <c r="D37" s="28">
        <f t="shared" si="3"/>
        <v>5.3274335121226013</v>
      </c>
      <c r="E37" s="28">
        <f t="shared" si="3"/>
        <v>0.85532846051228173</v>
      </c>
      <c r="F37" s="28">
        <f t="shared" si="3"/>
        <v>4.1411529366744615</v>
      </c>
      <c r="G37" s="28">
        <f t="shared" si="3"/>
        <v>10.376429314850416</v>
      </c>
      <c r="H37" s="28">
        <f t="shared" si="3"/>
        <v>4.2553095350550381</v>
      </c>
      <c r="I37" s="28">
        <f t="shared" si="3"/>
        <v>1.4628472785736255E-17</v>
      </c>
      <c r="J37" s="28">
        <f t="shared" si="3"/>
        <v>0.095643321395360442</v>
      </c>
      <c r="K37" s="28">
        <f t="shared" si="3"/>
        <v>146.27891929548025</v>
      </c>
      <c r="L37" s="28">
        <f t="shared" si="3"/>
        <v>2.241239911428428</v>
      </c>
      <c r="M37" s="28">
        <f t="shared" si="3"/>
        <v>11.263126182949348</v>
      </c>
      <c r="N37" s="28">
        <f t="shared" si="3"/>
        <v>309.348989522902</v>
      </c>
      <c r="O37" s="28">
        <f t="shared" si="3"/>
        <v>0</v>
      </c>
      <c r="P37" s="28">
        <f t="shared" si="3"/>
        <v>0.17744360198118728</v>
      </c>
      <c r="Q37" s="28">
        <f t="shared" si="3"/>
        <v>2.4884608696943595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e395d9-7d65-45aa-811f-15669304ea9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5.38</v>
      </c>
      <c r="C9" s="54">
        <v>11.94</v>
      </c>
      <c r="D9" s="54">
        <v>11.99</v>
      </c>
      <c r="E9" s="54">
        <v>4.45</v>
      </c>
      <c r="F9" s="54">
        <v>7.90</v>
      </c>
      <c r="G9" s="54">
        <v>43.26</v>
      </c>
      <c r="H9" s="54">
        <v>16.02</v>
      </c>
      <c r="I9" s="54">
        <v>0.11</v>
      </c>
      <c r="J9" s="54">
        <v>0.19</v>
      </c>
      <c r="K9" s="54">
        <v>331.42</v>
      </c>
      <c r="L9" s="54">
        <v>24.22</v>
      </c>
      <c r="M9" s="54">
        <v>98.01</v>
      </c>
      <c r="N9" s="54">
        <v>11.30</v>
      </c>
      <c r="O9" s="54">
        <v>0</v>
      </c>
      <c r="P9" s="54">
        <v>0.44</v>
      </c>
      <c r="Q9" s="54">
        <v>11.83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4.70</v>
      </c>
      <c r="C10" s="54">
        <v>10.17</v>
      </c>
      <c r="D10" s="54">
        <v>10.27</v>
      </c>
      <c r="E10" s="54">
        <v>4.8899999999999997</v>
      </c>
      <c r="F10" s="54">
        <v>10.42</v>
      </c>
      <c r="G10" s="54">
        <v>41.55</v>
      </c>
      <c r="H10" s="54">
        <v>14.84</v>
      </c>
      <c r="I10" s="54">
        <v>0.12</v>
      </c>
      <c r="J10" s="54">
        <v>0.17</v>
      </c>
      <c r="K10" s="54">
        <v>357.39</v>
      </c>
      <c r="L10" s="54">
        <v>24.07</v>
      </c>
      <c r="M10" s="54">
        <v>97.30</v>
      </c>
      <c r="N10" s="54">
        <v>11.40</v>
      </c>
      <c r="O10" s="54">
        <v>0</v>
      </c>
      <c r="P10" s="54">
        <v>0.37</v>
      </c>
      <c r="Q10" s="54">
        <v>13.53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5.14</v>
      </c>
      <c r="C11" s="54">
        <v>10.050000000000001</v>
      </c>
      <c r="D11" s="54">
        <v>10.96</v>
      </c>
      <c r="E11" s="54">
        <v>4.55</v>
      </c>
      <c r="F11" s="54">
        <v>2.29</v>
      </c>
      <c r="G11" s="54">
        <v>28.19</v>
      </c>
      <c r="H11" s="54">
        <v>14.84</v>
      </c>
      <c r="I11" s="54">
        <v>0.12</v>
      </c>
      <c r="J11" s="54">
        <v>0.19</v>
      </c>
      <c r="K11" s="54">
        <v>30.51</v>
      </c>
      <c r="L11" s="54">
        <v>23.91</v>
      </c>
      <c r="M11" s="54">
        <v>97.94</v>
      </c>
      <c r="N11" s="54">
        <v>11.30</v>
      </c>
      <c r="O11" s="54">
        <v>0</v>
      </c>
      <c r="P11" s="54">
        <v>0.39</v>
      </c>
      <c r="Q11" s="54">
        <v>14.25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4.4800000000000004</v>
      </c>
      <c r="C12" s="54">
        <v>9.34</v>
      </c>
      <c r="D12" s="54">
        <v>9.91</v>
      </c>
      <c r="E12" s="54">
        <v>4.59</v>
      </c>
      <c r="F12" s="54">
        <v>4.04</v>
      </c>
      <c r="G12" s="54">
        <v>22.57</v>
      </c>
      <c r="H12" s="54">
        <v>14.18</v>
      </c>
      <c r="I12" s="54">
        <v>0.12</v>
      </c>
      <c r="J12" s="54">
        <v>0.13</v>
      </c>
      <c r="K12" s="54">
        <v>26.87</v>
      </c>
      <c r="L12" s="54">
        <v>23.67</v>
      </c>
      <c r="M12" s="54">
        <v>98</v>
      </c>
      <c r="N12" s="54">
        <v>11.20</v>
      </c>
      <c r="O12" s="54">
        <v>0</v>
      </c>
      <c r="P12" s="54">
        <v>0.34</v>
      </c>
      <c r="Q12" s="54">
        <v>10.83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4.4800000000000004</v>
      </c>
      <c r="C13" s="54">
        <v>11.28</v>
      </c>
      <c r="D13" s="54">
        <v>11.11</v>
      </c>
      <c r="E13" s="54">
        <v>5.30</v>
      </c>
      <c r="F13" s="54">
        <v>6.19</v>
      </c>
      <c r="G13" s="54">
        <v>24.58</v>
      </c>
      <c r="H13" s="54">
        <v>13.57</v>
      </c>
      <c r="I13" s="54">
        <v>0.12</v>
      </c>
      <c r="J13" s="54">
        <v>0.18</v>
      </c>
      <c r="K13" s="54">
        <v>22.01</v>
      </c>
      <c r="L13" s="54">
        <v>23.54</v>
      </c>
      <c r="M13" s="54">
        <v>98.02</v>
      </c>
      <c r="N13" s="54">
        <v>11</v>
      </c>
      <c r="O13" s="54">
        <v>0</v>
      </c>
      <c r="P13" s="54">
        <v>0.27</v>
      </c>
      <c r="Q13" s="54">
        <v>11.14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4.4400000000000004</v>
      </c>
      <c r="C14" s="54">
        <v>10.68</v>
      </c>
      <c r="D14" s="54">
        <v>10.74</v>
      </c>
      <c r="E14" s="54">
        <v>5.52</v>
      </c>
      <c r="F14" s="54">
        <v>2.34</v>
      </c>
      <c r="G14" s="54">
        <v>24.58</v>
      </c>
      <c r="H14" s="54">
        <v>13.57</v>
      </c>
      <c r="I14" s="54">
        <v>0.13</v>
      </c>
      <c r="J14" s="54">
        <v>0.16</v>
      </c>
      <c r="K14" s="54">
        <v>19.03</v>
      </c>
      <c r="L14" s="54">
        <v>23.41</v>
      </c>
      <c r="M14" s="54">
        <v>98.03</v>
      </c>
      <c r="N14" s="54">
        <v>20.100000000000001</v>
      </c>
      <c r="O14" s="54">
        <v>0</v>
      </c>
      <c r="P14" s="54">
        <v>0.27</v>
      </c>
      <c r="Q14" s="54">
        <v>11.39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4.53</v>
      </c>
      <c r="C15" s="54">
        <v>11.52</v>
      </c>
      <c r="D15" s="54">
        <v>11.28</v>
      </c>
      <c r="E15" s="54">
        <v>5.1100000000000003</v>
      </c>
      <c r="F15" s="54">
        <v>3.15</v>
      </c>
      <c r="G15" s="54">
        <v>19.88</v>
      </c>
      <c r="H15" s="54">
        <v>12.29</v>
      </c>
      <c r="I15" s="54">
        <v>0.12</v>
      </c>
      <c r="J15" s="54">
        <v>0.21</v>
      </c>
      <c r="K15" s="54">
        <v>356.82</v>
      </c>
      <c r="L15" s="54">
        <v>23.63</v>
      </c>
      <c r="M15" s="54">
        <v>98.03</v>
      </c>
      <c r="N15" s="54">
        <v>60.30</v>
      </c>
      <c r="O15" s="54">
        <v>0</v>
      </c>
      <c r="P15" s="54">
        <v>0.28000000000000003</v>
      </c>
      <c r="Q15" s="54">
        <v>9.23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6.06</v>
      </c>
      <c r="C16" s="54">
        <v>13.13</v>
      </c>
      <c r="D16" s="54">
        <v>13.34</v>
      </c>
      <c r="E16" s="54">
        <v>5.04</v>
      </c>
      <c r="F16" s="54">
        <v>3.14</v>
      </c>
      <c r="G16" s="54">
        <v>30.04</v>
      </c>
      <c r="H16" s="54">
        <v>13.36</v>
      </c>
      <c r="I16" s="54">
        <v>0.12</v>
      </c>
      <c r="J16" s="54">
        <v>0.30</v>
      </c>
      <c r="K16" s="54">
        <v>26.51</v>
      </c>
      <c r="L16" s="54">
        <v>25.42</v>
      </c>
      <c r="M16" s="54">
        <v>98.02</v>
      </c>
      <c r="N16" s="54">
        <v>329.5</v>
      </c>
      <c r="O16" s="54">
        <v>0</v>
      </c>
      <c r="P16" s="54">
        <v>0.31</v>
      </c>
      <c r="Q16" s="54">
        <v>10.02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6.16</v>
      </c>
      <c r="C17" s="54">
        <v>13.40</v>
      </c>
      <c r="D17" s="54">
        <v>13.63</v>
      </c>
      <c r="E17" s="54">
        <v>3.62</v>
      </c>
      <c r="F17" s="54">
        <v>1.33</v>
      </c>
      <c r="G17" s="54">
        <v>32.11</v>
      </c>
      <c r="H17" s="54">
        <v>13.36</v>
      </c>
      <c r="I17" s="54">
        <v>0.12</v>
      </c>
      <c r="J17" s="54">
        <v>0.33</v>
      </c>
      <c r="K17" s="54">
        <v>355.42</v>
      </c>
      <c r="L17" s="54">
        <v>25.35</v>
      </c>
      <c r="M17" s="54">
        <v>92.36</v>
      </c>
      <c r="N17" s="54">
        <v>369.5</v>
      </c>
      <c r="O17" s="54">
        <v>0</v>
      </c>
      <c r="P17" s="54">
        <v>0.34</v>
      </c>
      <c r="Q17" s="54">
        <v>9.5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5.41</v>
      </c>
      <c r="C18" s="54">
        <v>11.89</v>
      </c>
      <c r="D18" s="54">
        <v>12.08</v>
      </c>
      <c r="E18" s="54">
        <v>3.66</v>
      </c>
      <c r="F18" s="54">
        <v>2.23</v>
      </c>
      <c r="G18" s="54">
        <v>32.11</v>
      </c>
      <c r="H18" s="54">
        <v>10.14</v>
      </c>
      <c r="I18" s="54">
        <v>0.12</v>
      </c>
      <c r="J18" s="54">
        <v>0.09</v>
      </c>
      <c r="K18" s="54">
        <v>203.09</v>
      </c>
      <c r="L18" s="54">
        <v>25.63</v>
      </c>
      <c r="M18" s="54">
        <v>89.29</v>
      </c>
      <c r="N18" s="54">
        <v>375.5</v>
      </c>
      <c r="O18" s="54">
        <v>0</v>
      </c>
      <c r="P18" s="54">
        <v>0.32</v>
      </c>
      <c r="Q18" s="54">
        <v>7.44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4.9400000000000004</v>
      </c>
      <c r="C19" s="54">
        <v>17.420000000000002</v>
      </c>
      <c r="D19" s="54">
        <v>14.42</v>
      </c>
      <c r="E19" s="54">
        <v>3.90</v>
      </c>
      <c r="F19" s="54">
        <v>8.19</v>
      </c>
      <c r="G19" s="54">
        <v>30.81</v>
      </c>
      <c r="H19" s="54">
        <v>8</v>
      </c>
      <c r="I19" s="54">
        <v>0.12</v>
      </c>
      <c r="J19" s="54">
        <v>0.27</v>
      </c>
      <c r="K19" s="54">
        <v>25.39</v>
      </c>
      <c r="L19" s="54">
        <v>27.14</v>
      </c>
      <c r="M19" s="54">
        <v>85.04</v>
      </c>
      <c r="N19" s="54">
        <v>568.10</v>
      </c>
      <c r="O19" s="54">
        <v>0</v>
      </c>
      <c r="P19" s="54">
        <v>0.33</v>
      </c>
      <c r="Q19" s="54">
        <v>6.82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3.48</v>
      </c>
      <c r="C20" s="54">
        <v>16.809999999999999</v>
      </c>
      <c r="D20" s="54">
        <v>13.14</v>
      </c>
      <c r="E20" s="57" t="s">
        <v>8</v>
      </c>
      <c r="F20" s="54">
        <v>5.07</v>
      </c>
      <c r="G20" s="58" t="s">
        <v>12</v>
      </c>
      <c r="H20" s="58" t="s">
        <v>12</v>
      </c>
      <c r="I20" s="54">
        <v>0.12</v>
      </c>
      <c r="J20" s="54">
        <v>0.44</v>
      </c>
      <c r="K20" s="54">
        <v>25.26</v>
      </c>
      <c r="L20" s="54">
        <v>28.51</v>
      </c>
      <c r="M20" s="54">
        <v>79.63</v>
      </c>
      <c r="N20" s="54">
        <v>714.60</v>
      </c>
      <c r="O20" s="54">
        <v>0</v>
      </c>
      <c r="P20" s="54">
        <v>0.30</v>
      </c>
      <c r="Q20" s="54">
        <v>4.80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4.5599999999999996</v>
      </c>
      <c r="C21" s="54">
        <v>17.14</v>
      </c>
      <c r="D21" s="54">
        <v>14.06</v>
      </c>
      <c r="E21" s="54">
        <v>6.33</v>
      </c>
      <c r="F21" s="54">
        <v>5.14</v>
      </c>
      <c r="G21" s="58" t="s">
        <v>12</v>
      </c>
      <c r="H21" s="58" t="s">
        <v>12</v>
      </c>
      <c r="I21" s="54">
        <v>0.12</v>
      </c>
      <c r="J21" s="54">
        <v>0.51</v>
      </c>
      <c r="K21" s="54">
        <v>22.55</v>
      </c>
      <c r="L21" s="54">
        <v>28.67</v>
      </c>
      <c r="M21" s="54">
        <v>74.709999999999994</v>
      </c>
      <c r="N21" s="54">
        <v>560.79999999999995</v>
      </c>
      <c r="O21" s="54">
        <v>0</v>
      </c>
      <c r="P21" s="54">
        <v>0.34</v>
      </c>
      <c r="Q21" s="54">
        <v>6.20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4.55</v>
      </c>
      <c r="C22" s="54">
        <v>18.52</v>
      </c>
      <c r="D22" s="54">
        <v>15.16</v>
      </c>
      <c r="E22" s="54">
        <v>1.72</v>
      </c>
      <c r="F22" s="54">
        <v>7.32</v>
      </c>
      <c r="G22" s="54">
        <v>53.46</v>
      </c>
      <c r="H22" s="54">
        <v>6.36</v>
      </c>
      <c r="I22" s="54">
        <v>0.12</v>
      </c>
      <c r="J22" s="54">
        <v>0.43</v>
      </c>
      <c r="K22" s="54">
        <v>24.36</v>
      </c>
      <c r="L22" s="54">
        <v>28.79</v>
      </c>
      <c r="M22" s="54">
        <v>74.19</v>
      </c>
      <c r="N22" s="54">
        <v>839.20</v>
      </c>
      <c r="O22" s="54">
        <v>0</v>
      </c>
      <c r="P22" s="54">
        <v>0.40</v>
      </c>
      <c r="Q22" s="54">
        <v>5.37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4.55</v>
      </c>
      <c r="C23" s="54">
        <v>17.329999999999998</v>
      </c>
      <c r="D23" s="54">
        <v>14.51</v>
      </c>
      <c r="E23" s="54">
        <v>1.20</v>
      </c>
      <c r="F23" s="54">
        <v>4.21</v>
      </c>
      <c r="G23" s="54">
        <v>59.42</v>
      </c>
      <c r="H23" s="54">
        <v>9.84</v>
      </c>
      <c r="I23" s="54">
        <v>0.11</v>
      </c>
      <c r="J23" s="54">
        <v>0.47</v>
      </c>
      <c r="K23" s="54">
        <v>349.80</v>
      </c>
      <c r="L23" s="54">
        <v>29.07</v>
      </c>
      <c r="M23" s="54">
        <v>71.86</v>
      </c>
      <c r="N23" s="54">
        <v>757.5</v>
      </c>
      <c r="O23" s="54">
        <v>0</v>
      </c>
      <c r="P23" s="54">
        <v>0.37</v>
      </c>
      <c r="Q23" s="54">
        <v>5.63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3.87</v>
      </c>
      <c r="C24" s="54">
        <v>14.23</v>
      </c>
      <c r="D24" s="54">
        <v>12.08</v>
      </c>
      <c r="E24" s="54">
        <v>1.08</v>
      </c>
      <c r="F24" s="54">
        <v>3.71</v>
      </c>
      <c r="G24" s="54">
        <v>59.42</v>
      </c>
      <c r="H24" s="54">
        <v>10.60</v>
      </c>
      <c r="I24" s="54">
        <v>0.11</v>
      </c>
      <c r="J24" s="54">
        <v>0.41</v>
      </c>
      <c r="K24" s="54">
        <v>18.420000000000002</v>
      </c>
      <c r="L24" s="54">
        <v>28.32</v>
      </c>
      <c r="M24" s="54">
        <v>71.540000000000006</v>
      </c>
      <c r="N24" s="54">
        <v>262.70</v>
      </c>
      <c r="O24" s="54">
        <v>0</v>
      </c>
      <c r="P24" s="54">
        <v>0.35</v>
      </c>
      <c r="Q24" s="54">
        <v>5.14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3.91</v>
      </c>
      <c r="C25" s="54">
        <v>15.74</v>
      </c>
      <c r="D25" s="54">
        <v>13.03</v>
      </c>
      <c r="E25" s="54">
        <v>0.98</v>
      </c>
      <c r="F25" s="54">
        <v>4.6399999999999997</v>
      </c>
      <c r="G25" s="54">
        <v>49.16</v>
      </c>
      <c r="H25" s="54">
        <v>15.97</v>
      </c>
      <c r="I25" s="54">
        <v>0.11</v>
      </c>
      <c r="J25" s="54">
        <v>0.42</v>
      </c>
      <c r="K25" s="54">
        <v>26.13</v>
      </c>
      <c r="L25" s="54">
        <v>28.05</v>
      </c>
      <c r="M25" s="54">
        <v>75.47</v>
      </c>
      <c r="N25" s="54">
        <v>212.90</v>
      </c>
      <c r="O25" s="54">
        <v>0</v>
      </c>
      <c r="P25" s="54">
        <v>0.37</v>
      </c>
      <c r="Q25" s="54">
        <v>5.16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4.3600000000000003</v>
      </c>
      <c r="C26" s="54">
        <v>18.53</v>
      </c>
      <c r="D26" s="54">
        <v>15.02</v>
      </c>
      <c r="E26" s="54">
        <v>0.84</v>
      </c>
      <c r="F26" s="54">
        <v>4.03</v>
      </c>
      <c r="G26" s="54">
        <v>48.24</v>
      </c>
      <c r="H26" s="54">
        <v>15.97</v>
      </c>
      <c r="I26" s="54">
        <v>0.11</v>
      </c>
      <c r="J26" s="54">
        <v>0.34</v>
      </c>
      <c r="K26" s="54">
        <v>26.54</v>
      </c>
      <c r="L26" s="54">
        <v>27.16</v>
      </c>
      <c r="M26" s="54">
        <v>79.75</v>
      </c>
      <c r="N26" s="54">
        <v>106.5</v>
      </c>
      <c r="O26" s="54">
        <v>0</v>
      </c>
      <c r="P26" s="54">
        <v>0.41</v>
      </c>
      <c r="Q26" s="54">
        <v>4.54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7.15</v>
      </c>
      <c r="C27" s="54">
        <v>22.35</v>
      </c>
      <c r="D27" s="54">
        <v>19.36</v>
      </c>
      <c r="E27" s="54">
        <v>1.72</v>
      </c>
      <c r="F27" s="54">
        <v>7.27</v>
      </c>
      <c r="G27" s="54">
        <v>34.74</v>
      </c>
      <c r="H27" s="54">
        <v>14.78</v>
      </c>
      <c r="I27" s="54">
        <v>0.12</v>
      </c>
      <c r="J27" s="54">
        <v>0.30</v>
      </c>
      <c r="K27" s="54">
        <v>25.57</v>
      </c>
      <c r="L27" s="54">
        <v>26.30</v>
      </c>
      <c r="M27" s="54">
        <v>84.97</v>
      </c>
      <c r="N27" s="54">
        <v>16.5</v>
      </c>
      <c r="O27" s="54">
        <v>0</v>
      </c>
      <c r="P27" s="54">
        <v>0.65</v>
      </c>
      <c r="Q27" s="54">
        <v>5.5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6.72</v>
      </c>
      <c r="C28" s="54">
        <v>18.73</v>
      </c>
      <c r="D28" s="54">
        <v>16.600000000000001</v>
      </c>
      <c r="E28" s="54">
        <v>1.71</v>
      </c>
      <c r="F28" s="54">
        <v>4.04</v>
      </c>
      <c r="G28" s="54">
        <v>53.92</v>
      </c>
      <c r="H28" s="54">
        <v>17.53</v>
      </c>
      <c r="I28" s="54">
        <v>0.12</v>
      </c>
      <c r="J28" s="54">
        <v>0.24</v>
      </c>
      <c r="K28" s="54">
        <v>32.36</v>
      </c>
      <c r="L28" s="54">
        <v>25.70</v>
      </c>
      <c r="M28" s="54">
        <v>87.25</v>
      </c>
      <c r="N28" s="54">
        <v>9.5</v>
      </c>
      <c r="O28" s="54">
        <v>0</v>
      </c>
      <c r="P28" s="54">
        <v>0.47</v>
      </c>
      <c r="Q28" s="54">
        <v>6.48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6.74</v>
      </c>
      <c r="C29" s="54">
        <v>15.75</v>
      </c>
      <c r="D29" s="54">
        <v>14.98</v>
      </c>
      <c r="E29" s="54">
        <v>0.73</v>
      </c>
      <c r="F29" s="54">
        <v>2.52</v>
      </c>
      <c r="G29" s="54">
        <v>53.92</v>
      </c>
      <c r="H29" s="54">
        <v>17.760000000000002</v>
      </c>
      <c r="I29" s="54">
        <v>0.12</v>
      </c>
      <c r="J29" s="54">
        <v>0.27</v>
      </c>
      <c r="K29" s="54">
        <v>36.39</v>
      </c>
      <c r="L29" s="54">
        <v>25.44</v>
      </c>
      <c r="M29" s="54">
        <v>88.18</v>
      </c>
      <c r="N29" s="54">
        <v>9.5</v>
      </c>
      <c r="O29" s="54">
        <v>0</v>
      </c>
      <c r="P29" s="54">
        <v>0.49</v>
      </c>
      <c r="Q29" s="54">
        <v>7.06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5.82</v>
      </c>
      <c r="C30" s="54">
        <v>14.40</v>
      </c>
      <c r="D30" s="54">
        <v>13.81</v>
      </c>
      <c r="E30" s="54">
        <v>0.72</v>
      </c>
      <c r="F30" s="54">
        <v>2.87</v>
      </c>
      <c r="G30" s="54">
        <v>49.64</v>
      </c>
      <c r="H30" s="54">
        <v>18.059999999999999</v>
      </c>
      <c r="I30" s="54">
        <v>0.11</v>
      </c>
      <c r="J30" s="54">
        <v>0.28999999999999998</v>
      </c>
      <c r="K30" s="54">
        <v>31.39</v>
      </c>
      <c r="L30" s="54">
        <v>24.92</v>
      </c>
      <c r="M30" s="54">
        <v>90.64</v>
      </c>
      <c r="N30" s="54">
        <v>9.6999999999999993</v>
      </c>
      <c r="O30" s="54">
        <v>0</v>
      </c>
      <c r="P30" s="54">
        <v>0.47</v>
      </c>
      <c r="Q30" s="54">
        <v>7.17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5.76</v>
      </c>
      <c r="C31" s="54">
        <v>14.51</v>
      </c>
      <c r="D31" s="54">
        <v>13.92</v>
      </c>
      <c r="E31" s="54">
        <v>1.52</v>
      </c>
      <c r="F31" s="54">
        <v>3.17</v>
      </c>
      <c r="G31" s="54">
        <v>44.02</v>
      </c>
      <c r="H31" s="54">
        <v>18.5</v>
      </c>
      <c r="I31" s="54">
        <v>0.12</v>
      </c>
      <c r="J31" s="54">
        <v>0.28999999999999998</v>
      </c>
      <c r="K31" s="54">
        <v>30.51</v>
      </c>
      <c r="L31" s="54">
        <v>24.59</v>
      </c>
      <c r="M31" s="54">
        <v>97.82</v>
      </c>
      <c r="N31" s="54">
        <v>9.5</v>
      </c>
      <c r="O31" s="54">
        <v>0</v>
      </c>
      <c r="P31" s="54">
        <v>0.42</v>
      </c>
      <c r="Q31" s="54">
        <v>6.73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6.22</v>
      </c>
      <c r="C32" s="54">
        <v>12.36</v>
      </c>
      <c r="D32" s="54">
        <v>13.10</v>
      </c>
      <c r="E32" s="54">
        <v>1.24</v>
      </c>
      <c r="F32" s="54">
        <v>2.85</v>
      </c>
      <c r="G32" s="54">
        <v>44.02</v>
      </c>
      <c r="H32" s="54">
        <v>18.5</v>
      </c>
      <c r="I32" s="54">
        <v>0.12</v>
      </c>
      <c r="J32" s="54">
        <v>0.28000000000000003</v>
      </c>
      <c r="K32" s="54">
        <v>358.83</v>
      </c>
      <c r="L32" s="54">
        <v>23.94</v>
      </c>
      <c r="M32" s="54">
        <v>98.05</v>
      </c>
      <c r="N32" s="54">
        <v>9.3000000000000007</v>
      </c>
      <c r="O32" s="54">
        <v>0</v>
      </c>
      <c r="P32" s="54">
        <v>0.37</v>
      </c>
      <c r="Q32" s="54">
        <v>6.30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3.48</v>
      </c>
      <c r="C34" s="28">
        <f t="shared" si="0"/>
        <v>9.3399999999999999</v>
      </c>
      <c r="D34" s="28">
        <f t="shared" si="0"/>
        <v>9.9100000000000001</v>
      </c>
      <c r="E34" s="28">
        <f t="shared" si="0"/>
        <v>0.71999999999999997</v>
      </c>
      <c r="F34" s="28">
        <f t="shared" si="0"/>
        <v>1.3300000000000001</v>
      </c>
      <c r="G34" s="28">
        <f t="shared" si="0"/>
        <v>19.879999999999999</v>
      </c>
      <c r="H34" s="28">
        <f t="shared" si="0"/>
        <v>6.3600000000000003</v>
      </c>
      <c r="I34" s="28">
        <f t="shared" si="0"/>
        <v>0.11</v>
      </c>
      <c r="J34" s="28">
        <f t="shared" si="0"/>
        <v>0.089999999999999997</v>
      </c>
      <c r="K34" s="28">
        <f t="shared" si="0"/>
        <v>18.420000000000002</v>
      </c>
      <c r="L34" s="28">
        <f t="shared" si="0"/>
        <v>23.41</v>
      </c>
      <c r="M34" s="28">
        <f t="shared" si="0"/>
        <v>71.540000000000006</v>
      </c>
      <c r="N34" s="28">
        <f t="shared" si="0"/>
        <v>9.3000000000000007</v>
      </c>
      <c r="O34" s="28">
        <f t="shared" si="0"/>
        <v>0</v>
      </c>
      <c r="P34" s="28">
        <f t="shared" si="0"/>
        <v>0.27000000000000002</v>
      </c>
      <c r="Q34" s="28">
        <f t="shared" si="0"/>
        <v>4.54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7.1500000000000004</v>
      </c>
      <c r="C35" s="29">
        <f t="shared" si="1"/>
        <v>22.350000000000001</v>
      </c>
      <c r="D35" s="29">
        <f t="shared" si="1"/>
        <v>19.359999999999999</v>
      </c>
      <c r="E35" s="29">
        <f t="shared" si="1"/>
        <v>6.3300000000000001</v>
      </c>
      <c r="F35" s="29">
        <f t="shared" si="1"/>
        <v>10.42</v>
      </c>
      <c r="G35" s="29">
        <f t="shared" si="1"/>
        <v>59.420000000000002</v>
      </c>
      <c r="H35" s="29">
        <f t="shared" si="1"/>
        <v>18.5</v>
      </c>
      <c r="I35" s="29">
        <f t="shared" si="1"/>
        <v>0.13</v>
      </c>
      <c r="J35" s="29">
        <f t="shared" si="1"/>
        <v>0.51000000000000001</v>
      </c>
      <c r="K35" s="29">
        <f t="shared" si="1"/>
        <v>358.82999999999998</v>
      </c>
      <c r="L35" s="29">
        <f t="shared" si="1"/>
        <v>29.07</v>
      </c>
      <c r="M35" s="29">
        <f t="shared" si="1"/>
        <v>98.049999999999997</v>
      </c>
      <c r="N35" s="29">
        <f t="shared" si="1"/>
        <v>839.20000000000005</v>
      </c>
      <c r="O35" s="29">
        <f t="shared" si="1"/>
        <v>0</v>
      </c>
      <c r="P35" s="29">
        <f t="shared" si="1"/>
        <v>0.65000000000000002</v>
      </c>
      <c r="Q35" s="29">
        <f t="shared" si="1"/>
        <v>14.25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5.1420833333333338</v>
      </c>
      <c r="C36" s="28">
        <f t="shared" si="2"/>
        <v>14.467500000000001</v>
      </c>
      <c r="D36" s="28">
        <f t="shared" si="2"/>
        <v>13.270833333333337</v>
      </c>
      <c r="E36" s="28">
        <f t="shared" si="2"/>
        <v>3.0617391304347819</v>
      </c>
      <c r="F36" s="28">
        <f t="shared" si="2"/>
        <v>4.5024999999999995</v>
      </c>
      <c r="G36" s="28">
        <f t="shared" si="2"/>
        <v>39.983636363636357</v>
      </c>
      <c r="H36" s="28">
        <f t="shared" si="2"/>
        <v>14.001818181818182</v>
      </c>
      <c r="I36" s="28">
        <f t="shared" si="2"/>
        <v>0.11791666666666671</v>
      </c>
      <c r="J36" s="28">
        <f t="shared" si="2"/>
        <v>0.28791666666666671</v>
      </c>
      <c r="K36" s="28">
        <f t="shared" si="2"/>
        <v>115.10708333333334</v>
      </c>
      <c r="L36" s="28">
        <f t="shared" si="2"/>
        <v>25.810416666666672</v>
      </c>
      <c r="M36" s="28">
        <f t="shared" si="2"/>
        <v>88.504166666666677</v>
      </c>
      <c r="N36" s="28">
        <f t="shared" si="2"/>
        <v>220.72499999999994</v>
      </c>
      <c r="O36" s="28">
        <f t="shared" si="2"/>
        <v>0</v>
      </c>
      <c r="P36" s="28">
        <f t="shared" si="2"/>
        <v>0.37791666666666668</v>
      </c>
      <c r="Q36" s="28">
        <f t="shared" si="2"/>
        <v>8.0024999999999977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0.99162133010480913</v>
      </c>
      <c r="C37" s="28">
        <f t="shared" si="3" ref="C37:Q37">STDEV(C9:C32)</f>
        <v>3.3877390818887552</v>
      </c>
      <c r="D37" s="28">
        <f t="shared" si="3"/>
        <v>2.1598589258815037</v>
      </c>
      <c r="E37" s="28">
        <f t="shared" si="3"/>
        <v>1.9038612730542037</v>
      </c>
      <c r="F37" s="28">
        <f t="shared" si="3"/>
        <v>2.287037670076256</v>
      </c>
      <c r="G37" s="28">
        <f t="shared" si="3"/>
        <v>12.483384593494335</v>
      </c>
      <c r="H37" s="28">
        <f t="shared" si="3"/>
        <v>3.3786735018398231</v>
      </c>
      <c r="I37" s="28">
        <f t="shared" si="3"/>
        <v>0.0050897737770405141</v>
      </c>
      <c r="J37" s="28">
        <f t="shared" si="3"/>
        <v>0.11367303097487308</v>
      </c>
      <c r="K37" s="28">
        <f t="shared" si="3"/>
        <v>144.13740616627101</v>
      </c>
      <c r="L37" s="28">
        <f t="shared" si="3"/>
        <v>1.9321073855444379</v>
      </c>
      <c r="M37" s="28">
        <f t="shared" si="3"/>
        <v>9.8221205169388952</v>
      </c>
      <c r="N37" s="28">
        <f t="shared" si="3"/>
        <v>277.71253866261566</v>
      </c>
      <c r="O37" s="28">
        <f t="shared" si="3"/>
        <v>0</v>
      </c>
      <c r="P37" s="28">
        <f t="shared" si="3"/>
        <v>0.084800490496256986</v>
      </c>
      <c r="Q37" s="28">
        <f t="shared" si="3"/>
        <v>2.8899259054741289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23d569-64f1-477c-bb85-7f52f052de8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4.7699999999999996</v>
      </c>
      <c r="C9" s="54">
        <v>11.02</v>
      </c>
      <c r="D9" s="54">
        <v>10.72</v>
      </c>
      <c r="E9" s="54">
        <v>1.73</v>
      </c>
      <c r="F9" s="54">
        <v>1.88</v>
      </c>
      <c r="G9" s="54">
        <v>38.479999999999997</v>
      </c>
      <c r="H9" s="54">
        <v>15.66</v>
      </c>
      <c r="I9" s="54">
        <v>0.12</v>
      </c>
      <c r="J9" s="54">
        <v>0.92</v>
      </c>
      <c r="K9" s="54">
        <v>319.33999999999997</v>
      </c>
      <c r="L9" s="54">
        <v>23.91</v>
      </c>
      <c r="M9" s="54">
        <v>98.12</v>
      </c>
      <c r="N9" s="54">
        <v>12.10</v>
      </c>
      <c r="O9" s="54">
        <v>1.20</v>
      </c>
      <c r="P9" s="54">
        <v>0.33</v>
      </c>
      <c r="Q9" s="54">
        <v>5.72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4.24</v>
      </c>
      <c r="C10" s="54">
        <v>9.83</v>
      </c>
      <c r="D10" s="54">
        <v>10.09</v>
      </c>
      <c r="E10" s="54">
        <v>2.44</v>
      </c>
      <c r="F10" s="54">
        <v>1.26</v>
      </c>
      <c r="G10" s="54">
        <v>38.479999999999997</v>
      </c>
      <c r="H10" s="54">
        <v>12.35</v>
      </c>
      <c r="I10" s="54">
        <v>0.12</v>
      </c>
      <c r="J10" s="54">
        <v>0.28999999999999998</v>
      </c>
      <c r="K10" s="54">
        <v>358.24</v>
      </c>
      <c r="L10" s="54">
        <v>21.74</v>
      </c>
      <c r="M10" s="54">
        <v>98.15</v>
      </c>
      <c r="N10" s="54">
        <v>9.60</v>
      </c>
      <c r="O10" s="54">
        <v>0.20</v>
      </c>
      <c r="P10" s="54">
        <v>0.34</v>
      </c>
      <c r="Q10" s="54">
        <v>5.20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4.4400000000000004</v>
      </c>
      <c r="C11" s="54">
        <v>10.18</v>
      </c>
      <c r="D11" s="54">
        <v>10.47</v>
      </c>
      <c r="E11" s="54">
        <v>1.40</v>
      </c>
      <c r="F11" s="54">
        <v>1.21</v>
      </c>
      <c r="G11" s="54">
        <v>26.49</v>
      </c>
      <c r="H11" s="54">
        <v>10.30</v>
      </c>
      <c r="I11" s="54">
        <v>0.12</v>
      </c>
      <c r="J11" s="54">
        <v>0.31</v>
      </c>
      <c r="K11" s="54">
        <v>359.26</v>
      </c>
      <c r="L11" s="54">
        <v>21.65</v>
      </c>
      <c r="M11" s="54">
        <v>98.15</v>
      </c>
      <c r="N11" s="54">
        <v>9.60</v>
      </c>
      <c r="O11" s="54">
        <v>0</v>
      </c>
      <c r="P11" s="54">
        <v>0.31</v>
      </c>
      <c r="Q11" s="54">
        <v>4.46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4.46</v>
      </c>
      <c r="C12" s="54">
        <v>12.95</v>
      </c>
      <c r="D12" s="54">
        <v>11.86</v>
      </c>
      <c r="E12" s="54">
        <v>1.59</v>
      </c>
      <c r="F12" s="54">
        <v>4.91</v>
      </c>
      <c r="G12" s="54">
        <v>20.11</v>
      </c>
      <c r="H12" s="54">
        <v>7.64</v>
      </c>
      <c r="I12" s="54">
        <v>0.12</v>
      </c>
      <c r="J12" s="54">
        <v>0.16</v>
      </c>
      <c r="K12" s="54">
        <v>335.94</v>
      </c>
      <c r="L12" s="54">
        <v>21.68</v>
      </c>
      <c r="M12" s="54">
        <v>98.15</v>
      </c>
      <c r="N12" s="54">
        <v>9.8000000000000007</v>
      </c>
      <c r="O12" s="54">
        <v>0</v>
      </c>
      <c r="P12" s="54">
        <v>0.57999999999999996</v>
      </c>
      <c r="Q12" s="54">
        <v>7.01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5.65</v>
      </c>
      <c r="C13" s="54">
        <v>11.35</v>
      </c>
      <c r="D13" s="54">
        <v>11.52</v>
      </c>
      <c r="E13" s="54">
        <v>1.73</v>
      </c>
      <c r="F13" s="54">
        <v>1.56</v>
      </c>
      <c r="G13" s="54">
        <v>19.670000000000002</v>
      </c>
      <c r="H13" s="54">
        <v>7.63</v>
      </c>
      <c r="I13" s="54">
        <v>0.12</v>
      </c>
      <c r="J13" s="54">
        <v>0.15</v>
      </c>
      <c r="K13" s="54">
        <v>20.61</v>
      </c>
      <c r="L13" s="54">
        <v>21.97</v>
      </c>
      <c r="M13" s="54">
        <v>98.14</v>
      </c>
      <c r="N13" s="54">
        <v>9.3000000000000007</v>
      </c>
      <c r="O13" s="54">
        <v>0</v>
      </c>
      <c r="P13" s="54">
        <v>0.37</v>
      </c>
      <c r="Q13" s="54">
        <v>8.43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5.49</v>
      </c>
      <c r="C14" s="54">
        <v>9.56</v>
      </c>
      <c r="D14" s="54">
        <v>10.65</v>
      </c>
      <c r="E14" s="54">
        <v>1.21</v>
      </c>
      <c r="F14" s="54">
        <v>1.05</v>
      </c>
      <c r="G14" s="54">
        <v>19.670000000000002</v>
      </c>
      <c r="H14" s="54">
        <v>7.63</v>
      </c>
      <c r="I14" s="54">
        <v>0.12</v>
      </c>
      <c r="J14" s="54">
        <v>0.27</v>
      </c>
      <c r="K14" s="54">
        <v>27.51</v>
      </c>
      <c r="L14" s="54">
        <v>22.07</v>
      </c>
      <c r="M14" s="54">
        <v>98.14</v>
      </c>
      <c r="N14" s="54">
        <v>15.20</v>
      </c>
      <c r="O14" s="54">
        <v>0</v>
      </c>
      <c r="P14" s="54">
        <v>0.34</v>
      </c>
      <c r="Q14" s="54">
        <v>6.60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6.36</v>
      </c>
      <c r="C15" s="54">
        <v>11.40</v>
      </c>
      <c r="D15" s="54">
        <v>12.68</v>
      </c>
      <c r="E15" s="54">
        <v>1.1599999999999999</v>
      </c>
      <c r="F15" s="54">
        <v>1.18</v>
      </c>
      <c r="G15" s="54">
        <v>14.86</v>
      </c>
      <c r="H15" s="54">
        <v>5.46</v>
      </c>
      <c r="I15" s="54">
        <v>0.12</v>
      </c>
      <c r="J15" s="54">
        <v>0.22</v>
      </c>
      <c r="K15" s="54">
        <v>29.57</v>
      </c>
      <c r="L15" s="54">
        <v>22.37</v>
      </c>
      <c r="M15" s="54">
        <v>98.13</v>
      </c>
      <c r="N15" s="54">
        <v>62.5</v>
      </c>
      <c r="O15" s="54">
        <v>0</v>
      </c>
      <c r="P15" s="54">
        <v>0.34</v>
      </c>
      <c r="Q15" s="54">
        <v>7.61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8.3699999999999992</v>
      </c>
      <c r="C16" s="54">
        <v>11.26</v>
      </c>
      <c r="D16" s="54">
        <v>14.06</v>
      </c>
      <c r="E16" s="54">
        <v>1.97</v>
      </c>
      <c r="F16" s="54">
        <v>1.1200000000000001</v>
      </c>
      <c r="G16" s="54">
        <v>11.07</v>
      </c>
      <c r="H16" s="54">
        <v>3.85</v>
      </c>
      <c r="I16" s="54">
        <v>0.12</v>
      </c>
      <c r="J16" s="54">
        <v>0.28000000000000003</v>
      </c>
      <c r="K16" s="54">
        <v>20.99</v>
      </c>
      <c r="L16" s="54">
        <v>23.81</v>
      </c>
      <c r="M16" s="54">
        <v>98.11</v>
      </c>
      <c r="N16" s="54">
        <v>202.20</v>
      </c>
      <c r="O16" s="54">
        <v>0</v>
      </c>
      <c r="P16" s="54">
        <v>0.32</v>
      </c>
      <c r="Q16" s="54">
        <v>7.98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8.89</v>
      </c>
      <c r="C17" s="54">
        <v>12.41</v>
      </c>
      <c r="D17" s="54">
        <v>15.27</v>
      </c>
      <c r="E17" s="54">
        <v>2.92</v>
      </c>
      <c r="F17" s="54">
        <v>0.96</v>
      </c>
      <c r="G17" s="54">
        <v>23.03</v>
      </c>
      <c r="H17" s="54">
        <v>6.77</v>
      </c>
      <c r="I17" s="54">
        <v>0.12</v>
      </c>
      <c r="J17" s="54">
        <v>0.32</v>
      </c>
      <c r="K17" s="54">
        <v>24.18</v>
      </c>
      <c r="L17" s="54">
        <v>24.46</v>
      </c>
      <c r="M17" s="54">
        <v>96.93</v>
      </c>
      <c r="N17" s="54">
        <v>314</v>
      </c>
      <c r="O17" s="54">
        <v>0</v>
      </c>
      <c r="P17" s="54">
        <v>0.42</v>
      </c>
      <c r="Q17" s="54">
        <v>7.99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9.10</v>
      </c>
      <c r="C18" s="54">
        <v>14.71</v>
      </c>
      <c r="D18" s="54">
        <v>16.62</v>
      </c>
      <c r="E18" s="54">
        <v>2.56</v>
      </c>
      <c r="F18" s="54">
        <v>1.1200000000000001</v>
      </c>
      <c r="G18" s="54">
        <v>30.31</v>
      </c>
      <c r="H18" s="54">
        <v>6.77</v>
      </c>
      <c r="I18" s="54">
        <v>0.12</v>
      </c>
      <c r="J18" s="54">
        <v>0.36</v>
      </c>
      <c r="K18" s="54">
        <v>22.81</v>
      </c>
      <c r="L18" s="54">
        <v>25.07</v>
      </c>
      <c r="M18" s="54">
        <v>92.46</v>
      </c>
      <c r="N18" s="54">
        <v>400.5</v>
      </c>
      <c r="O18" s="54">
        <v>0</v>
      </c>
      <c r="P18" s="54">
        <v>0.47</v>
      </c>
      <c r="Q18" s="54">
        <v>8.42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8.31</v>
      </c>
      <c r="C19" s="54">
        <v>22.42</v>
      </c>
      <c r="D19" s="54">
        <v>18.489999999999998</v>
      </c>
      <c r="E19" s="54">
        <v>2.82</v>
      </c>
      <c r="F19" s="54">
        <v>3.85</v>
      </c>
      <c r="G19" s="54">
        <v>30.31</v>
      </c>
      <c r="H19" s="54">
        <v>9.43</v>
      </c>
      <c r="I19" s="54">
        <v>0.12</v>
      </c>
      <c r="J19" s="54">
        <v>0.35</v>
      </c>
      <c r="K19" s="54">
        <v>19.649999999999999</v>
      </c>
      <c r="L19" s="54">
        <v>26.39</v>
      </c>
      <c r="M19" s="54">
        <v>88.74</v>
      </c>
      <c r="N19" s="54">
        <v>529.90</v>
      </c>
      <c r="O19" s="54">
        <v>0</v>
      </c>
      <c r="P19" s="54">
        <v>0.53</v>
      </c>
      <c r="Q19" s="54">
        <v>7.38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6.05</v>
      </c>
      <c r="C20" s="54">
        <v>21.90</v>
      </c>
      <c r="D20" s="54">
        <v>18.23</v>
      </c>
      <c r="E20" s="57" t="s">
        <v>8</v>
      </c>
      <c r="F20" s="54">
        <v>3.84</v>
      </c>
      <c r="G20" s="54">
        <v>23.79</v>
      </c>
      <c r="H20" s="54">
        <v>9.5299999999999994</v>
      </c>
      <c r="I20" s="54">
        <v>0.11</v>
      </c>
      <c r="J20" s="54">
        <v>0.37</v>
      </c>
      <c r="K20" s="54">
        <v>359.77</v>
      </c>
      <c r="L20" s="54">
        <v>27.53</v>
      </c>
      <c r="M20" s="54">
        <v>81.25</v>
      </c>
      <c r="N20" s="54">
        <v>619.40</v>
      </c>
      <c r="O20" s="54">
        <v>0</v>
      </c>
      <c r="P20" s="54">
        <v>0.63</v>
      </c>
      <c r="Q20" s="54">
        <v>7.61</v>
      </c>
      <c r="R20" s="43"/>
      <c r="S20" s="43"/>
      <c r="T20" s="43"/>
      <c r="U20" s="43"/>
    </row>
    <row r="21" spans="1:21" s="11" customFormat="1" ht="15">
      <c r="A21" s="53" t="s">
        <v>626</v>
      </c>
      <c r="B21" s="57" t="s">
        <v>8</v>
      </c>
      <c r="C21" s="57" t="s">
        <v>8</v>
      </c>
      <c r="D21" s="57" t="s">
        <v>8</v>
      </c>
      <c r="E21" s="57" t="s">
        <v>8</v>
      </c>
      <c r="F21" s="54">
        <v>12.75</v>
      </c>
      <c r="G21" s="54">
        <v>35.840000000000003</v>
      </c>
      <c r="H21" s="54">
        <v>12.06</v>
      </c>
      <c r="I21" s="54">
        <v>0.13</v>
      </c>
      <c r="J21" s="54">
        <v>0.35</v>
      </c>
      <c r="K21" s="54">
        <v>352.84</v>
      </c>
      <c r="L21" s="54">
        <v>28.30</v>
      </c>
      <c r="M21" s="54">
        <v>76.430000000000007</v>
      </c>
      <c r="N21" s="54">
        <v>403.30</v>
      </c>
      <c r="O21" s="54">
        <v>0</v>
      </c>
      <c r="P21" s="57" t="s">
        <v>8</v>
      </c>
      <c r="Q21" s="54">
        <v>8.5299999999999994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4.33</v>
      </c>
      <c r="C22" s="54">
        <v>30.96</v>
      </c>
      <c r="D22" s="54">
        <v>20.97</v>
      </c>
      <c r="E22" s="54">
        <v>1.70</v>
      </c>
      <c r="F22" s="54">
        <v>15.39</v>
      </c>
      <c r="G22" s="54">
        <v>58.07</v>
      </c>
      <c r="H22" s="54">
        <v>17</v>
      </c>
      <c r="I22" s="54">
        <v>0.11</v>
      </c>
      <c r="J22" s="54">
        <v>0.32</v>
      </c>
      <c r="K22" s="54">
        <v>24.57</v>
      </c>
      <c r="L22" s="54">
        <v>27.65</v>
      </c>
      <c r="M22" s="54">
        <v>74.38</v>
      </c>
      <c r="N22" s="54">
        <v>413.5</v>
      </c>
      <c r="O22" s="54">
        <v>0</v>
      </c>
      <c r="P22" s="54">
        <v>0.70</v>
      </c>
      <c r="Q22" s="54">
        <v>10.29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4.92</v>
      </c>
      <c r="C23" s="54">
        <v>20.38</v>
      </c>
      <c r="D23" s="54">
        <v>16.07</v>
      </c>
      <c r="E23" s="54">
        <v>0.78</v>
      </c>
      <c r="F23" s="54">
        <v>3.91</v>
      </c>
      <c r="G23" s="54">
        <v>58.07</v>
      </c>
      <c r="H23" s="54">
        <v>17</v>
      </c>
      <c r="I23" s="54">
        <v>0.11</v>
      </c>
      <c r="J23" s="54">
        <v>0.28999999999999998</v>
      </c>
      <c r="K23" s="54">
        <v>358.33</v>
      </c>
      <c r="L23" s="54">
        <v>27.88</v>
      </c>
      <c r="M23" s="54">
        <v>75.58</v>
      </c>
      <c r="N23" s="54">
        <v>377.90</v>
      </c>
      <c r="O23" s="54">
        <v>0</v>
      </c>
      <c r="P23" s="54">
        <v>0.72</v>
      </c>
      <c r="Q23" s="54">
        <v>5.45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5.69</v>
      </c>
      <c r="C24" s="54">
        <v>19.27</v>
      </c>
      <c r="D24" s="54">
        <v>16.489999999999998</v>
      </c>
      <c r="E24" s="54">
        <v>4.96</v>
      </c>
      <c r="F24" s="54">
        <v>4.62</v>
      </c>
      <c r="G24" s="54">
        <v>42.24</v>
      </c>
      <c r="H24" s="54">
        <v>15.85</v>
      </c>
      <c r="I24" s="54">
        <v>0.11</v>
      </c>
      <c r="J24" s="54">
        <v>0.46</v>
      </c>
      <c r="K24" s="54">
        <v>20.66</v>
      </c>
      <c r="L24" s="54">
        <v>27.79</v>
      </c>
      <c r="M24" s="54">
        <v>80.98</v>
      </c>
      <c r="N24" s="54">
        <v>312.39999999999998</v>
      </c>
      <c r="O24" s="54">
        <v>0</v>
      </c>
      <c r="P24" s="54">
        <v>0.56000000000000005</v>
      </c>
      <c r="Q24" s="54">
        <v>6.29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6.25</v>
      </c>
      <c r="C25" s="54">
        <v>19.23</v>
      </c>
      <c r="D25" s="54">
        <v>16.91</v>
      </c>
      <c r="E25" s="54">
        <v>3.95</v>
      </c>
      <c r="F25" s="54">
        <v>2.11</v>
      </c>
      <c r="G25" s="54">
        <v>46.32</v>
      </c>
      <c r="H25" s="54">
        <v>13.53</v>
      </c>
      <c r="I25" s="54">
        <v>0.11</v>
      </c>
      <c r="J25" s="54">
        <v>0.40</v>
      </c>
      <c r="K25" s="54">
        <v>356.19</v>
      </c>
      <c r="L25" s="54">
        <v>25.28</v>
      </c>
      <c r="M25" s="54">
        <v>90.22</v>
      </c>
      <c r="N25" s="54">
        <v>156.10</v>
      </c>
      <c r="O25" s="54">
        <v>0</v>
      </c>
      <c r="P25" s="54">
        <v>0.44</v>
      </c>
      <c r="Q25" s="54">
        <v>6.06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8.93</v>
      </c>
      <c r="C26" s="54">
        <v>24.51</v>
      </c>
      <c r="D26" s="54">
        <v>21.98</v>
      </c>
      <c r="E26" s="54">
        <v>3.62</v>
      </c>
      <c r="F26" s="54">
        <v>2.36</v>
      </c>
      <c r="G26" s="54">
        <v>46.32</v>
      </c>
      <c r="H26" s="54">
        <v>13.12</v>
      </c>
      <c r="I26" s="54">
        <v>0.12</v>
      </c>
      <c r="J26" s="54">
        <v>0.30</v>
      </c>
      <c r="K26" s="54">
        <v>21.33</v>
      </c>
      <c r="L26" s="54">
        <v>24.85</v>
      </c>
      <c r="M26" s="54">
        <v>93.54</v>
      </c>
      <c r="N26" s="54">
        <v>69.5</v>
      </c>
      <c r="O26" s="54">
        <v>0</v>
      </c>
      <c r="P26" s="54">
        <v>0.78</v>
      </c>
      <c r="Q26" s="54">
        <v>7.58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14.54</v>
      </c>
      <c r="C27" s="54">
        <v>26.24</v>
      </c>
      <c r="D27" s="54">
        <v>27.38</v>
      </c>
      <c r="E27" s="54">
        <v>4.45</v>
      </c>
      <c r="F27" s="54">
        <v>2.64</v>
      </c>
      <c r="G27" s="54">
        <v>45.96</v>
      </c>
      <c r="H27" s="54">
        <v>15.58</v>
      </c>
      <c r="I27" s="54">
        <v>0.11</v>
      </c>
      <c r="J27" s="54">
        <v>0.21</v>
      </c>
      <c r="K27" s="54">
        <v>24.33</v>
      </c>
      <c r="L27" s="54">
        <v>24.66</v>
      </c>
      <c r="M27" s="54">
        <v>93.55</v>
      </c>
      <c r="N27" s="54">
        <v>14.5</v>
      </c>
      <c r="O27" s="54">
        <v>0</v>
      </c>
      <c r="P27" s="54">
        <v>0.86</v>
      </c>
      <c r="Q27" s="54">
        <v>9.33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14.71</v>
      </c>
      <c r="C28" s="54">
        <v>17.579999999999998</v>
      </c>
      <c r="D28" s="54">
        <v>22.27</v>
      </c>
      <c r="E28" s="54">
        <v>4.26</v>
      </c>
      <c r="F28" s="54">
        <v>1.1200000000000001</v>
      </c>
      <c r="G28" s="54">
        <v>45.96</v>
      </c>
      <c r="H28" s="54">
        <v>17.399999999999999</v>
      </c>
      <c r="I28" s="54">
        <v>0.12</v>
      </c>
      <c r="J28" s="54">
        <v>0.26</v>
      </c>
      <c r="K28" s="54">
        <v>359.99</v>
      </c>
      <c r="L28" s="54">
        <v>24.60</v>
      </c>
      <c r="M28" s="54">
        <v>90.56</v>
      </c>
      <c r="N28" s="54">
        <v>8.90</v>
      </c>
      <c r="O28" s="54">
        <v>0</v>
      </c>
      <c r="P28" s="54">
        <v>0.80</v>
      </c>
      <c r="Q28" s="54">
        <v>9.85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23.10</v>
      </c>
      <c r="C29" s="54">
        <v>25.37</v>
      </c>
      <c r="D29" s="54">
        <v>31.96</v>
      </c>
      <c r="E29" s="54">
        <v>4.3600000000000003</v>
      </c>
      <c r="F29" s="54">
        <v>1.67</v>
      </c>
      <c r="G29" s="54">
        <v>44.34</v>
      </c>
      <c r="H29" s="54">
        <v>17.399999999999999</v>
      </c>
      <c r="I29" s="54">
        <v>0.11</v>
      </c>
      <c r="J29" s="54">
        <v>0.22</v>
      </c>
      <c r="K29" s="54">
        <v>353.86</v>
      </c>
      <c r="L29" s="54">
        <v>24.42</v>
      </c>
      <c r="M29" s="54">
        <v>87.21</v>
      </c>
      <c r="N29" s="54">
        <v>8.90</v>
      </c>
      <c r="O29" s="54">
        <v>0</v>
      </c>
      <c r="P29" s="54">
        <v>0.80</v>
      </c>
      <c r="Q29" s="54">
        <v>10.44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21.24</v>
      </c>
      <c r="C30" s="54">
        <v>26.44</v>
      </c>
      <c r="D30" s="54">
        <v>32.92</v>
      </c>
      <c r="E30" s="54">
        <v>4.70</v>
      </c>
      <c r="F30" s="54">
        <v>2.31</v>
      </c>
      <c r="G30" s="54">
        <v>48.70</v>
      </c>
      <c r="H30" s="54">
        <v>12.71</v>
      </c>
      <c r="I30" s="54">
        <v>0.11</v>
      </c>
      <c r="J30" s="54">
        <v>0.17</v>
      </c>
      <c r="K30" s="54">
        <v>227.88</v>
      </c>
      <c r="L30" s="54">
        <v>24.10</v>
      </c>
      <c r="M30" s="54">
        <v>98.15</v>
      </c>
      <c r="N30" s="54">
        <v>8.60</v>
      </c>
      <c r="O30" s="54">
        <v>0.20</v>
      </c>
      <c r="P30" s="54">
        <v>0.90</v>
      </c>
      <c r="Q30" s="54">
        <v>13.95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21.22</v>
      </c>
      <c r="C31" s="54">
        <v>16.149999999999999</v>
      </c>
      <c r="D31" s="54">
        <v>25.42</v>
      </c>
      <c r="E31" s="54">
        <v>4.74</v>
      </c>
      <c r="F31" s="54">
        <v>2.90</v>
      </c>
      <c r="G31" s="54">
        <v>48.70</v>
      </c>
      <c r="H31" s="54">
        <v>11.75</v>
      </c>
      <c r="I31" s="54">
        <v>0.12</v>
      </c>
      <c r="J31" s="54">
        <v>0.40</v>
      </c>
      <c r="K31" s="54">
        <v>185.63</v>
      </c>
      <c r="L31" s="54">
        <v>23.03</v>
      </c>
      <c r="M31" s="54">
        <v>98.15</v>
      </c>
      <c r="N31" s="54">
        <v>8.90</v>
      </c>
      <c r="O31" s="54">
        <v>0.20</v>
      </c>
      <c r="P31" s="54">
        <v>0.70</v>
      </c>
      <c r="Q31" s="54">
        <v>14.45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18.54</v>
      </c>
      <c r="C32" s="54">
        <v>12.53</v>
      </c>
      <c r="D32" s="54">
        <v>23.07</v>
      </c>
      <c r="E32" s="54">
        <v>4.1500000000000004</v>
      </c>
      <c r="F32" s="54">
        <v>5.66</v>
      </c>
      <c r="G32" s="54">
        <v>30.75</v>
      </c>
      <c r="H32" s="54">
        <v>11.75</v>
      </c>
      <c r="I32" s="54">
        <v>0.12</v>
      </c>
      <c r="J32" s="54">
        <v>0.19</v>
      </c>
      <c r="K32" s="54">
        <v>200.71</v>
      </c>
      <c r="L32" s="54">
        <v>22.5</v>
      </c>
      <c r="M32" s="54">
        <v>98.15</v>
      </c>
      <c r="N32" s="54">
        <v>9.8000000000000007</v>
      </c>
      <c r="O32" s="54">
        <v>0.20</v>
      </c>
      <c r="P32" s="54">
        <v>0.62</v>
      </c>
      <c r="Q32" s="54">
        <v>13.95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4.2400000000000002</v>
      </c>
      <c r="C34" s="28">
        <f t="shared" si="0"/>
        <v>9.5600000000000005</v>
      </c>
      <c r="D34" s="28">
        <f t="shared" si="0"/>
        <v>10.09</v>
      </c>
      <c r="E34" s="28">
        <f t="shared" si="0"/>
        <v>0.78000000000000003</v>
      </c>
      <c r="F34" s="28">
        <f t="shared" si="0"/>
        <v>0.95999999999999996</v>
      </c>
      <c r="G34" s="28">
        <f t="shared" si="0"/>
        <v>11.07</v>
      </c>
      <c r="H34" s="28">
        <f t="shared" si="0"/>
        <v>3.8500000000000001</v>
      </c>
      <c r="I34" s="28">
        <f t="shared" si="0"/>
        <v>0.11</v>
      </c>
      <c r="J34" s="28">
        <f t="shared" si="0"/>
        <v>0.14999999999999999</v>
      </c>
      <c r="K34" s="28">
        <f t="shared" si="0"/>
        <v>19.649999999999999</v>
      </c>
      <c r="L34" s="28">
        <f t="shared" si="0"/>
        <v>21.649999999999999</v>
      </c>
      <c r="M34" s="28">
        <f t="shared" si="0"/>
        <v>74.379999999999995</v>
      </c>
      <c r="N34" s="28">
        <f t="shared" si="0"/>
        <v>8.5999999999999996</v>
      </c>
      <c r="O34" s="28">
        <f t="shared" si="0"/>
        <v>0</v>
      </c>
      <c r="P34" s="28">
        <f t="shared" si="0"/>
        <v>0.31</v>
      </c>
      <c r="Q34" s="28">
        <f t="shared" si="0"/>
        <v>4.46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23.100000000000001</v>
      </c>
      <c r="C35" s="29">
        <f t="shared" si="1"/>
        <v>30.960000000000001</v>
      </c>
      <c r="D35" s="29">
        <f t="shared" si="1"/>
        <v>32.920000000000002</v>
      </c>
      <c r="E35" s="29">
        <f t="shared" si="1"/>
        <v>4.96</v>
      </c>
      <c r="F35" s="29">
        <f t="shared" si="1"/>
        <v>15.390000000000001</v>
      </c>
      <c r="G35" s="29">
        <f t="shared" si="1"/>
        <v>58.07</v>
      </c>
      <c r="H35" s="29">
        <f t="shared" si="1"/>
        <v>17.399999999999999</v>
      </c>
      <c r="I35" s="29">
        <f t="shared" si="1"/>
        <v>0.13</v>
      </c>
      <c r="J35" s="29">
        <f t="shared" si="1"/>
        <v>0.92000000000000004</v>
      </c>
      <c r="K35" s="29">
        <f t="shared" si="1"/>
        <v>359.99000000000001</v>
      </c>
      <c r="L35" s="29">
        <f t="shared" si="1"/>
        <v>28.300000000000001</v>
      </c>
      <c r="M35" s="29">
        <f t="shared" si="1"/>
        <v>98.150000000000006</v>
      </c>
      <c r="N35" s="29">
        <f t="shared" si="1"/>
        <v>619.39999999999998</v>
      </c>
      <c r="O35" s="29">
        <f t="shared" si="1"/>
        <v>1.2</v>
      </c>
      <c r="P35" s="29">
        <f t="shared" si="1"/>
        <v>0.90000000000000002</v>
      </c>
      <c r="Q35" s="29">
        <f t="shared" si="1"/>
        <v>14.449999999999999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9.5478260869565208</v>
      </c>
      <c r="C36" s="28">
        <f t="shared" si="2"/>
        <v>17.289130434782606</v>
      </c>
      <c r="D36" s="28">
        <f t="shared" si="2"/>
        <v>18.091304347826085</v>
      </c>
      <c r="E36" s="28">
        <f t="shared" si="2"/>
        <v>2.872727272727273</v>
      </c>
      <c r="F36" s="28">
        <f t="shared" si="2"/>
        <v>3.3908333333333345</v>
      </c>
      <c r="G36" s="28">
        <f t="shared" si="2"/>
        <v>35.314166666666679</v>
      </c>
      <c r="H36" s="28">
        <f t="shared" si="2"/>
        <v>11.590416666666668</v>
      </c>
      <c r="I36" s="28">
        <f t="shared" si="2"/>
        <v>0.11708333333333337</v>
      </c>
      <c r="J36" s="28">
        <f t="shared" si="2"/>
        <v>0.31541666666666668</v>
      </c>
      <c r="K36" s="28">
        <f t="shared" si="2"/>
        <v>182.67458333333332</v>
      </c>
      <c r="L36" s="28">
        <f t="shared" si="2"/>
        <v>24.487916666666667</v>
      </c>
      <c r="M36" s="28">
        <f t="shared" si="2"/>
        <v>91.72375000000001</v>
      </c>
      <c r="N36" s="28">
        <f t="shared" si="2"/>
        <v>166.10000000000002</v>
      </c>
      <c r="O36" s="28">
        <f t="shared" si="2"/>
        <v>0.083333333333333329</v>
      </c>
      <c r="P36" s="28">
        <f t="shared" si="2"/>
        <v>0.55913043478260871</v>
      </c>
      <c r="Q36" s="28">
        <f t="shared" si="2"/>
        <v>8.3574999999999999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6.1215156742589203</v>
      </c>
      <c r="C37" s="28">
        <f t="shared" si="3" ref="C37:Q37">STDEV(C9:C32)</f>
        <v>6.4591850830239359</v>
      </c>
      <c r="D37" s="28">
        <f t="shared" si="3"/>
        <v>6.727100756267907</v>
      </c>
      <c r="E37" s="28">
        <f t="shared" si="3"/>
        <v>1.3825586418913303</v>
      </c>
      <c r="F37" s="28">
        <f t="shared" si="3"/>
        <v>3.584620429444155</v>
      </c>
      <c r="G37" s="28">
        <f t="shared" si="3"/>
        <v>13.468131117460228</v>
      </c>
      <c r="H37" s="28">
        <f t="shared" si="3"/>
        <v>4.098663068523118</v>
      </c>
      <c r="I37" s="28">
        <f t="shared" si="3"/>
        <v>0.0055003293709018726</v>
      </c>
      <c r="J37" s="28">
        <f t="shared" si="3"/>
        <v>0.15234340974506783</v>
      </c>
      <c r="K37" s="28">
        <f t="shared" si="3"/>
        <v>157.16324495579823</v>
      </c>
      <c r="L37" s="28">
        <f t="shared" si="3"/>
        <v>2.1683513656526094</v>
      </c>
      <c r="M37" s="28">
        <f t="shared" si="3"/>
        <v>8.183968853536296</v>
      </c>
      <c r="N37" s="28">
        <f t="shared" si="3"/>
        <v>198.98564728664962</v>
      </c>
      <c r="O37" s="28">
        <f t="shared" si="3"/>
        <v>0.24963741822833801</v>
      </c>
      <c r="P37" s="28">
        <f t="shared" si="3"/>
        <v>0.19542292234299208</v>
      </c>
      <c r="Q37" s="28">
        <f t="shared" si="3"/>
        <v>2.7101840945011402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>COUNT(E9:E32)+2</f>
        <v>24</v>
      </c>
      <c r="F38" s="32">
        <f t="shared" si="4" ref="F38:Q38">COUNT(F9:F32)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9f9a6d-9094-409d-bdce-0e8ef7fd7ddf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12.47</v>
      </c>
      <c r="C9" s="54">
        <v>12.11</v>
      </c>
      <c r="D9" s="54">
        <v>17.30</v>
      </c>
      <c r="E9" s="54">
        <v>4.70</v>
      </c>
      <c r="F9" s="54">
        <v>5.09</v>
      </c>
      <c r="G9" s="54">
        <v>23.84</v>
      </c>
      <c r="H9" s="54">
        <v>12.56</v>
      </c>
      <c r="I9" s="54">
        <v>0.12</v>
      </c>
      <c r="J9" s="54">
        <v>0.15</v>
      </c>
      <c r="K9" s="54">
        <v>213.94</v>
      </c>
      <c r="L9" s="54">
        <v>22.51</v>
      </c>
      <c r="M9" s="54">
        <v>98.15</v>
      </c>
      <c r="N9" s="54">
        <v>9.60</v>
      </c>
      <c r="O9" s="54">
        <v>0</v>
      </c>
      <c r="P9" s="54">
        <v>0.43</v>
      </c>
      <c r="Q9" s="54">
        <v>15.30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12.03</v>
      </c>
      <c r="C10" s="54">
        <v>9.6199999999999992</v>
      </c>
      <c r="D10" s="54">
        <v>16.25</v>
      </c>
      <c r="E10" s="54">
        <v>4.66</v>
      </c>
      <c r="F10" s="54">
        <v>2.65</v>
      </c>
      <c r="G10" s="54">
        <v>14.97</v>
      </c>
      <c r="H10" s="54">
        <v>12.56</v>
      </c>
      <c r="I10" s="54">
        <v>0.12</v>
      </c>
      <c r="J10" s="54">
        <v>0.14000000000000001</v>
      </c>
      <c r="K10" s="54">
        <v>197.45</v>
      </c>
      <c r="L10" s="54">
        <v>22.46</v>
      </c>
      <c r="M10" s="54">
        <v>98.15</v>
      </c>
      <c r="N10" s="54">
        <v>9.8000000000000007</v>
      </c>
      <c r="O10" s="54">
        <v>0</v>
      </c>
      <c r="P10" s="54">
        <v>0.41</v>
      </c>
      <c r="Q10" s="54">
        <v>14.73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10.29</v>
      </c>
      <c r="C11" s="54">
        <v>9.3800000000000008</v>
      </c>
      <c r="D11" s="54">
        <v>14.72</v>
      </c>
      <c r="E11" s="54">
        <v>4.68</v>
      </c>
      <c r="F11" s="54">
        <v>2.91</v>
      </c>
      <c r="G11" s="54">
        <v>9.99</v>
      </c>
      <c r="H11" s="54">
        <v>10.050000000000001</v>
      </c>
      <c r="I11" s="54">
        <v>0.12</v>
      </c>
      <c r="J11" s="54">
        <v>0.20</v>
      </c>
      <c r="K11" s="54">
        <v>56.19</v>
      </c>
      <c r="L11" s="54">
        <v>22.34</v>
      </c>
      <c r="M11" s="54">
        <v>98.15</v>
      </c>
      <c r="N11" s="54">
        <v>9.8000000000000007</v>
      </c>
      <c r="O11" s="54">
        <v>0</v>
      </c>
      <c r="P11" s="54">
        <v>0.37</v>
      </c>
      <c r="Q11" s="54">
        <v>13.06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7.76</v>
      </c>
      <c r="C12" s="54">
        <v>9.60</v>
      </c>
      <c r="D12" s="54">
        <v>12.78</v>
      </c>
      <c r="E12" s="54">
        <v>4.79</v>
      </c>
      <c r="F12" s="54">
        <v>4.0599999999999996</v>
      </c>
      <c r="G12" s="54">
        <v>7.11</v>
      </c>
      <c r="H12" s="54">
        <v>8.73</v>
      </c>
      <c r="I12" s="54">
        <v>0.13</v>
      </c>
      <c r="J12" s="54">
        <v>0.17</v>
      </c>
      <c r="K12" s="54">
        <v>70.77</v>
      </c>
      <c r="L12" s="54">
        <v>22.31</v>
      </c>
      <c r="M12" s="54">
        <v>98.15</v>
      </c>
      <c r="N12" s="54">
        <v>9.90</v>
      </c>
      <c r="O12" s="54">
        <v>0</v>
      </c>
      <c r="P12" s="54">
        <v>0.27</v>
      </c>
      <c r="Q12" s="54">
        <v>13.09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7.47</v>
      </c>
      <c r="C13" s="54">
        <v>9.34</v>
      </c>
      <c r="D13" s="54">
        <v>12.24</v>
      </c>
      <c r="E13" s="54">
        <v>4.6100000000000003</v>
      </c>
      <c r="F13" s="54">
        <v>1.39</v>
      </c>
      <c r="G13" s="54">
        <v>5.39</v>
      </c>
      <c r="H13" s="54">
        <v>6.20</v>
      </c>
      <c r="I13" s="54">
        <v>0.12</v>
      </c>
      <c r="J13" s="54">
        <v>0.11</v>
      </c>
      <c r="K13" s="54">
        <v>343.56</v>
      </c>
      <c r="L13" s="54">
        <v>22.24</v>
      </c>
      <c r="M13" s="54">
        <v>98.15</v>
      </c>
      <c r="N13" s="54">
        <v>9.5</v>
      </c>
      <c r="O13" s="54">
        <v>0</v>
      </c>
      <c r="P13" s="54">
        <v>0.25</v>
      </c>
      <c r="Q13" s="54">
        <v>11.65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6.84</v>
      </c>
      <c r="C14" s="54">
        <v>11.08</v>
      </c>
      <c r="D14" s="54">
        <v>12.28</v>
      </c>
      <c r="E14" s="54">
        <v>4.38</v>
      </c>
      <c r="F14" s="54">
        <v>3.14</v>
      </c>
      <c r="G14" s="54">
        <v>16.559999999999999</v>
      </c>
      <c r="H14" s="54">
        <v>5.58</v>
      </c>
      <c r="I14" s="54">
        <v>0.13</v>
      </c>
      <c r="J14" s="54">
        <v>0.08</v>
      </c>
      <c r="K14" s="54">
        <v>233.21</v>
      </c>
      <c r="L14" s="54">
        <v>22.30</v>
      </c>
      <c r="M14" s="54">
        <v>98.15</v>
      </c>
      <c r="N14" s="54">
        <v>16.899999999999999</v>
      </c>
      <c r="O14" s="54">
        <v>0</v>
      </c>
      <c r="P14" s="54">
        <v>0.23</v>
      </c>
      <c r="Q14" s="54">
        <v>11.03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7.34</v>
      </c>
      <c r="C15" s="54">
        <v>11.11</v>
      </c>
      <c r="D15" s="54">
        <v>12.85</v>
      </c>
      <c r="E15" s="54">
        <v>4.84</v>
      </c>
      <c r="F15" s="54">
        <v>1.94</v>
      </c>
      <c r="G15" s="54">
        <v>20.41</v>
      </c>
      <c r="H15" s="54">
        <v>5.23</v>
      </c>
      <c r="I15" s="54">
        <v>0.13</v>
      </c>
      <c r="J15" s="54">
        <v>0.20</v>
      </c>
      <c r="K15" s="54">
        <v>31.97</v>
      </c>
      <c r="L15" s="54">
        <v>22.73</v>
      </c>
      <c r="M15" s="54">
        <v>98.14</v>
      </c>
      <c r="N15" s="54">
        <v>107.40</v>
      </c>
      <c r="O15" s="54">
        <v>0</v>
      </c>
      <c r="P15" s="54">
        <v>0.21</v>
      </c>
      <c r="Q15" s="54">
        <v>12.39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7.23</v>
      </c>
      <c r="C16" s="54">
        <v>10.93</v>
      </c>
      <c r="D16" s="54">
        <v>13.12</v>
      </c>
      <c r="E16" s="54">
        <v>5.01</v>
      </c>
      <c r="F16" s="54">
        <v>1.42</v>
      </c>
      <c r="G16" s="54">
        <v>20.41</v>
      </c>
      <c r="H16" s="54">
        <v>6.97</v>
      </c>
      <c r="I16" s="54">
        <v>0.12</v>
      </c>
      <c r="J16" s="54">
        <v>0.26</v>
      </c>
      <c r="K16" s="54">
        <v>41.80</v>
      </c>
      <c r="L16" s="54">
        <v>23.57</v>
      </c>
      <c r="M16" s="54">
        <v>97.88</v>
      </c>
      <c r="N16" s="54">
        <v>152.60</v>
      </c>
      <c r="O16" s="54">
        <v>0</v>
      </c>
      <c r="P16" s="54">
        <v>0.27</v>
      </c>
      <c r="Q16" s="54">
        <v>10.45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7.09</v>
      </c>
      <c r="C17" s="54">
        <v>11.54</v>
      </c>
      <c r="D17" s="54">
        <v>13.34</v>
      </c>
      <c r="E17" s="54">
        <v>4.51</v>
      </c>
      <c r="F17" s="54">
        <v>1.57</v>
      </c>
      <c r="G17" s="54">
        <v>22.81</v>
      </c>
      <c r="H17" s="54">
        <v>6.97</v>
      </c>
      <c r="I17" s="54">
        <v>0.12</v>
      </c>
      <c r="J17" s="54">
        <v>0.34</v>
      </c>
      <c r="K17" s="54">
        <v>20.66</v>
      </c>
      <c r="L17" s="54">
        <v>24.57</v>
      </c>
      <c r="M17" s="54">
        <v>95.02</v>
      </c>
      <c r="N17" s="62" t="s">
        <v>14</v>
      </c>
      <c r="O17" s="54">
        <v>0</v>
      </c>
      <c r="P17" s="54">
        <v>0.31</v>
      </c>
      <c r="Q17" s="54">
        <v>9.2799999999999994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7.46</v>
      </c>
      <c r="C18" s="54">
        <v>12.41</v>
      </c>
      <c r="D18" s="54">
        <v>14.12</v>
      </c>
      <c r="E18" s="54">
        <v>4.5599999999999996</v>
      </c>
      <c r="F18" s="54">
        <v>1.05</v>
      </c>
      <c r="G18" s="54">
        <v>26.12</v>
      </c>
      <c r="H18" s="54">
        <v>6.02</v>
      </c>
      <c r="I18" s="54">
        <v>0.12</v>
      </c>
      <c r="J18" s="54">
        <v>0.44</v>
      </c>
      <c r="K18" s="54">
        <v>21.89</v>
      </c>
      <c r="L18" s="54">
        <v>25.30</v>
      </c>
      <c r="M18" s="54">
        <v>90.74</v>
      </c>
      <c r="N18" s="62" t="s">
        <v>14</v>
      </c>
      <c r="O18" s="54">
        <v>0</v>
      </c>
      <c r="P18" s="54">
        <v>0.36</v>
      </c>
      <c r="Q18" s="54">
        <v>7.44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7.65</v>
      </c>
      <c r="C19" s="54">
        <v>14.27</v>
      </c>
      <c r="D19" s="54">
        <v>15.13</v>
      </c>
      <c r="E19" s="54">
        <v>4.66</v>
      </c>
      <c r="F19" s="54">
        <v>1.62</v>
      </c>
      <c r="G19" s="54">
        <v>26.12</v>
      </c>
      <c r="H19" s="54">
        <v>6.69</v>
      </c>
      <c r="I19" s="54">
        <v>0.12</v>
      </c>
      <c r="J19" s="54">
        <v>0.42</v>
      </c>
      <c r="K19" s="54">
        <v>26.89</v>
      </c>
      <c r="L19" s="54">
        <v>25.87</v>
      </c>
      <c r="M19" s="54">
        <v>85.51</v>
      </c>
      <c r="N19" s="54">
        <v>76</v>
      </c>
      <c r="O19" s="54">
        <v>0</v>
      </c>
      <c r="P19" s="54">
        <v>0.44</v>
      </c>
      <c r="Q19" s="54">
        <v>7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7.48</v>
      </c>
      <c r="C20" s="54">
        <v>15.22</v>
      </c>
      <c r="D20" s="54">
        <v>15.66</v>
      </c>
      <c r="E20" s="54">
        <v>4.12</v>
      </c>
      <c r="F20" s="54">
        <v>2.17</v>
      </c>
      <c r="G20" s="54">
        <v>30.41</v>
      </c>
      <c r="H20" s="54">
        <v>9.65</v>
      </c>
      <c r="I20" s="54">
        <v>0.12</v>
      </c>
      <c r="J20" s="54">
        <v>0.38</v>
      </c>
      <c r="K20" s="54">
        <v>344.95</v>
      </c>
      <c r="L20" s="54">
        <v>29.21</v>
      </c>
      <c r="M20" s="54">
        <v>79.97</v>
      </c>
      <c r="N20" s="54">
        <v>849.5</v>
      </c>
      <c r="O20" s="54">
        <v>0</v>
      </c>
      <c r="P20" s="54">
        <v>0.49</v>
      </c>
      <c r="Q20" s="54">
        <v>7.34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6.30</v>
      </c>
      <c r="C21" s="54">
        <v>15.26</v>
      </c>
      <c r="D21" s="54">
        <v>14.76</v>
      </c>
      <c r="E21" s="54">
        <v>4.49</v>
      </c>
      <c r="F21" s="54">
        <v>2.38</v>
      </c>
      <c r="G21" s="54">
        <v>30.41</v>
      </c>
      <c r="H21" s="54">
        <v>11.89</v>
      </c>
      <c r="I21" s="54">
        <v>0.12</v>
      </c>
      <c r="J21" s="54">
        <v>0.20</v>
      </c>
      <c r="K21" s="54">
        <v>34.21</v>
      </c>
      <c r="L21" s="54">
        <v>27.17</v>
      </c>
      <c r="M21" s="54">
        <v>78.760000000000005</v>
      </c>
      <c r="N21" s="54">
        <v>815.5</v>
      </c>
      <c r="O21" s="54">
        <v>0</v>
      </c>
      <c r="P21" s="54">
        <v>0.51</v>
      </c>
      <c r="Q21" s="54">
        <v>5.72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3.93</v>
      </c>
      <c r="C22" s="54">
        <v>11.51</v>
      </c>
      <c r="D22" s="54">
        <v>10.80</v>
      </c>
      <c r="E22" s="54">
        <v>4.1100000000000003</v>
      </c>
      <c r="F22" s="54">
        <v>3.23</v>
      </c>
      <c r="G22" s="54">
        <v>29.63</v>
      </c>
      <c r="H22" s="54">
        <v>11.89</v>
      </c>
      <c r="I22" s="54">
        <v>0.12</v>
      </c>
      <c r="J22" s="54">
        <v>0.24</v>
      </c>
      <c r="K22" s="54">
        <v>203.28</v>
      </c>
      <c r="L22" s="54">
        <v>27.92</v>
      </c>
      <c r="M22" s="54">
        <v>79.489999999999995</v>
      </c>
      <c r="N22" s="54">
        <v>15.10</v>
      </c>
      <c r="O22" s="54">
        <v>0</v>
      </c>
      <c r="P22" s="54">
        <v>0.34</v>
      </c>
      <c r="Q22" s="54">
        <v>3.76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3.95</v>
      </c>
      <c r="C23" s="54">
        <v>11.73</v>
      </c>
      <c r="D23" s="54">
        <v>10.77</v>
      </c>
      <c r="E23" s="54">
        <v>4.04</v>
      </c>
      <c r="F23" s="54">
        <v>3.12</v>
      </c>
      <c r="G23" s="54">
        <v>32.619999999999997</v>
      </c>
      <c r="H23" s="54">
        <v>11.57</v>
      </c>
      <c r="I23" s="54">
        <v>0.12</v>
      </c>
      <c r="J23" s="54">
        <v>0.14000000000000001</v>
      </c>
      <c r="K23" s="54">
        <v>342.67</v>
      </c>
      <c r="L23" s="54">
        <v>27.66</v>
      </c>
      <c r="M23" s="54">
        <v>73.13</v>
      </c>
      <c r="N23" s="54">
        <v>59.70</v>
      </c>
      <c r="O23" s="54">
        <v>0</v>
      </c>
      <c r="P23" s="54">
        <v>0.30</v>
      </c>
      <c r="Q23" s="54">
        <v>3.93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4.04</v>
      </c>
      <c r="C24" s="54">
        <v>11.97</v>
      </c>
      <c r="D24" s="54">
        <v>11.06</v>
      </c>
      <c r="E24" s="54">
        <v>4.46</v>
      </c>
      <c r="F24" s="54">
        <v>3.37</v>
      </c>
      <c r="G24" s="54">
        <v>32.619999999999997</v>
      </c>
      <c r="H24" s="54">
        <v>13.38</v>
      </c>
      <c r="I24" s="54">
        <v>0.11</v>
      </c>
      <c r="J24" s="54">
        <v>0.31</v>
      </c>
      <c r="K24" s="54">
        <v>37.24</v>
      </c>
      <c r="L24" s="54">
        <v>27.80</v>
      </c>
      <c r="M24" s="54">
        <v>68.34</v>
      </c>
      <c r="N24" s="62" t="s">
        <v>14</v>
      </c>
      <c r="O24" s="54">
        <v>0</v>
      </c>
      <c r="P24" s="54">
        <v>0.27</v>
      </c>
      <c r="Q24" s="54">
        <v>4.2699999999999996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4.0199999999999996</v>
      </c>
      <c r="C25" s="54">
        <v>13.07</v>
      </c>
      <c r="D25" s="54">
        <v>11.58</v>
      </c>
      <c r="E25" s="54">
        <v>3.65</v>
      </c>
      <c r="F25" s="54">
        <v>3.62</v>
      </c>
      <c r="G25" s="54">
        <v>34.15</v>
      </c>
      <c r="H25" s="54">
        <v>13.38</v>
      </c>
      <c r="I25" s="54">
        <v>0.12</v>
      </c>
      <c r="J25" s="54">
        <v>0.37</v>
      </c>
      <c r="K25" s="54">
        <v>26.31</v>
      </c>
      <c r="L25" s="54">
        <v>27.56</v>
      </c>
      <c r="M25" s="54">
        <v>68.78</v>
      </c>
      <c r="N25" s="62" t="s">
        <v>14</v>
      </c>
      <c r="O25" s="54">
        <v>0</v>
      </c>
      <c r="P25" s="54">
        <v>0.27</v>
      </c>
      <c r="Q25" s="54">
        <v>3.87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6.92</v>
      </c>
      <c r="C26" s="54">
        <v>18.25</v>
      </c>
      <c r="D26" s="54">
        <v>16.91</v>
      </c>
      <c r="E26" s="54">
        <v>4.1900000000000004</v>
      </c>
      <c r="F26" s="54">
        <v>4.41</v>
      </c>
      <c r="G26" s="54">
        <v>39.549999999999997</v>
      </c>
      <c r="H26" s="54">
        <v>12.94</v>
      </c>
      <c r="I26" s="54">
        <v>0.11</v>
      </c>
      <c r="J26" s="54">
        <v>0.39</v>
      </c>
      <c r="K26" s="54">
        <v>29.91</v>
      </c>
      <c r="L26" s="54">
        <v>26.79</v>
      </c>
      <c r="M26" s="54">
        <v>73.70</v>
      </c>
      <c r="N26" s="62" t="s">
        <v>14</v>
      </c>
      <c r="O26" s="54">
        <v>0</v>
      </c>
      <c r="P26" s="54">
        <v>0.36</v>
      </c>
      <c r="Q26" s="54">
        <v>4.38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8.42</v>
      </c>
      <c r="C27" s="54">
        <v>21.97</v>
      </c>
      <c r="D27" s="54">
        <v>20.170000000000002</v>
      </c>
      <c r="E27" s="54">
        <v>4.3099999999999996</v>
      </c>
      <c r="F27" s="54">
        <v>5.12</v>
      </c>
      <c r="G27" s="54">
        <v>40</v>
      </c>
      <c r="H27" s="54">
        <v>12.75</v>
      </c>
      <c r="I27" s="54">
        <v>0.12</v>
      </c>
      <c r="J27" s="54">
        <v>0.19</v>
      </c>
      <c r="K27" s="54">
        <v>183.89</v>
      </c>
      <c r="L27" s="54">
        <v>26.18</v>
      </c>
      <c r="M27" s="54">
        <v>82.78</v>
      </c>
      <c r="N27" s="62" t="s">
        <v>14</v>
      </c>
      <c r="O27" s="54">
        <v>0</v>
      </c>
      <c r="P27" s="54">
        <v>0.41</v>
      </c>
      <c r="Q27" s="54">
        <v>5.38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9.2200000000000006</v>
      </c>
      <c r="C28" s="54">
        <v>20.440000000000001</v>
      </c>
      <c r="D28" s="54">
        <v>19.97</v>
      </c>
      <c r="E28" s="54">
        <v>3.77</v>
      </c>
      <c r="F28" s="54">
        <v>3.88</v>
      </c>
      <c r="G28" s="54">
        <v>40</v>
      </c>
      <c r="H28" s="54">
        <v>12.87</v>
      </c>
      <c r="I28" s="54">
        <v>0.12</v>
      </c>
      <c r="J28" s="54">
        <v>0.20</v>
      </c>
      <c r="K28" s="54">
        <v>172.47</v>
      </c>
      <c r="L28" s="54">
        <v>25.33</v>
      </c>
      <c r="M28" s="54">
        <v>84.90</v>
      </c>
      <c r="N28" s="62" t="s">
        <v>14</v>
      </c>
      <c r="O28" s="54">
        <v>0</v>
      </c>
      <c r="P28" s="54">
        <v>0.46</v>
      </c>
      <c r="Q28" s="54">
        <v>6.51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12.35</v>
      </c>
      <c r="C29" s="54">
        <v>21.01</v>
      </c>
      <c r="D29" s="54">
        <v>22.79</v>
      </c>
      <c r="E29" s="54">
        <v>4.49</v>
      </c>
      <c r="F29" s="54">
        <v>2.1800000000000002</v>
      </c>
      <c r="G29" s="54">
        <v>42.92</v>
      </c>
      <c r="H29" s="54">
        <v>14.24</v>
      </c>
      <c r="I29" s="54">
        <v>0.12</v>
      </c>
      <c r="J29" s="54">
        <v>0.25</v>
      </c>
      <c r="K29" s="54">
        <v>33.15</v>
      </c>
      <c r="L29" s="54">
        <v>25.07</v>
      </c>
      <c r="M29" s="54">
        <v>84.02</v>
      </c>
      <c r="N29" s="54">
        <v>9.90</v>
      </c>
      <c r="O29" s="54">
        <v>0</v>
      </c>
      <c r="P29" s="54">
        <v>0.56999999999999995</v>
      </c>
      <c r="Q29" s="54">
        <v>7.65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10.29</v>
      </c>
      <c r="C30" s="54">
        <v>15.76</v>
      </c>
      <c r="D30" s="54">
        <v>18.239999999999998</v>
      </c>
      <c r="E30" s="54">
        <v>4.1100000000000003</v>
      </c>
      <c r="F30" s="54">
        <v>2.44</v>
      </c>
      <c r="G30" s="54">
        <v>42.92</v>
      </c>
      <c r="H30" s="54">
        <v>14.24</v>
      </c>
      <c r="I30" s="54">
        <v>0.12</v>
      </c>
      <c r="J30" s="54">
        <v>0.12</v>
      </c>
      <c r="K30" s="54">
        <v>50.51</v>
      </c>
      <c r="L30" s="54">
        <v>24.73</v>
      </c>
      <c r="M30" s="54">
        <v>88.24</v>
      </c>
      <c r="N30" s="54">
        <v>10</v>
      </c>
      <c r="O30" s="54">
        <v>0</v>
      </c>
      <c r="P30" s="54">
        <v>0.49</v>
      </c>
      <c r="Q30" s="54">
        <v>8.7100000000000009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7.82</v>
      </c>
      <c r="C31" s="54">
        <v>11.65</v>
      </c>
      <c r="D31" s="54">
        <v>13.99</v>
      </c>
      <c r="E31" s="54">
        <v>3.79</v>
      </c>
      <c r="F31" s="54">
        <v>2.90</v>
      </c>
      <c r="G31" s="54">
        <v>42.90</v>
      </c>
      <c r="H31" s="54">
        <v>14.18</v>
      </c>
      <c r="I31" s="54">
        <v>0.12</v>
      </c>
      <c r="J31" s="54">
        <v>0.23</v>
      </c>
      <c r="K31" s="54">
        <v>194.10</v>
      </c>
      <c r="L31" s="54">
        <v>24.29</v>
      </c>
      <c r="M31" s="54">
        <v>88.19</v>
      </c>
      <c r="N31" s="54">
        <v>10.10</v>
      </c>
      <c r="O31" s="54">
        <v>0</v>
      </c>
      <c r="P31" s="54">
        <v>0.43</v>
      </c>
      <c r="Q31" s="54">
        <v>7.78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6.59</v>
      </c>
      <c r="C32" s="54">
        <v>11.68</v>
      </c>
      <c r="D32" s="54">
        <v>12.88</v>
      </c>
      <c r="E32" s="54">
        <v>4.67</v>
      </c>
      <c r="F32" s="54">
        <v>4.51</v>
      </c>
      <c r="G32" s="54">
        <v>40.28</v>
      </c>
      <c r="H32" s="54">
        <v>11.61</v>
      </c>
      <c r="I32" s="54">
        <v>0.12</v>
      </c>
      <c r="J32" s="54">
        <v>0.15</v>
      </c>
      <c r="K32" s="54">
        <v>24.16</v>
      </c>
      <c r="L32" s="54">
        <v>23.84</v>
      </c>
      <c r="M32" s="54">
        <v>90.98</v>
      </c>
      <c r="N32" s="54">
        <v>10</v>
      </c>
      <c r="O32" s="54">
        <v>0</v>
      </c>
      <c r="P32" s="54">
        <v>0.35</v>
      </c>
      <c r="Q32" s="54">
        <v>8.59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3.9300000000000002</v>
      </c>
      <c r="C34" s="28">
        <f t="shared" si="0"/>
        <v>9.3399999999999999</v>
      </c>
      <c r="D34" s="28">
        <f t="shared" si="0"/>
        <v>10.77</v>
      </c>
      <c r="E34" s="28">
        <f t="shared" si="0"/>
        <v>3.6499999999999999</v>
      </c>
      <c r="F34" s="28">
        <f t="shared" si="0"/>
        <v>1.05</v>
      </c>
      <c r="G34" s="28">
        <f t="shared" si="0"/>
        <v>5.3899999999999997</v>
      </c>
      <c r="H34" s="28">
        <f t="shared" si="0"/>
        <v>5.2300000000000004</v>
      </c>
      <c r="I34" s="28">
        <f t="shared" si="0"/>
        <v>0.11</v>
      </c>
      <c r="J34" s="28">
        <f t="shared" si="0"/>
        <v>0.080000000000000002</v>
      </c>
      <c r="K34" s="28">
        <f t="shared" si="0"/>
        <v>20.66</v>
      </c>
      <c r="L34" s="28">
        <f t="shared" si="0"/>
        <v>22.239999999999998</v>
      </c>
      <c r="M34" s="28">
        <f t="shared" si="0"/>
        <v>68.340000000000003</v>
      </c>
      <c r="N34" s="28">
        <f t="shared" si="0"/>
        <v>9.5</v>
      </c>
      <c r="O34" s="28">
        <f t="shared" si="0"/>
        <v>0</v>
      </c>
      <c r="P34" s="28">
        <f t="shared" si="0"/>
        <v>0.20999999999999999</v>
      </c>
      <c r="Q34" s="28">
        <f t="shared" si="0"/>
        <v>3.7599999999999998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12.470000000000001</v>
      </c>
      <c r="C35" s="29">
        <f t="shared" si="1"/>
        <v>21.969999999999999</v>
      </c>
      <c r="D35" s="29">
        <f t="shared" si="1"/>
        <v>22.789999999999999</v>
      </c>
      <c r="E35" s="29">
        <f t="shared" si="1"/>
        <v>5.0099999999999998</v>
      </c>
      <c r="F35" s="29">
        <f t="shared" si="1"/>
        <v>5.1200000000000001</v>
      </c>
      <c r="G35" s="29">
        <f t="shared" si="1"/>
        <v>42.920000000000002</v>
      </c>
      <c r="H35" s="29">
        <f t="shared" si="1"/>
        <v>14.24</v>
      </c>
      <c r="I35" s="29">
        <f t="shared" si="1"/>
        <v>0.13</v>
      </c>
      <c r="J35" s="29">
        <f t="shared" si="1"/>
        <v>0.44</v>
      </c>
      <c r="K35" s="29">
        <f t="shared" si="1"/>
        <v>344.94999999999999</v>
      </c>
      <c r="L35" s="29">
        <f t="shared" si="1"/>
        <v>29.210000000000001</v>
      </c>
      <c r="M35" s="29">
        <f t="shared" si="1"/>
        <v>98.150000000000006</v>
      </c>
      <c r="N35" s="29">
        <f t="shared" si="1"/>
        <v>849.5</v>
      </c>
      <c r="O35" s="29">
        <f t="shared" si="1"/>
        <v>0</v>
      </c>
      <c r="P35" s="29">
        <f t="shared" si="1"/>
        <v>0.56999999999999995</v>
      </c>
      <c r="Q35" s="29">
        <f t="shared" si="1"/>
        <v>15.300000000000001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7.7066666666666661</v>
      </c>
      <c r="C36" s="28">
        <f t="shared" si="2"/>
        <v>13.371249999999996</v>
      </c>
      <c r="D36" s="28">
        <f t="shared" si="2"/>
        <v>14.737916666666671</v>
      </c>
      <c r="E36" s="28">
        <f t="shared" si="2"/>
        <v>4.3999999999999995</v>
      </c>
      <c r="F36" s="28">
        <f t="shared" si="2"/>
        <v>2.9237500000000001</v>
      </c>
      <c r="G36" s="28">
        <f t="shared" si="2"/>
        <v>28.005833333333328</v>
      </c>
      <c r="H36" s="28">
        <f t="shared" si="2"/>
        <v>10.506250000000001</v>
      </c>
      <c r="I36" s="28">
        <f t="shared" si="2"/>
        <v>0.12041666666666671</v>
      </c>
      <c r="J36" s="28">
        <f t="shared" si="2"/>
        <v>0.23666666666666672</v>
      </c>
      <c r="K36" s="28">
        <f t="shared" si="2"/>
        <v>122.29916666666666</v>
      </c>
      <c r="L36" s="28">
        <f t="shared" si="2"/>
        <v>24.989583333333339</v>
      </c>
      <c r="M36" s="28">
        <f t="shared" si="2"/>
        <v>87.39458333333333</v>
      </c>
      <c r="N36" s="28">
        <f t="shared" si="2"/>
        <v>128.31176470588233</v>
      </c>
      <c r="O36" s="28">
        <f t="shared" si="2"/>
        <v>0</v>
      </c>
      <c r="P36" s="28">
        <f t="shared" si="2"/>
        <v>0.36666666666666664</v>
      </c>
      <c r="Q36" s="28">
        <f t="shared" si="2"/>
        <v>8.4712500000000013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2.4673849326355883</v>
      </c>
      <c r="C37" s="28">
        <f t="shared" si="3" ref="C37:Q37">STDEV(C9:C32)</f>
        <v>3.7081523730476906</v>
      </c>
      <c r="D37" s="28">
        <f t="shared" si="3"/>
        <v>3.1756601219502079</v>
      </c>
      <c r="E37" s="28">
        <f t="shared" si="3"/>
        <v>0.35851141513570894</v>
      </c>
      <c r="F37" s="28">
        <f t="shared" si="3"/>
        <v>1.1732741719686384</v>
      </c>
      <c r="G37" s="28">
        <f t="shared" si="3"/>
        <v>11.559586240777447</v>
      </c>
      <c r="H37" s="28">
        <f t="shared" si="3"/>
        <v>3.1172895312657607</v>
      </c>
      <c r="I37" s="28">
        <f t="shared" si="3"/>
        <v>0.0046430562148753671</v>
      </c>
      <c r="J37" s="28">
        <f t="shared" si="3"/>
        <v>0.10499137300653366</v>
      </c>
      <c r="K37" s="28">
        <f t="shared" si="3"/>
        <v>113.84988827462641</v>
      </c>
      <c r="L37" s="28">
        <f t="shared" si="3"/>
        <v>2.1785465421312176</v>
      </c>
      <c r="M37" s="28">
        <f t="shared" si="3"/>
        <v>10.082793772245147</v>
      </c>
      <c r="N37" s="28">
        <f t="shared" si="3"/>
        <v>268.36912518570608</v>
      </c>
      <c r="O37" s="28">
        <f t="shared" si="3"/>
        <v>0</v>
      </c>
      <c r="P37" s="28">
        <f t="shared" si="3"/>
        <v>0.098053519843110226</v>
      </c>
      <c r="Q37" s="28">
        <f t="shared" si="3"/>
        <v>3.5499728259829504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COUNT(N9:N32)+7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b93116-2f23-480b-971e-d85f18eff0d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3"/>
      <c r="B8" s="64" t="s">
        <v>22</v>
      </c>
      <c r="C8" s="64" t="s">
        <v>22</v>
      </c>
      <c r="D8" s="29" t="s">
        <v>61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6.34</v>
      </c>
      <c r="C9" s="54">
        <v>10.46</v>
      </c>
      <c r="D9" s="54">
        <v>12.04</v>
      </c>
      <c r="E9" s="54">
        <v>5.22</v>
      </c>
      <c r="F9" s="54">
        <v>2.65</v>
      </c>
      <c r="G9" s="54">
        <v>32.60</v>
      </c>
      <c r="H9" s="54">
        <v>8.34</v>
      </c>
      <c r="I9" s="54">
        <v>0.12</v>
      </c>
      <c r="J9" s="54">
        <v>0.19</v>
      </c>
      <c r="K9" s="54">
        <v>22.18</v>
      </c>
      <c r="L9" s="54">
        <v>23.30</v>
      </c>
      <c r="M9" s="54">
        <v>96.61</v>
      </c>
      <c r="N9" s="54">
        <v>9.90</v>
      </c>
      <c r="O9" s="54">
        <v>0</v>
      </c>
      <c r="P9" s="54">
        <v>0.34</v>
      </c>
      <c r="Q9" s="54">
        <v>9.08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5.83</v>
      </c>
      <c r="C10" s="54">
        <v>9.27</v>
      </c>
      <c r="D10" s="54">
        <v>11.08</v>
      </c>
      <c r="E10" s="54">
        <v>4.72</v>
      </c>
      <c r="F10" s="54">
        <v>1.49</v>
      </c>
      <c r="G10" s="54">
        <v>30.78</v>
      </c>
      <c r="H10" s="54">
        <v>7.45</v>
      </c>
      <c r="I10" s="54">
        <v>0.12</v>
      </c>
      <c r="J10" s="54">
        <v>0.23</v>
      </c>
      <c r="K10" s="54">
        <v>32.36</v>
      </c>
      <c r="L10" s="54">
        <v>22.96</v>
      </c>
      <c r="M10" s="54">
        <v>98.14</v>
      </c>
      <c r="N10" s="54">
        <v>9.90</v>
      </c>
      <c r="O10" s="54">
        <v>0</v>
      </c>
      <c r="P10" s="54">
        <v>0.37</v>
      </c>
      <c r="Q10" s="54">
        <v>7.72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5.07</v>
      </c>
      <c r="C11" s="54">
        <v>9.08</v>
      </c>
      <c r="D11" s="54">
        <v>10.37</v>
      </c>
      <c r="E11" s="54">
        <v>4.76</v>
      </c>
      <c r="F11" s="54">
        <v>2.59</v>
      </c>
      <c r="G11" s="54">
        <v>26.78</v>
      </c>
      <c r="H11" s="54">
        <v>9.74</v>
      </c>
      <c r="I11" s="54">
        <v>0.12</v>
      </c>
      <c r="J11" s="54">
        <v>0.20</v>
      </c>
      <c r="K11" s="54">
        <v>25.33</v>
      </c>
      <c r="L11" s="54">
        <v>22.85</v>
      </c>
      <c r="M11" s="54">
        <v>98.15</v>
      </c>
      <c r="N11" s="54">
        <v>9.90</v>
      </c>
      <c r="O11" s="54">
        <v>0</v>
      </c>
      <c r="P11" s="54">
        <v>0.31</v>
      </c>
      <c r="Q11" s="54">
        <v>7.75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5.16</v>
      </c>
      <c r="C12" s="54">
        <v>8.83</v>
      </c>
      <c r="D12" s="54">
        <v>10.30</v>
      </c>
      <c r="E12" s="54">
        <v>5.14</v>
      </c>
      <c r="F12" s="54">
        <v>1.29</v>
      </c>
      <c r="G12" s="54">
        <v>22.03</v>
      </c>
      <c r="H12" s="54">
        <v>9.74</v>
      </c>
      <c r="I12" s="54">
        <v>0.12</v>
      </c>
      <c r="J12" s="54">
        <v>0.16</v>
      </c>
      <c r="K12" s="54">
        <v>23.37</v>
      </c>
      <c r="L12" s="54">
        <v>22.55</v>
      </c>
      <c r="M12" s="54">
        <v>98.17</v>
      </c>
      <c r="N12" s="54">
        <v>9.8000000000000007</v>
      </c>
      <c r="O12" s="54">
        <v>0</v>
      </c>
      <c r="P12" s="54">
        <v>0.30</v>
      </c>
      <c r="Q12" s="54">
        <v>8.32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4.93</v>
      </c>
      <c r="C13" s="54">
        <v>8.65</v>
      </c>
      <c r="D13" s="54">
        <v>10.02</v>
      </c>
      <c r="E13" s="54">
        <v>4.4000000000000004</v>
      </c>
      <c r="F13" s="54">
        <v>1.42</v>
      </c>
      <c r="G13" s="54">
        <v>22.03</v>
      </c>
      <c r="H13" s="54">
        <v>8.2799999999999994</v>
      </c>
      <c r="I13" s="54">
        <v>0.12</v>
      </c>
      <c r="J13" s="54">
        <v>0.19</v>
      </c>
      <c r="K13" s="54">
        <v>25.12</v>
      </c>
      <c r="L13" s="54">
        <v>22.22</v>
      </c>
      <c r="M13" s="54">
        <v>98.18</v>
      </c>
      <c r="N13" s="54">
        <v>9.60</v>
      </c>
      <c r="O13" s="54">
        <v>0</v>
      </c>
      <c r="P13" s="54">
        <v>0.28999999999999998</v>
      </c>
      <c r="Q13" s="54">
        <v>6.37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7.81</v>
      </c>
      <c r="C14" s="54">
        <v>12.53</v>
      </c>
      <c r="D14" s="54">
        <v>14.47</v>
      </c>
      <c r="E14" s="54">
        <v>4.62</v>
      </c>
      <c r="F14" s="54">
        <v>2.17</v>
      </c>
      <c r="G14" s="54">
        <v>20.5</v>
      </c>
      <c r="H14" s="54">
        <v>6.67</v>
      </c>
      <c r="I14" s="54">
        <v>0.12</v>
      </c>
      <c r="J14" s="54">
        <v>0.17</v>
      </c>
      <c r="K14" s="54">
        <v>17.829999999999998</v>
      </c>
      <c r="L14" s="54">
        <v>22.15</v>
      </c>
      <c r="M14" s="54">
        <v>98.16</v>
      </c>
      <c r="N14" s="54">
        <v>28.40</v>
      </c>
      <c r="O14" s="54">
        <v>0</v>
      </c>
      <c r="P14" s="54">
        <v>0.28999999999999998</v>
      </c>
      <c r="Q14" s="54">
        <v>8.08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7.40</v>
      </c>
      <c r="C15" s="54">
        <v>10.25</v>
      </c>
      <c r="D15" s="54">
        <v>12.62</v>
      </c>
      <c r="E15" s="54">
        <v>4.2300000000000004</v>
      </c>
      <c r="F15" s="54">
        <v>0.88</v>
      </c>
      <c r="G15" s="54">
        <v>20.14</v>
      </c>
      <c r="H15" s="54">
        <v>8.40</v>
      </c>
      <c r="I15" s="54">
        <v>0.13</v>
      </c>
      <c r="J15" s="54">
        <v>0.19</v>
      </c>
      <c r="K15" s="54">
        <v>35.31</v>
      </c>
      <c r="L15" s="54">
        <v>23.38</v>
      </c>
      <c r="M15" s="54">
        <v>98.14</v>
      </c>
      <c r="N15" s="54">
        <v>142.60</v>
      </c>
      <c r="O15" s="54">
        <v>0</v>
      </c>
      <c r="P15" s="54">
        <v>0.30</v>
      </c>
      <c r="Q15" s="54">
        <v>8.4600000000000009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8.44</v>
      </c>
      <c r="C16" s="54">
        <v>11.31</v>
      </c>
      <c r="D16" s="54">
        <v>14.30</v>
      </c>
      <c r="E16" s="54">
        <v>4.18</v>
      </c>
      <c r="F16" s="54">
        <v>1.41</v>
      </c>
      <c r="G16" s="54">
        <v>27.65</v>
      </c>
      <c r="H16" s="54">
        <v>8.40</v>
      </c>
      <c r="I16" s="54">
        <v>0.12</v>
      </c>
      <c r="J16" s="54">
        <v>0.28000000000000003</v>
      </c>
      <c r="K16" s="54">
        <v>33.28</v>
      </c>
      <c r="L16" s="54">
        <v>25.12</v>
      </c>
      <c r="M16" s="54">
        <v>94.92</v>
      </c>
      <c r="N16" s="54">
        <v>267.20</v>
      </c>
      <c r="O16" s="54">
        <v>0</v>
      </c>
      <c r="P16" s="54">
        <v>0.37</v>
      </c>
      <c r="Q16" s="54">
        <v>7.90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10.08</v>
      </c>
      <c r="C17" s="54">
        <v>13.39</v>
      </c>
      <c r="D17" s="54">
        <v>16.64</v>
      </c>
      <c r="E17" s="54">
        <v>4.6100000000000003</v>
      </c>
      <c r="F17" s="54">
        <v>1.27</v>
      </c>
      <c r="G17" s="54">
        <v>28.67</v>
      </c>
      <c r="H17" s="54">
        <v>10.039999999999999</v>
      </c>
      <c r="I17" s="54">
        <v>0.12</v>
      </c>
      <c r="J17" s="54">
        <v>0.34</v>
      </c>
      <c r="K17" s="54">
        <v>16.850000000000001</v>
      </c>
      <c r="L17" s="54">
        <v>28.12</v>
      </c>
      <c r="M17" s="54">
        <v>82.93</v>
      </c>
      <c r="N17" s="62" t="s">
        <v>14</v>
      </c>
      <c r="O17" s="54">
        <v>0</v>
      </c>
      <c r="P17" s="54">
        <v>0.44</v>
      </c>
      <c r="Q17" s="54">
        <v>7.74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9.3699999999999992</v>
      </c>
      <c r="C18" s="54">
        <v>14.05</v>
      </c>
      <c r="D18" s="54">
        <v>16.510000000000002</v>
      </c>
      <c r="E18" s="54">
        <v>4.49</v>
      </c>
      <c r="F18" s="54">
        <v>1.33</v>
      </c>
      <c r="G18" s="54">
        <v>34.33</v>
      </c>
      <c r="H18" s="54">
        <v>10.039999999999999</v>
      </c>
      <c r="I18" s="54">
        <v>0.12</v>
      </c>
      <c r="J18" s="54">
        <v>0.43</v>
      </c>
      <c r="K18" s="54">
        <v>346.31</v>
      </c>
      <c r="L18" s="54">
        <v>30.28</v>
      </c>
      <c r="M18" s="54">
        <v>73.569999999999993</v>
      </c>
      <c r="N18" s="62" t="s">
        <v>14</v>
      </c>
      <c r="O18" s="54">
        <v>0</v>
      </c>
      <c r="P18" s="54">
        <v>0.57999999999999996</v>
      </c>
      <c r="Q18" s="54">
        <v>7.44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9.31</v>
      </c>
      <c r="C19" s="54">
        <v>24.40</v>
      </c>
      <c r="D19" s="54">
        <v>19.12</v>
      </c>
      <c r="E19" s="54">
        <v>4.03</v>
      </c>
      <c r="F19" s="54">
        <v>5.56</v>
      </c>
      <c r="G19" s="54">
        <v>34.33</v>
      </c>
      <c r="H19" s="54">
        <v>11.70</v>
      </c>
      <c r="I19" s="54">
        <v>0.12</v>
      </c>
      <c r="J19" s="54">
        <v>0.43</v>
      </c>
      <c r="K19" s="54">
        <v>346.97</v>
      </c>
      <c r="L19" s="54">
        <v>30.39</v>
      </c>
      <c r="M19" s="54">
        <v>71.739999999999995</v>
      </c>
      <c r="N19" s="54">
        <v>69.80</v>
      </c>
      <c r="O19" s="54">
        <v>0</v>
      </c>
      <c r="P19" s="54">
        <v>0.68</v>
      </c>
      <c r="Q19" s="54">
        <v>7.13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6.60</v>
      </c>
      <c r="C20" s="54">
        <v>22.29</v>
      </c>
      <c r="D20" s="54">
        <v>24.90</v>
      </c>
      <c r="E20" s="54">
        <v>3.14</v>
      </c>
      <c r="F20" s="54">
        <v>10.41</v>
      </c>
      <c r="G20" s="54">
        <v>53.75</v>
      </c>
      <c r="H20" s="54">
        <v>11.70</v>
      </c>
      <c r="I20" s="54">
        <v>0.11</v>
      </c>
      <c r="J20" s="54">
        <v>0.84</v>
      </c>
      <c r="K20" s="54">
        <v>331.55</v>
      </c>
      <c r="L20" s="54">
        <v>32.08</v>
      </c>
      <c r="M20" s="54">
        <v>61.52</v>
      </c>
      <c r="N20" s="54">
        <v>985.60</v>
      </c>
      <c r="O20" s="54">
        <v>0</v>
      </c>
      <c r="P20" s="54">
        <v>0.67</v>
      </c>
      <c r="Q20" s="54">
        <v>5.88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7.79</v>
      </c>
      <c r="C21" s="54">
        <v>31.70</v>
      </c>
      <c r="D21" s="54">
        <v>39.479999999999997</v>
      </c>
      <c r="E21" s="54">
        <v>3.88</v>
      </c>
      <c r="F21" s="54">
        <v>7.05</v>
      </c>
      <c r="G21" s="54">
        <v>53.75</v>
      </c>
      <c r="H21" s="54">
        <v>10.83</v>
      </c>
      <c r="I21" s="54">
        <v>0.12</v>
      </c>
      <c r="J21" s="54">
        <v>1</v>
      </c>
      <c r="K21" s="54">
        <v>348.93</v>
      </c>
      <c r="L21" s="54">
        <v>32.67</v>
      </c>
      <c r="M21" s="54">
        <v>57.76</v>
      </c>
      <c r="N21" s="54">
        <v>867.10</v>
      </c>
      <c r="O21" s="54">
        <v>0</v>
      </c>
      <c r="P21" s="54">
        <v>0.47</v>
      </c>
      <c r="Q21" s="54">
        <v>13.13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8.01</v>
      </c>
      <c r="C22" s="54">
        <v>37.85</v>
      </c>
      <c r="D22" s="54">
        <v>45.86</v>
      </c>
      <c r="E22" s="54">
        <v>4.8099999999999996</v>
      </c>
      <c r="F22" s="54">
        <v>11.12</v>
      </c>
      <c r="G22" s="54">
        <v>37.93</v>
      </c>
      <c r="H22" s="54">
        <v>9.76</v>
      </c>
      <c r="I22" s="54">
        <v>0.11</v>
      </c>
      <c r="J22" s="54">
        <v>0.49</v>
      </c>
      <c r="K22" s="54">
        <v>349.89</v>
      </c>
      <c r="L22" s="54">
        <v>30.60</v>
      </c>
      <c r="M22" s="54">
        <v>60.16</v>
      </c>
      <c r="N22" s="54">
        <v>857.60</v>
      </c>
      <c r="O22" s="54">
        <v>0</v>
      </c>
      <c r="P22" s="54">
        <v>0.60</v>
      </c>
      <c r="Q22" s="54">
        <v>14.40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7.13</v>
      </c>
      <c r="C23" s="54">
        <v>21.09</v>
      </c>
      <c r="D23" s="54">
        <v>28.21</v>
      </c>
      <c r="E23" s="54">
        <v>4.80</v>
      </c>
      <c r="F23" s="54">
        <v>4.55</v>
      </c>
      <c r="G23" s="54">
        <v>53.5</v>
      </c>
      <c r="H23" s="54">
        <v>13.81</v>
      </c>
      <c r="I23" s="54">
        <v>0.11</v>
      </c>
      <c r="J23" s="54">
        <v>1.48</v>
      </c>
      <c r="K23" s="54">
        <v>348.26</v>
      </c>
      <c r="L23" s="54">
        <v>30.58</v>
      </c>
      <c r="M23" s="54">
        <v>62.38</v>
      </c>
      <c r="N23" s="54">
        <v>713.70</v>
      </c>
      <c r="O23" s="54">
        <v>0</v>
      </c>
      <c r="P23" s="54">
        <v>0.52</v>
      </c>
      <c r="Q23" s="54">
        <v>12.80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10.35</v>
      </c>
      <c r="C24" s="54">
        <v>33.96</v>
      </c>
      <c r="D24" s="54">
        <v>42.68</v>
      </c>
      <c r="E24" s="54">
        <v>5.22</v>
      </c>
      <c r="F24" s="54">
        <v>6.83</v>
      </c>
      <c r="G24" s="54">
        <v>55.92</v>
      </c>
      <c r="H24" s="54">
        <v>15.77</v>
      </c>
      <c r="I24" s="54">
        <v>0.11</v>
      </c>
      <c r="J24" s="54">
        <v>1.67</v>
      </c>
      <c r="K24" s="54">
        <v>338.94</v>
      </c>
      <c r="L24" s="54">
        <v>30.06</v>
      </c>
      <c r="M24" s="54">
        <v>62.49</v>
      </c>
      <c r="N24" s="54">
        <v>203.40</v>
      </c>
      <c r="O24" s="54">
        <v>0</v>
      </c>
      <c r="P24" s="54">
        <v>0.54</v>
      </c>
      <c r="Q24" s="54">
        <v>12.25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14.08</v>
      </c>
      <c r="C25" s="54">
        <v>25.19</v>
      </c>
      <c r="D25" s="54">
        <v>39.270000000000003</v>
      </c>
      <c r="E25" s="54">
        <v>5.14</v>
      </c>
      <c r="F25" s="54">
        <v>8.27</v>
      </c>
      <c r="G25" s="54">
        <v>59.11</v>
      </c>
      <c r="H25" s="54">
        <v>15.77</v>
      </c>
      <c r="I25" s="54">
        <v>0.12</v>
      </c>
      <c r="J25" s="54">
        <v>1.20</v>
      </c>
      <c r="K25" s="54">
        <v>335.86</v>
      </c>
      <c r="L25" s="54">
        <v>29.42</v>
      </c>
      <c r="M25" s="54">
        <v>67.34</v>
      </c>
      <c r="N25" s="54">
        <v>139.80000000000001</v>
      </c>
      <c r="O25" s="54">
        <v>0</v>
      </c>
      <c r="P25" s="54">
        <v>0.60</v>
      </c>
      <c r="Q25" s="54">
        <v>12.41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14.82</v>
      </c>
      <c r="C26" s="54">
        <v>21.10</v>
      </c>
      <c r="D26" s="54">
        <v>35.92</v>
      </c>
      <c r="E26" s="54">
        <v>5.71</v>
      </c>
      <c r="F26" s="54">
        <v>7.99</v>
      </c>
      <c r="G26" s="54">
        <v>62.93</v>
      </c>
      <c r="H26" s="54">
        <v>14.38</v>
      </c>
      <c r="I26" s="54">
        <v>0.11</v>
      </c>
      <c r="J26" s="54">
        <v>0.68</v>
      </c>
      <c r="K26" s="54">
        <v>340.64</v>
      </c>
      <c r="L26" s="54">
        <v>28.90</v>
      </c>
      <c r="M26" s="54">
        <v>67.86</v>
      </c>
      <c r="N26" s="54">
        <v>79.80</v>
      </c>
      <c r="O26" s="54">
        <v>0</v>
      </c>
      <c r="P26" s="54">
        <v>0.61</v>
      </c>
      <c r="Q26" s="54">
        <v>13.01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15.44</v>
      </c>
      <c r="C27" s="54">
        <v>28.81</v>
      </c>
      <c r="D27" s="54">
        <v>44.26</v>
      </c>
      <c r="E27" s="54">
        <v>5.78</v>
      </c>
      <c r="F27" s="54">
        <v>5.80</v>
      </c>
      <c r="G27" s="54">
        <v>65.599999999999994</v>
      </c>
      <c r="H27" s="54">
        <v>18</v>
      </c>
      <c r="I27" s="54">
        <v>0.12</v>
      </c>
      <c r="J27" s="54">
        <v>0.30</v>
      </c>
      <c r="K27" s="54">
        <v>346.82</v>
      </c>
      <c r="L27" s="54">
        <v>27.36</v>
      </c>
      <c r="M27" s="54">
        <v>72.84</v>
      </c>
      <c r="N27" s="54">
        <v>16.899999999999999</v>
      </c>
      <c r="O27" s="54">
        <v>0</v>
      </c>
      <c r="P27" s="54">
        <v>0.71</v>
      </c>
      <c r="Q27" s="54">
        <v>11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11.5</v>
      </c>
      <c r="C28" s="54">
        <v>29.24</v>
      </c>
      <c r="D28" s="54">
        <v>40.74</v>
      </c>
      <c r="E28" s="54">
        <v>5.35</v>
      </c>
      <c r="F28" s="54">
        <v>7</v>
      </c>
      <c r="G28" s="54">
        <v>65.599999999999994</v>
      </c>
      <c r="H28" s="54">
        <v>19.260000000000002</v>
      </c>
      <c r="I28" s="54">
        <v>0.12</v>
      </c>
      <c r="J28" s="54">
        <v>0.24</v>
      </c>
      <c r="K28" s="54">
        <v>34.119999999999997</v>
      </c>
      <c r="L28" s="54">
        <v>26.77</v>
      </c>
      <c r="M28" s="54">
        <v>74.28</v>
      </c>
      <c r="N28" s="54">
        <v>9.6999999999999993</v>
      </c>
      <c r="O28" s="54">
        <v>0</v>
      </c>
      <c r="P28" s="54">
        <v>0.76</v>
      </c>
      <c r="Q28" s="54">
        <v>12.91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13.92</v>
      </c>
      <c r="C29" s="54">
        <v>26.88</v>
      </c>
      <c r="D29" s="54">
        <v>40.340000000000003</v>
      </c>
      <c r="E29" s="54">
        <v>4.91</v>
      </c>
      <c r="F29" s="54">
        <v>6.47</v>
      </c>
      <c r="G29" s="54">
        <v>67.30</v>
      </c>
      <c r="H29" s="54">
        <v>19.260000000000002</v>
      </c>
      <c r="I29" s="54">
        <v>0.12</v>
      </c>
      <c r="J29" s="54">
        <v>0.16</v>
      </c>
      <c r="K29" s="54">
        <v>23.74</v>
      </c>
      <c r="L29" s="54">
        <v>26</v>
      </c>
      <c r="M29" s="54">
        <v>83.83</v>
      </c>
      <c r="N29" s="54">
        <v>9.60</v>
      </c>
      <c r="O29" s="54">
        <v>0</v>
      </c>
      <c r="P29" s="54">
        <v>0.73</v>
      </c>
      <c r="Q29" s="54">
        <v>12.94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12.83</v>
      </c>
      <c r="C30" s="54">
        <v>16.12</v>
      </c>
      <c r="D30" s="54">
        <v>28.96</v>
      </c>
      <c r="E30" s="54">
        <v>5.34</v>
      </c>
      <c r="F30" s="54">
        <v>2.76</v>
      </c>
      <c r="G30" s="54">
        <v>67.30</v>
      </c>
      <c r="H30" s="54">
        <v>18.95</v>
      </c>
      <c r="I30" s="54">
        <v>0.12</v>
      </c>
      <c r="J30" s="54">
        <v>0.19</v>
      </c>
      <c r="K30" s="54">
        <v>31.13</v>
      </c>
      <c r="L30" s="54">
        <v>25.54</v>
      </c>
      <c r="M30" s="54">
        <v>84.38</v>
      </c>
      <c r="N30" s="54">
        <v>9.3000000000000007</v>
      </c>
      <c r="O30" s="54">
        <v>0</v>
      </c>
      <c r="P30" s="54">
        <v>0.67</v>
      </c>
      <c r="Q30" s="54">
        <v>13.62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8.34</v>
      </c>
      <c r="C31" s="54">
        <v>17.350000000000001</v>
      </c>
      <c r="D31" s="54">
        <v>24.70</v>
      </c>
      <c r="E31" s="54">
        <v>4.82</v>
      </c>
      <c r="F31" s="54">
        <v>5.12</v>
      </c>
      <c r="G31" s="54">
        <v>65.319999999999993</v>
      </c>
      <c r="H31" s="54">
        <v>18.95</v>
      </c>
      <c r="I31" s="54">
        <v>0.12</v>
      </c>
      <c r="J31" s="54">
        <v>0.26</v>
      </c>
      <c r="K31" s="54">
        <v>28.76</v>
      </c>
      <c r="L31" s="54">
        <v>25</v>
      </c>
      <c r="M31" s="54">
        <v>87.22</v>
      </c>
      <c r="N31" s="54">
        <v>9.3000000000000007</v>
      </c>
      <c r="O31" s="54">
        <v>0</v>
      </c>
      <c r="P31" s="54">
        <v>0.61</v>
      </c>
      <c r="Q31" s="54">
        <v>13.96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7.10</v>
      </c>
      <c r="C32" s="54">
        <v>15.95</v>
      </c>
      <c r="D32" s="54">
        <v>23.05</v>
      </c>
      <c r="E32" s="54">
        <v>4.9000000000000004</v>
      </c>
      <c r="F32" s="54">
        <v>5.31</v>
      </c>
      <c r="G32" s="54">
        <v>65.319999999999993</v>
      </c>
      <c r="H32" s="54">
        <v>17.350000000000001</v>
      </c>
      <c r="I32" s="54">
        <v>0.13</v>
      </c>
      <c r="J32" s="54">
        <v>0.27</v>
      </c>
      <c r="K32" s="54">
        <v>29.20</v>
      </c>
      <c r="L32" s="54">
        <v>24.67</v>
      </c>
      <c r="M32" s="54">
        <v>87.74</v>
      </c>
      <c r="N32" s="54">
        <v>9.40</v>
      </c>
      <c r="O32" s="54">
        <v>0</v>
      </c>
      <c r="P32" s="54">
        <v>0.5</v>
      </c>
      <c r="Q32" s="54">
        <v>14.10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4.9299999999999997</v>
      </c>
      <c r="C34" s="28">
        <f t="shared" si="0"/>
        <v>8.6500000000000004</v>
      </c>
      <c r="D34" s="28">
        <f t="shared" si="0"/>
        <v>10.02</v>
      </c>
      <c r="E34" s="28">
        <f t="shared" si="0"/>
        <v>3.1400000000000001</v>
      </c>
      <c r="F34" s="28">
        <f t="shared" si="0"/>
        <v>0.88</v>
      </c>
      <c r="G34" s="28">
        <f t="shared" si="0"/>
        <v>20.140000000000001</v>
      </c>
      <c r="H34" s="28">
        <f t="shared" si="0"/>
        <v>6.6699999999999999</v>
      </c>
      <c r="I34" s="28">
        <f t="shared" si="0"/>
        <v>0.11</v>
      </c>
      <c r="J34" s="28">
        <f t="shared" si="0"/>
        <v>0.16</v>
      </c>
      <c r="K34" s="28">
        <f t="shared" si="0"/>
        <v>16.850000000000001</v>
      </c>
      <c r="L34" s="28">
        <f t="shared" si="0"/>
        <v>22.149999999999999</v>
      </c>
      <c r="M34" s="28">
        <f t="shared" si="0"/>
        <v>57.759999999999998</v>
      </c>
      <c r="N34" s="28">
        <f t="shared" si="0"/>
        <v>9.3000000000000007</v>
      </c>
      <c r="O34" s="28">
        <f t="shared" si="0"/>
        <v>0</v>
      </c>
      <c r="P34" s="28">
        <f t="shared" si="0"/>
        <v>0.28999999999999998</v>
      </c>
      <c r="Q34" s="28">
        <f t="shared" si="0"/>
        <v>5.8799999999999999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15.44</v>
      </c>
      <c r="C35" s="29">
        <f t="shared" si="1"/>
        <v>37.850000000000001</v>
      </c>
      <c r="D35" s="29">
        <f t="shared" si="1"/>
        <v>45.859999999999999</v>
      </c>
      <c r="E35" s="29">
        <f t="shared" si="1"/>
        <v>5.7800000000000002</v>
      </c>
      <c r="F35" s="29">
        <f t="shared" si="1"/>
        <v>11.119999999999999</v>
      </c>
      <c r="G35" s="29">
        <f t="shared" si="1"/>
        <v>67.299999999999997</v>
      </c>
      <c r="H35" s="29">
        <f t="shared" si="1"/>
        <v>19.260000000000002</v>
      </c>
      <c r="I35" s="29">
        <f t="shared" si="1"/>
        <v>0.13</v>
      </c>
      <c r="J35" s="29">
        <f t="shared" si="1"/>
        <v>1.6699999999999999</v>
      </c>
      <c r="K35" s="29">
        <f t="shared" si="1"/>
        <v>349.88999999999999</v>
      </c>
      <c r="L35" s="29">
        <f t="shared" si="1"/>
        <v>32.670000000000002</v>
      </c>
      <c r="M35" s="29">
        <f t="shared" si="1"/>
        <v>98.180000000000007</v>
      </c>
      <c r="N35" s="29">
        <f t="shared" si="1"/>
        <v>985.60000000000002</v>
      </c>
      <c r="O35" s="29">
        <f t="shared" si="1"/>
        <v>0</v>
      </c>
      <c r="P35" s="29">
        <f t="shared" si="1"/>
        <v>0.76000000000000001</v>
      </c>
      <c r="Q35" s="29">
        <f t="shared" si="1"/>
        <v>14.4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9.0687499999999996</v>
      </c>
      <c r="C36" s="28">
        <f t="shared" si="2"/>
        <v>19.15625</v>
      </c>
      <c r="D36" s="28">
        <f t="shared" si="2"/>
        <v>25.243333333333336</v>
      </c>
      <c r="E36" s="28">
        <f t="shared" si="2"/>
        <v>4.7583333333333337</v>
      </c>
      <c r="F36" s="28">
        <f t="shared" si="2"/>
        <v>4.6141666666666667</v>
      </c>
      <c r="G36" s="28">
        <f t="shared" si="2"/>
        <v>44.715416666666663</v>
      </c>
      <c r="H36" s="28">
        <f t="shared" si="2"/>
        <v>12.607916666666668</v>
      </c>
      <c r="I36" s="28">
        <f t="shared" si="2"/>
        <v>0.11875000000000002</v>
      </c>
      <c r="J36" s="28">
        <f t="shared" si="2"/>
        <v>0.48291666666666666</v>
      </c>
      <c r="K36" s="28">
        <f t="shared" si="2"/>
        <v>158.86458333333334</v>
      </c>
      <c r="L36" s="28">
        <f t="shared" si="2"/>
        <v>26.790416666666662</v>
      </c>
      <c r="M36" s="28">
        <f t="shared" si="2"/>
        <v>80.771249999999995</v>
      </c>
      <c r="N36" s="28">
        <f t="shared" si="2"/>
        <v>203.10454545454542</v>
      </c>
      <c r="O36" s="28">
        <f t="shared" si="2"/>
        <v>0</v>
      </c>
      <c r="P36" s="28">
        <f t="shared" si="2"/>
        <v>0.51083333333333325</v>
      </c>
      <c r="Q36" s="28">
        <f t="shared" si="2"/>
        <v>10.35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3.1848995786503158</v>
      </c>
      <c r="C37" s="28">
        <f t="shared" si="3" ref="C37:Q37">STDEV(C9:C32)</f>
        <v>8.8967760709440018</v>
      </c>
      <c r="D37" s="28">
        <f t="shared" si="3"/>
        <v>12.741893131701831</v>
      </c>
      <c r="E37" s="28">
        <f t="shared" si="3"/>
        <v>0.59652374614104142</v>
      </c>
      <c r="F37" s="28">
        <f t="shared" si="3"/>
        <v>3.0805390785530955</v>
      </c>
      <c r="G37" s="28">
        <f t="shared" si="3"/>
        <v>17.863226491549806</v>
      </c>
      <c r="H37" s="28">
        <f t="shared" si="3"/>
        <v>4.282775389421194</v>
      </c>
      <c r="I37" s="28">
        <f t="shared" si="3"/>
        <v>0.0053669682154906554</v>
      </c>
      <c r="J37" s="28">
        <f t="shared" si="3"/>
        <v>0.43736840671041372</v>
      </c>
      <c r="K37" s="28">
        <f t="shared" si="3"/>
        <v>159.44007103608789</v>
      </c>
      <c r="L37" s="28">
        <f t="shared" si="3"/>
        <v>3.412264935897229</v>
      </c>
      <c r="M37" s="28">
        <f t="shared" si="3"/>
        <v>14.692078999450356</v>
      </c>
      <c r="N37" s="28">
        <f t="shared" si="3"/>
        <v>325.61234982615048</v>
      </c>
      <c r="O37" s="28">
        <f t="shared" si="3"/>
        <v>0</v>
      </c>
      <c r="P37" s="28">
        <f t="shared" si="3"/>
        <v>0.15780881847477932</v>
      </c>
      <c r="Q37" s="28">
        <f t="shared" si="3"/>
        <v>2.8903317095628274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COUNT(N9:N32)+2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c7a1fd-b0c9-4854-8a82-d13a3737709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70" sqref="I7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5.29</v>
      </c>
      <c r="C9" s="54">
        <v>10.90</v>
      </c>
      <c r="D9" s="54">
        <v>16.190000000000001</v>
      </c>
      <c r="E9" s="54">
        <v>4.4400000000000004</v>
      </c>
      <c r="F9" s="54">
        <v>2.5099999999999998</v>
      </c>
      <c r="G9" s="54">
        <v>53.86</v>
      </c>
      <c r="H9" s="54">
        <v>15.91</v>
      </c>
      <c r="I9" s="54">
        <v>0.12</v>
      </c>
      <c r="J9" s="54">
        <v>0.28999999999999998</v>
      </c>
      <c r="K9" s="54">
        <v>26.10</v>
      </c>
      <c r="L9" s="54">
        <v>24.32</v>
      </c>
      <c r="M9" s="54">
        <v>87.49</v>
      </c>
      <c r="N9" s="54">
        <v>9.5</v>
      </c>
      <c r="O9" s="54">
        <v>0</v>
      </c>
      <c r="P9" s="54">
        <v>0.44</v>
      </c>
      <c r="Q9" s="54">
        <v>12.30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3.93</v>
      </c>
      <c r="C10" s="54">
        <v>9.67</v>
      </c>
      <c r="D10" s="54">
        <v>13.51</v>
      </c>
      <c r="E10" s="54">
        <v>4.62</v>
      </c>
      <c r="F10" s="54">
        <v>3.37</v>
      </c>
      <c r="G10" s="54">
        <v>46.89</v>
      </c>
      <c r="H10" s="54">
        <v>14.09</v>
      </c>
      <c r="I10" s="54">
        <v>0.13</v>
      </c>
      <c r="J10" s="54">
        <v>0.30</v>
      </c>
      <c r="K10" s="54">
        <v>30.03</v>
      </c>
      <c r="L10" s="54">
        <v>23.95</v>
      </c>
      <c r="M10" s="54">
        <v>90.14</v>
      </c>
      <c r="N10" s="54">
        <v>9.40</v>
      </c>
      <c r="O10" s="54">
        <v>0</v>
      </c>
      <c r="P10" s="54">
        <v>0.36</v>
      </c>
      <c r="Q10" s="54">
        <v>11.19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3.72</v>
      </c>
      <c r="C11" s="54">
        <v>9.17</v>
      </c>
      <c r="D11" s="54">
        <v>12.82</v>
      </c>
      <c r="E11" s="54">
        <v>4.46</v>
      </c>
      <c r="F11" s="54">
        <v>3.48</v>
      </c>
      <c r="G11" s="54">
        <v>42.77</v>
      </c>
      <c r="H11" s="54">
        <v>11.97</v>
      </c>
      <c r="I11" s="54">
        <v>0.12</v>
      </c>
      <c r="J11" s="54">
        <v>0.24</v>
      </c>
      <c r="K11" s="54">
        <v>27.37</v>
      </c>
      <c r="L11" s="54">
        <v>23.57</v>
      </c>
      <c r="M11" s="54">
        <v>93.67</v>
      </c>
      <c r="N11" s="54">
        <v>9.5</v>
      </c>
      <c r="O11" s="54">
        <v>0</v>
      </c>
      <c r="P11" s="54">
        <v>0.30</v>
      </c>
      <c r="Q11" s="54">
        <v>11.31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3.57</v>
      </c>
      <c r="C12" s="54">
        <v>8.40</v>
      </c>
      <c r="D12" s="54">
        <v>11.82</v>
      </c>
      <c r="E12" s="54">
        <v>4.5599999999999996</v>
      </c>
      <c r="F12" s="54">
        <v>1.98</v>
      </c>
      <c r="G12" s="54">
        <v>35.520000000000003</v>
      </c>
      <c r="H12" s="54">
        <v>11.03</v>
      </c>
      <c r="I12" s="54">
        <v>0.12</v>
      </c>
      <c r="J12" s="54">
        <v>0.28999999999999998</v>
      </c>
      <c r="K12" s="54">
        <v>24.02</v>
      </c>
      <c r="L12" s="54">
        <v>23.08</v>
      </c>
      <c r="M12" s="54">
        <v>97.41</v>
      </c>
      <c r="N12" s="54">
        <v>9.40</v>
      </c>
      <c r="O12" s="54">
        <v>0</v>
      </c>
      <c r="P12" s="54">
        <v>0.27</v>
      </c>
      <c r="Q12" s="54">
        <v>9.56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4.21</v>
      </c>
      <c r="C13" s="54">
        <v>9.39</v>
      </c>
      <c r="D13" s="54">
        <v>13.53</v>
      </c>
      <c r="E13" s="54">
        <v>4.57</v>
      </c>
      <c r="F13" s="54">
        <v>2.58</v>
      </c>
      <c r="G13" s="54">
        <v>33.869999999999997</v>
      </c>
      <c r="H13" s="54">
        <v>10.11</v>
      </c>
      <c r="I13" s="54">
        <v>0.12</v>
      </c>
      <c r="J13" s="54">
        <v>0.25</v>
      </c>
      <c r="K13" s="54">
        <v>27.33</v>
      </c>
      <c r="L13" s="54">
        <v>22.78</v>
      </c>
      <c r="M13" s="54">
        <v>98.15</v>
      </c>
      <c r="N13" s="54">
        <v>9.3000000000000007</v>
      </c>
      <c r="O13" s="54">
        <v>0</v>
      </c>
      <c r="P13" s="54">
        <v>0.23</v>
      </c>
      <c r="Q13" s="54">
        <v>10.30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5.03</v>
      </c>
      <c r="C14" s="54">
        <v>9.24</v>
      </c>
      <c r="D14" s="54">
        <v>13.71</v>
      </c>
      <c r="E14" s="54">
        <v>4.5199999999999996</v>
      </c>
      <c r="F14" s="54">
        <v>1.60</v>
      </c>
      <c r="G14" s="54">
        <v>30.03</v>
      </c>
      <c r="H14" s="54">
        <v>8.23</v>
      </c>
      <c r="I14" s="54">
        <v>0.12</v>
      </c>
      <c r="J14" s="54">
        <v>0.25</v>
      </c>
      <c r="K14" s="54">
        <v>29.15</v>
      </c>
      <c r="L14" s="54">
        <v>22.53</v>
      </c>
      <c r="M14" s="54">
        <v>98.15</v>
      </c>
      <c r="N14" s="54">
        <v>24.30</v>
      </c>
      <c r="O14" s="54">
        <v>0</v>
      </c>
      <c r="P14" s="54">
        <v>0.25</v>
      </c>
      <c r="Q14" s="54">
        <v>10.76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6.90</v>
      </c>
      <c r="C15" s="54">
        <v>10.32</v>
      </c>
      <c r="D15" s="54">
        <v>16.89</v>
      </c>
      <c r="E15" s="54">
        <v>4.3499999999999996</v>
      </c>
      <c r="F15" s="54">
        <v>1.1000000000000001</v>
      </c>
      <c r="G15" s="54">
        <v>27.92</v>
      </c>
      <c r="H15" s="54">
        <v>6.12</v>
      </c>
      <c r="I15" s="54">
        <v>0.12</v>
      </c>
      <c r="J15" s="54">
        <v>0.31</v>
      </c>
      <c r="K15" s="54">
        <v>23.25</v>
      </c>
      <c r="L15" s="54">
        <v>23.87</v>
      </c>
      <c r="M15" s="54">
        <v>98.15</v>
      </c>
      <c r="N15" s="54">
        <v>140.10</v>
      </c>
      <c r="O15" s="54">
        <v>0</v>
      </c>
      <c r="P15" s="54">
        <v>0.26</v>
      </c>
      <c r="Q15" s="54">
        <v>10.45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8.74</v>
      </c>
      <c r="C16" s="54">
        <v>10.89</v>
      </c>
      <c r="D16" s="54">
        <v>19.63</v>
      </c>
      <c r="E16" s="54">
        <v>4.01</v>
      </c>
      <c r="F16" s="54">
        <v>1.55</v>
      </c>
      <c r="G16" s="54">
        <v>30.01</v>
      </c>
      <c r="H16" s="54">
        <v>5.65</v>
      </c>
      <c r="I16" s="54">
        <v>0.12</v>
      </c>
      <c r="J16" s="54">
        <v>0.38</v>
      </c>
      <c r="K16" s="54">
        <v>18.70</v>
      </c>
      <c r="L16" s="54">
        <v>26.01</v>
      </c>
      <c r="M16" s="54">
        <v>95.42</v>
      </c>
      <c r="N16" s="54">
        <v>387.40</v>
      </c>
      <c r="O16" s="54">
        <v>0</v>
      </c>
      <c r="P16" s="54">
        <v>0.35</v>
      </c>
      <c r="Q16" s="54">
        <v>12.01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10.85</v>
      </c>
      <c r="C17" s="54">
        <v>13.78</v>
      </c>
      <c r="D17" s="54">
        <v>24.33</v>
      </c>
      <c r="E17" s="54">
        <v>4.2699999999999996</v>
      </c>
      <c r="F17" s="54">
        <v>1.47</v>
      </c>
      <c r="G17" s="54">
        <v>38.10</v>
      </c>
      <c r="H17" s="54">
        <v>10.08</v>
      </c>
      <c r="I17" s="54">
        <v>0.12</v>
      </c>
      <c r="J17" s="54">
        <v>0.53</v>
      </c>
      <c r="K17" s="54">
        <v>357.96</v>
      </c>
      <c r="L17" s="54">
        <v>29.47</v>
      </c>
      <c r="M17" s="54">
        <v>82.95</v>
      </c>
      <c r="N17" s="54">
        <v>584.60</v>
      </c>
      <c r="O17" s="54">
        <v>0</v>
      </c>
      <c r="P17" s="54">
        <v>0.54</v>
      </c>
      <c r="Q17" s="54">
        <v>12.56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11.01</v>
      </c>
      <c r="C18" s="54">
        <v>14.42</v>
      </c>
      <c r="D18" s="54">
        <v>24.25</v>
      </c>
      <c r="E18" s="54">
        <v>4.16</v>
      </c>
      <c r="F18" s="54">
        <v>1.78</v>
      </c>
      <c r="G18" s="54">
        <v>45.47</v>
      </c>
      <c r="H18" s="54">
        <v>10.32</v>
      </c>
      <c r="I18" s="54">
        <v>0.14000000000000001</v>
      </c>
      <c r="J18" s="54">
        <v>1.07</v>
      </c>
      <c r="K18" s="54">
        <v>353.61</v>
      </c>
      <c r="L18" s="54">
        <v>32.24</v>
      </c>
      <c r="M18" s="54">
        <v>60.08</v>
      </c>
      <c r="N18" s="54">
        <v>776.30</v>
      </c>
      <c r="O18" s="54">
        <v>0</v>
      </c>
      <c r="P18" s="54">
        <v>0.56000000000000005</v>
      </c>
      <c r="Q18" s="54">
        <v>11.85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8.8699999999999992</v>
      </c>
      <c r="C19" s="54">
        <v>16.05</v>
      </c>
      <c r="D19" s="54">
        <v>24.43</v>
      </c>
      <c r="E19" s="54">
        <v>4.5199999999999996</v>
      </c>
      <c r="F19" s="54">
        <v>2.75</v>
      </c>
      <c r="G19" s="54">
        <v>50.25</v>
      </c>
      <c r="H19" s="54">
        <v>12.93</v>
      </c>
      <c r="I19" s="54">
        <v>0.13</v>
      </c>
      <c r="J19" s="54">
        <v>0.66</v>
      </c>
      <c r="K19" s="54">
        <v>352.06</v>
      </c>
      <c r="L19" s="54">
        <v>32.08</v>
      </c>
      <c r="M19" s="54">
        <v>58.51</v>
      </c>
      <c r="N19" s="54">
        <v>822.20</v>
      </c>
      <c r="O19" s="54">
        <v>0</v>
      </c>
      <c r="P19" s="54">
        <v>0.54</v>
      </c>
      <c r="Q19" s="54">
        <v>11.34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7.33</v>
      </c>
      <c r="C20" s="54">
        <v>15.06</v>
      </c>
      <c r="D20" s="54">
        <v>22.39</v>
      </c>
      <c r="E20" s="54">
        <v>4.57</v>
      </c>
      <c r="F20" s="54">
        <v>3.80</v>
      </c>
      <c r="G20" s="54">
        <v>55.66</v>
      </c>
      <c r="H20" s="54">
        <v>12.93</v>
      </c>
      <c r="I20" s="54">
        <v>0.12</v>
      </c>
      <c r="J20" s="54">
        <v>1.1100000000000001</v>
      </c>
      <c r="K20" s="54">
        <v>358.72</v>
      </c>
      <c r="L20" s="54">
        <v>32.380000000000003</v>
      </c>
      <c r="M20" s="54">
        <v>54.97</v>
      </c>
      <c r="N20" s="54">
        <v>872.40</v>
      </c>
      <c r="O20" s="54">
        <v>0</v>
      </c>
      <c r="P20" s="54">
        <v>0.5</v>
      </c>
      <c r="Q20" s="54">
        <v>10.35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5.72</v>
      </c>
      <c r="C21" s="54">
        <v>14.5</v>
      </c>
      <c r="D21" s="54">
        <v>19.420000000000002</v>
      </c>
      <c r="E21" s="54">
        <v>4.55</v>
      </c>
      <c r="F21" s="54">
        <v>2.5099999999999998</v>
      </c>
      <c r="G21" s="54">
        <v>55.82</v>
      </c>
      <c r="H21" s="54">
        <v>12.21</v>
      </c>
      <c r="I21" s="54">
        <v>0.12</v>
      </c>
      <c r="J21" s="54">
        <v>0.59</v>
      </c>
      <c r="K21" s="54">
        <v>359.99</v>
      </c>
      <c r="L21" s="54">
        <v>32.69</v>
      </c>
      <c r="M21" s="54">
        <v>54.12</v>
      </c>
      <c r="N21" s="54">
        <v>981.30</v>
      </c>
      <c r="O21" s="54">
        <v>0</v>
      </c>
      <c r="P21" s="54">
        <v>0.46</v>
      </c>
      <c r="Q21" s="54">
        <v>8.2899999999999991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7.12</v>
      </c>
      <c r="C22" s="54">
        <v>19.100000000000001</v>
      </c>
      <c r="D22" s="54">
        <v>26.21</v>
      </c>
      <c r="E22" s="54">
        <v>4.68</v>
      </c>
      <c r="F22" s="54">
        <v>5.24</v>
      </c>
      <c r="G22" s="54">
        <v>56.47</v>
      </c>
      <c r="H22" s="54">
        <v>13.72</v>
      </c>
      <c r="I22" s="54">
        <v>0.12</v>
      </c>
      <c r="J22" s="54">
        <v>0.37</v>
      </c>
      <c r="K22" s="54">
        <v>356.20</v>
      </c>
      <c r="L22" s="54">
        <v>30.60</v>
      </c>
      <c r="M22" s="54">
        <v>64.25</v>
      </c>
      <c r="N22" s="54">
        <v>689.80</v>
      </c>
      <c r="O22" s="54">
        <v>0</v>
      </c>
      <c r="P22" s="54">
        <v>0.49</v>
      </c>
      <c r="Q22" s="54">
        <v>9.32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5.69</v>
      </c>
      <c r="C23" s="54">
        <v>16.32</v>
      </c>
      <c r="D23" s="54">
        <v>21.96</v>
      </c>
      <c r="E23" s="54">
        <v>4.79</v>
      </c>
      <c r="F23" s="54">
        <v>3.85</v>
      </c>
      <c r="G23" s="54">
        <v>58.95</v>
      </c>
      <c r="H23" s="54">
        <v>15.99</v>
      </c>
      <c r="I23" s="54">
        <v>0.12</v>
      </c>
      <c r="J23" s="54">
        <v>0.62</v>
      </c>
      <c r="K23" s="54">
        <v>355.70</v>
      </c>
      <c r="L23" s="54">
        <v>30.24</v>
      </c>
      <c r="M23" s="54">
        <v>60.25</v>
      </c>
      <c r="N23" s="54">
        <v>561.70000000000005</v>
      </c>
      <c r="O23" s="54">
        <v>0</v>
      </c>
      <c r="P23" s="54">
        <v>0.49</v>
      </c>
      <c r="Q23" s="54">
        <v>9.60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4.7300000000000004</v>
      </c>
      <c r="C24" s="54">
        <v>15.52</v>
      </c>
      <c r="D24" s="54">
        <v>20.25</v>
      </c>
      <c r="E24" s="54">
        <v>4.26</v>
      </c>
      <c r="F24" s="54">
        <v>4.22</v>
      </c>
      <c r="G24" s="54">
        <v>65.81</v>
      </c>
      <c r="H24" s="54">
        <v>16.010000000000002</v>
      </c>
      <c r="I24" s="54">
        <v>0.12</v>
      </c>
      <c r="J24" s="54">
        <v>0.49</v>
      </c>
      <c r="K24" s="54">
        <v>357.03</v>
      </c>
      <c r="L24" s="54">
        <v>29.70</v>
      </c>
      <c r="M24" s="54">
        <v>59.70</v>
      </c>
      <c r="N24" s="54">
        <v>217.10</v>
      </c>
      <c r="O24" s="54">
        <v>0</v>
      </c>
      <c r="P24" s="54">
        <v>0.48</v>
      </c>
      <c r="Q24" s="54">
        <v>8.5299999999999994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7.05</v>
      </c>
      <c r="C25" s="54">
        <v>15.62</v>
      </c>
      <c r="D25" s="54">
        <v>22.25</v>
      </c>
      <c r="E25" s="54">
        <v>4.78</v>
      </c>
      <c r="F25" s="54">
        <v>6.02</v>
      </c>
      <c r="G25" s="54">
        <v>65.81</v>
      </c>
      <c r="H25" s="54">
        <v>18.04</v>
      </c>
      <c r="I25" s="54">
        <v>0.12</v>
      </c>
      <c r="J25" s="54">
        <v>1.70</v>
      </c>
      <c r="K25" s="54">
        <v>336.61</v>
      </c>
      <c r="L25" s="54">
        <v>29.89</v>
      </c>
      <c r="M25" s="54">
        <v>62.5</v>
      </c>
      <c r="N25" s="54">
        <v>150.5</v>
      </c>
      <c r="O25" s="54">
        <v>0</v>
      </c>
      <c r="P25" s="54">
        <v>0.47</v>
      </c>
      <c r="Q25" s="54">
        <v>9.3800000000000008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9.93</v>
      </c>
      <c r="C26" s="54">
        <v>17.489999999999998</v>
      </c>
      <c r="D26" s="54">
        <v>27.41</v>
      </c>
      <c r="E26" s="54">
        <v>4.84</v>
      </c>
      <c r="F26" s="54">
        <v>4.9000000000000004</v>
      </c>
      <c r="G26" s="54">
        <v>63.81</v>
      </c>
      <c r="H26" s="54">
        <v>18.04</v>
      </c>
      <c r="I26" s="54">
        <v>0.12</v>
      </c>
      <c r="J26" s="54">
        <v>1.32</v>
      </c>
      <c r="K26" s="54">
        <v>340.66</v>
      </c>
      <c r="L26" s="54">
        <v>28.17</v>
      </c>
      <c r="M26" s="54">
        <v>67.75</v>
      </c>
      <c r="N26" s="54">
        <v>82.70</v>
      </c>
      <c r="O26" s="54">
        <v>0</v>
      </c>
      <c r="P26" s="54">
        <v>0.54</v>
      </c>
      <c r="Q26" s="54">
        <v>9.57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16.25</v>
      </c>
      <c r="C27" s="54">
        <v>38.69</v>
      </c>
      <c r="D27" s="54">
        <v>54.94</v>
      </c>
      <c r="E27" s="54">
        <v>4.7300000000000004</v>
      </c>
      <c r="F27" s="54">
        <v>8.91</v>
      </c>
      <c r="G27" s="54">
        <v>67.06</v>
      </c>
      <c r="H27" s="54">
        <v>17.12</v>
      </c>
      <c r="I27" s="54">
        <v>0.12</v>
      </c>
      <c r="J27" s="54">
        <v>0.17</v>
      </c>
      <c r="K27" s="54">
        <v>39.729999999999997</v>
      </c>
      <c r="L27" s="54">
        <v>27.06</v>
      </c>
      <c r="M27" s="54">
        <v>69.42</v>
      </c>
      <c r="N27" s="54">
        <v>13.5</v>
      </c>
      <c r="O27" s="54">
        <v>0</v>
      </c>
      <c r="P27" s="54">
        <v>1.05</v>
      </c>
      <c r="Q27" s="54">
        <v>10.09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9.33</v>
      </c>
      <c r="C28" s="54">
        <v>29.94</v>
      </c>
      <c r="D28" s="54">
        <v>37.60</v>
      </c>
      <c r="E28" s="54">
        <v>5.65</v>
      </c>
      <c r="F28" s="54">
        <v>11.74</v>
      </c>
      <c r="G28" s="54">
        <v>67.06</v>
      </c>
      <c r="H28" s="54">
        <v>17.18</v>
      </c>
      <c r="I28" s="54">
        <v>0.12</v>
      </c>
      <c r="J28" s="54">
        <v>0.11</v>
      </c>
      <c r="K28" s="54">
        <v>216.16</v>
      </c>
      <c r="L28" s="54">
        <v>26.51</v>
      </c>
      <c r="M28" s="54">
        <v>80.91</v>
      </c>
      <c r="N28" s="54">
        <v>7.10</v>
      </c>
      <c r="O28" s="54">
        <v>0</v>
      </c>
      <c r="P28" s="54">
        <v>0.75</v>
      </c>
      <c r="Q28" s="54">
        <v>12.96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9.48</v>
      </c>
      <c r="C29" s="54">
        <v>15.08</v>
      </c>
      <c r="D29" s="54">
        <v>21.34</v>
      </c>
      <c r="E29" s="54">
        <v>4.1399999999999997</v>
      </c>
      <c r="F29" s="54">
        <v>5.64</v>
      </c>
      <c r="G29" s="54">
        <v>65.73</v>
      </c>
      <c r="H29" s="54">
        <v>19.18</v>
      </c>
      <c r="I29" s="54">
        <v>0.12</v>
      </c>
      <c r="J29" s="54">
        <v>0.23</v>
      </c>
      <c r="K29" s="54">
        <v>43.57</v>
      </c>
      <c r="L29" s="54">
        <v>25.53</v>
      </c>
      <c r="M29" s="54">
        <v>84.26</v>
      </c>
      <c r="N29" s="54">
        <v>7.10</v>
      </c>
      <c r="O29" s="54">
        <v>0</v>
      </c>
      <c r="P29" s="54">
        <v>0.56000000000000005</v>
      </c>
      <c r="Q29" s="54">
        <v>13.26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8.83</v>
      </c>
      <c r="C30" s="54">
        <v>15.04</v>
      </c>
      <c r="D30" s="54">
        <v>22.26</v>
      </c>
      <c r="E30" s="54">
        <v>3.70</v>
      </c>
      <c r="F30" s="54">
        <v>2.41</v>
      </c>
      <c r="G30" s="54">
        <v>54.24</v>
      </c>
      <c r="H30" s="54">
        <v>19.399999999999999</v>
      </c>
      <c r="I30" s="54">
        <v>0.13</v>
      </c>
      <c r="J30" s="54">
        <v>0.38</v>
      </c>
      <c r="K30" s="54">
        <v>37.94</v>
      </c>
      <c r="L30" s="54">
        <v>24.95</v>
      </c>
      <c r="M30" s="54">
        <v>86.02</v>
      </c>
      <c r="N30" s="54">
        <v>6.90</v>
      </c>
      <c r="O30" s="54">
        <v>0</v>
      </c>
      <c r="P30" s="54">
        <v>0.55000000000000004</v>
      </c>
      <c r="Q30" s="54">
        <v>12.42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7.41</v>
      </c>
      <c r="C31" s="54">
        <v>16.75</v>
      </c>
      <c r="D31" s="54">
        <v>23.60</v>
      </c>
      <c r="E31" s="54">
        <v>3.73</v>
      </c>
      <c r="F31" s="54">
        <v>2.97</v>
      </c>
      <c r="G31" s="54">
        <v>33.42</v>
      </c>
      <c r="H31" s="54">
        <v>19.399999999999999</v>
      </c>
      <c r="I31" s="54">
        <v>0.12</v>
      </c>
      <c r="J31" s="54">
        <v>0.27</v>
      </c>
      <c r="K31" s="54">
        <v>31.39</v>
      </c>
      <c r="L31" s="54">
        <v>24.53</v>
      </c>
      <c r="M31" s="54">
        <v>89.19</v>
      </c>
      <c r="N31" s="54">
        <v>6.90</v>
      </c>
      <c r="O31" s="54">
        <v>0</v>
      </c>
      <c r="P31" s="54">
        <v>0.5</v>
      </c>
      <c r="Q31" s="54">
        <v>12.43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5.29</v>
      </c>
      <c r="C32" s="54">
        <v>12.29</v>
      </c>
      <c r="D32" s="54">
        <v>17.579999999999998</v>
      </c>
      <c r="E32" s="54">
        <v>3.69</v>
      </c>
      <c r="F32" s="54">
        <v>2.87</v>
      </c>
      <c r="G32" s="54">
        <v>19.37</v>
      </c>
      <c r="H32" s="54">
        <v>15.63</v>
      </c>
      <c r="I32" s="54">
        <v>0.12</v>
      </c>
      <c r="J32" s="54">
        <v>0.25</v>
      </c>
      <c r="K32" s="54">
        <v>30.43</v>
      </c>
      <c r="L32" s="54">
        <v>24.12</v>
      </c>
      <c r="M32" s="54">
        <v>91.96</v>
      </c>
      <c r="N32" s="54">
        <v>6.90</v>
      </c>
      <c r="O32" s="54">
        <v>0</v>
      </c>
      <c r="P32" s="54">
        <v>0.45</v>
      </c>
      <c r="Q32" s="54">
        <v>11.68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3.5699999999999998</v>
      </c>
      <c r="C34" s="28">
        <f t="shared" si="0"/>
        <v>8.4000000000000004</v>
      </c>
      <c r="D34" s="28">
        <f t="shared" si="0"/>
        <v>11.82</v>
      </c>
      <c r="E34" s="28">
        <f t="shared" si="0"/>
        <v>3.6899999999999999</v>
      </c>
      <c r="F34" s="28">
        <f t="shared" si="0"/>
        <v>1.1000000000000001</v>
      </c>
      <c r="G34" s="28">
        <f t="shared" si="0"/>
        <v>19.370000000000001</v>
      </c>
      <c r="H34" s="28">
        <f t="shared" si="0"/>
        <v>5.6500000000000004</v>
      </c>
      <c r="I34" s="28">
        <f t="shared" si="0"/>
        <v>0.12</v>
      </c>
      <c r="J34" s="28">
        <f t="shared" si="0"/>
        <v>0.11</v>
      </c>
      <c r="K34" s="28">
        <f t="shared" si="0"/>
        <v>18.699999999999999</v>
      </c>
      <c r="L34" s="28">
        <f t="shared" si="0"/>
        <v>22.530000000000001</v>
      </c>
      <c r="M34" s="28">
        <f t="shared" si="0"/>
        <v>54.119999999999997</v>
      </c>
      <c r="N34" s="28">
        <f t="shared" si="0"/>
        <v>6.9000000000000004</v>
      </c>
      <c r="O34" s="28">
        <f t="shared" si="0"/>
        <v>0</v>
      </c>
      <c r="P34" s="28">
        <f t="shared" si="0"/>
        <v>0.23000000000000001</v>
      </c>
      <c r="Q34" s="28">
        <f t="shared" si="0"/>
        <v>8.2899999999999991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16.25</v>
      </c>
      <c r="C35" s="29">
        <f t="shared" si="1"/>
        <v>38.689999999999998</v>
      </c>
      <c r="D35" s="29">
        <f t="shared" si="1"/>
        <v>54.939999999999998</v>
      </c>
      <c r="E35" s="29">
        <f t="shared" si="1"/>
        <v>5.6500000000000004</v>
      </c>
      <c r="F35" s="29">
        <f t="shared" si="1"/>
        <v>11.74</v>
      </c>
      <c r="G35" s="29">
        <f t="shared" si="1"/>
        <v>67.060000000000002</v>
      </c>
      <c r="H35" s="29">
        <f t="shared" si="1"/>
        <v>19.399999999999999</v>
      </c>
      <c r="I35" s="29">
        <f t="shared" si="1"/>
        <v>0.14000000000000001</v>
      </c>
      <c r="J35" s="29">
        <f t="shared" si="1"/>
        <v>1.7</v>
      </c>
      <c r="K35" s="29">
        <f t="shared" si="1"/>
        <v>359.99000000000001</v>
      </c>
      <c r="L35" s="29">
        <f t="shared" si="1"/>
        <v>32.689999999999998</v>
      </c>
      <c r="M35" s="29">
        <f t="shared" si="1"/>
        <v>98.150000000000006</v>
      </c>
      <c r="N35" s="29">
        <f t="shared" si="1"/>
        <v>981.29999999999995</v>
      </c>
      <c r="O35" s="29">
        <f t="shared" si="1"/>
        <v>0</v>
      </c>
      <c r="P35" s="29">
        <f t="shared" si="1"/>
        <v>1.05</v>
      </c>
      <c r="Q35" s="29">
        <f t="shared" si="1"/>
        <v>13.26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7.3449999999999998</v>
      </c>
      <c r="C36" s="28">
        <f t="shared" si="2"/>
        <v>15.151249999999999</v>
      </c>
      <c r="D36" s="28">
        <f t="shared" si="2"/>
        <v>22.013333333333335</v>
      </c>
      <c r="E36" s="28">
        <f t="shared" si="2"/>
        <v>4.441250000000001</v>
      </c>
      <c r="F36" s="28">
        <f t="shared" si="2"/>
        <v>3.71875</v>
      </c>
      <c r="G36" s="28">
        <f t="shared" si="2"/>
        <v>48.49583333333333</v>
      </c>
      <c r="H36" s="28">
        <f t="shared" si="2"/>
        <v>13.803749999999999</v>
      </c>
      <c r="I36" s="28">
        <f t="shared" si="2"/>
        <v>0.12208333333333338</v>
      </c>
      <c r="J36" s="28">
        <f t="shared" si="2"/>
        <v>0.50750000000000006</v>
      </c>
      <c r="K36" s="28">
        <f t="shared" si="2"/>
        <v>172.23791666666668</v>
      </c>
      <c r="L36" s="28">
        <f t="shared" si="2"/>
        <v>27.094583333333333</v>
      </c>
      <c r="M36" s="28">
        <f t="shared" si="2"/>
        <v>78.559166666666684</v>
      </c>
      <c r="N36" s="28">
        <f t="shared" si="2"/>
        <v>266.07916666666665</v>
      </c>
      <c r="O36" s="28">
        <f t="shared" si="2"/>
        <v>0</v>
      </c>
      <c r="P36" s="28">
        <f t="shared" si="2"/>
        <v>0.47458333333333341</v>
      </c>
      <c r="Q36" s="28">
        <f t="shared" si="2"/>
        <v>10.89625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2.9629509379788188</v>
      </c>
      <c r="C37" s="28">
        <f t="shared" si="3" ref="C37:Q37">STDEV(C9:C32)</f>
        <v>6.753696129753207</v>
      </c>
      <c r="D37" s="28">
        <f t="shared" si="3"/>
        <v>9.0656003742128064</v>
      </c>
      <c r="E37" s="28">
        <f t="shared" si="3"/>
        <v>0.42460531545547514</v>
      </c>
      <c r="F37" s="28">
        <f t="shared" si="3"/>
        <v>2.4714039532217313</v>
      </c>
      <c r="G37" s="28">
        <f t="shared" si="3"/>
        <v>14.565598218036758</v>
      </c>
      <c r="H37" s="28">
        <f t="shared" si="3"/>
        <v>4.0577149411310689</v>
      </c>
      <c r="I37" s="28">
        <f t="shared" si="3"/>
        <v>0.0050897737770405219</v>
      </c>
      <c r="J37" s="28">
        <f t="shared" si="3"/>
        <v>0.40157570080653632</v>
      </c>
      <c r="K37" s="28">
        <f t="shared" si="3"/>
        <v>160.51391271080485</v>
      </c>
      <c r="L37" s="28">
        <f t="shared" si="3"/>
        <v>3.452309849521233</v>
      </c>
      <c r="M37" s="28">
        <f t="shared" si="3"/>
        <v>16.002579389006254</v>
      </c>
      <c r="N37" s="28">
        <f t="shared" si="3"/>
        <v>341.63341270656815</v>
      </c>
      <c r="O37" s="28">
        <f t="shared" si="3"/>
        <v>0</v>
      </c>
      <c r="P37" s="28">
        <f t="shared" si="3"/>
        <v>0.17460462583310535</v>
      </c>
      <c r="Q37" s="28">
        <f t="shared" si="3"/>
        <v>1.4203423117715974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d159ed-591a-4a83-81e3-e2638baa60e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29" sqref="Q2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4.53</v>
      </c>
      <c r="C9" s="54">
        <v>10.51</v>
      </c>
      <c r="D9" s="54">
        <v>14.92</v>
      </c>
      <c r="E9" s="54">
        <v>3.95</v>
      </c>
      <c r="F9" s="54">
        <v>2.33</v>
      </c>
      <c r="G9" s="54">
        <v>18.84</v>
      </c>
      <c r="H9" s="54">
        <v>12.90</v>
      </c>
      <c r="I9" s="54">
        <v>0.12</v>
      </c>
      <c r="J9" s="54">
        <v>0.26</v>
      </c>
      <c r="K9" s="54">
        <v>30.43</v>
      </c>
      <c r="L9" s="54">
        <v>23.71</v>
      </c>
      <c r="M9" s="54">
        <v>92.54</v>
      </c>
      <c r="N9" s="54">
        <v>6.90</v>
      </c>
      <c r="O9" s="54">
        <v>0</v>
      </c>
      <c r="P9" s="54">
        <v>0.39</v>
      </c>
      <c r="Q9" s="54">
        <v>9.83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4.45</v>
      </c>
      <c r="C10" s="54">
        <v>12.40</v>
      </c>
      <c r="D10" s="54">
        <v>16.600000000000001</v>
      </c>
      <c r="E10" s="54">
        <v>4.30</v>
      </c>
      <c r="F10" s="54">
        <v>4.80</v>
      </c>
      <c r="G10" s="54">
        <v>23.91</v>
      </c>
      <c r="H10" s="54">
        <v>11.09</v>
      </c>
      <c r="I10" s="54">
        <v>0.12</v>
      </c>
      <c r="J10" s="54">
        <v>0.23</v>
      </c>
      <c r="K10" s="54">
        <v>20.43</v>
      </c>
      <c r="L10" s="54">
        <v>23.59</v>
      </c>
      <c r="M10" s="54">
        <v>92.48</v>
      </c>
      <c r="N10" s="54">
        <v>6.90</v>
      </c>
      <c r="O10" s="54">
        <v>0</v>
      </c>
      <c r="P10" s="54">
        <v>0.42</v>
      </c>
      <c r="Q10" s="54">
        <v>11.35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4.42</v>
      </c>
      <c r="C11" s="54">
        <v>9.8800000000000008</v>
      </c>
      <c r="D11" s="54">
        <v>14.30</v>
      </c>
      <c r="E11" s="54">
        <v>4.33</v>
      </c>
      <c r="F11" s="54">
        <v>2.21</v>
      </c>
      <c r="G11" s="54">
        <v>29.63</v>
      </c>
      <c r="H11" s="54">
        <v>14.17</v>
      </c>
      <c r="I11" s="54">
        <v>0.12</v>
      </c>
      <c r="J11" s="54">
        <v>0.26</v>
      </c>
      <c r="K11" s="54">
        <v>355.48</v>
      </c>
      <c r="L11" s="54">
        <v>23.44</v>
      </c>
      <c r="M11" s="54">
        <v>93.12</v>
      </c>
      <c r="N11" s="54">
        <v>6.90</v>
      </c>
      <c r="O11" s="54">
        <v>0</v>
      </c>
      <c r="P11" s="54">
        <v>0.37</v>
      </c>
      <c r="Q11" s="54">
        <v>10.210000000000001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4.3099999999999996</v>
      </c>
      <c r="C12" s="54">
        <v>12.91</v>
      </c>
      <c r="D12" s="54">
        <v>17.190000000000001</v>
      </c>
      <c r="E12" s="54">
        <v>4.3099999999999996</v>
      </c>
      <c r="F12" s="54">
        <v>3.79</v>
      </c>
      <c r="G12" s="54">
        <v>34.74</v>
      </c>
      <c r="H12" s="54">
        <v>14.17</v>
      </c>
      <c r="I12" s="54">
        <v>0.12</v>
      </c>
      <c r="J12" s="54">
        <v>0.18</v>
      </c>
      <c r="K12" s="54">
        <v>32.90</v>
      </c>
      <c r="L12" s="54">
        <v>23.11</v>
      </c>
      <c r="M12" s="54">
        <v>93.65</v>
      </c>
      <c r="N12" s="54">
        <v>6.90</v>
      </c>
      <c r="O12" s="54">
        <v>0</v>
      </c>
      <c r="P12" s="54">
        <v>0.39</v>
      </c>
      <c r="Q12" s="54">
        <v>9.33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7.42</v>
      </c>
      <c r="C13" s="54">
        <v>17.89</v>
      </c>
      <c r="D13" s="54">
        <v>25.32</v>
      </c>
      <c r="E13" s="54">
        <v>5.1100000000000003</v>
      </c>
      <c r="F13" s="54">
        <v>3.37</v>
      </c>
      <c r="G13" s="54">
        <v>51.33</v>
      </c>
      <c r="H13" s="54">
        <v>14.67</v>
      </c>
      <c r="I13" s="54">
        <v>0.12</v>
      </c>
      <c r="J13" s="54">
        <v>0.16</v>
      </c>
      <c r="K13" s="54">
        <v>21.85</v>
      </c>
      <c r="L13" s="54">
        <v>22.85</v>
      </c>
      <c r="M13" s="54">
        <v>95.21</v>
      </c>
      <c r="N13" s="54">
        <v>6.90</v>
      </c>
      <c r="O13" s="54">
        <v>0</v>
      </c>
      <c r="P13" s="54">
        <v>0.56000000000000005</v>
      </c>
      <c r="Q13" s="54">
        <v>12.06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6.94</v>
      </c>
      <c r="C14" s="54">
        <v>11.21</v>
      </c>
      <c r="D14" s="54">
        <v>18.059999999999999</v>
      </c>
      <c r="E14" s="54">
        <v>4.84</v>
      </c>
      <c r="F14" s="54">
        <v>1.07</v>
      </c>
      <c r="G14" s="54">
        <v>55.07</v>
      </c>
      <c r="H14" s="54">
        <v>15.10</v>
      </c>
      <c r="I14" s="54">
        <v>0.13</v>
      </c>
      <c r="J14" s="54">
        <v>0.13</v>
      </c>
      <c r="K14" s="54">
        <v>34.39</v>
      </c>
      <c r="L14" s="54">
        <v>22.49</v>
      </c>
      <c r="M14" s="54">
        <v>98.16</v>
      </c>
      <c r="N14" s="54">
        <v>24.10</v>
      </c>
      <c r="O14" s="54">
        <v>0</v>
      </c>
      <c r="P14" s="54">
        <v>0.49</v>
      </c>
      <c r="Q14" s="54">
        <v>11.08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13.48</v>
      </c>
      <c r="C15" s="54">
        <v>18.61</v>
      </c>
      <c r="D15" s="54">
        <v>32.090000000000003</v>
      </c>
      <c r="E15" s="54">
        <v>5.15</v>
      </c>
      <c r="F15" s="54">
        <v>2.13</v>
      </c>
      <c r="G15" s="54">
        <v>58.20</v>
      </c>
      <c r="H15" s="54">
        <v>17.07</v>
      </c>
      <c r="I15" s="54">
        <v>0.12</v>
      </c>
      <c r="J15" s="54">
        <v>0.20</v>
      </c>
      <c r="K15" s="54">
        <v>352.31</v>
      </c>
      <c r="L15" s="54">
        <v>23.25</v>
      </c>
      <c r="M15" s="54">
        <v>97.67</v>
      </c>
      <c r="N15" s="54">
        <v>141.10</v>
      </c>
      <c r="O15" s="54">
        <v>0</v>
      </c>
      <c r="P15" s="54">
        <v>0.52</v>
      </c>
      <c r="Q15" s="54">
        <v>13.27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11.93</v>
      </c>
      <c r="C16" s="54">
        <v>17.07</v>
      </c>
      <c r="D16" s="54">
        <v>29</v>
      </c>
      <c r="E16" s="54">
        <v>4.7300000000000004</v>
      </c>
      <c r="F16" s="54">
        <v>2</v>
      </c>
      <c r="G16" s="54">
        <v>64.31</v>
      </c>
      <c r="H16" s="54">
        <v>18.57</v>
      </c>
      <c r="I16" s="54">
        <v>0.12</v>
      </c>
      <c r="J16" s="54">
        <v>0.27</v>
      </c>
      <c r="K16" s="54">
        <v>349.37</v>
      </c>
      <c r="L16" s="54">
        <v>25.76</v>
      </c>
      <c r="M16" s="54">
        <v>86.98</v>
      </c>
      <c r="N16" s="54">
        <v>361</v>
      </c>
      <c r="O16" s="54">
        <v>0</v>
      </c>
      <c r="P16" s="54">
        <v>0.49</v>
      </c>
      <c r="Q16" s="54">
        <v>13.77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12.08</v>
      </c>
      <c r="C17" s="54">
        <v>14.61</v>
      </c>
      <c r="D17" s="54">
        <v>26.69</v>
      </c>
      <c r="E17" s="54">
        <v>4.9800000000000004</v>
      </c>
      <c r="F17" s="54">
        <v>1.82</v>
      </c>
      <c r="G17" s="54">
        <v>81.099999999999994</v>
      </c>
      <c r="H17" s="54">
        <v>21.24</v>
      </c>
      <c r="I17" s="54">
        <v>0.13</v>
      </c>
      <c r="J17" s="54">
        <v>0.52</v>
      </c>
      <c r="K17" s="54">
        <v>338.37</v>
      </c>
      <c r="L17" s="54">
        <v>29.80</v>
      </c>
      <c r="M17" s="54">
        <v>64.72</v>
      </c>
      <c r="N17" s="54">
        <v>570.90</v>
      </c>
      <c r="O17" s="54">
        <v>0</v>
      </c>
      <c r="P17" s="54">
        <v>0.5</v>
      </c>
      <c r="Q17" s="54">
        <v>12.79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11.53</v>
      </c>
      <c r="C18" s="54">
        <v>16.399999999999999</v>
      </c>
      <c r="D18" s="54">
        <v>27.93</v>
      </c>
      <c r="E18" s="54">
        <v>5</v>
      </c>
      <c r="F18" s="54">
        <v>4.4000000000000004</v>
      </c>
      <c r="G18" s="54">
        <v>98.64</v>
      </c>
      <c r="H18" s="54">
        <v>24.18</v>
      </c>
      <c r="I18" s="54">
        <v>0.12</v>
      </c>
      <c r="J18" s="54">
        <v>1.22</v>
      </c>
      <c r="K18" s="54">
        <v>329.16</v>
      </c>
      <c r="L18" s="54">
        <v>32.33</v>
      </c>
      <c r="M18" s="54">
        <v>54.31</v>
      </c>
      <c r="N18" s="54">
        <v>593.29999999999995</v>
      </c>
      <c r="O18" s="54">
        <v>0</v>
      </c>
      <c r="P18" s="54">
        <v>0.51</v>
      </c>
      <c r="Q18" s="54">
        <v>12.67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20.69</v>
      </c>
      <c r="C19" s="54">
        <v>34.53</v>
      </c>
      <c r="D19" s="54">
        <v>51.51</v>
      </c>
      <c r="E19" s="54">
        <v>5.54</v>
      </c>
      <c r="F19" s="54">
        <v>3.07</v>
      </c>
      <c r="G19" s="54">
        <v>119.23</v>
      </c>
      <c r="H19" s="54">
        <v>24.51</v>
      </c>
      <c r="I19" s="54">
        <v>0.12</v>
      </c>
      <c r="J19" s="54">
        <v>1</v>
      </c>
      <c r="K19" s="54">
        <v>327.24</v>
      </c>
      <c r="L19" s="54">
        <v>32.32</v>
      </c>
      <c r="M19" s="54">
        <v>49.31</v>
      </c>
      <c r="N19" s="54">
        <v>304.89999999999998</v>
      </c>
      <c r="O19" s="54">
        <v>0</v>
      </c>
      <c r="P19" s="54">
        <v>0.81</v>
      </c>
      <c r="Q19" s="54">
        <v>12.77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13.18</v>
      </c>
      <c r="C20" s="54">
        <v>32.39</v>
      </c>
      <c r="D20" s="54">
        <v>45.57</v>
      </c>
      <c r="E20" s="54">
        <v>4.42</v>
      </c>
      <c r="F20" s="54">
        <v>10.64</v>
      </c>
      <c r="G20" s="54">
        <v>119.23</v>
      </c>
      <c r="H20" s="54">
        <v>27.13</v>
      </c>
      <c r="I20" s="54">
        <v>0.12</v>
      </c>
      <c r="J20" s="54">
        <v>0.80</v>
      </c>
      <c r="K20" s="54">
        <v>334.83</v>
      </c>
      <c r="L20" s="54">
        <v>32.22</v>
      </c>
      <c r="M20" s="54">
        <v>50.12</v>
      </c>
      <c r="N20" s="54">
        <v>918</v>
      </c>
      <c r="O20" s="54">
        <v>0</v>
      </c>
      <c r="P20" s="54">
        <v>0.72</v>
      </c>
      <c r="Q20" s="54">
        <v>12.19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5.91</v>
      </c>
      <c r="C21" s="54">
        <v>31.72</v>
      </c>
      <c r="D21" s="54">
        <v>22.57</v>
      </c>
      <c r="E21" s="54">
        <v>5.41</v>
      </c>
      <c r="F21" s="54">
        <v>11.06</v>
      </c>
      <c r="G21" s="54">
        <v>129.5</v>
      </c>
      <c r="H21" s="54">
        <v>27.13</v>
      </c>
      <c r="I21" s="54">
        <v>0.11</v>
      </c>
      <c r="J21" s="54">
        <v>0.88</v>
      </c>
      <c r="K21" s="54">
        <v>337.24</v>
      </c>
      <c r="L21" s="54">
        <v>32.18</v>
      </c>
      <c r="M21" s="54">
        <v>49.85</v>
      </c>
      <c r="N21" s="54">
        <v>871.5</v>
      </c>
      <c r="O21" s="54">
        <v>0</v>
      </c>
      <c r="P21" s="54">
        <v>0.45</v>
      </c>
      <c r="Q21" s="54">
        <v>12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6.5</v>
      </c>
      <c r="C22" s="54">
        <v>21.64</v>
      </c>
      <c r="D22" s="54">
        <v>18.45</v>
      </c>
      <c r="E22" s="54">
        <v>6.60</v>
      </c>
      <c r="F22" s="54">
        <v>4.45</v>
      </c>
      <c r="G22" s="54">
        <v>132.97</v>
      </c>
      <c r="H22" s="54">
        <v>31.04</v>
      </c>
      <c r="I22" s="54">
        <v>0.11</v>
      </c>
      <c r="J22" s="54">
        <v>0.46</v>
      </c>
      <c r="K22" s="54">
        <v>347.77</v>
      </c>
      <c r="L22" s="54">
        <v>31.64</v>
      </c>
      <c r="M22" s="54">
        <v>54.10</v>
      </c>
      <c r="N22" s="54">
        <v>793.60</v>
      </c>
      <c r="O22" s="54">
        <v>0</v>
      </c>
      <c r="P22" s="54">
        <v>0.40</v>
      </c>
      <c r="Q22" s="54">
        <v>11.79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5.21</v>
      </c>
      <c r="C23" s="54">
        <v>16.489999999999998</v>
      </c>
      <c r="D23" s="54">
        <v>14.57</v>
      </c>
      <c r="E23" s="54">
        <v>5.45</v>
      </c>
      <c r="F23" s="54">
        <v>4.34</v>
      </c>
      <c r="G23" s="54">
        <v>132.97</v>
      </c>
      <c r="H23" s="54">
        <v>31.30</v>
      </c>
      <c r="I23" s="54">
        <v>0.11</v>
      </c>
      <c r="J23" s="54">
        <v>0.64</v>
      </c>
      <c r="K23" s="54">
        <v>330.92</v>
      </c>
      <c r="L23" s="54">
        <v>31.07</v>
      </c>
      <c r="M23" s="54">
        <v>54.95</v>
      </c>
      <c r="N23" s="54">
        <v>607.20000000000005</v>
      </c>
      <c r="O23" s="54">
        <v>0</v>
      </c>
      <c r="P23" s="54">
        <v>0.35</v>
      </c>
      <c r="Q23" s="54">
        <v>9.2100000000000009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7.03</v>
      </c>
      <c r="C24" s="54">
        <v>25.05</v>
      </c>
      <c r="D24" s="54">
        <v>20.47</v>
      </c>
      <c r="E24" s="54">
        <v>5.37</v>
      </c>
      <c r="F24" s="54">
        <v>5.70</v>
      </c>
      <c r="G24" s="54">
        <v>110.12</v>
      </c>
      <c r="H24" s="54">
        <v>31.30</v>
      </c>
      <c r="I24" s="54">
        <v>0.12</v>
      </c>
      <c r="J24" s="54">
        <v>0.45</v>
      </c>
      <c r="K24" s="54">
        <v>359.07</v>
      </c>
      <c r="L24" s="54">
        <v>30.19</v>
      </c>
      <c r="M24" s="54">
        <v>52.09</v>
      </c>
      <c r="N24" s="54">
        <v>245.90</v>
      </c>
      <c r="O24" s="54">
        <v>0</v>
      </c>
      <c r="P24" s="54">
        <v>0.35</v>
      </c>
      <c r="Q24" s="54">
        <v>11.70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7.81</v>
      </c>
      <c r="C25" s="54">
        <v>17.71</v>
      </c>
      <c r="D25" s="54">
        <v>17.309999999999999</v>
      </c>
      <c r="E25" s="54">
        <v>5.0599999999999996</v>
      </c>
      <c r="F25" s="54">
        <v>5.90</v>
      </c>
      <c r="G25" s="54">
        <v>135.16999999999999</v>
      </c>
      <c r="H25" s="54">
        <v>33.049999999999997</v>
      </c>
      <c r="I25" s="54">
        <v>0.13</v>
      </c>
      <c r="J25" s="54">
        <v>0.38</v>
      </c>
      <c r="K25" s="54">
        <v>328</v>
      </c>
      <c r="L25" s="54">
        <v>29.21</v>
      </c>
      <c r="M25" s="54">
        <v>56.72</v>
      </c>
      <c r="N25" s="54">
        <v>136.69999999999999</v>
      </c>
      <c r="O25" s="54">
        <v>0</v>
      </c>
      <c r="P25" s="54">
        <v>0.35</v>
      </c>
      <c r="Q25" s="54">
        <v>11.87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7.08</v>
      </c>
      <c r="C26" s="54">
        <v>21.08</v>
      </c>
      <c r="D26" s="54">
        <v>18.600000000000001</v>
      </c>
      <c r="E26" s="54">
        <v>4.83</v>
      </c>
      <c r="F26" s="54">
        <v>4.99</v>
      </c>
      <c r="G26" s="54">
        <v>135.16999999999999</v>
      </c>
      <c r="H26" s="54">
        <v>33.049999999999997</v>
      </c>
      <c r="I26" s="54">
        <v>0.11</v>
      </c>
      <c r="J26" s="54">
        <v>0.24</v>
      </c>
      <c r="K26" s="54">
        <v>27.03</v>
      </c>
      <c r="L26" s="54">
        <v>27.77</v>
      </c>
      <c r="M26" s="54">
        <v>60.09</v>
      </c>
      <c r="N26" s="54">
        <v>62.10</v>
      </c>
      <c r="O26" s="54">
        <v>0</v>
      </c>
      <c r="P26" s="54">
        <v>0.42</v>
      </c>
      <c r="Q26" s="54">
        <v>10.69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10.050000000000001</v>
      </c>
      <c r="C27" s="54">
        <v>29.14</v>
      </c>
      <c r="D27" s="54">
        <v>25.04</v>
      </c>
      <c r="E27" s="54">
        <v>5.48</v>
      </c>
      <c r="F27" s="54">
        <v>11.27</v>
      </c>
      <c r="G27" s="54">
        <v>126.29</v>
      </c>
      <c r="H27" s="54">
        <v>32.590000000000003</v>
      </c>
      <c r="I27" s="54">
        <v>0.11</v>
      </c>
      <c r="J27" s="54">
        <v>0.21</v>
      </c>
      <c r="K27" s="54">
        <v>38.22</v>
      </c>
      <c r="L27" s="54">
        <v>26.92</v>
      </c>
      <c r="M27" s="54">
        <v>66.650000000000006</v>
      </c>
      <c r="N27" s="54">
        <v>12.90</v>
      </c>
      <c r="O27" s="54">
        <v>0</v>
      </c>
      <c r="P27" s="54">
        <v>0.69</v>
      </c>
      <c r="Q27" s="54">
        <v>11.73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12.33</v>
      </c>
      <c r="C28" s="54">
        <v>34.229999999999997</v>
      </c>
      <c r="D28" s="54">
        <v>30.07</v>
      </c>
      <c r="E28" s="54">
        <v>5.87</v>
      </c>
      <c r="F28" s="54">
        <v>9.7799999999999994</v>
      </c>
      <c r="G28" s="54">
        <v>125.71</v>
      </c>
      <c r="H28" s="54">
        <v>31.70</v>
      </c>
      <c r="I28" s="54">
        <v>0.11</v>
      </c>
      <c r="J28" s="54">
        <v>0.14000000000000001</v>
      </c>
      <c r="K28" s="54">
        <v>32.36</v>
      </c>
      <c r="L28" s="54">
        <v>26.27</v>
      </c>
      <c r="M28" s="54">
        <v>74.22</v>
      </c>
      <c r="N28" s="54">
        <v>6.80</v>
      </c>
      <c r="O28" s="54">
        <v>0</v>
      </c>
      <c r="P28" s="54">
        <v>0.81</v>
      </c>
      <c r="Q28" s="54">
        <v>12.40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9.2899999999999991</v>
      </c>
      <c r="C29" s="54">
        <v>20.329999999999998</v>
      </c>
      <c r="D29" s="54">
        <v>19.96</v>
      </c>
      <c r="E29" s="54">
        <v>4.47</v>
      </c>
      <c r="F29" s="54">
        <v>2.2799999999999998</v>
      </c>
      <c r="G29" s="54">
        <v>128.57</v>
      </c>
      <c r="H29" s="54">
        <v>33.869999999999997</v>
      </c>
      <c r="I29" s="54">
        <v>0.12</v>
      </c>
      <c r="J29" s="54">
        <v>0.25</v>
      </c>
      <c r="K29" s="54">
        <v>42.85</v>
      </c>
      <c r="L29" s="54">
        <v>25.70</v>
      </c>
      <c r="M29" s="54">
        <v>75.38</v>
      </c>
      <c r="N29" s="54">
        <v>6.70</v>
      </c>
      <c r="O29" s="54">
        <v>0</v>
      </c>
      <c r="P29" s="54">
        <v>0.67</v>
      </c>
      <c r="Q29" s="54">
        <v>12.29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6.78</v>
      </c>
      <c r="C30" s="54">
        <v>22.95</v>
      </c>
      <c r="D30" s="54">
        <v>19.39</v>
      </c>
      <c r="E30" s="54">
        <v>4.7300000000000004</v>
      </c>
      <c r="F30" s="54">
        <v>8.4499999999999993</v>
      </c>
      <c r="G30" s="54">
        <v>128.57</v>
      </c>
      <c r="H30" s="54">
        <v>33.869999999999997</v>
      </c>
      <c r="I30" s="54">
        <v>0.12</v>
      </c>
      <c r="J30" s="54">
        <v>0.22</v>
      </c>
      <c r="K30" s="54">
        <v>29.80</v>
      </c>
      <c r="L30" s="54">
        <v>25.24</v>
      </c>
      <c r="M30" s="54">
        <v>80.849999999999994</v>
      </c>
      <c r="N30" s="54">
        <v>6.70</v>
      </c>
      <c r="O30" s="54">
        <v>0</v>
      </c>
      <c r="P30" s="54">
        <v>0.60</v>
      </c>
      <c r="Q30" s="54">
        <v>13.11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7.24</v>
      </c>
      <c r="C31" s="54">
        <v>21.66</v>
      </c>
      <c r="D31" s="54">
        <v>19.05</v>
      </c>
      <c r="E31" s="54">
        <v>4.29</v>
      </c>
      <c r="F31" s="54">
        <v>7.64</v>
      </c>
      <c r="G31" s="54">
        <v>122.89</v>
      </c>
      <c r="H31" s="54">
        <v>32.47</v>
      </c>
      <c r="I31" s="54">
        <v>0.12</v>
      </c>
      <c r="J31" s="54">
        <v>0.24</v>
      </c>
      <c r="K31" s="54">
        <v>32.74</v>
      </c>
      <c r="L31" s="54">
        <v>24.76</v>
      </c>
      <c r="M31" s="54">
        <v>83.10</v>
      </c>
      <c r="N31" s="54">
        <v>6.70</v>
      </c>
      <c r="O31" s="54">
        <v>0</v>
      </c>
      <c r="P31" s="54">
        <v>0.57999999999999996</v>
      </c>
      <c r="Q31" s="54">
        <v>13.27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4.87</v>
      </c>
      <c r="C32" s="54">
        <v>13.09</v>
      </c>
      <c r="D32" s="54">
        <v>12.42</v>
      </c>
      <c r="E32" s="54">
        <v>4.9000000000000004</v>
      </c>
      <c r="F32" s="54">
        <v>2.21</v>
      </c>
      <c r="G32" s="54">
        <v>111.88</v>
      </c>
      <c r="H32" s="54">
        <v>32.47</v>
      </c>
      <c r="I32" s="54">
        <v>0.12</v>
      </c>
      <c r="J32" s="54">
        <v>0.28999999999999998</v>
      </c>
      <c r="K32" s="54">
        <v>35.29</v>
      </c>
      <c r="L32" s="54">
        <v>24.31</v>
      </c>
      <c r="M32" s="54">
        <v>84.68</v>
      </c>
      <c r="N32" s="54">
        <v>6.60</v>
      </c>
      <c r="O32" s="54">
        <v>0</v>
      </c>
      <c r="P32" s="54">
        <v>0.51</v>
      </c>
      <c r="Q32" s="54">
        <v>12.67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4.3099999999999996</v>
      </c>
      <c r="C34" s="28">
        <f t="shared" si="0"/>
        <v>9.8800000000000008</v>
      </c>
      <c r="D34" s="28">
        <f t="shared" si="0"/>
        <v>12.42</v>
      </c>
      <c r="E34" s="28">
        <f t="shared" si="0"/>
        <v>3.9500000000000002</v>
      </c>
      <c r="F34" s="28">
        <f t="shared" si="0"/>
        <v>1.0700000000000001</v>
      </c>
      <c r="G34" s="28">
        <f t="shared" si="0"/>
        <v>18.84</v>
      </c>
      <c r="H34" s="28">
        <f t="shared" si="0"/>
        <v>11.09</v>
      </c>
      <c r="I34" s="28">
        <f t="shared" si="0"/>
        <v>0.11</v>
      </c>
      <c r="J34" s="28">
        <f t="shared" si="0"/>
        <v>0.13</v>
      </c>
      <c r="K34" s="28">
        <f t="shared" si="0"/>
        <v>20.43</v>
      </c>
      <c r="L34" s="28">
        <f t="shared" si="0"/>
        <v>22.489999999999998</v>
      </c>
      <c r="M34" s="28">
        <f t="shared" si="0"/>
        <v>49.310000000000002</v>
      </c>
      <c r="N34" s="28">
        <f t="shared" si="0"/>
        <v>6.5999999999999996</v>
      </c>
      <c r="O34" s="28">
        <f t="shared" si="0"/>
        <v>0</v>
      </c>
      <c r="P34" s="28">
        <f t="shared" si="0"/>
        <v>0.34999999999999998</v>
      </c>
      <c r="Q34" s="28">
        <f t="shared" si="0"/>
        <v>9.2100000000000009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20.690000000000001</v>
      </c>
      <c r="C35" s="29">
        <f t="shared" si="1"/>
        <v>34.530000000000001</v>
      </c>
      <c r="D35" s="29">
        <f t="shared" si="1"/>
        <v>51.509999999999998</v>
      </c>
      <c r="E35" s="29">
        <f t="shared" si="1"/>
        <v>6.5999999999999996</v>
      </c>
      <c r="F35" s="29">
        <f t="shared" si="1"/>
        <v>11.27</v>
      </c>
      <c r="G35" s="29">
        <f t="shared" si="1"/>
        <v>135.16999999999999</v>
      </c>
      <c r="H35" s="29">
        <f t="shared" si="1"/>
        <v>33.869999999999997</v>
      </c>
      <c r="I35" s="29">
        <f t="shared" si="1"/>
        <v>0.13</v>
      </c>
      <c r="J35" s="29">
        <f t="shared" si="1"/>
        <v>1.22</v>
      </c>
      <c r="K35" s="29">
        <f t="shared" si="1"/>
        <v>359.06999999999999</v>
      </c>
      <c r="L35" s="29">
        <f t="shared" si="1"/>
        <v>32.329999999999998</v>
      </c>
      <c r="M35" s="29">
        <f t="shared" si="1"/>
        <v>98.159999999999997</v>
      </c>
      <c r="N35" s="29">
        <f t="shared" si="1"/>
        <v>918</v>
      </c>
      <c r="O35" s="29">
        <f t="shared" si="1"/>
        <v>0</v>
      </c>
      <c r="P35" s="29">
        <f t="shared" si="1"/>
        <v>0.81000000000000005</v>
      </c>
      <c r="Q35" s="29">
        <f t="shared" si="1"/>
        <v>13.77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8.5441666666666691</v>
      </c>
      <c r="C36" s="28">
        <f t="shared" si="2"/>
        <v>20.145833333333332</v>
      </c>
      <c r="D36" s="28">
        <f t="shared" si="2"/>
        <v>23.211666666666662</v>
      </c>
      <c r="E36" s="28">
        <f t="shared" si="2"/>
        <v>4.9633333333333347</v>
      </c>
      <c r="F36" s="28">
        <f t="shared" si="2"/>
        <v>4.9874999999999998</v>
      </c>
      <c r="G36" s="28">
        <f t="shared" si="2"/>
        <v>94.751666666666665</v>
      </c>
      <c r="H36" s="28">
        <f t="shared" si="2"/>
        <v>24.943333333333332</v>
      </c>
      <c r="I36" s="28">
        <f t="shared" si="2"/>
        <v>0.11875000000000002</v>
      </c>
      <c r="J36" s="28">
        <f t="shared" si="2"/>
        <v>0.40125000000000005</v>
      </c>
      <c r="K36" s="28">
        <f t="shared" si="2"/>
        <v>186.16875000000002</v>
      </c>
      <c r="L36" s="28">
        <f t="shared" si="2"/>
        <v>27.088749999999994</v>
      </c>
      <c r="M36" s="28">
        <f t="shared" si="2"/>
        <v>73.372916666666654</v>
      </c>
      <c r="N36" s="28">
        <f t="shared" si="2"/>
        <v>237.96666666666661</v>
      </c>
      <c r="O36" s="28">
        <f t="shared" si="2"/>
        <v>0</v>
      </c>
      <c r="P36" s="28">
        <f t="shared" si="2"/>
        <v>0.51458333333333328</v>
      </c>
      <c r="Q36" s="28">
        <f t="shared" si="2"/>
        <v>11.835416666666665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3.9594915315486898</v>
      </c>
      <c r="C37" s="28">
        <f t="shared" si="3" ref="C37:Q37">STDEV(C9:C32)</f>
        <v>7.6000548720368526</v>
      </c>
      <c r="D37" s="28">
        <f t="shared" si="3"/>
        <v>9.503376364158207</v>
      </c>
      <c r="E37" s="28">
        <f t="shared" si="3"/>
        <v>0.59716479894701746</v>
      </c>
      <c r="F37" s="28">
        <f t="shared" si="3"/>
        <v>3.1810351746890033</v>
      </c>
      <c r="G37" s="28">
        <f t="shared" si="3"/>
        <v>41.021628406262082</v>
      </c>
      <c r="H37" s="28">
        <f t="shared" si="3"/>
        <v>8.1411240900305284</v>
      </c>
      <c r="I37" s="28">
        <f t="shared" si="3"/>
        <v>0.0061237243569579446</v>
      </c>
      <c r="J37" s="28">
        <f t="shared" si="3"/>
        <v>0.29687228259625892</v>
      </c>
      <c r="K37" s="28">
        <f t="shared" si="3"/>
        <v>158.22908245057914</v>
      </c>
      <c r="L37" s="28">
        <f t="shared" si="3"/>
        <v>3.5703602454947041</v>
      </c>
      <c r="M37" s="28">
        <f t="shared" si="3"/>
        <v>18.006671584664819</v>
      </c>
      <c r="N37" s="28">
        <f t="shared" si="3"/>
        <v>312.56300883622441</v>
      </c>
      <c r="O37" s="28">
        <f t="shared" si="3"/>
        <v>0</v>
      </c>
      <c r="P37" s="28">
        <f t="shared" si="3"/>
        <v>0.14068092688209716</v>
      </c>
      <c r="Q37" s="28">
        <f t="shared" si="3"/>
        <v>1.2401647126461952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2fed9c-11de-4139-95ae-9727b817432e}">
  <sheetPr codeName=""/>
  <dimension ref="A1:U119"/>
  <sheetViews>
    <sheetView workbookViewId="0" topLeftCell="A1">
      <selection pane="topLeft" activeCell="H70" sqref="H7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3.59</v>
      </c>
      <c r="C9" s="54">
        <v>11.97</v>
      </c>
      <c r="D9" s="54">
        <v>10.76</v>
      </c>
      <c r="E9" s="54">
        <v>6.07</v>
      </c>
      <c r="F9" s="54">
        <v>5.93</v>
      </c>
      <c r="G9" s="54">
        <v>108.58</v>
      </c>
      <c r="H9" s="54">
        <v>31.02</v>
      </c>
      <c r="I9" s="54">
        <v>0.12</v>
      </c>
      <c r="J9" s="54">
        <v>0.22</v>
      </c>
      <c r="K9" s="54">
        <v>32.17</v>
      </c>
      <c r="L9" s="54">
        <v>23.94</v>
      </c>
      <c r="M9" s="54">
        <v>86.67</v>
      </c>
      <c r="N9" s="54">
        <v>6.60</v>
      </c>
      <c r="O9" s="54">
        <v>0</v>
      </c>
      <c r="P9" s="54">
        <v>0.42</v>
      </c>
      <c r="Q9" s="54">
        <v>12.56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3.57</v>
      </c>
      <c r="C10" s="54">
        <v>10</v>
      </c>
      <c r="D10" s="54">
        <v>9.67</v>
      </c>
      <c r="E10" s="54">
        <v>6.05</v>
      </c>
      <c r="F10" s="54">
        <v>4.79</v>
      </c>
      <c r="G10" s="54">
        <v>106.64</v>
      </c>
      <c r="H10" s="54">
        <v>29.87</v>
      </c>
      <c r="I10" s="54">
        <v>0.12</v>
      </c>
      <c r="J10" s="54">
        <v>0.23</v>
      </c>
      <c r="K10" s="54">
        <v>27.75</v>
      </c>
      <c r="L10" s="54">
        <v>23.58</v>
      </c>
      <c r="M10" s="54">
        <v>87.19</v>
      </c>
      <c r="N10" s="54">
        <v>6.70</v>
      </c>
      <c r="O10" s="54">
        <v>0</v>
      </c>
      <c r="P10" s="54">
        <v>0.36</v>
      </c>
      <c r="Q10" s="54">
        <v>12.38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3.49</v>
      </c>
      <c r="C11" s="54">
        <v>9.4700000000000006</v>
      </c>
      <c r="D11" s="54">
        <v>9.32</v>
      </c>
      <c r="E11" s="54">
        <v>5.95</v>
      </c>
      <c r="F11" s="54">
        <v>3.66</v>
      </c>
      <c r="G11" s="54">
        <v>92.11</v>
      </c>
      <c r="H11" s="54">
        <v>27.65</v>
      </c>
      <c r="I11" s="54">
        <v>0.13</v>
      </c>
      <c r="J11" s="54">
        <v>0.22</v>
      </c>
      <c r="K11" s="54">
        <v>30.13</v>
      </c>
      <c r="L11" s="54">
        <v>23.32</v>
      </c>
      <c r="M11" s="54">
        <v>89.63</v>
      </c>
      <c r="N11" s="54">
        <v>6.60</v>
      </c>
      <c r="O11" s="54">
        <v>0</v>
      </c>
      <c r="P11" s="54">
        <v>0.33</v>
      </c>
      <c r="Q11" s="54">
        <v>10.29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4.2300000000000004</v>
      </c>
      <c r="C12" s="54">
        <v>11.95</v>
      </c>
      <c r="D12" s="54">
        <v>11.05</v>
      </c>
      <c r="E12" s="54">
        <v>6.10</v>
      </c>
      <c r="F12" s="54">
        <v>6.62</v>
      </c>
      <c r="G12" s="54">
        <v>90.33</v>
      </c>
      <c r="H12" s="54">
        <v>27.65</v>
      </c>
      <c r="I12" s="54">
        <v>0.12</v>
      </c>
      <c r="J12" s="54">
        <v>0.22</v>
      </c>
      <c r="K12" s="54">
        <v>347.26</v>
      </c>
      <c r="L12" s="54">
        <v>22.95</v>
      </c>
      <c r="M12" s="54">
        <v>90.32</v>
      </c>
      <c r="N12" s="54">
        <v>6.5</v>
      </c>
      <c r="O12" s="54">
        <v>0</v>
      </c>
      <c r="P12" s="54">
        <v>0.36</v>
      </c>
      <c r="Q12" s="54">
        <v>12.67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4.51</v>
      </c>
      <c r="C13" s="54">
        <v>11.14</v>
      </c>
      <c r="D13" s="54">
        <v>11.05</v>
      </c>
      <c r="E13" s="54">
        <v>4.4800000000000004</v>
      </c>
      <c r="F13" s="54">
        <v>3.23</v>
      </c>
      <c r="G13" s="54">
        <v>92.20</v>
      </c>
      <c r="H13" s="54">
        <v>27.57</v>
      </c>
      <c r="I13" s="54">
        <v>0.12</v>
      </c>
      <c r="J13" s="54">
        <v>0.26</v>
      </c>
      <c r="K13" s="54">
        <v>350.20</v>
      </c>
      <c r="L13" s="54">
        <v>22.94</v>
      </c>
      <c r="M13" s="54">
        <v>92.05</v>
      </c>
      <c r="N13" s="54">
        <v>6.5</v>
      </c>
      <c r="O13" s="54">
        <v>0</v>
      </c>
      <c r="P13" s="54">
        <v>0.36</v>
      </c>
      <c r="Q13" s="54">
        <v>12.61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7.68</v>
      </c>
      <c r="C14" s="54">
        <v>19.13</v>
      </c>
      <c r="D14" s="54">
        <v>18.010000000000002</v>
      </c>
      <c r="E14" s="54">
        <v>4.3499999999999996</v>
      </c>
      <c r="F14" s="54">
        <v>2.87</v>
      </c>
      <c r="G14" s="54">
        <v>92.20</v>
      </c>
      <c r="H14" s="54">
        <v>28.20</v>
      </c>
      <c r="I14" s="54">
        <v>0.13</v>
      </c>
      <c r="J14" s="54">
        <v>0.14000000000000001</v>
      </c>
      <c r="K14" s="54">
        <v>347.64</v>
      </c>
      <c r="L14" s="54">
        <v>22.53</v>
      </c>
      <c r="M14" s="54">
        <v>94.74</v>
      </c>
      <c r="N14" s="54">
        <v>22.5</v>
      </c>
      <c r="O14" s="54">
        <v>0</v>
      </c>
      <c r="P14" s="54">
        <v>0.47</v>
      </c>
      <c r="Q14" s="54">
        <v>11.11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14.88</v>
      </c>
      <c r="C15" s="54">
        <v>24.71</v>
      </c>
      <c r="D15" s="54">
        <v>25.27</v>
      </c>
      <c r="E15" s="54">
        <v>4.88</v>
      </c>
      <c r="F15" s="54">
        <v>4.1399999999999997</v>
      </c>
      <c r="G15" s="54">
        <v>93.77</v>
      </c>
      <c r="H15" s="54">
        <v>28.20</v>
      </c>
      <c r="I15" s="54">
        <v>0.12</v>
      </c>
      <c r="J15" s="54">
        <v>0.40</v>
      </c>
      <c r="K15" s="54">
        <v>329.99</v>
      </c>
      <c r="L15" s="54">
        <v>24.81</v>
      </c>
      <c r="M15" s="54">
        <v>93.19</v>
      </c>
      <c r="N15" s="54">
        <v>148.69999999999999</v>
      </c>
      <c r="O15" s="54">
        <v>0</v>
      </c>
      <c r="P15" s="54">
        <v>0.51</v>
      </c>
      <c r="Q15" s="54">
        <v>13.95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13.46</v>
      </c>
      <c r="C16" s="54">
        <v>13.76</v>
      </c>
      <c r="D16" s="54">
        <v>19.68</v>
      </c>
      <c r="E16" s="54">
        <v>4.76</v>
      </c>
      <c r="F16" s="54">
        <v>1.37</v>
      </c>
      <c r="G16" s="54">
        <v>97.11</v>
      </c>
      <c r="H16" s="54">
        <v>25.65</v>
      </c>
      <c r="I16" s="54">
        <v>0.12</v>
      </c>
      <c r="J16" s="54">
        <v>0.52</v>
      </c>
      <c r="K16" s="54">
        <v>337.70</v>
      </c>
      <c r="L16" s="54">
        <v>29.45</v>
      </c>
      <c r="M16" s="54">
        <v>75.33</v>
      </c>
      <c r="N16" s="54">
        <v>365</v>
      </c>
      <c r="O16" s="54">
        <v>0</v>
      </c>
      <c r="P16" s="54">
        <v>0.46</v>
      </c>
      <c r="Q16" s="54">
        <v>14.05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14.03</v>
      </c>
      <c r="C17" s="54">
        <v>16.940000000000001</v>
      </c>
      <c r="D17" s="54">
        <v>21.60</v>
      </c>
      <c r="E17" s="54">
        <v>2.52</v>
      </c>
      <c r="F17" s="54">
        <v>1.95</v>
      </c>
      <c r="G17" s="54">
        <v>100.20</v>
      </c>
      <c r="H17" s="54">
        <v>25.13</v>
      </c>
      <c r="I17" s="54">
        <v>0.12</v>
      </c>
      <c r="J17" s="54">
        <v>1.28</v>
      </c>
      <c r="K17" s="54">
        <v>327.61</v>
      </c>
      <c r="L17" s="54">
        <v>31.36</v>
      </c>
      <c r="M17" s="54">
        <v>56.17</v>
      </c>
      <c r="N17" s="54">
        <v>585</v>
      </c>
      <c r="O17" s="54">
        <v>0</v>
      </c>
      <c r="P17" s="54">
        <v>0.48</v>
      </c>
      <c r="Q17" s="54">
        <v>13.62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12.83</v>
      </c>
      <c r="C18" s="54">
        <v>21.16</v>
      </c>
      <c r="D18" s="54">
        <v>22.64</v>
      </c>
      <c r="E18" s="54">
        <v>2.96</v>
      </c>
      <c r="F18" s="54">
        <v>4.0999999999999996</v>
      </c>
      <c r="G18" s="54">
        <v>102.12</v>
      </c>
      <c r="H18" s="54">
        <v>24.74</v>
      </c>
      <c r="I18" s="54">
        <v>0.13</v>
      </c>
      <c r="J18" s="54">
        <v>1.71</v>
      </c>
      <c r="K18" s="54">
        <v>337.08</v>
      </c>
      <c r="L18" s="54">
        <v>32.53</v>
      </c>
      <c r="M18" s="54">
        <v>49.02</v>
      </c>
      <c r="N18" s="54">
        <v>754.20</v>
      </c>
      <c r="O18" s="54">
        <v>0</v>
      </c>
      <c r="P18" s="54">
        <v>0.5</v>
      </c>
      <c r="Q18" s="54">
        <v>13.77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10.06</v>
      </c>
      <c r="C19" s="54">
        <v>17.77</v>
      </c>
      <c r="D19" s="54">
        <v>18.88</v>
      </c>
      <c r="E19" s="54">
        <v>3.35</v>
      </c>
      <c r="F19" s="54">
        <v>3.83</v>
      </c>
      <c r="G19" s="54">
        <v>102.12</v>
      </c>
      <c r="H19" s="54">
        <v>24.74</v>
      </c>
      <c r="I19" s="54">
        <v>0.12</v>
      </c>
      <c r="J19" s="54">
        <v>1.19</v>
      </c>
      <c r="K19" s="54">
        <v>332.78</v>
      </c>
      <c r="L19" s="54">
        <v>33.79</v>
      </c>
      <c r="M19" s="54">
        <v>45.12</v>
      </c>
      <c r="N19" s="54">
        <v>806.30</v>
      </c>
      <c r="O19" s="54">
        <v>0</v>
      </c>
      <c r="P19" s="54">
        <v>0.55000000000000004</v>
      </c>
      <c r="Q19" s="54">
        <v>13.14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9.02</v>
      </c>
      <c r="C20" s="54">
        <v>21.75</v>
      </c>
      <c r="D20" s="54">
        <v>20.53</v>
      </c>
      <c r="E20" s="54">
        <v>4.1900000000000004</v>
      </c>
      <c r="F20" s="54">
        <v>3.65</v>
      </c>
      <c r="G20" s="54">
        <v>98.72</v>
      </c>
      <c r="H20" s="54">
        <v>22.37</v>
      </c>
      <c r="I20" s="54">
        <v>0.13</v>
      </c>
      <c r="J20" s="54">
        <v>0.91</v>
      </c>
      <c r="K20" s="54">
        <v>340.85</v>
      </c>
      <c r="L20" s="54">
        <v>33.97</v>
      </c>
      <c r="M20" s="54">
        <v>50</v>
      </c>
      <c r="N20" s="54">
        <v>884.10</v>
      </c>
      <c r="O20" s="54">
        <v>0</v>
      </c>
      <c r="P20" s="54">
        <v>0.56000000000000005</v>
      </c>
      <c r="Q20" s="54">
        <v>13.10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8.24</v>
      </c>
      <c r="C21" s="54">
        <v>19.13</v>
      </c>
      <c r="D21" s="54">
        <v>18.46</v>
      </c>
      <c r="E21" s="54">
        <v>5.48</v>
      </c>
      <c r="F21" s="54">
        <v>5.84</v>
      </c>
      <c r="G21" s="54">
        <v>98.72</v>
      </c>
      <c r="H21" s="54">
        <v>20.13</v>
      </c>
      <c r="I21" s="54">
        <v>0.12</v>
      </c>
      <c r="J21" s="54">
        <v>0.61</v>
      </c>
      <c r="K21" s="54">
        <v>336.69</v>
      </c>
      <c r="L21" s="54">
        <v>32.58</v>
      </c>
      <c r="M21" s="54">
        <v>49.26</v>
      </c>
      <c r="N21" s="54">
        <v>828.5</v>
      </c>
      <c r="O21" s="54">
        <v>0</v>
      </c>
      <c r="P21" s="54">
        <v>0.54</v>
      </c>
      <c r="Q21" s="54">
        <v>13.35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7.80</v>
      </c>
      <c r="C22" s="54">
        <v>19.02</v>
      </c>
      <c r="D22" s="54">
        <v>18.05</v>
      </c>
      <c r="E22" s="54">
        <v>5.07</v>
      </c>
      <c r="F22" s="54">
        <v>3.98</v>
      </c>
      <c r="G22" s="54">
        <v>95.98</v>
      </c>
      <c r="H22" s="54">
        <v>18.87</v>
      </c>
      <c r="I22" s="54">
        <v>0.12</v>
      </c>
      <c r="J22" s="54">
        <v>0.56999999999999995</v>
      </c>
      <c r="K22" s="54">
        <v>342.04</v>
      </c>
      <c r="L22" s="54">
        <v>31.46</v>
      </c>
      <c r="M22" s="54">
        <v>50.51</v>
      </c>
      <c r="N22" s="54">
        <v>705</v>
      </c>
      <c r="O22" s="54">
        <v>0</v>
      </c>
      <c r="P22" s="54">
        <v>0.53</v>
      </c>
      <c r="Q22" s="54">
        <v>12.60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9.9600000000000009</v>
      </c>
      <c r="C23" s="54">
        <v>19.66</v>
      </c>
      <c r="D23" s="54">
        <v>19.190000000000001</v>
      </c>
      <c r="E23" s="54">
        <v>5.15</v>
      </c>
      <c r="F23" s="54">
        <v>5.07</v>
      </c>
      <c r="G23" s="54">
        <v>95.98</v>
      </c>
      <c r="H23" s="54">
        <v>20.350000000000001</v>
      </c>
      <c r="I23" s="54">
        <v>0.12</v>
      </c>
      <c r="J23" s="54">
        <v>0.45</v>
      </c>
      <c r="K23" s="54">
        <v>358.38</v>
      </c>
      <c r="L23" s="54">
        <v>30.92</v>
      </c>
      <c r="M23" s="54">
        <v>48.94</v>
      </c>
      <c r="N23" s="54">
        <v>533.90</v>
      </c>
      <c r="O23" s="54">
        <v>0</v>
      </c>
      <c r="P23" s="54">
        <v>0.5</v>
      </c>
      <c r="Q23" s="54">
        <v>11.62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9.35</v>
      </c>
      <c r="C24" s="54">
        <v>20.37</v>
      </c>
      <c r="D24" s="54">
        <v>20.03</v>
      </c>
      <c r="E24" s="54">
        <v>5.14</v>
      </c>
      <c r="F24" s="54">
        <v>5.75</v>
      </c>
      <c r="G24" s="54">
        <v>90.55</v>
      </c>
      <c r="H24" s="54">
        <v>20.350000000000001</v>
      </c>
      <c r="I24" s="54">
        <v>0.12</v>
      </c>
      <c r="J24" s="54">
        <v>0.71</v>
      </c>
      <c r="K24" s="54">
        <v>357.19</v>
      </c>
      <c r="L24" s="54">
        <v>30.60</v>
      </c>
      <c r="M24" s="54">
        <v>52.10</v>
      </c>
      <c r="N24" s="54">
        <v>237.40</v>
      </c>
      <c r="O24" s="54">
        <v>0</v>
      </c>
      <c r="P24" s="54">
        <v>0.5</v>
      </c>
      <c r="Q24" s="54">
        <v>12.49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5.49</v>
      </c>
      <c r="C25" s="54">
        <v>16.11</v>
      </c>
      <c r="D25" s="54">
        <v>14.59</v>
      </c>
      <c r="E25" s="54">
        <v>4.3499999999999996</v>
      </c>
      <c r="F25" s="54">
        <v>2.72</v>
      </c>
      <c r="G25" s="54">
        <v>90.55</v>
      </c>
      <c r="H25" s="54">
        <v>19.86</v>
      </c>
      <c r="I25" s="54">
        <v>0.12</v>
      </c>
      <c r="J25" s="54">
        <v>0.32</v>
      </c>
      <c r="K25" s="54">
        <v>356.03</v>
      </c>
      <c r="L25" s="54">
        <v>29.18</v>
      </c>
      <c r="M25" s="54">
        <v>60.27</v>
      </c>
      <c r="N25" s="54">
        <v>149.60</v>
      </c>
      <c r="O25" s="54">
        <v>0</v>
      </c>
      <c r="P25" s="54">
        <v>0.47</v>
      </c>
      <c r="Q25" s="54">
        <v>11.40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7.74</v>
      </c>
      <c r="C26" s="54">
        <v>21.55</v>
      </c>
      <c r="D26" s="54">
        <v>19.39</v>
      </c>
      <c r="E26" s="54">
        <v>4.34</v>
      </c>
      <c r="F26" s="54">
        <v>4.42</v>
      </c>
      <c r="G26" s="54">
        <v>85.28</v>
      </c>
      <c r="H26" s="54">
        <v>19.86</v>
      </c>
      <c r="I26" s="54">
        <v>0.13</v>
      </c>
      <c r="J26" s="54">
        <v>0.32</v>
      </c>
      <c r="K26" s="54">
        <v>27.81</v>
      </c>
      <c r="L26" s="54">
        <v>27.49</v>
      </c>
      <c r="M26" s="54">
        <v>65.58</v>
      </c>
      <c r="N26" s="54">
        <v>97.90</v>
      </c>
      <c r="O26" s="54">
        <v>0</v>
      </c>
      <c r="P26" s="54">
        <v>0.51</v>
      </c>
      <c r="Q26" s="54">
        <v>12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13.36</v>
      </c>
      <c r="C27" s="54">
        <v>30.29</v>
      </c>
      <c r="D27" s="54">
        <v>28.72</v>
      </c>
      <c r="E27" s="54">
        <v>4.9400000000000004</v>
      </c>
      <c r="F27" s="54">
        <v>9.59</v>
      </c>
      <c r="G27" s="54">
        <v>85.28</v>
      </c>
      <c r="H27" s="54">
        <v>19.149999999999999</v>
      </c>
      <c r="I27" s="54">
        <v>0.12</v>
      </c>
      <c r="J27" s="54">
        <v>0.25</v>
      </c>
      <c r="K27" s="54">
        <v>98.48</v>
      </c>
      <c r="L27" s="54">
        <v>26.29</v>
      </c>
      <c r="M27" s="54">
        <v>73.55</v>
      </c>
      <c r="N27" s="54">
        <v>11.80</v>
      </c>
      <c r="O27" s="54">
        <v>0</v>
      </c>
      <c r="P27" s="54">
        <v>0.72</v>
      </c>
      <c r="Q27" s="54">
        <v>12.76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6.74</v>
      </c>
      <c r="C28" s="54">
        <v>22.31</v>
      </c>
      <c r="D28" s="54">
        <v>18.70</v>
      </c>
      <c r="E28" s="54">
        <v>4.8499999999999996</v>
      </c>
      <c r="F28" s="54">
        <v>8.7200000000000006</v>
      </c>
      <c r="G28" s="54">
        <v>82.97</v>
      </c>
      <c r="H28" s="54">
        <v>19.149999999999999</v>
      </c>
      <c r="I28" s="54">
        <v>0.12</v>
      </c>
      <c r="J28" s="54">
        <v>0.24</v>
      </c>
      <c r="K28" s="54">
        <v>178.96</v>
      </c>
      <c r="L28" s="54">
        <v>25.33</v>
      </c>
      <c r="M28" s="54">
        <v>79.760000000000005</v>
      </c>
      <c r="N28" s="54">
        <v>6.30</v>
      </c>
      <c r="O28" s="54">
        <v>0</v>
      </c>
      <c r="P28" s="54">
        <v>0.5</v>
      </c>
      <c r="Q28" s="54">
        <v>11.83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6.64</v>
      </c>
      <c r="C29" s="54">
        <v>17.55</v>
      </c>
      <c r="D29" s="54">
        <v>16.30</v>
      </c>
      <c r="E29" s="54">
        <v>4.46</v>
      </c>
      <c r="F29" s="54">
        <v>5.20</v>
      </c>
      <c r="G29" s="54">
        <v>75.819999999999993</v>
      </c>
      <c r="H29" s="54">
        <v>16.55</v>
      </c>
      <c r="I29" s="54">
        <v>0.12</v>
      </c>
      <c r="J29" s="54">
        <v>0.78</v>
      </c>
      <c r="K29" s="54">
        <v>355.71</v>
      </c>
      <c r="L29" s="54">
        <v>24.90</v>
      </c>
      <c r="M29" s="54">
        <v>80.849999999999994</v>
      </c>
      <c r="N29" s="54">
        <v>7.20</v>
      </c>
      <c r="O29" s="54">
        <v>0</v>
      </c>
      <c r="P29" s="54">
        <v>0.52</v>
      </c>
      <c r="Q29" s="54">
        <v>11.88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15.73</v>
      </c>
      <c r="C30" s="54">
        <v>33.65</v>
      </c>
      <c r="D30" s="54">
        <v>32.47</v>
      </c>
      <c r="E30" s="54">
        <v>5.5</v>
      </c>
      <c r="F30" s="54">
        <v>14.52</v>
      </c>
      <c r="G30" s="54">
        <v>67.61</v>
      </c>
      <c r="H30" s="54">
        <v>15.14</v>
      </c>
      <c r="I30" s="54">
        <v>0.12</v>
      </c>
      <c r="J30" s="54">
        <v>0.75</v>
      </c>
      <c r="K30" s="54">
        <v>343.60</v>
      </c>
      <c r="L30" s="54">
        <v>23.77</v>
      </c>
      <c r="M30" s="54">
        <v>68.28</v>
      </c>
      <c r="N30" s="54">
        <v>6.80</v>
      </c>
      <c r="O30" s="54">
        <v>0</v>
      </c>
      <c r="P30" s="54">
        <v>0.69</v>
      </c>
      <c r="Q30" s="54">
        <v>12.52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9.94</v>
      </c>
      <c r="C31" s="54">
        <v>18.37</v>
      </c>
      <c r="D31" s="54">
        <v>18.32</v>
      </c>
      <c r="E31" s="54">
        <v>4.6500000000000004</v>
      </c>
      <c r="F31" s="54">
        <v>3.18</v>
      </c>
      <c r="G31" s="54">
        <v>65.61</v>
      </c>
      <c r="H31" s="54">
        <v>14.24</v>
      </c>
      <c r="I31" s="54">
        <v>0.13</v>
      </c>
      <c r="J31" s="54">
        <v>0.63</v>
      </c>
      <c r="K31" s="54">
        <v>339.49</v>
      </c>
      <c r="L31" s="54">
        <v>24.14</v>
      </c>
      <c r="M31" s="54">
        <v>69.78</v>
      </c>
      <c r="N31" s="54">
        <v>6.70</v>
      </c>
      <c r="O31" s="54">
        <v>0</v>
      </c>
      <c r="P31" s="54">
        <v>0.59</v>
      </c>
      <c r="Q31" s="54">
        <v>12.81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9.44</v>
      </c>
      <c r="C32" s="54">
        <v>21.47</v>
      </c>
      <c r="D32" s="54">
        <v>20.49</v>
      </c>
      <c r="E32" s="54">
        <v>4.9800000000000004</v>
      </c>
      <c r="F32" s="54">
        <v>8.35</v>
      </c>
      <c r="G32" s="54">
        <v>65.61</v>
      </c>
      <c r="H32" s="54">
        <v>17.329999999999998</v>
      </c>
      <c r="I32" s="54">
        <v>0.12</v>
      </c>
      <c r="J32" s="54">
        <v>0.35</v>
      </c>
      <c r="K32" s="54">
        <v>347.39</v>
      </c>
      <c r="L32" s="54">
        <v>23.98</v>
      </c>
      <c r="M32" s="54">
        <v>80.010000000000005</v>
      </c>
      <c r="N32" s="54">
        <v>6.60</v>
      </c>
      <c r="O32" s="54">
        <v>0</v>
      </c>
      <c r="P32" s="54">
        <v>0.54</v>
      </c>
      <c r="Q32" s="54">
        <v>13.71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3.4900000000000002</v>
      </c>
      <c r="C34" s="28">
        <f t="shared" si="0"/>
        <v>9.4700000000000006</v>
      </c>
      <c r="D34" s="28">
        <f t="shared" si="0"/>
        <v>9.3200000000000003</v>
      </c>
      <c r="E34" s="28">
        <f t="shared" si="0"/>
        <v>2.52</v>
      </c>
      <c r="F34" s="28">
        <f t="shared" si="0"/>
        <v>1.3700000000000001</v>
      </c>
      <c r="G34" s="28">
        <f t="shared" si="0"/>
        <v>65.609999999999999</v>
      </c>
      <c r="H34" s="28">
        <f t="shared" si="0"/>
        <v>14.24</v>
      </c>
      <c r="I34" s="28">
        <f t="shared" si="0"/>
        <v>0.12</v>
      </c>
      <c r="J34" s="28">
        <f t="shared" si="0"/>
        <v>0.14000000000000001</v>
      </c>
      <c r="K34" s="28">
        <f t="shared" si="0"/>
        <v>27.75</v>
      </c>
      <c r="L34" s="28">
        <f t="shared" si="0"/>
        <v>22.530000000000001</v>
      </c>
      <c r="M34" s="28">
        <f t="shared" si="0"/>
        <v>45.119999999999997</v>
      </c>
      <c r="N34" s="28">
        <f t="shared" si="0"/>
        <v>6.2999999999999998</v>
      </c>
      <c r="O34" s="28">
        <f t="shared" si="0"/>
        <v>0</v>
      </c>
      <c r="P34" s="28">
        <f t="shared" si="0"/>
        <v>0.33000000000000002</v>
      </c>
      <c r="Q34" s="28">
        <f t="shared" si="0"/>
        <v>10.289999999999999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15.73</v>
      </c>
      <c r="C35" s="29">
        <f t="shared" si="1"/>
        <v>33.649999999999999</v>
      </c>
      <c r="D35" s="29">
        <f t="shared" si="1"/>
        <v>32.469999999999999</v>
      </c>
      <c r="E35" s="29">
        <f t="shared" si="1"/>
        <v>6.0999999999999996</v>
      </c>
      <c r="F35" s="29">
        <f t="shared" si="1"/>
        <v>14.52</v>
      </c>
      <c r="G35" s="29">
        <f t="shared" si="1"/>
        <v>108.58</v>
      </c>
      <c r="H35" s="29">
        <f t="shared" si="1"/>
        <v>31.02</v>
      </c>
      <c r="I35" s="29">
        <f t="shared" si="1"/>
        <v>0.13</v>
      </c>
      <c r="J35" s="29">
        <f t="shared" si="1"/>
        <v>1.71</v>
      </c>
      <c r="K35" s="29">
        <f t="shared" si="1"/>
        <v>358.38</v>
      </c>
      <c r="L35" s="29">
        <f t="shared" si="1"/>
        <v>33.969999999999999</v>
      </c>
      <c r="M35" s="29">
        <f t="shared" si="1"/>
        <v>94.739999999999995</v>
      </c>
      <c r="N35" s="29">
        <f t="shared" si="1"/>
        <v>884.10000000000002</v>
      </c>
      <c r="O35" s="29">
        <f t="shared" si="1"/>
        <v>0</v>
      </c>
      <c r="P35" s="29">
        <f t="shared" si="1"/>
        <v>0.71999999999999997</v>
      </c>
      <c r="Q35" s="29">
        <f t="shared" si="1"/>
        <v>14.050000000000001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8.8241666666666667</v>
      </c>
      <c r="C36" s="28">
        <f t="shared" si="2"/>
        <v>18.717916666666667</v>
      </c>
      <c r="D36" s="28">
        <f t="shared" si="2"/>
        <v>18.465416666666666</v>
      </c>
      <c r="E36" s="28">
        <f t="shared" si="2"/>
        <v>4.7737500000000006</v>
      </c>
      <c r="F36" s="28">
        <f t="shared" si="2"/>
        <v>5.1450000000000005</v>
      </c>
      <c r="G36" s="28">
        <f t="shared" si="2"/>
        <v>90.669166666666669</v>
      </c>
      <c r="H36" s="28">
        <f t="shared" si="2"/>
        <v>22.657083333333336</v>
      </c>
      <c r="I36" s="28">
        <f t="shared" si="2"/>
        <v>0.12250000000000004</v>
      </c>
      <c r="J36" s="28">
        <f t="shared" si="2"/>
        <v>0.55333333333333334</v>
      </c>
      <c r="K36" s="28">
        <f t="shared" si="2"/>
        <v>274.28874999999999</v>
      </c>
      <c r="L36" s="28">
        <f t="shared" si="2"/>
        <v>27.325416666666666</v>
      </c>
      <c r="M36" s="28">
        <f t="shared" si="2"/>
        <v>70.34666666666665</v>
      </c>
      <c r="N36" s="28">
        <f t="shared" si="2"/>
        <v>258.18333333333334</v>
      </c>
      <c r="O36" s="28">
        <f t="shared" si="2"/>
        <v>0</v>
      </c>
      <c r="P36" s="28">
        <f t="shared" si="2"/>
        <v>0.49874999999999997</v>
      </c>
      <c r="Q36" s="28">
        <f t="shared" si="2"/>
        <v>12.592499999999999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3.7394058080263859</v>
      </c>
      <c r="C37" s="28">
        <f t="shared" si="3" ref="C37:Q37">STDEV(C9:C32)</f>
        <v>5.8521820376205991</v>
      </c>
      <c r="D37" s="28">
        <f t="shared" si="3"/>
        <v>5.6690946897585999</v>
      </c>
      <c r="E37" s="28">
        <f t="shared" si="3"/>
        <v>0.91871750164350263</v>
      </c>
      <c r="F37" s="28">
        <f t="shared" si="3"/>
        <v>2.8565302759451536</v>
      </c>
      <c r="G37" s="28">
        <f t="shared" si="3"/>
        <v>11.975523921248961</v>
      </c>
      <c r="H37" s="28">
        <f t="shared" si="3"/>
        <v>4.8717825317055761</v>
      </c>
      <c r="I37" s="28">
        <f t="shared" si="3"/>
        <v>0.0044232586846469192</v>
      </c>
      <c r="J37" s="28">
        <f t="shared" si="3"/>
        <v>0.39523979146035282</v>
      </c>
      <c r="K37" s="28">
        <f t="shared" si="3"/>
        <v>126.51369877064866</v>
      </c>
      <c r="L37" s="28">
        <f t="shared" si="3"/>
        <v>3.9551001517212026</v>
      </c>
      <c r="M37" s="28">
        <f t="shared" si="3"/>
        <v>17.068377744840987</v>
      </c>
      <c r="N37" s="28">
        <f t="shared" si="3"/>
        <v>326.79089400685132</v>
      </c>
      <c r="O37" s="28">
        <f t="shared" si="3"/>
        <v>0</v>
      </c>
      <c r="P37" s="28">
        <f t="shared" si="3"/>
        <v>0.093544339637740156</v>
      </c>
      <c r="Q37" s="28">
        <f t="shared" si="3"/>
        <v>0.93808894544452315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3454a2-4159-4b16-b494-2821b3932050}">
  <sheetPr codeName=""/>
  <dimension ref="A1:U119"/>
  <sheetViews>
    <sheetView workbookViewId="0" topLeftCell="A1">
      <selection pane="topLeft" activeCell="G72" sqref="G7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8.83</v>
      </c>
      <c r="C9" s="54">
        <v>17.989999999999998</v>
      </c>
      <c r="D9" s="54">
        <v>18.260000000000002</v>
      </c>
      <c r="E9" s="54">
        <v>6.12</v>
      </c>
      <c r="F9" s="54">
        <v>8.42</v>
      </c>
      <c r="G9" s="54">
        <v>60.18</v>
      </c>
      <c r="H9" s="54">
        <v>17.329999999999998</v>
      </c>
      <c r="I9" s="54">
        <v>0.12</v>
      </c>
      <c r="J9" s="54">
        <v>0.66</v>
      </c>
      <c r="K9" s="54">
        <v>342.58</v>
      </c>
      <c r="L9" s="54">
        <v>23.61</v>
      </c>
      <c r="M9" s="54">
        <v>86.38</v>
      </c>
      <c r="N9" s="54">
        <v>6.40</v>
      </c>
      <c r="O9" s="54">
        <v>0</v>
      </c>
      <c r="P9" s="54">
        <v>0.48</v>
      </c>
      <c r="Q9" s="54">
        <v>14.29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9.77</v>
      </c>
      <c r="C10" s="54">
        <v>18.23</v>
      </c>
      <c r="D10" s="54">
        <v>19.190000000000001</v>
      </c>
      <c r="E10" s="54">
        <v>5.37</v>
      </c>
      <c r="F10" s="54">
        <v>6.34</v>
      </c>
      <c r="G10" s="54">
        <v>59.93</v>
      </c>
      <c r="H10" s="54">
        <v>17.010000000000002</v>
      </c>
      <c r="I10" s="54">
        <v>0.12</v>
      </c>
      <c r="J10" s="54">
        <v>0.80</v>
      </c>
      <c r="K10" s="54">
        <v>346</v>
      </c>
      <c r="L10" s="54">
        <v>22.88</v>
      </c>
      <c r="M10" s="54">
        <v>92.02</v>
      </c>
      <c r="N10" s="54">
        <v>6.60</v>
      </c>
      <c r="O10" s="54">
        <v>0</v>
      </c>
      <c r="P10" s="54">
        <v>0.43</v>
      </c>
      <c r="Q10" s="54">
        <v>13.13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6.66</v>
      </c>
      <c r="C11" s="54">
        <v>13.54</v>
      </c>
      <c r="D11" s="54">
        <v>13.60</v>
      </c>
      <c r="E11" s="54">
        <v>5.42</v>
      </c>
      <c r="F11" s="54">
        <v>12.11</v>
      </c>
      <c r="G11" s="54">
        <v>54.54</v>
      </c>
      <c r="H11" s="54">
        <v>18.12</v>
      </c>
      <c r="I11" s="54">
        <v>0.12</v>
      </c>
      <c r="J11" s="54">
        <v>0.10</v>
      </c>
      <c r="K11" s="54">
        <v>332.76</v>
      </c>
      <c r="L11" s="54">
        <v>22.76</v>
      </c>
      <c r="M11" s="54">
        <v>91.74</v>
      </c>
      <c r="N11" s="54">
        <v>6.30</v>
      </c>
      <c r="O11" s="54">
        <v>0</v>
      </c>
      <c r="P11" s="54">
        <v>0.38</v>
      </c>
      <c r="Q11" s="54">
        <v>14.72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5.66</v>
      </c>
      <c r="C12" s="54">
        <v>14.62</v>
      </c>
      <c r="D12" s="54">
        <v>12.93</v>
      </c>
      <c r="E12" s="54">
        <v>6.28</v>
      </c>
      <c r="F12" s="54">
        <v>11.91</v>
      </c>
      <c r="G12" s="54">
        <v>51.01</v>
      </c>
      <c r="H12" s="54">
        <v>18.12</v>
      </c>
      <c r="I12" s="54">
        <v>0.12</v>
      </c>
      <c r="J12" s="54">
        <v>0.05</v>
      </c>
      <c r="K12" s="54">
        <v>334.27</v>
      </c>
      <c r="L12" s="54">
        <v>22.58</v>
      </c>
      <c r="M12" s="54">
        <v>93.81</v>
      </c>
      <c r="N12" s="54">
        <v>6.5</v>
      </c>
      <c r="O12" s="54">
        <v>0</v>
      </c>
      <c r="P12" s="54">
        <v>0.33</v>
      </c>
      <c r="Q12" s="54">
        <v>15.66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5.53</v>
      </c>
      <c r="C13" s="54">
        <v>12.90</v>
      </c>
      <c r="D13" s="54">
        <v>12.36</v>
      </c>
      <c r="E13" s="54">
        <v>5.47</v>
      </c>
      <c r="F13" s="54">
        <v>4.71</v>
      </c>
      <c r="G13" s="54">
        <v>47.51</v>
      </c>
      <c r="H13" s="54">
        <v>14.09</v>
      </c>
      <c r="I13" s="54">
        <v>0.13</v>
      </c>
      <c r="J13" s="54">
        <v>0.19</v>
      </c>
      <c r="K13" s="54">
        <v>250.16</v>
      </c>
      <c r="L13" s="54">
        <v>22.38</v>
      </c>
      <c r="M13" s="54">
        <v>95.01</v>
      </c>
      <c r="N13" s="54">
        <v>6.40</v>
      </c>
      <c r="O13" s="54">
        <v>0</v>
      </c>
      <c r="P13" s="54">
        <v>0.33</v>
      </c>
      <c r="Q13" s="54">
        <v>14.46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8.2799999999999994</v>
      </c>
      <c r="C14" s="54">
        <v>21.72</v>
      </c>
      <c r="D14" s="54">
        <v>19.920000000000002</v>
      </c>
      <c r="E14" s="54">
        <v>5.0599999999999996</v>
      </c>
      <c r="F14" s="54">
        <v>7.17</v>
      </c>
      <c r="G14" s="54">
        <v>44.15</v>
      </c>
      <c r="H14" s="54">
        <v>12.93</v>
      </c>
      <c r="I14" s="54">
        <v>0.13</v>
      </c>
      <c r="J14" s="54">
        <v>0.20</v>
      </c>
      <c r="K14" s="54">
        <v>293.44</v>
      </c>
      <c r="L14" s="54">
        <v>22.48</v>
      </c>
      <c r="M14" s="54">
        <v>97.97</v>
      </c>
      <c r="N14" s="54">
        <v>22</v>
      </c>
      <c r="O14" s="54">
        <v>0</v>
      </c>
      <c r="P14" s="54">
        <v>0.41</v>
      </c>
      <c r="Q14" s="54">
        <v>15.34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15.01</v>
      </c>
      <c r="C15" s="54">
        <v>20.54</v>
      </c>
      <c r="D15" s="54">
        <v>24.66</v>
      </c>
      <c r="E15" s="54">
        <v>5.72</v>
      </c>
      <c r="F15" s="54">
        <v>6.10</v>
      </c>
      <c r="G15" s="54">
        <v>46.57</v>
      </c>
      <c r="H15" s="54">
        <v>12.93</v>
      </c>
      <c r="I15" s="54">
        <v>0.12</v>
      </c>
      <c r="J15" s="54">
        <v>0.23</v>
      </c>
      <c r="K15" s="54">
        <v>341.73</v>
      </c>
      <c r="L15" s="54">
        <v>25.49</v>
      </c>
      <c r="M15" s="54">
        <v>97.97</v>
      </c>
      <c r="N15" s="54">
        <v>171</v>
      </c>
      <c r="O15" s="54">
        <v>0</v>
      </c>
      <c r="P15" s="54">
        <v>0.46</v>
      </c>
      <c r="Q15" s="54">
        <v>16.52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13.33</v>
      </c>
      <c r="C16" s="54">
        <v>15.26</v>
      </c>
      <c r="D16" s="54">
        <v>20.41</v>
      </c>
      <c r="E16" s="54">
        <v>5.0599999999999996</v>
      </c>
      <c r="F16" s="54">
        <v>1.96</v>
      </c>
      <c r="G16" s="54">
        <v>57.54</v>
      </c>
      <c r="H16" s="54">
        <v>11.39</v>
      </c>
      <c r="I16" s="54">
        <v>0.12</v>
      </c>
      <c r="J16" s="54">
        <v>0.80</v>
      </c>
      <c r="K16" s="54">
        <v>328.67</v>
      </c>
      <c r="L16" s="54">
        <v>30.10</v>
      </c>
      <c r="M16" s="54">
        <v>74.89</v>
      </c>
      <c r="N16" s="54">
        <v>371.70</v>
      </c>
      <c r="O16" s="54">
        <v>0</v>
      </c>
      <c r="P16" s="54">
        <v>0.43</v>
      </c>
      <c r="Q16" s="54">
        <v>16.04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16.72</v>
      </c>
      <c r="C17" s="54">
        <v>21.97</v>
      </c>
      <c r="D17" s="54">
        <v>26.37</v>
      </c>
      <c r="E17" s="54">
        <v>4.79</v>
      </c>
      <c r="F17" s="54">
        <v>9.2100000000000009</v>
      </c>
      <c r="G17" s="54">
        <v>64.53</v>
      </c>
      <c r="H17" s="54">
        <v>15.33</v>
      </c>
      <c r="I17" s="54">
        <v>0.12</v>
      </c>
      <c r="J17" s="54">
        <v>1.1599999999999999</v>
      </c>
      <c r="K17" s="54">
        <v>338.84</v>
      </c>
      <c r="L17" s="54">
        <v>32.92</v>
      </c>
      <c r="M17" s="54">
        <v>59.62</v>
      </c>
      <c r="N17" s="54">
        <v>564.10</v>
      </c>
      <c r="O17" s="54">
        <v>0</v>
      </c>
      <c r="P17" s="54">
        <v>0.47</v>
      </c>
      <c r="Q17" s="54">
        <v>15.77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14.16</v>
      </c>
      <c r="C18" s="54">
        <v>18.57</v>
      </c>
      <c r="D18" s="54">
        <v>22.5</v>
      </c>
      <c r="E18" s="54">
        <v>4.8600000000000003</v>
      </c>
      <c r="F18" s="54">
        <v>4.79</v>
      </c>
      <c r="G18" s="54">
        <v>77.73</v>
      </c>
      <c r="H18" s="54">
        <v>20.86</v>
      </c>
      <c r="I18" s="54">
        <v>0.13</v>
      </c>
      <c r="J18" s="54">
        <v>1.22</v>
      </c>
      <c r="K18" s="54">
        <v>332.32</v>
      </c>
      <c r="L18" s="54">
        <v>34.270000000000003</v>
      </c>
      <c r="M18" s="54">
        <v>52.11</v>
      </c>
      <c r="N18" s="54">
        <v>733.90</v>
      </c>
      <c r="O18" s="54">
        <v>0</v>
      </c>
      <c r="P18" s="54">
        <v>0.51</v>
      </c>
      <c r="Q18" s="54">
        <v>16.03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13.73</v>
      </c>
      <c r="C19" s="54">
        <v>27.93</v>
      </c>
      <c r="D19" s="54">
        <v>24.69</v>
      </c>
      <c r="E19" s="54">
        <v>4.6900000000000004</v>
      </c>
      <c r="F19" s="54">
        <v>6.46</v>
      </c>
      <c r="G19" s="54">
        <v>85.74</v>
      </c>
      <c r="H19" s="54">
        <v>21.33</v>
      </c>
      <c r="I19" s="54">
        <v>0.13</v>
      </c>
      <c r="J19" s="54">
        <v>0.99</v>
      </c>
      <c r="K19" s="54">
        <v>338.56</v>
      </c>
      <c r="L19" s="54">
        <v>34.549999999999997</v>
      </c>
      <c r="M19" s="54">
        <v>52.63</v>
      </c>
      <c r="N19" s="54">
        <v>730.20</v>
      </c>
      <c r="O19" s="54">
        <v>0</v>
      </c>
      <c r="P19" s="54">
        <v>0.61</v>
      </c>
      <c r="Q19" s="54">
        <v>14.14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9.76</v>
      </c>
      <c r="C20" s="54">
        <v>27.95</v>
      </c>
      <c r="D20" s="54">
        <v>24.54</v>
      </c>
      <c r="E20" s="54">
        <v>5.42</v>
      </c>
      <c r="F20" s="54">
        <v>12.05</v>
      </c>
      <c r="G20" s="54">
        <v>88.97</v>
      </c>
      <c r="H20" s="54">
        <v>21.90</v>
      </c>
      <c r="I20" s="54">
        <v>0.12</v>
      </c>
      <c r="J20" s="54">
        <v>1.54</v>
      </c>
      <c r="K20" s="54">
        <v>336.54</v>
      </c>
      <c r="L20" s="54">
        <v>31.34</v>
      </c>
      <c r="M20" s="54">
        <v>57.35</v>
      </c>
      <c r="N20" s="54">
        <v>348.20</v>
      </c>
      <c r="O20" s="54">
        <v>0</v>
      </c>
      <c r="P20" s="54">
        <v>0.62</v>
      </c>
      <c r="Q20" s="54">
        <v>13.33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19.21</v>
      </c>
      <c r="C21" s="54">
        <v>34.10</v>
      </c>
      <c r="D21" s="54">
        <v>34.65</v>
      </c>
      <c r="E21" s="54">
        <v>6.38</v>
      </c>
      <c r="F21" s="54">
        <v>16.809999999999999</v>
      </c>
      <c r="G21" s="54">
        <v>92.03</v>
      </c>
      <c r="H21" s="54">
        <v>21.90</v>
      </c>
      <c r="I21" s="54">
        <v>0.12</v>
      </c>
      <c r="J21" s="54">
        <v>0.82</v>
      </c>
      <c r="K21" s="54">
        <v>340.41</v>
      </c>
      <c r="L21" s="54">
        <v>29.51</v>
      </c>
      <c r="M21" s="54">
        <v>74.650000000000006</v>
      </c>
      <c r="N21" s="54">
        <v>169.30</v>
      </c>
      <c r="O21" s="54">
        <v>0</v>
      </c>
      <c r="P21" s="54">
        <v>0.81</v>
      </c>
      <c r="Q21" s="54">
        <v>13.66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5.88</v>
      </c>
      <c r="C22" s="54">
        <v>21</v>
      </c>
      <c r="D22" s="54">
        <v>17.600000000000001</v>
      </c>
      <c r="E22" s="54">
        <v>5.83</v>
      </c>
      <c r="F22" s="54">
        <v>11.74</v>
      </c>
      <c r="G22" s="54">
        <v>92.03</v>
      </c>
      <c r="H22" s="54">
        <v>21.81</v>
      </c>
      <c r="I22" s="54">
        <v>0.12</v>
      </c>
      <c r="J22" s="54">
        <v>1.1599999999999999</v>
      </c>
      <c r="K22" s="54">
        <v>328.29</v>
      </c>
      <c r="L22" s="54">
        <v>26.67</v>
      </c>
      <c r="M22" s="54">
        <v>85.16</v>
      </c>
      <c r="N22" s="54">
        <v>152.10</v>
      </c>
      <c r="O22" s="54">
        <v>0</v>
      </c>
      <c r="P22" s="54">
        <v>0.56000000000000005</v>
      </c>
      <c r="Q22" s="54">
        <v>13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9.3699999999999992</v>
      </c>
      <c r="C23" s="54">
        <v>38.64</v>
      </c>
      <c r="D23" s="54">
        <v>27.79</v>
      </c>
      <c r="E23" s="54">
        <v>6.29</v>
      </c>
      <c r="F23" s="54">
        <v>26.91</v>
      </c>
      <c r="G23" s="54">
        <v>83.67</v>
      </c>
      <c r="H23" s="54">
        <v>21.81</v>
      </c>
      <c r="I23" s="54">
        <v>0.12</v>
      </c>
      <c r="J23" s="54">
        <v>0.62</v>
      </c>
      <c r="K23" s="54">
        <v>204.90</v>
      </c>
      <c r="L23" s="54">
        <v>28.54</v>
      </c>
      <c r="M23" s="54">
        <v>79.06</v>
      </c>
      <c r="N23" s="54">
        <v>321.10000000000002</v>
      </c>
      <c r="O23" s="54">
        <v>0</v>
      </c>
      <c r="P23" s="54">
        <v>0.55000000000000004</v>
      </c>
      <c r="Q23" s="54">
        <v>13.86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14.90</v>
      </c>
      <c r="C24" s="54">
        <v>32.79</v>
      </c>
      <c r="D24" s="54">
        <v>30.69</v>
      </c>
      <c r="E24" s="54">
        <v>6.54</v>
      </c>
      <c r="F24" s="54">
        <v>18.98</v>
      </c>
      <c r="G24" s="54">
        <v>80.34</v>
      </c>
      <c r="H24" s="54">
        <v>22.70</v>
      </c>
      <c r="I24" s="54">
        <v>0.12</v>
      </c>
      <c r="J24" s="54">
        <v>0.82</v>
      </c>
      <c r="K24" s="54">
        <v>346.02</v>
      </c>
      <c r="L24" s="54">
        <v>29.71</v>
      </c>
      <c r="M24" s="54">
        <v>68.849999999999994</v>
      </c>
      <c r="N24" s="54">
        <v>217.30</v>
      </c>
      <c r="O24" s="54">
        <v>0</v>
      </c>
      <c r="P24" s="54">
        <v>0.77</v>
      </c>
      <c r="Q24" s="54">
        <v>14.54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10.220000000000001</v>
      </c>
      <c r="C25" s="54">
        <v>18.71</v>
      </c>
      <c r="D25" s="54">
        <v>19.52</v>
      </c>
      <c r="E25" s="54">
        <v>5.18</v>
      </c>
      <c r="F25" s="54">
        <v>2.5499999999999998</v>
      </c>
      <c r="G25" s="54">
        <v>80.34</v>
      </c>
      <c r="H25" s="54">
        <v>22.70</v>
      </c>
      <c r="I25" s="54">
        <v>0.13</v>
      </c>
      <c r="J25" s="54">
        <v>1.08</v>
      </c>
      <c r="K25" s="54">
        <v>321.57</v>
      </c>
      <c r="L25" s="54">
        <v>27.20</v>
      </c>
      <c r="M25" s="54">
        <v>97.90</v>
      </c>
      <c r="N25" s="54">
        <v>54</v>
      </c>
      <c r="O25" s="54">
        <v>2.40</v>
      </c>
      <c r="P25" s="54">
        <v>0.65</v>
      </c>
      <c r="Q25" s="54">
        <v>14.74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8.6300000000000008</v>
      </c>
      <c r="C26" s="54">
        <v>22.26</v>
      </c>
      <c r="D26" s="54">
        <v>19.440000000000001</v>
      </c>
      <c r="E26" s="54">
        <v>5.72</v>
      </c>
      <c r="F26" s="54">
        <v>6.32</v>
      </c>
      <c r="G26" s="54">
        <v>78.87</v>
      </c>
      <c r="H26" s="54">
        <v>19.36</v>
      </c>
      <c r="I26" s="54">
        <v>0.12</v>
      </c>
      <c r="J26" s="54">
        <v>1.69</v>
      </c>
      <c r="K26" s="54">
        <v>355.47</v>
      </c>
      <c r="L26" s="54">
        <v>20.94</v>
      </c>
      <c r="M26" s="54">
        <v>98.30</v>
      </c>
      <c r="N26" s="54">
        <v>17</v>
      </c>
      <c r="O26" s="54">
        <v>13.80</v>
      </c>
      <c r="P26" s="54">
        <v>0.56999999999999995</v>
      </c>
      <c r="Q26" s="54">
        <v>15.31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18.149999999999999</v>
      </c>
      <c r="C27" s="54">
        <v>44.01</v>
      </c>
      <c r="D27" s="54">
        <v>38.64</v>
      </c>
      <c r="E27" s="54">
        <v>5.22</v>
      </c>
      <c r="F27" s="54">
        <v>5.09</v>
      </c>
      <c r="G27" s="54">
        <v>55.80</v>
      </c>
      <c r="H27" s="54">
        <v>17.989999999999998</v>
      </c>
      <c r="I27" s="54">
        <v>0.12</v>
      </c>
      <c r="J27" s="54">
        <v>0.45</v>
      </c>
      <c r="K27" s="54">
        <v>124.67</v>
      </c>
      <c r="L27" s="54">
        <v>21.75</v>
      </c>
      <c r="M27" s="54">
        <v>98.30</v>
      </c>
      <c r="N27" s="54">
        <v>9.60</v>
      </c>
      <c r="O27" s="54">
        <v>0</v>
      </c>
      <c r="P27" s="54">
        <v>1.34</v>
      </c>
      <c r="Q27" s="54">
        <v>13.19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48.12</v>
      </c>
      <c r="C28" s="54">
        <v>50.49</v>
      </c>
      <c r="D28" s="54">
        <v>67.75</v>
      </c>
      <c r="E28" s="54">
        <v>5.61</v>
      </c>
      <c r="F28" s="54">
        <v>3.75</v>
      </c>
      <c r="G28" s="54">
        <v>49.27</v>
      </c>
      <c r="H28" s="54">
        <v>17.78</v>
      </c>
      <c r="I28" s="54">
        <v>0.12</v>
      </c>
      <c r="J28" s="54">
        <v>0.18</v>
      </c>
      <c r="K28" s="54">
        <v>358.32</v>
      </c>
      <c r="L28" s="54">
        <v>22.08</v>
      </c>
      <c r="M28" s="54">
        <v>98.29</v>
      </c>
      <c r="N28" s="54">
        <v>6.70</v>
      </c>
      <c r="O28" s="54">
        <v>0</v>
      </c>
      <c r="P28" s="54">
        <v>2.1800000000000002</v>
      </c>
      <c r="Q28" s="54">
        <v>13.14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56.55</v>
      </c>
      <c r="C29" s="54">
        <v>56.47</v>
      </c>
      <c r="D29" s="54">
        <v>77.81</v>
      </c>
      <c r="E29" s="54">
        <v>5.32</v>
      </c>
      <c r="F29" s="54">
        <v>5.44</v>
      </c>
      <c r="G29" s="54">
        <v>46.08</v>
      </c>
      <c r="H29" s="54">
        <v>19</v>
      </c>
      <c r="I29" s="54">
        <v>0.12</v>
      </c>
      <c r="J29" s="54">
        <v>0.66</v>
      </c>
      <c r="K29" s="54">
        <v>348.73</v>
      </c>
      <c r="L29" s="54">
        <v>22.22</v>
      </c>
      <c r="M29" s="54">
        <v>98.30</v>
      </c>
      <c r="N29" s="54">
        <v>7.5</v>
      </c>
      <c r="O29" s="54">
        <v>0</v>
      </c>
      <c r="P29" s="54">
        <v>2.4500000000000002</v>
      </c>
      <c r="Q29" s="54">
        <v>16.489999999999998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49.38</v>
      </c>
      <c r="C30" s="54">
        <v>37.92</v>
      </c>
      <c r="D30" s="54">
        <v>60.79</v>
      </c>
      <c r="E30" s="54">
        <v>4.8099999999999996</v>
      </c>
      <c r="F30" s="54">
        <v>2.77</v>
      </c>
      <c r="G30" s="54">
        <v>50.37</v>
      </c>
      <c r="H30" s="54">
        <v>19</v>
      </c>
      <c r="I30" s="54">
        <v>0.12</v>
      </c>
      <c r="J30" s="54">
        <v>0.12</v>
      </c>
      <c r="K30" s="54">
        <v>282.01</v>
      </c>
      <c r="L30" s="54">
        <v>22.21</v>
      </c>
      <c r="M30" s="54">
        <v>98.29</v>
      </c>
      <c r="N30" s="54">
        <v>7.20</v>
      </c>
      <c r="O30" s="54">
        <v>0</v>
      </c>
      <c r="P30" s="54">
        <v>1.72</v>
      </c>
      <c r="Q30" s="54">
        <v>17.29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41.98</v>
      </c>
      <c r="C31" s="54">
        <v>32.78</v>
      </c>
      <c r="D31" s="54">
        <v>52.40</v>
      </c>
      <c r="E31" s="54">
        <v>4.17</v>
      </c>
      <c r="F31" s="54">
        <v>4.22</v>
      </c>
      <c r="G31" s="54">
        <v>50.37</v>
      </c>
      <c r="H31" s="54">
        <v>21.04</v>
      </c>
      <c r="I31" s="54">
        <v>0.12</v>
      </c>
      <c r="J31" s="54">
        <v>0.09</v>
      </c>
      <c r="K31" s="54">
        <v>274.58999999999997</v>
      </c>
      <c r="L31" s="54">
        <v>22.60</v>
      </c>
      <c r="M31" s="54">
        <v>98.30</v>
      </c>
      <c r="N31" s="54">
        <v>6.40</v>
      </c>
      <c r="O31" s="54">
        <v>0</v>
      </c>
      <c r="P31" s="54">
        <v>1.64</v>
      </c>
      <c r="Q31" s="54">
        <v>18.46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24.79</v>
      </c>
      <c r="C32" s="54">
        <v>37.69</v>
      </c>
      <c r="D32" s="54">
        <v>41.32</v>
      </c>
      <c r="E32" s="54">
        <v>4.99</v>
      </c>
      <c r="F32" s="54">
        <v>3.55</v>
      </c>
      <c r="G32" s="54">
        <v>49.51</v>
      </c>
      <c r="H32" s="54">
        <v>21.04</v>
      </c>
      <c r="I32" s="54">
        <v>0.13</v>
      </c>
      <c r="J32" s="54">
        <v>0.14000000000000001</v>
      </c>
      <c r="K32" s="54">
        <v>291.70</v>
      </c>
      <c r="L32" s="54">
        <v>22.52</v>
      </c>
      <c r="M32" s="54">
        <v>98.30</v>
      </c>
      <c r="N32" s="54">
        <v>6.5</v>
      </c>
      <c r="O32" s="54">
        <v>0</v>
      </c>
      <c r="P32" s="54">
        <v>1.06</v>
      </c>
      <c r="Q32" s="54">
        <v>20.81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5.5300000000000002</v>
      </c>
      <c r="C34" s="28">
        <f t="shared" si="0"/>
        <v>12.9</v>
      </c>
      <c r="D34" s="28">
        <f t="shared" si="0"/>
        <v>12.359999999999999</v>
      </c>
      <c r="E34" s="28">
        <f t="shared" si="0"/>
        <v>4.1699999999999999</v>
      </c>
      <c r="F34" s="28">
        <f t="shared" si="0"/>
        <v>1.96</v>
      </c>
      <c r="G34" s="28">
        <f t="shared" si="0"/>
        <v>44.149999999999999</v>
      </c>
      <c r="H34" s="28">
        <f t="shared" si="0"/>
        <v>11.390000000000001</v>
      </c>
      <c r="I34" s="28">
        <f t="shared" si="0"/>
        <v>0.12</v>
      </c>
      <c r="J34" s="28">
        <f t="shared" si="0"/>
        <v>0.050000000000000003</v>
      </c>
      <c r="K34" s="28">
        <f t="shared" si="0"/>
        <v>124.67</v>
      </c>
      <c r="L34" s="28">
        <f t="shared" si="0"/>
        <v>20.940000000000001</v>
      </c>
      <c r="M34" s="28">
        <f t="shared" si="0"/>
        <v>52.109999999999999</v>
      </c>
      <c r="N34" s="28">
        <f t="shared" si="0"/>
        <v>6.2999999999999998</v>
      </c>
      <c r="O34" s="28">
        <f t="shared" si="0"/>
        <v>0</v>
      </c>
      <c r="P34" s="28">
        <f t="shared" si="0"/>
        <v>0.33000000000000002</v>
      </c>
      <c r="Q34" s="28">
        <f t="shared" si="0"/>
        <v>13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56.549999999999997</v>
      </c>
      <c r="C35" s="29">
        <f t="shared" si="1"/>
        <v>56.469999999999999</v>
      </c>
      <c r="D35" s="29">
        <f t="shared" si="1"/>
        <v>77.810000000000002</v>
      </c>
      <c r="E35" s="29">
        <f t="shared" si="1"/>
        <v>6.54</v>
      </c>
      <c r="F35" s="29">
        <f t="shared" si="1"/>
        <v>26.91</v>
      </c>
      <c r="G35" s="29">
        <f t="shared" si="1"/>
        <v>92.030000000000001</v>
      </c>
      <c r="H35" s="29">
        <f t="shared" si="1"/>
        <v>22.699999999999999</v>
      </c>
      <c r="I35" s="29">
        <f t="shared" si="1"/>
        <v>0.13</v>
      </c>
      <c r="J35" s="29">
        <f t="shared" si="1"/>
        <v>1.6899999999999999</v>
      </c>
      <c r="K35" s="29">
        <f t="shared" si="1"/>
        <v>358.31999999999999</v>
      </c>
      <c r="L35" s="29">
        <f t="shared" si="1"/>
        <v>34.549999999999997</v>
      </c>
      <c r="M35" s="29">
        <f t="shared" si="1"/>
        <v>98.299999999999997</v>
      </c>
      <c r="N35" s="29">
        <f t="shared" si="1"/>
        <v>733.89999999999998</v>
      </c>
      <c r="O35" s="29">
        <f t="shared" si="1"/>
        <v>13.800000000000001</v>
      </c>
      <c r="P35" s="29">
        <f t="shared" si="1"/>
        <v>2.4500000000000002</v>
      </c>
      <c r="Q35" s="29">
        <f t="shared" si="1"/>
        <v>20.809999999999999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18.10916666666667</v>
      </c>
      <c r="C36" s="28">
        <f t="shared" si="2"/>
        <v>27.419999999999998</v>
      </c>
      <c r="D36" s="28">
        <f t="shared" si="2"/>
        <v>30.326249999999998</v>
      </c>
      <c r="E36" s="28">
        <f t="shared" si="2"/>
        <v>5.4299999999999997</v>
      </c>
      <c r="F36" s="28">
        <f t="shared" si="2"/>
        <v>8.3066666666666666</v>
      </c>
      <c r="G36" s="28">
        <f t="shared" si="2"/>
        <v>64.461666666666645</v>
      </c>
      <c r="H36" s="28">
        <f t="shared" si="2"/>
        <v>18.644583333333333</v>
      </c>
      <c r="I36" s="28">
        <f t="shared" si="2"/>
        <v>0.12250000000000004</v>
      </c>
      <c r="J36" s="28">
        <f t="shared" si="2"/>
        <v>0.65708333333333324</v>
      </c>
      <c r="K36" s="28">
        <f t="shared" si="2"/>
        <v>312.18958333333336</v>
      </c>
      <c r="L36" s="28">
        <f t="shared" si="2"/>
        <v>25.887916666666669</v>
      </c>
      <c r="M36" s="28">
        <f t="shared" si="2"/>
        <v>85.216666666666654</v>
      </c>
      <c r="N36" s="28">
        <f t="shared" si="2"/>
        <v>164.5</v>
      </c>
      <c r="O36" s="28">
        <f t="shared" si="2"/>
        <v>0.67499999999999993</v>
      </c>
      <c r="P36" s="28">
        <f t="shared" si="2"/>
        <v>0.82333333333333336</v>
      </c>
      <c r="Q36" s="28">
        <f t="shared" si="2"/>
        <v>15.163333333333334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15.029838124809293</v>
      </c>
      <c r="C37" s="28">
        <f t="shared" si="3" ref="C37:Q37">STDEV(C9:C32)</f>
        <v>12.00692481355077</v>
      </c>
      <c r="D37" s="28">
        <f t="shared" si="3"/>
        <v>17.74050850026082</v>
      </c>
      <c r="E37" s="28">
        <f t="shared" si="3"/>
        <v>0.5999637670219139</v>
      </c>
      <c r="F37" s="28">
        <f t="shared" si="3"/>
        <v>5.9410405080962532</v>
      </c>
      <c r="G37" s="28">
        <f t="shared" si="3"/>
        <v>16.786261376926518</v>
      </c>
      <c r="H37" s="28">
        <f t="shared" si="3"/>
        <v>3.3250498252777478</v>
      </c>
      <c r="I37" s="28">
        <f t="shared" si="3"/>
        <v>0.0044232586846469192</v>
      </c>
      <c r="J37" s="28">
        <f t="shared" si="3"/>
        <v>0.48858695249149636</v>
      </c>
      <c r="K37" s="28">
        <f t="shared" si="3"/>
        <v>54.281155868565868</v>
      </c>
      <c r="L37" s="28">
        <f t="shared" si="3"/>
        <v>4.3915996681081211</v>
      </c>
      <c r="M37" s="28">
        <f t="shared" si="3"/>
        <v>16.228737438278525</v>
      </c>
      <c r="N37" s="28">
        <f t="shared" si="3"/>
        <v>231.77531848941456</v>
      </c>
      <c r="O37" s="28">
        <f t="shared" si="3"/>
        <v>2.8381331892636754</v>
      </c>
      <c r="P37" s="28">
        <f t="shared" si="3"/>
        <v>0.59873538226082346</v>
      </c>
      <c r="Q37" s="28">
        <f t="shared" si="3"/>
        <v>1.8679718521914803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1c7614-571e-43fa-a94b-6dbfa8e691f7}">
  <sheetPr codeName=""/>
  <dimension ref="A1:U119"/>
  <sheetViews>
    <sheetView workbookViewId="0" topLeftCell="A1">
      <selection pane="topLeft" activeCell="G74" sqref="G7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782</v>
      </c>
      <c r="B9" s="54">
        <v>22.48</v>
      </c>
      <c r="C9" s="54">
        <v>24</v>
      </c>
      <c r="D9" s="54">
        <v>32.57</v>
      </c>
      <c r="E9" s="54">
        <v>6.04</v>
      </c>
      <c r="F9" s="54">
        <v>3.11</v>
      </c>
      <c r="G9" s="54">
        <v>49.51</v>
      </c>
      <c r="H9" s="54">
        <v>17.88</v>
      </c>
      <c r="I9" s="54">
        <v>0.13</v>
      </c>
      <c r="J9" s="54">
        <v>0.53</v>
      </c>
      <c r="K9" s="54">
        <v>308.74</v>
      </c>
      <c r="L9" s="54">
        <v>22.54</v>
      </c>
      <c r="M9" s="54">
        <v>98.30</v>
      </c>
      <c r="N9" s="54">
        <v>6.80</v>
      </c>
      <c r="O9" s="54">
        <v>0</v>
      </c>
      <c r="P9" s="54">
        <v>1.1200000000000001</v>
      </c>
      <c r="Q9" s="54">
        <v>19.88</v>
      </c>
      <c r="R9" s="43"/>
      <c r="S9" s="43"/>
      <c r="T9" s="43"/>
      <c r="U9" s="43"/>
    </row>
    <row r="10" spans="1:21" s="11" customFormat="1" ht="15">
      <c r="A10" s="53" t="s">
        <v>783</v>
      </c>
      <c r="B10" s="54">
        <v>18.23</v>
      </c>
      <c r="C10" s="54">
        <v>13.95</v>
      </c>
      <c r="D10" s="54">
        <v>23.23</v>
      </c>
      <c r="E10" s="54">
        <v>5.62</v>
      </c>
      <c r="F10" s="54">
        <v>7.45</v>
      </c>
      <c r="G10" s="54">
        <v>43.74</v>
      </c>
      <c r="H10" s="54">
        <v>17.68</v>
      </c>
      <c r="I10" s="54">
        <v>0.12</v>
      </c>
      <c r="J10" s="54">
        <v>0.66</v>
      </c>
      <c r="K10" s="54">
        <v>206.03</v>
      </c>
      <c r="L10" s="54">
        <v>22.25</v>
      </c>
      <c r="M10" s="54">
        <v>98.30</v>
      </c>
      <c r="N10" s="54">
        <v>6.5</v>
      </c>
      <c r="O10" s="54">
        <v>0</v>
      </c>
      <c r="P10" s="54">
        <v>1.01</v>
      </c>
      <c r="Q10" s="54">
        <v>19.55</v>
      </c>
      <c r="R10" s="43"/>
      <c r="S10" s="43"/>
      <c r="T10" s="43"/>
      <c r="U10" s="43"/>
    </row>
    <row r="11" spans="1:21" s="11" customFormat="1" ht="15">
      <c r="A11" s="53" t="s">
        <v>784</v>
      </c>
      <c r="B11" s="54">
        <v>10.18</v>
      </c>
      <c r="C11" s="54">
        <v>14.79</v>
      </c>
      <c r="D11" s="54">
        <v>16.63</v>
      </c>
      <c r="E11" s="54">
        <v>5.24</v>
      </c>
      <c r="F11" s="54">
        <v>7.87</v>
      </c>
      <c r="G11" s="54">
        <v>42.25</v>
      </c>
      <c r="H11" s="54">
        <v>17.68</v>
      </c>
      <c r="I11" s="54">
        <v>0.11</v>
      </c>
      <c r="J11" s="54">
        <v>0.62</v>
      </c>
      <c r="K11" s="54">
        <v>205.31</v>
      </c>
      <c r="L11" s="54">
        <v>22</v>
      </c>
      <c r="M11" s="54">
        <v>98.30</v>
      </c>
      <c r="N11" s="54">
        <v>6.5</v>
      </c>
      <c r="O11" s="54">
        <v>0</v>
      </c>
      <c r="P11" s="54">
        <v>0.81</v>
      </c>
      <c r="Q11" s="54">
        <v>20.96</v>
      </c>
      <c r="R11" s="43"/>
      <c r="S11" s="43"/>
      <c r="T11" s="43"/>
      <c r="U11" s="43"/>
    </row>
    <row r="12" spans="1:21" s="11" customFormat="1" ht="15">
      <c r="A12" s="53" t="s">
        <v>785</v>
      </c>
      <c r="B12" s="54">
        <v>12.94</v>
      </c>
      <c r="C12" s="54">
        <v>11.82</v>
      </c>
      <c r="D12" s="54">
        <v>17.850000000000001</v>
      </c>
      <c r="E12" s="54">
        <v>5.46</v>
      </c>
      <c r="F12" s="54">
        <v>3.31</v>
      </c>
      <c r="G12" s="54">
        <v>36.89</v>
      </c>
      <c r="H12" s="54">
        <v>13.20</v>
      </c>
      <c r="I12" s="54">
        <v>0.13</v>
      </c>
      <c r="J12" s="54">
        <v>0.66</v>
      </c>
      <c r="K12" s="54">
        <v>204.88</v>
      </c>
      <c r="L12" s="54">
        <v>22.02</v>
      </c>
      <c r="M12" s="54">
        <v>98.30</v>
      </c>
      <c r="N12" s="54">
        <v>6.5</v>
      </c>
      <c r="O12" s="54">
        <v>0</v>
      </c>
      <c r="P12" s="54">
        <v>0.75</v>
      </c>
      <c r="Q12" s="54">
        <v>19.739999999999998</v>
      </c>
      <c r="R12" s="43"/>
      <c r="S12" s="43"/>
      <c r="T12" s="43"/>
      <c r="U12" s="43"/>
    </row>
    <row r="13" spans="1:21" s="11" customFormat="1" ht="15">
      <c r="A13" s="53" t="s">
        <v>786</v>
      </c>
      <c r="B13" s="54">
        <v>12.57</v>
      </c>
      <c r="C13" s="54">
        <v>20.71</v>
      </c>
      <c r="D13" s="54">
        <v>22.61</v>
      </c>
      <c r="E13" s="54">
        <v>3.97</v>
      </c>
      <c r="F13" s="54">
        <v>4.20</v>
      </c>
      <c r="G13" s="54">
        <v>35.69</v>
      </c>
      <c r="H13" s="54">
        <v>15.01</v>
      </c>
      <c r="I13" s="54">
        <v>0.12</v>
      </c>
      <c r="J13" s="54">
        <v>0.76</v>
      </c>
      <c r="K13" s="54">
        <v>206.79</v>
      </c>
      <c r="L13" s="54">
        <v>21.94</v>
      </c>
      <c r="M13" s="54">
        <v>98.30</v>
      </c>
      <c r="N13" s="54">
        <v>6.60</v>
      </c>
      <c r="O13" s="54">
        <v>0</v>
      </c>
      <c r="P13" s="54">
        <v>0.65</v>
      </c>
      <c r="Q13" s="54">
        <v>18.760000000000002</v>
      </c>
      <c r="R13" s="43"/>
      <c r="S13" s="43"/>
      <c r="T13" s="43"/>
      <c r="U13" s="43"/>
    </row>
    <row r="14" spans="1:21" s="11" customFormat="1" ht="15">
      <c r="A14" s="53" t="s">
        <v>787</v>
      </c>
      <c r="B14" s="54">
        <v>27.80</v>
      </c>
      <c r="C14" s="54">
        <v>25.83</v>
      </c>
      <c r="D14" s="54">
        <v>36.39</v>
      </c>
      <c r="E14" s="54">
        <v>4.08</v>
      </c>
      <c r="F14" s="54">
        <v>2.33</v>
      </c>
      <c r="G14" s="54">
        <v>35.659999999999997</v>
      </c>
      <c r="H14" s="54">
        <v>15.01</v>
      </c>
      <c r="I14" s="54">
        <v>0.14000000000000001</v>
      </c>
      <c r="J14" s="54">
        <v>0.84</v>
      </c>
      <c r="K14" s="54">
        <v>214.40</v>
      </c>
      <c r="L14" s="54">
        <v>21.82</v>
      </c>
      <c r="M14" s="54">
        <v>98.30</v>
      </c>
      <c r="N14" s="54">
        <v>21.90</v>
      </c>
      <c r="O14" s="54">
        <v>0</v>
      </c>
      <c r="P14" s="54">
        <v>0.71</v>
      </c>
      <c r="Q14" s="54">
        <v>19.239999999999998</v>
      </c>
      <c r="R14" s="43"/>
      <c r="S14" s="43"/>
      <c r="T14" s="43"/>
      <c r="U14" s="43"/>
    </row>
    <row r="15" spans="1:21" s="11" customFormat="1" ht="15">
      <c r="A15" s="53" t="s">
        <v>788</v>
      </c>
      <c r="B15" s="54">
        <v>36.81</v>
      </c>
      <c r="C15" s="54">
        <v>27.83</v>
      </c>
      <c r="D15" s="54">
        <v>46.16</v>
      </c>
      <c r="E15" s="54">
        <v>4.47</v>
      </c>
      <c r="F15" s="54">
        <v>2.1800000000000002</v>
      </c>
      <c r="G15" s="54">
        <v>51.43</v>
      </c>
      <c r="H15" s="54">
        <v>15.76</v>
      </c>
      <c r="I15" s="54">
        <v>0.12</v>
      </c>
      <c r="J15" s="54">
        <v>0.80</v>
      </c>
      <c r="K15" s="54">
        <v>351.88</v>
      </c>
      <c r="L15" s="54">
        <v>24.36</v>
      </c>
      <c r="M15" s="54">
        <v>98.30</v>
      </c>
      <c r="N15" s="54">
        <v>147.60</v>
      </c>
      <c r="O15" s="54">
        <v>0</v>
      </c>
      <c r="P15" s="54">
        <v>0.84</v>
      </c>
      <c r="Q15" s="54">
        <v>18.91</v>
      </c>
      <c r="R15" s="43"/>
      <c r="S15" s="43"/>
      <c r="T15" s="43"/>
      <c r="U15" s="43"/>
    </row>
    <row r="16" spans="1:21" s="11" customFormat="1" ht="15">
      <c r="A16" s="53" t="s">
        <v>789</v>
      </c>
      <c r="B16" s="54">
        <v>27.94</v>
      </c>
      <c r="C16" s="54">
        <v>35.32</v>
      </c>
      <c r="D16" s="54">
        <v>43.19</v>
      </c>
      <c r="E16" s="54">
        <v>4.49</v>
      </c>
      <c r="F16" s="54">
        <v>8.89</v>
      </c>
      <c r="G16" s="54">
        <v>65.069999999999993</v>
      </c>
      <c r="H16" s="54">
        <v>15.76</v>
      </c>
      <c r="I16" s="54">
        <v>0.13</v>
      </c>
      <c r="J16" s="54">
        <v>0.43</v>
      </c>
      <c r="K16" s="54">
        <v>350.03</v>
      </c>
      <c r="L16" s="54">
        <v>28.89</v>
      </c>
      <c r="M16" s="54">
        <v>88.18</v>
      </c>
      <c r="N16" s="54">
        <v>363.40</v>
      </c>
      <c r="O16" s="54">
        <v>0</v>
      </c>
      <c r="P16" s="54">
        <v>0.78</v>
      </c>
      <c r="Q16" s="54">
        <v>18.899999999999999</v>
      </c>
      <c r="R16" s="43"/>
      <c r="S16" s="43"/>
      <c r="T16" s="43"/>
      <c r="U16" s="43"/>
    </row>
    <row r="17" spans="1:21" s="11" customFormat="1" ht="15">
      <c r="A17" s="53" t="s">
        <v>790</v>
      </c>
      <c r="B17" s="54">
        <v>22.40</v>
      </c>
      <c r="C17" s="54">
        <v>35.19</v>
      </c>
      <c r="D17" s="54">
        <v>36.020000000000003</v>
      </c>
      <c r="E17" s="54">
        <v>4.4800000000000004</v>
      </c>
      <c r="F17" s="54">
        <v>14.70</v>
      </c>
      <c r="G17" s="54">
        <v>82.83</v>
      </c>
      <c r="H17" s="54">
        <v>19.70</v>
      </c>
      <c r="I17" s="54">
        <v>0.13</v>
      </c>
      <c r="J17" s="54">
        <v>0.5</v>
      </c>
      <c r="K17" s="54">
        <v>350.12</v>
      </c>
      <c r="L17" s="54">
        <v>31.92</v>
      </c>
      <c r="M17" s="54">
        <v>64.89</v>
      </c>
      <c r="N17" s="54">
        <v>576.60</v>
      </c>
      <c r="O17" s="54">
        <v>0</v>
      </c>
      <c r="P17" s="54">
        <v>0.74</v>
      </c>
      <c r="Q17" s="54">
        <v>21.43</v>
      </c>
      <c r="R17" s="43"/>
      <c r="S17" s="43"/>
      <c r="T17" s="43"/>
      <c r="U17" s="43"/>
    </row>
    <row r="18" spans="1:21" s="11" customFormat="1" ht="15">
      <c r="A18" s="53" t="s">
        <v>791</v>
      </c>
      <c r="B18" s="54">
        <v>20.170000000000002</v>
      </c>
      <c r="C18" s="54">
        <v>27.40</v>
      </c>
      <c r="D18" s="54">
        <v>32.590000000000003</v>
      </c>
      <c r="E18" s="54">
        <v>4.42</v>
      </c>
      <c r="F18" s="54">
        <v>21.11</v>
      </c>
      <c r="G18" s="54">
        <v>86.37</v>
      </c>
      <c r="H18" s="54">
        <v>21.16</v>
      </c>
      <c r="I18" s="54">
        <v>0.12</v>
      </c>
      <c r="J18" s="54">
        <v>0.35</v>
      </c>
      <c r="K18" s="54">
        <v>359.83</v>
      </c>
      <c r="L18" s="54">
        <v>33.22</v>
      </c>
      <c r="M18" s="54">
        <v>57.41</v>
      </c>
      <c r="N18" s="54">
        <v>725.70</v>
      </c>
      <c r="O18" s="54">
        <v>0</v>
      </c>
      <c r="P18" s="54">
        <v>0.77</v>
      </c>
      <c r="Q18" s="54">
        <v>20.96</v>
      </c>
      <c r="R18" s="43"/>
      <c r="S18" s="43"/>
      <c r="T18" s="43"/>
      <c r="U18" s="43"/>
    </row>
    <row r="19" spans="1:21" s="11" customFormat="1" ht="15">
      <c r="A19" s="53" t="s">
        <v>792</v>
      </c>
      <c r="B19" s="54">
        <v>15.05</v>
      </c>
      <c r="C19" s="54">
        <v>35.44</v>
      </c>
      <c r="D19" s="54">
        <v>30.48</v>
      </c>
      <c r="E19" s="54">
        <v>4.30</v>
      </c>
      <c r="F19" s="54">
        <v>19.420000000000002</v>
      </c>
      <c r="G19" s="54">
        <v>95.77</v>
      </c>
      <c r="H19" s="54">
        <v>29.39</v>
      </c>
      <c r="I19" s="54">
        <v>0.13</v>
      </c>
      <c r="J19" s="54">
        <v>0.46</v>
      </c>
      <c r="K19" s="54">
        <v>343.47</v>
      </c>
      <c r="L19" s="54">
        <v>33.200000000000003</v>
      </c>
      <c r="M19" s="54">
        <v>56.77</v>
      </c>
      <c r="N19" s="54">
        <v>893.70</v>
      </c>
      <c r="O19" s="54">
        <v>0</v>
      </c>
      <c r="P19" s="54">
        <v>0.82</v>
      </c>
      <c r="Q19" s="54">
        <v>20.49</v>
      </c>
      <c r="R19" s="43"/>
      <c r="S19" s="43"/>
      <c r="T19" s="43"/>
      <c r="U19" s="43"/>
    </row>
    <row r="20" spans="1:21" s="11" customFormat="1" ht="15">
      <c r="A20" s="53" t="s">
        <v>793</v>
      </c>
      <c r="B20" s="54">
        <v>17.23</v>
      </c>
      <c r="C20" s="54">
        <v>51.48</v>
      </c>
      <c r="D20" s="54">
        <v>43.52</v>
      </c>
      <c r="E20" s="54">
        <v>6.38</v>
      </c>
      <c r="F20" s="54">
        <v>28.82</v>
      </c>
      <c r="G20" s="54">
        <v>95.77</v>
      </c>
      <c r="H20" s="54">
        <v>31.34</v>
      </c>
      <c r="I20" s="54">
        <v>0.12</v>
      </c>
      <c r="J20" s="54">
        <v>0.75</v>
      </c>
      <c r="K20" s="54">
        <v>106.72</v>
      </c>
      <c r="L20" s="54">
        <v>32.76</v>
      </c>
      <c r="M20" s="54">
        <v>55.91</v>
      </c>
      <c r="N20" s="54">
        <v>948.60</v>
      </c>
      <c r="O20" s="54">
        <v>0</v>
      </c>
      <c r="P20" s="54">
        <v>0.64</v>
      </c>
      <c r="Q20" s="54">
        <v>18.809999999999999</v>
      </c>
      <c r="R20" s="43"/>
      <c r="S20" s="43"/>
      <c r="T20" s="43"/>
      <c r="U20" s="43"/>
    </row>
    <row r="21" spans="1:21" s="11" customFormat="1" ht="15">
      <c r="A21" s="53" t="s">
        <v>794</v>
      </c>
      <c r="B21" s="54">
        <v>11.96</v>
      </c>
      <c r="C21" s="54">
        <v>33.72</v>
      </c>
      <c r="D21" s="54">
        <v>29.5</v>
      </c>
      <c r="E21" s="54">
        <v>11.71</v>
      </c>
      <c r="F21" s="54">
        <v>13.20</v>
      </c>
      <c r="G21" s="54">
        <v>94.31</v>
      </c>
      <c r="H21" s="54">
        <v>31.34</v>
      </c>
      <c r="I21" s="54">
        <v>0.12</v>
      </c>
      <c r="J21" s="54">
        <v>0.66</v>
      </c>
      <c r="K21" s="54">
        <v>106.61</v>
      </c>
      <c r="L21" s="54">
        <v>31.95</v>
      </c>
      <c r="M21" s="54">
        <v>58.34</v>
      </c>
      <c r="N21" s="54">
        <v>939</v>
      </c>
      <c r="O21" s="54">
        <v>0</v>
      </c>
      <c r="P21" s="54">
        <v>0.57999999999999996</v>
      </c>
      <c r="Q21" s="54">
        <v>18.54</v>
      </c>
      <c r="R21" s="43"/>
      <c r="S21" s="43"/>
      <c r="T21" s="43"/>
      <c r="U21" s="43"/>
    </row>
    <row r="22" spans="1:21" s="11" customFormat="1" ht="15">
      <c r="A22" s="53" t="s">
        <v>795</v>
      </c>
      <c r="B22" s="54">
        <v>13.06</v>
      </c>
      <c r="C22" s="54">
        <v>35.270000000000003</v>
      </c>
      <c r="D22" s="54">
        <v>31.23</v>
      </c>
      <c r="E22" s="54">
        <v>9.89</v>
      </c>
      <c r="F22" s="54">
        <v>20.54</v>
      </c>
      <c r="G22" s="54">
        <v>82.03</v>
      </c>
      <c r="H22" s="54">
        <v>24.55</v>
      </c>
      <c r="I22" s="54">
        <v>0.12</v>
      </c>
      <c r="J22" s="54">
        <v>0.99</v>
      </c>
      <c r="K22" s="54">
        <v>357.09</v>
      </c>
      <c r="L22" s="54">
        <v>32.47</v>
      </c>
      <c r="M22" s="54">
        <v>55.55</v>
      </c>
      <c r="N22" s="54">
        <v>853.40</v>
      </c>
      <c r="O22" s="54">
        <v>0</v>
      </c>
      <c r="P22" s="54">
        <v>0.52</v>
      </c>
      <c r="Q22" s="54">
        <v>18.39</v>
      </c>
      <c r="R22" s="43"/>
      <c r="S22" s="43"/>
      <c r="T22" s="43"/>
      <c r="U22" s="43"/>
    </row>
    <row r="23" spans="1:21" s="11" customFormat="1" ht="15">
      <c r="A23" s="53" t="s">
        <v>796</v>
      </c>
      <c r="B23" s="54">
        <v>15.15</v>
      </c>
      <c r="C23" s="54">
        <v>33.659999999999997</v>
      </c>
      <c r="D23" s="54">
        <v>31.25</v>
      </c>
      <c r="E23" s="54">
        <v>10.39</v>
      </c>
      <c r="F23" s="54">
        <v>21.02</v>
      </c>
      <c r="G23" s="54">
        <v>79.650000000000006</v>
      </c>
      <c r="H23" s="54">
        <v>25.73</v>
      </c>
      <c r="I23" s="54">
        <v>0.12</v>
      </c>
      <c r="J23" s="54">
        <v>1.02</v>
      </c>
      <c r="K23" s="54">
        <v>354.37</v>
      </c>
      <c r="L23" s="54">
        <v>31.37</v>
      </c>
      <c r="M23" s="54">
        <v>56.40</v>
      </c>
      <c r="N23" s="54">
        <v>396.20</v>
      </c>
      <c r="O23" s="54">
        <v>0</v>
      </c>
      <c r="P23" s="54">
        <v>0.56000000000000005</v>
      </c>
      <c r="Q23" s="54">
        <v>18.11</v>
      </c>
      <c r="R23" s="43"/>
      <c r="S23" s="43"/>
      <c r="T23" s="43"/>
      <c r="U23" s="43"/>
    </row>
    <row r="24" spans="1:21" s="11" customFormat="1" ht="15">
      <c r="A24" s="53" t="s">
        <v>797</v>
      </c>
      <c r="B24" s="54">
        <v>27.24</v>
      </c>
      <c r="C24" s="54">
        <v>54.40</v>
      </c>
      <c r="D24" s="54">
        <v>53.16</v>
      </c>
      <c r="E24" s="54">
        <v>9.90</v>
      </c>
      <c r="F24" s="54">
        <v>25.63</v>
      </c>
      <c r="G24" s="54">
        <v>75.58</v>
      </c>
      <c r="H24" s="54">
        <v>25.73</v>
      </c>
      <c r="I24" s="54">
        <v>0.11</v>
      </c>
      <c r="J24" s="54">
        <v>0.57999999999999996</v>
      </c>
      <c r="K24" s="54">
        <v>351.03</v>
      </c>
      <c r="L24" s="54">
        <v>30.04</v>
      </c>
      <c r="M24" s="54">
        <v>60.19</v>
      </c>
      <c r="N24" s="54">
        <v>145</v>
      </c>
      <c r="O24" s="54">
        <v>0</v>
      </c>
      <c r="P24" s="54">
        <v>0.83</v>
      </c>
      <c r="Q24" s="54">
        <v>17.97</v>
      </c>
      <c r="R24" s="43"/>
      <c r="S24" s="43"/>
      <c r="T24" s="43"/>
      <c r="U24" s="43"/>
    </row>
    <row r="25" spans="1:21" s="11" customFormat="1" ht="15">
      <c r="A25" s="53" t="s">
        <v>798</v>
      </c>
      <c r="B25" s="54">
        <v>24.77</v>
      </c>
      <c r="C25" s="54">
        <v>57.15</v>
      </c>
      <c r="D25" s="54">
        <v>52.69</v>
      </c>
      <c r="E25" s="54">
        <v>8.91</v>
      </c>
      <c r="F25" s="54">
        <v>33.049999999999997</v>
      </c>
      <c r="G25" s="54">
        <v>76.38</v>
      </c>
      <c r="H25" s="54">
        <v>22.5</v>
      </c>
      <c r="I25" s="54">
        <v>0.12</v>
      </c>
      <c r="J25" s="54">
        <v>0.59</v>
      </c>
      <c r="K25" s="54">
        <v>340.84</v>
      </c>
      <c r="L25" s="54">
        <v>30.52</v>
      </c>
      <c r="M25" s="54">
        <v>58.21</v>
      </c>
      <c r="N25" s="54">
        <v>149.5</v>
      </c>
      <c r="O25" s="54">
        <v>0</v>
      </c>
      <c r="P25" s="54">
        <v>0.85</v>
      </c>
      <c r="Q25" s="54">
        <v>17.100000000000001</v>
      </c>
      <c r="R25" s="43"/>
      <c r="S25" s="43"/>
      <c r="T25" s="43"/>
      <c r="U25" s="43"/>
    </row>
    <row r="26" spans="1:21" s="11" customFormat="1" ht="15">
      <c r="A26" s="53" t="s">
        <v>799</v>
      </c>
      <c r="B26" s="54">
        <v>29</v>
      </c>
      <c r="C26" s="54">
        <v>66.19</v>
      </c>
      <c r="D26" s="54">
        <v>61.07</v>
      </c>
      <c r="E26" s="54">
        <v>8.82</v>
      </c>
      <c r="F26" s="54">
        <v>26.63</v>
      </c>
      <c r="G26" s="54">
        <v>80.459999999999994</v>
      </c>
      <c r="H26" s="54">
        <v>24.57</v>
      </c>
      <c r="I26" s="54">
        <v>0.11</v>
      </c>
      <c r="J26" s="54">
        <v>0.54</v>
      </c>
      <c r="K26" s="54">
        <v>356.19</v>
      </c>
      <c r="L26" s="54">
        <v>29.70</v>
      </c>
      <c r="M26" s="54">
        <v>62.25</v>
      </c>
      <c r="N26" s="54">
        <v>92.40</v>
      </c>
      <c r="O26" s="54">
        <v>0</v>
      </c>
      <c r="P26" s="54">
        <v>1.48</v>
      </c>
      <c r="Q26" s="54">
        <v>18.940000000000001</v>
      </c>
      <c r="R26" s="43"/>
      <c r="S26" s="43"/>
      <c r="T26" s="43"/>
      <c r="U26" s="43"/>
    </row>
    <row r="27" spans="1:21" s="11" customFormat="1" ht="15">
      <c r="A27" s="53" t="s">
        <v>800</v>
      </c>
      <c r="B27" s="54">
        <v>29</v>
      </c>
      <c r="C27" s="54">
        <v>67.150000000000006</v>
      </c>
      <c r="D27" s="54">
        <v>58.91</v>
      </c>
      <c r="E27" s="54">
        <v>8.08</v>
      </c>
      <c r="F27" s="54">
        <v>12.46</v>
      </c>
      <c r="G27" s="54">
        <v>94.98</v>
      </c>
      <c r="H27" s="54">
        <v>24.57</v>
      </c>
      <c r="I27" s="54">
        <v>0.13</v>
      </c>
      <c r="J27" s="54">
        <v>0.56000000000000005</v>
      </c>
      <c r="K27" s="54">
        <v>345.99</v>
      </c>
      <c r="L27" s="54">
        <v>28.45</v>
      </c>
      <c r="M27" s="54">
        <v>72.459999999999994</v>
      </c>
      <c r="N27" s="54">
        <v>11.10</v>
      </c>
      <c r="O27" s="54">
        <v>0</v>
      </c>
      <c r="P27" s="54">
        <v>1.46</v>
      </c>
      <c r="Q27" s="54">
        <v>15.76</v>
      </c>
      <c r="R27" s="43"/>
      <c r="S27" s="43"/>
      <c r="T27" s="43"/>
      <c r="U27" s="43"/>
    </row>
    <row r="28" spans="1:21" s="11" customFormat="1" ht="15">
      <c r="A28" s="53" t="s">
        <v>801</v>
      </c>
      <c r="B28" s="54">
        <v>67.150000000000006</v>
      </c>
      <c r="C28" s="54">
        <v>77.45</v>
      </c>
      <c r="D28" s="54">
        <v>91.26</v>
      </c>
      <c r="E28" s="54">
        <v>7.90</v>
      </c>
      <c r="F28" s="54">
        <v>4.47</v>
      </c>
      <c r="G28" s="54">
        <v>114.25</v>
      </c>
      <c r="H28" s="54">
        <v>27.99</v>
      </c>
      <c r="I28" s="54">
        <v>0.12</v>
      </c>
      <c r="J28" s="54">
        <v>0.08</v>
      </c>
      <c r="K28" s="54">
        <v>353.04</v>
      </c>
      <c r="L28" s="54">
        <v>27.13</v>
      </c>
      <c r="M28" s="54">
        <v>80.19</v>
      </c>
      <c r="N28" s="54">
        <v>7.20</v>
      </c>
      <c r="O28" s="54">
        <v>0</v>
      </c>
      <c r="P28" s="54">
        <v>3.19</v>
      </c>
      <c r="Q28" s="54">
        <v>15.68</v>
      </c>
      <c r="R28" s="43"/>
      <c r="S28" s="43"/>
      <c r="T28" s="43"/>
      <c r="U28" s="43"/>
    </row>
    <row r="29" spans="1:21" s="11" customFormat="1" ht="15">
      <c r="A29" s="53" t="s">
        <v>802</v>
      </c>
      <c r="B29" s="54">
        <v>93.94</v>
      </c>
      <c r="C29" s="54">
        <v>76.27</v>
      </c>
      <c r="D29" s="54">
        <v>118.72</v>
      </c>
      <c r="E29" s="54">
        <v>6.06</v>
      </c>
      <c r="F29" s="54">
        <v>2.82</v>
      </c>
      <c r="G29" s="54">
        <v>138.69999999999999</v>
      </c>
      <c r="H29" s="54">
        <v>32.43</v>
      </c>
      <c r="I29" s="54">
        <v>0.12</v>
      </c>
      <c r="J29" s="54">
        <v>0.11</v>
      </c>
      <c r="K29" s="54">
        <v>350.72</v>
      </c>
      <c r="L29" s="54">
        <v>26.37</v>
      </c>
      <c r="M29" s="54">
        <v>84.76</v>
      </c>
      <c r="N29" s="54">
        <v>6.90</v>
      </c>
      <c r="O29" s="54">
        <v>0</v>
      </c>
      <c r="P29" s="54">
        <v>3.38</v>
      </c>
      <c r="Q29" s="54">
        <v>17.760000000000002</v>
      </c>
      <c r="R29" s="43"/>
      <c r="S29" s="43"/>
      <c r="T29" s="43"/>
      <c r="U29" s="43"/>
    </row>
    <row r="30" spans="1:21" s="11" customFormat="1" ht="15">
      <c r="A30" s="53" t="s">
        <v>803</v>
      </c>
      <c r="B30" s="54">
        <v>67.70</v>
      </c>
      <c r="C30" s="54">
        <v>65.239999999999995</v>
      </c>
      <c r="D30" s="54">
        <v>90.55</v>
      </c>
      <c r="E30" s="54">
        <v>5.29</v>
      </c>
      <c r="F30" s="54">
        <v>3.30</v>
      </c>
      <c r="G30" s="54">
        <v>142.01</v>
      </c>
      <c r="H30" s="54">
        <v>37.22</v>
      </c>
      <c r="I30" s="54">
        <v>0.12</v>
      </c>
      <c r="J30" s="54">
        <v>0.070000000000000007</v>
      </c>
      <c r="K30" s="54">
        <v>356.08</v>
      </c>
      <c r="L30" s="54">
        <v>25.86</v>
      </c>
      <c r="M30" s="54">
        <v>92.44</v>
      </c>
      <c r="N30" s="54">
        <v>6.90</v>
      </c>
      <c r="O30" s="54">
        <v>0</v>
      </c>
      <c r="P30" s="54">
        <v>2.65</v>
      </c>
      <c r="Q30" s="54">
        <v>17.73</v>
      </c>
      <c r="R30" s="43"/>
      <c r="S30" s="43"/>
      <c r="T30" s="43"/>
      <c r="U30" s="43"/>
    </row>
    <row r="31" spans="1:21" s="11" customFormat="1" ht="15">
      <c r="A31" s="53" t="s">
        <v>804</v>
      </c>
      <c r="B31" s="54">
        <v>55.76</v>
      </c>
      <c r="C31" s="54">
        <v>51.89</v>
      </c>
      <c r="D31" s="54">
        <v>72.70</v>
      </c>
      <c r="E31" s="54">
        <v>4.62</v>
      </c>
      <c r="F31" s="54">
        <v>3.82</v>
      </c>
      <c r="G31" s="54">
        <v>142.01</v>
      </c>
      <c r="H31" s="54">
        <v>37.22</v>
      </c>
      <c r="I31" s="54">
        <v>0.11</v>
      </c>
      <c r="J31" s="54">
        <v>0.10</v>
      </c>
      <c r="K31" s="54">
        <v>338.47</v>
      </c>
      <c r="L31" s="54">
        <v>25.67</v>
      </c>
      <c r="M31" s="54">
        <v>96.47</v>
      </c>
      <c r="N31" s="54">
        <v>6.80</v>
      </c>
      <c r="O31" s="54">
        <v>0</v>
      </c>
      <c r="P31" s="54">
        <v>1.69</v>
      </c>
      <c r="Q31" s="54">
        <v>23.92</v>
      </c>
      <c r="R31" s="43"/>
      <c r="S31" s="43"/>
      <c r="T31" s="43"/>
      <c r="U31" s="43"/>
    </row>
    <row r="32" spans="1:21" s="11" customFormat="1" ht="15">
      <c r="A32" s="53" t="s">
        <v>805</v>
      </c>
      <c r="B32" s="54">
        <v>28.93</v>
      </c>
      <c r="C32" s="54">
        <v>66.91</v>
      </c>
      <c r="D32" s="54">
        <v>60.90</v>
      </c>
      <c r="E32" s="54">
        <v>4.01</v>
      </c>
      <c r="F32" s="54">
        <v>5.85</v>
      </c>
      <c r="G32" s="54">
        <v>124.69</v>
      </c>
      <c r="H32" s="54">
        <v>33.57</v>
      </c>
      <c r="I32" s="54">
        <v>0.11</v>
      </c>
      <c r="J32" s="54">
        <v>0.13</v>
      </c>
      <c r="K32" s="54">
        <v>349.40</v>
      </c>
      <c r="L32" s="54">
        <v>25.37</v>
      </c>
      <c r="M32" s="54">
        <v>94.91</v>
      </c>
      <c r="N32" s="54">
        <v>6.70</v>
      </c>
      <c r="O32" s="54">
        <v>0</v>
      </c>
      <c r="P32" s="54">
        <v>1.20</v>
      </c>
      <c r="Q32" s="54">
        <v>24.51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10.18</v>
      </c>
      <c r="C34" s="28">
        <f t="shared" si="0"/>
        <v>11.82</v>
      </c>
      <c r="D34" s="28">
        <f t="shared" si="0"/>
        <v>16.629999999999999</v>
      </c>
      <c r="E34" s="28">
        <f t="shared" si="0"/>
        <v>3.9700000000000002</v>
      </c>
      <c r="F34" s="28">
        <f t="shared" si="0"/>
        <v>2.1800000000000002</v>
      </c>
      <c r="G34" s="28">
        <f t="shared" si="0"/>
        <v>35.659999999999997</v>
      </c>
      <c r="H34" s="28">
        <f t="shared" si="0"/>
        <v>13.199999999999999</v>
      </c>
      <c r="I34" s="28">
        <f t="shared" si="0"/>
        <v>0.11</v>
      </c>
      <c r="J34" s="28">
        <f t="shared" si="0"/>
        <v>0.070000000000000007</v>
      </c>
      <c r="K34" s="28">
        <f t="shared" si="0"/>
        <v>106.61</v>
      </c>
      <c r="L34" s="28">
        <f t="shared" si="0"/>
        <v>21.82</v>
      </c>
      <c r="M34" s="28">
        <f t="shared" si="0"/>
        <v>55.549999999999997</v>
      </c>
      <c r="N34" s="28">
        <f t="shared" si="0"/>
        <v>6.5</v>
      </c>
      <c r="O34" s="28">
        <f t="shared" si="0"/>
        <v>0</v>
      </c>
      <c r="P34" s="28">
        <f t="shared" si="0"/>
        <v>0.52000000000000002</v>
      </c>
      <c r="Q34" s="28">
        <f t="shared" si="0"/>
        <v>15.68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93.939999999999998</v>
      </c>
      <c r="C35" s="29">
        <f t="shared" si="1"/>
        <v>77.450000000000003</v>
      </c>
      <c r="D35" s="29">
        <f t="shared" si="1"/>
        <v>118.72</v>
      </c>
      <c r="E35" s="29">
        <f t="shared" si="1"/>
        <v>11.710000000000001</v>
      </c>
      <c r="F35" s="29">
        <f t="shared" si="1"/>
        <v>33.049999999999997</v>
      </c>
      <c r="G35" s="29">
        <f t="shared" si="1"/>
        <v>142.00999999999999</v>
      </c>
      <c r="H35" s="29">
        <f t="shared" si="1"/>
        <v>37.219999999999999</v>
      </c>
      <c r="I35" s="29">
        <f t="shared" si="1"/>
        <v>0.14000000000000001</v>
      </c>
      <c r="J35" s="29">
        <f t="shared" si="1"/>
        <v>1.02</v>
      </c>
      <c r="K35" s="29">
        <f t="shared" si="1"/>
        <v>359.82999999999998</v>
      </c>
      <c r="L35" s="29">
        <f t="shared" si="1"/>
        <v>33.219999999999999</v>
      </c>
      <c r="M35" s="29">
        <f t="shared" si="1"/>
        <v>98.299999999999997</v>
      </c>
      <c r="N35" s="29">
        <f t="shared" si="1"/>
        <v>948.60000000000002</v>
      </c>
      <c r="O35" s="29">
        <f t="shared" si="1"/>
        <v>0</v>
      </c>
      <c r="P35" s="29">
        <f t="shared" si="1"/>
        <v>3.3799999999999999</v>
      </c>
      <c r="Q35" s="29">
        <f t="shared" si="1"/>
        <v>24.510000000000002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29.477499999999996</v>
      </c>
      <c r="C36" s="28">
        <f t="shared" si="2"/>
        <v>42.044166666666662</v>
      </c>
      <c r="D36" s="28">
        <f t="shared" si="2"/>
        <v>47.215833333333336</v>
      </c>
      <c r="E36" s="28">
        <f t="shared" si="2"/>
        <v>6.4387499999999989</v>
      </c>
      <c r="F36" s="28">
        <f t="shared" si="2"/>
        <v>12.340833333333334</v>
      </c>
      <c r="G36" s="28">
        <f t="shared" si="2"/>
        <v>81.91791666666667</v>
      </c>
      <c r="H36" s="28">
        <f t="shared" si="2"/>
        <v>24.041250000000005</v>
      </c>
      <c r="I36" s="28">
        <f t="shared" si="2"/>
        <v>0.12125000000000001</v>
      </c>
      <c r="J36" s="28">
        <f t="shared" si="2"/>
        <v>0.53291666666666659</v>
      </c>
      <c r="K36" s="28">
        <f t="shared" si="2"/>
        <v>298.66791666666666</v>
      </c>
      <c r="L36" s="28">
        <f t="shared" si="2"/>
        <v>27.575833333333335</v>
      </c>
      <c r="M36" s="28">
        <f t="shared" si="2"/>
        <v>78.476250000000007</v>
      </c>
      <c r="N36" s="28">
        <f t="shared" si="2"/>
        <v>263.81249999999994</v>
      </c>
      <c r="O36" s="28">
        <f t="shared" si="2"/>
        <v>0</v>
      </c>
      <c r="P36" s="28">
        <f t="shared" si="2"/>
        <v>1.1679166666666667</v>
      </c>
      <c r="Q36" s="28">
        <f t="shared" si="2"/>
        <v>19.251666666666669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21.055819034589735</v>
      </c>
      <c r="C37" s="28">
        <f t="shared" si="3" ref="C37:Q37">STDEV(C9:C32)</f>
        <v>20.417892604424129</v>
      </c>
      <c r="D37" s="28">
        <f t="shared" si="3"/>
        <v>25.491876782301809</v>
      </c>
      <c r="E37" s="28">
        <f t="shared" si="3"/>
        <v>2.3738801707789277</v>
      </c>
      <c r="F37" s="28">
        <f t="shared" si="3"/>
        <v>9.776818152569156</v>
      </c>
      <c r="G37" s="28">
        <f t="shared" si="3"/>
        <v>33.444902643935414</v>
      </c>
      <c r="H37" s="28">
        <f t="shared" si="3"/>
        <v>7.3189078019225882</v>
      </c>
      <c r="I37" s="28">
        <f t="shared" si="3"/>
        <v>0.0079741429960679261</v>
      </c>
      <c r="J37" s="28">
        <f t="shared" si="3"/>
        <v>0.27751191383225421</v>
      </c>
      <c r="K37" s="28">
        <f t="shared" si="3"/>
        <v>83.154403631419783</v>
      </c>
      <c r="L37" s="28">
        <f t="shared" si="3"/>
        <v>4.1308520193535179</v>
      </c>
      <c r="M37" s="28">
        <f t="shared" si="3"/>
        <v>18.354111922305638</v>
      </c>
      <c r="N37" s="28">
        <f t="shared" si="3"/>
        <v>352.69914179023073</v>
      </c>
      <c r="O37" s="28">
        <f t="shared" si="3"/>
        <v>0</v>
      </c>
      <c r="P37" s="28">
        <f t="shared" si="3"/>
        <v>0.8019648651453104</v>
      </c>
      <c r="Q37" s="28">
        <f t="shared" si="3"/>
        <v>2.0993718867415292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10a187-700f-43fd-b316-282c5108516d}">
  <sheetPr codeName=""/>
  <dimension ref="A1:X55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I46" sqref="I46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01-08-2023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01-08-2023 01:00</v>
      </c>
      <c r="B9" s="24">
        <f>'01'!B36</f>
        <v>11.854999999999999</v>
      </c>
      <c r="C9" s="24">
        <f>'01'!C36</f>
        <v>25.099583333333332</v>
      </c>
      <c r="D9" s="24">
        <f>'01'!D36</f>
        <v>23.770416666666673</v>
      </c>
      <c r="E9" s="24">
        <f>'01'!E36</f>
        <v>1.1658333333333333</v>
      </c>
      <c r="F9" s="24">
        <f>'01'!F36</f>
        <v>4.7558333333333334</v>
      </c>
      <c r="G9" s="24">
        <f>'01'!G36</f>
        <v>35.386249999999997</v>
      </c>
      <c r="H9" s="24">
        <f>'01'!H36</f>
        <v>15.845416666666667</v>
      </c>
      <c r="I9" s="56" t="s">
        <v>15</v>
      </c>
      <c r="J9" s="24">
        <f>'01'!J36</f>
        <v>0.33624999999999999</v>
      </c>
      <c r="K9" s="24">
        <f>'01'!K36</f>
        <v>103.90041666666667</v>
      </c>
      <c r="L9" s="24">
        <f>'01'!L36</f>
        <v>24.755416666666665</v>
      </c>
      <c r="M9" s="24">
        <f>'01'!M36</f>
        <v>93.790416666666658</v>
      </c>
      <c r="N9" s="24">
        <f>'01'!N36</f>
        <v>125.45833333333337</v>
      </c>
      <c r="O9" s="24">
        <f>'01'!O36</f>
        <v>0.1166666666666667</v>
      </c>
      <c r="P9" s="30">
        <f>'01'!$P$36</f>
        <v>0.60291666666666666</v>
      </c>
      <c r="Q9" s="24">
        <f>'01'!Q36</f>
        <v>16.265833333333337</v>
      </c>
      <c r="R9" s="45"/>
      <c r="S9" s="45"/>
      <c r="T9" s="45"/>
      <c r="U9" s="46"/>
    </row>
    <row r="10" spans="1:21" s="34" customFormat="1" ht="15">
      <c r="A10" s="36" t="str">
        <f>'02'!$B$2</f>
        <v>02-08-2023 01:00</v>
      </c>
      <c r="B10" s="33">
        <f>'02'!B36</f>
        <v>12.067500000000001</v>
      </c>
      <c r="C10" s="33">
        <f>'02'!C36</f>
        <v>23.633333333333329</v>
      </c>
      <c r="D10" s="33">
        <f>'02'!D36</f>
        <v>23.044166666666673</v>
      </c>
      <c r="E10" s="33">
        <f>'02'!E36</f>
        <v>1.0570833333333336</v>
      </c>
      <c r="F10" s="33">
        <f>'02'!F36</f>
        <v>3.1320833333333336</v>
      </c>
      <c r="G10" s="33">
        <f>'02'!G36</f>
        <v>26.206666666666663</v>
      </c>
      <c r="H10" s="33">
        <f>'02'!H36</f>
        <v>11.960416666666669</v>
      </c>
      <c r="I10" s="56" t="s">
        <v>15</v>
      </c>
      <c r="J10" s="33">
        <f>'02'!J36</f>
        <v>0.44708333333333328</v>
      </c>
      <c r="K10" s="33">
        <f>'02'!K36</f>
        <v>65.345416666666665</v>
      </c>
      <c r="L10" s="33">
        <f>'02'!L36</f>
        <v>22.237083333333334</v>
      </c>
      <c r="M10" s="33">
        <f>'02'!M36</f>
        <v>97.288749999999993</v>
      </c>
      <c r="N10" s="33">
        <f>'02'!N36</f>
        <v>90.641666666666652</v>
      </c>
      <c r="O10" s="33">
        <f>'02'!O36</f>
        <v>0.72499999999999998</v>
      </c>
      <c r="P10" s="30">
        <f>'02'!$P$36</f>
        <v>0.73874999999999991</v>
      </c>
      <c r="Q10" s="33">
        <f>'02'!Q36</f>
        <v>15.706666666666663</v>
      </c>
      <c r="R10" s="47"/>
      <c r="S10" s="47"/>
      <c r="T10" s="47"/>
      <c r="U10" s="47"/>
    </row>
    <row r="11" spans="1:21" s="34" customFormat="1" ht="15">
      <c r="A11" s="36" t="str">
        <f>'03'!$B$2</f>
        <v>03-08-2023 01:00</v>
      </c>
      <c r="B11" s="33">
        <f>'03'!B36</f>
        <v>5.1520833333333345</v>
      </c>
      <c r="C11" s="33">
        <f>'03'!C36</f>
        <v>22.088333333333335</v>
      </c>
      <c r="D11" s="33">
        <f>'03'!D36</f>
        <v>16.848333333333333</v>
      </c>
      <c r="E11" s="33">
        <f>'03'!E36</f>
        <v>0.97916666666666652</v>
      </c>
      <c r="F11" s="33">
        <f>'03'!F36</f>
        <v>4.0308333333333328</v>
      </c>
      <c r="G11" s="33">
        <f>'03'!G36</f>
        <v>18.854736842105261</v>
      </c>
      <c r="H11" s="33">
        <f>'03'!H36</f>
        <v>5.5789473684210513</v>
      </c>
      <c r="I11" s="56" t="s">
        <v>15</v>
      </c>
      <c r="J11" s="33">
        <f>'03'!J36</f>
        <v>0.55999999999999994</v>
      </c>
      <c r="K11" s="33">
        <f>'03'!K36</f>
        <v>41.244583333333345</v>
      </c>
      <c r="L11" s="33">
        <f>'03'!L36</f>
        <v>22.00708333333333</v>
      </c>
      <c r="M11" s="33">
        <f>'03'!M36</f>
        <v>94.451250000000002</v>
      </c>
      <c r="N11" s="33">
        <f>'03'!N36</f>
        <v>114.72916666666667</v>
      </c>
      <c r="O11" s="33">
        <f>'03'!O36</f>
        <v>0.71666666666666667</v>
      </c>
      <c r="P11" s="30">
        <f>'03'!$P$36</f>
        <v>0.41750000000000004</v>
      </c>
      <c r="Q11" s="33">
        <f>'03'!Q36</f>
        <v>13.779166666666667</v>
      </c>
      <c r="R11" s="47"/>
      <c r="S11" s="47"/>
      <c r="T11" s="47"/>
      <c r="U11" s="47"/>
    </row>
    <row r="12" spans="1:21" s="34" customFormat="1" ht="15">
      <c r="A12" s="36" t="str">
        <f>'04'!$B$2</f>
        <v>04-08-2023 01:00</v>
      </c>
      <c r="B12" s="33">
        <f>'04'!B36</f>
        <v>8.1582608695652166</v>
      </c>
      <c r="C12" s="33">
        <f>'04'!C36</f>
        <v>24.656086956521744</v>
      </c>
      <c r="D12" s="33">
        <f>'04'!D36</f>
        <v>21.692173913043483</v>
      </c>
      <c r="E12" s="33">
        <f>'04'!E36</f>
        <v>2.4304347826086956</v>
      </c>
      <c r="F12" s="33">
        <f>'04'!F36</f>
        <v>5.4229166666666657</v>
      </c>
      <c r="G12" s="33">
        <f>'04'!G36</f>
        <v>16.779583333333331</v>
      </c>
      <c r="H12" s="33">
        <f>'04'!H36</f>
        <v>10.391250000000001</v>
      </c>
      <c r="I12" s="33">
        <f>'04'!I36</f>
        <v>1.7380000000000002</v>
      </c>
      <c r="J12" s="33">
        <f>'04'!J36</f>
        <v>0.34500000000000003</v>
      </c>
      <c r="K12" s="33">
        <f>'04'!K36</f>
        <v>96.180416666666645</v>
      </c>
      <c r="L12" s="33">
        <f>'04'!L36</f>
        <v>21.65958333333333</v>
      </c>
      <c r="M12" s="33">
        <f>'04'!M36</f>
        <v>97.160416666666677</v>
      </c>
      <c r="N12" s="33">
        <f>'04'!N36</f>
        <v>117.91250000000002</v>
      </c>
      <c r="O12" s="33">
        <f>'04'!O36</f>
        <v>0.15833333333333338</v>
      </c>
      <c r="P12" s="30">
        <f>'04'!$P$36</f>
        <v>0.42041666666666666</v>
      </c>
      <c r="Q12" s="33">
        <f>'04'!Q36</f>
        <v>13.405454545454546</v>
      </c>
      <c r="R12" s="47"/>
      <c r="S12" s="47"/>
      <c r="T12" s="47"/>
      <c r="U12" s="47"/>
    </row>
    <row r="13" spans="1:21" s="34" customFormat="1" ht="15">
      <c r="A13" s="36" t="str">
        <f>'05'!$B$2</f>
        <v>05-08-2023 01:00</v>
      </c>
      <c r="B13" s="33">
        <f>'05'!B36</f>
        <v>10.1425</v>
      </c>
      <c r="C13" s="33">
        <f>'05'!C36</f>
        <v>30.249166666666664</v>
      </c>
      <c r="D13" s="33">
        <f>'05'!D36</f>
        <v>25.758749999999996</v>
      </c>
      <c r="E13" s="33">
        <f>'05'!E36</f>
        <v>4.4070833333333335</v>
      </c>
      <c r="F13" s="33">
        <f>'05'!F36</f>
        <v>4.7145833333333327</v>
      </c>
      <c r="G13" s="33">
        <f>'05'!G36</f>
        <v>29.812083333333334</v>
      </c>
      <c r="H13" s="33">
        <f>'05'!H36</f>
        <v>9.5654166666666658</v>
      </c>
      <c r="I13" s="33">
        <f>'05'!I36</f>
        <v>1.7329166666666662</v>
      </c>
      <c r="J13" s="33">
        <f>'05'!J36</f>
        <v>0.47791666666666671</v>
      </c>
      <c r="K13" s="33">
        <f>'05'!K36</f>
        <v>100.32333333333332</v>
      </c>
      <c r="L13" s="33">
        <f>'05'!L36</f>
        <v>24.629166666666666</v>
      </c>
      <c r="M13" s="33">
        <f>'05'!M36</f>
        <v>88.654583333333335</v>
      </c>
      <c r="N13" s="33">
        <f>'05'!N36</f>
        <v>241.63333333333341</v>
      </c>
      <c r="O13" s="33">
        <f>'05'!O36</f>
        <v>0.083333333333333329</v>
      </c>
      <c r="P13" s="30">
        <f>'05'!$P$36</f>
        <v>0.49166666666666664</v>
      </c>
      <c r="Q13" s="33">
        <f>'05'!Q36</f>
        <v>13.106249999999998</v>
      </c>
      <c r="R13" s="47"/>
      <c r="S13" s="47"/>
      <c r="T13" s="47"/>
      <c r="U13" s="47"/>
    </row>
    <row r="14" spans="1:21" s="34" customFormat="1" ht="15">
      <c r="A14" s="36" t="str">
        <f>'06'!$B$2</f>
        <v>06-08-2023 01:00</v>
      </c>
      <c r="B14" s="33">
        <f>'06'!B36</f>
        <v>8.5858333333333317</v>
      </c>
      <c r="C14" s="33">
        <f>'06'!C36</f>
        <v>30.118749999999995</v>
      </c>
      <c r="D14" s="33">
        <f>'06'!D36</f>
        <v>24.685416666666669</v>
      </c>
      <c r="E14" s="33">
        <f>'06'!E36</f>
        <v>4.5541666666666663</v>
      </c>
      <c r="F14" s="33">
        <f>'06'!F36</f>
        <v>4.8800000000000008</v>
      </c>
      <c r="G14" s="33">
        <f>'06'!G36</f>
        <v>35.837083333333332</v>
      </c>
      <c r="H14" s="33">
        <f>'06'!H36</f>
        <v>11.757083333333332</v>
      </c>
      <c r="I14" s="33">
        <f>'06'!I36</f>
        <v>1.7316666666666667</v>
      </c>
      <c r="J14" s="33">
        <f>'06'!J36</f>
        <v>0.41416666666666663</v>
      </c>
      <c r="K14" s="33">
        <f>'06'!K36</f>
        <v>77.212916666666658</v>
      </c>
      <c r="L14" s="33">
        <f>'06'!L36</f>
        <v>24.829166666666666</v>
      </c>
      <c r="M14" s="33">
        <f>'06'!M36</f>
        <v>90.787916666666661</v>
      </c>
      <c r="N14" s="33">
        <f>'07'!N36</f>
        <v>207.8333333333334</v>
      </c>
      <c r="O14" s="33">
        <f>'07'!O36</f>
        <v>0.083333333333333329</v>
      </c>
      <c r="P14" s="30">
        <f>'07'!$P$36</f>
        <v>0.47166666666666668</v>
      </c>
      <c r="Q14" s="33">
        <f>'06'!Q36</f>
        <v>13.005000000000001</v>
      </c>
      <c r="R14" s="47"/>
      <c r="S14" s="47"/>
      <c r="T14" s="47"/>
      <c r="U14" s="47"/>
    </row>
    <row r="15" spans="1:21" s="34" customFormat="1" ht="15">
      <c r="A15" s="36" t="str">
        <f>'07'!$B$2</f>
        <v>07-08-2023 01:00</v>
      </c>
      <c r="B15" s="33">
        <f>'07'!B36</f>
        <v>7.2091666666666647</v>
      </c>
      <c r="C15" s="33">
        <f>'07'!C36</f>
        <v>32.290416666666665</v>
      </c>
      <c r="D15" s="33">
        <f>'07'!D36</f>
        <v>24.734583333333333</v>
      </c>
      <c r="E15" s="33">
        <f>'07'!E36</f>
        <v>4.2983333333333338</v>
      </c>
      <c r="F15" s="33">
        <f>'07'!F36</f>
        <v>4.8783333333333339</v>
      </c>
      <c r="G15" s="33">
        <f>'07'!G36</f>
        <v>45.647500000000001</v>
      </c>
      <c r="H15" s="33">
        <f>'07'!H36</f>
        <v>13.243333333333334</v>
      </c>
      <c r="I15" s="33">
        <f>'07'!I36</f>
        <v>1.7316666666666667</v>
      </c>
      <c r="J15" s="33">
        <f>'07'!J36</f>
        <v>0.31125000000000008</v>
      </c>
      <c r="K15" s="33">
        <f>'07'!K36</f>
        <v>59.429583333333333</v>
      </c>
      <c r="L15" s="33">
        <f>'07'!L36</f>
        <v>24.637500000000003</v>
      </c>
      <c r="M15" s="33">
        <f>'07'!M36</f>
        <v>89.03666666666669</v>
      </c>
      <c r="N15" s="33">
        <f>'06'!N37</f>
        <v>203.38387332218906</v>
      </c>
      <c r="O15" s="33">
        <f>'06'!O37</f>
        <v>0.067566392469217626</v>
      </c>
      <c r="P15" s="30">
        <f>'06'!$P$36</f>
        <v>0.47208333333333324</v>
      </c>
      <c r="Q15" s="33">
        <f>'07'!Q36</f>
        <v>12.079166666666666</v>
      </c>
      <c r="R15" s="47"/>
      <c r="S15" s="47"/>
      <c r="T15" s="47"/>
      <c r="U15" s="47"/>
    </row>
    <row r="16" spans="1:21" s="34" customFormat="1" ht="15">
      <c r="A16" s="36" t="str">
        <f>'08'!$B$2</f>
        <v>08-08-2023 01:00</v>
      </c>
      <c r="B16" s="33">
        <f>'08'!B36</f>
        <v>7.5145833333333334</v>
      </c>
      <c r="C16" s="33">
        <f>'08'!C36</f>
        <v>33.853749999999998</v>
      </c>
      <c r="D16" s="33">
        <f>'08'!D36</f>
        <v>25.900000000000006</v>
      </c>
      <c r="E16" s="33">
        <f>'08'!E36</f>
        <v>4.2833333333333323</v>
      </c>
      <c r="F16" s="33">
        <f>'08'!F36</f>
        <v>5.1812499999999995</v>
      </c>
      <c r="G16" s="33">
        <f>'08'!G36</f>
        <v>50.099166666666662</v>
      </c>
      <c r="H16" s="33">
        <f>'08'!H36</f>
        <v>15.046666666666667</v>
      </c>
      <c r="I16" s="33">
        <f>'08'!I36</f>
        <v>1.7370833333333335</v>
      </c>
      <c r="J16" s="33">
        <f>'08'!J36</f>
        <v>0.30333333333333329</v>
      </c>
      <c r="K16" s="33">
        <f>'08'!K36</f>
        <v>50.678333333333335</v>
      </c>
      <c r="L16" s="33">
        <f>'08'!L36</f>
        <v>25.257083333333338</v>
      </c>
      <c r="M16" s="33">
        <f>'08'!M36</f>
        <v>83.212083333333339</v>
      </c>
      <c r="N16" s="33">
        <f>'08'!N36</f>
        <v>220.11250000000004</v>
      </c>
      <c r="O16" s="33">
        <f>'08'!O36</f>
        <v>0</v>
      </c>
      <c r="P16" s="30">
        <f>'08'!$P$36</f>
        <v>0.46583333333333332</v>
      </c>
      <c r="Q16" s="33">
        <f>'08'!Q36</f>
        <v>12.554166666666667</v>
      </c>
      <c r="R16" s="47"/>
      <c r="S16" s="47"/>
      <c r="T16" s="47"/>
      <c r="U16" s="47"/>
    </row>
    <row r="17" spans="1:24" s="34" customFormat="1" ht="15">
      <c r="A17" s="36" t="str">
        <f>'09'!$B$2</f>
        <v>09-08-2023 01:00</v>
      </c>
      <c r="B17" s="33">
        <f>'09'!B36</f>
        <v>11.2525</v>
      </c>
      <c r="C17" s="33">
        <f>'09'!C36</f>
        <v>35.070416666666667</v>
      </c>
      <c r="D17" s="33">
        <f>'09'!D36</f>
        <v>29.447916666666668</v>
      </c>
      <c r="E17" s="33">
        <f>'09'!E36</f>
        <v>4.6562500000000009</v>
      </c>
      <c r="F17" s="33">
        <f>'09'!F36</f>
        <v>6.6079166666666671</v>
      </c>
      <c r="G17" s="33">
        <f>'09'!G36</f>
        <v>55.095833333333331</v>
      </c>
      <c r="H17" s="33">
        <f>'09'!H36</f>
        <v>17.302083333333332</v>
      </c>
      <c r="I17" s="33">
        <f>'09'!I36</f>
        <v>1.7304166666666665</v>
      </c>
      <c r="J17" s="33">
        <f>'09'!J36</f>
        <v>0.42291666666666666</v>
      </c>
      <c r="K17" s="33">
        <f>'09'!K36</f>
        <v>116.64541666666668</v>
      </c>
      <c r="L17" s="33">
        <f>'09'!L36</f>
        <v>25.421250000000011</v>
      </c>
      <c r="M17" s="33">
        <f>'09'!M36</f>
        <v>84.926666666666677</v>
      </c>
      <c r="N17" s="33">
        <f>'09'!N37</f>
        <v>265.82142798519266</v>
      </c>
      <c r="O17" s="33">
        <f>'09'!O37</f>
        <v>0.081649658092772623</v>
      </c>
      <c r="P17" s="30">
        <f>'09'!$P$36</f>
        <v>0.53749999999999998</v>
      </c>
      <c r="Q17" s="33">
        <f>'09'!Q36</f>
        <v>13.905833333333335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10-08-2023 01:00</v>
      </c>
      <c r="B18" s="33">
        <f>'10'!B36</f>
        <v>13.290833333333333</v>
      </c>
      <c r="C18" s="33">
        <f>'10'!C36</f>
        <v>36.586666666666673</v>
      </c>
      <c r="D18" s="33">
        <f>'10'!D36</f>
        <v>31.960833333333337</v>
      </c>
      <c r="E18" s="33">
        <f>'10'!E36</f>
        <v>4.7133333333333338</v>
      </c>
      <c r="F18" s="33">
        <f>'10'!F36</f>
        <v>7.0179166666666672</v>
      </c>
      <c r="G18" s="33">
        <f>'10'!G36</f>
        <v>61.338750000000005</v>
      </c>
      <c r="H18" s="33">
        <f>'10'!H36</f>
        <v>17.462083333333336</v>
      </c>
      <c r="I18" s="33">
        <f>'10'!I36</f>
        <v>1.7337500000000003</v>
      </c>
      <c r="J18" s="33">
        <f>'10'!J36</f>
        <v>0.35166666666666663</v>
      </c>
      <c r="K18" s="33">
        <f>'10'!K36</f>
        <v>90.964999999999989</v>
      </c>
      <c r="L18" s="33">
        <f>'10'!L36</f>
        <v>26.84</v>
      </c>
      <c r="M18" s="33">
        <f>'10'!M36</f>
        <v>78.894166666666663</v>
      </c>
      <c r="N18" s="33">
        <f>'10'!N36</f>
        <v>271.55833333333328</v>
      </c>
      <c r="O18" s="33">
        <f>'10'!O36</f>
        <v>0</v>
      </c>
      <c r="P18" s="30">
        <f>'10'!$P$36</f>
        <v>0.57916666666666683</v>
      </c>
      <c r="Q18" s="33">
        <f>'10'!Q36</f>
        <v>15.409583333333339</v>
      </c>
      <c r="R18" s="47"/>
      <c r="S18" s="47"/>
      <c r="T18" s="47"/>
      <c r="U18" s="47"/>
    </row>
    <row r="19" spans="1:21" s="34" customFormat="1" ht="15">
      <c r="A19" s="36" t="str">
        <f>'11'!$B$2</f>
        <v>11-08-2023 01:00</v>
      </c>
      <c r="B19" s="33">
        <f>'11'!B36</f>
        <v>9.5062499999999996</v>
      </c>
      <c r="C19" s="33">
        <f>'11'!C36</f>
        <v>35.050833333333337</v>
      </c>
      <c r="D19" s="33">
        <f>'11'!D36</f>
        <v>27.955833333333334</v>
      </c>
      <c r="E19" s="33">
        <f>'11'!E36</f>
        <v>4.8875000000000011</v>
      </c>
      <c r="F19" s="33">
        <f>'11'!F36</f>
        <v>8.7758333333333329</v>
      </c>
      <c r="G19" s="33">
        <f>'11'!G36</f>
        <v>61.302916666666668</v>
      </c>
      <c r="H19" s="33">
        <f>'11'!H36</f>
        <v>18.324583333333333</v>
      </c>
      <c r="I19" s="33">
        <f>'11'!I36</f>
        <v>1.7366666666666664</v>
      </c>
      <c r="J19" s="33">
        <f>'11'!J36</f>
        <v>0.34833333333333338</v>
      </c>
      <c r="K19" s="33">
        <f>'11'!K36</f>
        <v>89.890833333333333</v>
      </c>
      <c r="L19" s="33">
        <f>'11'!L36</f>
        <v>27.474583333333339</v>
      </c>
      <c r="M19" s="33">
        <f>'11'!M36</f>
        <v>74.578749999999985</v>
      </c>
      <c r="N19" s="33">
        <f>'11'!N36</f>
        <v>299.38333333333333</v>
      </c>
      <c r="O19" s="33">
        <f>'11'!O36</f>
        <v>0</v>
      </c>
      <c r="P19" s="33">
        <f>'11'!P36</f>
        <v>0.52583333333333337</v>
      </c>
      <c r="Q19" s="33">
        <f>'11'!Q36</f>
        <v>14.340416666666668</v>
      </c>
      <c r="R19" s="47"/>
      <c r="S19" s="47"/>
      <c r="T19" s="47"/>
      <c r="U19" s="47"/>
    </row>
    <row r="20" spans="1:21" s="34" customFormat="1" ht="15">
      <c r="A20" s="36" t="str">
        <f>'12'!$B$2</f>
        <v>12-08-2023 01:00</v>
      </c>
      <c r="B20" s="33">
        <f>'12'!B36</f>
        <v>8.6241666666666656</v>
      </c>
      <c r="C20" s="33">
        <f>'12'!C36</f>
        <v>36.894583333333337</v>
      </c>
      <c r="D20" s="33">
        <f>'12'!D36</f>
        <v>28.385000000000005</v>
      </c>
      <c r="E20" s="33">
        <f>'12'!E36</f>
        <v>4.6350000000000007</v>
      </c>
      <c r="F20" s="33">
        <f>'12'!F36</f>
        <v>7.229166666666667</v>
      </c>
      <c r="G20" s="33">
        <f>'12'!G36</f>
        <v>55.416666666666664</v>
      </c>
      <c r="H20" s="33">
        <f>'12'!H36</f>
        <v>17.401250000000001</v>
      </c>
      <c r="I20" s="33">
        <f>'12'!I36</f>
        <v>1.7324999999999999</v>
      </c>
      <c r="J20" s="33">
        <f>'12'!J36</f>
        <v>0.43208333333333337</v>
      </c>
      <c r="K20" s="33">
        <f>'12'!K36</f>
        <v>135.49541666666667</v>
      </c>
      <c r="L20" s="33">
        <f>'12'!L36</f>
        <v>27.95333333333333</v>
      </c>
      <c r="M20" s="33">
        <f>'12'!M36</f>
        <v>71.845416666666665</v>
      </c>
      <c r="N20" s="33">
        <f>'12'!N36</f>
        <v>309.13333333333327</v>
      </c>
      <c r="O20" s="33">
        <f>'12'!O36</f>
        <v>0</v>
      </c>
      <c r="P20" s="33">
        <f>'12'!P36</f>
        <v>0.53791666666666671</v>
      </c>
      <c r="Q20" s="33">
        <f>'12'!Q36</f>
        <v>12.842916666666669</v>
      </c>
      <c r="R20" s="47"/>
      <c r="S20" s="47"/>
      <c r="T20" s="47"/>
      <c r="U20" s="47"/>
    </row>
    <row r="21" spans="1:21" s="34" customFormat="1" ht="15">
      <c r="A21" s="36" t="str">
        <f>'13'!$B$2</f>
        <v>13-08-2023 01:00</v>
      </c>
      <c r="B21" s="33">
        <f>'13'!B36</f>
        <v>7.8062500000000012</v>
      </c>
      <c r="C21" s="33">
        <f>'13'!C36</f>
        <v>34.839166666666664</v>
      </c>
      <c r="D21" s="33">
        <f>'13'!D36</f>
        <v>26.535833333333333</v>
      </c>
      <c r="E21" s="33">
        <f>'13'!E36</f>
        <v>4.6487500000000006</v>
      </c>
      <c r="F21" s="33">
        <f>'13'!F36</f>
        <v>7.7837500000000004</v>
      </c>
      <c r="G21" s="33">
        <f>'13'!G36</f>
        <v>47.762499999999996</v>
      </c>
      <c r="H21" s="33">
        <f>'13'!H36</f>
        <v>14.541250000000003</v>
      </c>
      <c r="I21" s="33">
        <f>'13'!I36</f>
        <v>1.740833333333333</v>
      </c>
      <c r="J21" s="33">
        <f>'13'!J36</f>
        <v>0.31124999999999997</v>
      </c>
      <c r="K21" s="33">
        <f>'13'!K36</f>
        <v>105.37791666666668</v>
      </c>
      <c r="L21" s="33">
        <f>'13'!L36</f>
        <v>26.884166666666673</v>
      </c>
      <c r="M21" s="33">
        <f>'13'!M36</f>
        <v>74.484166666666667</v>
      </c>
      <c r="N21" s="33">
        <f>'13'!N36</f>
        <v>302.94583333333327</v>
      </c>
      <c r="O21" s="33">
        <f>'13'!O36</f>
        <v>0</v>
      </c>
      <c r="P21" s="33">
        <f>'13'!P36</f>
        <v>0.48583333333333334</v>
      </c>
      <c r="Q21" s="33">
        <f>'13'!Q36</f>
        <v>12.681666666666663</v>
      </c>
      <c r="R21" s="47"/>
      <c r="S21" s="47"/>
      <c r="T21" s="47"/>
      <c r="U21" s="47"/>
    </row>
    <row r="22" spans="1:21" s="34" customFormat="1" ht="15">
      <c r="A22" s="36" t="str">
        <f>'14'!$B$2</f>
        <v>14-08-2023 01:00</v>
      </c>
      <c r="B22" s="30">
        <f>'14'!B36</f>
        <v>9.9309523809523803</v>
      </c>
      <c r="C22" s="30">
        <f>'14'!C36</f>
        <v>30.965238095238089</v>
      </c>
      <c r="D22" s="30">
        <f>'14'!D36</f>
        <v>25.917142857142856</v>
      </c>
      <c r="E22" s="30">
        <f>'14'!E36</f>
        <v>4.6090909090909085</v>
      </c>
      <c r="F22" s="30">
        <f>'14'!F36</f>
        <v>9.5204347826086941</v>
      </c>
      <c r="G22" s="30">
        <f>'14'!G36</f>
        <v>49.033000000000001</v>
      </c>
      <c r="H22" s="30">
        <f>'14'!H36</f>
        <v>14.682499999999999</v>
      </c>
      <c r="I22" s="30">
        <f>'14'!I36</f>
        <v>1.7341666666666669</v>
      </c>
      <c r="J22" s="30">
        <f>'14'!J36</f>
        <v>0.33708333333333323</v>
      </c>
      <c r="K22" s="30">
        <f>'14'!K36</f>
        <v>170.18416666666664</v>
      </c>
      <c r="L22" s="30">
        <f>'14'!L36</f>
        <v>26.02333333333333</v>
      </c>
      <c r="M22" s="30">
        <f>'14'!M36</f>
        <v>83.086249999999993</v>
      </c>
      <c r="N22" s="30">
        <f>'14'!N36</f>
        <v>211.30833333333328</v>
      </c>
      <c r="O22" s="30">
        <f>'14'!O36</f>
        <v>0.14166666666666666</v>
      </c>
      <c r="P22" s="30">
        <f>'14'!P36</f>
        <v>0.50818181818181818</v>
      </c>
      <c r="Q22" s="30">
        <f>'14'!Q36</f>
        <v>11.287391304347825</v>
      </c>
      <c r="R22" s="48"/>
      <c r="S22" s="48"/>
      <c r="T22" s="48"/>
      <c r="U22" s="48"/>
    </row>
    <row r="23" spans="1:21" s="34" customFormat="1" ht="15">
      <c r="A23" s="36" t="str">
        <f>'15'!$B$2</f>
        <v>15-08-2023 01:00</v>
      </c>
      <c r="B23" s="33">
        <f>'15'!B36</f>
        <v>7.845416666666666</v>
      </c>
      <c r="C23" s="33">
        <f>'15'!C36</f>
        <v>19.875833333333333</v>
      </c>
      <c r="D23" s="33">
        <f>'15'!D36</f>
        <v>18.129166666666666</v>
      </c>
      <c r="E23" s="33">
        <f>'15'!E36</f>
        <v>4.3887500000000008</v>
      </c>
      <c r="F23" s="33">
        <f>'15'!F36</f>
        <v>5.2287500000000007</v>
      </c>
      <c r="G23" s="33">
        <f>'15'!G36</f>
        <v>49.858333333333341</v>
      </c>
      <c r="H23" s="33">
        <f>'15'!H36</f>
        <v>22.992500000000003</v>
      </c>
      <c r="I23" s="33">
        <f>'15'!I36</f>
        <v>1.7312499999999995</v>
      </c>
      <c r="J23" s="33">
        <f>'15'!J36</f>
        <v>0.35708333333333336</v>
      </c>
      <c r="K23" s="33">
        <f>'15'!K36</f>
        <v>131.23416666666665</v>
      </c>
      <c r="L23" s="33">
        <f>'15'!L36</f>
        <v>26.900000000000002</v>
      </c>
      <c r="M23" s="33">
        <f>'15'!M36</f>
        <v>77.765000000000015</v>
      </c>
      <c r="N23" s="33">
        <f>'15'!N36</f>
        <v>280.10833333333329</v>
      </c>
      <c r="O23" s="33">
        <f>'15'!O36</f>
        <v>0</v>
      </c>
      <c r="P23" s="30">
        <f>'15'!P36</f>
        <v>0.51916666666666667</v>
      </c>
      <c r="Q23" s="30">
        <f>'15'!Q36</f>
        <v>4.1270833333333332</v>
      </c>
      <c r="R23" s="48"/>
      <c r="S23" s="48"/>
      <c r="T23" s="48"/>
      <c r="U23" s="47"/>
    </row>
    <row r="24" spans="1:21" s="34" customFormat="1" ht="15">
      <c r="A24" s="36" t="str">
        <f>'16'!$B$2</f>
        <v>16-08-2023 01:00</v>
      </c>
      <c r="B24" s="33">
        <f>'16'!B36</f>
        <v>7.9920833333333325</v>
      </c>
      <c r="C24" s="33">
        <f>'16'!C36</f>
        <v>18.283333333333331</v>
      </c>
      <c r="D24" s="33">
        <f>'16'!D36</f>
        <v>17.595833333333335</v>
      </c>
      <c r="E24" s="33">
        <f>'16'!E36</f>
        <v>4.5187499999999998</v>
      </c>
      <c r="F24" s="33">
        <f>'16'!F36</f>
        <v>4.9020833333333327</v>
      </c>
      <c r="G24" s="33">
        <f>'16'!G36</f>
        <v>44.875000000000007</v>
      </c>
      <c r="H24" s="33">
        <f>'16'!H36</f>
        <v>14.094583333333333</v>
      </c>
      <c r="I24" s="33">
        <f>'16'!I36</f>
        <v>1.7379166666666663</v>
      </c>
      <c r="J24" s="33">
        <f>'16'!J36</f>
        <v>0.42166666666666663</v>
      </c>
      <c r="K24" s="33">
        <f>'16'!K36</f>
        <v>145.31291666666667</v>
      </c>
      <c r="L24" s="33">
        <f>'16'!L36</f>
        <v>27.728749999999994</v>
      </c>
      <c r="M24" s="33">
        <f>'16'!M36</f>
        <v>75.897500000000022</v>
      </c>
      <c r="N24" s="33">
        <f>'16'!N36</f>
        <v>322.10416666666663</v>
      </c>
      <c r="O24" s="33">
        <f>'16'!O36</f>
        <v>0</v>
      </c>
      <c r="P24" s="30">
        <f>'16'!P36</f>
        <v>0.49208333333333337</v>
      </c>
      <c r="Q24" s="30">
        <f>'16'!Q36</f>
        <v>2.9478260869565212</v>
      </c>
      <c r="R24" s="48"/>
      <c r="S24" s="48"/>
      <c r="T24" s="48"/>
      <c r="U24" s="47"/>
    </row>
    <row r="25" spans="1:21" s="34" customFormat="1" ht="15">
      <c r="A25" s="36" t="str">
        <f>'17'!$B$2</f>
        <v>17-08-2023 01:00</v>
      </c>
      <c r="B25" s="33">
        <f>'17'!B36</f>
        <v>9.4541666666666675</v>
      </c>
      <c r="C25" s="33">
        <f>'17'!C36</f>
        <v>18.812499999999996</v>
      </c>
      <c r="D25" s="33">
        <f>'17'!D36</f>
        <v>19.001666666666669</v>
      </c>
      <c r="E25" s="33">
        <f>'17'!E36</f>
        <v>4.5254166666666666</v>
      </c>
      <c r="F25" s="33">
        <f>'17'!F36</f>
        <v>4.7795833333333331</v>
      </c>
      <c r="G25" s="33">
        <f>'17'!G36</f>
        <v>44.513749999999995</v>
      </c>
      <c r="H25" s="33">
        <f>'17'!H36</f>
        <v>14.2475</v>
      </c>
      <c r="I25" s="33">
        <f>'17'!I36</f>
        <v>1.2991666666666666</v>
      </c>
      <c r="J25" s="33">
        <f>'17'!J36</f>
        <v>0.60999999999999999</v>
      </c>
      <c r="K25" s="33">
        <f>'17'!K36</f>
        <v>270.59833333333341</v>
      </c>
      <c r="L25" s="33">
        <f>'17'!L36</f>
        <v>25.960000000000004</v>
      </c>
      <c r="M25" s="33">
        <f>'17'!M36</f>
        <v>85.41791666666667</v>
      </c>
      <c r="N25" s="33">
        <f>'17'!N36</f>
        <v>192.01250000000007</v>
      </c>
      <c r="O25" s="33">
        <f>'17'!O36</f>
        <v>1.4333333333333329</v>
      </c>
      <c r="P25" s="30">
        <f>'17'!P36</f>
        <v>0.50083333333333324</v>
      </c>
      <c r="Q25" s="30">
        <f>'17'!Q36</f>
        <v>6.6774999999999993</v>
      </c>
      <c r="R25" s="48"/>
      <c r="S25" s="48"/>
      <c r="T25" s="48"/>
      <c r="U25" s="47"/>
    </row>
    <row r="26" spans="1:21" s="34" customFormat="1" ht="15">
      <c r="A26" s="36" t="str">
        <f>'18'!$B$2</f>
        <v>18-08-2023 01:00</v>
      </c>
      <c r="B26" s="33">
        <f>'18'!B36</f>
        <v>10.334166666666667</v>
      </c>
      <c r="C26" s="33">
        <f>'18'!C36</f>
        <v>19.019166666666667</v>
      </c>
      <c r="D26" s="33">
        <f>'18'!D36</f>
        <v>19.732083333333335</v>
      </c>
      <c r="E26" s="33">
        <f>'18'!E36</f>
        <v>5.0008333333333335</v>
      </c>
      <c r="F26" s="33">
        <f>'18'!F36</f>
        <v>4.7383333333333342</v>
      </c>
      <c r="G26" s="33">
        <f>'18'!G36</f>
        <v>34.803750000000001</v>
      </c>
      <c r="H26" s="33">
        <f>'18'!H36</f>
        <v>12.032083333333331</v>
      </c>
      <c r="I26" s="33">
        <f>'18'!I36</f>
        <v>0.41260869565217401</v>
      </c>
      <c r="J26" s="33">
        <f>'18'!J36</f>
        <v>0.48416666666666658</v>
      </c>
      <c r="K26" s="33">
        <f>'18'!K36</f>
        <v>278.78500000000008</v>
      </c>
      <c r="L26" s="33">
        <f>'18'!L36</f>
        <v>24.222083333333334</v>
      </c>
      <c r="M26" s="33">
        <f>'18'!M36</f>
        <v>94.549583333333331</v>
      </c>
      <c r="N26" s="33">
        <f>'18'!N36</f>
        <v>173.49583333333337</v>
      </c>
      <c r="O26" s="33">
        <f>'18'!O36</f>
        <v>1.2499999999999998</v>
      </c>
      <c r="P26" s="30">
        <f>'18'!P36</f>
        <v>0.58374999999999999</v>
      </c>
      <c r="Q26" s="30">
        <f>'18'!Q36</f>
        <v>11.984166666666665</v>
      </c>
      <c r="R26" s="48"/>
      <c r="S26" s="48"/>
      <c r="T26" s="48"/>
      <c r="U26" s="47"/>
    </row>
    <row r="27" spans="1:21" s="34" customFormat="1" ht="15">
      <c r="A27" s="36" t="str">
        <f>'19'!$B$2</f>
        <v>19-08-2023 01:00</v>
      </c>
      <c r="B27" s="33">
        <f>'19'!B36</f>
        <v>8.6908333333333321</v>
      </c>
      <c r="C27" s="33">
        <f>'19'!C36</f>
        <v>18.96083333333333</v>
      </c>
      <c r="D27" s="33">
        <f>'19'!D36</f>
        <v>18.472916666666666</v>
      </c>
      <c r="E27" s="33">
        <f>'19'!E36</f>
        <v>4.8045833333333325</v>
      </c>
      <c r="F27" s="33">
        <f>'19'!F36</f>
        <v>6.9404166666666667</v>
      </c>
      <c r="G27" s="33">
        <f>'19'!G36</f>
        <v>19.223333333333333</v>
      </c>
      <c r="H27" s="33">
        <f>'19'!H36</f>
        <v>14.860416666666667</v>
      </c>
      <c r="I27" s="57" t="s">
        <v>8</v>
      </c>
      <c r="J27" s="33">
        <f>'19'!J36</f>
        <v>1.20625</v>
      </c>
      <c r="K27" s="33">
        <f>'19'!K36</f>
        <v>196.05208333333329</v>
      </c>
      <c r="L27" s="33">
        <f>'19'!L36</f>
        <v>23.893333333333331</v>
      </c>
      <c r="M27" s="33">
        <f>'19'!M36</f>
        <v>93.844166666666638</v>
      </c>
      <c r="N27" s="33">
        <f>'19'!N36</f>
        <v>197.33749999999998</v>
      </c>
      <c r="O27" s="33">
        <f>'19'!O36</f>
        <v>0.52500000000000002</v>
      </c>
      <c r="P27" s="30">
        <f>'19'!P36</f>
        <v>0.54541666666666677</v>
      </c>
      <c r="Q27" s="30">
        <f>'19'!Q36</f>
        <v>16.654166666666665</v>
      </c>
      <c r="R27" s="48"/>
      <c r="S27" s="48"/>
      <c r="T27" s="48"/>
      <c r="U27" s="47"/>
    </row>
    <row r="28" spans="1:21" s="34" customFormat="1" ht="15">
      <c r="A28" s="36" t="str">
        <f>'20'!$B$2</f>
        <v>20-08-2023 01:00</v>
      </c>
      <c r="B28" s="33">
        <f>'20'!B36</f>
        <v>6.6779166666666656</v>
      </c>
      <c r="C28" s="33">
        <f>'20'!C36</f>
        <v>12.989583333333334</v>
      </c>
      <c r="D28" s="33">
        <f>'20'!D36</f>
        <v>13.639583333333334</v>
      </c>
      <c r="E28" s="33">
        <f>'20'!E36</f>
        <v>4.5829166666666667</v>
      </c>
      <c r="F28" s="33">
        <f>'20'!F36</f>
        <v>4.0858333333333325</v>
      </c>
      <c r="G28" s="33">
        <f>'20'!G36</f>
        <v>15.192500000000003</v>
      </c>
      <c r="H28" s="33">
        <f>'20'!H36</f>
        <v>4.3120833333333337</v>
      </c>
      <c r="I28" s="57" t="s">
        <v>8</v>
      </c>
      <c r="J28" s="33">
        <f>'20'!J36</f>
        <v>0.83916666666666673</v>
      </c>
      <c r="K28" s="33">
        <f>'20'!K36</f>
        <v>193.53666666666672</v>
      </c>
      <c r="L28" s="33">
        <f>'20'!L36</f>
        <v>23.216249999999999</v>
      </c>
      <c r="M28" s="33">
        <f>'20'!M36</f>
        <v>94.740833333333342</v>
      </c>
      <c r="N28" s="33">
        <f>'20'!N36</f>
        <v>135.97499999999999</v>
      </c>
      <c r="O28" s="33">
        <f>'20'!O36</f>
        <v>0.016666666666666666</v>
      </c>
      <c r="P28" s="30">
        <f>'20'!P36</f>
        <v>0.3066666666666667</v>
      </c>
      <c r="Q28" s="30">
        <f>'20'!Q36</f>
        <v>14.379166666666665</v>
      </c>
      <c r="R28" s="48"/>
      <c r="S28" s="48"/>
      <c r="T28" s="48"/>
      <c r="U28" s="47"/>
    </row>
    <row r="29" spans="1:21" s="34" customFormat="1" ht="15">
      <c r="A29" s="36" t="str">
        <f>'21'!$B$2</f>
        <v>21-08-2023 01:00</v>
      </c>
      <c r="B29" s="33">
        <f>'21'!B36</f>
        <v>7.5625</v>
      </c>
      <c r="C29" s="33">
        <f>'21'!C36</f>
        <v>16.358750000000001</v>
      </c>
      <c r="D29" s="33">
        <f>'21'!D36</f>
        <v>16.204166666666669</v>
      </c>
      <c r="E29" s="33">
        <f>'21'!E36</f>
        <v>4.7704166666666659</v>
      </c>
      <c r="F29" s="33">
        <f>'21'!F36</f>
        <v>5.0625</v>
      </c>
      <c r="G29" s="33">
        <f>'21'!G36</f>
        <v>31.459583333333324</v>
      </c>
      <c r="H29" s="33">
        <f>'21'!H36</f>
        <v>12.684583333333336</v>
      </c>
      <c r="I29" s="57" t="s">
        <v>8</v>
      </c>
      <c r="J29" s="33">
        <f>'21'!J36</f>
        <v>0.36374999999999996</v>
      </c>
      <c r="K29" s="33">
        <f>'21'!K36</f>
        <v>167.84541666666667</v>
      </c>
      <c r="L29" s="33">
        <f>'21'!L36</f>
        <v>23.887083333333333</v>
      </c>
      <c r="M29" s="33">
        <f>'21'!M36</f>
        <v>94.399583333333325</v>
      </c>
      <c r="N29" s="33">
        <f>'21'!N36</f>
        <v>127.00833333333333</v>
      </c>
      <c r="O29" s="33">
        <f>'21'!O36</f>
        <v>0</v>
      </c>
      <c r="P29" s="30">
        <f>'21'!P36</f>
        <v>0.40208333333333335</v>
      </c>
      <c r="Q29" s="30">
        <f>'21'!Q36</f>
        <v>13.209166666666668</v>
      </c>
      <c r="R29" s="48"/>
      <c r="S29" s="48"/>
      <c r="T29" s="48"/>
      <c r="U29" s="47"/>
    </row>
    <row r="30" spans="1:21" s="34" customFormat="1" ht="15">
      <c r="A30" s="36" t="str">
        <f>'22'!$B$2</f>
        <v>22-08-2023 01:00</v>
      </c>
      <c r="B30" s="33">
        <f>'22'!B36</f>
        <v>6.2749999999999995</v>
      </c>
      <c r="C30" s="33">
        <f>'22'!C36</f>
        <v>19.274583333333336</v>
      </c>
      <c r="D30" s="33">
        <f>'22'!D36</f>
        <v>16.620000000000001</v>
      </c>
      <c r="E30" s="33">
        <f>'22'!E36</f>
        <v>4.3970833333333337</v>
      </c>
      <c r="F30" s="33">
        <f>'22'!F36</f>
        <v>6.1254166666666672</v>
      </c>
      <c r="G30" s="33">
        <f>'22'!G36</f>
        <v>40.563749999999999</v>
      </c>
      <c r="H30" s="33">
        <f>'22'!H36</f>
        <v>17.06625</v>
      </c>
      <c r="I30" s="33">
        <f>'22'!I36</f>
        <v>0.11000000000000001</v>
      </c>
      <c r="J30" s="33">
        <f>'22'!J36</f>
        <v>0.25791666666666674</v>
      </c>
      <c r="K30" s="33">
        <f>'22'!K36</f>
        <v>170.11041666666668</v>
      </c>
      <c r="L30" s="33">
        <f>'22'!L36</f>
        <v>25.795416666666672</v>
      </c>
      <c r="M30" s="33">
        <f>'22'!M36</f>
        <v>86.558750000000032</v>
      </c>
      <c r="N30" s="33">
        <f>'22'!N36</f>
        <v>248.10833333333335</v>
      </c>
      <c r="O30" s="33">
        <f>'22'!O36</f>
        <v>0</v>
      </c>
      <c r="P30" s="30">
        <f>'22'!P36</f>
        <v>0.50083333333333335</v>
      </c>
      <c r="Q30" s="30">
        <f>'22'!Q36</f>
        <v>9.911249999999999</v>
      </c>
      <c r="R30" s="48"/>
      <c r="S30" s="47"/>
      <c r="T30" s="47"/>
      <c r="U30" s="47"/>
    </row>
    <row r="31" spans="1:21" s="34" customFormat="1" ht="15">
      <c r="A31" s="36" t="str">
        <f>'23'!$B$2</f>
        <v>23-08-2023 01:00</v>
      </c>
      <c r="B31" s="33">
        <f>'23'!B36</f>
        <v>5.1420833333333338</v>
      </c>
      <c r="C31" s="33">
        <f>'23'!C36</f>
        <v>14.467500000000001</v>
      </c>
      <c r="D31" s="33">
        <f>'23'!D36</f>
        <v>13.270833333333337</v>
      </c>
      <c r="E31" s="33">
        <f>'23'!E36</f>
        <v>3.0617391304347819</v>
      </c>
      <c r="F31" s="33">
        <f>'23'!F36</f>
        <v>4.5024999999999995</v>
      </c>
      <c r="G31" s="33">
        <f>'23'!G36</f>
        <v>39.983636363636357</v>
      </c>
      <c r="H31" s="33">
        <f>'23'!H36</f>
        <v>14.001818181818182</v>
      </c>
      <c r="I31" s="33">
        <f>'23'!I36</f>
        <v>0.11791666666666671</v>
      </c>
      <c r="J31" s="33">
        <f>'23'!J36</f>
        <v>0.28791666666666671</v>
      </c>
      <c r="K31" s="33">
        <f>'23'!K36</f>
        <v>115.10708333333334</v>
      </c>
      <c r="L31" s="33">
        <f>'23'!L36</f>
        <v>25.810416666666672</v>
      </c>
      <c r="M31" s="33">
        <f>'23'!M36</f>
        <v>88.504166666666677</v>
      </c>
      <c r="N31" s="33">
        <f>'23'!N36</f>
        <v>220.72499999999994</v>
      </c>
      <c r="O31" s="33">
        <f>'23'!O36</f>
        <v>0</v>
      </c>
      <c r="P31" s="33">
        <f>'23'!P36</f>
        <v>0.37791666666666668</v>
      </c>
      <c r="Q31" s="33">
        <f>'23'!Q36</f>
        <v>8.0024999999999977</v>
      </c>
      <c r="R31" s="47"/>
      <c r="S31" s="47"/>
      <c r="T31" s="47"/>
      <c r="U31" s="47"/>
    </row>
    <row r="32" spans="1:21" s="34" customFormat="1" ht="15">
      <c r="A32" s="36" t="str">
        <f>'24'!$B$2</f>
        <v>24-08-2023 01:00</v>
      </c>
      <c r="B32" s="33">
        <f>'24'!B36</f>
        <v>9.5478260869565208</v>
      </c>
      <c r="C32" s="33">
        <f>'24'!C36</f>
        <v>17.289130434782606</v>
      </c>
      <c r="D32" s="33">
        <f>'24'!D36</f>
        <v>18.091304347826085</v>
      </c>
      <c r="E32" s="33">
        <f>'24'!E36</f>
        <v>2.872727272727273</v>
      </c>
      <c r="F32" s="33">
        <f>'24'!F36</f>
        <v>3.3908333333333345</v>
      </c>
      <c r="G32" s="33">
        <f>'24'!G36</f>
        <v>35.314166666666679</v>
      </c>
      <c r="H32" s="33">
        <f>'24'!H36</f>
        <v>11.590416666666668</v>
      </c>
      <c r="I32" s="33">
        <f>'24'!I36</f>
        <v>0.11708333333333337</v>
      </c>
      <c r="J32" s="33">
        <f>'24'!J36</f>
        <v>0.31541666666666668</v>
      </c>
      <c r="K32" s="33">
        <f>'24'!K36</f>
        <v>182.67458333333332</v>
      </c>
      <c r="L32" s="33">
        <f>'24'!L36</f>
        <v>24.487916666666667</v>
      </c>
      <c r="M32" s="33">
        <f>'24'!M36</f>
        <v>91.72375000000001</v>
      </c>
      <c r="N32" s="33">
        <f>'24'!N36</f>
        <v>166.10000000000002</v>
      </c>
      <c r="O32" s="33">
        <f>'24'!O36</f>
        <v>0.083333333333333329</v>
      </c>
      <c r="P32" s="33">
        <f>'24'!P36</f>
        <v>0.55913043478260871</v>
      </c>
      <c r="Q32" s="33">
        <f>'24'!Q36</f>
        <v>8.3574999999999999</v>
      </c>
      <c r="R32" s="47"/>
      <c r="S32" s="47"/>
      <c r="T32" s="47"/>
      <c r="U32" s="47"/>
    </row>
    <row r="33" spans="1:21" s="34" customFormat="1" ht="15">
      <c r="A33" s="36" t="str">
        <f>'25'!$B$2</f>
        <v>25-08-2023 01:00</v>
      </c>
      <c r="B33" s="33">
        <f>'25'!B36</f>
        <v>7.7066666666666661</v>
      </c>
      <c r="C33" s="33">
        <f>'25'!C36</f>
        <v>13.371249999999996</v>
      </c>
      <c r="D33" s="33">
        <f>'25'!D36</f>
        <v>14.737916666666671</v>
      </c>
      <c r="E33" s="33">
        <f>'25'!E36</f>
        <v>4.3999999999999995</v>
      </c>
      <c r="F33" s="33">
        <f>'25'!F36</f>
        <v>2.9237500000000001</v>
      </c>
      <c r="G33" s="33">
        <f>'25'!G36</f>
        <v>28.005833333333328</v>
      </c>
      <c r="H33" s="33">
        <f>'25'!H36</f>
        <v>10.506250000000001</v>
      </c>
      <c r="I33" s="33">
        <f>'25'!I36</f>
        <v>0.12041666666666671</v>
      </c>
      <c r="J33" s="33">
        <f>'25'!J36</f>
        <v>0.23666666666666672</v>
      </c>
      <c r="K33" s="33">
        <f>'25'!K36</f>
        <v>122.29916666666666</v>
      </c>
      <c r="L33" s="33">
        <f>'25'!L36</f>
        <v>24.989583333333339</v>
      </c>
      <c r="M33" s="33">
        <f>'25'!M36</f>
        <v>87.39458333333333</v>
      </c>
      <c r="N33" s="33">
        <f>'25'!N36</f>
        <v>128.31176470588233</v>
      </c>
      <c r="O33" s="33">
        <f>'25'!O36</f>
        <v>0</v>
      </c>
      <c r="P33" s="33">
        <f>'25'!P36</f>
        <v>0.36666666666666664</v>
      </c>
      <c r="Q33" s="33">
        <f>'25'!Q36</f>
        <v>8.4712500000000013</v>
      </c>
      <c r="R33" s="47"/>
      <c r="S33" s="47"/>
      <c r="T33" s="47"/>
      <c r="U33" s="47"/>
    </row>
    <row r="34" spans="1:21" s="34" customFormat="1" ht="15">
      <c r="A34" s="36" t="str">
        <f>'26'!$B$2</f>
        <v>26-08-2023 01:00</v>
      </c>
      <c r="B34" s="33">
        <f>'26'!B36</f>
        <v>9.0687499999999996</v>
      </c>
      <c r="C34" s="33">
        <f>'26'!C36</f>
        <v>19.15625</v>
      </c>
      <c r="D34" s="33">
        <f>'26'!D36</f>
        <v>25.243333333333336</v>
      </c>
      <c r="E34" s="33">
        <f>'26'!E36</f>
        <v>4.7583333333333337</v>
      </c>
      <c r="F34" s="33">
        <f>'26'!F36</f>
        <v>4.6141666666666667</v>
      </c>
      <c r="G34" s="33">
        <f>'26'!G36</f>
        <v>44.715416666666663</v>
      </c>
      <c r="H34" s="33">
        <f>'26'!H36</f>
        <v>12.607916666666668</v>
      </c>
      <c r="I34" s="33">
        <f>'26'!I36</f>
        <v>0.11875000000000002</v>
      </c>
      <c r="J34" s="33">
        <f>'26'!J36</f>
        <v>0.48291666666666666</v>
      </c>
      <c r="K34" s="33">
        <f>'26'!K36</f>
        <v>158.86458333333334</v>
      </c>
      <c r="L34" s="33">
        <f>'26'!L36</f>
        <v>26.790416666666662</v>
      </c>
      <c r="M34" s="33">
        <f>'26'!M36</f>
        <v>80.771249999999995</v>
      </c>
      <c r="N34" s="33">
        <f>'26'!N36</f>
        <v>203.10454545454542</v>
      </c>
      <c r="O34" s="33">
        <f>'26'!O36</f>
        <v>0</v>
      </c>
      <c r="P34" s="33">
        <f>'26'!P36</f>
        <v>0.51083333333333325</v>
      </c>
      <c r="Q34" s="33">
        <f>'26'!Q36</f>
        <v>10.35</v>
      </c>
      <c r="R34" s="47"/>
      <c r="S34" s="47"/>
      <c r="T34" s="47"/>
      <c r="U34" s="47"/>
    </row>
    <row r="35" spans="1:21" s="34" customFormat="1" ht="15">
      <c r="A35" s="36" t="str">
        <f>'27'!$B$2</f>
        <v>27-08-2023 01:00</v>
      </c>
      <c r="B35" s="33">
        <f>'27'!B36</f>
        <v>7.3449999999999998</v>
      </c>
      <c r="C35" s="33">
        <f>'27'!C36</f>
        <v>15.151249999999999</v>
      </c>
      <c r="D35" s="33">
        <f>'27'!D36</f>
        <v>22.013333333333335</v>
      </c>
      <c r="E35" s="33">
        <f>'27'!E36</f>
        <v>4.441250000000001</v>
      </c>
      <c r="F35" s="33">
        <f>'27'!F36</f>
        <v>3.71875</v>
      </c>
      <c r="G35" s="33">
        <f>'27'!G36</f>
        <v>48.49583333333333</v>
      </c>
      <c r="H35" s="33">
        <f>'27'!H36</f>
        <v>13.803749999999999</v>
      </c>
      <c r="I35" s="33">
        <f>'27'!I36</f>
        <v>0.12208333333333338</v>
      </c>
      <c r="J35" s="33">
        <f>'27'!J36</f>
        <v>0.50750000000000006</v>
      </c>
      <c r="K35" s="33">
        <f>'27'!K36</f>
        <v>172.23791666666668</v>
      </c>
      <c r="L35" s="33">
        <f>'27'!L36</f>
        <v>27.094583333333333</v>
      </c>
      <c r="M35" s="33">
        <f>'27'!M36</f>
        <v>78.559166666666684</v>
      </c>
      <c r="N35" s="33">
        <f>'27'!N36</f>
        <v>266.07916666666665</v>
      </c>
      <c r="O35" s="33">
        <f>'27'!O36</f>
        <v>0</v>
      </c>
      <c r="P35" s="30">
        <f>'27'!P36</f>
        <v>0.47458333333333341</v>
      </c>
      <c r="Q35" s="33">
        <f>'27'!Q36</f>
        <v>10.89625</v>
      </c>
      <c r="R35" s="47"/>
      <c r="S35" s="47"/>
      <c r="T35" s="47"/>
      <c r="U35" s="47"/>
    </row>
    <row r="36" spans="1:21" s="34" customFormat="1" ht="15">
      <c r="A36" s="36" t="str">
        <f>'28'!$B$2</f>
        <v>28-08-2023 01:00</v>
      </c>
      <c r="B36" s="33">
        <f>'28'!B36</f>
        <v>8.5441666666666691</v>
      </c>
      <c r="C36" s="33">
        <f>'28'!C36</f>
        <v>20.145833333333332</v>
      </c>
      <c r="D36" s="33">
        <f>'28'!D36</f>
        <v>23.211666666666662</v>
      </c>
      <c r="E36" s="33">
        <f>'28'!E36</f>
        <v>4.9633333333333347</v>
      </c>
      <c r="F36" s="33">
        <f>'28'!F36</f>
        <v>4.9874999999999998</v>
      </c>
      <c r="G36" s="33">
        <f>'28'!G36</f>
        <v>94.751666666666665</v>
      </c>
      <c r="H36" s="33">
        <f>'28'!H36</f>
        <v>24.943333333333332</v>
      </c>
      <c r="I36" s="33">
        <f>'28'!I36</f>
        <v>0.11875000000000002</v>
      </c>
      <c r="J36" s="33">
        <f>'28'!J36</f>
        <v>0.40125000000000005</v>
      </c>
      <c r="K36" s="33">
        <f>'28'!K36</f>
        <v>186.16875000000002</v>
      </c>
      <c r="L36" s="33">
        <f>'28'!L36</f>
        <v>27.088749999999994</v>
      </c>
      <c r="M36" s="33">
        <f>'28'!M36</f>
        <v>73.372916666666654</v>
      </c>
      <c r="N36" s="33">
        <f>'28'!N36</f>
        <v>237.96666666666661</v>
      </c>
      <c r="O36" s="33">
        <f>'28'!O36</f>
        <v>0</v>
      </c>
      <c r="P36" s="30">
        <f>'28'!P36</f>
        <v>0.51458333333333328</v>
      </c>
      <c r="Q36" s="33">
        <f>'28'!Q36</f>
        <v>11.835416666666665</v>
      </c>
      <c r="R36" s="47"/>
      <c r="S36" s="47"/>
      <c r="T36" s="47"/>
      <c r="U36" s="47"/>
    </row>
    <row r="37" spans="1:21" s="34" customFormat="1" ht="15">
      <c r="A37" s="36" t="str">
        <f>'29'!$B$2</f>
        <v>29-08-2023 01:00</v>
      </c>
      <c r="B37" s="33">
        <f>'29'!B36</f>
        <v>8.8241666666666667</v>
      </c>
      <c r="C37" s="33">
        <f>'29'!C36</f>
        <v>18.717916666666667</v>
      </c>
      <c r="D37" s="33">
        <f>'29'!D36</f>
        <v>18.465416666666666</v>
      </c>
      <c r="E37" s="33">
        <f>'29'!E36</f>
        <v>4.7737500000000006</v>
      </c>
      <c r="F37" s="33">
        <f>'29'!F36</f>
        <v>5.1450000000000005</v>
      </c>
      <c r="G37" s="33">
        <f>'29'!G36</f>
        <v>90.669166666666669</v>
      </c>
      <c r="H37" s="33">
        <f>'29'!H36</f>
        <v>22.657083333333336</v>
      </c>
      <c r="I37" s="33">
        <f>'29'!I36</f>
        <v>0.12250000000000004</v>
      </c>
      <c r="J37" s="33">
        <f>'29'!J36</f>
        <v>0.55333333333333334</v>
      </c>
      <c r="K37" s="33">
        <f>'29'!K36</f>
        <v>274.28874999999999</v>
      </c>
      <c r="L37" s="33">
        <f>'29'!L36</f>
        <v>27.325416666666666</v>
      </c>
      <c r="M37" s="33">
        <f>'29'!M36</f>
        <v>70.34666666666665</v>
      </c>
      <c r="N37" s="33">
        <f>'29'!N36</f>
        <v>258.18333333333334</v>
      </c>
      <c r="O37" s="33">
        <f>'29'!O36</f>
        <v>0</v>
      </c>
      <c r="P37" s="33">
        <f>'29'!P36</f>
        <v>0.49874999999999997</v>
      </c>
      <c r="Q37" s="33">
        <f>'29'!Q36</f>
        <v>12.592499999999999</v>
      </c>
      <c r="R37" s="47"/>
      <c r="S37" s="47"/>
      <c r="T37" s="47"/>
      <c r="U37" s="47"/>
    </row>
    <row r="38" spans="1:21" s="34" customFormat="1" ht="15">
      <c r="A38" s="36" t="str">
        <f>'30'!$B$2</f>
        <v>30-08-2023 01:00</v>
      </c>
      <c r="B38" s="33">
        <f>'30'!B36</f>
        <v>18.10916666666667</v>
      </c>
      <c r="C38" s="33">
        <f>'30'!C36</f>
        <v>27.419999999999998</v>
      </c>
      <c r="D38" s="33">
        <f>'30'!D36</f>
        <v>30.326249999999998</v>
      </c>
      <c r="E38" s="33">
        <f>'30'!E36</f>
        <v>5.4299999999999997</v>
      </c>
      <c r="F38" s="33">
        <f>'30'!F36</f>
        <v>8.3066666666666666</v>
      </c>
      <c r="G38" s="33">
        <f>'30'!G36</f>
        <v>64.461666666666645</v>
      </c>
      <c r="H38" s="33">
        <f>'30'!H36</f>
        <v>18.644583333333333</v>
      </c>
      <c r="I38" s="33">
        <f>'30'!I36</f>
        <v>0.12250000000000004</v>
      </c>
      <c r="J38" s="33">
        <f>'30'!J36</f>
        <v>0.65708333333333324</v>
      </c>
      <c r="K38" s="33">
        <f>'30'!K36</f>
        <v>312.18958333333336</v>
      </c>
      <c r="L38" s="33">
        <f>'30'!L36</f>
        <v>25.887916666666669</v>
      </c>
      <c r="M38" s="33">
        <f>'30'!M36</f>
        <v>85.216666666666654</v>
      </c>
      <c r="N38" s="33">
        <f>'30'!N36</f>
        <v>164.5</v>
      </c>
      <c r="O38" s="33">
        <f>'30'!O36</f>
        <v>0.67499999999999993</v>
      </c>
      <c r="P38" s="33">
        <f>'30'!P36</f>
        <v>0.82333333333333336</v>
      </c>
      <c r="Q38" s="33">
        <f>'30'!Q36</f>
        <v>15.163333333333334</v>
      </c>
      <c r="R38" s="47"/>
      <c r="S38" s="47"/>
      <c r="T38" s="47"/>
      <c r="U38" s="47"/>
    </row>
    <row r="39" spans="1:21" s="34" customFormat="1" ht="15">
      <c r="A39" s="36" t="str">
        <f>'31'!$B$2</f>
        <v>31-08-2023 01:00</v>
      </c>
      <c r="B39" s="33">
        <f>'31'!B37</f>
        <v>21.055819034589735</v>
      </c>
      <c r="C39" s="33">
        <f>'31'!C37</f>
        <v>20.417892604424129</v>
      </c>
      <c r="D39" s="33">
        <f>'31'!D37</f>
        <v>25.491876782301809</v>
      </c>
      <c r="E39" s="33">
        <f>'31'!E37</f>
        <v>2.3738801707789277</v>
      </c>
      <c r="F39" s="33">
        <f>'31'!F37</f>
        <v>9.776818152569156</v>
      </c>
      <c r="G39" s="33">
        <f>'31'!G37</f>
        <v>33.444902643935414</v>
      </c>
      <c r="H39" s="33">
        <f>'31'!H37</f>
        <v>7.3189078019225882</v>
      </c>
      <c r="I39" s="33">
        <f>'31'!I37</f>
        <v>0.0079741429960679261</v>
      </c>
      <c r="J39" s="33">
        <f>'31'!J37</f>
        <v>0.27751191383225421</v>
      </c>
      <c r="K39" s="33">
        <f>'31'!K37</f>
        <v>83.154403631419783</v>
      </c>
      <c r="L39" s="33">
        <f>'31'!L37</f>
        <v>4.1308520193535179</v>
      </c>
      <c r="M39" s="33">
        <f>'31'!M37</f>
        <v>18.354111922305638</v>
      </c>
      <c r="N39" s="33">
        <f>'31'!N37</f>
        <v>352.69914179023073</v>
      </c>
      <c r="O39" s="33">
        <f>'31'!O37</f>
        <v>0</v>
      </c>
      <c r="P39" s="33">
        <f>'31'!P37</f>
        <v>0.8019648651453104</v>
      </c>
      <c r="Q39" s="33">
        <f>'31'!Q37</f>
        <v>2.0993718867415292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5.1420833333333338</v>
      </c>
      <c r="C41" s="15">
        <f t="shared" si="0"/>
        <v>12.989583333333334</v>
      </c>
      <c r="D41" s="15">
        <f t="shared" si="0"/>
        <v>13.270833333333337</v>
      </c>
      <c r="E41" s="15">
        <f t="shared" si="0"/>
        <v>0.97916666666666652</v>
      </c>
      <c r="F41" s="15">
        <f t="shared" si="0"/>
        <v>2.9237500000000001</v>
      </c>
      <c r="G41" s="15">
        <f t="shared" si="0"/>
        <v>15.192500000000003</v>
      </c>
      <c r="H41" s="15">
        <f t="shared" si="0"/>
        <v>4.3120833333333337</v>
      </c>
      <c r="I41" s="15">
        <f t="shared" si="0"/>
        <v>0.11000000000000001</v>
      </c>
      <c r="J41" s="15">
        <f t="shared" si="0"/>
        <v>0.23666666666666672</v>
      </c>
      <c r="K41" s="15">
        <f t="shared" si="0"/>
        <v>41.244583333333345</v>
      </c>
      <c r="L41" s="15">
        <f t="shared" si="0"/>
        <v>21.65958333333333</v>
      </c>
      <c r="M41" s="15">
        <f t="shared" si="0"/>
        <v>70.34666666666665</v>
      </c>
      <c r="N41" s="15">
        <f t="shared" si="0"/>
        <v>90.641666666666652</v>
      </c>
      <c r="O41" s="15">
        <f t="shared" si="0"/>
        <v>0</v>
      </c>
      <c r="P41" s="15">
        <f t="shared" si="0"/>
        <v>0.3066666666666667</v>
      </c>
      <c r="Q41" s="15">
        <f t="shared" si="0"/>
        <v>2.9478260869565212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18.10916666666667</v>
      </c>
      <c r="C42" s="15">
        <f t="shared" si="1"/>
        <v>36.894583333333337</v>
      </c>
      <c r="D42" s="15">
        <f t="shared" si="1"/>
        <v>31.960833333333337</v>
      </c>
      <c r="E42" s="15">
        <f t="shared" si="1"/>
        <v>5.4299999999999997</v>
      </c>
      <c r="F42" s="15">
        <f t="shared" si="1"/>
        <v>9.5204347826086941</v>
      </c>
      <c r="G42" s="15">
        <f t="shared" si="1"/>
        <v>94.751666666666665</v>
      </c>
      <c r="H42" s="15">
        <f t="shared" si="1"/>
        <v>24.943333333333332</v>
      </c>
      <c r="I42" s="15">
        <f t="shared" si="1"/>
        <v>1.740833333333333</v>
      </c>
      <c r="J42" s="15">
        <f t="shared" si="1"/>
        <v>1.20625</v>
      </c>
      <c r="K42" s="15">
        <f t="shared" si="1"/>
        <v>312.18958333333336</v>
      </c>
      <c r="L42" s="15">
        <f t="shared" si="1"/>
        <v>27.95333333333333</v>
      </c>
      <c r="M42" s="15">
        <f t="shared" si="1"/>
        <v>97.288749999999993</v>
      </c>
      <c r="N42" s="15">
        <f t="shared" si="1"/>
        <v>322.10416666666663</v>
      </c>
      <c r="O42" s="15">
        <f t="shared" si="1"/>
        <v>1.4333333333333329</v>
      </c>
      <c r="P42" s="15">
        <f t="shared" si="1"/>
        <v>0.82333333333333336</v>
      </c>
      <c r="Q42" s="15">
        <f t="shared" si="1"/>
        <v>16.654166666666665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9.0071929779158051</v>
      </c>
      <c r="C43" s="15">
        <f t="shared" si="2"/>
        <v>24.023001293995865</v>
      </c>
      <c r="D43" s="15">
        <f t="shared" si="2"/>
        <v>22.046395703933747</v>
      </c>
      <c r="E43" s="15">
        <f t="shared" si="2"/>
        <v>4.100508069828722</v>
      </c>
      <c r="F43" s="15">
        <f t="shared" si="2"/>
        <v>5.4460978260869579</v>
      </c>
      <c r="G43" s="15">
        <f t="shared" si="2"/>
        <v>43.848670773524724</v>
      </c>
      <c r="H43" s="15">
        <f t="shared" si="2"/>
        <v>14.471581073896862</v>
      </c>
      <c r="I43" s="15">
        <f t="shared" si="2"/>
        <v>1.0554420289855071</v>
      </c>
      <c r="J43" s="15">
        <f t="shared" si="2"/>
        <v>0.44601388888888882</v>
      </c>
      <c r="K43" s="15">
        <f t="shared" si="2"/>
        <v>146.00597222222225</v>
      </c>
      <c r="L43" s="15">
        <f t="shared" si="2"/>
        <v>25.38955555555556</v>
      </c>
      <c r="M43" s="15">
        <f t="shared" si="2"/>
        <v>85.375333333333359</v>
      </c>
      <c r="N43" s="15">
        <f t="shared" si="2"/>
        <v>210.09919260448257</v>
      </c>
      <c r="O43" s="15">
        <f t="shared" si="2"/>
        <v>0.20525164612984409</v>
      </c>
      <c r="P43" s="15">
        <f t="shared" si="2"/>
        <v>0.507729852876592</v>
      </c>
      <c r="Q43" s="15">
        <f t="shared" si="2"/>
        <v>11.864286286780855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2.5479490770027242</v>
      </c>
      <c r="C44" s="15">
        <f t="shared" si="3"/>
        <v>7.694466683099745</v>
      </c>
      <c r="D44" s="15">
        <f t="shared" si="3"/>
        <v>5.1631237255541942</v>
      </c>
      <c r="E44" s="15">
        <f t="shared" si="3"/>
        <v>1.1981637959924256</v>
      </c>
      <c r="F44" s="15">
        <f t="shared" si="3"/>
        <v>1.6489406961525168</v>
      </c>
      <c r="G44" s="15">
        <f t="shared" si="3"/>
        <v>18.788699303680755</v>
      </c>
      <c r="H44" s="15">
        <f t="shared" si="3"/>
        <v>4.5178310214821282</v>
      </c>
      <c r="I44" s="15">
        <f t="shared" si="3"/>
        <v>0.79021404284653629</v>
      </c>
      <c r="J44" s="15">
        <f t="shared" si="3"/>
        <v>0.19348078513422423</v>
      </c>
      <c r="K44" s="15">
        <f t="shared" si="3"/>
        <v>70.250831882450996</v>
      </c>
      <c r="L44" s="15">
        <f t="shared" si="3"/>
        <v>1.7075748138489988</v>
      </c>
      <c r="M44" s="15">
        <f t="shared" si="3"/>
        <v>8.1447778157604436</v>
      </c>
      <c r="N44" s="15">
        <f t="shared" si="3"/>
        <v>65.301559157279371</v>
      </c>
      <c r="O44" s="15">
        <f t="shared" si="3"/>
        <v>0.38122653250800864</v>
      </c>
      <c r="P44" s="15">
        <f t="shared" si="3"/>
        <v>0.099996557370123806</v>
      </c>
      <c r="Q44" s="15">
        <f t="shared" si="3"/>
        <v>3.336920662329808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>COUNT(I9:I39)+3</f>
        <v>28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2024-08-28T14:10:17Z</dcterms:modified>
  <cp:category/>
</cp:coreProperties>
</file>