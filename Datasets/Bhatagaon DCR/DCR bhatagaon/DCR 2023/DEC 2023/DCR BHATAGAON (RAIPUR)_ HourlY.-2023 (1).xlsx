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<sst xmlns="http://schemas.openxmlformats.org/spreadsheetml/2006/main" count="2901" uniqueCount="806">
  <si>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</si>
  <si>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</si>
  <si>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</si>
  <si>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</si>
  <si>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</si>
  <si>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</si>
  <si>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</si>
  <si>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</si>
  <si>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</si>
  <si>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</si>
  <si>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</si>
  <si>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</si>
  <si>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</si>
  <si>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</si>
  <si>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</si>
  <si>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</si>
  <si>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</si>
  <si>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</si>
  <si>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</si>
  <si>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</si>
  <si>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</si>
  <si>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</si>
  <si>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</si>
  <si>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</si>
  <si>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</si>
  <si>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</si>
  <si>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</si>
  <si>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</si>
  <si>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</si>
  <si>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</si>
  <si>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</si>
  <si>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</si>
  <si>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</si>
  <si>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</si>
  <si>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</si>
  <si>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</si>
  <si>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</si>
  <si>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</si>
  <si>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</si>
  <si>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</si>
  <si>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</si>
  <si>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</si>
  <si>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</si>
  <si>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</si>
  <si>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</si>
  <si>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</si>
  <si>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</si>
  <si>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</si>
  <si>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</si>
  <si>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</si>
  <si>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</si>
  <si>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</si>
  <si>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</si>
  <si>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</si>
  <si>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</si>
  <si>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</si>
  <si>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</si>
  <si>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</si>
  <si>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</si>
  <si>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</si>
  <si>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</si>
  <si>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</si>
  <si>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01-12-2023 01:00</t>
  </si>
  <si>
    <t>01-12-2023 02:00</t>
  </si>
  <si>
    <t>01-12-2023 03:00</t>
  </si>
  <si>
    <t>01-12-2023 04:00</t>
  </si>
  <si>
    <t>01-12-2023 05:00</t>
  </si>
  <si>
    <t>01-12-2023 06:00</t>
  </si>
  <si>
    <t>01-12-2023 07:00</t>
  </si>
  <si>
    <t>01-12-2023 08:00</t>
  </si>
  <si>
    <t>01-12-2023 09:00</t>
  </si>
  <si>
    <t>01-12-2023 10:00</t>
  </si>
  <si>
    <t>01-12-2023 11:00</t>
  </si>
  <si>
    <t>01-12-2023 12:00</t>
  </si>
  <si>
    <t>01-12-2023 13:00</t>
  </si>
  <si>
    <t>01-12-2023 14:00</t>
  </si>
  <si>
    <t>01-12-2023 15:00</t>
  </si>
  <si>
    <t>01-12-2023 16:00</t>
  </si>
  <si>
    <t>01-12-2023 17:00</t>
  </si>
  <si>
    <t>01-12-2023 18:00</t>
  </si>
  <si>
    <t>01-12-2023 19:00</t>
  </si>
  <si>
    <t>01-12-2023 20:00</t>
  </si>
  <si>
    <t>01-12-2023 21:00</t>
  </si>
  <si>
    <t>01-12-2023 22:00</t>
  </si>
  <si>
    <t>01-12-2023 23:00</t>
  </si>
  <si>
    <t>01-12-2023 24:00</t>
  </si>
  <si>
    <t>02-12-2023 01:00</t>
  </si>
  <si>
    <t>02-12-2023 02:00</t>
  </si>
  <si>
    <t>02-12-2023 03:00</t>
  </si>
  <si>
    <t>02-12-2023 04:00</t>
  </si>
  <si>
    <t>02-12-2023 05:00</t>
  </si>
  <si>
    <t>02-12-2023 06:00</t>
  </si>
  <si>
    <t>02-12-2023 07:00</t>
  </si>
  <si>
    <t>02-12-2023 08:00</t>
  </si>
  <si>
    <t>02-12-2023 09:00</t>
  </si>
  <si>
    <t>02-12-2023 10:00</t>
  </si>
  <si>
    <t>02-12-2023 11:00</t>
  </si>
  <si>
    <t>02-12-2023 12:00</t>
  </si>
  <si>
    <t>02-12-2023 13:00</t>
  </si>
  <si>
    <t>02-12-2023 14:00</t>
  </si>
  <si>
    <t>02-12-2023 15:00</t>
  </si>
  <si>
    <t>02-12-2023 16:00</t>
  </si>
  <si>
    <t>02-12-2023 17:00</t>
  </si>
  <si>
    <t>02-12-2023 18:00</t>
  </si>
  <si>
    <t>02-12-2023 19:00</t>
  </si>
  <si>
    <t>02-12-2023 20:00</t>
  </si>
  <si>
    <t>02-12-2023 21:00</t>
  </si>
  <si>
    <t>02-12-2023 22:00</t>
  </si>
  <si>
    <t>02-12-2023 23:00</t>
  </si>
  <si>
    <t>02-12-2023 24:00</t>
  </si>
  <si>
    <t>03-12-2023 01:00</t>
  </si>
  <si>
    <t>03-12-2023 02:00</t>
  </si>
  <si>
    <t>03-12-2023 03:00</t>
  </si>
  <si>
    <t>03-12-2023 04:00</t>
  </si>
  <si>
    <t>03-12-2023 05:00</t>
  </si>
  <si>
    <t>03-12-2023 06:00</t>
  </si>
  <si>
    <t>03-12-2023 07:00</t>
  </si>
  <si>
    <t>03-12-2023 08:00</t>
  </si>
  <si>
    <t>03-12-2023 09:00</t>
  </si>
  <si>
    <t>03-12-2023 10:00</t>
  </si>
  <si>
    <t>03-12-2023 11:00</t>
  </si>
  <si>
    <t>03-12-2023 12:00</t>
  </si>
  <si>
    <t>03-12-2023 13:00</t>
  </si>
  <si>
    <t>03-12-2023 14:00</t>
  </si>
  <si>
    <t>03-12-2023 15:00</t>
  </si>
  <si>
    <t>03-12-2023 16:00</t>
  </si>
  <si>
    <t>03-12-2023 17:00</t>
  </si>
  <si>
    <t>03-12-2023 18:00</t>
  </si>
  <si>
    <t>03-12-2023 19:00</t>
  </si>
  <si>
    <t>03-12-2023 20:00</t>
  </si>
  <si>
    <t>03-12-2023 21:00</t>
  </si>
  <si>
    <t>03-12-2023 22:00</t>
  </si>
  <si>
    <t>03-12-2023 23:00</t>
  </si>
  <si>
    <t>03-12-2023 24:00</t>
  </si>
  <si>
    <t>04-12-2023 01:00</t>
  </si>
  <si>
    <t>04-12-2023 02:00</t>
  </si>
  <si>
    <t>04-12-2023 03:00</t>
  </si>
  <si>
    <t>04-12-2023 04:00</t>
  </si>
  <si>
    <t>04-12-2023 05:00</t>
  </si>
  <si>
    <t>04-12-2023 06:00</t>
  </si>
  <si>
    <t>04-12-2023 07:00</t>
  </si>
  <si>
    <t>04-12-2023 08:00</t>
  </si>
  <si>
    <t>04-12-2023 09:00</t>
  </si>
  <si>
    <t>04-12-2023 10:00</t>
  </si>
  <si>
    <t>04-12-2023 11:00</t>
  </si>
  <si>
    <t>04-12-2023 12:00</t>
  </si>
  <si>
    <t>04-12-2023 13:00</t>
  </si>
  <si>
    <t>04-12-2023 14:00</t>
  </si>
  <si>
    <t>04-12-2023 15:00</t>
  </si>
  <si>
    <t>04-12-2023 16:00</t>
  </si>
  <si>
    <t>04-12-2023 17:00</t>
  </si>
  <si>
    <t>04-12-2023 18:00</t>
  </si>
  <si>
    <t>04-12-2023 19:00</t>
  </si>
  <si>
    <t>04-12-2023 20:00</t>
  </si>
  <si>
    <t>04-12-2023 21:00</t>
  </si>
  <si>
    <t>04-12-2023 22:00</t>
  </si>
  <si>
    <t>04-12-2023 23:00</t>
  </si>
  <si>
    <t>04-12-2023 24:00</t>
  </si>
  <si>
    <t>05-12-2023 01:00</t>
  </si>
  <si>
    <t>05-12-2023 02:00</t>
  </si>
  <si>
    <t>05-12-2023 03:00</t>
  </si>
  <si>
    <t>05-12-2023 04:00</t>
  </si>
  <si>
    <t>05-12-2023 05:00</t>
  </si>
  <si>
    <t>05-12-2023 06:00</t>
  </si>
  <si>
    <t>05-12-2023 07:00</t>
  </si>
  <si>
    <t>05-12-2023 08:00</t>
  </si>
  <si>
    <t>05-12-2023 09:00</t>
  </si>
  <si>
    <t>05-12-2023 10:00</t>
  </si>
  <si>
    <t>05-12-2023 11:00</t>
  </si>
  <si>
    <t>05-12-2023 12:00</t>
  </si>
  <si>
    <t>05-12-2023 13:00</t>
  </si>
  <si>
    <t>05-12-2023 14:00</t>
  </si>
  <si>
    <t>05-12-2023 15:00</t>
  </si>
  <si>
    <t>05-12-2023 16:00</t>
  </si>
  <si>
    <t>05-12-2023 17:00</t>
  </si>
  <si>
    <t>05-12-2023 18:00</t>
  </si>
  <si>
    <t>05-12-2023 19:00</t>
  </si>
  <si>
    <t>05-12-2023 20:00</t>
  </si>
  <si>
    <t>05-12-2023 21:00</t>
  </si>
  <si>
    <t>05-12-2023 22:00</t>
  </si>
  <si>
    <t>05-12-2023 23:00</t>
  </si>
  <si>
    <t>05-12-2023 24:00</t>
  </si>
  <si>
    <t>06-12-2023 01:00</t>
  </si>
  <si>
    <t>06-12-2023 02:00</t>
  </si>
  <si>
    <t>06-12-2023 03:00</t>
  </si>
  <si>
    <t>06-12-2023 04:00</t>
  </si>
  <si>
    <t>06-12-2023 05:00</t>
  </si>
  <si>
    <t>06-12-2023 06:00</t>
  </si>
  <si>
    <t>06-12-2023 07:00</t>
  </si>
  <si>
    <t>06-12-2023 08:00</t>
  </si>
  <si>
    <t>06-12-2023 09:00</t>
  </si>
  <si>
    <t>06-12-2023 10:00</t>
  </si>
  <si>
    <t>06-12-2023 11:00</t>
  </si>
  <si>
    <t>06-12-2023 12:00</t>
  </si>
  <si>
    <t>06-12-2023 13:00</t>
  </si>
  <si>
    <t>06-12-2023 14:00</t>
  </si>
  <si>
    <t>06-12-2023 15:00</t>
  </si>
  <si>
    <t>06-12-2023 16:00</t>
  </si>
  <si>
    <t>06-12-2023 17:00</t>
  </si>
  <si>
    <t>06-12-2023 18:00</t>
  </si>
  <si>
    <t>06-12-2023 19:00</t>
  </si>
  <si>
    <t>06-12-2023 20:00</t>
  </si>
  <si>
    <t>06-12-2023 21:00</t>
  </si>
  <si>
    <t>06-12-2023 22:00</t>
  </si>
  <si>
    <t>06-12-2023 23:00</t>
  </si>
  <si>
    <t>06-12-2023 24:00</t>
  </si>
  <si>
    <t>07-12-2023 01:00</t>
  </si>
  <si>
    <t>07-12-2023 02:00</t>
  </si>
  <si>
    <t>07-12-2023 03:00</t>
  </si>
  <si>
    <t>07-12-2023 04:00</t>
  </si>
  <si>
    <t>07-12-2023 05:00</t>
  </si>
  <si>
    <t>07-12-2023 06:00</t>
  </si>
  <si>
    <t>07-12-2023 07:00</t>
  </si>
  <si>
    <t>07-12-2023 08:00</t>
  </si>
  <si>
    <t>07-12-2023 09:00</t>
  </si>
  <si>
    <t>07-12-2023 10:00</t>
  </si>
  <si>
    <t>07-12-2023 11:00</t>
  </si>
  <si>
    <t>07-12-2023 12:00</t>
  </si>
  <si>
    <t>07-12-2023 13:00</t>
  </si>
  <si>
    <t>07-12-2023 14:00</t>
  </si>
  <si>
    <t>07-12-2023 15:00</t>
  </si>
  <si>
    <t>07-12-2023 16:00</t>
  </si>
  <si>
    <t>07-12-2023 17:00</t>
  </si>
  <si>
    <t>07-12-2023 18:00</t>
  </si>
  <si>
    <t>07-12-2023 19:00</t>
  </si>
  <si>
    <t>07-12-2023 20:00</t>
  </si>
  <si>
    <t>07-12-2023 21:00</t>
  </si>
  <si>
    <t>07-12-2023 22:00</t>
  </si>
  <si>
    <t>07-12-2023 23:00</t>
  </si>
  <si>
    <t>07-12-2023 24:00</t>
  </si>
  <si>
    <t>08-12-2023 01:00</t>
  </si>
  <si>
    <t>08-12-2023 02:00</t>
  </si>
  <si>
    <t>08-12-2023 03:00</t>
  </si>
  <si>
    <t>08-12-2023 04:00</t>
  </si>
  <si>
    <t>08-12-2023 05:00</t>
  </si>
  <si>
    <t>08-12-2023 06:00</t>
  </si>
  <si>
    <t>08-12-2023 07:00</t>
  </si>
  <si>
    <t>08-12-2023 08:00</t>
  </si>
  <si>
    <t>08-12-2023 09:00</t>
  </si>
  <si>
    <t>08-12-2023 10:00</t>
  </si>
  <si>
    <t>08-12-2023 11:00</t>
  </si>
  <si>
    <t>08-12-2023 12:00</t>
  </si>
  <si>
    <t>08-12-2023 13:00</t>
  </si>
  <si>
    <t>08-12-2023 14:00</t>
  </si>
  <si>
    <t>08-12-2023 15:00</t>
  </si>
  <si>
    <t>08-12-2023 16:00</t>
  </si>
  <si>
    <t>08-12-2023 17:00</t>
  </si>
  <si>
    <t>08-12-2023 18:00</t>
  </si>
  <si>
    <t>08-12-2023 19:00</t>
  </si>
  <si>
    <t>08-12-2023 20:00</t>
  </si>
  <si>
    <t>08-12-2023 21:00</t>
  </si>
  <si>
    <t>08-12-2023 22:00</t>
  </si>
  <si>
    <t>08-12-2023 23:00</t>
  </si>
  <si>
    <t>08-12-2023 24:00</t>
  </si>
  <si>
    <t>09-12-2023 01:00</t>
  </si>
  <si>
    <t>09-12-2023 02:00</t>
  </si>
  <si>
    <t>09-12-2023 03:00</t>
  </si>
  <si>
    <t>09-12-2023 04:00</t>
  </si>
  <si>
    <t>09-12-2023 05:00</t>
  </si>
  <si>
    <t>09-12-2023 06:00</t>
  </si>
  <si>
    <t>09-12-2023 07:00</t>
  </si>
  <si>
    <t>09-12-2023 08:00</t>
  </si>
  <si>
    <t>09-12-2023 09:00</t>
  </si>
  <si>
    <t>09-12-2023 10:00</t>
  </si>
  <si>
    <t>09-12-2023 11:00</t>
  </si>
  <si>
    <t>09-12-2023 12:00</t>
  </si>
  <si>
    <t>09-12-2023 13:00</t>
  </si>
  <si>
    <t>09-12-2023 14:00</t>
  </si>
  <si>
    <t>09-12-2023 15:00</t>
  </si>
  <si>
    <t>09-12-2023 16:00</t>
  </si>
  <si>
    <t>09-12-2023 17:00</t>
  </si>
  <si>
    <t>09-12-2023 18:00</t>
  </si>
  <si>
    <t>09-12-2023 19:00</t>
  </si>
  <si>
    <t>09-12-2023 20:00</t>
  </si>
  <si>
    <t>09-12-2023 21:00</t>
  </si>
  <si>
    <t>09-12-2023 22:00</t>
  </si>
  <si>
    <t>09-12-2023 23:00</t>
  </si>
  <si>
    <t>09-12-2023 24:00</t>
  </si>
  <si>
    <t>10-12-2023 01:00</t>
  </si>
  <si>
    <t>10-12-2023 02:00</t>
  </si>
  <si>
    <t>10-12-2023 03:00</t>
  </si>
  <si>
    <t>10-12-2023 04:00</t>
  </si>
  <si>
    <t>10-12-2023 05:00</t>
  </si>
  <si>
    <t>10-12-2023 06:00</t>
  </si>
  <si>
    <t>10-12-2023 07:00</t>
  </si>
  <si>
    <t>10-12-2023 08:00</t>
  </si>
  <si>
    <t>10-12-2023 09:00</t>
  </si>
  <si>
    <t>10-12-2023 10:00</t>
  </si>
  <si>
    <t>10-12-2023 11:00</t>
  </si>
  <si>
    <t>10-12-2023 12:00</t>
  </si>
  <si>
    <t>10-12-2023 13:00</t>
  </si>
  <si>
    <t>10-12-2023 14:00</t>
  </si>
  <si>
    <t>10-12-2023 15:00</t>
  </si>
  <si>
    <t>10-12-2023 16:00</t>
  </si>
  <si>
    <t>10-12-2023 17:00</t>
  </si>
  <si>
    <t>10-12-2023 18:00</t>
  </si>
  <si>
    <t>10-12-2023 19:00</t>
  </si>
  <si>
    <t>10-12-2023 20:00</t>
  </si>
  <si>
    <t>10-12-2023 21:00</t>
  </si>
  <si>
    <t>10-12-2023 22:00</t>
  </si>
  <si>
    <t>10-12-2023 23:00</t>
  </si>
  <si>
    <t>10-12-2023 24:00</t>
  </si>
  <si>
    <t>11-12-2023 01:00</t>
  </si>
  <si>
    <t>11-12-2023 02:00</t>
  </si>
  <si>
    <t>11-12-2023 03:00</t>
  </si>
  <si>
    <t>11-12-2023 04:00</t>
  </si>
  <si>
    <t>11-12-2023 05:00</t>
  </si>
  <si>
    <t>11-12-2023 06:00</t>
  </si>
  <si>
    <t>11-12-2023 07:00</t>
  </si>
  <si>
    <t>11-12-2023 08:00</t>
  </si>
  <si>
    <t>11-12-2023 09:00</t>
  </si>
  <si>
    <t>11-12-2023 10:00</t>
  </si>
  <si>
    <t>11-12-2023 11:00</t>
  </si>
  <si>
    <t>11-12-2023 12:00</t>
  </si>
  <si>
    <t>11-12-2023 13:00</t>
  </si>
  <si>
    <t>11-12-2023 14:00</t>
  </si>
  <si>
    <t>11-12-2023 15:00</t>
  </si>
  <si>
    <t>11-12-2023 16:00</t>
  </si>
  <si>
    <t>11-12-2023 17:00</t>
  </si>
  <si>
    <t>11-12-2023 18:00</t>
  </si>
  <si>
    <t>11-12-2023 19:00</t>
  </si>
  <si>
    <t>11-12-2023 20:00</t>
  </si>
  <si>
    <t>11-12-2023 21:00</t>
  </si>
  <si>
    <t>11-12-2023 22:00</t>
  </si>
  <si>
    <t>11-12-2023 23:00</t>
  </si>
  <si>
    <t>11-12-2023 24:00</t>
  </si>
  <si>
    <t>12-12-2023 01:00</t>
  </si>
  <si>
    <t>12-12-2023 02:00</t>
  </si>
  <si>
    <t>12-12-2023 03:00</t>
  </si>
  <si>
    <t>12-12-2023 04:00</t>
  </si>
  <si>
    <t>12-12-2023 05:00</t>
  </si>
  <si>
    <t>12-12-2023 06:00</t>
  </si>
  <si>
    <t>12-12-2023 07:00</t>
  </si>
  <si>
    <t>12-12-2023 08:00</t>
  </si>
  <si>
    <t>12-12-2023 09:00</t>
  </si>
  <si>
    <t>12-12-2023 10:00</t>
  </si>
  <si>
    <t>12-12-2023 11:00</t>
  </si>
  <si>
    <t>12-12-2023 12:00</t>
  </si>
  <si>
    <t>12-12-2023 13:00</t>
  </si>
  <si>
    <t>12-12-2023 14:00</t>
  </si>
  <si>
    <t>12-12-2023 15:00</t>
  </si>
  <si>
    <t>12-12-2023 16:00</t>
  </si>
  <si>
    <t>12-12-2023 17:00</t>
  </si>
  <si>
    <t>12-12-2023 18:00</t>
  </si>
  <si>
    <t>12-12-2023 19:00</t>
  </si>
  <si>
    <t>12-12-2023 20:00</t>
  </si>
  <si>
    <t>12-12-2023 21:00</t>
  </si>
  <si>
    <t>12-12-2023 22:00</t>
  </si>
  <si>
    <t>12-12-2023 23:00</t>
  </si>
  <si>
    <t>12-12-2023 24:00</t>
  </si>
  <si>
    <t>13-12-2023 01:00</t>
  </si>
  <si>
    <t>13-12-2023 02:00</t>
  </si>
  <si>
    <t>13-12-2023 03:00</t>
  </si>
  <si>
    <t>13-12-2023 04:00</t>
  </si>
  <si>
    <t>13-12-2023 05:00</t>
  </si>
  <si>
    <t>13-12-2023 06:00</t>
  </si>
  <si>
    <t>13-12-2023 07:00</t>
  </si>
  <si>
    <t>13-12-2023 08:00</t>
  </si>
  <si>
    <t>13-12-2023 09:00</t>
  </si>
  <si>
    <t>13-12-2023 10:00</t>
  </si>
  <si>
    <t>13-12-2023 11:00</t>
  </si>
  <si>
    <t>13-12-2023 12:00</t>
  </si>
  <si>
    <t>13-12-2023 13:00</t>
  </si>
  <si>
    <t>13-12-2023 14:00</t>
  </si>
  <si>
    <t>13-12-2023 15:00</t>
  </si>
  <si>
    <t>13-12-2023 16:00</t>
  </si>
  <si>
    <t>13-12-2023 17:00</t>
  </si>
  <si>
    <t>13-12-2023 18:00</t>
  </si>
  <si>
    <t>13-12-2023 19:00</t>
  </si>
  <si>
    <t>13-12-2023 20:00</t>
  </si>
  <si>
    <t>13-12-2023 21:00</t>
  </si>
  <si>
    <t>13-12-2023 22:00</t>
  </si>
  <si>
    <t>13-12-2023 23:00</t>
  </si>
  <si>
    <t>13-12-2023 24:00</t>
  </si>
  <si>
    <t>14-12-2023 01:00</t>
  </si>
  <si>
    <t>14-12-2023 02:00</t>
  </si>
  <si>
    <t>14-12-2023 03:00</t>
  </si>
  <si>
    <t>14-12-2023 04:00</t>
  </si>
  <si>
    <t>14-12-2023 05:00</t>
  </si>
  <si>
    <t>14-12-2023 06:00</t>
  </si>
  <si>
    <t>14-12-2023 07:00</t>
  </si>
  <si>
    <t>14-12-2023 08:00</t>
  </si>
  <si>
    <t>14-12-2023 09:00</t>
  </si>
  <si>
    <t>14-12-2023 10:00</t>
  </si>
  <si>
    <t>14-12-2023 11:00</t>
  </si>
  <si>
    <t>14-12-2023 12:00</t>
  </si>
  <si>
    <t>14-12-2023 13:00</t>
  </si>
  <si>
    <t>14-12-2023 14:00</t>
  </si>
  <si>
    <t>14-12-2023 15:00</t>
  </si>
  <si>
    <t>14-12-2023 16:00</t>
  </si>
  <si>
    <t>14-12-2023 17:00</t>
  </si>
  <si>
    <t>14-12-2023 18:00</t>
  </si>
  <si>
    <t>14-12-2023 19:00</t>
  </si>
  <si>
    <t>14-12-2023 20:00</t>
  </si>
  <si>
    <t>14-12-2023 21:00</t>
  </si>
  <si>
    <t>14-12-2023 22:00</t>
  </si>
  <si>
    <t>14-12-2023 23:00</t>
  </si>
  <si>
    <t>14-12-2023 24:00</t>
  </si>
  <si>
    <t>15-12-2023 01:00</t>
  </si>
  <si>
    <t>15-12-2023 02:00</t>
  </si>
  <si>
    <t>15-12-2023 03:00</t>
  </si>
  <si>
    <t>15-12-2023 04:00</t>
  </si>
  <si>
    <t>15-12-2023 05:00</t>
  </si>
  <si>
    <t>15-12-2023 06:00</t>
  </si>
  <si>
    <t>15-12-2023 07:00</t>
  </si>
  <si>
    <t>15-12-2023 08:00</t>
  </si>
  <si>
    <t>15-12-2023 09:00</t>
  </si>
  <si>
    <t>15-12-2023 10:00</t>
  </si>
  <si>
    <t>15-12-2023 11:00</t>
  </si>
  <si>
    <t>15-12-2023 12:00</t>
  </si>
  <si>
    <t>15-12-2023 13:00</t>
  </si>
  <si>
    <t>15-12-2023 14:00</t>
  </si>
  <si>
    <t>15-12-2023 15:00</t>
  </si>
  <si>
    <t>15-12-2023 16:00</t>
  </si>
  <si>
    <t>15-12-2023 17:00</t>
  </si>
  <si>
    <t>15-12-2023 18:00</t>
  </si>
  <si>
    <t>15-12-2023 19:00</t>
  </si>
  <si>
    <t>15-12-2023 20:00</t>
  </si>
  <si>
    <t>15-12-2023 21:00</t>
  </si>
  <si>
    <t>15-12-2023 22:00</t>
  </si>
  <si>
    <t>15-12-2023 23:00</t>
  </si>
  <si>
    <t>15-12-2023 24:00</t>
  </si>
  <si>
    <t>16-12-2023 01:00</t>
  </si>
  <si>
    <t>16-12-2023 02:00</t>
  </si>
  <si>
    <t>16-12-2023 03:00</t>
  </si>
  <si>
    <t>16-12-2023 04:00</t>
  </si>
  <si>
    <t>16-12-2023 05:00</t>
  </si>
  <si>
    <t>16-12-2023 06:00</t>
  </si>
  <si>
    <t>16-12-2023 07:00</t>
  </si>
  <si>
    <t>16-12-2023 08:00</t>
  </si>
  <si>
    <t>16-12-2023 09:00</t>
  </si>
  <si>
    <t>16-12-2023 10:00</t>
  </si>
  <si>
    <t>16-12-2023 11:00</t>
  </si>
  <si>
    <t>16-12-2023 12:00</t>
  </si>
  <si>
    <t>16-12-2023 13:00</t>
  </si>
  <si>
    <t>16-12-2023 14:00</t>
  </si>
  <si>
    <t>16-12-2023 15:00</t>
  </si>
  <si>
    <t>16-12-2023 16:00</t>
  </si>
  <si>
    <t>16-12-2023 17:00</t>
  </si>
  <si>
    <t>16-12-2023 18:00</t>
  </si>
  <si>
    <t>16-12-2023 19:00</t>
  </si>
  <si>
    <t>16-12-2023 20:00</t>
  </si>
  <si>
    <t>16-12-2023 21:00</t>
  </si>
  <si>
    <t>16-12-2023 22:00</t>
  </si>
  <si>
    <t>16-12-2023 23:00</t>
  </si>
  <si>
    <t>16-12-2023 24:00</t>
  </si>
  <si>
    <t>17-12-2023 01:00</t>
  </si>
  <si>
    <t>17-12-2023 02:00</t>
  </si>
  <si>
    <t>17-12-2023 03:00</t>
  </si>
  <si>
    <t>17-12-2023 04:00</t>
  </si>
  <si>
    <t>17-12-2023 05:00</t>
  </si>
  <si>
    <t>17-12-2023 06:00</t>
  </si>
  <si>
    <t>17-12-2023 07:00</t>
  </si>
  <si>
    <t>17-12-2023 08:00</t>
  </si>
  <si>
    <t>17-12-2023 09:00</t>
  </si>
  <si>
    <t>17-12-2023 10:00</t>
  </si>
  <si>
    <t>17-12-2023 11:00</t>
  </si>
  <si>
    <t>17-12-2023 12:00</t>
  </si>
  <si>
    <t>17-12-2023 13:00</t>
  </si>
  <si>
    <t>17-12-2023 14:00</t>
  </si>
  <si>
    <t>17-12-2023 15:00</t>
  </si>
  <si>
    <t>17-12-2023 16:00</t>
  </si>
  <si>
    <t>17-12-2023 17:00</t>
  </si>
  <si>
    <t>17-12-2023 18:00</t>
  </si>
  <si>
    <t>17-12-2023 19:00</t>
  </si>
  <si>
    <t>17-12-2023 20:00</t>
  </si>
  <si>
    <t>17-12-2023 21:00</t>
  </si>
  <si>
    <t>17-12-2023 22:00</t>
  </si>
  <si>
    <t>17-12-2023 23:00</t>
  </si>
  <si>
    <t>17-12-2023 24:00</t>
  </si>
  <si>
    <t>18-12-2023 01:00</t>
  </si>
  <si>
    <t>18-12-2023 02:00</t>
  </si>
  <si>
    <t>18-12-2023 03:00</t>
  </si>
  <si>
    <t>18-12-2023 04:00</t>
  </si>
  <si>
    <t>18-12-2023 05:00</t>
  </si>
  <si>
    <t>18-12-2023 06:00</t>
  </si>
  <si>
    <t>18-12-2023 07:00</t>
  </si>
  <si>
    <t>18-12-2023 08:00</t>
  </si>
  <si>
    <t>18-12-2023 09:00</t>
  </si>
  <si>
    <t>18-12-2023 10:00</t>
  </si>
  <si>
    <t>18-12-2023 11:00</t>
  </si>
  <si>
    <t>18-12-2023 12:00</t>
  </si>
  <si>
    <t>18-12-2023 13:00</t>
  </si>
  <si>
    <t>18-12-2023 14:00</t>
  </si>
  <si>
    <t>18-12-2023 15:00</t>
  </si>
  <si>
    <t>18-12-2023 16:00</t>
  </si>
  <si>
    <t>18-12-2023 17:00</t>
  </si>
  <si>
    <t>18-12-2023 18:00</t>
  </si>
  <si>
    <t>18-12-2023 19:00</t>
  </si>
  <si>
    <t>18-12-2023 20:00</t>
  </si>
  <si>
    <t>18-12-2023 21:00</t>
  </si>
  <si>
    <t>18-12-2023 22:00</t>
  </si>
  <si>
    <t>18-12-2023 23:00</t>
  </si>
  <si>
    <t>18-12-2023 24:00</t>
  </si>
  <si>
    <t>19-12-2023 01:00</t>
  </si>
  <si>
    <t>19-12-2023 02:00</t>
  </si>
  <si>
    <t>19-12-2023 03:00</t>
  </si>
  <si>
    <t>19-12-2023 04:00</t>
  </si>
  <si>
    <t>19-12-2023 05:00</t>
  </si>
  <si>
    <t>19-12-2023 06:00</t>
  </si>
  <si>
    <t>19-12-2023 07:00</t>
  </si>
  <si>
    <t>19-12-2023 08:00</t>
  </si>
  <si>
    <t>19-12-2023 09:00</t>
  </si>
  <si>
    <t>19-12-2023 10:00</t>
  </si>
  <si>
    <t>19-12-2023 11:00</t>
  </si>
  <si>
    <t>19-12-2023 12:00</t>
  </si>
  <si>
    <t>19-12-2023 13:00</t>
  </si>
  <si>
    <t>19-12-2023 14:00</t>
  </si>
  <si>
    <t>19-12-2023 15:00</t>
  </si>
  <si>
    <t>19-12-2023 16:00</t>
  </si>
  <si>
    <t>19-12-2023 17:00</t>
  </si>
  <si>
    <t>19-12-2023 18:00</t>
  </si>
  <si>
    <t>19-12-2023 19:00</t>
  </si>
  <si>
    <t>19-12-2023 20:00</t>
  </si>
  <si>
    <t>19-12-2023 21:00</t>
  </si>
  <si>
    <t>19-12-2023 22:00</t>
  </si>
  <si>
    <t>19-12-2023 23:00</t>
  </si>
  <si>
    <t>19-12-2023 24:00</t>
  </si>
  <si>
    <t>20-12-2023 01:00</t>
  </si>
  <si>
    <t>20-12-2023 02:00</t>
  </si>
  <si>
    <t>20-12-2023 03:00</t>
  </si>
  <si>
    <t>20-12-2023 04:00</t>
  </si>
  <si>
    <t>20-12-2023 05:00</t>
  </si>
  <si>
    <t>20-12-2023 06:00</t>
  </si>
  <si>
    <t>20-12-2023 07:00</t>
  </si>
  <si>
    <t>20-12-2023 08:00</t>
  </si>
  <si>
    <t>20-12-2023 09:00</t>
  </si>
  <si>
    <t>20-12-2023 10:00</t>
  </si>
  <si>
    <t>20-12-2023 11:00</t>
  </si>
  <si>
    <t>20-12-2023 12:00</t>
  </si>
  <si>
    <t>20-12-2023 13:00</t>
  </si>
  <si>
    <t>20-12-2023 14:00</t>
  </si>
  <si>
    <t>20-12-2023 15:00</t>
  </si>
  <si>
    <t>20-12-2023 16:00</t>
  </si>
  <si>
    <t>20-12-2023 17:00</t>
  </si>
  <si>
    <t>20-12-2023 18:00</t>
  </si>
  <si>
    <t>20-12-2023 19:00</t>
  </si>
  <si>
    <t>20-12-2023 20:00</t>
  </si>
  <si>
    <t>20-12-2023 21:00</t>
  </si>
  <si>
    <t>20-12-2023 22:00</t>
  </si>
  <si>
    <t>20-12-2023 23:00</t>
  </si>
  <si>
    <t>20-12-2023 24:00</t>
  </si>
  <si>
    <t>21-12-2023 01:00</t>
  </si>
  <si>
    <t>21-12-2023 02:00</t>
  </si>
  <si>
    <t>21-12-2023 03:00</t>
  </si>
  <si>
    <t>21-12-2023 04:00</t>
  </si>
  <si>
    <t>21-12-2023 05:00</t>
  </si>
  <si>
    <t>21-12-2023 06:00</t>
  </si>
  <si>
    <t>21-12-2023 07:00</t>
  </si>
  <si>
    <t>21-12-2023 08:00</t>
  </si>
  <si>
    <t>21-12-2023 09:00</t>
  </si>
  <si>
    <t>21-12-2023 10:00</t>
  </si>
  <si>
    <t>21-12-2023 11:00</t>
  </si>
  <si>
    <t>21-12-2023 12:00</t>
  </si>
  <si>
    <t>21-12-2023 13:00</t>
  </si>
  <si>
    <t>21-12-2023 14:00</t>
  </si>
  <si>
    <t>21-12-2023 15:00</t>
  </si>
  <si>
    <t>21-12-2023 16:00</t>
  </si>
  <si>
    <t>21-12-2023 17:00</t>
  </si>
  <si>
    <t>21-12-2023 18:00</t>
  </si>
  <si>
    <t>21-12-2023 19:00</t>
  </si>
  <si>
    <t>21-12-2023 20:00</t>
  </si>
  <si>
    <t>21-12-2023 21:00</t>
  </si>
  <si>
    <t>21-12-2023 22:00</t>
  </si>
  <si>
    <t>21-12-2023 23:00</t>
  </si>
  <si>
    <t>21-12-2023 24:00</t>
  </si>
  <si>
    <t>22-12-2023 01:00</t>
  </si>
  <si>
    <t>22-12-2023 02:00</t>
  </si>
  <si>
    <t>22-12-2023 03:00</t>
  </si>
  <si>
    <t>22-12-2023 04:00</t>
  </si>
  <si>
    <t>22-12-2023 05:00</t>
  </si>
  <si>
    <t>22-12-2023 06:00</t>
  </si>
  <si>
    <t>22-12-2023 07:00</t>
  </si>
  <si>
    <t>22-12-2023 08:00</t>
  </si>
  <si>
    <t>22-12-2023 09:00</t>
  </si>
  <si>
    <t>22-12-2023 10:00</t>
  </si>
  <si>
    <t>22-12-2023 11:00</t>
  </si>
  <si>
    <t>22-12-2023 12:00</t>
  </si>
  <si>
    <t>22-12-2023 13:00</t>
  </si>
  <si>
    <t>22-12-2023 14:00</t>
  </si>
  <si>
    <t>22-12-2023 15:00</t>
  </si>
  <si>
    <t>22-12-2023 16:00</t>
  </si>
  <si>
    <t>22-12-2023 17:00</t>
  </si>
  <si>
    <t>22-12-2023 18:00</t>
  </si>
  <si>
    <t>22-12-2023 19:00</t>
  </si>
  <si>
    <t>22-12-2023 20:00</t>
  </si>
  <si>
    <t>22-12-2023 21:00</t>
  </si>
  <si>
    <t>22-12-2023 22:00</t>
  </si>
  <si>
    <t>22-12-2023 23:00</t>
  </si>
  <si>
    <t>22-12-2023 24:00</t>
  </si>
  <si>
    <t>23-12-2023 01:00</t>
  </si>
  <si>
    <t>23-12-2023 02:00</t>
  </si>
  <si>
    <t>23-12-2023 03:00</t>
  </si>
  <si>
    <t>23-12-2023 04:00</t>
  </si>
  <si>
    <t>23-12-2023 05:00</t>
  </si>
  <si>
    <t>23-12-2023 06:00</t>
  </si>
  <si>
    <t>23-12-2023 07:00</t>
  </si>
  <si>
    <t>23-12-2023 08:00</t>
  </si>
  <si>
    <t>23-12-2023 09:00</t>
  </si>
  <si>
    <t>23-12-2023 10:00</t>
  </si>
  <si>
    <t>23-12-2023 11:00</t>
  </si>
  <si>
    <t>23-12-2023 12:00</t>
  </si>
  <si>
    <t>23-12-2023 13:00</t>
  </si>
  <si>
    <t>23-12-2023 14:00</t>
  </si>
  <si>
    <t>23-12-2023 15:00</t>
  </si>
  <si>
    <t>23-12-2023 16:00</t>
  </si>
  <si>
    <t>23-12-2023 17:00</t>
  </si>
  <si>
    <t>23-12-2023 18:00</t>
  </si>
  <si>
    <t>23-12-2023 19:00</t>
  </si>
  <si>
    <t>23-12-2023 20:00</t>
  </si>
  <si>
    <t>23-12-2023 21:00</t>
  </si>
  <si>
    <t>23-12-2023 22:00</t>
  </si>
  <si>
    <t>23-12-2023 23:00</t>
  </si>
  <si>
    <t>23-12-2023 24:00</t>
  </si>
  <si>
    <t>24-12-2023 01:00</t>
  </si>
  <si>
    <t>24-12-2023 02:00</t>
  </si>
  <si>
    <t>24-12-2023 03:00</t>
  </si>
  <si>
    <t>24-12-2023 04:00</t>
  </si>
  <si>
    <t>24-12-2023 05:00</t>
  </si>
  <si>
    <t>24-12-2023 06:00</t>
  </si>
  <si>
    <t>24-12-2023 07:00</t>
  </si>
  <si>
    <t>24-12-2023 08:00</t>
  </si>
  <si>
    <t>24-12-2023 09:00</t>
  </si>
  <si>
    <t>24-12-2023 10:00</t>
  </si>
  <si>
    <t>24-12-2023 11:00</t>
  </si>
  <si>
    <t>24-12-2023 12:00</t>
  </si>
  <si>
    <t>24-12-2023 13:00</t>
  </si>
  <si>
    <t>24-12-2023 14:00</t>
  </si>
  <si>
    <t>24-12-2023 15:00</t>
  </si>
  <si>
    <t>24-12-2023 16:00</t>
  </si>
  <si>
    <t>24-12-2023 17:00</t>
  </si>
  <si>
    <t>24-12-2023 18:00</t>
  </si>
  <si>
    <t>24-12-2023 19:00</t>
  </si>
  <si>
    <t>24-12-2023 20:00</t>
  </si>
  <si>
    <t>24-12-2023 21:00</t>
  </si>
  <si>
    <t>24-12-2023 22:00</t>
  </si>
  <si>
    <t>24-12-2023 23:00</t>
  </si>
  <si>
    <t>24-12-2023 24:00</t>
  </si>
  <si>
    <t>25-12-2023 01:00</t>
  </si>
  <si>
    <t>25-12-2023 02:00</t>
  </si>
  <si>
    <t>25-12-2023 03:00</t>
  </si>
  <si>
    <t>25-12-2023 04:00</t>
  </si>
  <si>
    <t>25-12-2023 05:00</t>
  </si>
  <si>
    <t>25-12-2023 06:00</t>
  </si>
  <si>
    <t>25-12-2023 07:00</t>
  </si>
  <si>
    <t>25-12-2023 08:00</t>
  </si>
  <si>
    <t>25-12-2023 09:00</t>
  </si>
  <si>
    <t>25-12-2023 10:00</t>
  </si>
  <si>
    <t>25-12-2023 11:00</t>
  </si>
  <si>
    <t>25-12-2023 12:00</t>
  </si>
  <si>
    <t>25-12-2023 13:00</t>
  </si>
  <si>
    <t>25-12-2023 14:00</t>
  </si>
  <si>
    <t>25-12-2023 15:00</t>
  </si>
  <si>
    <t>25-12-2023 16:00</t>
  </si>
  <si>
    <t>25-12-2023 17:00</t>
  </si>
  <si>
    <t>25-12-2023 18:00</t>
  </si>
  <si>
    <t>25-12-2023 19:00</t>
  </si>
  <si>
    <t>25-12-2023 20:00</t>
  </si>
  <si>
    <t>25-12-2023 21:00</t>
  </si>
  <si>
    <t>25-12-2023 22:00</t>
  </si>
  <si>
    <t>25-12-2023 23:00</t>
  </si>
  <si>
    <t>25-12-2023 24:00</t>
  </si>
  <si>
    <t>26-12-2023 01:00</t>
  </si>
  <si>
    <t>26-12-2023 02:00</t>
  </si>
  <si>
    <t>26-12-2023 03:00</t>
  </si>
  <si>
    <t>26-12-2023 04:00</t>
  </si>
  <si>
    <t>26-12-2023 05:00</t>
  </si>
  <si>
    <t>26-12-2023 06:00</t>
  </si>
  <si>
    <t>26-12-2023 07:00</t>
  </si>
  <si>
    <t>26-12-2023 08:00</t>
  </si>
  <si>
    <t>26-12-2023 09:00</t>
  </si>
  <si>
    <t>26-12-2023 10:00</t>
  </si>
  <si>
    <t>26-12-2023 11:00</t>
  </si>
  <si>
    <t>26-12-2023 12:00</t>
  </si>
  <si>
    <t>26-12-2023 13:00</t>
  </si>
  <si>
    <t>26-12-2023 14:00</t>
  </si>
  <si>
    <t>26-12-2023 15:00</t>
  </si>
  <si>
    <t>26-12-2023 16:00</t>
  </si>
  <si>
    <t>26-12-2023 17:00</t>
  </si>
  <si>
    <t>26-12-2023 18:00</t>
  </si>
  <si>
    <t>26-12-2023 19:00</t>
  </si>
  <si>
    <t>26-12-2023 20:00</t>
  </si>
  <si>
    <t>26-12-2023 21:00</t>
  </si>
  <si>
    <t>26-12-2023 22:00</t>
  </si>
  <si>
    <t>26-12-2023 23:00</t>
  </si>
  <si>
    <t>26-12-2023 24:00</t>
  </si>
  <si>
    <t>27-12-2023 01:00</t>
  </si>
  <si>
    <t>27-12-2023 02:00</t>
  </si>
  <si>
    <t>27-12-2023 03:00</t>
  </si>
  <si>
    <t>27-12-2023 04:00</t>
  </si>
  <si>
    <t>27-12-2023 05:00</t>
  </si>
  <si>
    <t>27-12-2023 06:00</t>
  </si>
  <si>
    <t>27-12-2023 07:00</t>
  </si>
  <si>
    <t>27-12-2023 08:00</t>
  </si>
  <si>
    <t>27-12-2023 09:00</t>
  </si>
  <si>
    <t>27-12-2023 10:00</t>
  </si>
  <si>
    <t>27-12-2023 11:00</t>
  </si>
  <si>
    <t>27-12-2023 12:00</t>
  </si>
  <si>
    <t>27-12-2023 13:00</t>
  </si>
  <si>
    <t>27-12-2023 14:00</t>
  </si>
  <si>
    <t>27-12-2023 15:00</t>
  </si>
  <si>
    <t>27-12-2023 16:00</t>
  </si>
  <si>
    <t>27-12-2023 17:00</t>
  </si>
  <si>
    <t>27-12-2023 18:00</t>
  </si>
  <si>
    <t>27-12-2023 19:00</t>
  </si>
  <si>
    <t>27-12-2023 20:00</t>
  </si>
  <si>
    <t>27-12-2023 21:00</t>
  </si>
  <si>
    <t>27-12-2023 22:00</t>
  </si>
  <si>
    <t>27-12-2023 23:00</t>
  </si>
  <si>
    <t>27-12-2023 24:00</t>
  </si>
  <si>
    <t>28-12-2023 01:00</t>
  </si>
  <si>
    <t>28-12-2023 02:00</t>
  </si>
  <si>
    <t>28-12-2023 03:00</t>
  </si>
  <si>
    <t>28-12-2023 04:00</t>
  </si>
  <si>
    <t>28-12-2023 05:00</t>
  </si>
  <si>
    <t>28-12-2023 06:00</t>
  </si>
  <si>
    <t>28-12-2023 07:00</t>
  </si>
  <si>
    <t>28-12-2023 08:00</t>
  </si>
  <si>
    <t>28-12-2023 09:00</t>
  </si>
  <si>
    <t>28-12-2023 10:00</t>
  </si>
  <si>
    <t>28-12-2023 11:00</t>
  </si>
  <si>
    <t>28-12-2023 12:00</t>
  </si>
  <si>
    <t>28-12-2023 13:00</t>
  </si>
  <si>
    <t>28-12-2023 14:00</t>
  </si>
  <si>
    <t>28-12-2023 15:00</t>
  </si>
  <si>
    <t>28-12-2023 16:00</t>
  </si>
  <si>
    <t>28-12-2023 17:00</t>
  </si>
  <si>
    <t>28-12-2023 18:00</t>
  </si>
  <si>
    <t>28-12-2023 19:00</t>
  </si>
  <si>
    <t>28-12-2023 20:00</t>
  </si>
  <si>
    <t>28-12-2023 21:00</t>
  </si>
  <si>
    <t>28-12-2023 22:00</t>
  </si>
  <si>
    <t>28-12-2023 23:00</t>
  </si>
  <si>
    <t>28-12-2023 24:00</t>
  </si>
  <si>
    <t>29-12-2023 01:00</t>
  </si>
  <si>
    <t>29-12-2023 02:00</t>
  </si>
  <si>
    <t>29-12-2023 03:00</t>
  </si>
  <si>
    <t>29-12-2023 04:00</t>
  </si>
  <si>
    <t>29-12-2023 05:00</t>
  </si>
  <si>
    <t>29-12-2023 06:00</t>
  </si>
  <si>
    <t>29-12-2023 07:00</t>
  </si>
  <si>
    <t>29-12-2023 08:00</t>
  </si>
  <si>
    <t>29-12-2023 09:00</t>
  </si>
  <si>
    <t>29-12-2023 10:00</t>
  </si>
  <si>
    <t>29-12-2023 11:00</t>
  </si>
  <si>
    <t>29-12-2023 12:00</t>
  </si>
  <si>
    <t>29-12-2023 13:00</t>
  </si>
  <si>
    <t>29-12-2023 14:00</t>
  </si>
  <si>
    <t>29-12-2023 15:00</t>
  </si>
  <si>
    <t>29-12-2023 16:00</t>
  </si>
  <si>
    <t>29-12-2023 17:00</t>
  </si>
  <si>
    <t>29-12-2023 18:00</t>
  </si>
  <si>
    <t>29-12-2023 19:00</t>
  </si>
  <si>
    <t>29-12-2023 20:00</t>
  </si>
  <si>
    <t>29-12-2023 21:00</t>
  </si>
  <si>
    <t>29-12-2023 22:00</t>
  </si>
  <si>
    <t>29-12-2023 23:00</t>
  </si>
  <si>
    <t>29-12-2023 24:00</t>
  </si>
  <si>
    <t>30-12-2023 01:00</t>
  </si>
  <si>
    <t>30-12-2023 02:00</t>
  </si>
  <si>
    <t>30-12-2023 03:00</t>
  </si>
  <si>
    <t>30-12-2023 04:00</t>
  </si>
  <si>
    <t>30-12-2023 05:00</t>
  </si>
  <si>
    <t>30-12-2023 06:00</t>
  </si>
  <si>
    <t>30-12-2023 07:00</t>
  </si>
  <si>
    <t>30-12-2023 08:00</t>
  </si>
  <si>
    <t>30-12-2023 09:00</t>
  </si>
  <si>
    <t>30-12-2023 10:00</t>
  </si>
  <si>
    <t>30-12-2023 11:00</t>
  </si>
  <si>
    <t>30-12-2023 12:00</t>
  </si>
  <si>
    <t>30-12-2023 13:00</t>
  </si>
  <si>
    <t>30-12-2023 14:00</t>
  </si>
  <si>
    <t>30-12-2023 15:00</t>
  </si>
  <si>
    <t>30-12-2023 16:00</t>
  </si>
  <si>
    <t>30-12-2023 17:00</t>
  </si>
  <si>
    <t>30-12-2023 18:00</t>
  </si>
  <si>
    <t>30-12-2023 19:00</t>
  </si>
  <si>
    <t>30-12-2023 20:00</t>
  </si>
  <si>
    <t>30-12-2023 21:00</t>
  </si>
  <si>
    <t>30-12-2023 22:00</t>
  </si>
  <si>
    <t>30-12-2023 23:00</t>
  </si>
  <si>
    <t>30-12-2023 24:00</t>
  </si>
  <si>
    <t>31-12-2023 01:00</t>
  </si>
  <si>
    <t>31-12-2023 02:00</t>
  </si>
  <si>
    <t>31-12-2023 03:00</t>
  </si>
  <si>
    <t>31-12-2023 04:00</t>
  </si>
  <si>
    <t>31-12-2023 05:00</t>
  </si>
  <si>
    <t>31-12-2023 06:00</t>
  </si>
  <si>
    <t>31-12-2023 07:00</t>
  </si>
  <si>
    <t>31-12-2023 08:00</t>
  </si>
  <si>
    <t>31-12-2023 09:00</t>
  </si>
  <si>
    <t>31-12-2023 10:00</t>
  </si>
  <si>
    <t>31-12-2023 11:00</t>
  </si>
  <si>
    <t>31-12-2023 12:00</t>
  </si>
  <si>
    <t>31-12-2023 13:00</t>
  </si>
  <si>
    <t>31-12-2023 14:00</t>
  </si>
  <si>
    <t>31-12-2023 15:00</t>
  </si>
  <si>
    <t>31-12-2023 16:00</t>
  </si>
  <si>
    <t>31-12-2023 17:00</t>
  </si>
  <si>
    <t>31-12-2023 18:00</t>
  </si>
  <si>
    <t>31-12-2023 19:00</t>
  </si>
  <si>
    <t>31-12-2023 20:00</t>
  </si>
  <si>
    <t>31-12-2023 21:00</t>
  </si>
  <si>
    <t>31-12-2023 22:00</t>
  </si>
  <si>
    <t>31-12-2023 23:00</t>
  </si>
  <si>
    <t>31-12-2023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</si>
</sst>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4" Type="http://schemas.openxmlformats.org/officeDocument/2006/relationships/worksheet" Target="worksheets/sheet32.xml" /><Relationship Id="rId13" Type="http://schemas.openxmlformats.org/officeDocument/2006/relationships/worksheet" Target="worksheets/sheet11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19" Type="http://schemas.openxmlformats.org/officeDocument/2006/relationships/worksheet" Target="worksheets/sheet17.xml" /><Relationship Id="rId1" Type="http://schemas.openxmlformats.org/officeDocument/2006/relationships/theme" Target="theme/theme1.xml" /><Relationship Id="rId32" Type="http://schemas.openxmlformats.org/officeDocument/2006/relationships/worksheet" Target="worksheets/sheet30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22" Type="http://schemas.openxmlformats.org/officeDocument/2006/relationships/worksheet" Target="worksheets/sheet20.xml" /><Relationship Id="rId16" Type="http://schemas.openxmlformats.org/officeDocument/2006/relationships/worksheet" Target="worksheets/sheet14.xml" /><Relationship Id="rId12" Type="http://schemas.openxmlformats.org/officeDocument/2006/relationships/worksheet" Target="worksheets/sheet10.xml" /><Relationship Id="rId29" Type="http://schemas.openxmlformats.org/officeDocument/2006/relationships/worksheet" Target="worksheets/sheet27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7" Type="http://schemas.openxmlformats.org/officeDocument/2006/relationships/worksheet" Target="worksheets/sheet5.xml" /><Relationship Id="rId23" Type="http://schemas.openxmlformats.org/officeDocument/2006/relationships/worksheet" Target="worksheets/sheet21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24" Type="http://schemas.openxmlformats.org/officeDocument/2006/relationships/worksheet" Target="worksheets/sheet22.xml" /><Relationship Id="rId31" Type="http://schemas.openxmlformats.org/officeDocument/2006/relationships/worksheet" Target="worksheets/sheet29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5" Type="http://schemas.openxmlformats.org/officeDocument/2006/relationships/sharedStrings" Target="sharedStrings.xml" /><Relationship Id="rId33" Type="http://schemas.openxmlformats.org/officeDocument/2006/relationships/worksheet" Target="worksheets/sheet31.xml" /><Relationship Id="rId20" Type="http://schemas.openxmlformats.org/officeDocument/2006/relationships/worksheet" Target="worksheets/sheet18.xml" /><Relationship Id="rId8" Type="http://schemas.openxmlformats.org/officeDocument/2006/relationships/worksheet" Target="worksheets/sheet6.xml" /><Relationship Id="rId26" Type="http://schemas.openxmlformats.org/officeDocument/2006/relationships/worksheet" Target="worksheets/sheet24.xml" /><Relationship Id="rId36" Type="http://schemas.openxmlformats.org/officeDocument/2006/relationships/calcChain" Target="calcChain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942800-84c4-4471-8a2b-31bfbdef156f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N38" sqref="N38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8.69</v>
      </c>
      <c r="C9" s="54">
        <v>44.34</v>
      </c>
      <c r="D9" s="54">
        <v>31.06</v>
      </c>
      <c r="E9" s="54">
        <v>2.2200000000000002</v>
      </c>
      <c r="F9" s="54">
        <v>3.44</v>
      </c>
      <c r="G9" s="54">
        <v>67.25</v>
      </c>
      <c r="H9" s="54">
        <v>32.75</v>
      </c>
      <c r="I9" s="54">
        <v>1.53</v>
      </c>
      <c r="J9" s="54">
        <v>1.48</v>
      </c>
      <c r="K9" s="54">
        <v>112.10</v>
      </c>
      <c r="L9" s="54">
        <v>20.58</v>
      </c>
      <c r="M9" s="54">
        <v>72.37</v>
      </c>
      <c r="N9" s="54">
        <v>19.600000000000001</v>
      </c>
      <c r="O9" s="54">
        <v>0</v>
      </c>
      <c r="P9" s="54">
        <v>1.04</v>
      </c>
      <c r="Q9" s="54">
        <v>4.9400000000000004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9.73</v>
      </c>
      <c r="C10" s="54">
        <v>48.55</v>
      </c>
      <c r="D10" s="54">
        <v>35.24</v>
      </c>
      <c r="E10" s="54">
        <v>2.25</v>
      </c>
      <c r="F10" s="54">
        <v>3.51</v>
      </c>
      <c r="G10" s="54">
        <v>64.80</v>
      </c>
      <c r="H10" s="54">
        <v>31.36</v>
      </c>
      <c r="I10" s="54">
        <v>1.63</v>
      </c>
      <c r="J10" s="54">
        <v>1.36</v>
      </c>
      <c r="K10" s="54">
        <v>356.61</v>
      </c>
      <c r="L10" s="54">
        <v>20.28</v>
      </c>
      <c r="M10" s="54">
        <v>79.709999999999994</v>
      </c>
      <c r="N10" s="54">
        <v>20</v>
      </c>
      <c r="O10" s="54">
        <v>0</v>
      </c>
      <c r="P10" s="54">
        <v>0.98</v>
      </c>
      <c r="Q10" s="54">
        <v>4.8899999999999997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14.97</v>
      </c>
      <c r="C11" s="54">
        <v>55.18</v>
      </c>
      <c r="D11" s="54">
        <v>43.10</v>
      </c>
      <c r="E11" s="54">
        <v>2.27</v>
      </c>
      <c r="F11" s="54">
        <v>3.48</v>
      </c>
      <c r="G11" s="54">
        <v>57.10</v>
      </c>
      <c r="H11" s="54">
        <v>31.36</v>
      </c>
      <c r="I11" s="54">
        <v>1.56</v>
      </c>
      <c r="J11" s="54">
        <v>0.27</v>
      </c>
      <c r="K11" s="54">
        <v>102.08</v>
      </c>
      <c r="L11" s="54">
        <v>19.04</v>
      </c>
      <c r="M11" s="54">
        <v>83.05</v>
      </c>
      <c r="N11" s="54">
        <v>19.80</v>
      </c>
      <c r="O11" s="54">
        <v>0</v>
      </c>
      <c r="P11" s="54">
        <v>0.93</v>
      </c>
      <c r="Q11" s="54">
        <v>4.9800000000000004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8.4499999999999993</v>
      </c>
      <c r="C12" s="54">
        <v>39.96</v>
      </c>
      <c r="D12" s="54">
        <v>28.59</v>
      </c>
      <c r="E12" s="54">
        <v>2.25</v>
      </c>
      <c r="F12" s="54">
        <v>3.36</v>
      </c>
      <c r="G12" s="54">
        <v>56.85</v>
      </c>
      <c r="H12" s="54">
        <v>28.20</v>
      </c>
      <c r="I12" s="54">
        <v>1.58</v>
      </c>
      <c r="J12" s="54">
        <v>0.13</v>
      </c>
      <c r="K12" s="54">
        <v>81.42</v>
      </c>
      <c r="L12" s="54">
        <v>18.79</v>
      </c>
      <c r="M12" s="54">
        <v>85.09</v>
      </c>
      <c r="N12" s="54">
        <v>19.600000000000001</v>
      </c>
      <c r="O12" s="54">
        <v>0</v>
      </c>
      <c r="P12" s="54">
        <v>0.86</v>
      </c>
      <c r="Q12" s="54">
        <v>5.19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11.01</v>
      </c>
      <c r="C13" s="54">
        <v>49.92</v>
      </c>
      <c r="D13" s="54">
        <v>37.03</v>
      </c>
      <c r="E13" s="54">
        <v>2.29</v>
      </c>
      <c r="F13" s="54">
        <v>3.27</v>
      </c>
      <c r="G13" s="54">
        <v>53.15</v>
      </c>
      <c r="H13" s="54">
        <v>25.75</v>
      </c>
      <c r="I13" s="54">
        <v>1.51</v>
      </c>
      <c r="J13" s="54">
        <v>0.15</v>
      </c>
      <c r="K13" s="54">
        <v>340.55</v>
      </c>
      <c r="L13" s="54">
        <v>18.38</v>
      </c>
      <c r="M13" s="54">
        <v>88.08</v>
      </c>
      <c r="N13" s="54">
        <v>19.600000000000001</v>
      </c>
      <c r="O13" s="54">
        <v>0</v>
      </c>
      <c r="P13" s="54">
        <v>0.80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10.27</v>
      </c>
      <c r="C14" s="54">
        <v>52.21</v>
      </c>
      <c r="D14" s="54">
        <v>37.700000000000003</v>
      </c>
      <c r="E14" s="54">
        <v>2.2999999999999998</v>
      </c>
      <c r="F14" s="54">
        <v>3.44</v>
      </c>
      <c r="G14" s="54">
        <v>55.31</v>
      </c>
      <c r="H14" s="54">
        <v>28.35</v>
      </c>
      <c r="I14" s="54">
        <v>1.55</v>
      </c>
      <c r="J14" s="54">
        <v>0.47</v>
      </c>
      <c r="K14" s="54">
        <v>102.66</v>
      </c>
      <c r="L14" s="54">
        <v>18.22</v>
      </c>
      <c r="M14" s="54">
        <v>89</v>
      </c>
      <c r="N14" s="54">
        <v>19.70</v>
      </c>
      <c r="O14" s="54">
        <v>0</v>
      </c>
      <c r="P14" s="54">
        <v>0.79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32.119999999999997</v>
      </c>
      <c r="C15" s="54">
        <v>72.459999999999994</v>
      </c>
      <c r="D15" s="54">
        <v>66.400000000000006</v>
      </c>
      <c r="E15" s="54">
        <v>2.2400000000000002</v>
      </c>
      <c r="F15" s="54">
        <v>3.25</v>
      </c>
      <c r="G15" s="54">
        <v>66.540000000000006</v>
      </c>
      <c r="H15" s="54">
        <v>33.46</v>
      </c>
      <c r="I15" s="54">
        <v>1.54</v>
      </c>
      <c r="J15" s="54">
        <v>0.65</v>
      </c>
      <c r="K15" s="54">
        <v>344.12</v>
      </c>
      <c r="L15" s="54">
        <v>18.010000000000002</v>
      </c>
      <c r="M15" s="54">
        <v>93.08</v>
      </c>
      <c r="N15" s="54">
        <v>59.70</v>
      </c>
      <c r="O15" s="54">
        <v>0</v>
      </c>
      <c r="P15" s="54">
        <v>0.83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24.02</v>
      </c>
      <c r="C16" s="54">
        <v>76.650000000000006</v>
      </c>
      <c r="D16" s="54">
        <v>62.21</v>
      </c>
      <c r="E16" s="54">
        <v>2.2799999999999998</v>
      </c>
      <c r="F16" s="54">
        <v>3.39</v>
      </c>
      <c r="G16" s="54">
        <v>67.260000000000005</v>
      </c>
      <c r="H16" s="54">
        <v>35.22</v>
      </c>
      <c r="I16" s="54">
        <v>1.59</v>
      </c>
      <c r="J16" s="54">
        <v>0.80</v>
      </c>
      <c r="K16" s="54">
        <v>110.57</v>
      </c>
      <c r="L16" s="54">
        <v>20.34</v>
      </c>
      <c r="M16" s="54">
        <v>89.28</v>
      </c>
      <c r="N16" s="54">
        <v>249.80</v>
      </c>
      <c r="O16" s="54">
        <v>0</v>
      </c>
      <c r="P16" s="54">
        <v>0.87</v>
      </c>
      <c r="Q16" s="54">
        <v>5.20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15.73</v>
      </c>
      <c r="C17" s="54">
        <v>69.930000000000007</v>
      </c>
      <c r="D17" s="54">
        <v>51.86</v>
      </c>
      <c r="E17" s="54">
        <v>2.2999999999999998</v>
      </c>
      <c r="F17" s="54">
        <v>3.63</v>
      </c>
      <c r="G17" s="54">
        <v>68.87</v>
      </c>
      <c r="H17" s="54">
        <v>37.22</v>
      </c>
      <c r="I17" s="54">
        <v>1.53</v>
      </c>
      <c r="J17" s="54">
        <v>0.93</v>
      </c>
      <c r="K17" s="54">
        <v>112.56</v>
      </c>
      <c r="L17" s="54">
        <v>22.24</v>
      </c>
      <c r="M17" s="54">
        <v>74.930000000000007</v>
      </c>
      <c r="N17" s="54">
        <v>452.60</v>
      </c>
      <c r="O17" s="54">
        <v>0</v>
      </c>
      <c r="P17" s="54">
        <v>0.87</v>
      </c>
      <c r="Q17" s="54">
        <v>5.27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13.21</v>
      </c>
      <c r="C18" s="54">
        <v>53.68</v>
      </c>
      <c r="D18" s="54">
        <v>40.869999999999997</v>
      </c>
      <c r="E18" s="54">
        <v>2.31</v>
      </c>
      <c r="F18" s="54">
        <v>3.69</v>
      </c>
      <c r="G18" s="54">
        <v>68.87</v>
      </c>
      <c r="H18" s="54">
        <v>33.22</v>
      </c>
      <c r="I18" s="54">
        <v>1.54</v>
      </c>
      <c r="J18" s="54">
        <v>1.71</v>
      </c>
      <c r="K18" s="54">
        <v>107.44</v>
      </c>
      <c r="L18" s="54">
        <v>23.80</v>
      </c>
      <c r="M18" s="54">
        <v>70.73</v>
      </c>
      <c r="N18" s="54">
        <v>614.79999999999995</v>
      </c>
      <c r="O18" s="54">
        <v>0</v>
      </c>
      <c r="P18" s="54">
        <v>0.86</v>
      </c>
      <c r="Q18" s="54">
        <v>5.20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7.79</v>
      </c>
      <c r="C19" s="54">
        <v>53</v>
      </c>
      <c r="D19" s="54">
        <v>36.14</v>
      </c>
      <c r="E19" s="54">
        <v>2.2799999999999998</v>
      </c>
      <c r="F19" s="54">
        <v>3.94</v>
      </c>
      <c r="G19" s="54">
        <v>65.12</v>
      </c>
      <c r="H19" s="54">
        <v>35.22</v>
      </c>
      <c r="I19" s="54">
        <v>1.56</v>
      </c>
      <c r="J19" s="54">
        <v>0.76</v>
      </c>
      <c r="K19" s="54">
        <v>110.99</v>
      </c>
      <c r="L19" s="54">
        <v>27.46</v>
      </c>
      <c r="M19" s="54">
        <v>57.83</v>
      </c>
      <c r="N19" s="54">
        <v>686.60</v>
      </c>
      <c r="O19" s="54">
        <v>0</v>
      </c>
      <c r="P19" s="54">
        <v>0.83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4.6399999999999997</v>
      </c>
      <c r="C20" s="54">
        <v>42.5</v>
      </c>
      <c r="D20" s="54">
        <v>27.83</v>
      </c>
      <c r="E20" s="54">
        <v>2.2799999999999998</v>
      </c>
      <c r="F20" s="54">
        <v>4.0199999999999996</v>
      </c>
      <c r="G20" s="54">
        <v>64.77</v>
      </c>
      <c r="H20" s="54">
        <v>85.75</v>
      </c>
      <c r="I20" s="54">
        <v>1.5</v>
      </c>
      <c r="J20" s="54">
        <v>1.31</v>
      </c>
      <c r="K20" s="54">
        <v>112.32</v>
      </c>
      <c r="L20" s="54">
        <v>26.92</v>
      </c>
      <c r="M20" s="54">
        <v>50.13</v>
      </c>
      <c r="N20" s="54">
        <v>726.20</v>
      </c>
      <c r="O20" s="54">
        <v>0</v>
      </c>
      <c r="P20" s="54">
        <v>0.80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3.54</v>
      </c>
      <c r="C21" s="54">
        <v>43.72</v>
      </c>
      <c r="D21" s="54">
        <v>27.47</v>
      </c>
      <c r="E21" s="54">
        <v>2.16</v>
      </c>
      <c r="F21" s="54">
        <v>4.08</v>
      </c>
      <c r="G21" s="54">
        <v>54.62</v>
      </c>
      <c r="H21" s="54">
        <v>85.75</v>
      </c>
      <c r="I21" s="54">
        <v>1.57</v>
      </c>
      <c r="J21" s="54">
        <v>1.03</v>
      </c>
      <c r="K21" s="54">
        <v>119.73</v>
      </c>
      <c r="L21" s="54">
        <v>27.75</v>
      </c>
      <c r="M21" s="54">
        <v>48.08</v>
      </c>
      <c r="N21" s="54">
        <v>700</v>
      </c>
      <c r="O21" s="54">
        <v>0</v>
      </c>
      <c r="P21" s="54">
        <v>0.72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4.59</v>
      </c>
      <c r="C22" s="54">
        <v>48.96</v>
      </c>
      <c r="D22" s="54">
        <v>30.63</v>
      </c>
      <c r="E22" s="54">
        <v>2.2200000000000002</v>
      </c>
      <c r="F22" s="54">
        <v>3.81</v>
      </c>
      <c r="G22" s="54">
        <v>48.91</v>
      </c>
      <c r="H22" s="54">
        <v>41.85</v>
      </c>
      <c r="I22" s="54">
        <v>1.53</v>
      </c>
      <c r="J22" s="54">
        <v>1.41</v>
      </c>
      <c r="K22" s="54">
        <v>106.83</v>
      </c>
      <c r="L22" s="54">
        <v>27.55</v>
      </c>
      <c r="M22" s="54">
        <v>46.72</v>
      </c>
      <c r="N22" s="54">
        <v>574.10</v>
      </c>
      <c r="O22" s="54">
        <v>0</v>
      </c>
      <c r="P22" s="54">
        <v>0.72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4.5599999999999996</v>
      </c>
      <c r="C23" s="54">
        <v>50.22</v>
      </c>
      <c r="D23" s="54">
        <v>31.73</v>
      </c>
      <c r="E23" s="54">
        <v>2.1800000000000002</v>
      </c>
      <c r="F23" s="54">
        <v>3.96</v>
      </c>
      <c r="G23" s="54">
        <v>45.79</v>
      </c>
      <c r="H23" s="54">
        <v>32.01</v>
      </c>
      <c r="I23" s="54">
        <v>1.53</v>
      </c>
      <c r="J23" s="54">
        <v>1.48</v>
      </c>
      <c r="K23" s="54">
        <v>114.33</v>
      </c>
      <c r="L23" s="54">
        <v>27.46</v>
      </c>
      <c r="M23" s="54">
        <v>42.78</v>
      </c>
      <c r="N23" s="54">
        <v>163.90</v>
      </c>
      <c r="O23" s="54">
        <v>0</v>
      </c>
      <c r="P23" s="54">
        <v>0.70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6.84</v>
      </c>
      <c r="C24" s="54">
        <v>68.47</v>
      </c>
      <c r="D24" s="54">
        <v>43.83</v>
      </c>
      <c r="E24" s="54">
        <v>2.1800000000000002</v>
      </c>
      <c r="F24" s="54">
        <v>3.75</v>
      </c>
      <c r="G24" s="54">
        <v>45.21</v>
      </c>
      <c r="H24" s="54">
        <v>36.479999999999997</v>
      </c>
      <c r="I24" s="54">
        <v>1.59</v>
      </c>
      <c r="J24" s="54">
        <v>1.26</v>
      </c>
      <c r="K24" s="54">
        <v>113.68</v>
      </c>
      <c r="L24" s="54">
        <v>27.15</v>
      </c>
      <c r="M24" s="54">
        <v>44.63</v>
      </c>
      <c r="N24" s="54">
        <v>126.90</v>
      </c>
      <c r="O24" s="54">
        <v>0</v>
      </c>
      <c r="P24" s="54">
        <v>0.73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6.53</v>
      </c>
      <c r="C25" s="54">
        <v>48.15</v>
      </c>
      <c r="D25" s="54">
        <v>32.369999999999997</v>
      </c>
      <c r="E25" s="54">
        <v>2.2799999999999998</v>
      </c>
      <c r="F25" s="54">
        <v>3.64</v>
      </c>
      <c r="G25" s="54">
        <v>45.07</v>
      </c>
      <c r="H25" s="54">
        <v>36.479999999999997</v>
      </c>
      <c r="I25" s="54">
        <v>1.52</v>
      </c>
      <c r="J25" s="54">
        <v>0.51</v>
      </c>
      <c r="K25" s="54">
        <v>111.99</v>
      </c>
      <c r="L25" s="54">
        <v>25.97</v>
      </c>
      <c r="M25" s="54">
        <v>57.83</v>
      </c>
      <c r="N25" s="54">
        <v>81.80</v>
      </c>
      <c r="O25" s="54">
        <v>0</v>
      </c>
      <c r="P25" s="54">
        <v>0.77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7.22</v>
      </c>
      <c r="C26" s="54">
        <v>49.64</v>
      </c>
      <c r="D26" s="54">
        <v>33.729999999999997</v>
      </c>
      <c r="E26" s="54">
        <v>2.2799999999999998</v>
      </c>
      <c r="F26" s="54">
        <v>3.39</v>
      </c>
      <c r="G26" s="54">
        <v>47.38</v>
      </c>
      <c r="H26" s="54">
        <v>116.34</v>
      </c>
      <c r="I26" s="54">
        <v>1.52</v>
      </c>
      <c r="J26" s="54">
        <v>0.36</v>
      </c>
      <c r="K26" s="54">
        <v>328.13</v>
      </c>
      <c r="L26" s="54">
        <v>24.38</v>
      </c>
      <c r="M26" s="54">
        <v>60.77</v>
      </c>
      <c r="N26" s="54">
        <v>24.10</v>
      </c>
      <c r="O26" s="54">
        <v>0</v>
      </c>
      <c r="P26" s="54">
        <v>0.92</v>
      </c>
      <c r="Q26" s="54">
        <v>5.20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7.01</v>
      </c>
      <c r="C27" s="54">
        <v>55.70</v>
      </c>
      <c r="D27" s="54">
        <v>36.33</v>
      </c>
      <c r="E27" s="54">
        <v>2.2599999999999998</v>
      </c>
      <c r="F27" s="54">
        <v>3.81</v>
      </c>
      <c r="G27" s="54">
        <v>56.45</v>
      </c>
      <c r="H27" s="54">
        <v>116.34</v>
      </c>
      <c r="I27" s="54">
        <v>1.54</v>
      </c>
      <c r="J27" s="54">
        <v>0.24</v>
      </c>
      <c r="K27" s="54">
        <v>90.02</v>
      </c>
      <c r="L27" s="54">
        <v>24.13</v>
      </c>
      <c r="M27" s="54">
        <v>55.02</v>
      </c>
      <c r="N27" s="54">
        <v>20.399999999999999</v>
      </c>
      <c r="O27" s="54">
        <v>0</v>
      </c>
      <c r="P27" s="54">
        <v>1.1499999999999999</v>
      </c>
      <c r="Q27" s="54">
        <v>4.84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15.56</v>
      </c>
      <c r="C28" s="54">
        <v>55.62</v>
      </c>
      <c r="D28" s="54">
        <v>43.15</v>
      </c>
      <c r="E28" s="54">
        <v>2.23</v>
      </c>
      <c r="F28" s="54">
        <v>3.18</v>
      </c>
      <c r="G28" s="54">
        <v>72.5</v>
      </c>
      <c r="H28" s="54">
        <v>143.41999999999999</v>
      </c>
      <c r="I28" s="54">
        <v>1.58</v>
      </c>
      <c r="J28" s="54">
        <v>0.22</v>
      </c>
      <c r="K28" s="54">
        <v>86.01</v>
      </c>
      <c r="L28" s="54">
        <v>23.49</v>
      </c>
      <c r="M28" s="54">
        <v>60.10</v>
      </c>
      <c r="N28" s="54">
        <v>20.5</v>
      </c>
      <c r="O28" s="54">
        <v>0</v>
      </c>
      <c r="P28" s="54">
        <v>1.29</v>
      </c>
      <c r="Q28" s="54">
        <v>5.30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19.670000000000002</v>
      </c>
      <c r="C29" s="54">
        <v>62.95</v>
      </c>
      <c r="D29" s="54">
        <v>51.16</v>
      </c>
      <c r="E29" s="54">
        <v>2.23</v>
      </c>
      <c r="F29" s="54">
        <v>3.30</v>
      </c>
      <c r="G29" s="54">
        <v>89.76</v>
      </c>
      <c r="H29" s="54">
        <v>143.41999999999999</v>
      </c>
      <c r="I29" s="54">
        <v>1.49</v>
      </c>
      <c r="J29" s="54">
        <v>0.59</v>
      </c>
      <c r="K29" s="54">
        <v>288.33</v>
      </c>
      <c r="L29" s="54">
        <v>22.89</v>
      </c>
      <c r="M29" s="54">
        <v>61.96</v>
      </c>
      <c r="N29" s="54">
        <v>20.399999999999999</v>
      </c>
      <c r="O29" s="54">
        <v>0</v>
      </c>
      <c r="P29" s="54">
        <v>1.36</v>
      </c>
      <c r="Q29" s="54">
        <v>5.53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11.32</v>
      </c>
      <c r="C30" s="54">
        <v>53.60</v>
      </c>
      <c r="D30" s="54">
        <v>39.03</v>
      </c>
      <c r="E30" s="54">
        <v>2.1800000000000002</v>
      </c>
      <c r="F30" s="54">
        <v>3.43</v>
      </c>
      <c r="G30" s="54">
        <v>89.76</v>
      </c>
      <c r="H30" s="54">
        <v>53.37</v>
      </c>
      <c r="I30" s="54">
        <v>1.56</v>
      </c>
      <c r="J30" s="54">
        <v>1.25</v>
      </c>
      <c r="K30" s="54">
        <v>113.5</v>
      </c>
      <c r="L30" s="54">
        <v>22.97</v>
      </c>
      <c r="M30" s="54">
        <v>63.12</v>
      </c>
      <c r="N30" s="54">
        <v>20.80</v>
      </c>
      <c r="O30" s="54">
        <v>0</v>
      </c>
      <c r="P30" s="54">
        <v>1.30</v>
      </c>
      <c r="Q30" s="54">
        <v>5.55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19.579999999999998</v>
      </c>
      <c r="C31" s="54">
        <v>67.790000000000006</v>
      </c>
      <c r="D31" s="54">
        <v>53.76</v>
      </c>
      <c r="E31" s="54">
        <v>2.2000000000000002</v>
      </c>
      <c r="F31" s="54">
        <v>3.35</v>
      </c>
      <c r="G31" s="54">
        <v>78.760000000000005</v>
      </c>
      <c r="H31" s="54">
        <v>38.96</v>
      </c>
      <c r="I31" s="54">
        <v>1.56</v>
      </c>
      <c r="J31" s="54">
        <v>0.59</v>
      </c>
      <c r="K31" s="54">
        <v>105.53</v>
      </c>
      <c r="L31" s="54">
        <v>22.39</v>
      </c>
      <c r="M31" s="54">
        <v>69.77</v>
      </c>
      <c r="N31" s="54">
        <v>20.80</v>
      </c>
      <c r="O31" s="54">
        <v>0</v>
      </c>
      <c r="P31" s="54">
        <v>1.24</v>
      </c>
      <c r="Q31" s="54">
        <v>5.34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10.06</v>
      </c>
      <c r="C32" s="54">
        <v>48.19</v>
      </c>
      <c r="D32" s="54">
        <v>35.14</v>
      </c>
      <c r="E32" s="54">
        <v>2.25</v>
      </c>
      <c r="F32" s="54">
        <v>3.33</v>
      </c>
      <c r="G32" s="54">
        <v>73.17</v>
      </c>
      <c r="H32" s="54">
        <v>38.96</v>
      </c>
      <c r="I32" s="54">
        <v>1.53</v>
      </c>
      <c r="J32" s="54">
        <v>0.66</v>
      </c>
      <c r="K32" s="54">
        <v>105.13</v>
      </c>
      <c r="L32" s="54">
        <v>21.42</v>
      </c>
      <c r="M32" s="54">
        <v>75.17</v>
      </c>
      <c r="N32" s="54">
        <v>20.80</v>
      </c>
      <c r="O32" s="54">
        <v>0</v>
      </c>
      <c r="P32" s="54">
        <v>1.17</v>
      </c>
      <c r="Q32" s="54">
        <v>5.36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3.54</v>
      </c>
      <c r="C34" s="28">
        <f t="shared" si="0"/>
        <v>39.960000000000001</v>
      </c>
      <c r="D34" s="28">
        <f t="shared" si="0"/>
        <v>27.469999999999999</v>
      </c>
      <c r="E34" s="28">
        <f t="shared" si="0"/>
        <v>2.1600000000000001</v>
      </c>
      <c r="F34" s="28">
        <f t="shared" si="0"/>
        <v>3.1800000000000002</v>
      </c>
      <c r="G34" s="28">
        <f t="shared" si="0"/>
        <v>45.07</v>
      </c>
      <c r="H34" s="28">
        <f t="shared" si="0"/>
        <v>25.75</v>
      </c>
      <c r="I34" s="28">
        <f t="shared" si="0"/>
        <v>1.49</v>
      </c>
      <c r="J34" s="28">
        <f t="shared" si="0"/>
        <v>0.13</v>
      </c>
      <c r="K34" s="28">
        <f t="shared" si="0"/>
        <v>81.420000000000002</v>
      </c>
      <c r="L34" s="28">
        <f t="shared" si="0"/>
        <v>18.010000000000002</v>
      </c>
      <c r="M34" s="28">
        <f t="shared" si="0"/>
        <v>42.780000000000001</v>
      </c>
      <c r="N34" s="28">
        <f t="shared" si="0"/>
        <v>19.600000000000001</v>
      </c>
      <c r="O34" s="28">
        <f t="shared" si="0"/>
        <v>0</v>
      </c>
      <c r="P34" s="28">
        <f t="shared" si="0"/>
        <v>0.69999999999999996</v>
      </c>
      <c r="Q34" s="28">
        <f t="shared" si="0"/>
        <v>4.8399999999999999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32.119999999999997</v>
      </c>
      <c r="C35" s="29">
        <f t="shared" si="1"/>
        <v>76.650000000000006</v>
      </c>
      <c r="D35" s="29">
        <f t="shared" si="1"/>
        <v>66.400000000000006</v>
      </c>
      <c r="E35" s="29">
        <f t="shared" si="1"/>
        <v>2.3100000000000001</v>
      </c>
      <c r="F35" s="29">
        <f t="shared" si="1"/>
        <v>4.0800000000000001</v>
      </c>
      <c r="G35" s="29">
        <f t="shared" si="1"/>
        <v>89.760000000000005</v>
      </c>
      <c r="H35" s="29">
        <f t="shared" si="1"/>
        <v>143.41999999999999</v>
      </c>
      <c r="I35" s="29">
        <f t="shared" si="1"/>
        <v>1.6299999999999999</v>
      </c>
      <c r="J35" s="29">
        <f t="shared" si="1"/>
        <v>1.71</v>
      </c>
      <c r="K35" s="29">
        <f t="shared" si="1"/>
        <v>356.61000000000001</v>
      </c>
      <c r="L35" s="29">
        <f t="shared" si="1"/>
        <v>27.75</v>
      </c>
      <c r="M35" s="29">
        <f t="shared" si="1"/>
        <v>93.079999999999998</v>
      </c>
      <c r="N35" s="29">
        <f t="shared" si="1"/>
        <v>726.20000000000005</v>
      </c>
      <c r="O35" s="29">
        <f t="shared" si="1"/>
        <v>0</v>
      </c>
      <c r="P35" s="29">
        <f t="shared" si="1"/>
        <v>1.3600000000000001</v>
      </c>
      <c r="Q35" s="29">
        <f t="shared" si="1"/>
        <v>5.5499999999999998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11.546249999999999</v>
      </c>
      <c r="C36" s="28">
        <f t="shared" si="2"/>
        <v>54.641250000000007</v>
      </c>
      <c r="D36" s="28">
        <f t="shared" si="2"/>
        <v>39.848333333333336</v>
      </c>
      <c r="E36" s="28">
        <f t="shared" si="2"/>
        <v>2.2466666666666666</v>
      </c>
      <c r="F36" s="28">
        <f t="shared" si="2"/>
        <v>3.5604166666666668</v>
      </c>
      <c r="G36" s="28">
        <f t="shared" si="2"/>
        <v>62.636250000000011</v>
      </c>
      <c r="H36" s="28">
        <f t="shared" si="2"/>
        <v>55.051666666666677</v>
      </c>
      <c r="I36" s="28">
        <f t="shared" si="2"/>
        <v>1.5475000000000003</v>
      </c>
      <c r="J36" s="28">
        <f t="shared" si="2"/>
        <v>0.81749999999999989</v>
      </c>
      <c r="K36" s="28">
        <f t="shared" si="2"/>
        <v>153.19291666666666</v>
      </c>
      <c r="L36" s="28">
        <f t="shared" si="2"/>
        <v>22.983749999999997</v>
      </c>
      <c r="M36" s="28">
        <f t="shared" si="2"/>
        <v>67.467916666666653</v>
      </c>
      <c r="N36" s="28">
        <f t="shared" si="2"/>
        <v>195.9375</v>
      </c>
      <c r="O36" s="28">
        <f t="shared" si="2"/>
        <v>0</v>
      </c>
      <c r="P36" s="28">
        <f t="shared" si="2"/>
        <v>0.93875000000000008</v>
      </c>
      <c r="Q36" s="28">
        <f t="shared" si="2"/>
        <v>5.2037499999999994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6.8918438326070248</v>
      </c>
      <c r="C37" s="28">
        <f t="shared" si="3" ref="C37:Q37">STDEV(C9:C32)</f>
        <v>9.9784630307738791</v>
      </c>
      <c r="D37" s="28">
        <f t="shared" si="3"/>
        <v>10.504309122685214</v>
      </c>
      <c r="E37" s="28">
        <f t="shared" si="3"/>
        <v>0.043204937989385621</v>
      </c>
      <c r="F37" s="28">
        <f t="shared" si="3"/>
        <v>0.26517392433066928</v>
      </c>
      <c r="G37" s="28">
        <f t="shared" si="3"/>
        <v>12.714562965868801</v>
      </c>
      <c r="H37" s="28">
        <f t="shared" si="3"/>
        <v>37.815835384096694</v>
      </c>
      <c r="I37" s="28">
        <f t="shared" si="3"/>
        <v>0.032201809292943938</v>
      </c>
      <c r="J37" s="28">
        <f t="shared" si="3"/>
        <v>0.48883401646384439</v>
      </c>
      <c r="K37" s="28">
        <f t="shared" si="3"/>
        <v>94.528221250916957</v>
      </c>
      <c r="L37" s="28">
        <f t="shared" si="3"/>
        <v>3.3284097423610142</v>
      </c>
      <c r="M37" s="28">
        <f t="shared" si="3"/>
        <v>15.611550623250736</v>
      </c>
      <c r="N37" s="28">
        <f t="shared" si="3"/>
        <v>263.82575081571986</v>
      </c>
      <c r="O37" s="28">
        <f t="shared" si="3"/>
        <v>0</v>
      </c>
      <c r="P37" s="28">
        <f t="shared" si="3"/>
        <v>0.20466967023241028</v>
      </c>
      <c r="Q37" s="28">
        <f t="shared" si="3"/>
        <v>0.16602285070592462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a77984-0ef3-4405-8bc1-1392b4cc09f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9.90</v>
      </c>
      <c r="C9" s="54">
        <v>44</v>
      </c>
      <c r="D9" s="54">
        <v>32.869999999999997</v>
      </c>
      <c r="E9" s="54">
        <v>2.33</v>
      </c>
      <c r="F9" s="54">
        <v>3.47</v>
      </c>
      <c r="G9" s="54">
        <v>66.73</v>
      </c>
      <c r="H9" s="54">
        <v>33.39</v>
      </c>
      <c r="I9" s="54">
        <v>1.60</v>
      </c>
      <c r="J9" s="54">
        <v>0.19</v>
      </c>
      <c r="K9" s="54">
        <v>357.33</v>
      </c>
      <c r="L9" s="54">
        <v>20.38</v>
      </c>
      <c r="M9" s="54">
        <v>76.930000000000007</v>
      </c>
      <c r="N9" s="54">
        <v>20.399999999999999</v>
      </c>
      <c r="O9" s="54">
        <v>0</v>
      </c>
      <c r="P9" s="54">
        <v>1.0900000000000001</v>
      </c>
      <c r="Q9" s="54">
        <v>5.26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7.74</v>
      </c>
      <c r="C10" s="54">
        <v>42.28</v>
      </c>
      <c r="D10" s="54">
        <v>29.30</v>
      </c>
      <c r="E10" s="54">
        <v>2.23</v>
      </c>
      <c r="F10" s="54">
        <v>3.5</v>
      </c>
      <c r="G10" s="54">
        <v>62.97</v>
      </c>
      <c r="H10" s="54">
        <v>33.39</v>
      </c>
      <c r="I10" s="54">
        <v>1.51</v>
      </c>
      <c r="J10" s="54">
        <v>0.38</v>
      </c>
      <c r="K10" s="54">
        <v>340.56</v>
      </c>
      <c r="L10" s="54">
        <v>20</v>
      </c>
      <c r="M10" s="54">
        <v>77.45</v>
      </c>
      <c r="N10" s="54">
        <v>20.399999999999999</v>
      </c>
      <c r="O10" s="54">
        <v>0</v>
      </c>
      <c r="P10" s="54">
        <v>0.97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6.62</v>
      </c>
      <c r="C11" s="54">
        <v>38.82</v>
      </c>
      <c r="D11" s="54">
        <v>26.66</v>
      </c>
      <c r="E11" s="54">
        <v>2.2599999999999998</v>
      </c>
      <c r="F11" s="54">
        <v>3.33</v>
      </c>
      <c r="G11" s="54">
        <v>62.97</v>
      </c>
      <c r="H11" s="54">
        <v>30.03</v>
      </c>
      <c r="I11" s="54">
        <v>1.54</v>
      </c>
      <c r="J11" s="54">
        <v>0.28999999999999998</v>
      </c>
      <c r="K11" s="54">
        <v>336.49</v>
      </c>
      <c r="L11" s="54">
        <v>19.73</v>
      </c>
      <c r="M11" s="54">
        <v>85.40</v>
      </c>
      <c r="N11" s="54">
        <v>20.80</v>
      </c>
      <c r="O11" s="54">
        <v>0</v>
      </c>
      <c r="P11" s="54">
        <v>0.92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8.10</v>
      </c>
      <c r="C12" s="54">
        <v>39.35</v>
      </c>
      <c r="D12" s="54">
        <v>28.86</v>
      </c>
      <c r="E12" s="54">
        <v>2.2400000000000002</v>
      </c>
      <c r="F12" s="54">
        <v>3.46</v>
      </c>
      <c r="G12" s="54">
        <v>60.82</v>
      </c>
      <c r="H12" s="54">
        <v>30.03</v>
      </c>
      <c r="I12" s="54">
        <v>1.58</v>
      </c>
      <c r="J12" s="54">
        <v>0.39</v>
      </c>
      <c r="K12" s="54">
        <v>339.5</v>
      </c>
      <c r="L12" s="54">
        <v>19.079999999999998</v>
      </c>
      <c r="M12" s="54">
        <v>88.61</v>
      </c>
      <c r="N12" s="54">
        <v>20.30</v>
      </c>
      <c r="O12" s="54">
        <v>0</v>
      </c>
      <c r="P12" s="54">
        <v>0.86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10.43</v>
      </c>
      <c r="C13" s="54">
        <v>40.82</v>
      </c>
      <c r="D13" s="54">
        <v>31.37</v>
      </c>
      <c r="E13" s="54">
        <v>2.2400000000000002</v>
      </c>
      <c r="F13" s="54">
        <v>3.48</v>
      </c>
      <c r="G13" s="54">
        <v>62.57</v>
      </c>
      <c r="H13" s="54">
        <v>29.36</v>
      </c>
      <c r="I13" s="54">
        <v>1.52</v>
      </c>
      <c r="J13" s="54">
        <v>0.36</v>
      </c>
      <c r="K13" s="54">
        <v>109.49</v>
      </c>
      <c r="L13" s="54">
        <v>18.829999999999998</v>
      </c>
      <c r="M13" s="54">
        <v>87.80</v>
      </c>
      <c r="N13" s="54">
        <v>20.20</v>
      </c>
      <c r="O13" s="54">
        <v>0</v>
      </c>
      <c r="P13" s="54">
        <v>0.83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8.52</v>
      </c>
      <c r="C14" s="54">
        <v>36.729999999999997</v>
      </c>
      <c r="D14" s="54">
        <v>26.26</v>
      </c>
      <c r="E14" s="54">
        <v>2.23</v>
      </c>
      <c r="F14" s="54">
        <v>3.49</v>
      </c>
      <c r="G14" s="54">
        <v>62.57</v>
      </c>
      <c r="H14" s="54">
        <v>34.700000000000003</v>
      </c>
      <c r="I14" s="54">
        <v>1.55</v>
      </c>
      <c r="J14" s="54">
        <v>1.03</v>
      </c>
      <c r="K14" s="54">
        <v>110.17</v>
      </c>
      <c r="L14" s="54">
        <v>18.82</v>
      </c>
      <c r="M14" s="54">
        <v>86.11</v>
      </c>
      <c r="N14" s="54">
        <v>20.80</v>
      </c>
      <c r="O14" s="54">
        <v>0</v>
      </c>
      <c r="P14" s="54">
        <v>0.79</v>
      </c>
      <c r="Q14" s="54">
        <v>5.04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14.68</v>
      </c>
      <c r="C15" s="54">
        <v>54.04</v>
      </c>
      <c r="D15" s="54">
        <v>42.25</v>
      </c>
      <c r="E15" s="54">
        <v>2.21</v>
      </c>
      <c r="F15" s="54">
        <v>3.41</v>
      </c>
      <c r="G15" s="54">
        <v>55.26</v>
      </c>
      <c r="H15" s="54">
        <v>34.700000000000003</v>
      </c>
      <c r="I15" s="54">
        <v>1.53</v>
      </c>
      <c r="J15" s="54">
        <v>0.59</v>
      </c>
      <c r="K15" s="54">
        <v>307.27</v>
      </c>
      <c r="L15" s="54">
        <v>18.440000000000001</v>
      </c>
      <c r="M15" s="54">
        <v>87.81</v>
      </c>
      <c r="N15" s="54">
        <v>63.70</v>
      </c>
      <c r="O15" s="54">
        <v>0</v>
      </c>
      <c r="P15" s="54">
        <v>0.78</v>
      </c>
      <c r="Q15" s="54">
        <v>5.08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13.22</v>
      </c>
      <c r="C16" s="54">
        <v>45.81</v>
      </c>
      <c r="D16" s="54">
        <v>36.53</v>
      </c>
      <c r="E16" s="54">
        <v>2.2400000000000002</v>
      </c>
      <c r="F16" s="54">
        <v>3.5</v>
      </c>
      <c r="G16" s="54">
        <v>60.62</v>
      </c>
      <c r="H16" s="54">
        <v>30.64</v>
      </c>
      <c r="I16" s="54">
        <v>1.56</v>
      </c>
      <c r="J16" s="54">
        <v>1.55</v>
      </c>
      <c r="K16" s="54">
        <v>114.67</v>
      </c>
      <c r="L16" s="54">
        <v>20.329999999999998</v>
      </c>
      <c r="M16" s="54">
        <v>86.85</v>
      </c>
      <c r="N16" s="54">
        <v>260.5</v>
      </c>
      <c r="O16" s="54">
        <v>0</v>
      </c>
      <c r="P16" s="54">
        <v>0.80</v>
      </c>
      <c r="Q16" s="54">
        <v>4.97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8.44</v>
      </c>
      <c r="C17" s="54">
        <v>44.52</v>
      </c>
      <c r="D17" s="54">
        <v>31.18</v>
      </c>
      <c r="E17" s="54">
        <v>2.15</v>
      </c>
      <c r="F17" s="54">
        <v>3.55</v>
      </c>
      <c r="G17" s="54">
        <v>60.62</v>
      </c>
      <c r="H17" s="54">
        <v>44.81</v>
      </c>
      <c r="I17" s="54">
        <v>1.56</v>
      </c>
      <c r="J17" s="54">
        <v>1.44</v>
      </c>
      <c r="K17" s="54">
        <v>117.22</v>
      </c>
      <c r="L17" s="54">
        <v>23.22</v>
      </c>
      <c r="M17" s="54">
        <v>76.56</v>
      </c>
      <c r="N17" s="54">
        <v>442.70</v>
      </c>
      <c r="O17" s="54">
        <v>0</v>
      </c>
      <c r="P17" s="54">
        <v>0.80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7.92</v>
      </c>
      <c r="C18" s="54">
        <v>41.56</v>
      </c>
      <c r="D18" s="54">
        <v>29.94</v>
      </c>
      <c r="E18" s="54">
        <v>2.15</v>
      </c>
      <c r="F18" s="54">
        <v>3.83</v>
      </c>
      <c r="G18" s="54">
        <v>57.54</v>
      </c>
      <c r="H18" s="54">
        <v>52.76</v>
      </c>
      <c r="I18" s="54">
        <v>1.53</v>
      </c>
      <c r="J18" s="54">
        <v>1.1399999999999999</v>
      </c>
      <c r="K18" s="54">
        <v>117.41</v>
      </c>
      <c r="L18" s="54">
        <v>24.32</v>
      </c>
      <c r="M18" s="54">
        <v>67.97</v>
      </c>
      <c r="N18" s="54">
        <v>600</v>
      </c>
      <c r="O18" s="54">
        <v>0</v>
      </c>
      <c r="P18" s="54">
        <v>0.79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4.20</v>
      </c>
      <c r="C19" s="54">
        <v>39.07</v>
      </c>
      <c r="D19" s="54">
        <v>25.58</v>
      </c>
      <c r="E19" s="54">
        <v>2.13</v>
      </c>
      <c r="F19" s="54">
        <v>6.28</v>
      </c>
      <c r="G19" s="54">
        <v>57.54</v>
      </c>
      <c r="H19" s="54">
        <v>60.36</v>
      </c>
      <c r="I19" s="54">
        <v>1.53</v>
      </c>
      <c r="J19" s="54">
        <v>2.23</v>
      </c>
      <c r="K19" s="54">
        <v>112.96</v>
      </c>
      <c r="L19" s="54">
        <v>25.29</v>
      </c>
      <c r="M19" s="54">
        <v>57.02</v>
      </c>
      <c r="N19" s="54">
        <v>735</v>
      </c>
      <c r="O19" s="54">
        <v>0</v>
      </c>
      <c r="P19" s="54">
        <v>0.75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3.58</v>
      </c>
      <c r="C20" s="54">
        <v>42.29</v>
      </c>
      <c r="D20" s="54">
        <v>25.60</v>
      </c>
      <c r="E20" s="18" t="s">
        <v>12</v>
      </c>
      <c r="F20" s="54">
        <v>8.8699999999999992</v>
      </c>
      <c r="G20" s="55" t="s">
        <v>12</v>
      </c>
      <c r="H20" s="55" t="s">
        <v>12</v>
      </c>
      <c r="I20" s="54">
        <v>1.54</v>
      </c>
      <c r="J20" s="54">
        <v>2.19</v>
      </c>
      <c r="K20" s="54">
        <v>112.36</v>
      </c>
      <c r="L20" s="54">
        <v>26.40</v>
      </c>
      <c r="M20" s="54">
        <v>50.02</v>
      </c>
      <c r="N20" s="54">
        <v>763.10</v>
      </c>
      <c r="O20" s="54">
        <v>0</v>
      </c>
      <c r="P20" s="54">
        <v>0.63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1.69</v>
      </c>
      <c r="C21" s="54">
        <v>42.90</v>
      </c>
      <c r="D21" s="54">
        <v>25.68</v>
      </c>
      <c r="E21" s="54">
        <v>2.38</v>
      </c>
      <c r="F21" s="54">
        <v>23.5</v>
      </c>
      <c r="G21" s="55" t="s">
        <v>12</v>
      </c>
      <c r="H21" s="55" t="s">
        <v>12</v>
      </c>
      <c r="I21" s="54">
        <v>1.52</v>
      </c>
      <c r="J21" s="54">
        <v>2.0699999999999998</v>
      </c>
      <c r="K21" s="54">
        <v>109.78</v>
      </c>
      <c r="L21" s="54">
        <v>27.64</v>
      </c>
      <c r="M21" s="54">
        <v>46.17</v>
      </c>
      <c r="N21" s="54">
        <v>683.90</v>
      </c>
      <c r="O21" s="54">
        <v>0</v>
      </c>
      <c r="P21" s="54">
        <v>0.53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1.73</v>
      </c>
      <c r="C22" s="54">
        <v>42.11</v>
      </c>
      <c r="D22" s="54">
        <v>25.27</v>
      </c>
      <c r="E22" s="54">
        <v>2.4500000000000002</v>
      </c>
      <c r="F22" s="54">
        <v>10.98</v>
      </c>
      <c r="G22" s="55" t="s">
        <v>12</v>
      </c>
      <c r="H22" s="55" t="s">
        <v>12</v>
      </c>
      <c r="I22" s="54">
        <v>1.56</v>
      </c>
      <c r="J22" s="54">
        <v>1.40</v>
      </c>
      <c r="K22" s="54">
        <v>112.89</v>
      </c>
      <c r="L22" s="54">
        <v>27.84</v>
      </c>
      <c r="M22" s="54">
        <v>41.89</v>
      </c>
      <c r="N22" s="54">
        <v>610.70000000000005</v>
      </c>
      <c r="O22" s="54">
        <v>0</v>
      </c>
      <c r="P22" s="54">
        <v>0.47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2</v>
      </c>
      <c r="C23" s="54">
        <v>41.22</v>
      </c>
      <c r="D23" s="54">
        <v>25</v>
      </c>
      <c r="E23" s="54">
        <v>2.29</v>
      </c>
      <c r="F23" s="54">
        <v>11.57</v>
      </c>
      <c r="G23" s="55" t="s">
        <v>12</v>
      </c>
      <c r="H23" s="55" t="s">
        <v>12</v>
      </c>
      <c r="I23" s="54">
        <v>1.58</v>
      </c>
      <c r="J23" s="54">
        <v>1.57</v>
      </c>
      <c r="K23" s="54">
        <v>116.29</v>
      </c>
      <c r="L23" s="54">
        <v>27.54</v>
      </c>
      <c r="M23" s="54">
        <v>41.15</v>
      </c>
      <c r="N23" s="54">
        <v>167.10</v>
      </c>
      <c r="O23" s="54">
        <v>0</v>
      </c>
      <c r="P23" s="54">
        <v>0.51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2.70</v>
      </c>
      <c r="C24" s="54">
        <v>43.15</v>
      </c>
      <c r="D24" s="54">
        <v>26.40</v>
      </c>
      <c r="E24" s="54">
        <v>2.25</v>
      </c>
      <c r="F24" s="54">
        <v>5.17</v>
      </c>
      <c r="G24" s="54">
        <v>51.11</v>
      </c>
      <c r="H24" s="54">
        <v>25.71</v>
      </c>
      <c r="I24" s="54">
        <v>1.48</v>
      </c>
      <c r="J24" s="54">
        <v>1.21</v>
      </c>
      <c r="K24" s="54">
        <v>104.72</v>
      </c>
      <c r="L24" s="54">
        <v>26.87</v>
      </c>
      <c r="M24" s="54">
        <v>43.23</v>
      </c>
      <c r="N24" s="54">
        <v>104.70</v>
      </c>
      <c r="O24" s="54">
        <v>0</v>
      </c>
      <c r="P24" s="54">
        <v>0.52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3.35</v>
      </c>
      <c r="C25" s="54">
        <v>46.64</v>
      </c>
      <c r="D25" s="54">
        <v>29.07</v>
      </c>
      <c r="E25" s="54">
        <v>2.13</v>
      </c>
      <c r="F25" s="54">
        <v>4.5</v>
      </c>
      <c r="G25" s="54">
        <v>62.06</v>
      </c>
      <c r="H25" s="54">
        <v>23.94</v>
      </c>
      <c r="I25" s="54">
        <v>1.51</v>
      </c>
      <c r="J25" s="54">
        <v>0.89</v>
      </c>
      <c r="K25" s="54">
        <v>106.23</v>
      </c>
      <c r="L25" s="54">
        <v>26.23</v>
      </c>
      <c r="M25" s="54">
        <v>47.42</v>
      </c>
      <c r="N25" s="54">
        <v>75.5</v>
      </c>
      <c r="O25" s="54">
        <v>0</v>
      </c>
      <c r="P25" s="54">
        <v>0.56000000000000005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4.47</v>
      </c>
      <c r="C26" s="54">
        <v>55.63</v>
      </c>
      <c r="D26" s="54">
        <v>34.299999999999997</v>
      </c>
      <c r="E26" s="54">
        <v>2.16</v>
      </c>
      <c r="F26" s="54">
        <v>5.40</v>
      </c>
      <c r="G26" s="54">
        <v>62.06</v>
      </c>
      <c r="H26" s="54">
        <v>22.72</v>
      </c>
      <c r="I26" s="54">
        <v>1.59</v>
      </c>
      <c r="J26" s="54">
        <v>0.56000000000000005</v>
      </c>
      <c r="K26" s="54">
        <v>108.53</v>
      </c>
      <c r="L26" s="54">
        <v>25.05</v>
      </c>
      <c r="M26" s="54">
        <v>62.14</v>
      </c>
      <c r="N26" s="54">
        <v>25.30</v>
      </c>
      <c r="O26" s="54">
        <v>0</v>
      </c>
      <c r="P26" s="54">
        <v>0.74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4.7300000000000004</v>
      </c>
      <c r="C27" s="54">
        <v>54.03</v>
      </c>
      <c r="D27" s="54">
        <v>33.69</v>
      </c>
      <c r="E27" s="54">
        <v>2.11</v>
      </c>
      <c r="F27" s="54">
        <v>3.55</v>
      </c>
      <c r="G27" s="54">
        <v>51.52</v>
      </c>
      <c r="H27" s="54">
        <v>23.47</v>
      </c>
      <c r="I27" s="54">
        <v>1.53</v>
      </c>
      <c r="J27" s="54">
        <v>0.81</v>
      </c>
      <c r="K27" s="54">
        <v>106.33</v>
      </c>
      <c r="L27" s="54">
        <v>23.85</v>
      </c>
      <c r="M27" s="54">
        <v>59.21</v>
      </c>
      <c r="N27" s="54">
        <v>20.90</v>
      </c>
      <c r="O27" s="54">
        <v>0</v>
      </c>
      <c r="P27" s="54">
        <v>0.75</v>
      </c>
      <c r="Q27" s="54">
        <v>4.75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4.8600000000000003</v>
      </c>
      <c r="C28" s="54">
        <v>51.33</v>
      </c>
      <c r="D28" s="54">
        <v>32.82</v>
      </c>
      <c r="E28" s="54">
        <v>2.16</v>
      </c>
      <c r="F28" s="54">
        <v>3.71</v>
      </c>
      <c r="G28" s="54">
        <v>53.04</v>
      </c>
      <c r="H28" s="54">
        <v>24.86</v>
      </c>
      <c r="I28" s="54">
        <v>1.5</v>
      </c>
      <c r="J28" s="54">
        <v>1.0900000000000001</v>
      </c>
      <c r="K28" s="54">
        <v>121.11</v>
      </c>
      <c r="L28" s="54">
        <v>23.37</v>
      </c>
      <c r="M28" s="54">
        <v>60.48</v>
      </c>
      <c r="N28" s="54">
        <v>20.90</v>
      </c>
      <c r="O28" s="54">
        <v>0</v>
      </c>
      <c r="P28" s="54">
        <v>0.76</v>
      </c>
      <c r="Q28" s="54">
        <v>4.71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4.91</v>
      </c>
      <c r="C29" s="54">
        <v>50.61</v>
      </c>
      <c r="D29" s="54">
        <v>32.40</v>
      </c>
      <c r="E29" s="54">
        <v>2.1800000000000002</v>
      </c>
      <c r="F29" s="54">
        <v>3.82</v>
      </c>
      <c r="G29" s="54">
        <v>68.510000000000005</v>
      </c>
      <c r="H29" s="54">
        <v>29.78</v>
      </c>
      <c r="I29" s="54">
        <v>1.58</v>
      </c>
      <c r="J29" s="54">
        <v>1.82</v>
      </c>
      <c r="K29" s="54">
        <v>111.51</v>
      </c>
      <c r="L29" s="54">
        <v>22.82</v>
      </c>
      <c r="M29" s="54">
        <v>63.05</v>
      </c>
      <c r="N29" s="54">
        <v>21</v>
      </c>
      <c r="O29" s="54">
        <v>0</v>
      </c>
      <c r="P29" s="54">
        <v>0.77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3.5</v>
      </c>
      <c r="C30" s="54">
        <v>46.48</v>
      </c>
      <c r="D30" s="54">
        <v>29.10</v>
      </c>
      <c r="E30" s="54">
        <v>2.16</v>
      </c>
      <c r="F30" s="54">
        <v>4.12</v>
      </c>
      <c r="G30" s="54">
        <v>68.510000000000005</v>
      </c>
      <c r="H30" s="54">
        <v>29.78</v>
      </c>
      <c r="I30" s="54">
        <v>1.54</v>
      </c>
      <c r="J30" s="54">
        <v>1.66</v>
      </c>
      <c r="K30" s="54">
        <v>116.72</v>
      </c>
      <c r="L30" s="54">
        <v>22.27</v>
      </c>
      <c r="M30" s="54">
        <v>66.930000000000007</v>
      </c>
      <c r="N30" s="54">
        <v>21</v>
      </c>
      <c r="O30" s="54">
        <v>0</v>
      </c>
      <c r="P30" s="54">
        <v>0.76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3.14</v>
      </c>
      <c r="C31" s="54">
        <v>45.58</v>
      </c>
      <c r="D31" s="54">
        <v>28.32</v>
      </c>
      <c r="E31" s="54">
        <v>2.2000000000000002</v>
      </c>
      <c r="F31" s="54">
        <v>3.86</v>
      </c>
      <c r="G31" s="54">
        <v>66.930000000000007</v>
      </c>
      <c r="H31" s="54">
        <v>29.28</v>
      </c>
      <c r="I31" s="54">
        <v>1.57</v>
      </c>
      <c r="J31" s="54">
        <v>1.70</v>
      </c>
      <c r="K31" s="54">
        <v>113.08</v>
      </c>
      <c r="L31" s="54">
        <v>21.71</v>
      </c>
      <c r="M31" s="54">
        <v>68.650000000000006</v>
      </c>
      <c r="N31" s="54">
        <v>20.90</v>
      </c>
      <c r="O31" s="54">
        <v>0</v>
      </c>
      <c r="P31" s="54">
        <v>0.75</v>
      </c>
      <c r="Q31" s="54">
        <v>5.21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3.07</v>
      </c>
      <c r="C32" s="54">
        <v>44.13</v>
      </c>
      <c r="D32" s="54">
        <v>27.46</v>
      </c>
      <c r="E32" s="54">
        <v>2.1800000000000002</v>
      </c>
      <c r="F32" s="54">
        <v>4.05</v>
      </c>
      <c r="G32" s="54">
        <v>66.930000000000007</v>
      </c>
      <c r="H32" s="54">
        <v>29.79</v>
      </c>
      <c r="I32" s="54">
        <v>1.52</v>
      </c>
      <c r="J32" s="54">
        <v>1.43</v>
      </c>
      <c r="K32" s="54">
        <v>116.97</v>
      </c>
      <c r="L32" s="54">
        <v>21.13</v>
      </c>
      <c r="M32" s="54">
        <v>71.540000000000006</v>
      </c>
      <c r="N32" s="54">
        <v>21.10</v>
      </c>
      <c r="O32" s="54">
        <v>0</v>
      </c>
      <c r="P32" s="54">
        <v>0.72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1.6899999999999999</v>
      </c>
      <c r="C34" s="28">
        <f t="shared" si="0"/>
        <v>36.729999999999997</v>
      </c>
      <c r="D34" s="28">
        <f t="shared" si="0"/>
        <v>25</v>
      </c>
      <c r="E34" s="28">
        <f t="shared" si="0"/>
        <v>2.1099999999999999</v>
      </c>
      <c r="F34" s="28">
        <f t="shared" si="0"/>
        <v>3.3300000000000001</v>
      </c>
      <c r="G34" s="28">
        <f t="shared" si="0"/>
        <v>51.109999999999999</v>
      </c>
      <c r="H34" s="28">
        <f t="shared" si="0"/>
        <v>22.719999999999999</v>
      </c>
      <c r="I34" s="28">
        <f t="shared" si="0"/>
        <v>1.48</v>
      </c>
      <c r="J34" s="28">
        <f t="shared" si="0"/>
        <v>0.19</v>
      </c>
      <c r="K34" s="28">
        <f t="shared" si="0"/>
        <v>104.72</v>
      </c>
      <c r="L34" s="28">
        <f t="shared" si="0"/>
        <v>18.440000000000001</v>
      </c>
      <c r="M34" s="28">
        <f t="shared" si="0"/>
        <v>41.149999999999999</v>
      </c>
      <c r="N34" s="28">
        <f t="shared" si="0"/>
        <v>20.199999999999999</v>
      </c>
      <c r="O34" s="28">
        <f t="shared" si="0"/>
        <v>0</v>
      </c>
      <c r="P34" s="28">
        <f t="shared" si="0"/>
        <v>0.46999999999999997</v>
      </c>
      <c r="Q34" s="28">
        <f t="shared" si="0"/>
        <v>4.71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14.68</v>
      </c>
      <c r="C35" s="29">
        <f t="shared" si="1"/>
        <v>55.630000000000003</v>
      </c>
      <c r="D35" s="29">
        <f t="shared" si="1"/>
        <v>42.25</v>
      </c>
      <c r="E35" s="29">
        <f t="shared" si="1"/>
        <v>2.4500000000000002</v>
      </c>
      <c r="F35" s="29">
        <f t="shared" si="1"/>
        <v>23.5</v>
      </c>
      <c r="G35" s="29">
        <f t="shared" si="1"/>
        <v>68.510000000000005</v>
      </c>
      <c r="H35" s="29">
        <f t="shared" si="1"/>
        <v>60.359999999999999</v>
      </c>
      <c r="I35" s="29">
        <f t="shared" si="1"/>
        <v>1.6000000000000001</v>
      </c>
      <c r="J35" s="29">
        <f t="shared" si="1"/>
        <v>2.23</v>
      </c>
      <c r="K35" s="29">
        <f t="shared" si="1"/>
        <v>357.32999999999998</v>
      </c>
      <c r="L35" s="29">
        <f t="shared" si="1"/>
        <v>27.84</v>
      </c>
      <c r="M35" s="29">
        <f t="shared" si="1"/>
        <v>88.609999999999999</v>
      </c>
      <c r="N35" s="29">
        <f t="shared" si="1"/>
        <v>763.10000000000002</v>
      </c>
      <c r="O35" s="29">
        <f t="shared" si="1"/>
        <v>0</v>
      </c>
      <c r="P35" s="29">
        <f t="shared" si="1"/>
        <v>1.0900000000000001</v>
      </c>
      <c r="Q35" s="29">
        <f t="shared" si="1"/>
        <v>5.2599999999999998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5.979166666666667</v>
      </c>
      <c r="C36" s="28">
        <f t="shared" si="2"/>
        <v>44.712500000000006</v>
      </c>
      <c r="D36" s="28">
        <f t="shared" si="2"/>
        <v>29.829583333333336</v>
      </c>
      <c r="E36" s="28">
        <f t="shared" si="2"/>
        <v>2.2200000000000002</v>
      </c>
      <c r="F36" s="28">
        <f t="shared" si="2"/>
        <v>5.6000000000000005</v>
      </c>
      <c r="G36" s="28">
        <f t="shared" si="2"/>
        <v>61.043999999999997</v>
      </c>
      <c r="H36" s="28">
        <f t="shared" si="2"/>
        <v>32.674999999999997</v>
      </c>
      <c r="I36" s="28">
        <f t="shared" si="2"/>
        <v>1.5429166666666669</v>
      </c>
      <c r="J36" s="28">
        <f t="shared" si="2"/>
        <v>1.1662499999999998</v>
      </c>
      <c r="K36" s="28">
        <f t="shared" si="2"/>
        <v>159.14958333333334</v>
      </c>
      <c r="L36" s="28">
        <f t="shared" si="2"/>
        <v>22.965000000000003</v>
      </c>
      <c r="M36" s="28">
        <f t="shared" si="2"/>
        <v>66.682916666666685</v>
      </c>
      <c r="N36" s="28">
        <f t="shared" si="2"/>
        <v>199.20416666666665</v>
      </c>
      <c r="O36" s="28">
        <f t="shared" si="2"/>
        <v>0</v>
      </c>
      <c r="P36" s="28">
        <f t="shared" si="2"/>
        <v>0.74374999999999991</v>
      </c>
      <c r="Q36" s="28">
        <f t="shared" si="2"/>
        <v>5.1495833333333305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3.5836681677063638</v>
      </c>
      <c r="C37" s="28">
        <f t="shared" si="3" ref="C37:Q37">STDEV(C9:C32)</f>
        <v>5.1154950034609579</v>
      </c>
      <c r="D37" s="28">
        <f t="shared" si="3"/>
        <v>4.1968315990773535</v>
      </c>
      <c r="E37" s="28">
        <f t="shared" si="3"/>
        <v>0.083120941459363384</v>
      </c>
      <c r="F37" s="28">
        <f t="shared" si="3"/>
        <v>4.4736737165040479</v>
      </c>
      <c r="G37" s="28">
        <f t="shared" si="3"/>
        <v>5.3267896918362236</v>
      </c>
      <c r="H37" s="28">
        <f t="shared" si="3"/>
        <v>9.6294556330809264</v>
      </c>
      <c r="I37" s="28">
        <f t="shared" si="3"/>
        <v>0.030571252006997753</v>
      </c>
      <c r="J37" s="28">
        <f t="shared" si="3"/>
        <v>0.62496478161642843</v>
      </c>
      <c r="K37" s="28">
        <f t="shared" si="3"/>
        <v>93.184062290910134</v>
      </c>
      <c r="L37" s="28">
        <f t="shared" si="3"/>
        <v>3.1279789279841399</v>
      </c>
      <c r="M37" s="28">
        <f t="shared" si="3"/>
        <v>16.101418916455387</v>
      </c>
      <c r="N37" s="28">
        <f t="shared" si="3"/>
        <v>270.99868037407998</v>
      </c>
      <c r="O37" s="28">
        <f t="shared" si="3"/>
        <v>0</v>
      </c>
      <c r="P37" s="28">
        <f t="shared" si="3"/>
        <v>0.14875753543207915</v>
      </c>
      <c r="Q37" s="28">
        <f t="shared" si="3"/>
        <v>0.14444734761110728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6132b3-6d5e-484e-982a-d6680afb6630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3.86</v>
      </c>
      <c r="C9" s="54">
        <v>43.67</v>
      </c>
      <c r="D9" s="54">
        <v>27.83</v>
      </c>
      <c r="E9" s="54">
        <v>2.21</v>
      </c>
      <c r="F9" s="54">
        <v>3.92</v>
      </c>
      <c r="G9" s="54">
        <v>61.86</v>
      </c>
      <c r="H9" s="54">
        <v>29.79</v>
      </c>
      <c r="I9" s="54">
        <v>1.5</v>
      </c>
      <c r="J9" s="54">
        <v>1.45</v>
      </c>
      <c r="K9" s="54">
        <v>120.77</v>
      </c>
      <c r="L9" s="54">
        <v>20.53</v>
      </c>
      <c r="M9" s="54">
        <v>72.91</v>
      </c>
      <c r="N9" s="54">
        <v>21.10</v>
      </c>
      <c r="O9" s="54">
        <v>0</v>
      </c>
      <c r="P9" s="54">
        <v>0.71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4.4000000000000004</v>
      </c>
      <c r="C10" s="54">
        <v>43.03</v>
      </c>
      <c r="D10" s="54">
        <v>27.70</v>
      </c>
      <c r="E10" s="54">
        <v>2.2400000000000002</v>
      </c>
      <c r="F10" s="54">
        <v>3.75</v>
      </c>
      <c r="G10" s="54">
        <v>61.86</v>
      </c>
      <c r="H10" s="54">
        <v>26.85</v>
      </c>
      <c r="I10" s="54">
        <v>1.57</v>
      </c>
      <c r="J10" s="54">
        <v>1.74</v>
      </c>
      <c r="K10" s="54">
        <v>113.49</v>
      </c>
      <c r="L10" s="54">
        <v>20.34</v>
      </c>
      <c r="M10" s="54">
        <v>74.42</v>
      </c>
      <c r="N10" s="54">
        <v>21.10</v>
      </c>
      <c r="O10" s="54">
        <v>0</v>
      </c>
      <c r="P10" s="54">
        <v>0.73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5.01</v>
      </c>
      <c r="C11" s="54">
        <v>42.96</v>
      </c>
      <c r="D11" s="54">
        <v>28.25</v>
      </c>
      <c r="E11" s="54">
        <v>2.2000000000000002</v>
      </c>
      <c r="F11" s="54">
        <v>3.63</v>
      </c>
      <c r="G11" s="54">
        <v>53.46</v>
      </c>
      <c r="H11" s="54">
        <v>25.72</v>
      </c>
      <c r="I11" s="54">
        <v>1.56</v>
      </c>
      <c r="J11" s="54">
        <v>1.02</v>
      </c>
      <c r="K11" s="54">
        <v>120.35</v>
      </c>
      <c r="L11" s="54">
        <v>19.46</v>
      </c>
      <c r="M11" s="54">
        <v>77.56</v>
      </c>
      <c r="N11" s="54">
        <v>21.30</v>
      </c>
      <c r="O11" s="54">
        <v>0</v>
      </c>
      <c r="P11" s="54">
        <v>0.69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5.24</v>
      </c>
      <c r="C12" s="54">
        <v>42.69</v>
      </c>
      <c r="D12" s="54">
        <v>28.34</v>
      </c>
      <c r="E12" s="54">
        <v>2.2400000000000002</v>
      </c>
      <c r="F12" s="54">
        <v>3.96</v>
      </c>
      <c r="G12" s="54">
        <v>51.90</v>
      </c>
      <c r="H12" s="54">
        <v>24.64</v>
      </c>
      <c r="I12" s="54">
        <v>1.51</v>
      </c>
      <c r="J12" s="54">
        <v>0.57999999999999996</v>
      </c>
      <c r="K12" s="54">
        <v>120.34</v>
      </c>
      <c r="L12" s="54">
        <v>18.93</v>
      </c>
      <c r="M12" s="54">
        <v>80.88</v>
      </c>
      <c r="N12" s="54">
        <v>21.10</v>
      </c>
      <c r="O12" s="54">
        <v>0</v>
      </c>
      <c r="P12" s="54">
        <v>0.67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4.6900000000000004</v>
      </c>
      <c r="C13" s="54">
        <v>41.75</v>
      </c>
      <c r="D13" s="54">
        <v>27.26</v>
      </c>
      <c r="E13" s="54">
        <v>2.2799999999999998</v>
      </c>
      <c r="F13" s="54">
        <v>3.73</v>
      </c>
      <c r="G13" s="54">
        <v>48.98</v>
      </c>
      <c r="H13" s="54">
        <v>24.85</v>
      </c>
      <c r="I13" s="54">
        <v>1.59</v>
      </c>
      <c r="J13" s="54">
        <v>0.25</v>
      </c>
      <c r="K13" s="54">
        <v>348.23</v>
      </c>
      <c r="L13" s="54">
        <v>18.45</v>
      </c>
      <c r="M13" s="54">
        <v>84.69</v>
      </c>
      <c r="N13" s="54">
        <v>21.10</v>
      </c>
      <c r="O13" s="54">
        <v>0</v>
      </c>
      <c r="P13" s="54">
        <v>0.66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5.60</v>
      </c>
      <c r="C14" s="54">
        <v>42.77</v>
      </c>
      <c r="D14" s="54">
        <v>28.74</v>
      </c>
      <c r="E14" s="54">
        <v>2.23</v>
      </c>
      <c r="F14" s="54">
        <v>3.79</v>
      </c>
      <c r="G14" s="54">
        <v>50.01</v>
      </c>
      <c r="H14" s="54">
        <v>25.72</v>
      </c>
      <c r="I14" s="54">
        <v>1.61</v>
      </c>
      <c r="J14" s="54">
        <v>0.18</v>
      </c>
      <c r="K14" s="54">
        <v>355.42</v>
      </c>
      <c r="L14" s="54">
        <v>17.670000000000002</v>
      </c>
      <c r="M14" s="54">
        <v>90.45</v>
      </c>
      <c r="N14" s="54">
        <v>21.30</v>
      </c>
      <c r="O14" s="54">
        <v>0</v>
      </c>
      <c r="P14" s="54">
        <v>0.66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9.4600000000000009</v>
      </c>
      <c r="C15" s="54">
        <v>44.78</v>
      </c>
      <c r="D15" s="54">
        <v>32.950000000000003</v>
      </c>
      <c r="E15" s="54">
        <v>2.25</v>
      </c>
      <c r="F15" s="54">
        <v>3.29</v>
      </c>
      <c r="G15" s="54">
        <v>53.02</v>
      </c>
      <c r="H15" s="54">
        <v>28.52</v>
      </c>
      <c r="I15" s="54">
        <v>1.54</v>
      </c>
      <c r="J15" s="54">
        <v>0.56000000000000005</v>
      </c>
      <c r="K15" s="54">
        <v>346.39</v>
      </c>
      <c r="L15" s="54">
        <v>17.350000000000001</v>
      </c>
      <c r="M15" s="54">
        <v>92.52</v>
      </c>
      <c r="N15" s="54">
        <v>63.60</v>
      </c>
      <c r="O15" s="54">
        <v>0</v>
      </c>
      <c r="P15" s="54">
        <v>0.74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12.55</v>
      </c>
      <c r="C16" s="54">
        <v>46.98</v>
      </c>
      <c r="D16" s="54">
        <v>36.630000000000003</v>
      </c>
      <c r="E16" s="54">
        <v>2.23</v>
      </c>
      <c r="F16" s="54">
        <v>3.38</v>
      </c>
      <c r="G16" s="54">
        <v>67.16</v>
      </c>
      <c r="H16" s="54">
        <v>28.75</v>
      </c>
      <c r="I16" s="54">
        <v>1.58</v>
      </c>
      <c r="J16" s="54">
        <v>0.35</v>
      </c>
      <c r="K16" s="54">
        <v>341.89</v>
      </c>
      <c r="L16" s="54">
        <v>19.66</v>
      </c>
      <c r="M16" s="54">
        <v>89.11</v>
      </c>
      <c r="N16" s="54">
        <v>217.30</v>
      </c>
      <c r="O16" s="54">
        <v>0</v>
      </c>
      <c r="P16" s="54">
        <v>0.77</v>
      </c>
      <c r="Q16" s="54">
        <v>5.14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12.88</v>
      </c>
      <c r="C17" s="54">
        <v>47.93</v>
      </c>
      <c r="D17" s="54">
        <v>37.04</v>
      </c>
      <c r="E17" s="54">
        <v>2.17</v>
      </c>
      <c r="F17" s="54">
        <v>3.58</v>
      </c>
      <c r="G17" s="54">
        <v>71.319999999999993</v>
      </c>
      <c r="H17" s="54">
        <v>32.659999999999997</v>
      </c>
      <c r="I17" s="54">
        <v>1.52</v>
      </c>
      <c r="J17" s="54">
        <v>0.80</v>
      </c>
      <c r="K17" s="54">
        <v>104.09</v>
      </c>
      <c r="L17" s="54">
        <v>22.01</v>
      </c>
      <c r="M17" s="54">
        <v>77.83</v>
      </c>
      <c r="N17" s="54">
        <v>386.20</v>
      </c>
      <c r="O17" s="54">
        <v>0</v>
      </c>
      <c r="P17" s="54">
        <v>0.81</v>
      </c>
      <c r="Q17" s="54">
        <v>5.23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11.85</v>
      </c>
      <c r="C18" s="54">
        <v>48.96</v>
      </c>
      <c r="D18" s="54">
        <v>36.590000000000003</v>
      </c>
      <c r="E18" s="54">
        <v>2.21</v>
      </c>
      <c r="F18" s="54">
        <v>3.56</v>
      </c>
      <c r="G18" s="54">
        <v>71.319999999999993</v>
      </c>
      <c r="H18" s="54">
        <v>33.07</v>
      </c>
      <c r="I18" s="54">
        <v>1.55</v>
      </c>
      <c r="J18" s="54">
        <v>0.88</v>
      </c>
      <c r="K18" s="54">
        <v>336.88</v>
      </c>
      <c r="L18" s="54">
        <v>24.49</v>
      </c>
      <c r="M18" s="54">
        <v>67.790000000000006</v>
      </c>
      <c r="N18" s="54">
        <v>553.20000000000005</v>
      </c>
      <c r="O18" s="54">
        <v>0</v>
      </c>
      <c r="P18" s="54">
        <v>0.85</v>
      </c>
      <c r="Q18" s="54">
        <v>5.19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10.06</v>
      </c>
      <c r="C19" s="54">
        <v>48.57</v>
      </c>
      <c r="D19" s="54">
        <v>35.51</v>
      </c>
      <c r="E19" s="54">
        <v>2.23</v>
      </c>
      <c r="F19" s="54">
        <v>4.0199999999999996</v>
      </c>
      <c r="G19" s="54">
        <v>70</v>
      </c>
      <c r="H19" s="54">
        <v>34.01</v>
      </c>
      <c r="I19" s="54">
        <v>1.55</v>
      </c>
      <c r="J19" s="54">
        <v>1.79</v>
      </c>
      <c r="K19" s="54">
        <v>111.06</v>
      </c>
      <c r="L19" s="54">
        <v>24.45</v>
      </c>
      <c r="M19" s="54">
        <v>64.569999999999993</v>
      </c>
      <c r="N19" s="54">
        <v>600.60</v>
      </c>
      <c r="O19" s="54">
        <v>0</v>
      </c>
      <c r="P19" s="54">
        <v>0.86</v>
      </c>
      <c r="Q19" s="54">
        <v>5.08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5.57</v>
      </c>
      <c r="C20" s="54">
        <v>46.80</v>
      </c>
      <c r="D20" s="54">
        <v>30.64</v>
      </c>
      <c r="E20" s="54">
        <v>2.2000000000000002</v>
      </c>
      <c r="F20" s="54">
        <v>4.43</v>
      </c>
      <c r="G20" s="54">
        <v>70.540000000000006</v>
      </c>
      <c r="H20" s="54">
        <v>34.46</v>
      </c>
      <c r="I20" s="54">
        <v>1.56</v>
      </c>
      <c r="J20" s="54">
        <v>1.32</v>
      </c>
      <c r="K20" s="54">
        <v>104.32</v>
      </c>
      <c r="L20" s="54">
        <v>25.61</v>
      </c>
      <c r="M20" s="54">
        <v>56.20</v>
      </c>
      <c r="N20" s="54">
        <v>643.29999999999995</v>
      </c>
      <c r="O20" s="54">
        <v>0</v>
      </c>
      <c r="P20" s="54">
        <v>0.86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3.75</v>
      </c>
      <c r="C21" s="54">
        <v>46.10</v>
      </c>
      <c r="D21" s="54">
        <v>29.09</v>
      </c>
      <c r="E21" s="54">
        <v>2.2200000000000002</v>
      </c>
      <c r="F21" s="54">
        <v>4.4000000000000004</v>
      </c>
      <c r="G21" s="54">
        <v>70.540000000000006</v>
      </c>
      <c r="H21" s="54">
        <v>34.46</v>
      </c>
      <c r="I21" s="54">
        <v>1.59</v>
      </c>
      <c r="J21" s="54">
        <v>1.28</v>
      </c>
      <c r="K21" s="54">
        <v>107.18</v>
      </c>
      <c r="L21" s="54">
        <v>26.89</v>
      </c>
      <c r="M21" s="54">
        <v>53.80</v>
      </c>
      <c r="N21" s="54">
        <v>646.10</v>
      </c>
      <c r="O21" s="54">
        <v>0</v>
      </c>
      <c r="P21" s="54">
        <v>0.84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3.10</v>
      </c>
      <c r="C22" s="54">
        <v>44.83</v>
      </c>
      <c r="D22" s="54">
        <v>27.76</v>
      </c>
      <c r="E22" s="54">
        <v>2.31</v>
      </c>
      <c r="F22" s="54">
        <v>4.30</v>
      </c>
      <c r="G22" s="54">
        <v>64.58</v>
      </c>
      <c r="H22" s="54">
        <v>32.89</v>
      </c>
      <c r="I22" s="54">
        <v>1.53</v>
      </c>
      <c r="J22" s="54">
        <v>1.53</v>
      </c>
      <c r="K22" s="54">
        <v>111.15</v>
      </c>
      <c r="L22" s="54">
        <v>26.52</v>
      </c>
      <c r="M22" s="54">
        <v>49.08</v>
      </c>
      <c r="N22" s="54">
        <v>578</v>
      </c>
      <c r="O22" s="54">
        <v>0</v>
      </c>
      <c r="P22" s="54">
        <v>0.79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2.79</v>
      </c>
      <c r="C23" s="54">
        <v>43.97</v>
      </c>
      <c r="D23" s="54">
        <v>27.14</v>
      </c>
      <c r="E23" s="54">
        <v>2.2000000000000002</v>
      </c>
      <c r="F23" s="54">
        <v>4.32</v>
      </c>
      <c r="G23" s="54">
        <v>61.98</v>
      </c>
      <c r="H23" s="54">
        <v>25.23</v>
      </c>
      <c r="I23" s="54">
        <v>1.53</v>
      </c>
      <c r="J23" s="54">
        <v>2.29</v>
      </c>
      <c r="K23" s="54">
        <v>113.65</v>
      </c>
      <c r="L23" s="54">
        <v>25.97</v>
      </c>
      <c r="M23" s="54">
        <v>45.80</v>
      </c>
      <c r="N23" s="54">
        <v>230.40</v>
      </c>
      <c r="O23" s="54">
        <v>0</v>
      </c>
      <c r="P23" s="54">
        <v>0.74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3</v>
      </c>
      <c r="C24" s="54">
        <v>41.60</v>
      </c>
      <c r="D24" s="54">
        <v>25.81</v>
      </c>
      <c r="E24" s="54">
        <v>2.23</v>
      </c>
      <c r="F24" s="54">
        <v>4.34</v>
      </c>
      <c r="G24" s="54">
        <v>58.08</v>
      </c>
      <c r="H24" s="54">
        <v>26.13</v>
      </c>
      <c r="I24" s="54">
        <v>1.5</v>
      </c>
      <c r="J24" s="54">
        <v>1.60</v>
      </c>
      <c r="K24" s="54">
        <v>108.03</v>
      </c>
      <c r="L24" s="54">
        <v>25.73</v>
      </c>
      <c r="M24" s="54">
        <v>48.28</v>
      </c>
      <c r="N24" s="54">
        <v>163.30000000000001</v>
      </c>
      <c r="O24" s="54">
        <v>0</v>
      </c>
      <c r="P24" s="54">
        <v>0.65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3.09</v>
      </c>
      <c r="C25" s="54">
        <v>42.09</v>
      </c>
      <c r="D25" s="54">
        <v>26.36</v>
      </c>
      <c r="E25" s="54">
        <v>2.2200000000000002</v>
      </c>
      <c r="F25" s="54">
        <v>4.20</v>
      </c>
      <c r="G25" s="54">
        <v>50.39</v>
      </c>
      <c r="H25" s="54">
        <v>26.13</v>
      </c>
      <c r="I25" s="54">
        <v>1.52</v>
      </c>
      <c r="J25" s="54">
        <v>1.76</v>
      </c>
      <c r="K25" s="54">
        <v>109.93</v>
      </c>
      <c r="L25" s="54">
        <v>25.22</v>
      </c>
      <c r="M25" s="54">
        <v>50.63</v>
      </c>
      <c r="N25" s="54">
        <v>93.5</v>
      </c>
      <c r="O25" s="54">
        <v>0</v>
      </c>
      <c r="P25" s="54">
        <v>0.63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3.30</v>
      </c>
      <c r="C26" s="54">
        <v>42.34</v>
      </c>
      <c r="D26" s="54">
        <v>26.52</v>
      </c>
      <c r="E26" s="54">
        <v>2.17</v>
      </c>
      <c r="F26" s="54">
        <v>4.12</v>
      </c>
      <c r="G26" s="54">
        <v>54.52</v>
      </c>
      <c r="H26" s="54">
        <v>24.59</v>
      </c>
      <c r="I26" s="54">
        <v>1.55</v>
      </c>
      <c r="J26" s="54">
        <v>0.47</v>
      </c>
      <c r="K26" s="54">
        <v>101.36</v>
      </c>
      <c r="L26" s="54">
        <v>23.99</v>
      </c>
      <c r="M26" s="54">
        <v>64.22</v>
      </c>
      <c r="N26" s="54">
        <v>24.40</v>
      </c>
      <c r="O26" s="54">
        <v>0</v>
      </c>
      <c r="P26" s="54">
        <v>0.73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3.07</v>
      </c>
      <c r="C27" s="54">
        <v>45.05</v>
      </c>
      <c r="D27" s="54">
        <v>27.82</v>
      </c>
      <c r="E27" s="54">
        <v>2.17</v>
      </c>
      <c r="F27" s="54">
        <v>4.20</v>
      </c>
      <c r="G27" s="54">
        <v>65.67</v>
      </c>
      <c r="H27" s="54">
        <v>32.659999999999997</v>
      </c>
      <c r="I27" s="54">
        <v>1.52</v>
      </c>
      <c r="J27" s="54">
        <v>0.69</v>
      </c>
      <c r="K27" s="54">
        <v>109.82</v>
      </c>
      <c r="L27" s="54">
        <v>22.85</v>
      </c>
      <c r="M27" s="54">
        <v>60.82</v>
      </c>
      <c r="N27" s="54">
        <v>21.20</v>
      </c>
      <c r="O27" s="54">
        <v>0</v>
      </c>
      <c r="P27" s="54">
        <v>0.81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3.06</v>
      </c>
      <c r="C28" s="54">
        <v>46.33</v>
      </c>
      <c r="D28" s="54">
        <v>28.62</v>
      </c>
      <c r="E28" s="54">
        <v>2.19</v>
      </c>
      <c r="F28" s="54">
        <v>4.0999999999999996</v>
      </c>
      <c r="G28" s="54">
        <v>67.489999999999995</v>
      </c>
      <c r="H28" s="54">
        <v>36.020000000000003</v>
      </c>
      <c r="I28" s="54">
        <v>1.53</v>
      </c>
      <c r="J28" s="54">
        <v>0.63</v>
      </c>
      <c r="K28" s="54">
        <v>108.10</v>
      </c>
      <c r="L28" s="54">
        <v>22.14</v>
      </c>
      <c r="M28" s="54">
        <v>61.72</v>
      </c>
      <c r="N28" s="54">
        <v>21.20</v>
      </c>
      <c r="O28" s="54">
        <v>0</v>
      </c>
      <c r="P28" s="54">
        <v>0.88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3.35</v>
      </c>
      <c r="C29" s="54">
        <v>45.97</v>
      </c>
      <c r="D29" s="54">
        <v>28.70</v>
      </c>
      <c r="E29" s="54">
        <v>2.1800000000000002</v>
      </c>
      <c r="F29" s="54">
        <v>4.29</v>
      </c>
      <c r="G29" s="54">
        <v>67.489999999999995</v>
      </c>
      <c r="H29" s="54">
        <v>36.909999999999997</v>
      </c>
      <c r="I29" s="54">
        <v>1.54</v>
      </c>
      <c r="J29" s="54">
        <v>0.91</v>
      </c>
      <c r="K29" s="54">
        <v>116.85</v>
      </c>
      <c r="L29" s="54">
        <v>21.85</v>
      </c>
      <c r="M29" s="54">
        <v>61.25</v>
      </c>
      <c r="N29" s="54">
        <v>21.20</v>
      </c>
      <c r="O29" s="54">
        <v>0</v>
      </c>
      <c r="P29" s="54">
        <v>0.89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4</v>
      </c>
      <c r="C30" s="54">
        <v>45.30</v>
      </c>
      <c r="D30" s="54">
        <v>28.86</v>
      </c>
      <c r="E30" s="54">
        <v>2.14</v>
      </c>
      <c r="F30" s="54">
        <v>3.79</v>
      </c>
      <c r="G30" s="54">
        <v>67.099999999999994</v>
      </c>
      <c r="H30" s="54">
        <v>36.909999999999997</v>
      </c>
      <c r="I30" s="54">
        <v>1.55</v>
      </c>
      <c r="J30" s="54">
        <v>0.98</v>
      </c>
      <c r="K30" s="54">
        <v>115.88</v>
      </c>
      <c r="L30" s="54">
        <v>21.41</v>
      </c>
      <c r="M30" s="54">
        <v>64.180000000000007</v>
      </c>
      <c r="N30" s="54">
        <v>21.40</v>
      </c>
      <c r="O30" s="54">
        <v>0</v>
      </c>
      <c r="P30" s="54">
        <v>0.88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4.3600000000000003</v>
      </c>
      <c r="C31" s="54">
        <v>45.05</v>
      </c>
      <c r="D31" s="54">
        <v>28.90</v>
      </c>
      <c r="E31" s="54">
        <v>2.19</v>
      </c>
      <c r="F31" s="54">
        <v>3.79</v>
      </c>
      <c r="G31" s="54">
        <v>65.17</v>
      </c>
      <c r="H31" s="54">
        <v>32.79</v>
      </c>
      <c r="I31" s="54">
        <v>1.55</v>
      </c>
      <c r="J31" s="54">
        <v>1.30</v>
      </c>
      <c r="K31" s="54">
        <v>115.38</v>
      </c>
      <c r="L31" s="54">
        <v>20.85</v>
      </c>
      <c r="M31" s="54">
        <v>66.14</v>
      </c>
      <c r="N31" s="54">
        <v>21.30</v>
      </c>
      <c r="O31" s="54">
        <v>0</v>
      </c>
      <c r="P31" s="54">
        <v>0.87</v>
      </c>
      <c r="Q31" s="54">
        <v>5.21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4.83</v>
      </c>
      <c r="C32" s="54">
        <v>45.36</v>
      </c>
      <c r="D32" s="54">
        <v>29.55</v>
      </c>
      <c r="E32" s="54">
        <v>2.16</v>
      </c>
      <c r="F32" s="54">
        <v>4.09</v>
      </c>
      <c r="G32" s="54">
        <v>62.34</v>
      </c>
      <c r="H32" s="54">
        <v>32.79</v>
      </c>
      <c r="I32" s="54">
        <v>1.54</v>
      </c>
      <c r="J32" s="54">
        <v>0.59</v>
      </c>
      <c r="K32" s="54">
        <v>113.98</v>
      </c>
      <c r="L32" s="54">
        <v>20.30</v>
      </c>
      <c r="M32" s="54">
        <v>69.22</v>
      </c>
      <c r="N32" s="54">
        <v>21.60</v>
      </c>
      <c r="O32" s="54">
        <v>0</v>
      </c>
      <c r="P32" s="54">
        <v>0.85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2.79</v>
      </c>
      <c r="C34" s="28">
        <f t="shared" si="0"/>
        <v>41.600000000000001</v>
      </c>
      <c r="D34" s="28">
        <f t="shared" si="0"/>
        <v>25.809999999999999</v>
      </c>
      <c r="E34" s="28">
        <f t="shared" si="0"/>
        <v>2.1400000000000001</v>
      </c>
      <c r="F34" s="28">
        <f t="shared" si="0"/>
        <v>3.29</v>
      </c>
      <c r="G34" s="28">
        <f t="shared" si="0"/>
        <v>48.979999999999997</v>
      </c>
      <c r="H34" s="28">
        <f t="shared" si="0"/>
        <v>24.59</v>
      </c>
      <c r="I34" s="28">
        <f t="shared" si="0"/>
        <v>1.5</v>
      </c>
      <c r="J34" s="28">
        <f t="shared" si="0"/>
        <v>0.17999999999999999</v>
      </c>
      <c r="K34" s="28">
        <f t="shared" si="0"/>
        <v>101.36</v>
      </c>
      <c r="L34" s="28">
        <f t="shared" si="0"/>
        <v>17.350000000000001</v>
      </c>
      <c r="M34" s="28">
        <f t="shared" si="0"/>
        <v>45.799999999999997</v>
      </c>
      <c r="N34" s="28">
        <f t="shared" si="0"/>
        <v>21.100000000000001</v>
      </c>
      <c r="O34" s="28">
        <f t="shared" si="0"/>
        <v>0</v>
      </c>
      <c r="P34" s="28">
        <f t="shared" si="0"/>
        <v>0.63</v>
      </c>
      <c r="Q34" s="28">
        <f t="shared" si="0"/>
        <v>5.0800000000000001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12.880000000000001</v>
      </c>
      <c r="C35" s="29">
        <f t="shared" si="1"/>
        <v>48.960000000000001</v>
      </c>
      <c r="D35" s="29">
        <f t="shared" si="1"/>
        <v>37.039999999999999</v>
      </c>
      <c r="E35" s="29">
        <f t="shared" si="1"/>
        <v>2.3100000000000001</v>
      </c>
      <c r="F35" s="29">
        <f t="shared" si="1"/>
        <v>4.4299999999999997</v>
      </c>
      <c r="G35" s="29">
        <f t="shared" si="1"/>
        <v>71.319999999999993</v>
      </c>
      <c r="H35" s="29">
        <f t="shared" si="1"/>
        <v>36.909999999999997</v>
      </c>
      <c r="I35" s="29">
        <f t="shared" si="1"/>
        <v>1.6100000000000001</v>
      </c>
      <c r="J35" s="29">
        <f t="shared" si="1"/>
        <v>2.29</v>
      </c>
      <c r="K35" s="29">
        <f t="shared" si="1"/>
        <v>355.42000000000002</v>
      </c>
      <c r="L35" s="29">
        <f t="shared" si="1"/>
        <v>26.890000000000001</v>
      </c>
      <c r="M35" s="29">
        <f t="shared" si="1"/>
        <v>92.519999999999996</v>
      </c>
      <c r="N35" s="29">
        <f t="shared" si="1"/>
        <v>646.10000000000002</v>
      </c>
      <c r="O35" s="29">
        <f t="shared" si="1"/>
        <v>0</v>
      </c>
      <c r="P35" s="29">
        <f t="shared" si="1"/>
        <v>0.89000000000000001</v>
      </c>
      <c r="Q35" s="29">
        <f t="shared" si="1"/>
        <v>5.2300000000000004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5.5362500000000017</v>
      </c>
      <c r="C36" s="28">
        <f t="shared" si="2"/>
        <v>44.786666666666669</v>
      </c>
      <c r="D36" s="28">
        <f t="shared" si="2"/>
        <v>29.692083333333333</v>
      </c>
      <c r="E36" s="28">
        <f t="shared" si="2"/>
        <v>2.2112499999999997</v>
      </c>
      <c r="F36" s="28">
        <f t="shared" si="2"/>
        <v>3.9575000000000009</v>
      </c>
      <c r="G36" s="28">
        <f t="shared" si="2"/>
        <v>61.949166666666663</v>
      </c>
      <c r="H36" s="28">
        <f t="shared" si="2"/>
        <v>30.272916666666656</v>
      </c>
      <c r="I36" s="28">
        <f t="shared" si="2"/>
        <v>1.5454166666666664</v>
      </c>
      <c r="J36" s="28">
        <f t="shared" si="2"/>
        <v>1.0395833333333333</v>
      </c>
      <c r="K36" s="28">
        <f t="shared" si="2"/>
        <v>160.60583333333335</v>
      </c>
      <c r="L36" s="28">
        <f t="shared" si="2"/>
        <v>22.19458333333333</v>
      </c>
      <c r="M36" s="28">
        <f t="shared" si="2"/>
        <v>67.669583333333335</v>
      </c>
      <c r="N36" s="28">
        <f t="shared" si="2"/>
        <v>185.61666666666665</v>
      </c>
      <c r="O36" s="28">
        <f t="shared" si="2"/>
        <v>0</v>
      </c>
      <c r="P36" s="28">
        <f t="shared" si="2"/>
        <v>0.77375000000000027</v>
      </c>
      <c r="Q36" s="28">
        <f t="shared" si="2"/>
        <v>5.2016666666666636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3.2259515785201285</v>
      </c>
      <c r="C37" s="28">
        <f t="shared" si="3" ref="C37:Q37">STDEV(C9:C32)</f>
        <v>2.1482928847902878</v>
      </c>
      <c r="D37" s="28">
        <f t="shared" si="3"/>
        <v>3.4075095829609747</v>
      </c>
      <c r="E37" s="28">
        <f t="shared" si="3"/>
        <v>0.038596294032503663</v>
      </c>
      <c r="F37" s="28">
        <f t="shared" si="3"/>
        <v>0.32821321278016552</v>
      </c>
      <c r="G37" s="28">
        <f t="shared" si="3"/>
        <v>7.5231312379346447</v>
      </c>
      <c r="H37" s="28">
        <f t="shared" si="3"/>
        <v>4.2778087433788121</v>
      </c>
      <c r="I37" s="28">
        <f t="shared" si="3"/>
        <v>0.028434389262891241</v>
      </c>
      <c r="J37" s="28">
        <f t="shared" si="3"/>
        <v>0.56193361178876911</v>
      </c>
      <c r="K37" s="28">
        <f t="shared" si="3"/>
        <v>97.197920263877975</v>
      </c>
      <c r="L37" s="28">
        <f t="shared" si="3"/>
        <v>2.9284110236079308</v>
      </c>
      <c r="M37" s="28">
        <f t="shared" si="3"/>
        <v>13.689912337880044</v>
      </c>
      <c r="N37" s="28">
        <f t="shared" si="3"/>
        <v>237.7565134967808</v>
      </c>
      <c r="O37" s="28">
        <f t="shared" si="3"/>
        <v>0</v>
      </c>
      <c r="P37" s="28">
        <f t="shared" si="3"/>
        <v>0.085709950718533351</v>
      </c>
      <c r="Q37" s="28">
        <f t="shared" si="3"/>
        <v>0.030168608312884333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e9dce7-9c7c-416e-8537-c0455870d2d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4.9800000000000004</v>
      </c>
      <c r="C9" s="54">
        <v>45.40</v>
      </c>
      <c r="D9" s="54">
        <v>29.69</v>
      </c>
      <c r="E9" s="54">
        <v>2.23</v>
      </c>
      <c r="F9" s="54">
        <v>3.95</v>
      </c>
      <c r="G9" s="54">
        <v>61.67</v>
      </c>
      <c r="H9" s="54">
        <v>32.46</v>
      </c>
      <c r="I9" s="54">
        <v>1.5</v>
      </c>
      <c r="J9" s="54">
        <v>0.53</v>
      </c>
      <c r="K9" s="54">
        <v>115.59</v>
      </c>
      <c r="L9" s="54">
        <v>19.89</v>
      </c>
      <c r="M9" s="54">
        <v>74.760000000000005</v>
      </c>
      <c r="N9" s="54">
        <v>21.5</v>
      </c>
      <c r="O9" s="54">
        <v>0</v>
      </c>
      <c r="P9" s="54">
        <v>0.85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4.1900000000000004</v>
      </c>
      <c r="C10" s="54">
        <v>43.63</v>
      </c>
      <c r="D10" s="54">
        <v>28.08</v>
      </c>
      <c r="E10" s="54">
        <v>2.2200000000000002</v>
      </c>
      <c r="F10" s="54">
        <v>3.88</v>
      </c>
      <c r="G10" s="54">
        <v>60.72</v>
      </c>
      <c r="H10" s="54">
        <v>31.83</v>
      </c>
      <c r="I10" s="54">
        <v>1.56</v>
      </c>
      <c r="J10" s="54">
        <v>0.37</v>
      </c>
      <c r="K10" s="54">
        <v>117.37</v>
      </c>
      <c r="L10" s="54">
        <v>19.420000000000002</v>
      </c>
      <c r="M10" s="54">
        <v>78.709999999999994</v>
      </c>
      <c r="N10" s="54">
        <v>21.5</v>
      </c>
      <c r="O10" s="54">
        <v>0</v>
      </c>
      <c r="P10" s="54">
        <v>0.83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3.60</v>
      </c>
      <c r="C11" s="54">
        <v>43.12</v>
      </c>
      <c r="D11" s="54">
        <v>27.30</v>
      </c>
      <c r="E11" s="54">
        <v>2.2000000000000002</v>
      </c>
      <c r="F11" s="54">
        <v>3.81</v>
      </c>
      <c r="G11" s="54">
        <v>58.96</v>
      </c>
      <c r="H11" s="54">
        <v>30.31</v>
      </c>
      <c r="I11" s="54">
        <v>1.51</v>
      </c>
      <c r="J11" s="54">
        <v>0.38</v>
      </c>
      <c r="K11" s="54">
        <v>103.28</v>
      </c>
      <c r="L11" s="54">
        <v>18.86</v>
      </c>
      <c r="M11" s="54">
        <v>80.13</v>
      </c>
      <c r="N11" s="54">
        <v>21.60</v>
      </c>
      <c r="O11" s="54">
        <v>0</v>
      </c>
      <c r="P11" s="54">
        <v>0.83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3.24</v>
      </c>
      <c r="C12" s="54">
        <v>42.28</v>
      </c>
      <c r="D12" s="54">
        <v>26.58</v>
      </c>
      <c r="E12" s="54">
        <v>2.2200000000000002</v>
      </c>
      <c r="F12" s="54">
        <v>3.91</v>
      </c>
      <c r="G12" s="54">
        <v>60.56</v>
      </c>
      <c r="H12" s="54">
        <v>33.69</v>
      </c>
      <c r="I12" s="54">
        <v>1.51</v>
      </c>
      <c r="J12" s="54">
        <v>0.27</v>
      </c>
      <c r="K12" s="54">
        <v>108.98</v>
      </c>
      <c r="L12" s="54">
        <v>19.27</v>
      </c>
      <c r="M12" s="54">
        <v>79.87</v>
      </c>
      <c r="N12" s="54">
        <v>21.90</v>
      </c>
      <c r="O12" s="54">
        <v>0</v>
      </c>
      <c r="P12" s="54">
        <v>0.83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4.6500000000000004</v>
      </c>
      <c r="C13" s="54">
        <v>44.12</v>
      </c>
      <c r="D13" s="54">
        <v>28.73</v>
      </c>
      <c r="E13" s="54">
        <v>2.10</v>
      </c>
      <c r="F13" s="54">
        <v>3.67</v>
      </c>
      <c r="G13" s="54">
        <v>60.56</v>
      </c>
      <c r="H13" s="54">
        <v>33.69</v>
      </c>
      <c r="I13" s="54">
        <v>1.60</v>
      </c>
      <c r="J13" s="54">
        <v>0.55000000000000004</v>
      </c>
      <c r="K13" s="54">
        <v>350.69</v>
      </c>
      <c r="L13" s="54">
        <v>19.27</v>
      </c>
      <c r="M13" s="54">
        <v>82.13</v>
      </c>
      <c r="N13" s="54">
        <v>22.60</v>
      </c>
      <c r="O13" s="54">
        <v>0</v>
      </c>
      <c r="P13" s="54">
        <v>0.83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6.14</v>
      </c>
      <c r="C14" s="54">
        <v>45.11</v>
      </c>
      <c r="D14" s="54">
        <v>30.46</v>
      </c>
      <c r="E14" s="54">
        <v>2.19</v>
      </c>
      <c r="F14" s="54">
        <v>3.57</v>
      </c>
      <c r="G14" s="54">
        <v>69.900000000000006</v>
      </c>
      <c r="H14" s="54">
        <v>33.44</v>
      </c>
      <c r="I14" s="54">
        <v>1.5</v>
      </c>
      <c r="J14" s="54">
        <v>0.23</v>
      </c>
      <c r="K14" s="54">
        <v>338.35</v>
      </c>
      <c r="L14" s="54">
        <v>18.23</v>
      </c>
      <c r="M14" s="54">
        <v>85.91</v>
      </c>
      <c r="N14" s="54">
        <v>22.20</v>
      </c>
      <c r="O14" s="54">
        <v>0</v>
      </c>
      <c r="P14" s="54">
        <v>0.84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7.86</v>
      </c>
      <c r="C15" s="54">
        <v>45.75</v>
      </c>
      <c r="D15" s="54">
        <v>32.19</v>
      </c>
      <c r="E15" s="54">
        <v>2.16</v>
      </c>
      <c r="F15" s="54">
        <v>3.45</v>
      </c>
      <c r="G15" s="54">
        <v>72.39</v>
      </c>
      <c r="H15" s="54">
        <v>33.229999999999997</v>
      </c>
      <c r="I15" s="54">
        <v>1.51</v>
      </c>
      <c r="J15" s="54">
        <v>0.55000000000000004</v>
      </c>
      <c r="K15" s="54">
        <v>107.14</v>
      </c>
      <c r="L15" s="54">
        <v>17.61</v>
      </c>
      <c r="M15" s="54">
        <v>89.37</v>
      </c>
      <c r="N15" s="54">
        <v>50.40</v>
      </c>
      <c r="O15" s="54">
        <v>0</v>
      </c>
      <c r="P15" s="54">
        <v>0.83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10.89</v>
      </c>
      <c r="C16" s="54">
        <v>46.19</v>
      </c>
      <c r="D16" s="54">
        <v>34.869999999999997</v>
      </c>
      <c r="E16" s="54">
        <v>2.15</v>
      </c>
      <c r="F16" s="54">
        <v>3.46</v>
      </c>
      <c r="G16" s="54">
        <v>72.39</v>
      </c>
      <c r="H16" s="54">
        <v>34.96</v>
      </c>
      <c r="I16" s="54">
        <v>1.56</v>
      </c>
      <c r="J16" s="54">
        <v>0.35</v>
      </c>
      <c r="K16" s="54">
        <v>101.48</v>
      </c>
      <c r="L16" s="54">
        <v>18.88</v>
      </c>
      <c r="M16" s="54">
        <v>87.07</v>
      </c>
      <c r="N16" s="54">
        <v>114.10</v>
      </c>
      <c r="O16" s="54">
        <v>0</v>
      </c>
      <c r="P16" s="54">
        <v>0.88</v>
      </c>
      <c r="Q16" s="54">
        <v>5.0599999999999996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13.80</v>
      </c>
      <c r="C17" s="54">
        <v>48.62</v>
      </c>
      <c r="D17" s="54">
        <v>38.54</v>
      </c>
      <c r="E17" s="54">
        <v>2.17</v>
      </c>
      <c r="F17" s="54">
        <v>3.42</v>
      </c>
      <c r="G17" s="54">
        <v>72.430000000000007</v>
      </c>
      <c r="H17" s="54">
        <v>34.96</v>
      </c>
      <c r="I17" s="54">
        <v>1.56</v>
      </c>
      <c r="J17" s="54">
        <v>0.26</v>
      </c>
      <c r="K17" s="54">
        <v>100.29</v>
      </c>
      <c r="L17" s="54">
        <v>21.34</v>
      </c>
      <c r="M17" s="54">
        <v>81.52</v>
      </c>
      <c r="N17" s="54">
        <v>249.80</v>
      </c>
      <c r="O17" s="54">
        <v>0</v>
      </c>
      <c r="P17" s="54">
        <v>0.96</v>
      </c>
      <c r="Q17" s="54">
        <v>5.31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14.60</v>
      </c>
      <c r="C18" s="54">
        <v>50.41</v>
      </c>
      <c r="D18" s="54">
        <v>40.130000000000003</v>
      </c>
      <c r="E18" s="54">
        <v>2.1800000000000002</v>
      </c>
      <c r="F18" s="54">
        <v>3.40</v>
      </c>
      <c r="G18" s="54">
        <v>76.58</v>
      </c>
      <c r="H18" s="54">
        <v>25.56</v>
      </c>
      <c r="I18" s="54">
        <v>1.58</v>
      </c>
      <c r="J18" s="54">
        <v>0.72</v>
      </c>
      <c r="K18" s="54">
        <v>343.48</v>
      </c>
      <c r="L18" s="54">
        <v>22.36</v>
      </c>
      <c r="M18" s="54">
        <v>73.91</v>
      </c>
      <c r="N18" s="54">
        <v>259.39999999999998</v>
      </c>
      <c r="O18" s="54">
        <v>0</v>
      </c>
      <c r="P18" s="54">
        <v>1.07</v>
      </c>
      <c r="Q18" s="54">
        <v>5.5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16.16</v>
      </c>
      <c r="C19" s="54">
        <v>57.41</v>
      </c>
      <c r="D19" s="54">
        <v>45.29</v>
      </c>
      <c r="E19" s="54">
        <v>2.1800000000000002</v>
      </c>
      <c r="F19" s="54">
        <v>3.56</v>
      </c>
      <c r="G19" s="54">
        <v>82.66</v>
      </c>
      <c r="H19" s="54">
        <v>29.46</v>
      </c>
      <c r="I19" s="54">
        <v>1.52</v>
      </c>
      <c r="J19" s="54">
        <v>0.95</v>
      </c>
      <c r="K19" s="54">
        <v>344.81</v>
      </c>
      <c r="L19" s="54">
        <v>23.36</v>
      </c>
      <c r="M19" s="54">
        <v>74.22</v>
      </c>
      <c r="N19" s="54">
        <v>217.10</v>
      </c>
      <c r="O19" s="54">
        <v>0</v>
      </c>
      <c r="P19" s="54">
        <v>1.36</v>
      </c>
      <c r="Q19" s="54">
        <v>6.05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14.96</v>
      </c>
      <c r="C20" s="54">
        <v>58.94</v>
      </c>
      <c r="D20" s="54">
        <v>45.17</v>
      </c>
      <c r="E20" s="56" t="s">
        <v>14</v>
      </c>
      <c r="F20" s="54">
        <v>5.63</v>
      </c>
      <c r="G20" s="54">
        <v>82.66</v>
      </c>
      <c r="H20" s="54">
        <v>33.44</v>
      </c>
      <c r="I20" s="54">
        <v>1.54</v>
      </c>
      <c r="J20" s="54">
        <v>0.61</v>
      </c>
      <c r="K20" s="54">
        <v>354.02</v>
      </c>
      <c r="L20" s="54">
        <v>23.38</v>
      </c>
      <c r="M20" s="54">
        <v>67.099999999999994</v>
      </c>
      <c r="N20" s="54">
        <v>239.60</v>
      </c>
      <c r="O20" s="54">
        <v>0</v>
      </c>
      <c r="P20" s="54">
        <v>1.40</v>
      </c>
      <c r="Q20" s="54">
        <v>6.27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4.1900000000000004</v>
      </c>
      <c r="C21" s="54">
        <v>60.16</v>
      </c>
      <c r="D21" s="54">
        <v>36.869999999999997</v>
      </c>
      <c r="E21" s="56" t="s">
        <v>14</v>
      </c>
      <c r="F21" s="54">
        <v>9.4700000000000006</v>
      </c>
      <c r="G21" s="54">
        <v>78.33</v>
      </c>
      <c r="H21" s="54">
        <v>37.03</v>
      </c>
      <c r="I21" s="54">
        <v>1.52</v>
      </c>
      <c r="J21" s="54">
        <v>0.77</v>
      </c>
      <c r="K21" s="54">
        <v>345.81</v>
      </c>
      <c r="L21" s="54">
        <v>24.44</v>
      </c>
      <c r="M21" s="54">
        <v>67.239999999999995</v>
      </c>
      <c r="N21" s="54">
        <v>298.60000000000002</v>
      </c>
      <c r="O21" s="54">
        <v>0</v>
      </c>
      <c r="P21" s="54">
        <v>1.35</v>
      </c>
      <c r="Q21" s="54">
        <v>5.59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4.71</v>
      </c>
      <c r="C22" s="54">
        <v>60.33</v>
      </c>
      <c r="D22" s="54">
        <v>37.72</v>
      </c>
      <c r="E22" s="56" t="s">
        <v>14</v>
      </c>
      <c r="F22" s="54">
        <v>6.89</v>
      </c>
      <c r="G22" s="54">
        <v>84.56</v>
      </c>
      <c r="H22" s="54">
        <v>39.840000000000003</v>
      </c>
      <c r="I22" s="54">
        <v>1.55</v>
      </c>
      <c r="J22" s="54">
        <v>0.87</v>
      </c>
      <c r="K22" s="54">
        <v>103.81</v>
      </c>
      <c r="L22" s="54">
        <v>24.49</v>
      </c>
      <c r="M22" s="54">
        <v>62.51</v>
      </c>
      <c r="N22" s="54">
        <v>310.89999999999998</v>
      </c>
      <c r="O22" s="54">
        <v>0</v>
      </c>
      <c r="P22" s="54">
        <v>1.25</v>
      </c>
      <c r="Q22" s="54">
        <v>5.30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4.84</v>
      </c>
      <c r="C23" s="54">
        <v>53.19</v>
      </c>
      <c r="D23" s="54">
        <v>38.29</v>
      </c>
      <c r="E23" s="54">
        <v>2.2400000000000002</v>
      </c>
      <c r="F23" s="54">
        <v>5.54</v>
      </c>
      <c r="G23" s="54">
        <v>82.55</v>
      </c>
      <c r="H23" s="54">
        <v>38.18</v>
      </c>
      <c r="I23" s="54">
        <v>1.52</v>
      </c>
      <c r="J23" s="54">
        <v>0.39</v>
      </c>
      <c r="K23" s="54">
        <v>339.76</v>
      </c>
      <c r="L23" s="54">
        <v>23.92</v>
      </c>
      <c r="M23" s="54">
        <v>61.53</v>
      </c>
      <c r="N23" s="54">
        <v>165.20</v>
      </c>
      <c r="O23" s="54">
        <v>0</v>
      </c>
      <c r="P23" s="54">
        <v>1.08</v>
      </c>
      <c r="Q23" s="54">
        <v>4.95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5.44</v>
      </c>
      <c r="C24" s="54">
        <v>65.86</v>
      </c>
      <c r="D24" s="54">
        <v>40.10</v>
      </c>
      <c r="E24" s="54">
        <v>2.34</v>
      </c>
      <c r="F24" s="54">
        <v>6.48</v>
      </c>
      <c r="G24" s="54">
        <v>93.24</v>
      </c>
      <c r="H24" s="54">
        <v>38.18</v>
      </c>
      <c r="I24" s="54">
        <v>1.59</v>
      </c>
      <c r="J24" s="54">
        <v>0.89</v>
      </c>
      <c r="K24" s="54">
        <v>358.04</v>
      </c>
      <c r="L24" s="54">
        <v>23.41</v>
      </c>
      <c r="M24" s="54">
        <v>62.15</v>
      </c>
      <c r="N24" s="54">
        <v>101.90</v>
      </c>
      <c r="O24" s="54">
        <v>0</v>
      </c>
      <c r="P24" s="54">
        <v>1.1399999999999999</v>
      </c>
      <c r="Q24" s="54">
        <v>5.47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6.73</v>
      </c>
      <c r="C25" s="54">
        <v>62.64</v>
      </c>
      <c r="D25" s="54">
        <v>40.39</v>
      </c>
      <c r="E25" s="54">
        <v>2.14</v>
      </c>
      <c r="F25" s="54">
        <v>4.21</v>
      </c>
      <c r="G25" s="54">
        <v>93.24</v>
      </c>
      <c r="H25" s="54">
        <v>37.729999999999997</v>
      </c>
      <c r="I25" s="54">
        <v>1.53</v>
      </c>
      <c r="J25" s="54">
        <v>0.21</v>
      </c>
      <c r="K25" s="54">
        <v>356.02</v>
      </c>
      <c r="L25" s="54">
        <v>22.89</v>
      </c>
      <c r="M25" s="54">
        <v>63.32</v>
      </c>
      <c r="N25" s="54">
        <v>66.20</v>
      </c>
      <c r="O25" s="54">
        <v>0</v>
      </c>
      <c r="P25" s="54">
        <v>0.98</v>
      </c>
      <c r="Q25" s="54">
        <v>5.22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9.1999999999999993</v>
      </c>
      <c r="C26" s="54">
        <v>70.27</v>
      </c>
      <c r="D26" s="54">
        <v>46.81</v>
      </c>
      <c r="E26" s="54">
        <v>2.17</v>
      </c>
      <c r="F26" s="54">
        <v>4.42</v>
      </c>
      <c r="G26" s="54">
        <v>83.07</v>
      </c>
      <c r="H26" s="54">
        <v>37.729999999999997</v>
      </c>
      <c r="I26" s="54">
        <v>1.55</v>
      </c>
      <c r="J26" s="54">
        <v>0.31</v>
      </c>
      <c r="K26" s="54">
        <v>340.41</v>
      </c>
      <c r="L26" s="54">
        <v>22.06</v>
      </c>
      <c r="M26" s="54">
        <v>73.89</v>
      </c>
      <c r="N26" s="54">
        <v>24.5</v>
      </c>
      <c r="O26" s="54">
        <v>0</v>
      </c>
      <c r="P26" s="54">
        <v>1.03</v>
      </c>
      <c r="Q26" s="54">
        <v>5.51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11.02</v>
      </c>
      <c r="C27" s="54">
        <v>69.16</v>
      </c>
      <c r="D27" s="54">
        <v>46.38</v>
      </c>
      <c r="E27" s="54">
        <v>2.2000000000000002</v>
      </c>
      <c r="F27" s="54">
        <v>3.63</v>
      </c>
      <c r="G27" s="54">
        <v>80.89</v>
      </c>
      <c r="H27" s="54">
        <v>37.76</v>
      </c>
      <c r="I27" s="54">
        <v>1.5</v>
      </c>
      <c r="J27" s="54">
        <v>0.22</v>
      </c>
      <c r="K27" s="54">
        <v>95.34</v>
      </c>
      <c r="L27" s="54">
        <v>21.73</v>
      </c>
      <c r="M27" s="54">
        <v>66.20</v>
      </c>
      <c r="N27" s="54">
        <v>22.80</v>
      </c>
      <c r="O27" s="54">
        <v>0</v>
      </c>
      <c r="P27" s="54">
        <v>1.06</v>
      </c>
      <c r="Q27" s="54">
        <v>5.30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11.53</v>
      </c>
      <c r="C28" s="54">
        <v>61.11</v>
      </c>
      <c r="D28" s="54">
        <v>43.28</v>
      </c>
      <c r="E28" s="54">
        <v>2.19</v>
      </c>
      <c r="F28" s="54">
        <v>3.57</v>
      </c>
      <c r="G28" s="54">
        <v>80.30</v>
      </c>
      <c r="H28" s="54">
        <v>37.76</v>
      </c>
      <c r="I28" s="54">
        <v>1.54</v>
      </c>
      <c r="J28" s="54">
        <v>0.54</v>
      </c>
      <c r="K28" s="54">
        <v>105.78</v>
      </c>
      <c r="L28" s="54">
        <v>21.66</v>
      </c>
      <c r="M28" s="54">
        <v>62.20</v>
      </c>
      <c r="N28" s="54">
        <v>23</v>
      </c>
      <c r="O28" s="54">
        <v>0</v>
      </c>
      <c r="P28" s="54">
        <v>1.03</v>
      </c>
      <c r="Q28" s="54">
        <v>4.96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11.36</v>
      </c>
      <c r="C29" s="54">
        <v>56.26</v>
      </c>
      <c r="D29" s="54">
        <v>40.799999999999997</v>
      </c>
      <c r="E29" s="54">
        <v>2.2200000000000002</v>
      </c>
      <c r="F29" s="54">
        <v>3.58</v>
      </c>
      <c r="G29" s="54">
        <v>78.86</v>
      </c>
      <c r="H29" s="54">
        <v>36.04</v>
      </c>
      <c r="I29" s="54">
        <v>1.55</v>
      </c>
      <c r="J29" s="54">
        <v>0.84</v>
      </c>
      <c r="K29" s="54">
        <v>107.74</v>
      </c>
      <c r="L29" s="54">
        <v>21.44</v>
      </c>
      <c r="M29" s="54">
        <v>62.33</v>
      </c>
      <c r="N29" s="54">
        <v>23</v>
      </c>
      <c r="O29" s="54">
        <v>0</v>
      </c>
      <c r="P29" s="54">
        <v>1.02</v>
      </c>
      <c r="Q29" s="54">
        <v>4.95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11.18</v>
      </c>
      <c r="C30" s="54">
        <v>52.91</v>
      </c>
      <c r="D30" s="54">
        <v>38.81</v>
      </c>
      <c r="E30" s="54">
        <v>2.2000000000000002</v>
      </c>
      <c r="F30" s="54">
        <v>3.82</v>
      </c>
      <c r="G30" s="54">
        <v>74.540000000000006</v>
      </c>
      <c r="H30" s="54">
        <v>36.04</v>
      </c>
      <c r="I30" s="54">
        <v>1.53</v>
      </c>
      <c r="J30" s="54">
        <v>1.1100000000000001</v>
      </c>
      <c r="K30" s="54">
        <v>105.83</v>
      </c>
      <c r="L30" s="54">
        <v>21.27</v>
      </c>
      <c r="M30" s="54">
        <v>65.13</v>
      </c>
      <c r="N30" s="54">
        <v>23.10</v>
      </c>
      <c r="O30" s="54">
        <v>0</v>
      </c>
      <c r="P30" s="54">
        <v>0.96</v>
      </c>
      <c r="Q30" s="54">
        <v>5.0599999999999996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10.71</v>
      </c>
      <c r="C31" s="54">
        <v>50.18</v>
      </c>
      <c r="D31" s="54">
        <v>36.75</v>
      </c>
      <c r="E31" s="54">
        <v>2.21</v>
      </c>
      <c r="F31" s="54">
        <v>3.66</v>
      </c>
      <c r="G31" s="54">
        <v>65.42</v>
      </c>
      <c r="H31" s="54">
        <v>32.24</v>
      </c>
      <c r="I31" s="54">
        <v>1.51</v>
      </c>
      <c r="J31" s="54">
        <v>0.82</v>
      </c>
      <c r="K31" s="54">
        <v>101.12</v>
      </c>
      <c r="L31" s="54">
        <v>20.75</v>
      </c>
      <c r="M31" s="54">
        <v>72.680000000000007</v>
      </c>
      <c r="N31" s="54">
        <v>22.90</v>
      </c>
      <c r="O31" s="54">
        <v>0</v>
      </c>
      <c r="P31" s="54">
        <v>0.89</v>
      </c>
      <c r="Q31" s="54">
        <v>5.01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10.69</v>
      </c>
      <c r="C32" s="54">
        <v>49.83</v>
      </c>
      <c r="D32" s="54">
        <v>36.72</v>
      </c>
      <c r="E32" s="54">
        <v>2.2000000000000002</v>
      </c>
      <c r="F32" s="54">
        <v>3.62</v>
      </c>
      <c r="G32" s="54">
        <v>59.77</v>
      </c>
      <c r="H32" s="54">
        <v>31.16</v>
      </c>
      <c r="I32" s="54">
        <v>1.56</v>
      </c>
      <c r="J32" s="54">
        <v>0.16</v>
      </c>
      <c r="K32" s="54">
        <v>349.56</v>
      </c>
      <c r="L32" s="54">
        <v>20.190000000000001</v>
      </c>
      <c r="M32" s="54">
        <v>76.94</v>
      </c>
      <c r="N32" s="54">
        <v>23.20</v>
      </c>
      <c r="O32" s="54">
        <v>0</v>
      </c>
      <c r="P32" s="54">
        <v>0.80</v>
      </c>
      <c r="Q32" s="54">
        <v>5.04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3.2400000000000002</v>
      </c>
      <c r="C34" s="28">
        <f t="shared" si="0"/>
        <v>42.280000000000001</v>
      </c>
      <c r="D34" s="28">
        <f t="shared" si="0"/>
        <v>26.579999999999998</v>
      </c>
      <c r="E34" s="28">
        <f t="shared" si="0"/>
        <v>2.1000000000000001</v>
      </c>
      <c r="F34" s="28">
        <f t="shared" si="0"/>
        <v>3.3999999999999999</v>
      </c>
      <c r="G34" s="28">
        <f t="shared" si="0"/>
        <v>58.960000000000001</v>
      </c>
      <c r="H34" s="28">
        <f t="shared" si="0"/>
        <v>25.559999999999999</v>
      </c>
      <c r="I34" s="28">
        <f t="shared" si="0"/>
        <v>1.5</v>
      </c>
      <c r="J34" s="28">
        <f t="shared" si="0"/>
        <v>0.16</v>
      </c>
      <c r="K34" s="28">
        <f t="shared" si="0"/>
        <v>95.340000000000003</v>
      </c>
      <c r="L34" s="28">
        <f t="shared" si="0"/>
        <v>17.609999999999999</v>
      </c>
      <c r="M34" s="28">
        <f t="shared" si="0"/>
        <v>61.530000000000001</v>
      </c>
      <c r="N34" s="28">
        <f t="shared" si="0"/>
        <v>21.5</v>
      </c>
      <c r="O34" s="28">
        <f t="shared" si="0"/>
        <v>0</v>
      </c>
      <c r="P34" s="28">
        <f t="shared" si="0"/>
        <v>0.80000000000000004</v>
      </c>
      <c r="Q34" s="28">
        <f t="shared" si="0"/>
        <v>4.9500000000000002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16.16</v>
      </c>
      <c r="C35" s="29">
        <f t="shared" si="1"/>
        <v>70.269999999999996</v>
      </c>
      <c r="D35" s="29">
        <f t="shared" si="1"/>
        <v>46.810000000000002</v>
      </c>
      <c r="E35" s="29">
        <f t="shared" si="1"/>
        <v>2.3399999999999999</v>
      </c>
      <c r="F35" s="29">
        <f t="shared" si="1"/>
        <v>9.4700000000000006</v>
      </c>
      <c r="G35" s="29">
        <f t="shared" si="1"/>
        <v>93.239999999999995</v>
      </c>
      <c r="H35" s="29">
        <f t="shared" si="1"/>
        <v>39.840000000000003</v>
      </c>
      <c r="I35" s="29">
        <f t="shared" si="1"/>
        <v>1.6000000000000001</v>
      </c>
      <c r="J35" s="29">
        <f t="shared" si="1"/>
        <v>1.1100000000000001</v>
      </c>
      <c r="K35" s="29">
        <f t="shared" si="1"/>
        <v>358.04000000000002</v>
      </c>
      <c r="L35" s="29">
        <f t="shared" si="1"/>
        <v>24.489999999999998</v>
      </c>
      <c r="M35" s="29">
        <f t="shared" si="1"/>
        <v>89.370000000000005</v>
      </c>
      <c r="N35" s="29">
        <f t="shared" si="1"/>
        <v>310.89999999999998</v>
      </c>
      <c r="O35" s="29">
        <f t="shared" si="1"/>
        <v>0</v>
      </c>
      <c r="P35" s="29">
        <f t="shared" si="1"/>
        <v>1.3999999999999999</v>
      </c>
      <c r="Q35" s="29">
        <f t="shared" si="1"/>
        <v>6.2699999999999996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8.6112500000000001</v>
      </c>
      <c r="C36" s="28">
        <f t="shared" si="2"/>
        <v>53.45333333333334</v>
      </c>
      <c r="D36" s="28">
        <f t="shared" si="2"/>
        <v>37.081250000000004</v>
      </c>
      <c r="E36" s="28">
        <f t="shared" si="2"/>
        <v>2.1957142857142862</v>
      </c>
      <c r="F36" s="28">
        <f t="shared" si="2"/>
        <v>4.3583333333333325</v>
      </c>
      <c r="G36" s="28">
        <f t="shared" si="2"/>
        <v>74.427083333333329</v>
      </c>
      <c r="H36" s="28">
        <f t="shared" si="2"/>
        <v>34.446666666666665</v>
      </c>
      <c r="I36" s="28">
        <f t="shared" si="2"/>
        <v>1.5374999999999999</v>
      </c>
      <c r="J36" s="28">
        <f t="shared" si="2"/>
        <v>0.53750000000000009</v>
      </c>
      <c r="K36" s="28">
        <f t="shared" si="2"/>
        <v>216.44583333333335</v>
      </c>
      <c r="L36" s="28">
        <f t="shared" si="2"/>
        <v>21.255000000000003</v>
      </c>
      <c r="M36" s="28">
        <f t="shared" si="2"/>
        <v>72.95083333333335</v>
      </c>
      <c r="N36" s="28">
        <f t="shared" si="2"/>
        <v>98.624999999999986</v>
      </c>
      <c r="O36" s="28">
        <f t="shared" si="2"/>
        <v>0</v>
      </c>
      <c r="P36" s="28">
        <f t="shared" si="2"/>
        <v>1.0041666666666667</v>
      </c>
      <c r="Q36" s="28">
        <f t="shared" si="2"/>
        <v>5.2925000000000004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4.0349767657323614</v>
      </c>
      <c r="C37" s="28">
        <f t="shared" si="3" ref="C37:Q37">STDEV(C9:C32)</f>
        <v>8.5744162770857191</v>
      </c>
      <c r="D37" s="28">
        <f t="shared" si="3"/>
        <v>6.20941382971818</v>
      </c>
      <c r="E37" s="28">
        <f t="shared" si="3"/>
        <v>0.046644552583493447</v>
      </c>
      <c r="F37" s="28">
        <f t="shared" si="3"/>
        <v>1.4628788373456061</v>
      </c>
      <c r="G37" s="28">
        <f t="shared" si="3"/>
        <v>10.437709426867171</v>
      </c>
      <c r="H37" s="28">
        <f t="shared" si="3"/>
        <v>3.3932652821968285</v>
      </c>
      <c r="I37" s="28">
        <f t="shared" si="3"/>
        <v>0.028930200858948971</v>
      </c>
      <c r="J37" s="28">
        <f t="shared" si="3"/>
        <v>0.27601591006443005</v>
      </c>
      <c r="K37" s="28">
        <f t="shared" si="3"/>
        <v>123.17101956282133</v>
      </c>
      <c r="L37" s="28">
        <f t="shared" si="3"/>
        <v>2.0279503467036988</v>
      </c>
      <c r="M37" s="28">
        <f t="shared" si="3"/>
        <v>8.8481110323377479</v>
      </c>
      <c r="N37" s="28">
        <f t="shared" si="3"/>
        <v>104.43825823235801</v>
      </c>
      <c r="O37" s="28">
        <f t="shared" si="3"/>
        <v>0</v>
      </c>
      <c r="P37" s="28">
        <f t="shared" si="3"/>
        <v>0.18339590500066938</v>
      </c>
      <c r="Q37" s="28">
        <f t="shared" si="3"/>
        <v>0.32234534545907501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COUNT(E9:E32)+3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484ac3-d7dd-420b-b4ab-7589f65c7f32}">
  <sheetPr codeName=""/>
  <dimension ref="A1:U119"/>
  <sheetViews>
    <sheetView workbookViewId="0" topLeftCell="A1">
      <pane xSplit="2" ySplit="8" topLeftCell="C18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8.51</v>
      </c>
      <c r="C9" s="54">
        <v>48.47</v>
      </c>
      <c r="D9" s="54">
        <v>34.22</v>
      </c>
      <c r="E9" s="54">
        <v>2.27</v>
      </c>
      <c r="F9" s="54">
        <v>18.62</v>
      </c>
      <c r="G9" s="54">
        <v>57.29</v>
      </c>
      <c r="H9" s="54">
        <v>28.54</v>
      </c>
      <c r="I9" s="54">
        <v>1.54</v>
      </c>
      <c r="J9" s="54">
        <v>0.22</v>
      </c>
      <c r="K9" s="54">
        <v>84.67</v>
      </c>
      <c r="L9" s="54">
        <v>19.62</v>
      </c>
      <c r="M9" s="54">
        <v>82.44</v>
      </c>
      <c r="N9" s="54">
        <v>23.30</v>
      </c>
      <c r="O9" s="54">
        <v>0</v>
      </c>
      <c r="P9" s="54">
        <v>0.71</v>
      </c>
      <c r="Q9" s="54">
        <v>5.0599999999999996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5.90</v>
      </c>
      <c r="C10" s="54">
        <v>46.95</v>
      </c>
      <c r="D10" s="54">
        <v>31.29</v>
      </c>
      <c r="E10" s="54">
        <v>2.25</v>
      </c>
      <c r="F10" s="54">
        <v>24.39</v>
      </c>
      <c r="G10" s="54">
        <v>52.45</v>
      </c>
      <c r="H10" s="54">
        <v>28.54</v>
      </c>
      <c r="I10" s="54">
        <v>1.52</v>
      </c>
      <c r="J10" s="54">
        <v>0.57999999999999996</v>
      </c>
      <c r="K10" s="54">
        <v>344.81</v>
      </c>
      <c r="L10" s="54">
        <v>19.20</v>
      </c>
      <c r="M10" s="54">
        <v>95.93</v>
      </c>
      <c r="N10" s="54">
        <v>23.5</v>
      </c>
      <c r="O10" s="54">
        <v>0</v>
      </c>
      <c r="P10" s="54">
        <v>0.67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5.88</v>
      </c>
      <c r="C11" s="54">
        <v>45.05</v>
      </c>
      <c r="D11" s="54">
        <v>30.22</v>
      </c>
      <c r="E11" s="54">
        <v>2.25</v>
      </c>
      <c r="F11" s="54">
        <v>24.82</v>
      </c>
      <c r="G11" s="54">
        <v>45.01</v>
      </c>
      <c r="H11" s="54">
        <v>26.24</v>
      </c>
      <c r="I11" s="54">
        <v>1.56</v>
      </c>
      <c r="J11" s="54">
        <v>0.91</v>
      </c>
      <c r="K11" s="54">
        <v>344.82</v>
      </c>
      <c r="L11" s="54">
        <v>18.350000000000001</v>
      </c>
      <c r="M11" s="54">
        <v>98.10</v>
      </c>
      <c r="N11" s="54">
        <v>23.10</v>
      </c>
      <c r="O11" s="54">
        <v>0</v>
      </c>
      <c r="P11" s="54">
        <v>0.61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5.81</v>
      </c>
      <c r="C12" s="54">
        <v>44.32</v>
      </c>
      <c r="D12" s="54">
        <v>29.68</v>
      </c>
      <c r="E12" s="54">
        <v>2.27</v>
      </c>
      <c r="F12" s="54">
        <v>25.26</v>
      </c>
      <c r="G12" s="54">
        <v>39.729999999999997</v>
      </c>
      <c r="H12" s="54">
        <v>26.24</v>
      </c>
      <c r="I12" s="54">
        <v>1.51</v>
      </c>
      <c r="J12" s="54">
        <v>0.85</v>
      </c>
      <c r="K12" s="54">
        <v>345.99</v>
      </c>
      <c r="L12" s="54">
        <v>18.09</v>
      </c>
      <c r="M12" s="54">
        <v>97.92</v>
      </c>
      <c r="N12" s="54">
        <v>23.40</v>
      </c>
      <c r="O12" s="54">
        <v>0</v>
      </c>
      <c r="P12" s="54">
        <v>0.55000000000000004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7.01</v>
      </c>
      <c r="C13" s="54">
        <v>42.66</v>
      </c>
      <c r="D13" s="54">
        <v>28.95</v>
      </c>
      <c r="E13" s="54">
        <v>2.57</v>
      </c>
      <c r="F13" s="54">
        <v>18.41</v>
      </c>
      <c r="G13" s="54">
        <v>37.18</v>
      </c>
      <c r="H13" s="54">
        <v>24.15</v>
      </c>
      <c r="I13" s="54">
        <v>1.58</v>
      </c>
      <c r="J13" s="54">
        <v>1.05</v>
      </c>
      <c r="K13" s="54">
        <v>340.83</v>
      </c>
      <c r="L13" s="54">
        <v>17.79</v>
      </c>
      <c r="M13" s="54">
        <v>98.18</v>
      </c>
      <c r="N13" s="54">
        <v>23.80</v>
      </c>
      <c r="O13" s="54">
        <v>0.20</v>
      </c>
      <c r="P13" s="54">
        <v>0.5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8.3800000000000008</v>
      </c>
      <c r="C14" s="54">
        <v>42.57</v>
      </c>
      <c r="D14" s="54">
        <v>30.86</v>
      </c>
      <c r="E14" s="54">
        <v>2.5499999999999998</v>
      </c>
      <c r="F14" s="54">
        <v>9.5399999999999991</v>
      </c>
      <c r="G14" s="54">
        <v>34.72</v>
      </c>
      <c r="H14" s="54">
        <v>24.15</v>
      </c>
      <c r="I14" s="54">
        <v>1.52</v>
      </c>
      <c r="J14" s="54">
        <v>0.62</v>
      </c>
      <c r="K14" s="54">
        <v>345.51</v>
      </c>
      <c r="L14" s="54">
        <v>17.329999999999998</v>
      </c>
      <c r="M14" s="54">
        <v>98.18</v>
      </c>
      <c r="N14" s="54">
        <v>24</v>
      </c>
      <c r="O14" s="54">
        <v>0</v>
      </c>
      <c r="P14" s="54">
        <v>0.43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9.83</v>
      </c>
      <c r="C15" s="54">
        <v>43.35</v>
      </c>
      <c r="D15" s="54">
        <v>32.450000000000003</v>
      </c>
      <c r="E15" s="54">
        <v>2.44</v>
      </c>
      <c r="F15" s="54">
        <v>8.94</v>
      </c>
      <c r="G15" s="54">
        <v>30.90</v>
      </c>
      <c r="H15" s="54">
        <v>18.45</v>
      </c>
      <c r="I15" s="54">
        <v>1.51</v>
      </c>
      <c r="J15" s="54">
        <v>0.68</v>
      </c>
      <c r="K15" s="54">
        <v>340.44</v>
      </c>
      <c r="L15" s="54">
        <v>17.14</v>
      </c>
      <c r="M15" s="54">
        <v>98.18</v>
      </c>
      <c r="N15" s="54">
        <v>30.80</v>
      </c>
      <c r="O15" s="54">
        <v>0.20</v>
      </c>
      <c r="P15" s="54">
        <v>0.43</v>
      </c>
      <c r="Q15" s="54">
        <v>5.40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11.57</v>
      </c>
      <c r="C16" s="54">
        <v>43.55</v>
      </c>
      <c r="D16" s="54">
        <v>33.96</v>
      </c>
      <c r="E16" s="54">
        <v>2.40</v>
      </c>
      <c r="F16" s="54">
        <v>8.0500000000000007</v>
      </c>
      <c r="G16" s="54">
        <v>29.31</v>
      </c>
      <c r="H16" s="54">
        <v>18.80</v>
      </c>
      <c r="I16" s="54">
        <v>1.5</v>
      </c>
      <c r="J16" s="54">
        <v>1.1200000000000001</v>
      </c>
      <c r="K16" s="54">
        <v>346.06</v>
      </c>
      <c r="L16" s="54">
        <v>17.04</v>
      </c>
      <c r="M16" s="54">
        <v>98.18</v>
      </c>
      <c r="N16" s="54">
        <v>76.400000000000006</v>
      </c>
      <c r="O16" s="54">
        <v>0.20</v>
      </c>
      <c r="P16" s="54">
        <v>0.53</v>
      </c>
      <c r="Q16" s="54">
        <v>5.15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14.54</v>
      </c>
      <c r="C17" s="54">
        <v>45.41</v>
      </c>
      <c r="D17" s="54">
        <v>37.369999999999997</v>
      </c>
      <c r="E17" s="54">
        <v>2.39</v>
      </c>
      <c r="F17" s="54">
        <v>7.75</v>
      </c>
      <c r="G17" s="54">
        <v>25.63</v>
      </c>
      <c r="H17" s="54">
        <v>18.80</v>
      </c>
      <c r="I17" s="54">
        <v>1.57</v>
      </c>
      <c r="J17" s="54">
        <v>0.69</v>
      </c>
      <c r="K17" s="54">
        <v>356.05</v>
      </c>
      <c r="L17" s="54">
        <v>16.97</v>
      </c>
      <c r="M17" s="54">
        <v>98.18</v>
      </c>
      <c r="N17" s="54">
        <v>99.80</v>
      </c>
      <c r="O17" s="54">
        <v>0</v>
      </c>
      <c r="P17" s="54">
        <v>0.48</v>
      </c>
      <c r="Q17" s="54">
        <v>5.18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15.71</v>
      </c>
      <c r="C18" s="54">
        <v>44.67</v>
      </c>
      <c r="D18" s="54">
        <v>37.770000000000003</v>
      </c>
      <c r="E18" s="54">
        <v>2.36</v>
      </c>
      <c r="F18" s="54">
        <v>8.73</v>
      </c>
      <c r="G18" s="54">
        <v>22.78</v>
      </c>
      <c r="H18" s="54">
        <v>16.28</v>
      </c>
      <c r="I18" s="54">
        <v>1.53</v>
      </c>
      <c r="J18" s="54">
        <v>0.36</v>
      </c>
      <c r="K18" s="54">
        <v>89.95</v>
      </c>
      <c r="L18" s="54">
        <v>16.52</v>
      </c>
      <c r="M18" s="54">
        <v>98.19</v>
      </c>
      <c r="N18" s="54">
        <v>129.19999999999999</v>
      </c>
      <c r="O18" s="54">
        <v>1</v>
      </c>
      <c r="P18" s="54">
        <v>0.55000000000000004</v>
      </c>
      <c r="Q18" s="54">
        <v>6.61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17.149999999999999</v>
      </c>
      <c r="C19" s="54">
        <v>44.72</v>
      </c>
      <c r="D19" s="54">
        <v>39.08</v>
      </c>
      <c r="E19" s="54">
        <v>2.29</v>
      </c>
      <c r="F19" s="54">
        <v>9.60</v>
      </c>
      <c r="G19" s="54">
        <v>18.600000000000001</v>
      </c>
      <c r="H19" s="54">
        <v>11.56</v>
      </c>
      <c r="I19" s="54">
        <v>1.51</v>
      </c>
      <c r="J19" s="54">
        <v>0.61</v>
      </c>
      <c r="K19" s="54">
        <v>350.37</v>
      </c>
      <c r="L19" s="54">
        <v>16.5</v>
      </c>
      <c r="M19" s="54">
        <v>98.18</v>
      </c>
      <c r="N19" s="54">
        <v>108.5</v>
      </c>
      <c r="O19" s="54">
        <v>0</v>
      </c>
      <c r="P19" s="54">
        <v>0.61</v>
      </c>
      <c r="Q19" s="54">
        <v>5.74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17.73</v>
      </c>
      <c r="C20" s="54">
        <v>42.23</v>
      </c>
      <c r="D20" s="54">
        <v>37.94</v>
      </c>
      <c r="E20" s="54">
        <v>2.2999999999999998</v>
      </c>
      <c r="F20" s="54">
        <v>9.43</v>
      </c>
      <c r="G20" s="54">
        <v>15.46</v>
      </c>
      <c r="H20" s="54">
        <v>8.8800000000000008</v>
      </c>
      <c r="I20" s="54">
        <v>1.49</v>
      </c>
      <c r="J20" s="54">
        <v>0.31</v>
      </c>
      <c r="K20" s="54">
        <v>358.14</v>
      </c>
      <c r="L20" s="54">
        <v>16.66</v>
      </c>
      <c r="M20" s="54">
        <v>98.17</v>
      </c>
      <c r="N20" s="54">
        <v>146.5</v>
      </c>
      <c r="O20" s="54">
        <v>0.20</v>
      </c>
      <c r="P20" s="54">
        <v>0.65</v>
      </c>
      <c r="Q20" s="54">
        <v>5.97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19.010000000000002</v>
      </c>
      <c r="C21" s="54">
        <v>44.64</v>
      </c>
      <c r="D21" s="54">
        <v>40.53</v>
      </c>
      <c r="E21" s="54">
        <v>2.41</v>
      </c>
      <c r="F21" s="54">
        <v>10.24</v>
      </c>
      <c r="G21" s="54">
        <v>13.62</v>
      </c>
      <c r="H21" s="54">
        <v>10.41</v>
      </c>
      <c r="I21" s="54">
        <v>1.57</v>
      </c>
      <c r="J21" s="54">
        <v>0.72</v>
      </c>
      <c r="K21" s="54">
        <v>339.72</v>
      </c>
      <c r="L21" s="54">
        <v>16.84</v>
      </c>
      <c r="M21" s="54">
        <v>98.17</v>
      </c>
      <c r="N21" s="54">
        <v>181.10</v>
      </c>
      <c r="O21" s="54">
        <v>0</v>
      </c>
      <c r="P21" s="54">
        <v>0.51</v>
      </c>
      <c r="Q21" s="54">
        <v>5.16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20.91</v>
      </c>
      <c r="C22" s="54">
        <v>45.82</v>
      </c>
      <c r="D22" s="54">
        <v>42.70</v>
      </c>
      <c r="E22" s="54">
        <v>2.4300000000000002</v>
      </c>
      <c r="F22" s="54">
        <v>8.93</v>
      </c>
      <c r="G22" s="54">
        <v>13.62</v>
      </c>
      <c r="H22" s="54">
        <v>10.41</v>
      </c>
      <c r="I22" s="54">
        <v>1.5</v>
      </c>
      <c r="J22" s="54">
        <v>0.76</v>
      </c>
      <c r="K22" s="54">
        <v>349.05</v>
      </c>
      <c r="L22" s="54">
        <v>17.190000000000001</v>
      </c>
      <c r="M22" s="54">
        <v>98.10</v>
      </c>
      <c r="N22" s="54">
        <v>123.20</v>
      </c>
      <c r="O22" s="54">
        <v>0</v>
      </c>
      <c r="P22" s="54">
        <v>0.55000000000000004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22.57</v>
      </c>
      <c r="C23" s="54">
        <v>48.74</v>
      </c>
      <c r="D23" s="54">
        <v>45.65</v>
      </c>
      <c r="E23" s="54">
        <v>2.5099999999999998</v>
      </c>
      <c r="F23" s="54">
        <v>8.77</v>
      </c>
      <c r="G23" s="54">
        <v>15.89</v>
      </c>
      <c r="H23" s="54">
        <v>9.99</v>
      </c>
      <c r="I23" s="54">
        <v>1.5</v>
      </c>
      <c r="J23" s="54">
        <v>0.74</v>
      </c>
      <c r="K23" s="54">
        <v>337.48</v>
      </c>
      <c r="L23" s="54">
        <v>17.12</v>
      </c>
      <c r="M23" s="54">
        <v>96.47</v>
      </c>
      <c r="N23" s="54">
        <v>89.90</v>
      </c>
      <c r="O23" s="54">
        <v>0</v>
      </c>
      <c r="P23" s="54">
        <v>0.59</v>
      </c>
      <c r="Q23" s="54">
        <v>5.28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23.24</v>
      </c>
      <c r="C24" s="54">
        <v>49.93</v>
      </c>
      <c r="D24" s="54">
        <v>46.75</v>
      </c>
      <c r="E24" s="54">
        <v>2.56</v>
      </c>
      <c r="F24" s="54">
        <v>15.82</v>
      </c>
      <c r="G24" s="54">
        <v>15.89</v>
      </c>
      <c r="H24" s="54">
        <v>10.28</v>
      </c>
      <c r="I24" s="54">
        <v>1.47</v>
      </c>
      <c r="J24" s="54">
        <v>1.06</v>
      </c>
      <c r="K24" s="54">
        <v>354.61</v>
      </c>
      <c r="L24" s="54">
        <v>16.739999999999998</v>
      </c>
      <c r="M24" s="54">
        <v>98.15</v>
      </c>
      <c r="N24" s="54">
        <v>85.40</v>
      </c>
      <c r="O24" s="54">
        <v>0</v>
      </c>
      <c r="P24" s="54">
        <v>0.62</v>
      </c>
      <c r="Q24" s="54">
        <v>6.49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22.45</v>
      </c>
      <c r="C25" s="54">
        <v>50.05</v>
      </c>
      <c r="D25" s="54">
        <v>46.03</v>
      </c>
      <c r="E25" s="54">
        <v>2.66</v>
      </c>
      <c r="F25" s="54">
        <v>15.69</v>
      </c>
      <c r="G25" s="54">
        <v>20.55</v>
      </c>
      <c r="H25" s="54">
        <v>10.89</v>
      </c>
      <c r="I25" s="54">
        <v>1.51</v>
      </c>
      <c r="J25" s="54">
        <v>0.87</v>
      </c>
      <c r="K25" s="54">
        <v>338.54</v>
      </c>
      <c r="L25" s="54">
        <v>16.489999999999998</v>
      </c>
      <c r="M25" s="54">
        <v>98.16</v>
      </c>
      <c r="N25" s="54">
        <v>52.10</v>
      </c>
      <c r="O25" s="54">
        <v>0.60</v>
      </c>
      <c r="P25" s="54">
        <v>0.62</v>
      </c>
      <c r="Q25" s="54">
        <v>6.77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24.08</v>
      </c>
      <c r="C26" s="54">
        <v>49.43</v>
      </c>
      <c r="D26" s="54">
        <v>46.69</v>
      </c>
      <c r="E26" s="54">
        <v>2.52</v>
      </c>
      <c r="F26" s="54">
        <v>6.68</v>
      </c>
      <c r="G26" s="54">
        <v>20.55</v>
      </c>
      <c r="H26" s="54">
        <v>10.89</v>
      </c>
      <c r="I26" s="54">
        <v>1.57</v>
      </c>
      <c r="J26" s="54">
        <v>0.47</v>
      </c>
      <c r="K26" s="54">
        <v>342.90</v>
      </c>
      <c r="L26" s="54">
        <v>15.56</v>
      </c>
      <c r="M26" s="54">
        <v>98.20</v>
      </c>
      <c r="N26" s="54">
        <v>25.60</v>
      </c>
      <c r="O26" s="54">
        <v>1.80</v>
      </c>
      <c r="P26" s="54">
        <v>0.61</v>
      </c>
      <c r="Q26" s="54">
        <v>6.05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26.54</v>
      </c>
      <c r="C27" s="54">
        <v>45.91</v>
      </c>
      <c r="D27" s="54">
        <v>46.74</v>
      </c>
      <c r="E27" s="54">
        <v>2.41</v>
      </c>
      <c r="F27" s="54">
        <v>4.78</v>
      </c>
      <c r="G27" s="54">
        <v>19.440000000000001</v>
      </c>
      <c r="H27" s="54">
        <v>8.26</v>
      </c>
      <c r="I27" s="54">
        <v>1.54</v>
      </c>
      <c r="J27" s="54">
        <v>0.39</v>
      </c>
      <c r="K27" s="54">
        <v>97.34</v>
      </c>
      <c r="L27" s="54">
        <v>15.46</v>
      </c>
      <c r="M27" s="54">
        <v>98.20</v>
      </c>
      <c r="N27" s="54">
        <v>24.30</v>
      </c>
      <c r="O27" s="54">
        <v>0</v>
      </c>
      <c r="P27" s="54">
        <v>0.65</v>
      </c>
      <c r="Q27" s="54">
        <v>7.17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25.85</v>
      </c>
      <c r="C28" s="54">
        <v>44.93</v>
      </c>
      <c r="D28" s="54">
        <v>46.17</v>
      </c>
      <c r="E28" s="54">
        <v>2.31</v>
      </c>
      <c r="F28" s="54">
        <v>5.34</v>
      </c>
      <c r="G28" s="54">
        <v>16.53</v>
      </c>
      <c r="H28" s="54">
        <v>8.06</v>
      </c>
      <c r="I28" s="54">
        <v>1.55</v>
      </c>
      <c r="J28" s="54">
        <v>0.28000000000000003</v>
      </c>
      <c r="K28" s="54">
        <v>328.71</v>
      </c>
      <c r="L28" s="54">
        <v>15.53</v>
      </c>
      <c r="M28" s="54">
        <v>98.20</v>
      </c>
      <c r="N28" s="54">
        <v>24.60</v>
      </c>
      <c r="O28" s="54">
        <v>0</v>
      </c>
      <c r="P28" s="54">
        <v>0.62</v>
      </c>
      <c r="Q28" s="54">
        <v>7.22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25.30</v>
      </c>
      <c r="C29" s="54">
        <v>43.67</v>
      </c>
      <c r="D29" s="54">
        <v>45</v>
      </c>
      <c r="E29" s="54">
        <v>2.25</v>
      </c>
      <c r="F29" s="54">
        <v>5.49</v>
      </c>
      <c r="G29" s="54">
        <v>14.5</v>
      </c>
      <c r="H29" s="54">
        <v>7.75</v>
      </c>
      <c r="I29" s="54">
        <v>1.54</v>
      </c>
      <c r="J29" s="54">
        <v>0.32</v>
      </c>
      <c r="K29" s="54">
        <v>358.15</v>
      </c>
      <c r="L29" s="54">
        <v>15.59</v>
      </c>
      <c r="M29" s="54">
        <v>98.19</v>
      </c>
      <c r="N29" s="54">
        <v>24.80</v>
      </c>
      <c r="O29" s="54">
        <v>0</v>
      </c>
      <c r="P29" s="54">
        <v>0.66</v>
      </c>
      <c r="Q29" s="54">
        <v>7.28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25.26</v>
      </c>
      <c r="C30" s="54">
        <v>43.92</v>
      </c>
      <c r="D30" s="54">
        <v>45.10</v>
      </c>
      <c r="E30" s="54">
        <v>2.29</v>
      </c>
      <c r="F30" s="54">
        <v>5.55</v>
      </c>
      <c r="G30" s="54">
        <v>10.97</v>
      </c>
      <c r="H30" s="54">
        <v>7.42</v>
      </c>
      <c r="I30" s="54">
        <v>1.56</v>
      </c>
      <c r="J30" s="54">
        <v>0.26</v>
      </c>
      <c r="K30" s="54">
        <v>64.040000000000006</v>
      </c>
      <c r="L30" s="54">
        <v>15.76</v>
      </c>
      <c r="M30" s="54">
        <v>98.18</v>
      </c>
      <c r="N30" s="54">
        <v>24.80</v>
      </c>
      <c r="O30" s="54">
        <v>0</v>
      </c>
      <c r="P30" s="54">
        <v>0.54</v>
      </c>
      <c r="Q30" s="54">
        <v>7.27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25.32</v>
      </c>
      <c r="C31" s="54">
        <v>43.70</v>
      </c>
      <c r="D31" s="54">
        <v>45.07</v>
      </c>
      <c r="E31" s="54">
        <v>2.2200000000000002</v>
      </c>
      <c r="F31" s="54">
        <v>6.31</v>
      </c>
      <c r="G31" s="54">
        <v>9.84</v>
      </c>
      <c r="H31" s="54">
        <v>6.64</v>
      </c>
      <c r="I31" s="54">
        <v>1.58</v>
      </c>
      <c r="J31" s="54">
        <v>0.36</v>
      </c>
      <c r="K31" s="54">
        <v>325.45</v>
      </c>
      <c r="L31" s="54">
        <v>15.91</v>
      </c>
      <c r="M31" s="54">
        <v>98.18</v>
      </c>
      <c r="N31" s="54">
        <v>24.80</v>
      </c>
      <c r="O31" s="54">
        <v>0</v>
      </c>
      <c r="P31" s="54">
        <v>0.51</v>
      </c>
      <c r="Q31" s="54">
        <v>8.23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24.67</v>
      </c>
      <c r="C32" s="54">
        <v>42.54</v>
      </c>
      <c r="D32" s="54">
        <v>43.91</v>
      </c>
      <c r="E32" s="54">
        <v>2.25</v>
      </c>
      <c r="F32" s="54">
        <v>6.82</v>
      </c>
      <c r="G32" s="54">
        <v>8.2200000000000006</v>
      </c>
      <c r="H32" s="54">
        <v>7.31</v>
      </c>
      <c r="I32" s="54">
        <v>1.55</v>
      </c>
      <c r="J32" s="54">
        <v>0.40</v>
      </c>
      <c r="K32" s="54">
        <v>85.35</v>
      </c>
      <c r="L32" s="54">
        <v>15.91</v>
      </c>
      <c r="M32" s="54">
        <v>98.18</v>
      </c>
      <c r="N32" s="54">
        <v>24.70</v>
      </c>
      <c r="O32" s="54">
        <v>0</v>
      </c>
      <c r="P32" s="54">
        <v>0.31</v>
      </c>
      <c r="Q32" s="54">
        <v>8.76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5.8099999999999996</v>
      </c>
      <c r="C34" s="28">
        <f t="shared" si="0"/>
        <v>42.229999999999997</v>
      </c>
      <c r="D34" s="28">
        <f t="shared" si="0"/>
        <v>28.949999999999999</v>
      </c>
      <c r="E34" s="28">
        <f t="shared" si="0"/>
        <v>2.2200000000000002</v>
      </c>
      <c r="F34" s="28">
        <f t="shared" si="0"/>
        <v>4.7800000000000002</v>
      </c>
      <c r="G34" s="28">
        <f t="shared" si="0"/>
        <v>8.2200000000000006</v>
      </c>
      <c r="H34" s="28">
        <f t="shared" si="0"/>
        <v>6.6399999999999997</v>
      </c>
      <c r="I34" s="28">
        <f t="shared" si="0"/>
        <v>1.47</v>
      </c>
      <c r="J34" s="28">
        <f t="shared" si="0"/>
        <v>0.22</v>
      </c>
      <c r="K34" s="28">
        <f t="shared" si="0"/>
        <v>64.040000000000006</v>
      </c>
      <c r="L34" s="28">
        <f t="shared" si="0"/>
        <v>15.460000000000001</v>
      </c>
      <c r="M34" s="28">
        <f t="shared" si="0"/>
        <v>82.439999999999998</v>
      </c>
      <c r="N34" s="28">
        <f t="shared" si="0"/>
        <v>23.100000000000001</v>
      </c>
      <c r="O34" s="28">
        <f t="shared" si="0"/>
        <v>0</v>
      </c>
      <c r="P34" s="28">
        <f t="shared" si="0"/>
        <v>0.31</v>
      </c>
      <c r="Q34" s="28">
        <f t="shared" si="0"/>
        <v>5.0599999999999996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26.539999999999999</v>
      </c>
      <c r="C35" s="29">
        <f t="shared" si="1"/>
        <v>50.049999999999997</v>
      </c>
      <c r="D35" s="29">
        <f t="shared" si="1"/>
        <v>46.75</v>
      </c>
      <c r="E35" s="29">
        <f t="shared" si="1"/>
        <v>2.6600000000000001</v>
      </c>
      <c r="F35" s="29">
        <f t="shared" si="1"/>
        <v>25.260000000000002</v>
      </c>
      <c r="G35" s="29">
        <f t="shared" si="1"/>
        <v>57.289999999999999</v>
      </c>
      <c r="H35" s="29">
        <f t="shared" si="1"/>
        <v>28.539999999999999</v>
      </c>
      <c r="I35" s="29">
        <f t="shared" si="1"/>
        <v>1.5800000000000001</v>
      </c>
      <c r="J35" s="29">
        <f t="shared" si="1"/>
        <v>1.1200000000000001</v>
      </c>
      <c r="K35" s="29">
        <f t="shared" si="1"/>
        <v>358.14999999999998</v>
      </c>
      <c r="L35" s="29">
        <f t="shared" si="1"/>
        <v>19.620000000000001</v>
      </c>
      <c r="M35" s="29">
        <f t="shared" si="1"/>
        <v>98.200000000000003</v>
      </c>
      <c r="N35" s="29">
        <f t="shared" si="1"/>
        <v>181.09999999999999</v>
      </c>
      <c r="O35" s="29">
        <f t="shared" si="1"/>
        <v>1.8</v>
      </c>
      <c r="P35" s="29">
        <f t="shared" si="1"/>
        <v>0.70999999999999996</v>
      </c>
      <c r="Q35" s="29">
        <f t="shared" si="1"/>
        <v>8.7599999999999998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17.217500000000001</v>
      </c>
      <c r="C36" s="28">
        <f t="shared" si="2"/>
        <v>45.301249999999989</v>
      </c>
      <c r="D36" s="28">
        <f t="shared" si="2"/>
        <v>39.338749999999997</v>
      </c>
      <c r="E36" s="28">
        <f t="shared" si="2"/>
        <v>2.3816666666666668</v>
      </c>
      <c r="F36" s="28">
        <f t="shared" si="2"/>
        <v>11.415000000000001</v>
      </c>
      <c r="G36" s="28">
        <f t="shared" si="2"/>
        <v>24.528333333333336</v>
      </c>
      <c r="H36" s="28">
        <f t="shared" si="2"/>
        <v>14.955833333333333</v>
      </c>
      <c r="I36" s="28">
        <f t="shared" si="2"/>
        <v>1.5325</v>
      </c>
      <c r="J36" s="28">
        <f t="shared" si="2"/>
        <v>0.60958333333333348</v>
      </c>
      <c r="K36" s="28">
        <f t="shared" si="2"/>
        <v>290.37416666666661</v>
      </c>
      <c r="L36" s="28">
        <f t="shared" si="2"/>
        <v>16.887916666666666</v>
      </c>
      <c r="M36" s="28">
        <f t="shared" si="2"/>
        <v>97.342083333333349</v>
      </c>
      <c r="N36" s="28">
        <f t="shared" si="2"/>
        <v>59.899999999999984</v>
      </c>
      <c r="O36" s="28">
        <f t="shared" si="2"/>
        <v>0.17500000000000002</v>
      </c>
      <c r="P36" s="28">
        <f t="shared" si="2"/>
        <v>0.56291666666666662</v>
      </c>
      <c r="Q36" s="28">
        <f t="shared" si="2"/>
        <v>6.0854166666666663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7.5467161012617572</v>
      </c>
      <c r="C37" s="28">
        <f t="shared" si="3" ref="C37:Q37">STDEV(C9:C32)</f>
        <v>2.4145920755490664</v>
      </c>
      <c r="D37" s="28">
        <f t="shared" si="3"/>
        <v>6.4562327907090618</v>
      </c>
      <c r="E37" s="28">
        <f t="shared" si="3"/>
        <v>0.12613542296887192</v>
      </c>
      <c r="F37" s="28">
        <f t="shared" si="3"/>
        <v>6.4662017612653617</v>
      </c>
      <c r="G37" s="28">
        <f t="shared" si="3"/>
        <v>13.557336427724021</v>
      </c>
      <c r="H37" s="28">
        <f t="shared" si="3"/>
        <v>7.616858257191411</v>
      </c>
      <c r="I37" s="28">
        <f t="shared" si="3"/>
        <v>0.031102914724312054</v>
      </c>
      <c r="J37" s="28">
        <f t="shared" si="3"/>
        <v>0.27424963503866406</v>
      </c>
      <c r="K37" s="28">
        <f t="shared" si="3"/>
        <v>108.41201581553798</v>
      </c>
      <c r="L37" s="28">
        <f t="shared" si="3"/>
        <v>1.1166019070557687</v>
      </c>
      <c r="M37" s="28">
        <f t="shared" si="3"/>
        <v>3.2233320313082827</v>
      </c>
      <c r="N37" s="28">
        <f t="shared" si="3"/>
        <v>48.566646275348106</v>
      </c>
      <c r="O37" s="28">
        <f t="shared" si="3"/>
        <v>0.41833001326703778</v>
      </c>
      <c r="P37" s="28">
        <f t="shared" si="3"/>
        <v>0.091531850796020997</v>
      </c>
      <c r="Q37" s="28">
        <f t="shared" si="3"/>
        <v>1.0916122068504617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d7cbed-ac76-4922-906c-abc41a491c80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21.73</v>
      </c>
      <c r="C9" s="54">
        <v>41.82</v>
      </c>
      <c r="D9" s="54">
        <v>41.15</v>
      </c>
      <c r="E9" s="54">
        <v>2.2200000000000002</v>
      </c>
      <c r="F9" s="54">
        <v>8.94</v>
      </c>
      <c r="G9" s="54">
        <v>7.46</v>
      </c>
      <c r="H9" s="54">
        <v>7.31</v>
      </c>
      <c r="I9" s="54">
        <v>1.49</v>
      </c>
      <c r="J9" s="54">
        <v>0.49</v>
      </c>
      <c r="K9" s="54">
        <v>353.21</v>
      </c>
      <c r="L9" s="54">
        <v>16.02</v>
      </c>
      <c r="M9" s="54">
        <v>98.18</v>
      </c>
      <c r="N9" s="54">
        <v>24.10</v>
      </c>
      <c r="O9" s="54">
        <v>0</v>
      </c>
      <c r="P9" s="54">
        <v>0.22</v>
      </c>
      <c r="Q9" s="54">
        <v>8.6300000000000008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19.22</v>
      </c>
      <c r="C10" s="54">
        <v>38.31</v>
      </c>
      <c r="D10" s="54">
        <v>37.15</v>
      </c>
      <c r="E10" s="54">
        <v>2.21</v>
      </c>
      <c r="F10" s="54">
        <v>8.31</v>
      </c>
      <c r="G10" s="54">
        <v>7.19</v>
      </c>
      <c r="H10" s="54">
        <v>5.14</v>
      </c>
      <c r="I10" s="54">
        <v>1.5</v>
      </c>
      <c r="J10" s="54">
        <v>0.37</v>
      </c>
      <c r="K10" s="54">
        <v>359.97</v>
      </c>
      <c r="L10" s="54">
        <v>16.04</v>
      </c>
      <c r="M10" s="54">
        <v>98.18</v>
      </c>
      <c r="N10" s="54">
        <v>24.10</v>
      </c>
      <c r="O10" s="54">
        <v>0</v>
      </c>
      <c r="P10" s="54">
        <v>0.18</v>
      </c>
      <c r="Q10" s="54">
        <v>8.02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15.93</v>
      </c>
      <c r="C11" s="54">
        <v>37.64</v>
      </c>
      <c r="D11" s="54">
        <v>34.03</v>
      </c>
      <c r="E11" s="54">
        <v>2.25</v>
      </c>
      <c r="F11" s="54">
        <v>8.07</v>
      </c>
      <c r="G11" s="54">
        <v>8.08</v>
      </c>
      <c r="H11" s="54">
        <v>5.31</v>
      </c>
      <c r="I11" s="54">
        <v>1.55</v>
      </c>
      <c r="J11" s="54">
        <v>0.38</v>
      </c>
      <c r="K11" s="54">
        <v>341.69</v>
      </c>
      <c r="L11" s="54">
        <v>16.02</v>
      </c>
      <c r="M11" s="54">
        <v>98.18</v>
      </c>
      <c r="N11" s="54">
        <v>24.10</v>
      </c>
      <c r="O11" s="54">
        <v>0</v>
      </c>
      <c r="P11" s="54">
        <v>0.16</v>
      </c>
      <c r="Q11" s="54">
        <v>6.59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13.68</v>
      </c>
      <c r="C12" s="54">
        <v>37.299999999999997</v>
      </c>
      <c r="D12" s="54">
        <v>32.21</v>
      </c>
      <c r="E12" s="54">
        <v>2.21</v>
      </c>
      <c r="F12" s="54">
        <v>7.38</v>
      </c>
      <c r="G12" s="54">
        <v>8.08</v>
      </c>
      <c r="H12" s="54">
        <v>5.31</v>
      </c>
      <c r="I12" s="54">
        <v>1.53</v>
      </c>
      <c r="J12" s="54">
        <v>0.28000000000000003</v>
      </c>
      <c r="K12" s="54">
        <v>349.32</v>
      </c>
      <c r="L12" s="54">
        <v>16</v>
      </c>
      <c r="M12" s="54">
        <v>98.18</v>
      </c>
      <c r="N12" s="54">
        <v>24.10</v>
      </c>
      <c r="O12" s="54">
        <v>0</v>
      </c>
      <c r="P12" s="54">
        <v>0.17</v>
      </c>
      <c r="Q12" s="54">
        <v>5.71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12.5</v>
      </c>
      <c r="C13" s="54">
        <v>39.22</v>
      </c>
      <c r="D13" s="54">
        <v>32.15</v>
      </c>
      <c r="E13" s="54">
        <v>2.2200000000000002</v>
      </c>
      <c r="F13" s="54">
        <v>7.64</v>
      </c>
      <c r="G13" s="54">
        <v>10.26</v>
      </c>
      <c r="H13" s="54">
        <v>3.82</v>
      </c>
      <c r="I13" s="54">
        <v>1.59</v>
      </c>
      <c r="J13" s="54">
        <v>0.38</v>
      </c>
      <c r="K13" s="54">
        <v>342.81</v>
      </c>
      <c r="L13" s="54">
        <v>16.02</v>
      </c>
      <c r="M13" s="54">
        <v>98.18</v>
      </c>
      <c r="N13" s="54">
        <v>24.10</v>
      </c>
      <c r="O13" s="54">
        <v>0</v>
      </c>
      <c r="P13" s="54">
        <v>0.16</v>
      </c>
      <c r="Q13" s="54">
        <v>5.41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13.97</v>
      </c>
      <c r="C14" s="54">
        <v>39.67</v>
      </c>
      <c r="D14" s="54">
        <v>33.74</v>
      </c>
      <c r="E14" s="54">
        <v>2.2000000000000002</v>
      </c>
      <c r="F14" s="54">
        <v>6.42</v>
      </c>
      <c r="G14" s="54">
        <v>10.76</v>
      </c>
      <c r="H14" s="54">
        <v>3.76</v>
      </c>
      <c r="I14" s="54">
        <v>1.55</v>
      </c>
      <c r="J14" s="54">
        <v>0.46</v>
      </c>
      <c r="K14" s="54">
        <v>95.89</v>
      </c>
      <c r="L14" s="54">
        <v>16.010000000000002</v>
      </c>
      <c r="M14" s="54">
        <v>98.18</v>
      </c>
      <c r="N14" s="54">
        <v>24.10</v>
      </c>
      <c r="O14" s="54">
        <v>0</v>
      </c>
      <c r="P14" s="54">
        <v>0.17</v>
      </c>
      <c r="Q14" s="54">
        <v>6.12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15.18</v>
      </c>
      <c r="C15" s="54">
        <v>40.03</v>
      </c>
      <c r="D15" s="54">
        <v>34.909999999999997</v>
      </c>
      <c r="E15" s="54">
        <v>2.1800000000000002</v>
      </c>
      <c r="F15" s="54">
        <v>6.74</v>
      </c>
      <c r="G15" s="54">
        <v>12.63</v>
      </c>
      <c r="H15" s="54">
        <v>3.66</v>
      </c>
      <c r="I15" s="54">
        <v>1.52</v>
      </c>
      <c r="J15" s="54">
        <v>0.41</v>
      </c>
      <c r="K15" s="54">
        <v>338.34</v>
      </c>
      <c r="L15" s="54">
        <v>16.059999999999999</v>
      </c>
      <c r="M15" s="54">
        <v>98.18</v>
      </c>
      <c r="N15" s="54">
        <v>42.80</v>
      </c>
      <c r="O15" s="54">
        <v>0.20</v>
      </c>
      <c r="P15" s="54">
        <v>0.27</v>
      </c>
      <c r="Q15" s="54">
        <v>6.14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18.68</v>
      </c>
      <c r="C16" s="54">
        <v>40.56</v>
      </c>
      <c r="D16" s="54">
        <v>38.01</v>
      </c>
      <c r="E16" s="54">
        <v>2.2999999999999998</v>
      </c>
      <c r="F16" s="54">
        <v>5.23</v>
      </c>
      <c r="G16" s="54">
        <v>12.84</v>
      </c>
      <c r="H16" s="54">
        <v>5.01</v>
      </c>
      <c r="I16" s="54">
        <v>1.53</v>
      </c>
      <c r="J16" s="54">
        <v>0.35</v>
      </c>
      <c r="K16" s="54">
        <v>358.02</v>
      </c>
      <c r="L16" s="54">
        <v>16.22</v>
      </c>
      <c r="M16" s="54">
        <v>98.18</v>
      </c>
      <c r="N16" s="54">
        <v>62.60</v>
      </c>
      <c r="O16" s="54">
        <v>0</v>
      </c>
      <c r="P16" s="54">
        <v>0.41</v>
      </c>
      <c r="Q16" s="54">
        <v>5.53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20.83</v>
      </c>
      <c r="C17" s="54">
        <v>39.96</v>
      </c>
      <c r="D17" s="54">
        <v>39.40</v>
      </c>
      <c r="E17" s="54">
        <v>2.34</v>
      </c>
      <c r="F17" s="54">
        <v>5.20</v>
      </c>
      <c r="G17" s="54">
        <v>14.49</v>
      </c>
      <c r="H17" s="54">
        <v>5.63</v>
      </c>
      <c r="I17" s="54">
        <v>1.55</v>
      </c>
      <c r="J17" s="54">
        <v>0.32</v>
      </c>
      <c r="K17" s="54">
        <v>89.18</v>
      </c>
      <c r="L17" s="54">
        <v>16.62</v>
      </c>
      <c r="M17" s="54">
        <v>98.15</v>
      </c>
      <c r="N17" s="54">
        <v>93.70</v>
      </c>
      <c r="O17" s="54">
        <v>0</v>
      </c>
      <c r="P17" s="54">
        <v>0.39</v>
      </c>
      <c r="Q17" s="54">
        <v>6.22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21.20</v>
      </c>
      <c r="C18" s="54">
        <v>39.92</v>
      </c>
      <c r="D18" s="54">
        <v>39.60</v>
      </c>
      <c r="E18" s="54">
        <v>2.27</v>
      </c>
      <c r="F18" s="54">
        <v>5.39</v>
      </c>
      <c r="G18" s="54">
        <v>20.13</v>
      </c>
      <c r="H18" s="54">
        <v>5.63</v>
      </c>
      <c r="I18" s="54">
        <v>1.54</v>
      </c>
      <c r="J18" s="54">
        <v>0.89</v>
      </c>
      <c r="K18" s="54">
        <v>97.63</v>
      </c>
      <c r="L18" s="54">
        <v>17.29</v>
      </c>
      <c r="M18" s="54">
        <v>98.15</v>
      </c>
      <c r="N18" s="54">
        <v>180.70</v>
      </c>
      <c r="O18" s="54">
        <v>0</v>
      </c>
      <c r="P18" s="54">
        <v>0.43</v>
      </c>
      <c r="Q18" s="54">
        <v>6.42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21.22</v>
      </c>
      <c r="C19" s="54">
        <v>40.130000000000003</v>
      </c>
      <c r="D19" s="54">
        <v>39.81</v>
      </c>
      <c r="E19" s="54">
        <v>2.3199999999999998</v>
      </c>
      <c r="F19" s="54">
        <v>5.41</v>
      </c>
      <c r="G19" s="54">
        <v>20.13</v>
      </c>
      <c r="H19" s="54">
        <v>6.63</v>
      </c>
      <c r="I19" s="54">
        <v>1.52</v>
      </c>
      <c r="J19" s="54">
        <v>0.33</v>
      </c>
      <c r="K19" s="54">
        <v>357.89</v>
      </c>
      <c r="L19" s="54">
        <v>17.36</v>
      </c>
      <c r="M19" s="54">
        <v>97.81</v>
      </c>
      <c r="N19" s="54">
        <v>125.70</v>
      </c>
      <c r="O19" s="54">
        <v>0</v>
      </c>
      <c r="P19" s="54">
        <v>0.55000000000000004</v>
      </c>
      <c r="Q19" s="54">
        <v>6.17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22.70</v>
      </c>
      <c r="C20" s="54">
        <v>41.40</v>
      </c>
      <c r="D20" s="54">
        <v>41.70</v>
      </c>
      <c r="E20" s="54">
        <v>2.3199999999999998</v>
      </c>
      <c r="F20" s="54">
        <v>5.52</v>
      </c>
      <c r="G20" s="54">
        <v>23.38</v>
      </c>
      <c r="H20" s="54">
        <v>6.74</v>
      </c>
      <c r="I20" s="54">
        <v>1.59</v>
      </c>
      <c r="J20" s="54">
        <v>0.80</v>
      </c>
      <c r="K20" s="54">
        <v>102.05</v>
      </c>
      <c r="L20" s="54">
        <v>17.84</v>
      </c>
      <c r="M20" s="54">
        <v>97.04</v>
      </c>
      <c r="N20" s="54">
        <v>172.70</v>
      </c>
      <c r="O20" s="54">
        <v>0</v>
      </c>
      <c r="P20" s="54">
        <v>0.57999999999999996</v>
      </c>
      <c r="Q20" s="54">
        <v>6.81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21.47</v>
      </c>
      <c r="C21" s="54">
        <v>46.37</v>
      </c>
      <c r="D21" s="54">
        <v>39.520000000000003</v>
      </c>
      <c r="E21" s="54">
        <v>2.31</v>
      </c>
      <c r="F21" s="54">
        <v>7.40</v>
      </c>
      <c r="G21" s="54">
        <v>23.64</v>
      </c>
      <c r="H21" s="54">
        <v>7.09</v>
      </c>
      <c r="I21" s="54">
        <v>1.53</v>
      </c>
      <c r="J21" s="54">
        <v>1.36</v>
      </c>
      <c r="K21" s="54">
        <v>106.14</v>
      </c>
      <c r="L21" s="54">
        <v>17.5</v>
      </c>
      <c r="M21" s="54">
        <v>96.37</v>
      </c>
      <c r="N21" s="54">
        <v>98.30</v>
      </c>
      <c r="O21" s="54">
        <v>0</v>
      </c>
      <c r="P21" s="54">
        <v>0.46</v>
      </c>
      <c r="Q21" s="54">
        <v>6.84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12.78</v>
      </c>
      <c r="C22" s="54">
        <v>46.08</v>
      </c>
      <c r="D22" s="54">
        <v>35.119999999999997</v>
      </c>
      <c r="E22" s="54">
        <v>2.40</v>
      </c>
      <c r="F22" s="54">
        <v>6.52</v>
      </c>
      <c r="G22" s="54">
        <v>23.64</v>
      </c>
      <c r="H22" s="54">
        <v>7.09</v>
      </c>
      <c r="I22" s="54">
        <v>1.57</v>
      </c>
      <c r="J22" s="54">
        <v>1.1200000000000001</v>
      </c>
      <c r="K22" s="54">
        <v>104.36</v>
      </c>
      <c r="L22" s="54">
        <v>17.62</v>
      </c>
      <c r="M22" s="54">
        <v>95.96</v>
      </c>
      <c r="N22" s="54">
        <v>140.19999999999999</v>
      </c>
      <c r="O22" s="54">
        <v>0</v>
      </c>
      <c r="P22" s="54">
        <v>0.43</v>
      </c>
      <c r="Q22" s="54">
        <v>6.13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11.14</v>
      </c>
      <c r="C23" s="54">
        <v>45.58</v>
      </c>
      <c r="D23" s="54">
        <v>34.11</v>
      </c>
      <c r="E23" s="54">
        <v>2.34</v>
      </c>
      <c r="F23" s="54">
        <v>6.62</v>
      </c>
      <c r="G23" s="54">
        <v>23.92</v>
      </c>
      <c r="H23" s="54">
        <v>6.79</v>
      </c>
      <c r="I23" s="54">
        <v>1.55</v>
      </c>
      <c r="J23" s="54">
        <v>1.1299999999999999</v>
      </c>
      <c r="K23" s="54">
        <v>104.54</v>
      </c>
      <c r="L23" s="54">
        <v>17.28</v>
      </c>
      <c r="M23" s="54">
        <v>98.16</v>
      </c>
      <c r="N23" s="54">
        <v>102.80</v>
      </c>
      <c r="O23" s="54">
        <v>0</v>
      </c>
      <c r="P23" s="54">
        <v>0.39</v>
      </c>
      <c r="Q23" s="54">
        <v>5.09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14.16</v>
      </c>
      <c r="C24" s="54">
        <v>43.65</v>
      </c>
      <c r="D24" s="54">
        <v>36.090000000000003</v>
      </c>
      <c r="E24" s="54">
        <v>2.2400000000000002</v>
      </c>
      <c r="F24" s="54">
        <v>5.21</v>
      </c>
      <c r="G24" s="54">
        <v>23.92</v>
      </c>
      <c r="H24" s="54">
        <v>7.17</v>
      </c>
      <c r="I24" s="54">
        <v>1.55</v>
      </c>
      <c r="J24" s="54">
        <v>1.29</v>
      </c>
      <c r="K24" s="54">
        <v>104.64</v>
      </c>
      <c r="L24" s="54">
        <v>16.87</v>
      </c>
      <c r="M24" s="54">
        <v>98.18</v>
      </c>
      <c r="N24" s="54">
        <v>86</v>
      </c>
      <c r="O24" s="54">
        <v>0</v>
      </c>
      <c r="P24" s="54">
        <v>0.44</v>
      </c>
      <c r="Q24" s="54">
        <v>5.43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16.48</v>
      </c>
      <c r="C25" s="54">
        <v>43.82</v>
      </c>
      <c r="D25" s="54">
        <v>38.04</v>
      </c>
      <c r="E25" s="54">
        <v>2.2200000000000002</v>
      </c>
      <c r="F25" s="54">
        <v>5.15</v>
      </c>
      <c r="G25" s="54">
        <v>23.44</v>
      </c>
      <c r="H25" s="54">
        <v>9.52</v>
      </c>
      <c r="I25" s="54">
        <v>1.54</v>
      </c>
      <c r="J25" s="54">
        <v>0.47</v>
      </c>
      <c r="K25" s="54">
        <v>92.08</v>
      </c>
      <c r="L25" s="54">
        <v>16.84</v>
      </c>
      <c r="M25" s="54">
        <v>98.18</v>
      </c>
      <c r="N25" s="54">
        <v>48.20</v>
      </c>
      <c r="O25" s="54">
        <v>0</v>
      </c>
      <c r="P25" s="54">
        <v>0.47</v>
      </c>
      <c r="Q25" s="54">
        <v>5.15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19.78</v>
      </c>
      <c r="C26" s="54">
        <v>42.95</v>
      </c>
      <c r="D26" s="54">
        <v>40.10</v>
      </c>
      <c r="E26" s="54">
        <v>2.2200000000000002</v>
      </c>
      <c r="F26" s="54">
        <v>4.83</v>
      </c>
      <c r="G26" s="54">
        <v>17.61</v>
      </c>
      <c r="H26" s="54">
        <v>11.23</v>
      </c>
      <c r="I26" s="54">
        <v>1.62</v>
      </c>
      <c r="J26" s="54">
        <v>0.37</v>
      </c>
      <c r="K26" s="54">
        <v>83.06</v>
      </c>
      <c r="L26" s="54">
        <v>16.52</v>
      </c>
      <c r="M26" s="54">
        <v>98.18</v>
      </c>
      <c r="N26" s="54">
        <v>26.10</v>
      </c>
      <c r="O26" s="54">
        <v>0.20</v>
      </c>
      <c r="P26" s="54">
        <v>0.51</v>
      </c>
      <c r="Q26" s="54">
        <v>5.57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21.13</v>
      </c>
      <c r="C27" s="54">
        <v>42.63</v>
      </c>
      <c r="D27" s="54">
        <v>41</v>
      </c>
      <c r="E27" s="54">
        <v>2.2400000000000002</v>
      </c>
      <c r="F27" s="54">
        <v>4.97</v>
      </c>
      <c r="G27" s="54">
        <v>15.33</v>
      </c>
      <c r="H27" s="54">
        <v>11.23</v>
      </c>
      <c r="I27" s="54">
        <v>1.52</v>
      </c>
      <c r="J27" s="54">
        <v>0.40</v>
      </c>
      <c r="K27" s="54">
        <v>97.67</v>
      </c>
      <c r="L27" s="54">
        <v>16.190000000000001</v>
      </c>
      <c r="M27" s="54">
        <v>98.21</v>
      </c>
      <c r="N27" s="54">
        <v>24.40</v>
      </c>
      <c r="O27" s="54">
        <v>0</v>
      </c>
      <c r="P27" s="54">
        <v>0.59</v>
      </c>
      <c r="Q27" s="54">
        <v>6.35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21.66</v>
      </c>
      <c r="C28" s="54">
        <v>42.24</v>
      </c>
      <c r="D28" s="54">
        <v>41.17</v>
      </c>
      <c r="E28" s="54">
        <v>2.2999999999999998</v>
      </c>
      <c r="F28" s="54">
        <v>5.13</v>
      </c>
      <c r="G28" s="54">
        <v>14.61</v>
      </c>
      <c r="H28" s="54">
        <v>10.98</v>
      </c>
      <c r="I28" s="54">
        <v>1.53</v>
      </c>
      <c r="J28" s="54">
        <v>0.64</v>
      </c>
      <c r="K28" s="54">
        <v>105.10</v>
      </c>
      <c r="L28" s="54">
        <v>16.14</v>
      </c>
      <c r="M28" s="54">
        <v>98.23</v>
      </c>
      <c r="N28" s="54">
        <v>24.5</v>
      </c>
      <c r="O28" s="54">
        <v>0.40</v>
      </c>
      <c r="P28" s="54">
        <v>0.60</v>
      </c>
      <c r="Q28" s="54">
        <v>7.02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21.56</v>
      </c>
      <c r="C29" s="54">
        <v>41.55</v>
      </c>
      <c r="D29" s="54">
        <v>40.869999999999997</v>
      </c>
      <c r="E29" s="54">
        <v>2.2400000000000002</v>
      </c>
      <c r="F29" s="54">
        <v>5.01</v>
      </c>
      <c r="G29" s="54">
        <v>15.29</v>
      </c>
      <c r="H29" s="54">
        <v>9.52</v>
      </c>
      <c r="I29" s="54">
        <v>1.55</v>
      </c>
      <c r="J29" s="54">
        <v>0.88</v>
      </c>
      <c r="K29" s="54">
        <v>105.27</v>
      </c>
      <c r="L29" s="54">
        <v>16.11</v>
      </c>
      <c r="M29" s="54">
        <v>98.23</v>
      </c>
      <c r="N29" s="54">
        <v>24.60</v>
      </c>
      <c r="O29" s="54">
        <v>0.80</v>
      </c>
      <c r="P29" s="54">
        <v>0.49</v>
      </c>
      <c r="Q29" s="54">
        <v>7.02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21.32</v>
      </c>
      <c r="C30" s="54">
        <v>41</v>
      </c>
      <c r="D30" s="54">
        <v>40.32</v>
      </c>
      <c r="E30" s="54">
        <v>2.23</v>
      </c>
      <c r="F30" s="54">
        <v>5.04</v>
      </c>
      <c r="G30" s="54">
        <v>15.29</v>
      </c>
      <c r="H30" s="54">
        <v>9.52</v>
      </c>
      <c r="I30" s="54">
        <v>1.54</v>
      </c>
      <c r="J30" s="54">
        <v>0.78</v>
      </c>
      <c r="K30" s="54">
        <v>105.78</v>
      </c>
      <c r="L30" s="54">
        <v>16.010000000000002</v>
      </c>
      <c r="M30" s="54">
        <v>98.23</v>
      </c>
      <c r="N30" s="54">
        <v>24.70</v>
      </c>
      <c r="O30" s="54">
        <v>0.40</v>
      </c>
      <c r="P30" s="54">
        <v>0.38</v>
      </c>
      <c r="Q30" s="54">
        <v>7.41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20.29</v>
      </c>
      <c r="C31" s="54">
        <v>38.85</v>
      </c>
      <c r="D31" s="54">
        <v>38.06</v>
      </c>
      <c r="E31" s="54">
        <v>2.2000000000000002</v>
      </c>
      <c r="F31" s="54">
        <v>5.12</v>
      </c>
      <c r="G31" s="54">
        <v>13.68</v>
      </c>
      <c r="H31" s="54">
        <v>7.17</v>
      </c>
      <c r="I31" s="54">
        <v>1.55</v>
      </c>
      <c r="J31" s="54">
        <v>1.30</v>
      </c>
      <c r="K31" s="54">
        <v>106.76</v>
      </c>
      <c r="L31" s="54">
        <v>16</v>
      </c>
      <c r="M31" s="54">
        <v>98.20</v>
      </c>
      <c r="N31" s="54">
        <v>24.70</v>
      </c>
      <c r="O31" s="54">
        <v>0.60</v>
      </c>
      <c r="P31" s="54">
        <v>0.33</v>
      </c>
      <c r="Q31" s="54">
        <v>7.09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17.350000000000001</v>
      </c>
      <c r="C32" s="54">
        <v>38.590000000000003</v>
      </c>
      <c r="D32" s="54">
        <v>35.85</v>
      </c>
      <c r="E32" s="54">
        <v>2.2000000000000002</v>
      </c>
      <c r="F32" s="54">
        <v>5.19</v>
      </c>
      <c r="G32" s="54">
        <v>11.07</v>
      </c>
      <c r="H32" s="54">
        <v>8.2200000000000006</v>
      </c>
      <c r="I32" s="54">
        <v>1.57</v>
      </c>
      <c r="J32" s="54">
        <v>1.05</v>
      </c>
      <c r="K32" s="54">
        <v>107.11</v>
      </c>
      <c r="L32" s="54">
        <v>15.91</v>
      </c>
      <c r="M32" s="54">
        <v>98.20</v>
      </c>
      <c r="N32" s="54">
        <v>24.60</v>
      </c>
      <c r="O32" s="54">
        <v>0.40</v>
      </c>
      <c r="P32" s="54">
        <v>0.28999999999999998</v>
      </c>
      <c r="Q32" s="54">
        <v>6.66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11.140000000000001</v>
      </c>
      <c r="C34" s="28">
        <f t="shared" si="0"/>
        <v>37.299999999999997</v>
      </c>
      <c r="D34" s="28">
        <f t="shared" si="0"/>
        <v>32.149999999999999</v>
      </c>
      <c r="E34" s="28">
        <f t="shared" si="0"/>
        <v>2.1800000000000002</v>
      </c>
      <c r="F34" s="28">
        <f t="shared" si="0"/>
        <v>4.8300000000000001</v>
      </c>
      <c r="G34" s="28">
        <f t="shared" si="0"/>
        <v>7.1900000000000004</v>
      </c>
      <c r="H34" s="28">
        <f t="shared" si="0"/>
        <v>3.6600000000000001</v>
      </c>
      <c r="I34" s="28">
        <f t="shared" si="0"/>
        <v>1.49</v>
      </c>
      <c r="J34" s="28">
        <f t="shared" si="0"/>
        <v>0.28000000000000003</v>
      </c>
      <c r="K34" s="28">
        <f t="shared" si="0"/>
        <v>83.060000000000002</v>
      </c>
      <c r="L34" s="28">
        <f t="shared" si="0"/>
        <v>15.91</v>
      </c>
      <c r="M34" s="28">
        <f t="shared" si="0"/>
        <v>95.959999999999994</v>
      </c>
      <c r="N34" s="28">
        <f t="shared" si="0"/>
        <v>24.100000000000001</v>
      </c>
      <c r="O34" s="28">
        <f t="shared" si="0"/>
        <v>0</v>
      </c>
      <c r="P34" s="28">
        <f t="shared" si="0"/>
        <v>0.16</v>
      </c>
      <c r="Q34" s="28">
        <f t="shared" si="0"/>
        <v>5.0899999999999999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22.699999999999999</v>
      </c>
      <c r="C35" s="29">
        <f t="shared" si="1"/>
        <v>46.369999999999997</v>
      </c>
      <c r="D35" s="29">
        <f t="shared" si="1"/>
        <v>41.700000000000003</v>
      </c>
      <c r="E35" s="29">
        <f t="shared" si="1"/>
        <v>2.3999999999999999</v>
      </c>
      <c r="F35" s="29">
        <f t="shared" si="1"/>
        <v>8.9399999999999995</v>
      </c>
      <c r="G35" s="29">
        <f t="shared" si="1"/>
        <v>23.920000000000002</v>
      </c>
      <c r="H35" s="29">
        <f t="shared" si="1"/>
        <v>11.23</v>
      </c>
      <c r="I35" s="29">
        <f t="shared" si="1"/>
        <v>1.6200000000000001</v>
      </c>
      <c r="J35" s="29">
        <f t="shared" si="1"/>
        <v>1.3600000000000001</v>
      </c>
      <c r="K35" s="29">
        <f t="shared" si="1"/>
        <v>359.97000000000003</v>
      </c>
      <c r="L35" s="29">
        <f t="shared" si="1"/>
        <v>17.84</v>
      </c>
      <c r="M35" s="29">
        <f t="shared" si="1"/>
        <v>98.230000000000004</v>
      </c>
      <c r="N35" s="29">
        <f t="shared" si="1"/>
        <v>180.69999999999999</v>
      </c>
      <c r="O35" s="29">
        <f t="shared" si="1"/>
        <v>0.80000000000000004</v>
      </c>
      <c r="P35" s="29">
        <f t="shared" si="1"/>
        <v>0.59999999999999998</v>
      </c>
      <c r="Q35" s="29">
        <f t="shared" si="1"/>
        <v>8.6300000000000008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18.165000000000006</v>
      </c>
      <c r="C36" s="28">
        <f t="shared" si="2"/>
        <v>41.21958333333334</v>
      </c>
      <c r="D36" s="28">
        <f t="shared" si="2"/>
        <v>37.671250000000001</v>
      </c>
      <c r="E36" s="28">
        <f t="shared" si="2"/>
        <v>2.2575000000000003</v>
      </c>
      <c r="F36" s="28">
        <f t="shared" si="2"/>
        <v>6.1016666666666666</v>
      </c>
      <c r="G36" s="28">
        <f t="shared" si="2"/>
        <v>15.702916666666669</v>
      </c>
      <c r="H36" s="28">
        <f t="shared" si="2"/>
        <v>7.0616666666666674</v>
      </c>
      <c r="I36" s="28">
        <f t="shared" si="2"/>
        <v>1.5449999999999999</v>
      </c>
      <c r="J36" s="28">
        <f t="shared" si="2"/>
        <v>0.67708333333333337</v>
      </c>
      <c r="K36" s="28">
        <f t="shared" si="2"/>
        <v>183.68791666666664</v>
      </c>
      <c r="L36" s="28">
        <f t="shared" si="2"/>
        <v>16.520416666666666</v>
      </c>
      <c r="M36" s="28">
        <f t="shared" si="2"/>
        <v>97.954999999999998</v>
      </c>
      <c r="N36" s="28">
        <f t="shared" si="2"/>
        <v>61.329166666666659</v>
      </c>
      <c r="O36" s="28">
        <f t="shared" si="2"/>
        <v>0.125</v>
      </c>
      <c r="P36" s="28">
        <f t="shared" si="2"/>
        <v>0.37791666666666662</v>
      </c>
      <c r="Q36" s="28">
        <f t="shared" si="2"/>
        <v>6.3970833333333319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3.6262125408343331</v>
      </c>
      <c r="C37" s="28">
        <f t="shared" si="3" ref="C37:Q37">STDEV(C9:C32)</f>
        <v>2.5562565686815422</v>
      </c>
      <c r="D37" s="28">
        <f t="shared" si="3"/>
        <v>3.0348086573878956</v>
      </c>
      <c r="E37" s="28">
        <f t="shared" si="3"/>
        <v>0.057502362900409776</v>
      </c>
      <c r="F37" s="28">
        <f t="shared" si="3"/>
        <v>1.2510575236719681</v>
      </c>
      <c r="G37" s="28">
        <f t="shared" si="3"/>
        <v>5.8223799699515197</v>
      </c>
      <c r="H37" s="28">
        <f t="shared" si="3"/>
        <v>2.2950280223100541</v>
      </c>
      <c r="I37" s="28">
        <f t="shared" si="3"/>
        <v>0.028741728488762476</v>
      </c>
      <c r="J37" s="28">
        <f t="shared" si="3"/>
        <v>0.36325196868513082</v>
      </c>
      <c r="K37" s="28">
        <f t="shared" si="3"/>
        <v>120.47219134213245</v>
      </c>
      <c r="L37" s="28">
        <f t="shared" si="3"/>
        <v>0.63108932163684883</v>
      </c>
      <c r="M37" s="28">
        <f t="shared" si="3"/>
        <v>0.60567605059212248</v>
      </c>
      <c r="N37" s="28">
        <f t="shared" si="3"/>
        <v>51.048293240358419</v>
      </c>
      <c r="O37" s="28">
        <f t="shared" si="3"/>
        <v>0.22698400633180035</v>
      </c>
      <c r="P37" s="28">
        <f t="shared" si="3"/>
        <v>0.14563143373857751</v>
      </c>
      <c r="Q37" s="28">
        <f t="shared" si="3"/>
        <v>0.87863767655768221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08beac-bd86-4f0a-b0c9-2b46b55b027c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15.14</v>
      </c>
      <c r="C9" s="54">
        <v>37.590000000000003</v>
      </c>
      <c r="D9" s="54">
        <v>33.53</v>
      </c>
      <c r="E9" s="54">
        <v>2.16</v>
      </c>
      <c r="F9" s="54">
        <v>4.84</v>
      </c>
      <c r="G9" s="54">
        <v>8.69</v>
      </c>
      <c r="H9" s="54">
        <v>8.2200000000000006</v>
      </c>
      <c r="I9" s="54">
        <v>1.58</v>
      </c>
      <c r="J9" s="54">
        <v>1.02</v>
      </c>
      <c r="K9" s="54">
        <v>107.91</v>
      </c>
      <c r="L9" s="54">
        <v>15.91</v>
      </c>
      <c r="M9" s="54">
        <v>98.21</v>
      </c>
      <c r="N9" s="54">
        <v>24.70</v>
      </c>
      <c r="O9" s="54">
        <v>0.80</v>
      </c>
      <c r="P9" s="54">
        <v>0.25</v>
      </c>
      <c r="Q9" s="54">
        <v>6.22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13.45</v>
      </c>
      <c r="C10" s="54">
        <v>37.68</v>
      </c>
      <c r="D10" s="54">
        <v>31.70</v>
      </c>
      <c r="E10" s="54">
        <v>2.14</v>
      </c>
      <c r="F10" s="54">
        <v>4.67</v>
      </c>
      <c r="G10" s="54">
        <v>8.69</v>
      </c>
      <c r="H10" s="54">
        <v>7.67</v>
      </c>
      <c r="I10" s="54">
        <v>1.53</v>
      </c>
      <c r="J10" s="54">
        <v>0.76</v>
      </c>
      <c r="K10" s="54">
        <v>148.90</v>
      </c>
      <c r="L10" s="54">
        <v>15.97</v>
      </c>
      <c r="M10" s="54">
        <v>98.23</v>
      </c>
      <c r="N10" s="54">
        <v>24.60</v>
      </c>
      <c r="O10" s="54">
        <v>0.60</v>
      </c>
      <c r="P10" s="54">
        <v>0.23</v>
      </c>
      <c r="Q10" s="54">
        <v>5.53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13.56</v>
      </c>
      <c r="C11" s="54">
        <v>37.630000000000003</v>
      </c>
      <c r="D11" s="54">
        <v>32.22</v>
      </c>
      <c r="E11" s="54">
        <v>2.12</v>
      </c>
      <c r="F11" s="54">
        <v>5.63</v>
      </c>
      <c r="G11" s="54">
        <v>6.17</v>
      </c>
      <c r="H11" s="54">
        <v>5.46</v>
      </c>
      <c r="I11" s="54">
        <v>1.56</v>
      </c>
      <c r="J11" s="54">
        <v>0.21</v>
      </c>
      <c r="K11" s="54">
        <v>343.66</v>
      </c>
      <c r="L11" s="54">
        <v>16.12</v>
      </c>
      <c r="M11" s="54">
        <v>98.23</v>
      </c>
      <c r="N11" s="54">
        <v>24.80</v>
      </c>
      <c r="O11" s="54">
        <v>0.40</v>
      </c>
      <c r="P11" s="54">
        <v>0.24</v>
      </c>
      <c r="Q11" s="54">
        <v>5.62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14.20</v>
      </c>
      <c r="C12" s="54">
        <v>37.42</v>
      </c>
      <c r="D12" s="54">
        <v>32.68</v>
      </c>
      <c r="E12" s="54">
        <v>2.12</v>
      </c>
      <c r="F12" s="54">
        <v>5.07</v>
      </c>
      <c r="G12" s="56" t="s">
        <v>14</v>
      </c>
      <c r="H12" s="56" t="s">
        <v>14</v>
      </c>
      <c r="I12" s="54">
        <v>1.53</v>
      </c>
      <c r="J12" s="54">
        <v>0.08</v>
      </c>
      <c r="K12" s="54">
        <v>354.05</v>
      </c>
      <c r="L12" s="54">
        <v>16.02</v>
      </c>
      <c r="M12" s="54">
        <v>98.23</v>
      </c>
      <c r="N12" s="54">
        <v>24.70</v>
      </c>
      <c r="O12" s="54">
        <v>0.40</v>
      </c>
      <c r="P12" s="54">
        <v>0.25</v>
      </c>
      <c r="Q12" s="54">
        <v>5.86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15.45</v>
      </c>
      <c r="C13" s="54">
        <v>37.32</v>
      </c>
      <c r="D13" s="54">
        <v>33.46</v>
      </c>
      <c r="E13" s="54">
        <v>2.21</v>
      </c>
      <c r="F13" s="54">
        <v>5.19</v>
      </c>
      <c r="G13" s="56" t="s">
        <v>14</v>
      </c>
      <c r="H13" s="56" t="s">
        <v>14</v>
      </c>
      <c r="I13" s="54">
        <v>1.56</v>
      </c>
      <c r="J13" s="54">
        <v>0.78</v>
      </c>
      <c r="K13" s="54">
        <v>304.44</v>
      </c>
      <c r="L13" s="54">
        <v>15.98</v>
      </c>
      <c r="M13" s="54">
        <v>98.23</v>
      </c>
      <c r="N13" s="54">
        <v>24.90</v>
      </c>
      <c r="O13" s="54">
        <v>0.40</v>
      </c>
      <c r="P13" s="54">
        <v>0.27</v>
      </c>
      <c r="Q13" s="54">
        <v>6.21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15.14</v>
      </c>
      <c r="C14" s="54">
        <v>36.51</v>
      </c>
      <c r="D14" s="54">
        <v>32.729999999999997</v>
      </c>
      <c r="E14" s="54">
        <v>2.2000000000000002</v>
      </c>
      <c r="F14" s="54">
        <v>4.84</v>
      </c>
      <c r="G14" s="56" t="s">
        <v>14</v>
      </c>
      <c r="H14" s="56" t="s">
        <v>14</v>
      </c>
      <c r="I14" s="54">
        <v>1.60</v>
      </c>
      <c r="J14" s="54">
        <v>0.34</v>
      </c>
      <c r="K14" s="54">
        <v>104.43</v>
      </c>
      <c r="L14" s="54">
        <v>15.86</v>
      </c>
      <c r="M14" s="54">
        <v>98.21</v>
      </c>
      <c r="N14" s="54">
        <v>24.80</v>
      </c>
      <c r="O14" s="54">
        <v>0.20</v>
      </c>
      <c r="P14" s="54">
        <v>0.25</v>
      </c>
      <c r="Q14" s="54">
        <v>6.03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18.41</v>
      </c>
      <c r="C15" s="54">
        <v>37.78</v>
      </c>
      <c r="D15" s="54">
        <v>36.26</v>
      </c>
      <c r="E15" s="54">
        <v>2.23</v>
      </c>
      <c r="F15" s="54">
        <v>4.2699999999999996</v>
      </c>
      <c r="G15" s="56" t="s">
        <v>14</v>
      </c>
      <c r="H15" s="56" t="s">
        <v>14</v>
      </c>
      <c r="I15" s="54">
        <v>1.58</v>
      </c>
      <c r="J15" s="54">
        <v>0.27</v>
      </c>
      <c r="K15" s="54">
        <v>341.84</v>
      </c>
      <c r="L15" s="54">
        <v>15.76</v>
      </c>
      <c r="M15" s="54">
        <v>98.21</v>
      </c>
      <c r="N15" s="54">
        <v>30.20</v>
      </c>
      <c r="O15" s="54">
        <v>0.20</v>
      </c>
      <c r="P15" s="54">
        <v>0.52</v>
      </c>
      <c r="Q15" s="54">
        <v>6.08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25.96</v>
      </c>
      <c r="C16" s="54">
        <v>38.97</v>
      </c>
      <c r="D16" s="54">
        <v>42.97</v>
      </c>
      <c r="E16" s="54">
        <v>2.2400000000000002</v>
      </c>
      <c r="F16" s="54">
        <v>3.89</v>
      </c>
      <c r="G16" s="56" t="s">
        <v>14</v>
      </c>
      <c r="H16" s="56" t="s">
        <v>14</v>
      </c>
      <c r="I16" s="54">
        <v>1.54</v>
      </c>
      <c r="J16" s="54">
        <v>0.43</v>
      </c>
      <c r="K16" s="54">
        <v>342.76</v>
      </c>
      <c r="L16" s="54">
        <v>16.07</v>
      </c>
      <c r="M16" s="54">
        <v>98.21</v>
      </c>
      <c r="N16" s="54">
        <v>58</v>
      </c>
      <c r="O16" s="54">
        <v>0</v>
      </c>
      <c r="P16" s="54">
        <v>0.81</v>
      </c>
      <c r="Q16" s="54">
        <v>4.9800000000000004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33.49</v>
      </c>
      <c r="C17" s="54">
        <v>39.200000000000003</v>
      </c>
      <c r="D17" s="54">
        <v>49.03</v>
      </c>
      <c r="E17" s="54">
        <v>2.2400000000000002</v>
      </c>
      <c r="F17" s="54">
        <v>3.92</v>
      </c>
      <c r="G17" s="54">
        <v>6.27</v>
      </c>
      <c r="H17" s="54">
        <v>4.7300000000000004</v>
      </c>
      <c r="I17" s="54">
        <v>1.57</v>
      </c>
      <c r="J17" s="54">
        <v>0.49</v>
      </c>
      <c r="K17" s="54">
        <v>341.14</v>
      </c>
      <c r="L17" s="54">
        <v>16.55</v>
      </c>
      <c r="M17" s="54">
        <v>98.22</v>
      </c>
      <c r="N17" s="54">
        <v>93.90</v>
      </c>
      <c r="O17" s="54">
        <v>0</v>
      </c>
      <c r="P17" s="54">
        <v>0.88</v>
      </c>
      <c r="Q17" s="54">
        <v>6.17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40.15</v>
      </c>
      <c r="C18" s="54">
        <v>41.02</v>
      </c>
      <c r="D18" s="54">
        <v>55.48</v>
      </c>
      <c r="E18" s="54">
        <v>2.27</v>
      </c>
      <c r="F18" s="54">
        <v>3.85</v>
      </c>
      <c r="G18" s="54">
        <v>8.26</v>
      </c>
      <c r="H18" s="54">
        <v>4.33</v>
      </c>
      <c r="I18" s="54">
        <v>1.53</v>
      </c>
      <c r="J18" s="54">
        <v>0.89</v>
      </c>
      <c r="K18" s="54">
        <v>347.25</v>
      </c>
      <c r="L18" s="54">
        <v>17.11</v>
      </c>
      <c r="M18" s="54">
        <v>98.23</v>
      </c>
      <c r="N18" s="54">
        <v>123.60</v>
      </c>
      <c r="O18" s="54">
        <v>0</v>
      </c>
      <c r="P18" s="54">
        <v>1.0900000000000001</v>
      </c>
      <c r="Q18" s="54">
        <v>7.39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42.17</v>
      </c>
      <c r="C19" s="54">
        <v>41.87</v>
      </c>
      <c r="D19" s="54">
        <v>57.57</v>
      </c>
      <c r="E19" s="54">
        <v>2.31</v>
      </c>
      <c r="F19" s="54">
        <v>4.3899999999999997</v>
      </c>
      <c r="G19" s="54">
        <v>8.76</v>
      </c>
      <c r="H19" s="54">
        <v>3.96</v>
      </c>
      <c r="I19" s="54">
        <v>1.54</v>
      </c>
      <c r="J19" s="54">
        <v>0.97</v>
      </c>
      <c r="K19" s="54">
        <v>346</v>
      </c>
      <c r="L19" s="54">
        <v>17.18</v>
      </c>
      <c r="M19" s="54">
        <v>98.22</v>
      </c>
      <c r="N19" s="54">
        <v>105.40</v>
      </c>
      <c r="O19" s="54">
        <v>0</v>
      </c>
      <c r="P19" s="54">
        <v>1.18</v>
      </c>
      <c r="Q19" s="54">
        <v>8.15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45.42</v>
      </c>
      <c r="C20" s="54">
        <v>42.31</v>
      </c>
      <c r="D20" s="54">
        <v>59.68</v>
      </c>
      <c r="E20" s="54">
        <v>2.39</v>
      </c>
      <c r="F20" s="54">
        <v>3.68</v>
      </c>
      <c r="G20" s="54">
        <v>22.23</v>
      </c>
      <c r="H20" s="54">
        <v>12.35</v>
      </c>
      <c r="I20" s="54">
        <v>1.56</v>
      </c>
      <c r="J20" s="54">
        <v>1.0900000000000001</v>
      </c>
      <c r="K20" s="54">
        <v>330.66</v>
      </c>
      <c r="L20" s="54">
        <v>17.12</v>
      </c>
      <c r="M20" s="54">
        <v>98.22</v>
      </c>
      <c r="N20" s="54">
        <v>109.80</v>
      </c>
      <c r="O20" s="54">
        <v>0</v>
      </c>
      <c r="P20" s="54">
        <v>1.1399999999999999</v>
      </c>
      <c r="Q20" s="54">
        <v>7.78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48.13</v>
      </c>
      <c r="C21" s="54">
        <v>41.22</v>
      </c>
      <c r="D21" s="54">
        <v>61.99</v>
      </c>
      <c r="E21" s="54">
        <v>2.61</v>
      </c>
      <c r="F21" s="54">
        <v>3.86</v>
      </c>
      <c r="G21" s="54">
        <v>37.450000000000003</v>
      </c>
      <c r="H21" s="54">
        <v>21.32</v>
      </c>
      <c r="I21" s="54">
        <v>1.53</v>
      </c>
      <c r="J21" s="54">
        <v>1.21</v>
      </c>
      <c r="K21" s="54">
        <v>339.57</v>
      </c>
      <c r="L21" s="54">
        <v>17.149999999999999</v>
      </c>
      <c r="M21" s="54">
        <v>98.20</v>
      </c>
      <c r="N21" s="54">
        <v>97.40</v>
      </c>
      <c r="O21" s="54">
        <v>0</v>
      </c>
      <c r="P21" s="54">
        <v>1.1200000000000001</v>
      </c>
      <c r="Q21" s="54">
        <v>8.56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47.62</v>
      </c>
      <c r="C22" s="54">
        <v>41.27</v>
      </c>
      <c r="D22" s="54">
        <v>61.55</v>
      </c>
      <c r="E22" s="54">
        <v>2.57</v>
      </c>
      <c r="F22" s="54">
        <v>6.26</v>
      </c>
      <c r="G22" s="54">
        <v>37.450000000000003</v>
      </c>
      <c r="H22" s="54">
        <v>21.32</v>
      </c>
      <c r="I22" s="54">
        <v>1.54</v>
      </c>
      <c r="J22" s="54">
        <v>1.28</v>
      </c>
      <c r="K22" s="54">
        <v>337.51</v>
      </c>
      <c r="L22" s="54">
        <v>16.98</v>
      </c>
      <c r="M22" s="54">
        <v>98.20</v>
      </c>
      <c r="N22" s="54">
        <v>77.099999999999994</v>
      </c>
      <c r="O22" s="54">
        <v>0</v>
      </c>
      <c r="P22" s="54">
        <v>0.91</v>
      </c>
      <c r="Q22" s="54">
        <v>10.77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40.97</v>
      </c>
      <c r="C23" s="54">
        <v>41.04</v>
      </c>
      <c r="D23" s="54">
        <v>56.14</v>
      </c>
      <c r="E23" s="54">
        <v>2.41</v>
      </c>
      <c r="F23" s="54">
        <v>6.07</v>
      </c>
      <c r="G23" s="54">
        <v>37.200000000000003</v>
      </c>
      <c r="H23" s="54">
        <v>19.70</v>
      </c>
      <c r="I23" s="54">
        <v>1.61</v>
      </c>
      <c r="J23" s="54">
        <v>1.1599999999999999</v>
      </c>
      <c r="K23" s="54">
        <v>343.90</v>
      </c>
      <c r="L23" s="54">
        <v>17.21</v>
      </c>
      <c r="M23" s="54">
        <v>98.20</v>
      </c>
      <c r="N23" s="54">
        <v>131.69999999999999</v>
      </c>
      <c r="O23" s="54">
        <v>0</v>
      </c>
      <c r="P23" s="54">
        <v>0.80</v>
      </c>
      <c r="Q23" s="54">
        <v>10.37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37.93</v>
      </c>
      <c r="C24" s="54">
        <v>44.23</v>
      </c>
      <c r="D24" s="54">
        <v>53.85</v>
      </c>
      <c r="E24" s="54">
        <v>2.40</v>
      </c>
      <c r="F24" s="54">
        <v>5.86</v>
      </c>
      <c r="G24" s="54">
        <v>31.56</v>
      </c>
      <c r="H24" s="54">
        <v>14.84</v>
      </c>
      <c r="I24" s="54">
        <v>1.59</v>
      </c>
      <c r="J24" s="54">
        <v>0.97</v>
      </c>
      <c r="K24" s="54">
        <v>331.94</v>
      </c>
      <c r="L24" s="54">
        <v>17.77</v>
      </c>
      <c r="M24" s="54">
        <v>98.19</v>
      </c>
      <c r="N24" s="54">
        <v>100.70</v>
      </c>
      <c r="O24" s="54">
        <v>0</v>
      </c>
      <c r="P24" s="54">
        <v>0.73</v>
      </c>
      <c r="Q24" s="54">
        <v>8.9700000000000006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35.19</v>
      </c>
      <c r="C25" s="54">
        <v>44.15</v>
      </c>
      <c r="D25" s="54">
        <v>53.23</v>
      </c>
      <c r="E25" s="54">
        <v>2.2599999999999998</v>
      </c>
      <c r="F25" s="54">
        <v>6.15</v>
      </c>
      <c r="G25" s="54">
        <v>29.05</v>
      </c>
      <c r="H25" s="54">
        <v>14.84</v>
      </c>
      <c r="I25" s="54">
        <v>1.51</v>
      </c>
      <c r="J25" s="54">
        <v>0.83</v>
      </c>
      <c r="K25" s="54">
        <v>332.12</v>
      </c>
      <c r="L25" s="54">
        <v>17.71</v>
      </c>
      <c r="M25" s="54">
        <v>98.18</v>
      </c>
      <c r="N25" s="54">
        <v>57</v>
      </c>
      <c r="O25" s="54">
        <v>0</v>
      </c>
      <c r="P25" s="54">
        <v>0.71</v>
      </c>
      <c r="Q25" s="54">
        <v>9.1999999999999993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37.450000000000003</v>
      </c>
      <c r="C26" s="54">
        <v>43.95</v>
      </c>
      <c r="D26" s="54">
        <v>54.84</v>
      </c>
      <c r="E26" s="54">
        <v>2.27</v>
      </c>
      <c r="F26" s="54">
        <v>5.17</v>
      </c>
      <c r="G26" s="54">
        <v>31.47</v>
      </c>
      <c r="H26" s="54">
        <v>13.67</v>
      </c>
      <c r="I26" s="54">
        <v>1.59</v>
      </c>
      <c r="J26" s="54">
        <v>0.42</v>
      </c>
      <c r="K26" s="54">
        <v>330.41</v>
      </c>
      <c r="L26" s="54">
        <v>17.420000000000002</v>
      </c>
      <c r="M26" s="54">
        <v>98.18</v>
      </c>
      <c r="N26" s="54">
        <v>26.5</v>
      </c>
      <c r="O26" s="54">
        <v>0</v>
      </c>
      <c r="P26" s="54">
        <v>1.1399999999999999</v>
      </c>
      <c r="Q26" s="54">
        <v>7.34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43.71</v>
      </c>
      <c r="C27" s="54">
        <v>43.53</v>
      </c>
      <c r="D27" s="54">
        <v>58.61</v>
      </c>
      <c r="E27" s="54">
        <v>2.29</v>
      </c>
      <c r="F27" s="54">
        <v>3.54</v>
      </c>
      <c r="G27" s="54">
        <v>38.92</v>
      </c>
      <c r="H27" s="54">
        <v>11.26</v>
      </c>
      <c r="I27" s="54">
        <v>1.58</v>
      </c>
      <c r="J27" s="54">
        <v>0.09</v>
      </c>
      <c r="K27" s="54">
        <v>347.79</v>
      </c>
      <c r="L27" s="54">
        <v>17.079999999999998</v>
      </c>
      <c r="M27" s="54">
        <v>98.22</v>
      </c>
      <c r="N27" s="54">
        <v>24.90</v>
      </c>
      <c r="O27" s="54">
        <v>0</v>
      </c>
      <c r="P27" s="54">
        <v>1.70</v>
      </c>
      <c r="Q27" s="54">
        <v>6.69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48.63</v>
      </c>
      <c r="C28" s="54">
        <v>42.38</v>
      </c>
      <c r="D28" s="54">
        <v>63.03</v>
      </c>
      <c r="E28" s="54">
        <v>2.40</v>
      </c>
      <c r="F28" s="54">
        <v>3.64</v>
      </c>
      <c r="G28" s="54">
        <v>46.17</v>
      </c>
      <c r="H28" s="54">
        <v>17.600000000000001</v>
      </c>
      <c r="I28" s="54">
        <v>1.52</v>
      </c>
      <c r="J28" s="54">
        <v>0.62</v>
      </c>
      <c r="K28" s="54">
        <v>351.32</v>
      </c>
      <c r="L28" s="54">
        <v>17.05</v>
      </c>
      <c r="M28" s="54">
        <v>98.22</v>
      </c>
      <c r="N28" s="54">
        <v>24.60</v>
      </c>
      <c r="O28" s="54">
        <v>0</v>
      </c>
      <c r="P28" s="54">
        <v>1.79</v>
      </c>
      <c r="Q28" s="54">
        <v>6.89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54.86</v>
      </c>
      <c r="C29" s="54">
        <v>43.88</v>
      </c>
      <c r="D29" s="54">
        <v>68.849999999999994</v>
      </c>
      <c r="E29" s="54">
        <v>2.68</v>
      </c>
      <c r="F29" s="54">
        <v>3.54</v>
      </c>
      <c r="G29" s="54">
        <v>58.72</v>
      </c>
      <c r="H29" s="54">
        <v>25.19</v>
      </c>
      <c r="I29" s="54">
        <v>1.59</v>
      </c>
      <c r="J29" s="54">
        <v>0.52</v>
      </c>
      <c r="K29" s="54">
        <v>351.80</v>
      </c>
      <c r="L29" s="54">
        <v>16.920000000000002</v>
      </c>
      <c r="M29" s="54">
        <v>98.21</v>
      </c>
      <c r="N29" s="54">
        <v>24.60</v>
      </c>
      <c r="O29" s="54">
        <v>0</v>
      </c>
      <c r="P29" s="54">
        <v>2.11</v>
      </c>
      <c r="Q29" s="54">
        <v>8.67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53.90</v>
      </c>
      <c r="C30" s="54">
        <v>42.76</v>
      </c>
      <c r="D30" s="54">
        <v>67.47</v>
      </c>
      <c r="E30" s="54">
        <v>2.44</v>
      </c>
      <c r="F30" s="54">
        <v>3.54</v>
      </c>
      <c r="G30" s="54">
        <v>58.72</v>
      </c>
      <c r="H30" s="54">
        <v>25.19</v>
      </c>
      <c r="I30" s="54">
        <v>1.5</v>
      </c>
      <c r="J30" s="54">
        <v>0.27</v>
      </c>
      <c r="K30" s="54">
        <v>104.57</v>
      </c>
      <c r="L30" s="54">
        <v>16.32</v>
      </c>
      <c r="M30" s="54">
        <v>98.22</v>
      </c>
      <c r="N30" s="54">
        <v>24.5</v>
      </c>
      <c r="O30" s="54">
        <v>0</v>
      </c>
      <c r="P30" s="54">
        <v>1.23</v>
      </c>
      <c r="Q30" s="54">
        <v>11.18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51.24</v>
      </c>
      <c r="C31" s="54">
        <v>42.83</v>
      </c>
      <c r="D31" s="54">
        <v>65.05</v>
      </c>
      <c r="E31" s="54">
        <v>2.4300000000000002</v>
      </c>
      <c r="F31" s="54">
        <v>3.66</v>
      </c>
      <c r="G31" s="54">
        <v>48.16</v>
      </c>
      <c r="H31" s="54">
        <v>21.30</v>
      </c>
      <c r="I31" s="54">
        <v>1.49</v>
      </c>
      <c r="J31" s="54">
        <v>0.35</v>
      </c>
      <c r="K31" s="54">
        <v>106.30</v>
      </c>
      <c r="L31" s="54">
        <v>16.46</v>
      </c>
      <c r="M31" s="54">
        <v>98.23</v>
      </c>
      <c r="N31" s="54">
        <v>24.90</v>
      </c>
      <c r="O31" s="54">
        <v>0</v>
      </c>
      <c r="P31" s="54">
        <v>1.0900000000000001</v>
      </c>
      <c r="Q31" s="54">
        <v>11.74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46.26</v>
      </c>
      <c r="C32" s="54">
        <v>42.46</v>
      </c>
      <c r="D32" s="54">
        <v>61.17</v>
      </c>
      <c r="E32" s="54">
        <v>2.38</v>
      </c>
      <c r="F32" s="54">
        <v>3.41</v>
      </c>
      <c r="G32" s="54">
        <v>46.98</v>
      </c>
      <c r="H32" s="54">
        <v>19.97</v>
      </c>
      <c r="I32" s="54">
        <v>1.55</v>
      </c>
      <c r="J32" s="54">
        <v>0.78</v>
      </c>
      <c r="K32" s="54">
        <v>113.25</v>
      </c>
      <c r="L32" s="54">
        <v>16.5</v>
      </c>
      <c r="M32" s="54">
        <v>98.23</v>
      </c>
      <c r="N32" s="54">
        <v>24.90</v>
      </c>
      <c r="O32" s="54">
        <v>0</v>
      </c>
      <c r="P32" s="54">
        <v>0.81</v>
      </c>
      <c r="Q32" s="54">
        <v>11.99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13.449999999999999</v>
      </c>
      <c r="C34" s="28">
        <f t="shared" si="0"/>
        <v>36.509999999999998</v>
      </c>
      <c r="D34" s="28">
        <f t="shared" si="0"/>
        <v>31.699999999999999</v>
      </c>
      <c r="E34" s="28">
        <f t="shared" si="0"/>
        <v>2.1200000000000001</v>
      </c>
      <c r="F34" s="28">
        <f t="shared" si="0"/>
        <v>3.4100000000000001</v>
      </c>
      <c r="G34" s="28">
        <f t="shared" si="0"/>
        <v>6.1699999999999999</v>
      </c>
      <c r="H34" s="28">
        <f t="shared" si="0"/>
        <v>3.96</v>
      </c>
      <c r="I34" s="28">
        <f t="shared" si="0"/>
        <v>1.49</v>
      </c>
      <c r="J34" s="28">
        <f t="shared" si="0"/>
        <v>0.080000000000000002</v>
      </c>
      <c r="K34" s="28">
        <f t="shared" si="0"/>
        <v>104.43000000000001</v>
      </c>
      <c r="L34" s="28">
        <f t="shared" si="0"/>
        <v>15.76</v>
      </c>
      <c r="M34" s="28">
        <f t="shared" si="0"/>
        <v>98.180000000000007</v>
      </c>
      <c r="N34" s="28">
        <f t="shared" si="0"/>
        <v>24.5</v>
      </c>
      <c r="O34" s="28">
        <f t="shared" si="0"/>
        <v>0</v>
      </c>
      <c r="P34" s="28">
        <f t="shared" si="0"/>
        <v>0.23000000000000001</v>
      </c>
      <c r="Q34" s="28">
        <f t="shared" si="0"/>
        <v>4.9800000000000004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54.859999999999999</v>
      </c>
      <c r="C35" s="29">
        <f t="shared" si="1"/>
        <v>44.229999999999997</v>
      </c>
      <c r="D35" s="29">
        <f t="shared" si="1"/>
        <v>68.849999999999994</v>
      </c>
      <c r="E35" s="29">
        <f t="shared" si="1"/>
        <v>2.6800000000000002</v>
      </c>
      <c r="F35" s="29">
        <f t="shared" si="1"/>
        <v>6.2599999999999998</v>
      </c>
      <c r="G35" s="29">
        <f t="shared" si="1"/>
        <v>58.719999999999999</v>
      </c>
      <c r="H35" s="29">
        <f t="shared" si="1"/>
        <v>25.190000000000001</v>
      </c>
      <c r="I35" s="29">
        <f t="shared" si="1"/>
        <v>1.6100000000000001</v>
      </c>
      <c r="J35" s="29">
        <f t="shared" si="1"/>
        <v>1.28</v>
      </c>
      <c r="K35" s="29">
        <f t="shared" si="1"/>
        <v>354.05000000000001</v>
      </c>
      <c r="L35" s="29">
        <f t="shared" si="1"/>
        <v>17.77</v>
      </c>
      <c r="M35" s="29">
        <f t="shared" si="1"/>
        <v>98.230000000000004</v>
      </c>
      <c r="N35" s="29">
        <f t="shared" si="1"/>
        <v>131.69999999999999</v>
      </c>
      <c r="O35" s="29">
        <f t="shared" si="1"/>
        <v>0.80000000000000004</v>
      </c>
      <c r="P35" s="29">
        <f t="shared" si="1"/>
        <v>2.1099999999999999</v>
      </c>
      <c r="Q35" s="29">
        <f t="shared" si="1"/>
        <v>11.99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34.934583333333336</v>
      </c>
      <c r="C36" s="28">
        <f t="shared" si="2"/>
        <v>40.791666666666664</v>
      </c>
      <c r="D36" s="28">
        <f t="shared" si="2"/>
        <v>50.962083333333332</v>
      </c>
      <c r="E36" s="28">
        <f t="shared" si="2"/>
        <v>2.32375</v>
      </c>
      <c r="F36" s="28">
        <f t="shared" si="2"/>
        <v>4.5391666666666675</v>
      </c>
      <c r="G36" s="28">
        <f t="shared" si="2"/>
        <v>30.048421052631582</v>
      </c>
      <c r="H36" s="28">
        <f t="shared" si="2"/>
        <v>14.364210526315787</v>
      </c>
      <c r="I36" s="28">
        <f t="shared" si="2"/>
        <v>1.5533333333333335</v>
      </c>
      <c r="J36" s="28">
        <f t="shared" si="2"/>
        <v>0.65958333333333319</v>
      </c>
      <c r="K36" s="28">
        <f t="shared" si="2"/>
        <v>283.47999999999996</v>
      </c>
      <c r="L36" s="28">
        <f t="shared" si="2"/>
        <v>16.675833333333333</v>
      </c>
      <c r="M36" s="28">
        <f t="shared" si="2"/>
        <v>98.213750000000005</v>
      </c>
      <c r="N36" s="28">
        <f t="shared" si="2"/>
        <v>54.508333333333333</v>
      </c>
      <c r="O36" s="28">
        <f t="shared" si="2"/>
        <v>0.125</v>
      </c>
      <c r="P36" s="28">
        <f t="shared" si="2"/>
        <v>0.88541666666666663</v>
      </c>
      <c r="Q36" s="28">
        <f t="shared" si="2"/>
        <v>7.8495833333333342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14.534986570391064</v>
      </c>
      <c r="C37" s="28">
        <f t="shared" si="3" ref="C37:Q37">STDEV(C9:C32)</f>
        <v>2.5879816991938558</v>
      </c>
      <c r="D37" s="28">
        <f t="shared" si="3"/>
        <v>12.872805504549952</v>
      </c>
      <c r="E37" s="28">
        <f t="shared" si="3"/>
        <v>0.15133643775146929</v>
      </c>
      <c r="F37" s="28">
        <f t="shared" si="3"/>
        <v>0.94548775848726285</v>
      </c>
      <c r="G37" s="28">
        <f t="shared" si="3"/>
        <v>17.951273016807932</v>
      </c>
      <c r="H37" s="28">
        <f t="shared" si="3"/>
        <v>7.1796783553686989</v>
      </c>
      <c r="I37" s="28">
        <f t="shared" si="3"/>
        <v>0.032659863237109066</v>
      </c>
      <c r="J37" s="28">
        <f t="shared" si="3"/>
        <v>0.36661173830998223</v>
      </c>
      <c r="K37" s="28">
        <f t="shared" si="3"/>
        <v>100.62858764870927</v>
      </c>
      <c r="L37" s="28">
        <f t="shared" si="3"/>
        <v>0.619445170164866</v>
      </c>
      <c r="M37" s="28">
        <f t="shared" si="3"/>
        <v>0.015551457362156025</v>
      </c>
      <c r="N37" s="28">
        <f t="shared" si="3"/>
        <v>38.6969487244112</v>
      </c>
      <c r="O37" s="28">
        <f t="shared" si="3"/>
        <v>0.22698400633180041</v>
      </c>
      <c r="P37" s="28">
        <f t="shared" si="3"/>
        <v>0.51495866585215533</v>
      </c>
      <c r="Q37" s="28">
        <f t="shared" si="3"/>
        <v>2.1109558501894967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COUNT(G9:G32)+5</f>
        <v>24</v>
      </c>
      <c r="H38" s="32">
        <f>COUNT(H9:H32)+5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5720b3-1dc2-45b6-924c-70a5ad97aa3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21" sqref="E2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42.08</v>
      </c>
      <c r="C9" s="54">
        <v>41.59</v>
      </c>
      <c r="D9" s="54">
        <v>57.34</v>
      </c>
      <c r="E9" s="54">
        <v>2.33</v>
      </c>
      <c r="F9" s="54">
        <v>3.69</v>
      </c>
      <c r="G9" s="54">
        <v>43.42</v>
      </c>
      <c r="H9" s="54">
        <v>19.97</v>
      </c>
      <c r="I9" s="54">
        <v>1.52</v>
      </c>
      <c r="J9" s="54">
        <v>0.44</v>
      </c>
      <c r="K9" s="54">
        <v>343.02</v>
      </c>
      <c r="L9" s="54">
        <v>16.53</v>
      </c>
      <c r="M9" s="54">
        <v>98.23</v>
      </c>
      <c r="N9" s="54">
        <v>24.90</v>
      </c>
      <c r="O9" s="54">
        <v>0</v>
      </c>
      <c r="P9" s="54">
        <v>0.53</v>
      </c>
      <c r="Q9" s="54">
        <v>12.21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37.409999999999997</v>
      </c>
      <c r="C10" s="54">
        <v>40.880000000000003</v>
      </c>
      <c r="D10" s="54">
        <v>53.20</v>
      </c>
      <c r="E10" s="54">
        <v>2.3199999999999998</v>
      </c>
      <c r="F10" s="54">
        <v>4.32</v>
      </c>
      <c r="G10" s="54">
        <v>38.31</v>
      </c>
      <c r="H10" s="54">
        <v>18.829999999999998</v>
      </c>
      <c r="I10" s="54">
        <v>1.5</v>
      </c>
      <c r="J10" s="54">
        <v>0.37</v>
      </c>
      <c r="K10" s="54">
        <v>353.17</v>
      </c>
      <c r="L10" s="54">
        <v>16.68</v>
      </c>
      <c r="M10" s="54">
        <v>98.23</v>
      </c>
      <c r="N10" s="54">
        <v>24.90</v>
      </c>
      <c r="O10" s="54">
        <v>0</v>
      </c>
      <c r="P10" s="54">
        <v>0.52</v>
      </c>
      <c r="Q10" s="54">
        <v>11.27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32.78</v>
      </c>
      <c r="C11" s="54">
        <v>38.42</v>
      </c>
      <c r="D11" s="54">
        <v>47.5</v>
      </c>
      <c r="E11" s="54">
        <v>2.35</v>
      </c>
      <c r="F11" s="54">
        <v>4.0999999999999996</v>
      </c>
      <c r="G11" s="54">
        <v>35.83</v>
      </c>
      <c r="H11" s="54">
        <v>15.36</v>
      </c>
      <c r="I11" s="54">
        <v>1.58</v>
      </c>
      <c r="J11" s="54">
        <v>0.55000000000000004</v>
      </c>
      <c r="K11" s="54">
        <v>349.80</v>
      </c>
      <c r="L11" s="54">
        <v>16.61</v>
      </c>
      <c r="M11" s="54">
        <v>98.19</v>
      </c>
      <c r="N11" s="54">
        <v>24.90</v>
      </c>
      <c r="O11" s="54">
        <v>0</v>
      </c>
      <c r="P11" s="54">
        <v>0.43</v>
      </c>
      <c r="Q11" s="54">
        <v>10.48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28.21</v>
      </c>
      <c r="C12" s="54">
        <v>38.43</v>
      </c>
      <c r="D12" s="54">
        <v>44.43</v>
      </c>
      <c r="E12" s="54">
        <v>2.36</v>
      </c>
      <c r="F12" s="54">
        <v>3.53</v>
      </c>
      <c r="G12" s="54">
        <v>31.42</v>
      </c>
      <c r="H12" s="54">
        <v>13.25</v>
      </c>
      <c r="I12" s="54">
        <v>1.48</v>
      </c>
      <c r="J12" s="54">
        <v>0.39</v>
      </c>
      <c r="K12" s="54">
        <v>345.42</v>
      </c>
      <c r="L12" s="54">
        <v>16.579999999999998</v>
      </c>
      <c r="M12" s="54">
        <v>98.21</v>
      </c>
      <c r="N12" s="54">
        <v>24.90</v>
      </c>
      <c r="O12" s="54">
        <v>0</v>
      </c>
      <c r="P12" s="54">
        <v>0.46</v>
      </c>
      <c r="Q12" s="54">
        <v>9.4700000000000006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27.34</v>
      </c>
      <c r="C13" s="54">
        <v>38.869999999999997</v>
      </c>
      <c r="D13" s="54">
        <v>44.02</v>
      </c>
      <c r="E13" s="54">
        <v>2.64</v>
      </c>
      <c r="F13" s="54">
        <v>3.47</v>
      </c>
      <c r="G13" s="54">
        <v>39.979999999999997</v>
      </c>
      <c r="H13" s="54">
        <v>17.38</v>
      </c>
      <c r="I13" s="54">
        <v>1.56</v>
      </c>
      <c r="J13" s="54">
        <v>0.94</v>
      </c>
      <c r="K13" s="54">
        <v>349.63</v>
      </c>
      <c r="L13" s="54">
        <v>16.600000000000001</v>
      </c>
      <c r="M13" s="54">
        <v>98.22</v>
      </c>
      <c r="N13" s="54">
        <v>24.90</v>
      </c>
      <c r="O13" s="54">
        <v>0</v>
      </c>
      <c r="P13" s="54">
        <v>0.64</v>
      </c>
      <c r="Q13" s="54">
        <v>7.60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29.87</v>
      </c>
      <c r="C14" s="54">
        <v>37.93</v>
      </c>
      <c r="D14" s="54">
        <v>45.38</v>
      </c>
      <c r="E14" s="54">
        <v>2.86</v>
      </c>
      <c r="F14" s="54">
        <v>3.38</v>
      </c>
      <c r="G14" s="54">
        <v>54.44</v>
      </c>
      <c r="H14" s="54">
        <v>17.86</v>
      </c>
      <c r="I14" s="54">
        <v>1.56</v>
      </c>
      <c r="J14" s="54">
        <v>0.84</v>
      </c>
      <c r="K14" s="54">
        <v>347.43</v>
      </c>
      <c r="L14" s="54">
        <v>16.440000000000001</v>
      </c>
      <c r="M14" s="54">
        <v>98.23</v>
      </c>
      <c r="N14" s="54">
        <v>24.90</v>
      </c>
      <c r="O14" s="54">
        <v>0</v>
      </c>
      <c r="P14" s="54">
        <v>0.63</v>
      </c>
      <c r="Q14" s="54">
        <v>8.2799999999999994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33.909999999999997</v>
      </c>
      <c r="C15" s="54">
        <v>38.89</v>
      </c>
      <c r="D15" s="54">
        <v>49.30</v>
      </c>
      <c r="E15" s="54">
        <v>2.78</v>
      </c>
      <c r="F15" s="54">
        <v>4.07</v>
      </c>
      <c r="G15" s="54">
        <v>54.44</v>
      </c>
      <c r="H15" s="54">
        <v>17.86</v>
      </c>
      <c r="I15" s="54">
        <v>1.51</v>
      </c>
      <c r="J15" s="54">
        <v>0.48</v>
      </c>
      <c r="K15" s="54">
        <v>349.82</v>
      </c>
      <c r="L15" s="54">
        <v>16.55</v>
      </c>
      <c r="M15" s="54">
        <v>98.23</v>
      </c>
      <c r="N15" s="54">
        <v>45.30</v>
      </c>
      <c r="O15" s="54">
        <v>0</v>
      </c>
      <c r="P15" s="54">
        <v>0.62</v>
      </c>
      <c r="Q15" s="54">
        <v>7.26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37.86</v>
      </c>
      <c r="C16" s="54">
        <v>40.33</v>
      </c>
      <c r="D16" s="54">
        <v>53.26</v>
      </c>
      <c r="E16" s="54">
        <v>2.60</v>
      </c>
      <c r="F16" s="54">
        <v>3.95</v>
      </c>
      <c r="G16" s="54">
        <v>53.52</v>
      </c>
      <c r="H16" s="54">
        <v>17.46</v>
      </c>
      <c r="I16" s="54">
        <v>1.53</v>
      </c>
      <c r="J16" s="54">
        <v>0.65</v>
      </c>
      <c r="K16" s="54">
        <v>349.64</v>
      </c>
      <c r="L16" s="54">
        <v>17.12</v>
      </c>
      <c r="M16" s="54">
        <v>98.18</v>
      </c>
      <c r="N16" s="54">
        <v>131.69999999999999</v>
      </c>
      <c r="O16" s="54">
        <v>0</v>
      </c>
      <c r="P16" s="54">
        <v>0.65</v>
      </c>
      <c r="Q16" s="54">
        <v>7.33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42.28</v>
      </c>
      <c r="C17" s="54">
        <v>40.76</v>
      </c>
      <c r="D17" s="54">
        <v>56.23</v>
      </c>
      <c r="E17" s="54">
        <v>2.89</v>
      </c>
      <c r="F17" s="54">
        <v>3.88</v>
      </c>
      <c r="G17" s="54">
        <v>47.08</v>
      </c>
      <c r="H17" s="54">
        <v>17.63</v>
      </c>
      <c r="I17" s="54">
        <v>1.54</v>
      </c>
      <c r="J17" s="54">
        <v>0.77</v>
      </c>
      <c r="K17" s="54">
        <v>350.13</v>
      </c>
      <c r="L17" s="54">
        <v>18.38</v>
      </c>
      <c r="M17" s="54">
        <v>98.15</v>
      </c>
      <c r="N17" s="54">
        <v>191.5</v>
      </c>
      <c r="O17" s="54">
        <v>0</v>
      </c>
      <c r="P17" s="54">
        <v>0.86</v>
      </c>
      <c r="Q17" s="54">
        <v>7.31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42.79</v>
      </c>
      <c r="C18" s="54">
        <v>40.869999999999997</v>
      </c>
      <c r="D18" s="54">
        <v>56.90</v>
      </c>
      <c r="E18" s="54">
        <v>2.57</v>
      </c>
      <c r="F18" s="54">
        <v>4.6100000000000003</v>
      </c>
      <c r="G18" s="54">
        <v>46.54</v>
      </c>
      <c r="H18" s="54">
        <v>17.63</v>
      </c>
      <c r="I18" s="54">
        <v>1.57</v>
      </c>
      <c r="J18" s="54">
        <v>0.79</v>
      </c>
      <c r="K18" s="54">
        <v>112.77</v>
      </c>
      <c r="L18" s="54">
        <v>22.06</v>
      </c>
      <c r="M18" s="54">
        <v>95.83</v>
      </c>
      <c r="N18" s="54">
        <v>782.10</v>
      </c>
      <c r="O18" s="54">
        <v>0</v>
      </c>
      <c r="P18" s="54">
        <v>0.59</v>
      </c>
      <c r="Q18" s="54">
        <v>8.83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37.159999999999997</v>
      </c>
      <c r="C19" s="54">
        <v>45.95</v>
      </c>
      <c r="D19" s="54">
        <v>52.90</v>
      </c>
      <c r="E19" s="54">
        <v>2.58</v>
      </c>
      <c r="F19" s="54">
        <v>4.92</v>
      </c>
      <c r="G19" s="54">
        <v>43.29</v>
      </c>
      <c r="H19" s="54">
        <v>14.49</v>
      </c>
      <c r="I19" s="54">
        <v>1.61</v>
      </c>
      <c r="J19" s="54">
        <v>1.1299999999999999</v>
      </c>
      <c r="K19" s="54">
        <v>111.85</v>
      </c>
      <c r="L19" s="54">
        <v>21.31</v>
      </c>
      <c r="M19" s="54">
        <v>79.5</v>
      </c>
      <c r="N19" s="54">
        <v>711</v>
      </c>
      <c r="O19" s="54">
        <v>0</v>
      </c>
      <c r="P19" s="54">
        <v>0.52</v>
      </c>
      <c r="Q19" s="54">
        <v>7.74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22.73</v>
      </c>
      <c r="C20" s="54">
        <v>51.47</v>
      </c>
      <c r="D20" s="54">
        <v>47.28</v>
      </c>
      <c r="E20" s="54">
        <v>3.58</v>
      </c>
      <c r="F20" s="54">
        <v>5.71</v>
      </c>
      <c r="G20" s="54">
        <v>35.74</v>
      </c>
      <c r="H20" s="54">
        <v>12.02</v>
      </c>
      <c r="I20" s="54">
        <v>1.53</v>
      </c>
      <c r="J20" s="54">
        <v>0.49</v>
      </c>
      <c r="K20" s="54">
        <v>348.06</v>
      </c>
      <c r="L20" s="54">
        <v>21.21</v>
      </c>
      <c r="M20" s="54">
        <v>78.53</v>
      </c>
      <c r="N20" s="54">
        <v>342.80</v>
      </c>
      <c r="O20" s="54">
        <v>0</v>
      </c>
      <c r="P20" s="54">
        <v>0.73</v>
      </c>
      <c r="Q20" s="54">
        <v>6.09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21.87</v>
      </c>
      <c r="C21" s="54">
        <v>43.29</v>
      </c>
      <c r="D21" s="54">
        <v>41.76</v>
      </c>
      <c r="E21" s="54">
        <v>5.56</v>
      </c>
      <c r="F21" s="54">
        <v>7.29</v>
      </c>
      <c r="G21" s="54">
        <v>35.74</v>
      </c>
      <c r="H21" s="54">
        <v>10.59</v>
      </c>
      <c r="I21" s="54">
        <v>1.53</v>
      </c>
      <c r="J21" s="54">
        <v>0.81</v>
      </c>
      <c r="K21" s="54">
        <v>344.89</v>
      </c>
      <c r="L21" s="54">
        <v>22.41</v>
      </c>
      <c r="M21" s="54">
        <v>73.349999999999994</v>
      </c>
      <c r="N21" s="54">
        <v>377.5</v>
      </c>
      <c r="O21" s="54">
        <v>0</v>
      </c>
      <c r="P21" s="54">
        <v>0.67</v>
      </c>
      <c r="Q21" s="54">
        <v>6.23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20.28</v>
      </c>
      <c r="C22" s="54">
        <v>49.30</v>
      </c>
      <c r="D22" s="54">
        <v>40.97</v>
      </c>
      <c r="E22" s="54">
        <v>0.98</v>
      </c>
      <c r="F22" s="54">
        <v>13.14</v>
      </c>
      <c r="G22" s="54">
        <v>32.36</v>
      </c>
      <c r="H22" s="54">
        <v>10.59</v>
      </c>
      <c r="I22" s="54">
        <v>1.52</v>
      </c>
      <c r="J22" s="54">
        <v>0.34</v>
      </c>
      <c r="K22" s="54">
        <v>168.35</v>
      </c>
      <c r="L22" s="54">
        <v>21.84</v>
      </c>
      <c r="M22" s="54">
        <v>70.260000000000005</v>
      </c>
      <c r="N22" s="54">
        <v>498.80</v>
      </c>
      <c r="O22" s="54">
        <v>0</v>
      </c>
      <c r="P22" s="54">
        <v>0.42</v>
      </c>
      <c r="Q22" s="54">
        <v>5.47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19.45</v>
      </c>
      <c r="C23" s="54">
        <v>68.81</v>
      </c>
      <c r="D23" s="54">
        <v>54.18</v>
      </c>
      <c r="E23" s="54">
        <v>1.30</v>
      </c>
      <c r="F23" s="54">
        <v>9.65</v>
      </c>
      <c r="G23" s="54">
        <v>33.85</v>
      </c>
      <c r="H23" s="54">
        <v>9.77</v>
      </c>
      <c r="I23" s="54">
        <v>1.53</v>
      </c>
      <c r="J23" s="54">
        <v>0.60</v>
      </c>
      <c r="K23" s="54">
        <v>348.13</v>
      </c>
      <c r="L23" s="54">
        <v>23.64</v>
      </c>
      <c r="M23" s="54">
        <v>67.58</v>
      </c>
      <c r="N23" s="54">
        <v>222.10</v>
      </c>
      <c r="O23" s="54">
        <v>0</v>
      </c>
      <c r="P23" s="54">
        <v>0.67</v>
      </c>
      <c r="Q23" s="54">
        <v>4.9400000000000004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16.80</v>
      </c>
      <c r="C24" s="54">
        <v>64.11</v>
      </c>
      <c r="D24" s="54">
        <v>49.5</v>
      </c>
      <c r="E24" s="54">
        <v>0.98</v>
      </c>
      <c r="F24" s="54">
        <v>7.55</v>
      </c>
      <c r="G24" s="54">
        <v>48.62</v>
      </c>
      <c r="H24" s="54">
        <v>13.07</v>
      </c>
      <c r="I24" s="54">
        <v>1.54</v>
      </c>
      <c r="J24" s="54">
        <v>0.68</v>
      </c>
      <c r="K24" s="54">
        <v>159.51</v>
      </c>
      <c r="L24" s="54">
        <v>21.78</v>
      </c>
      <c r="M24" s="54">
        <v>71.319999999999993</v>
      </c>
      <c r="N24" s="54">
        <v>113.20</v>
      </c>
      <c r="O24" s="54">
        <v>0</v>
      </c>
      <c r="P24" s="54">
        <v>0.56000000000000005</v>
      </c>
      <c r="Q24" s="54">
        <v>6.23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13.58</v>
      </c>
      <c r="C25" s="54">
        <v>50.59</v>
      </c>
      <c r="D25" s="54">
        <v>39.450000000000003</v>
      </c>
      <c r="E25" s="54">
        <v>0.53</v>
      </c>
      <c r="F25" s="54">
        <v>4.7699999999999996</v>
      </c>
      <c r="G25" s="54">
        <v>48.62</v>
      </c>
      <c r="H25" s="54">
        <v>13.07</v>
      </c>
      <c r="I25" s="54">
        <v>1.53</v>
      </c>
      <c r="J25" s="54">
        <v>0.12</v>
      </c>
      <c r="K25" s="54">
        <v>303.55</v>
      </c>
      <c r="L25" s="54">
        <v>20.85</v>
      </c>
      <c r="M25" s="54">
        <v>75.86</v>
      </c>
      <c r="N25" s="54">
        <v>71.5</v>
      </c>
      <c r="O25" s="54">
        <v>0</v>
      </c>
      <c r="P25" s="54">
        <v>0.53</v>
      </c>
      <c r="Q25" s="54">
        <v>5.22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12.52</v>
      </c>
      <c r="C26" s="54">
        <v>46.77</v>
      </c>
      <c r="D26" s="54">
        <v>36.24</v>
      </c>
      <c r="E26" s="54">
        <v>0.42</v>
      </c>
      <c r="F26" s="54">
        <v>4.0199999999999996</v>
      </c>
      <c r="G26" s="54">
        <v>51.84</v>
      </c>
      <c r="H26" s="54">
        <v>9.83</v>
      </c>
      <c r="I26" s="54">
        <v>1.52</v>
      </c>
      <c r="J26" s="54">
        <v>0.09</v>
      </c>
      <c r="K26" s="54">
        <v>324.52999999999997</v>
      </c>
      <c r="L26" s="54">
        <v>19.920000000000002</v>
      </c>
      <c r="M26" s="54">
        <v>84.99</v>
      </c>
      <c r="N26" s="54">
        <v>25.90</v>
      </c>
      <c r="O26" s="54">
        <v>0</v>
      </c>
      <c r="P26" s="54">
        <v>0.63</v>
      </c>
      <c r="Q26" s="54">
        <v>5.18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18.21</v>
      </c>
      <c r="C27" s="54">
        <v>45.87</v>
      </c>
      <c r="D27" s="54">
        <v>40.520000000000003</v>
      </c>
      <c r="E27" s="54">
        <v>0.5</v>
      </c>
      <c r="F27" s="54">
        <v>3.41</v>
      </c>
      <c r="G27" s="54">
        <v>59.87</v>
      </c>
      <c r="H27" s="54">
        <v>135.86000000000001</v>
      </c>
      <c r="I27" s="54">
        <v>1.52</v>
      </c>
      <c r="J27" s="54">
        <v>0.20</v>
      </c>
      <c r="K27" s="54">
        <v>316.29000000000002</v>
      </c>
      <c r="L27" s="54">
        <v>18.78</v>
      </c>
      <c r="M27" s="54">
        <v>93.64</v>
      </c>
      <c r="N27" s="54">
        <v>21.10</v>
      </c>
      <c r="O27" s="54">
        <v>0</v>
      </c>
      <c r="P27" s="54">
        <v>0.87</v>
      </c>
      <c r="Q27" s="54">
        <v>4.07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22.58</v>
      </c>
      <c r="C28" s="54">
        <v>45.31</v>
      </c>
      <c r="D28" s="54">
        <v>43.28</v>
      </c>
      <c r="E28" s="54">
        <v>0.46</v>
      </c>
      <c r="F28" s="54">
        <v>3.56</v>
      </c>
      <c r="G28" s="54">
        <v>61.31</v>
      </c>
      <c r="H28" s="54">
        <v>135.86000000000001</v>
      </c>
      <c r="I28" s="54">
        <v>1.49</v>
      </c>
      <c r="J28" s="54">
        <v>0.06</v>
      </c>
      <c r="K28" s="54">
        <v>358.23</v>
      </c>
      <c r="L28" s="54">
        <v>18</v>
      </c>
      <c r="M28" s="54">
        <v>96.48</v>
      </c>
      <c r="N28" s="54">
        <v>21</v>
      </c>
      <c r="O28" s="54">
        <v>0</v>
      </c>
      <c r="P28" s="54">
        <v>0.92</v>
      </c>
      <c r="Q28" s="54">
        <v>5.43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25.71</v>
      </c>
      <c r="C29" s="54">
        <v>44.09</v>
      </c>
      <c r="D29" s="54">
        <v>45.54</v>
      </c>
      <c r="E29" s="54">
        <v>0.54</v>
      </c>
      <c r="F29" s="54">
        <v>3.78</v>
      </c>
      <c r="G29" s="54">
        <v>61.31</v>
      </c>
      <c r="H29" s="54">
        <v>84.09</v>
      </c>
      <c r="I29" s="54">
        <v>1.54</v>
      </c>
      <c r="J29" s="54">
        <v>0.28000000000000003</v>
      </c>
      <c r="K29" s="54">
        <v>288.48</v>
      </c>
      <c r="L29" s="54">
        <v>17.510000000000002</v>
      </c>
      <c r="M29" s="54">
        <v>97.08</v>
      </c>
      <c r="N29" s="54">
        <v>21.10</v>
      </c>
      <c r="O29" s="54">
        <v>0</v>
      </c>
      <c r="P29" s="54">
        <v>0.86</v>
      </c>
      <c r="Q29" s="54">
        <v>6.71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28.46</v>
      </c>
      <c r="C30" s="54">
        <v>43.36</v>
      </c>
      <c r="D30" s="54">
        <v>47.25</v>
      </c>
      <c r="E30" s="54">
        <v>0.54</v>
      </c>
      <c r="F30" s="54">
        <v>3.83</v>
      </c>
      <c r="G30" s="54">
        <v>57.80</v>
      </c>
      <c r="H30" s="54">
        <v>29.14</v>
      </c>
      <c r="I30" s="54">
        <v>1.5</v>
      </c>
      <c r="J30" s="54">
        <v>0.40</v>
      </c>
      <c r="K30" s="54">
        <v>212.34</v>
      </c>
      <c r="L30" s="54">
        <v>17.309999999999999</v>
      </c>
      <c r="M30" s="54">
        <v>98.12</v>
      </c>
      <c r="N30" s="54">
        <v>21.10</v>
      </c>
      <c r="O30" s="54">
        <v>0</v>
      </c>
      <c r="P30" s="54">
        <v>0.94</v>
      </c>
      <c r="Q30" s="54">
        <v>7.27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28.19</v>
      </c>
      <c r="C31" s="54">
        <v>43.01</v>
      </c>
      <c r="D31" s="54">
        <v>46.99</v>
      </c>
      <c r="E31" s="54">
        <v>0.5</v>
      </c>
      <c r="F31" s="54">
        <v>4.70</v>
      </c>
      <c r="G31" s="54">
        <v>54.91</v>
      </c>
      <c r="H31" s="54">
        <v>27.12</v>
      </c>
      <c r="I31" s="54">
        <v>1.53</v>
      </c>
      <c r="J31" s="54">
        <v>0.49</v>
      </c>
      <c r="K31" s="54">
        <v>212.24</v>
      </c>
      <c r="L31" s="54">
        <v>17.399999999999999</v>
      </c>
      <c r="M31" s="54">
        <v>97.98</v>
      </c>
      <c r="N31" s="54">
        <v>21.40</v>
      </c>
      <c r="O31" s="54">
        <v>0</v>
      </c>
      <c r="P31" s="54">
        <v>0.61</v>
      </c>
      <c r="Q31" s="54">
        <v>8.64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25.54</v>
      </c>
      <c r="C32" s="54">
        <v>39.22</v>
      </c>
      <c r="D32" s="54">
        <v>42.68</v>
      </c>
      <c r="E32" s="54">
        <v>0.42</v>
      </c>
      <c r="F32" s="54">
        <v>4.22</v>
      </c>
      <c r="G32" s="54">
        <v>53.28</v>
      </c>
      <c r="H32" s="54">
        <v>20.29</v>
      </c>
      <c r="I32" s="54">
        <v>1.59</v>
      </c>
      <c r="J32" s="54">
        <v>0.17</v>
      </c>
      <c r="K32" s="54">
        <v>325.63</v>
      </c>
      <c r="L32" s="54">
        <v>17.09</v>
      </c>
      <c r="M32" s="54">
        <v>98.18</v>
      </c>
      <c r="N32" s="54">
        <v>21.10</v>
      </c>
      <c r="O32" s="54">
        <v>0</v>
      </c>
      <c r="P32" s="54">
        <v>0.57999999999999996</v>
      </c>
      <c r="Q32" s="54">
        <v>7.33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12.52</v>
      </c>
      <c r="C34" s="28">
        <f t="shared" si="0"/>
        <v>37.93</v>
      </c>
      <c r="D34" s="28">
        <f t="shared" si="0"/>
        <v>36.240000000000002</v>
      </c>
      <c r="E34" s="28">
        <f t="shared" si="0"/>
        <v>0.41999999999999998</v>
      </c>
      <c r="F34" s="28">
        <f t="shared" si="0"/>
        <v>3.3799999999999999</v>
      </c>
      <c r="G34" s="28">
        <f t="shared" si="0"/>
        <v>31.420000000000002</v>
      </c>
      <c r="H34" s="28">
        <f t="shared" si="0"/>
        <v>9.7699999999999996</v>
      </c>
      <c r="I34" s="28">
        <f t="shared" si="0"/>
        <v>1.48</v>
      </c>
      <c r="J34" s="28">
        <f t="shared" si="0"/>
        <v>0.059999999999999998</v>
      </c>
      <c r="K34" s="28">
        <f t="shared" si="0"/>
        <v>111.84999999999999</v>
      </c>
      <c r="L34" s="28">
        <f t="shared" si="0"/>
        <v>16.440000000000001</v>
      </c>
      <c r="M34" s="28">
        <f t="shared" si="0"/>
        <v>67.579999999999998</v>
      </c>
      <c r="N34" s="28">
        <f t="shared" si="0"/>
        <v>21</v>
      </c>
      <c r="O34" s="28">
        <f t="shared" si="0"/>
        <v>0</v>
      </c>
      <c r="P34" s="28">
        <f t="shared" si="0"/>
        <v>0.41999999999999998</v>
      </c>
      <c r="Q34" s="28">
        <f t="shared" si="0"/>
        <v>4.0700000000000003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42.789999999999999</v>
      </c>
      <c r="C35" s="29">
        <f t="shared" si="1"/>
        <v>68.810000000000002</v>
      </c>
      <c r="D35" s="29">
        <f t="shared" si="1"/>
        <v>57.340000000000003</v>
      </c>
      <c r="E35" s="29">
        <f t="shared" si="1"/>
        <v>5.5599999999999996</v>
      </c>
      <c r="F35" s="29">
        <f t="shared" si="1"/>
        <v>13.140000000000001</v>
      </c>
      <c r="G35" s="29">
        <f t="shared" si="1"/>
        <v>61.310000000000002</v>
      </c>
      <c r="H35" s="29">
        <f t="shared" si="1"/>
        <v>135.86000000000001</v>
      </c>
      <c r="I35" s="29">
        <f t="shared" si="1"/>
        <v>1.6100000000000001</v>
      </c>
      <c r="J35" s="29">
        <f t="shared" si="1"/>
        <v>1.1299999999999999</v>
      </c>
      <c r="K35" s="29">
        <f t="shared" si="1"/>
        <v>358.23000000000002</v>
      </c>
      <c r="L35" s="29">
        <f t="shared" si="1"/>
        <v>23.640000000000001</v>
      </c>
      <c r="M35" s="29">
        <f t="shared" si="1"/>
        <v>98.230000000000004</v>
      </c>
      <c r="N35" s="29">
        <f t="shared" si="1"/>
        <v>782.10000000000002</v>
      </c>
      <c r="O35" s="29">
        <f t="shared" si="1"/>
        <v>0</v>
      </c>
      <c r="P35" s="29">
        <f t="shared" si="1"/>
        <v>0.93999999999999995</v>
      </c>
      <c r="Q35" s="29">
        <f t="shared" si="1"/>
        <v>12.210000000000001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27.817083333333343</v>
      </c>
      <c r="C36" s="28">
        <f t="shared" si="2"/>
        <v>44.921666666666674</v>
      </c>
      <c r="D36" s="28">
        <f t="shared" si="2"/>
        <v>47.337499999999999</v>
      </c>
      <c r="E36" s="28">
        <f t="shared" si="2"/>
        <v>1.8579166666666664</v>
      </c>
      <c r="F36" s="28">
        <f t="shared" si="2"/>
        <v>4.9812500000000002</v>
      </c>
      <c r="G36" s="28">
        <f t="shared" si="2"/>
        <v>46.813333333333333</v>
      </c>
      <c r="H36" s="28">
        <f t="shared" si="2"/>
        <v>29.125833333333336</v>
      </c>
      <c r="I36" s="28">
        <f t="shared" si="2"/>
        <v>1.5345833333333336</v>
      </c>
      <c r="J36" s="28">
        <f t="shared" si="2"/>
        <v>0.5033333333333333</v>
      </c>
      <c r="K36" s="28">
        <f t="shared" si="2"/>
        <v>294.70458333333329</v>
      </c>
      <c r="L36" s="28">
        <f t="shared" si="2"/>
        <v>18.858333333333334</v>
      </c>
      <c r="M36" s="28">
        <f t="shared" si="2"/>
        <v>90.107083333333321</v>
      </c>
      <c r="N36" s="28">
        <f t="shared" si="2"/>
        <v>157.90000000000001</v>
      </c>
      <c r="O36" s="28">
        <f t="shared" si="2"/>
        <v>0</v>
      </c>
      <c r="P36" s="28">
        <f t="shared" si="2"/>
        <v>0.64333333333333331</v>
      </c>
      <c r="Q36" s="28">
        <f t="shared" si="2"/>
        <v>7.3579166666666689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8.9911881882335951</v>
      </c>
      <c r="C37" s="28">
        <f t="shared" si="3" ref="C37:Q37">STDEV(C9:C32)</f>
        <v>7.7152016326136179</v>
      </c>
      <c r="D37" s="28">
        <f t="shared" si="3"/>
        <v>5.8778761692357895</v>
      </c>
      <c r="E37" s="28">
        <f t="shared" si="3"/>
        <v>1.3118058550903315</v>
      </c>
      <c r="F37" s="28">
        <f t="shared" si="3"/>
        <v>2.3105623492053229</v>
      </c>
      <c r="G37" s="28">
        <f t="shared" si="3"/>
        <v>9.6342210112054936</v>
      </c>
      <c r="H37" s="28">
        <f t="shared" si="3"/>
        <v>35.975610447933327</v>
      </c>
      <c r="I37" s="28">
        <f t="shared" si="3"/>
        <v>0.03120467727854228</v>
      </c>
      <c r="J37" s="28">
        <f t="shared" si="3"/>
        <v>0.28349782096649995</v>
      </c>
      <c r="K37" s="28">
        <f t="shared" si="3"/>
        <v>82.180041847639288</v>
      </c>
      <c r="L37" s="28">
        <f t="shared" si="3"/>
        <v>2.3769009173742264</v>
      </c>
      <c r="M37" s="28">
        <f t="shared" si="3"/>
        <v>11.281500624499483</v>
      </c>
      <c r="N37" s="28">
        <f t="shared" si="3"/>
        <v>224.38688444970103</v>
      </c>
      <c r="O37" s="28">
        <f t="shared" si="3"/>
        <v>0</v>
      </c>
      <c r="P37" s="28">
        <f t="shared" si="3"/>
        <v>0.15032332303829365</v>
      </c>
      <c r="Q37" s="28">
        <f t="shared" si="3"/>
        <v>2.0405220541869062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e2e982-5822-49c2-8cbe-2dad7d600c3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22.87</v>
      </c>
      <c r="C9" s="54">
        <v>38.83</v>
      </c>
      <c r="D9" s="54">
        <v>40.39</v>
      </c>
      <c r="E9" s="54">
        <v>0.39</v>
      </c>
      <c r="F9" s="54">
        <v>4.1500000000000004</v>
      </c>
      <c r="G9" s="54">
        <v>47.23</v>
      </c>
      <c r="H9" s="54">
        <v>20.29</v>
      </c>
      <c r="I9" s="54">
        <v>1.47</v>
      </c>
      <c r="J9" s="54">
        <v>0.10</v>
      </c>
      <c r="K9" s="54">
        <v>347.94</v>
      </c>
      <c r="L9" s="54">
        <v>16.63</v>
      </c>
      <c r="M9" s="54">
        <v>98.18</v>
      </c>
      <c r="N9" s="54">
        <v>21.10</v>
      </c>
      <c r="O9" s="54">
        <v>0</v>
      </c>
      <c r="P9" s="54">
        <v>0.52</v>
      </c>
      <c r="Q9" s="54">
        <v>7.28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20.62</v>
      </c>
      <c r="C10" s="54">
        <v>38.159999999999997</v>
      </c>
      <c r="D10" s="54">
        <v>38.24</v>
      </c>
      <c r="E10" s="54">
        <v>0.39</v>
      </c>
      <c r="F10" s="54">
        <v>5.21</v>
      </c>
      <c r="G10" s="54">
        <v>46.08</v>
      </c>
      <c r="H10" s="54">
        <v>23.80</v>
      </c>
      <c r="I10" s="54">
        <v>1.57</v>
      </c>
      <c r="J10" s="54">
        <v>0.31</v>
      </c>
      <c r="K10" s="54">
        <v>314.32</v>
      </c>
      <c r="L10" s="54">
        <v>16.79</v>
      </c>
      <c r="M10" s="54">
        <v>98.17</v>
      </c>
      <c r="N10" s="54">
        <v>21.20</v>
      </c>
      <c r="O10" s="54">
        <v>0</v>
      </c>
      <c r="P10" s="54">
        <v>0.42</v>
      </c>
      <c r="Q10" s="54">
        <v>6.59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18.239999999999998</v>
      </c>
      <c r="C11" s="54">
        <v>40.19</v>
      </c>
      <c r="D11" s="54">
        <v>37.42</v>
      </c>
      <c r="E11" s="54">
        <v>0.49</v>
      </c>
      <c r="F11" s="54">
        <v>4.63</v>
      </c>
      <c r="G11" s="54">
        <v>49.27</v>
      </c>
      <c r="H11" s="54">
        <v>23.80</v>
      </c>
      <c r="I11" s="54">
        <v>1.55</v>
      </c>
      <c r="J11" s="54">
        <v>0.56000000000000005</v>
      </c>
      <c r="K11" s="54">
        <v>347.60</v>
      </c>
      <c r="L11" s="54">
        <v>16.86</v>
      </c>
      <c r="M11" s="54">
        <v>98.15</v>
      </c>
      <c r="N11" s="54">
        <v>21.5</v>
      </c>
      <c r="O11" s="54">
        <v>0</v>
      </c>
      <c r="P11" s="54">
        <v>0.48</v>
      </c>
      <c r="Q11" s="54">
        <v>5.89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18.36</v>
      </c>
      <c r="C12" s="54">
        <v>40.01</v>
      </c>
      <c r="D12" s="54">
        <v>37.44</v>
      </c>
      <c r="E12" s="54">
        <v>0.54</v>
      </c>
      <c r="F12" s="54">
        <v>4.9000000000000004</v>
      </c>
      <c r="G12" s="54">
        <v>49.60</v>
      </c>
      <c r="H12" s="54">
        <v>23.88</v>
      </c>
      <c r="I12" s="54">
        <v>1.54</v>
      </c>
      <c r="J12" s="54">
        <v>0.56999999999999995</v>
      </c>
      <c r="K12" s="54">
        <v>348.43</v>
      </c>
      <c r="L12" s="54">
        <v>16.66</v>
      </c>
      <c r="M12" s="54">
        <v>98.19</v>
      </c>
      <c r="N12" s="54">
        <v>21.5</v>
      </c>
      <c r="O12" s="54">
        <v>0</v>
      </c>
      <c r="P12" s="54">
        <v>0.60</v>
      </c>
      <c r="Q12" s="54">
        <v>5.99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19.809999999999999</v>
      </c>
      <c r="C13" s="54">
        <v>39.93</v>
      </c>
      <c r="D13" s="54">
        <v>38.46</v>
      </c>
      <c r="E13" s="54">
        <v>0.45</v>
      </c>
      <c r="F13" s="54">
        <v>3.74</v>
      </c>
      <c r="G13" s="54">
        <v>50.77</v>
      </c>
      <c r="H13" s="54">
        <v>34.11</v>
      </c>
      <c r="I13" s="54">
        <v>1.54</v>
      </c>
      <c r="J13" s="54">
        <v>0.08</v>
      </c>
      <c r="K13" s="54">
        <v>275.70999999999998</v>
      </c>
      <c r="L13" s="54">
        <v>15.73</v>
      </c>
      <c r="M13" s="54">
        <v>98.23</v>
      </c>
      <c r="N13" s="54">
        <v>21.30</v>
      </c>
      <c r="O13" s="54">
        <v>0</v>
      </c>
      <c r="P13" s="54">
        <v>0.70</v>
      </c>
      <c r="Q13" s="54">
        <v>6.30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27.42</v>
      </c>
      <c r="C14" s="54">
        <v>39.83</v>
      </c>
      <c r="D14" s="54">
        <v>43.52</v>
      </c>
      <c r="E14" s="54">
        <v>0.43</v>
      </c>
      <c r="F14" s="54">
        <v>3.47</v>
      </c>
      <c r="G14" s="54">
        <v>56.16</v>
      </c>
      <c r="H14" s="54">
        <v>34.11</v>
      </c>
      <c r="I14" s="54">
        <v>1.56</v>
      </c>
      <c r="J14" s="54">
        <v>0.15</v>
      </c>
      <c r="K14" s="54">
        <v>223.12</v>
      </c>
      <c r="L14" s="54">
        <v>15.24</v>
      </c>
      <c r="M14" s="54">
        <v>98.23</v>
      </c>
      <c r="N14" s="54">
        <v>21.10</v>
      </c>
      <c r="O14" s="54">
        <v>0</v>
      </c>
      <c r="P14" s="54">
        <v>0.74</v>
      </c>
      <c r="Q14" s="54">
        <v>6.69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34.35</v>
      </c>
      <c r="C15" s="54">
        <v>38.229999999999997</v>
      </c>
      <c r="D15" s="54">
        <v>49.29</v>
      </c>
      <c r="E15" s="54">
        <v>0.35</v>
      </c>
      <c r="F15" s="54">
        <v>3.55</v>
      </c>
      <c r="G15" s="54">
        <v>56.16</v>
      </c>
      <c r="H15" s="54">
        <v>30.99</v>
      </c>
      <c r="I15" s="54">
        <v>1.5</v>
      </c>
      <c r="J15" s="54">
        <v>0.06</v>
      </c>
      <c r="K15" s="54">
        <v>234.17</v>
      </c>
      <c r="L15" s="54">
        <v>14.95</v>
      </c>
      <c r="M15" s="54">
        <v>98.23</v>
      </c>
      <c r="N15" s="54">
        <v>56.90</v>
      </c>
      <c r="O15" s="54">
        <v>0</v>
      </c>
      <c r="P15" s="54">
        <v>0.85</v>
      </c>
      <c r="Q15" s="54">
        <v>6.76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42.37</v>
      </c>
      <c r="C16" s="54">
        <v>39.340000000000003</v>
      </c>
      <c r="D16" s="54">
        <v>56.33</v>
      </c>
      <c r="E16" s="54">
        <v>0.37</v>
      </c>
      <c r="F16" s="54">
        <v>3.46</v>
      </c>
      <c r="G16" s="54">
        <v>62.07</v>
      </c>
      <c r="H16" s="54">
        <v>31.12</v>
      </c>
      <c r="I16" s="54">
        <v>1.59</v>
      </c>
      <c r="J16" s="54">
        <v>0.19</v>
      </c>
      <c r="K16" s="54">
        <v>351.37</v>
      </c>
      <c r="L16" s="54">
        <v>17.34</v>
      </c>
      <c r="M16" s="54">
        <v>98.23</v>
      </c>
      <c r="N16" s="54">
        <v>168.70</v>
      </c>
      <c r="O16" s="54">
        <v>0</v>
      </c>
      <c r="P16" s="54">
        <v>0.90</v>
      </c>
      <c r="Q16" s="54">
        <v>6.78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47.60</v>
      </c>
      <c r="C17" s="54">
        <v>41.70</v>
      </c>
      <c r="D17" s="54">
        <v>61.83</v>
      </c>
      <c r="E17" s="54">
        <v>0.60</v>
      </c>
      <c r="F17" s="54">
        <v>3.65</v>
      </c>
      <c r="G17" s="54">
        <v>80.78</v>
      </c>
      <c r="H17" s="54">
        <v>40.409999999999997</v>
      </c>
      <c r="I17" s="54">
        <v>1.52</v>
      </c>
      <c r="J17" s="54">
        <v>0.41</v>
      </c>
      <c r="K17" s="54">
        <v>356.43</v>
      </c>
      <c r="L17" s="54">
        <v>22.59</v>
      </c>
      <c r="M17" s="54">
        <v>94.91</v>
      </c>
      <c r="N17" s="54">
        <v>406.30</v>
      </c>
      <c r="O17" s="54">
        <v>0</v>
      </c>
      <c r="P17" s="54">
        <v>1.1200000000000001</v>
      </c>
      <c r="Q17" s="54">
        <v>7.21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48.46</v>
      </c>
      <c r="C18" s="54">
        <v>45.61</v>
      </c>
      <c r="D18" s="54">
        <v>64.680000000000007</v>
      </c>
      <c r="E18" s="54">
        <v>1.1200000000000001</v>
      </c>
      <c r="F18" s="54">
        <v>4.16</v>
      </c>
      <c r="G18" s="54">
        <v>113</v>
      </c>
      <c r="H18" s="54">
        <v>52.22</v>
      </c>
      <c r="I18" s="54">
        <v>1.56</v>
      </c>
      <c r="J18" s="54">
        <v>0.78</v>
      </c>
      <c r="K18" s="54">
        <v>121.40</v>
      </c>
      <c r="L18" s="54">
        <v>23.5</v>
      </c>
      <c r="M18" s="54">
        <v>77.47</v>
      </c>
      <c r="N18" s="54">
        <v>614.5</v>
      </c>
      <c r="O18" s="54">
        <v>0</v>
      </c>
      <c r="P18" s="54">
        <v>1.28</v>
      </c>
      <c r="Q18" s="54">
        <v>9.1199999999999992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46.99</v>
      </c>
      <c r="C19" s="54">
        <v>55.32</v>
      </c>
      <c r="D19" s="54">
        <v>63.14</v>
      </c>
      <c r="E19" s="54">
        <v>0.71</v>
      </c>
      <c r="F19" s="54">
        <v>10.16</v>
      </c>
      <c r="G19" s="54">
        <v>113</v>
      </c>
      <c r="H19" s="54">
        <v>52.22</v>
      </c>
      <c r="I19" s="54">
        <v>1.55</v>
      </c>
      <c r="J19" s="54">
        <v>0.89</v>
      </c>
      <c r="K19" s="54">
        <v>122.87</v>
      </c>
      <c r="L19" s="54">
        <v>24.68</v>
      </c>
      <c r="M19" s="54">
        <v>72.489999999999995</v>
      </c>
      <c r="N19" s="54">
        <v>729.5</v>
      </c>
      <c r="O19" s="54">
        <v>0</v>
      </c>
      <c r="P19" s="54">
        <v>0.95</v>
      </c>
      <c r="Q19" s="54">
        <v>9.68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5.53</v>
      </c>
      <c r="C20" s="54">
        <v>54.49</v>
      </c>
      <c r="D20" s="54">
        <v>34.82</v>
      </c>
      <c r="E20" s="54">
        <v>0.74</v>
      </c>
      <c r="F20" s="54">
        <v>17.20</v>
      </c>
      <c r="G20" s="54">
        <v>89.10</v>
      </c>
      <c r="H20" s="54">
        <v>48.18</v>
      </c>
      <c r="I20" s="54">
        <v>1.57</v>
      </c>
      <c r="J20" s="54">
        <v>0.34</v>
      </c>
      <c r="K20" s="54">
        <v>341.19</v>
      </c>
      <c r="L20" s="54">
        <v>27.39</v>
      </c>
      <c r="M20" s="54">
        <v>51.16</v>
      </c>
      <c r="N20" s="54">
        <v>756.30</v>
      </c>
      <c r="O20" s="54">
        <v>0</v>
      </c>
      <c r="P20" s="54">
        <v>0.70</v>
      </c>
      <c r="Q20" s="54">
        <v>4.71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8.94</v>
      </c>
      <c r="C21" s="54">
        <v>50.48</v>
      </c>
      <c r="D21" s="54">
        <v>34.83</v>
      </c>
      <c r="E21" s="54">
        <v>2.68</v>
      </c>
      <c r="F21" s="54">
        <v>21.11</v>
      </c>
      <c r="G21" s="54">
        <v>89.10</v>
      </c>
      <c r="H21" s="54">
        <v>30.54</v>
      </c>
      <c r="I21" s="54">
        <v>1.58</v>
      </c>
      <c r="J21" s="54">
        <v>1.37</v>
      </c>
      <c r="K21" s="54">
        <v>345.77</v>
      </c>
      <c r="L21" s="54">
        <v>27.13</v>
      </c>
      <c r="M21" s="54">
        <v>47.07</v>
      </c>
      <c r="N21" s="54">
        <v>563.20000000000005</v>
      </c>
      <c r="O21" s="54">
        <v>0</v>
      </c>
      <c r="P21" s="54">
        <v>0.86</v>
      </c>
      <c r="Q21" s="54">
        <v>3.64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11.35</v>
      </c>
      <c r="C22" s="54">
        <v>52.21</v>
      </c>
      <c r="D22" s="54">
        <v>37.520000000000003</v>
      </c>
      <c r="E22" s="54">
        <v>1.34</v>
      </c>
      <c r="F22" s="54">
        <v>21.65</v>
      </c>
      <c r="G22" s="54">
        <v>67.66</v>
      </c>
      <c r="H22" s="54">
        <v>25.81</v>
      </c>
      <c r="I22" s="54">
        <v>1.58</v>
      </c>
      <c r="J22" s="54">
        <v>1.33</v>
      </c>
      <c r="K22" s="54">
        <v>340.75</v>
      </c>
      <c r="L22" s="54">
        <v>27.98</v>
      </c>
      <c r="M22" s="54">
        <v>37.89</v>
      </c>
      <c r="N22" s="54">
        <v>633.5</v>
      </c>
      <c r="O22" s="54">
        <v>0</v>
      </c>
      <c r="P22" s="54">
        <v>0.55000000000000004</v>
      </c>
      <c r="Q22" s="54">
        <v>4.28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15.52</v>
      </c>
      <c r="C23" s="54">
        <v>54.20</v>
      </c>
      <c r="D23" s="54">
        <v>43</v>
      </c>
      <c r="E23" s="54">
        <v>1.02</v>
      </c>
      <c r="F23" s="54">
        <v>27.18</v>
      </c>
      <c r="G23" s="54">
        <v>55.89</v>
      </c>
      <c r="H23" s="54">
        <v>18.16</v>
      </c>
      <c r="I23" s="54">
        <v>1.48</v>
      </c>
      <c r="J23" s="54">
        <v>1.61</v>
      </c>
      <c r="K23" s="54">
        <v>334.54</v>
      </c>
      <c r="L23" s="54">
        <v>26.95</v>
      </c>
      <c r="M23" s="54">
        <v>42.98</v>
      </c>
      <c r="N23" s="54">
        <v>203.80</v>
      </c>
      <c r="O23" s="54">
        <v>0</v>
      </c>
      <c r="P23" s="54">
        <v>0.51</v>
      </c>
      <c r="Q23" s="54">
        <v>5.38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11.89</v>
      </c>
      <c r="C24" s="54">
        <v>49.92</v>
      </c>
      <c r="D24" s="54">
        <v>37.630000000000003</v>
      </c>
      <c r="E24" s="54">
        <v>1.1000000000000001</v>
      </c>
      <c r="F24" s="54">
        <v>23.07</v>
      </c>
      <c r="G24" s="54">
        <v>52.65</v>
      </c>
      <c r="H24" s="54">
        <v>14.89</v>
      </c>
      <c r="I24" s="54">
        <v>1.53</v>
      </c>
      <c r="J24" s="54">
        <v>1.31</v>
      </c>
      <c r="K24" s="54">
        <v>346.78</v>
      </c>
      <c r="L24" s="54">
        <v>24.47</v>
      </c>
      <c r="M24" s="54">
        <v>45.40</v>
      </c>
      <c r="N24" s="54">
        <v>148.60</v>
      </c>
      <c r="O24" s="54">
        <v>0</v>
      </c>
      <c r="P24" s="54">
        <v>0.62</v>
      </c>
      <c r="Q24" s="54">
        <v>4.34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12.40</v>
      </c>
      <c r="C25" s="54">
        <v>54.37</v>
      </c>
      <c r="D25" s="54">
        <v>40.590000000000003</v>
      </c>
      <c r="E25" s="54">
        <v>1.66</v>
      </c>
      <c r="F25" s="54">
        <v>21.04</v>
      </c>
      <c r="G25" s="54">
        <v>52.65</v>
      </c>
      <c r="H25" s="54">
        <v>14.89</v>
      </c>
      <c r="I25" s="54">
        <v>1.53</v>
      </c>
      <c r="J25" s="54">
        <v>1.23</v>
      </c>
      <c r="K25" s="54">
        <v>346.53</v>
      </c>
      <c r="L25" s="54">
        <v>23.51</v>
      </c>
      <c r="M25" s="54">
        <v>54.80</v>
      </c>
      <c r="N25" s="54">
        <v>89.80</v>
      </c>
      <c r="O25" s="54">
        <v>0</v>
      </c>
      <c r="P25" s="54">
        <v>0.95</v>
      </c>
      <c r="Q25" s="54">
        <v>3.38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21.97</v>
      </c>
      <c r="C26" s="54">
        <v>56.35</v>
      </c>
      <c r="D26" s="54">
        <v>49.17</v>
      </c>
      <c r="E26" s="54">
        <v>1.60</v>
      </c>
      <c r="F26" s="54">
        <v>7</v>
      </c>
      <c r="G26" s="54">
        <v>127.43</v>
      </c>
      <c r="H26" s="54">
        <v>23.32</v>
      </c>
      <c r="I26" s="54">
        <v>1.58</v>
      </c>
      <c r="J26" s="54">
        <v>0.74</v>
      </c>
      <c r="K26" s="54">
        <v>347.05</v>
      </c>
      <c r="L26" s="54">
        <v>21.19</v>
      </c>
      <c r="M26" s="54">
        <v>60.97</v>
      </c>
      <c r="N26" s="54">
        <v>26.60</v>
      </c>
      <c r="O26" s="54">
        <v>0</v>
      </c>
      <c r="P26" s="54">
        <v>1.75</v>
      </c>
      <c r="Q26" s="54">
        <v>1.39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33.46</v>
      </c>
      <c r="C27" s="54">
        <v>55.72</v>
      </c>
      <c r="D27" s="54">
        <v>57.37</v>
      </c>
      <c r="E27" s="54">
        <v>1.1200000000000001</v>
      </c>
      <c r="F27" s="54">
        <v>4.03</v>
      </c>
      <c r="G27" s="54">
        <v>198.24</v>
      </c>
      <c r="H27" s="54">
        <v>42.31</v>
      </c>
      <c r="I27" s="54">
        <v>1.54</v>
      </c>
      <c r="J27" s="54">
        <v>0.22</v>
      </c>
      <c r="K27" s="54">
        <v>356.02</v>
      </c>
      <c r="L27" s="54">
        <v>20.399999999999999</v>
      </c>
      <c r="M27" s="54">
        <v>61.63</v>
      </c>
      <c r="N27" s="54">
        <v>22.60</v>
      </c>
      <c r="O27" s="54">
        <v>0</v>
      </c>
      <c r="P27" s="54">
        <v>1.96</v>
      </c>
      <c r="Q27" s="54">
        <v>1.0900000000000001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46.63</v>
      </c>
      <c r="C28" s="54">
        <v>53.93</v>
      </c>
      <c r="D28" s="54">
        <v>67.510000000000005</v>
      </c>
      <c r="E28" s="54">
        <v>0.94</v>
      </c>
      <c r="F28" s="54">
        <v>5.04</v>
      </c>
      <c r="G28" s="54">
        <v>198.24</v>
      </c>
      <c r="H28" s="54">
        <v>56.05</v>
      </c>
      <c r="I28" s="54">
        <v>1.61</v>
      </c>
      <c r="J28" s="54">
        <v>0.20</v>
      </c>
      <c r="K28" s="54">
        <v>92.23</v>
      </c>
      <c r="L28" s="54">
        <v>19.30</v>
      </c>
      <c r="M28" s="54">
        <v>67.05</v>
      </c>
      <c r="N28" s="54">
        <v>22.30</v>
      </c>
      <c r="O28" s="54">
        <v>0</v>
      </c>
      <c r="P28" s="54">
        <v>2.31</v>
      </c>
      <c r="Q28" s="54">
        <v>3.26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54.18</v>
      </c>
      <c r="C29" s="54">
        <v>54.33</v>
      </c>
      <c r="D29" s="54">
        <v>74.069999999999993</v>
      </c>
      <c r="E29" s="54">
        <v>0.73</v>
      </c>
      <c r="F29" s="54">
        <v>4.28</v>
      </c>
      <c r="G29" s="54">
        <v>180.58</v>
      </c>
      <c r="H29" s="54">
        <v>56.05</v>
      </c>
      <c r="I29" s="54">
        <v>1.61</v>
      </c>
      <c r="J29" s="54">
        <v>0.11</v>
      </c>
      <c r="K29" s="54">
        <v>322.61</v>
      </c>
      <c r="L29" s="54">
        <v>18.57</v>
      </c>
      <c r="M29" s="54">
        <v>73.55</v>
      </c>
      <c r="N29" s="54">
        <v>22.10</v>
      </c>
      <c r="O29" s="54">
        <v>0</v>
      </c>
      <c r="P29" s="54">
        <v>2.33</v>
      </c>
      <c r="Q29" s="54">
        <v>5.35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77.900000000000006</v>
      </c>
      <c r="C30" s="54">
        <v>54.57</v>
      </c>
      <c r="D30" s="54">
        <v>93.10</v>
      </c>
      <c r="E30" s="54">
        <v>0.80</v>
      </c>
      <c r="F30" s="54">
        <v>5.19</v>
      </c>
      <c r="G30" s="54">
        <v>239.57</v>
      </c>
      <c r="H30" s="54">
        <v>55.5</v>
      </c>
      <c r="I30" s="54">
        <v>1.56</v>
      </c>
      <c r="J30" s="54">
        <v>0.11</v>
      </c>
      <c r="K30" s="54">
        <v>274.89999999999998</v>
      </c>
      <c r="L30" s="54">
        <v>17.23</v>
      </c>
      <c r="M30" s="54">
        <v>90.36</v>
      </c>
      <c r="N30" s="54">
        <v>22.20</v>
      </c>
      <c r="O30" s="54">
        <v>0</v>
      </c>
      <c r="P30" s="54">
        <v>2.76</v>
      </c>
      <c r="Q30" s="54">
        <v>4.68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87.94</v>
      </c>
      <c r="C31" s="54">
        <v>53.77</v>
      </c>
      <c r="D31" s="54">
        <v>100.05</v>
      </c>
      <c r="E31" s="54">
        <v>0.75</v>
      </c>
      <c r="F31" s="54">
        <v>3.28</v>
      </c>
      <c r="G31" s="54">
        <v>239.57</v>
      </c>
      <c r="H31" s="54">
        <v>55.5</v>
      </c>
      <c r="I31" s="54">
        <v>1.57</v>
      </c>
      <c r="J31" s="54">
        <v>0.22</v>
      </c>
      <c r="K31" s="54">
        <v>346.42</v>
      </c>
      <c r="L31" s="54">
        <v>16.420000000000002</v>
      </c>
      <c r="M31" s="54">
        <v>89.68</v>
      </c>
      <c r="N31" s="54">
        <v>21.90</v>
      </c>
      <c r="O31" s="54">
        <v>0</v>
      </c>
      <c r="P31" s="54">
        <v>2.29</v>
      </c>
      <c r="Q31" s="54">
        <v>10.63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86.42</v>
      </c>
      <c r="C32" s="54">
        <v>53</v>
      </c>
      <c r="D32" s="54">
        <v>99.20</v>
      </c>
      <c r="E32" s="54">
        <v>0.68</v>
      </c>
      <c r="F32" s="54">
        <v>3.43</v>
      </c>
      <c r="G32" s="54">
        <v>234.75</v>
      </c>
      <c r="H32" s="54">
        <v>39.72</v>
      </c>
      <c r="I32" s="54">
        <v>1.51</v>
      </c>
      <c r="J32" s="54">
        <v>0.10</v>
      </c>
      <c r="K32" s="54">
        <v>327.47000000000003</v>
      </c>
      <c r="L32" s="54">
        <v>16.32</v>
      </c>
      <c r="M32" s="54">
        <v>85.71</v>
      </c>
      <c r="N32" s="54">
        <v>22</v>
      </c>
      <c r="O32" s="54">
        <v>0</v>
      </c>
      <c r="P32" s="54">
        <v>1.5</v>
      </c>
      <c r="Q32" s="54">
        <v>12.70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5.5300000000000002</v>
      </c>
      <c r="C34" s="28">
        <f t="shared" si="0"/>
        <v>38.159999999999997</v>
      </c>
      <c r="D34" s="28">
        <f t="shared" si="0"/>
        <v>34.82</v>
      </c>
      <c r="E34" s="28">
        <f t="shared" si="0"/>
        <v>0.34999999999999998</v>
      </c>
      <c r="F34" s="28">
        <f t="shared" si="0"/>
        <v>3.2799999999999998</v>
      </c>
      <c r="G34" s="28">
        <f t="shared" si="0"/>
        <v>46.079999999999998</v>
      </c>
      <c r="H34" s="28">
        <f t="shared" si="0"/>
        <v>14.890000000000001</v>
      </c>
      <c r="I34" s="28">
        <f t="shared" si="0"/>
        <v>1.47</v>
      </c>
      <c r="J34" s="28">
        <f t="shared" si="0"/>
        <v>0.059999999999999998</v>
      </c>
      <c r="K34" s="28">
        <f t="shared" si="0"/>
        <v>92.230000000000004</v>
      </c>
      <c r="L34" s="28">
        <f t="shared" si="0"/>
        <v>14.949999999999999</v>
      </c>
      <c r="M34" s="28">
        <f t="shared" si="0"/>
        <v>37.890000000000001</v>
      </c>
      <c r="N34" s="28">
        <f t="shared" si="0"/>
        <v>21.100000000000001</v>
      </c>
      <c r="O34" s="28">
        <f t="shared" si="0"/>
        <v>0</v>
      </c>
      <c r="P34" s="28">
        <f t="shared" si="0"/>
        <v>0.41999999999999998</v>
      </c>
      <c r="Q34" s="28">
        <f t="shared" si="0"/>
        <v>1.0900000000000001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87.939999999999998</v>
      </c>
      <c r="C35" s="29">
        <f t="shared" si="1"/>
        <v>56.350000000000001</v>
      </c>
      <c r="D35" s="29">
        <f t="shared" si="1"/>
        <v>100.05</v>
      </c>
      <c r="E35" s="29">
        <f t="shared" si="1"/>
        <v>2.6800000000000002</v>
      </c>
      <c r="F35" s="29">
        <f t="shared" si="1"/>
        <v>27.18</v>
      </c>
      <c r="G35" s="29">
        <f t="shared" si="1"/>
        <v>239.56999999999999</v>
      </c>
      <c r="H35" s="29">
        <f t="shared" si="1"/>
        <v>56.049999999999997</v>
      </c>
      <c r="I35" s="29">
        <f t="shared" si="1"/>
        <v>1.6100000000000001</v>
      </c>
      <c r="J35" s="29">
        <f t="shared" si="1"/>
        <v>1.6100000000000001</v>
      </c>
      <c r="K35" s="29">
        <f t="shared" si="1"/>
        <v>356.43000000000001</v>
      </c>
      <c r="L35" s="29">
        <f t="shared" si="1"/>
        <v>27.98</v>
      </c>
      <c r="M35" s="29">
        <f t="shared" si="1"/>
        <v>98.230000000000004</v>
      </c>
      <c r="N35" s="29">
        <f t="shared" si="1"/>
        <v>756.29999999999995</v>
      </c>
      <c r="O35" s="29">
        <f t="shared" si="1"/>
        <v>0</v>
      </c>
      <c r="P35" s="29">
        <f t="shared" si="1"/>
        <v>2.7599999999999998</v>
      </c>
      <c r="Q35" s="29">
        <f t="shared" si="1"/>
        <v>12.699999999999999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34.217499999999994</v>
      </c>
      <c r="C36" s="28">
        <f t="shared" si="2"/>
        <v>48.103749999999998</v>
      </c>
      <c r="D36" s="28">
        <f t="shared" si="2"/>
        <v>54.149999999999999</v>
      </c>
      <c r="E36" s="28">
        <f t="shared" si="2"/>
        <v>0.87500000000000011</v>
      </c>
      <c r="F36" s="28">
        <f t="shared" si="2"/>
        <v>8.9408333333333321</v>
      </c>
      <c r="G36" s="28">
        <f t="shared" si="2"/>
        <v>106.23125000000003</v>
      </c>
      <c r="H36" s="28">
        <f t="shared" si="2"/>
        <v>35.327916666666674</v>
      </c>
      <c r="I36" s="28">
        <f t="shared" si="2"/>
        <v>1.55</v>
      </c>
      <c r="J36" s="28">
        <f t="shared" si="2"/>
        <v>0.54125000000000001</v>
      </c>
      <c r="K36" s="28">
        <f t="shared" si="2"/>
        <v>298.56749999999994</v>
      </c>
      <c r="L36" s="28">
        <f t="shared" si="2"/>
        <v>20.326249999999998</v>
      </c>
      <c r="M36" s="28">
        <f t="shared" si="2"/>
        <v>76.61375000000001</v>
      </c>
      <c r="N36" s="28">
        <f t="shared" si="2"/>
        <v>194.10416666666671</v>
      </c>
      <c r="O36" s="28">
        <f t="shared" si="2"/>
        <v>0</v>
      </c>
      <c r="P36" s="28">
        <f t="shared" si="2"/>
        <v>1.1520833333333329</v>
      </c>
      <c r="Q36" s="28">
        <f t="shared" si="2"/>
        <v>5.963333333333332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23.972101583879258</v>
      </c>
      <c r="C37" s="28">
        <f t="shared" si="3" ref="C37:Q37">STDEV(C9:C32)</f>
        <v>7.1063644545484284</v>
      </c>
      <c r="D37" s="28">
        <f t="shared" si="3"/>
        <v>20.332310546859013</v>
      </c>
      <c r="E37" s="28">
        <f t="shared" si="3"/>
        <v>0.53785402900948798</v>
      </c>
      <c r="F37" s="28">
        <f t="shared" si="3"/>
        <v>7.9071227750497313</v>
      </c>
      <c r="G37" s="28">
        <f t="shared" si="3"/>
        <v>69.051186956551945</v>
      </c>
      <c r="H37" s="28">
        <f t="shared" si="3"/>
        <v>14.069228210087998</v>
      </c>
      <c r="I37" s="28">
        <f t="shared" si="3"/>
        <v>0.03635573036585546</v>
      </c>
      <c r="J37" s="28">
        <f t="shared" si="3"/>
        <v>0.49572355988603872</v>
      </c>
      <c r="K37" s="28">
        <f t="shared" si="3"/>
        <v>80.909255462927405</v>
      </c>
      <c r="L37" s="28">
        <f t="shared" si="3"/>
        <v>4.3853826490126204</v>
      </c>
      <c r="M37" s="28">
        <f t="shared" si="3"/>
        <v>21.563659004767967</v>
      </c>
      <c r="N37" s="28">
        <f t="shared" si="3"/>
        <v>261.34171945885356</v>
      </c>
      <c r="O37" s="28">
        <f t="shared" si="3"/>
        <v>0</v>
      </c>
      <c r="P37" s="28">
        <f t="shared" si="3"/>
        <v>0.70425402511029966</v>
      </c>
      <c r="Q37" s="28">
        <f t="shared" si="3"/>
        <v>2.718819543505036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cc2546-ceca-44d6-8cbb-9003f0afb06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83.10</v>
      </c>
      <c r="C9" s="54">
        <v>52.18</v>
      </c>
      <c r="D9" s="54">
        <v>96.08</v>
      </c>
      <c r="E9" s="54">
        <v>0.72</v>
      </c>
      <c r="F9" s="54">
        <v>3.49</v>
      </c>
      <c r="G9" s="54">
        <v>193.53</v>
      </c>
      <c r="H9" s="54">
        <v>23.04</v>
      </c>
      <c r="I9" s="54">
        <v>1.56</v>
      </c>
      <c r="J9" s="54">
        <v>0.10</v>
      </c>
      <c r="K9" s="54">
        <v>299.94</v>
      </c>
      <c r="L9" s="54">
        <v>15.87</v>
      </c>
      <c r="M9" s="54">
        <v>94.77</v>
      </c>
      <c r="N9" s="54">
        <v>22.20</v>
      </c>
      <c r="O9" s="54">
        <v>0</v>
      </c>
      <c r="P9" s="54">
        <v>1.34</v>
      </c>
      <c r="Q9" s="54">
        <v>13.54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77.239999999999995</v>
      </c>
      <c r="C10" s="54">
        <v>50.19</v>
      </c>
      <c r="D10" s="54">
        <v>90.29</v>
      </c>
      <c r="E10" s="54">
        <v>0.61</v>
      </c>
      <c r="F10" s="54">
        <v>3.81</v>
      </c>
      <c r="G10" s="54">
        <v>193.53</v>
      </c>
      <c r="H10" s="54">
        <v>99.49</v>
      </c>
      <c r="I10" s="54">
        <v>1.58</v>
      </c>
      <c r="J10" s="54">
        <v>0.16</v>
      </c>
      <c r="K10" s="54">
        <v>356.25</v>
      </c>
      <c r="L10" s="54">
        <v>15.63</v>
      </c>
      <c r="M10" s="54">
        <v>97.48</v>
      </c>
      <c r="N10" s="54">
        <v>22</v>
      </c>
      <c r="O10" s="54">
        <v>0</v>
      </c>
      <c r="P10" s="54">
        <v>1.34</v>
      </c>
      <c r="Q10" s="54">
        <v>14.73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68.989999999999995</v>
      </c>
      <c r="C11" s="54">
        <v>48.65</v>
      </c>
      <c r="D11" s="54">
        <v>82.82</v>
      </c>
      <c r="E11" s="54">
        <v>0.59</v>
      </c>
      <c r="F11" s="54">
        <v>3.58</v>
      </c>
      <c r="G11" s="54">
        <v>181.07</v>
      </c>
      <c r="H11" s="54">
        <v>99.49</v>
      </c>
      <c r="I11" s="54">
        <v>1.53</v>
      </c>
      <c r="J11" s="54">
        <v>0.25</v>
      </c>
      <c r="K11" s="54">
        <v>89.27</v>
      </c>
      <c r="L11" s="54">
        <v>15.52</v>
      </c>
      <c r="M11" s="54">
        <v>90.32</v>
      </c>
      <c r="N11" s="54">
        <v>22.20</v>
      </c>
      <c r="O11" s="54">
        <v>0</v>
      </c>
      <c r="P11" s="54">
        <v>0.90</v>
      </c>
      <c r="Q11" s="54">
        <v>15.81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56.83</v>
      </c>
      <c r="C12" s="54">
        <v>45.14</v>
      </c>
      <c r="D12" s="54">
        <v>71.13</v>
      </c>
      <c r="E12" s="54">
        <v>0.54</v>
      </c>
      <c r="F12" s="54">
        <v>4.4000000000000004</v>
      </c>
      <c r="G12" s="54">
        <v>151.65</v>
      </c>
      <c r="H12" s="54">
        <v>66.959999999999994</v>
      </c>
      <c r="I12" s="54">
        <v>1.55</v>
      </c>
      <c r="J12" s="54">
        <v>0.12</v>
      </c>
      <c r="K12" s="54">
        <v>327.92</v>
      </c>
      <c r="L12" s="54">
        <v>14.89</v>
      </c>
      <c r="M12" s="54">
        <v>91.39</v>
      </c>
      <c r="N12" s="54">
        <v>22</v>
      </c>
      <c r="O12" s="54">
        <v>0</v>
      </c>
      <c r="P12" s="54">
        <v>0.90</v>
      </c>
      <c r="Q12" s="54">
        <v>12.38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45.54</v>
      </c>
      <c r="C13" s="54">
        <v>43.61</v>
      </c>
      <c r="D13" s="54">
        <v>61.24</v>
      </c>
      <c r="E13" s="54">
        <v>0.34</v>
      </c>
      <c r="F13" s="54">
        <v>4.97</v>
      </c>
      <c r="G13" s="54">
        <v>111.90</v>
      </c>
      <c r="H13" s="54">
        <v>52.92</v>
      </c>
      <c r="I13" s="54">
        <v>1.56</v>
      </c>
      <c r="J13" s="54">
        <v>0.18</v>
      </c>
      <c r="K13" s="54">
        <v>343.68</v>
      </c>
      <c r="L13" s="54">
        <v>14.62</v>
      </c>
      <c r="M13" s="54">
        <v>84.39</v>
      </c>
      <c r="N13" s="54">
        <v>21.80</v>
      </c>
      <c r="O13" s="54">
        <v>0</v>
      </c>
      <c r="P13" s="54">
        <v>0.53</v>
      </c>
      <c r="Q13" s="54">
        <v>10.61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37.090000000000003</v>
      </c>
      <c r="C14" s="54">
        <v>42.37</v>
      </c>
      <c r="D14" s="54">
        <v>53.77</v>
      </c>
      <c r="E14" s="54">
        <v>0.28999999999999998</v>
      </c>
      <c r="F14" s="54">
        <v>4.43</v>
      </c>
      <c r="G14" s="54">
        <v>80.150000000000006</v>
      </c>
      <c r="H14" s="54">
        <v>39.24</v>
      </c>
      <c r="I14" s="54">
        <v>1.57</v>
      </c>
      <c r="J14" s="54">
        <v>0.14000000000000001</v>
      </c>
      <c r="K14" s="54">
        <v>281.32</v>
      </c>
      <c r="L14" s="54">
        <v>14.22</v>
      </c>
      <c r="M14" s="54">
        <v>95.76</v>
      </c>
      <c r="N14" s="54">
        <v>22</v>
      </c>
      <c r="O14" s="54">
        <v>0</v>
      </c>
      <c r="P14" s="54">
        <v>0.53</v>
      </c>
      <c r="Q14" s="54">
        <v>9.17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66.349999999999994</v>
      </c>
      <c r="C15" s="54">
        <v>46.73</v>
      </c>
      <c r="D15" s="54">
        <v>79.64</v>
      </c>
      <c r="E15" s="54">
        <v>0.49</v>
      </c>
      <c r="F15" s="54">
        <v>3.88</v>
      </c>
      <c r="G15" s="54">
        <v>148.38999999999999</v>
      </c>
      <c r="H15" s="54">
        <v>42.66</v>
      </c>
      <c r="I15" s="54">
        <v>1.54</v>
      </c>
      <c r="J15" s="54">
        <v>0.10</v>
      </c>
      <c r="K15" s="54">
        <v>321.05</v>
      </c>
      <c r="L15" s="54">
        <v>13.14</v>
      </c>
      <c r="M15" s="54">
        <v>98.18</v>
      </c>
      <c r="N15" s="54">
        <v>55</v>
      </c>
      <c r="O15" s="54">
        <v>0</v>
      </c>
      <c r="P15" s="54">
        <v>1.29</v>
      </c>
      <c r="Q15" s="54">
        <v>0.17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81.010000000000005</v>
      </c>
      <c r="C16" s="54">
        <v>48.18</v>
      </c>
      <c r="D16" s="54">
        <v>91.98</v>
      </c>
      <c r="E16" s="54">
        <v>0.49</v>
      </c>
      <c r="F16" s="54">
        <v>3.81</v>
      </c>
      <c r="G16" s="54">
        <v>148.38999999999999</v>
      </c>
      <c r="H16" s="54">
        <v>51.62</v>
      </c>
      <c r="I16" s="54">
        <v>1.56</v>
      </c>
      <c r="J16" s="54">
        <v>0.49</v>
      </c>
      <c r="K16" s="54">
        <v>347.19</v>
      </c>
      <c r="L16" s="54">
        <v>18.57</v>
      </c>
      <c r="M16" s="54">
        <v>96.01</v>
      </c>
      <c r="N16" s="54">
        <v>268.39999999999998</v>
      </c>
      <c r="O16" s="54">
        <v>0</v>
      </c>
      <c r="P16" s="54">
        <v>1.31</v>
      </c>
      <c r="Q16" s="54">
        <v>13.09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77.05</v>
      </c>
      <c r="C17" s="54">
        <v>48.24</v>
      </c>
      <c r="D17" s="54">
        <v>88.91</v>
      </c>
      <c r="E17" s="54">
        <v>0.42</v>
      </c>
      <c r="F17" s="54">
        <v>6.26</v>
      </c>
      <c r="G17" s="54">
        <v>141.66999999999999</v>
      </c>
      <c r="H17" s="54">
        <v>51.62</v>
      </c>
      <c r="I17" s="54">
        <v>1.61</v>
      </c>
      <c r="J17" s="54">
        <v>0.77</v>
      </c>
      <c r="K17" s="54">
        <v>106.55</v>
      </c>
      <c r="L17" s="54">
        <v>21.44</v>
      </c>
      <c r="M17" s="54">
        <v>60.5</v>
      </c>
      <c r="N17" s="54">
        <v>476.70</v>
      </c>
      <c r="O17" s="54">
        <v>0</v>
      </c>
      <c r="P17" s="54">
        <v>0.76</v>
      </c>
      <c r="Q17" s="54">
        <v>14.17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65.739999999999995</v>
      </c>
      <c r="C18" s="54">
        <v>48.06</v>
      </c>
      <c r="D18" s="54">
        <v>79.89</v>
      </c>
      <c r="E18" s="54">
        <v>0.39</v>
      </c>
      <c r="F18" s="54">
        <v>7.53</v>
      </c>
      <c r="G18" s="54">
        <v>75.31</v>
      </c>
      <c r="H18" s="54">
        <v>33.25</v>
      </c>
      <c r="I18" s="54">
        <v>1.51</v>
      </c>
      <c r="J18" s="54">
        <v>0.93</v>
      </c>
      <c r="K18" s="54">
        <v>109.31</v>
      </c>
      <c r="L18" s="54">
        <v>21.08</v>
      </c>
      <c r="M18" s="54">
        <v>54.95</v>
      </c>
      <c r="N18" s="54">
        <v>635.70000000000005</v>
      </c>
      <c r="O18" s="54">
        <v>0</v>
      </c>
      <c r="P18" s="54">
        <v>0.66</v>
      </c>
      <c r="Q18" s="54">
        <v>13.74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49.31</v>
      </c>
      <c r="C19" s="54">
        <v>48.31</v>
      </c>
      <c r="D19" s="54">
        <v>66.459999999999994</v>
      </c>
      <c r="E19" s="54">
        <v>0.35</v>
      </c>
      <c r="F19" s="54">
        <v>8.49</v>
      </c>
      <c r="G19" s="54">
        <v>49.75</v>
      </c>
      <c r="H19" s="54">
        <v>25.80</v>
      </c>
      <c r="I19" s="54">
        <v>1.52</v>
      </c>
      <c r="J19" s="54">
        <v>1.1599999999999999</v>
      </c>
      <c r="K19" s="54">
        <v>113.51</v>
      </c>
      <c r="L19" s="54">
        <v>22.71</v>
      </c>
      <c r="M19" s="54">
        <v>47.20</v>
      </c>
      <c r="N19" s="54">
        <v>723.20</v>
      </c>
      <c r="O19" s="54">
        <v>0</v>
      </c>
      <c r="P19" s="54">
        <v>0.57999999999999996</v>
      </c>
      <c r="Q19" s="54">
        <v>10.09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33.15</v>
      </c>
      <c r="C20" s="54">
        <v>48.36</v>
      </c>
      <c r="D20" s="54">
        <v>53.58</v>
      </c>
      <c r="E20" s="54">
        <v>0.37</v>
      </c>
      <c r="F20" s="54">
        <v>12.91</v>
      </c>
      <c r="G20" s="54">
        <v>48.53</v>
      </c>
      <c r="H20" s="54">
        <v>21.28</v>
      </c>
      <c r="I20" s="54">
        <v>1.58</v>
      </c>
      <c r="J20" s="54">
        <v>0.46</v>
      </c>
      <c r="K20" s="54">
        <v>122.51</v>
      </c>
      <c r="L20" s="54">
        <v>26.08</v>
      </c>
      <c r="M20" s="54">
        <v>40.630000000000003</v>
      </c>
      <c r="N20" s="54">
        <v>776.5</v>
      </c>
      <c r="O20" s="54">
        <v>0</v>
      </c>
      <c r="P20" s="54">
        <v>0.48</v>
      </c>
      <c r="Q20" s="54">
        <v>7.90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21.66</v>
      </c>
      <c r="C21" s="54">
        <v>49.73</v>
      </c>
      <c r="D21" s="54">
        <v>45.01</v>
      </c>
      <c r="E21" s="54">
        <v>0.54</v>
      </c>
      <c r="F21" s="54">
        <v>20.69</v>
      </c>
      <c r="G21" s="54">
        <v>40.36</v>
      </c>
      <c r="H21" s="54">
        <v>22.42</v>
      </c>
      <c r="I21" s="54">
        <v>1.55</v>
      </c>
      <c r="J21" s="54">
        <v>0.88</v>
      </c>
      <c r="K21" s="54">
        <v>357.99</v>
      </c>
      <c r="L21" s="54">
        <v>27.75</v>
      </c>
      <c r="M21" s="54">
        <v>35.64</v>
      </c>
      <c r="N21" s="54">
        <v>728</v>
      </c>
      <c r="O21" s="54">
        <v>0</v>
      </c>
      <c r="P21" s="54">
        <v>0.48</v>
      </c>
      <c r="Q21" s="54">
        <v>5.60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14.49</v>
      </c>
      <c r="C22" s="54">
        <v>49.5</v>
      </c>
      <c r="D22" s="54">
        <v>39.58</v>
      </c>
      <c r="E22" s="54">
        <v>0.56000000000000005</v>
      </c>
      <c r="F22" s="54">
        <v>20.60</v>
      </c>
      <c r="G22" s="54">
        <v>40.36</v>
      </c>
      <c r="H22" s="54">
        <v>22.42</v>
      </c>
      <c r="I22" s="54">
        <v>1.57</v>
      </c>
      <c r="J22" s="54">
        <v>0.89</v>
      </c>
      <c r="K22" s="54">
        <v>148.55000000000001</v>
      </c>
      <c r="L22" s="54">
        <v>24.87</v>
      </c>
      <c r="M22" s="54">
        <v>37.700000000000003</v>
      </c>
      <c r="N22" s="54">
        <v>681.70</v>
      </c>
      <c r="O22" s="54">
        <v>0</v>
      </c>
      <c r="P22" s="54">
        <v>0.44</v>
      </c>
      <c r="Q22" s="54">
        <v>5.56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10.77</v>
      </c>
      <c r="C23" s="54">
        <v>46.38</v>
      </c>
      <c r="D23" s="54">
        <v>34.72</v>
      </c>
      <c r="E23" s="54">
        <v>0.91</v>
      </c>
      <c r="F23" s="54">
        <v>23.82</v>
      </c>
      <c r="G23" s="54">
        <v>55.64</v>
      </c>
      <c r="H23" s="54">
        <v>22.83</v>
      </c>
      <c r="I23" s="54">
        <v>1.57</v>
      </c>
      <c r="J23" s="54">
        <v>0.79</v>
      </c>
      <c r="K23" s="54">
        <v>342.68</v>
      </c>
      <c r="L23" s="54">
        <v>24.59</v>
      </c>
      <c r="M23" s="54">
        <v>38.880000000000003</v>
      </c>
      <c r="N23" s="54">
        <v>189</v>
      </c>
      <c r="O23" s="54">
        <v>0</v>
      </c>
      <c r="P23" s="54">
        <v>0.52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9.6300000000000008</v>
      </c>
      <c r="C24" s="54">
        <v>46.04</v>
      </c>
      <c r="D24" s="54">
        <v>33.770000000000003</v>
      </c>
      <c r="E24" s="54">
        <v>0.68</v>
      </c>
      <c r="F24" s="54">
        <v>22.23</v>
      </c>
      <c r="G24" s="54">
        <v>55.64</v>
      </c>
      <c r="H24" s="54">
        <v>22.83</v>
      </c>
      <c r="I24" s="54">
        <v>1.57</v>
      </c>
      <c r="J24" s="54">
        <v>0.85</v>
      </c>
      <c r="K24" s="54">
        <v>113.52</v>
      </c>
      <c r="L24" s="54">
        <v>22.58</v>
      </c>
      <c r="M24" s="54">
        <v>39.82</v>
      </c>
      <c r="N24" s="54">
        <v>130.80000000000001</v>
      </c>
      <c r="O24" s="54">
        <v>0</v>
      </c>
      <c r="P24" s="54">
        <v>0.49</v>
      </c>
      <c r="Q24" s="54">
        <v>5.12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8.9700000000000006</v>
      </c>
      <c r="C25" s="54">
        <v>45.10</v>
      </c>
      <c r="D25" s="54">
        <v>32.729999999999997</v>
      </c>
      <c r="E25" s="54">
        <v>0.67</v>
      </c>
      <c r="F25" s="54">
        <v>14.46</v>
      </c>
      <c r="G25" s="54">
        <v>46.43</v>
      </c>
      <c r="H25" s="54">
        <v>22.66</v>
      </c>
      <c r="I25" s="54">
        <v>1.53</v>
      </c>
      <c r="J25" s="54">
        <v>0.46</v>
      </c>
      <c r="K25" s="54">
        <v>112.57</v>
      </c>
      <c r="L25" s="54">
        <v>22.23</v>
      </c>
      <c r="M25" s="54">
        <v>44.67</v>
      </c>
      <c r="N25" s="54">
        <v>77.80</v>
      </c>
      <c r="O25" s="54">
        <v>0</v>
      </c>
      <c r="P25" s="54">
        <v>0.62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21.75</v>
      </c>
      <c r="C26" s="54">
        <v>51.15</v>
      </c>
      <c r="D26" s="54">
        <v>46.32</v>
      </c>
      <c r="E26" s="54">
        <v>0.74</v>
      </c>
      <c r="F26" s="54">
        <v>4.82</v>
      </c>
      <c r="G26" s="54">
        <v>87.55</v>
      </c>
      <c r="H26" s="54">
        <v>19.940000000000001</v>
      </c>
      <c r="I26" s="54">
        <v>1.52</v>
      </c>
      <c r="J26" s="54">
        <v>0.17</v>
      </c>
      <c r="K26" s="54">
        <v>359.07</v>
      </c>
      <c r="L26" s="54">
        <v>20.96</v>
      </c>
      <c r="M26" s="54">
        <v>61.54</v>
      </c>
      <c r="N26" s="54">
        <v>27.70</v>
      </c>
      <c r="O26" s="54">
        <v>0</v>
      </c>
      <c r="P26" s="54">
        <v>1.27</v>
      </c>
      <c r="Q26" s="54">
        <v>4.33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48.75</v>
      </c>
      <c r="C27" s="54">
        <v>56.24</v>
      </c>
      <c r="D27" s="54">
        <v>70.78</v>
      </c>
      <c r="E27" s="54">
        <v>0.79</v>
      </c>
      <c r="F27" s="54">
        <v>3.62</v>
      </c>
      <c r="G27" s="54">
        <v>174.09</v>
      </c>
      <c r="H27" s="54">
        <v>44.54</v>
      </c>
      <c r="I27" s="54">
        <v>1.53</v>
      </c>
      <c r="J27" s="54">
        <v>0.17</v>
      </c>
      <c r="K27" s="54">
        <v>346.47</v>
      </c>
      <c r="L27" s="54">
        <v>18.62</v>
      </c>
      <c r="M27" s="54">
        <v>68.69</v>
      </c>
      <c r="N27" s="54">
        <v>22.40</v>
      </c>
      <c r="O27" s="54">
        <v>0</v>
      </c>
      <c r="P27" s="54">
        <v>2.38</v>
      </c>
      <c r="Q27" s="54">
        <v>3.32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51.69</v>
      </c>
      <c r="C28" s="54">
        <v>58.62</v>
      </c>
      <c r="D28" s="54">
        <v>74.13</v>
      </c>
      <c r="E28" s="54">
        <v>0.72</v>
      </c>
      <c r="F28" s="54">
        <v>4.5199999999999996</v>
      </c>
      <c r="G28" s="54">
        <v>174.09</v>
      </c>
      <c r="H28" s="54">
        <v>50.61</v>
      </c>
      <c r="I28" s="54">
        <v>1.58</v>
      </c>
      <c r="J28" s="54">
        <v>0.19</v>
      </c>
      <c r="K28" s="54">
        <v>77.86</v>
      </c>
      <c r="L28" s="54">
        <v>18.41</v>
      </c>
      <c r="M28" s="54">
        <v>61.83</v>
      </c>
      <c r="N28" s="54">
        <v>22</v>
      </c>
      <c r="O28" s="54">
        <v>0</v>
      </c>
      <c r="P28" s="54">
        <v>1.90</v>
      </c>
      <c r="Q28" s="54">
        <v>8.7100000000000009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46.98</v>
      </c>
      <c r="C29" s="54">
        <v>57.48</v>
      </c>
      <c r="D29" s="54">
        <v>70.040000000000006</v>
      </c>
      <c r="E29" s="54">
        <v>0.55000000000000004</v>
      </c>
      <c r="F29" s="54">
        <v>6.84</v>
      </c>
      <c r="G29" s="54">
        <v>133.15</v>
      </c>
      <c r="H29" s="54">
        <v>50.61</v>
      </c>
      <c r="I29" s="54">
        <v>1.57</v>
      </c>
      <c r="J29" s="54">
        <v>0.16</v>
      </c>
      <c r="K29" s="54">
        <v>95.02</v>
      </c>
      <c r="L29" s="54">
        <v>17.989999999999998</v>
      </c>
      <c r="M29" s="54">
        <v>63.13</v>
      </c>
      <c r="N29" s="54">
        <v>22.20</v>
      </c>
      <c r="O29" s="54">
        <v>0</v>
      </c>
      <c r="P29" s="54">
        <v>1.43</v>
      </c>
      <c r="Q29" s="54">
        <v>10.41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39.44</v>
      </c>
      <c r="C30" s="54">
        <v>55.11</v>
      </c>
      <c r="D30" s="54">
        <v>62.69</v>
      </c>
      <c r="E30" s="54">
        <v>0.45</v>
      </c>
      <c r="F30" s="54">
        <v>5.96</v>
      </c>
      <c r="G30" s="54">
        <v>102.33</v>
      </c>
      <c r="H30" s="54">
        <v>44.62</v>
      </c>
      <c r="I30" s="54">
        <v>1.54</v>
      </c>
      <c r="J30" s="54">
        <v>0.23</v>
      </c>
      <c r="K30" s="54">
        <v>124.72</v>
      </c>
      <c r="L30" s="54">
        <v>17.63</v>
      </c>
      <c r="M30" s="54">
        <v>64.41</v>
      </c>
      <c r="N30" s="54">
        <v>22.20</v>
      </c>
      <c r="O30" s="54">
        <v>0</v>
      </c>
      <c r="P30" s="54">
        <v>0.93</v>
      </c>
      <c r="Q30" s="54">
        <v>9.4700000000000006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37.35</v>
      </c>
      <c r="C31" s="54">
        <v>54.73</v>
      </c>
      <c r="D31" s="54">
        <v>60.66</v>
      </c>
      <c r="E31" s="54">
        <v>0.53</v>
      </c>
      <c r="F31" s="54">
        <v>5.1100000000000003</v>
      </c>
      <c r="G31" s="54">
        <v>106.29</v>
      </c>
      <c r="H31" s="54">
        <v>19.579999999999998</v>
      </c>
      <c r="I31" s="54">
        <v>1.59</v>
      </c>
      <c r="J31" s="54">
        <v>0.20</v>
      </c>
      <c r="K31" s="54">
        <v>322.33999999999997</v>
      </c>
      <c r="L31" s="54">
        <v>17.170000000000002</v>
      </c>
      <c r="M31" s="54">
        <v>73.59</v>
      </c>
      <c r="N31" s="54">
        <v>22.5</v>
      </c>
      <c r="O31" s="54">
        <v>0</v>
      </c>
      <c r="P31" s="54">
        <v>1.39</v>
      </c>
      <c r="Q31" s="54">
        <v>6.44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42.14</v>
      </c>
      <c r="C32" s="54">
        <v>54.20</v>
      </c>
      <c r="D32" s="54">
        <v>63.92</v>
      </c>
      <c r="E32" s="54">
        <v>0.42</v>
      </c>
      <c r="F32" s="54">
        <v>4.16</v>
      </c>
      <c r="G32" s="54">
        <v>121.62</v>
      </c>
      <c r="H32" s="54">
        <v>47.49</v>
      </c>
      <c r="I32" s="54">
        <v>1.52</v>
      </c>
      <c r="J32" s="54">
        <v>0.11</v>
      </c>
      <c r="K32" s="54">
        <v>353.82</v>
      </c>
      <c r="L32" s="54">
        <v>15.89</v>
      </c>
      <c r="M32" s="54">
        <v>79.790000000000006</v>
      </c>
      <c r="N32" s="54">
        <v>22.60</v>
      </c>
      <c r="O32" s="54">
        <v>0</v>
      </c>
      <c r="P32" s="54">
        <v>1.03</v>
      </c>
      <c r="Q32" s="54">
        <v>6.48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8.9700000000000006</v>
      </c>
      <c r="C34" s="28">
        <f t="shared" si="0"/>
        <v>42.369999999999997</v>
      </c>
      <c r="D34" s="28">
        <f t="shared" si="0"/>
        <v>32.729999999999997</v>
      </c>
      <c r="E34" s="28">
        <f t="shared" si="0"/>
        <v>0.28999999999999998</v>
      </c>
      <c r="F34" s="28">
        <f t="shared" si="0"/>
        <v>3.4900000000000002</v>
      </c>
      <c r="G34" s="28">
        <f t="shared" si="0"/>
        <v>40.359999999999999</v>
      </c>
      <c r="H34" s="28">
        <f t="shared" si="0"/>
        <v>19.579999999999998</v>
      </c>
      <c r="I34" s="28">
        <f t="shared" si="0"/>
        <v>1.51</v>
      </c>
      <c r="J34" s="28">
        <f t="shared" si="0"/>
        <v>0.10000000000000001</v>
      </c>
      <c r="K34" s="28">
        <f t="shared" si="0"/>
        <v>77.859999999999999</v>
      </c>
      <c r="L34" s="28">
        <f t="shared" si="0"/>
        <v>13.140000000000001</v>
      </c>
      <c r="M34" s="28">
        <f t="shared" si="0"/>
        <v>35.640000000000001</v>
      </c>
      <c r="N34" s="28">
        <f t="shared" si="0"/>
        <v>21.800000000000001</v>
      </c>
      <c r="O34" s="28">
        <f t="shared" si="0"/>
        <v>0</v>
      </c>
      <c r="P34" s="28">
        <f t="shared" si="0"/>
        <v>0.44</v>
      </c>
      <c r="Q34" s="28">
        <f t="shared" si="0"/>
        <v>0.17000000000000001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83.099999999999994</v>
      </c>
      <c r="C35" s="29">
        <f t="shared" si="1"/>
        <v>58.619999999999997</v>
      </c>
      <c r="D35" s="29">
        <f t="shared" si="1"/>
        <v>96.079999999999998</v>
      </c>
      <c r="E35" s="29">
        <f t="shared" si="1"/>
        <v>0.91000000000000003</v>
      </c>
      <c r="F35" s="29">
        <f t="shared" si="1"/>
        <v>23.82</v>
      </c>
      <c r="G35" s="29">
        <f t="shared" si="1"/>
        <v>193.53</v>
      </c>
      <c r="H35" s="29">
        <f t="shared" si="1"/>
        <v>99.489999999999995</v>
      </c>
      <c r="I35" s="29">
        <f t="shared" si="1"/>
        <v>1.6100000000000001</v>
      </c>
      <c r="J35" s="29">
        <f t="shared" si="1"/>
        <v>1.1599999999999999</v>
      </c>
      <c r="K35" s="29">
        <f t="shared" si="1"/>
        <v>359.06999999999999</v>
      </c>
      <c r="L35" s="29">
        <f t="shared" si="1"/>
        <v>27.75</v>
      </c>
      <c r="M35" s="29">
        <f t="shared" si="1"/>
        <v>98.180000000000007</v>
      </c>
      <c r="N35" s="29">
        <f t="shared" si="1"/>
        <v>776.5</v>
      </c>
      <c r="O35" s="29">
        <f t="shared" si="1"/>
        <v>0</v>
      </c>
      <c r="P35" s="29">
        <f t="shared" si="1"/>
        <v>2.3799999999999999</v>
      </c>
      <c r="Q35" s="29">
        <f t="shared" si="1"/>
        <v>15.81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45.625833333333333</v>
      </c>
      <c r="C36" s="28">
        <f t="shared" si="2"/>
        <v>49.762499999999996</v>
      </c>
      <c r="D36" s="28">
        <f t="shared" si="2"/>
        <v>64.589166666666671</v>
      </c>
      <c r="E36" s="28">
        <f t="shared" si="2"/>
        <v>0.54833333333333323</v>
      </c>
      <c r="F36" s="28">
        <f t="shared" si="2"/>
        <v>8.5162500000000012</v>
      </c>
      <c r="G36" s="28">
        <f t="shared" si="2"/>
        <v>110.89249999999998</v>
      </c>
      <c r="H36" s="28">
        <f t="shared" si="2"/>
        <v>41.579999999999998</v>
      </c>
      <c r="I36" s="28">
        <f t="shared" si="2"/>
        <v>1.5545833333333337</v>
      </c>
      <c r="J36" s="28">
        <f t="shared" si="2"/>
        <v>0.41499999999999998</v>
      </c>
      <c r="K36" s="28">
        <f t="shared" si="2"/>
        <v>232.21291666666673</v>
      </c>
      <c r="L36" s="28">
        <f t="shared" si="2"/>
        <v>19.269166666666667</v>
      </c>
      <c r="M36" s="28">
        <f t="shared" si="2"/>
        <v>67.552916666666675</v>
      </c>
      <c r="N36" s="28">
        <f t="shared" si="2"/>
        <v>209.85833333333332</v>
      </c>
      <c r="O36" s="28">
        <f t="shared" si="2"/>
        <v>0</v>
      </c>
      <c r="P36" s="28">
        <f t="shared" si="2"/>
        <v>0.97916666666666663</v>
      </c>
      <c r="Q36" s="28">
        <f t="shared" si="2"/>
        <v>8.8025000000000002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23.337105352461418</v>
      </c>
      <c r="C37" s="28">
        <f t="shared" si="3" ref="C37:Q37">STDEV(C9:C32)</f>
        <v>4.3941505089894415</v>
      </c>
      <c r="D37" s="28">
        <f t="shared" si="3"/>
        <v>19.179751305606786</v>
      </c>
      <c r="E37" s="28">
        <f t="shared" si="3"/>
        <v>0.15865375662981834</v>
      </c>
      <c r="F37" s="28">
        <f t="shared" si="3"/>
        <v>6.6996247867032608</v>
      </c>
      <c r="G37" s="28">
        <f t="shared" si="3"/>
        <v>52.457651180655297</v>
      </c>
      <c r="H37" s="28">
        <f t="shared" si="3"/>
        <v>22.579276377668315</v>
      </c>
      <c r="I37" s="28">
        <f t="shared" si="3"/>
        <v>0.025872457517039538</v>
      </c>
      <c r="J37" s="28">
        <f t="shared" si="3"/>
        <v>0.33914214026621331</v>
      </c>
      <c r="K37" s="28">
        <f t="shared" si="3"/>
        <v>116.51069219376821</v>
      </c>
      <c r="L37" s="28">
        <f t="shared" si="3"/>
        <v>4.0908922346307435</v>
      </c>
      <c r="M37" s="28">
        <f t="shared" si="3"/>
        <v>22.074873869188437</v>
      </c>
      <c r="N37" s="28">
        <f t="shared" si="3"/>
        <v>282.5096364907663</v>
      </c>
      <c r="O37" s="28">
        <f t="shared" si="3"/>
        <v>0</v>
      </c>
      <c r="P37" s="28">
        <f t="shared" si="3"/>
        <v>0.50354324253379568</v>
      </c>
      <c r="Q37" s="28">
        <f t="shared" si="3"/>
        <v>4.1476344751111327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25988a-3c43-4963-beaf-ef6b69d4f53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40.60</v>
      </c>
      <c r="C9" s="54">
        <v>52.98</v>
      </c>
      <c r="D9" s="54">
        <v>62.44</v>
      </c>
      <c r="E9" s="54">
        <v>0.33</v>
      </c>
      <c r="F9" s="54">
        <v>8.5299999999999994</v>
      </c>
      <c r="G9" s="54">
        <v>121.62</v>
      </c>
      <c r="H9" s="54">
        <v>47.49</v>
      </c>
      <c r="I9" s="54">
        <v>1.56</v>
      </c>
      <c r="J9" s="54">
        <v>0.16</v>
      </c>
      <c r="K9" s="54">
        <v>271.18</v>
      </c>
      <c r="L9" s="54">
        <v>16.32</v>
      </c>
      <c r="M9" s="54">
        <v>75.900000000000006</v>
      </c>
      <c r="N9" s="54">
        <v>22.30</v>
      </c>
      <c r="O9" s="54">
        <v>0</v>
      </c>
      <c r="P9" s="54">
        <v>0.67</v>
      </c>
      <c r="Q9" s="54">
        <v>9.9600000000000009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29.87</v>
      </c>
      <c r="C10" s="54">
        <v>50.67</v>
      </c>
      <c r="D10" s="54">
        <v>52.56</v>
      </c>
      <c r="E10" s="54">
        <v>0.34</v>
      </c>
      <c r="F10" s="54">
        <v>7.62</v>
      </c>
      <c r="G10" s="54">
        <v>87.60</v>
      </c>
      <c r="H10" s="54">
        <v>34.78</v>
      </c>
      <c r="I10" s="54">
        <v>1.55</v>
      </c>
      <c r="J10" s="54">
        <v>0.18</v>
      </c>
      <c r="K10" s="54">
        <v>316.45999999999998</v>
      </c>
      <c r="L10" s="54">
        <v>15.53</v>
      </c>
      <c r="M10" s="54">
        <v>90.58</v>
      </c>
      <c r="N10" s="54">
        <v>22.60</v>
      </c>
      <c r="O10" s="54">
        <v>0</v>
      </c>
      <c r="P10" s="54">
        <v>0.5</v>
      </c>
      <c r="Q10" s="54">
        <v>8.94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24.20</v>
      </c>
      <c r="C11" s="54">
        <v>47.58</v>
      </c>
      <c r="D11" s="54">
        <v>46.31</v>
      </c>
      <c r="E11" s="54">
        <v>0.33</v>
      </c>
      <c r="F11" s="54">
        <v>3.73</v>
      </c>
      <c r="G11" s="54">
        <v>83.53</v>
      </c>
      <c r="H11" s="54">
        <v>41.90</v>
      </c>
      <c r="I11" s="54">
        <v>1.52</v>
      </c>
      <c r="J11" s="54">
        <v>0.08</v>
      </c>
      <c r="K11" s="54">
        <v>292.80</v>
      </c>
      <c r="L11" s="54">
        <v>14.03</v>
      </c>
      <c r="M11" s="54">
        <v>97.52</v>
      </c>
      <c r="N11" s="54">
        <v>22.30</v>
      </c>
      <c r="O11" s="54">
        <v>0</v>
      </c>
      <c r="P11" s="54">
        <v>0.68</v>
      </c>
      <c r="Q11" s="54">
        <v>6.36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23.01</v>
      </c>
      <c r="C12" s="54">
        <v>45.95</v>
      </c>
      <c r="D12" s="54">
        <v>44.44</v>
      </c>
      <c r="E12" s="54">
        <v>0.36</v>
      </c>
      <c r="F12" s="54">
        <v>3.81</v>
      </c>
      <c r="G12" s="54">
        <v>108.09</v>
      </c>
      <c r="H12" s="54">
        <v>55.62</v>
      </c>
      <c r="I12" s="54">
        <v>1.57</v>
      </c>
      <c r="J12" s="54">
        <v>0.12</v>
      </c>
      <c r="K12" s="54">
        <v>264.13</v>
      </c>
      <c r="L12" s="54">
        <v>13.70</v>
      </c>
      <c r="M12" s="54">
        <v>97.47</v>
      </c>
      <c r="N12" s="54">
        <v>22.30</v>
      </c>
      <c r="O12" s="54">
        <v>0</v>
      </c>
      <c r="P12" s="54">
        <v>0.77</v>
      </c>
      <c r="Q12" s="54">
        <v>6.30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26.29</v>
      </c>
      <c r="C13" s="54">
        <v>45.58</v>
      </c>
      <c r="D13" s="54">
        <v>46.89</v>
      </c>
      <c r="E13" s="54">
        <v>0.42</v>
      </c>
      <c r="F13" s="54">
        <v>3.44</v>
      </c>
      <c r="G13" s="54">
        <v>129.41999999999999</v>
      </c>
      <c r="H13" s="54">
        <v>75.989999999999995</v>
      </c>
      <c r="I13" s="54">
        <v>1.56</v>
      </c>
      <c r="J13" s="54">
        <v>0.19</v>
      </c>
      <c r="K13" s="54">
        <v>74.459999999999994</v>
      </c>
      <c r="L13" s="54">
        <v>13.57</v>
      </c>
      <c r="M13" s="54">
        <v>98.16</v>
      </c>
      <c r="N13" s="54">
        <v>22.30</v>
      </c>
      <c r="O13" s="54">
        <v>0</v>
      </c>
      <c r="P13" s="54">
        <v>1.1200000000000001</v>
      </c>
      <c r="Q13" s="54">
        <v>5.0599999999999996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27.32</v>
      </c>
      <c r="C14" s="54">
        <v>45.52</v>
      </c>
      <c r="D14" s="54">
        <v>47.35</v>
      </c>
      <c r="E14" s="54">
        <v>0.37</v>
      </c>
      <c r="F14" s="54">
        <v>3.94</v>
      </c>
      <c r="G14" s="54">
        <v>129.41999999999999</v>
      </c>
      <c r="H14" s="54">
        <v>75.989999999999995</v>
      </c>
      <c r="I14" s="54">
        <v>1.56</v>
      </c>
      <c r="J14" s="54">
        <v>0.17</v>
      </c>
      <c r="K14" s="54">
        <v>349.30</v>
      </c>
      <c r="L14" s="54">
        <v>13.53</v>
      </c>
      <c r="M14" s="54">
        <v>94.43</v>
      </c>
      <c r="N14" s="54">
        <v>22.60</v>
      </c>
      <c r="O14" s="54">
        <v>0</v>
      </c>
      <c r="P14" s="54">
        <v>0.85</v>
      </c>
      <c r="Q14" s="54">
        <v>7.20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38.43</v>
      </c>
      <c r="C15" s="54">
        <v>45.07</v>
      </c>
      <c r="D15" s="54">
        <v>56.34</v>
      </c>
      <c r="E15" s="54">
        <v>0.47</v>
      </c>
      <c r="F15" s="54">
        <v>3.80</v>
      </c>
      <c r="G15" s="54">
        <v>101.28</v>
      </c>
      <c r="H15" s="54">
        <v>55.16</v>
      </c>
      <c r="I15" s="54">
        <v>1.55</v>
      </c>
      <c r="J15" s="54">
        <v>0.18</v>
      </c>
      <c r="K15" s="54">
        <v>343.29</v>
      </c>
      <c r="L15" s="54">
        <v>13.32</v>
      </c>
      <c r="M15" s="54">
        <v>98.15</v>
      </c>
      <c r="N15" s="54">
        <v>57.80</v>
      </c>
      <c r="O15" s="54">
        <v>0</v>
      </c>
      <c r="P15" s="54">
        <v>0.98</v>
      </c>
      <c r="Q15" s="54">
        <v>4.78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43.71</v>
      </c>
      <c r="C16" s="54">
        <v>46.24</v>
      </c>
      <c r="D16" s="54">
        <v>61.16</v>
      </c>
      <c r="E16" s="54">
        <v>0.46</v>
      </c>
      <c r="F16" s="54">
        <v>4.6399999999999997</v>
      </c>
      <c r="G16" s="54">
        <v>99.40</v>
      </c>
      <c r="H16" s="54">
        <v>42.51</v>
      </c>
      <c r="I16" s="54">
        <v>1.51</v>
      </c>
      <c r="J16" s="54">
        <v>0.64</v>
      </c>
      <c r="K16" s="54">
        <v>104.91</v>
      </c>
      <c r="L16" s="54">
        <v>17.77</v>
      </c>
      <c r="M16" s="54">
        <v>89.27</v>
      </c>
      <c r="N16" s="54">
        <v>255.10</v>
      </c>
      <c r="O16" s="54">
        <v>0</v>
      </c>
      <c r="P16" s="54">
        <v>0.76</v>
      </c>
      <c r="Q16" s="54">
        <v>9.60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40.47</v>
      </c>
      <c r="C17" s="54">
        <v>50.54</v>
      </c>
      <c r="D17" s="54">
        <v>59.97</v>
      </c>
      <c r="E17" s="54">
        <v>0.91</v>
      </c>
      <c r="F17" s="54">
        <v>9.51</v>
      </c>
      <c r="G17" s="54">
        <v>95.74</v>
      </c>
      <c r="H17" s="54">
        <v>40.90</v>
      </c>
      <c r="I17" s="54">
        <v>1.48</v>
      </c>
      <c r="J17" s="54">
        <v>1.05</v>
      </c>
      <c r="K17" s="54">
        <v>348.39</v>
      </c>
      <c r="L17" s="54">
        <v>23.12</v>
      </c>
      <c r="M17" s="54">
        <v>57.94</v>
      </c>
      <c r="N17" s="54">
        <v>449.80</v>
      </c>
      <c r="O17" s="54">
        <v>0</v>
      </c>
      <c r="P17" s="54">
        <v>1.02</v>
      </c>
      <c r="Q17" s="54">
        <v>7.64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37.729999999999997</v>
      </c>
      <c r="C18" s="54">
        <v>52.64</v>
      </c>
      <c r="D18" s="54">
        <v>59.16</v>
      </c>
      <c r="E18" s="54">
        <v>0.94</v>
      </c>
      <c r="F18" s="54">
        <v>13.22</v>
      </c>
      <c r="G18" s="54">
        <v>100.07</v>
      </c>
      <c r="H18" s="54">
        <v>84.63</v>
      </c>
      <c r="I18" s="54">
        <v>1.55</v>
      </c>
      <c r="J18" s="54">
        <v>0.64</v>
      </c>
      <c r="K18" s="54">
        <v>355.72</v>
      </c>
      <c r="L18" s="54">
        <v>25.47</v>
      </c>
      <c r="M18" s="54">
        <v>48.58</v>
      </c>
      <c r="N18" s="54">
        <v>597.5</v>
      </c>
      <c r="O18" s="54">
        <v>0</v>
      </c>
      <c r="P18" s="54">
        <v>0.81</v>
      </c>
      <c r="Q18" s="54">
        <v>7.57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32.049999999999997</v>
      </c>
      <c r="C19" s="54">
        <v>58.70</v>
      </c>
      <c r="D19" s="54">
        <v>55.5</v>
      </c>
      <c r="E19" s="54">
        <v>1</v>
      </c>
      <c r="F19" s="54">
        <v>16.05</v>
      </c>
      <c r="G19" s="54">
        <v>100.07</v>
      </c>
      <c r="H19" s="54">
        <v>84.63</v>
      </c>
      <c r="I19" s="54">
        <v>1.52</v>
      </c>
      <c r="J19" s="54">
        <v>0.39</v>
      </c>
      <c r="K19" s="54">
        <v>59.95</v>
      </c>
      <c r="L19" s="54">
        <v>26.06</v>
      </c>
      <c r="M19" s="54">
        <v>46.81</v>
      </c>
      <c r="N19" s="54">
        <v>688.10</v>
      </c>
      <c r="O19" s="54">
        <v>0</v>
      </c>
      <c r="P19" s="54">
        <v>0.77</v>
      </c>
      <c r="Q19" s="54">
        <v>7.21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11.88</v>
      </c>
      <c r="C20" s="54">
        <v>61.5</v>
      </c>
      <c r="D20" s="54">
        <v>44.11</v>
      </c>
      <c r="E20" s="54">
        <v>0.90</v>
      </c>
      <c r="F20" s="54">
        <v>21.73</v>
      </c>
      <c r="G20" s="54">
        <v>86.90</v>
      </c>
      <c r="H20" s="54">
        <v>47.19</v>
      </c>
      <c r="I20" s="54">
        <v>1.54</v>
      </c>
      <c r="J20" s="54">
        <v>0.39</v>
      </c>
      <c r="K20" s="54">
        <v>117.92</v>
      </c>
      <c r="L20" s="54">
        <v>26.16</v>
      </c>
      <c r="M20" s="54">
        <v>44.53</v>
      </c>
      <c r="N20" s="54">
        <v>709.40</v>
      </c>
      <c r="O20" s="54">
        <v>0</v>
      </c>
      <c r="P20" s="54">
        <v>0.57999999999999996</v>
      </c>
      <c r="Q20" s="54">
        <v>5.71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7.55</v>
      </c>
      <c r="C21" s="54">
        <v>53.95</v>
      </c>
      <c r="D21" s="54">
        <v>36.47</v>
      </c>
      <c r="E21" s="54">
        <v>1.48</v>
      </c>
      <c r="F21" s="54">
        <v>33.85</v>
      </c>
      <c r="G21" s="54">
        <v>74.930000000000007</v>
      </c>
      <c r="H21" s="54">
        <v>35.18</v>
      </c>
      <c r="I21" s="54">
        <v>1.54</v>
      </c>
      <c r="J21" s="54">
        <v>1.06</v>
      </c>
      <c r="K21" s="54">
        <v>336.31</v>
      </c>
      <c r="L21" s="54">
        <v>25.53</v>
      </c>
      <c r="M21" s="54">
        <v>40.32</v>
      </c>
      <c r="N21" s="54">
        <v>699.40</v>
      </c>
      <c r="O21" s="54">
        <v>0</v>
      </c>
      <c r="P21" s="54">
        <v>0.54</v>
      </c>
      <c r="Q21" s="54">
        <v>4.63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6.82</v>
      </c>
      <c r="C22" s="54">
        <v>49.36</v>
      </c>
      <c r="D22" s="54">
        <v>33.36</v>
      </c>
      <c r="E22" s="54">
        <v>1.01</v>
      </c>
      <c r="F22" s="54">
        <v>16.239999999999998</v>
      </c>
      <c r="G22" s="54">
        <v>57.95</v>
      </c>
      <c r="H22" s="54">
        <v>29.37</v>
      </c>
      <c r="I22" s="54">
        <v>1.5</v>
      </c>
      <c r="J22" s="54">
        <v>0.54</v>
      </c>
      <c r="K22" s="54">
        <v>125.74</v>
      </c>
      <c r="L22" s="54">
        <v>25.04</v>
      </c>
      <c r="M22" s="54">
        <v>39.85</v>
      </c>
      <c r="N22" s="54">
        <v>612.5</v>
      </c>
      <c r="O22" s="54">
        <v>0</v>
      </c>
      <c r="P22" s="54">
        <v>0.53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3.55</v>
      </c>
      <c r="C23" s="54">
        <v>49.05</v>
      </c>
      <c r="D23" s="54">
        <v>30.56</v>
      </c>
      <c r="E23" s="54">
        <v>1.75</v>
      </c>
      <c r="F23" s="54">
        <v>40.880000000000003</v>
      </c>
      <c r="G23" s="54">
        <v>65.97</v>
      </c>
      <c r="H23" s="54">
        <v>26.09</v>
      </c>
      <c r="I23" s="54">
        <v>1.47</v>
      </c>
      <c r="J23" s="54">
        <v>0.78</v>
      </c>
      <c r="K23" s="54">
        <v>349.23</v>
      </c>
      <c r="L23" s="54">
        <v>25.34</v>
      </c>
      <c r="M23" s="54">
        <v>38.869999999999997</v>
      </c>
      <c r="N23" s="54">
        <v>207.80</v>
      </c>
      <c r="O23" s="54">
        <v>0</v>
      </c>
      <c r="P23" s="54">
        <v>0.62</v>
      </c>
      <c r="Q23" s="54">
        <v>4.87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3.78</v>
      </c>
      <c r="C24" s="54">
        <v>48.89</v>
      </c>
      <c r="D24" s="54">
        <v>30.66</v>
      </c>
      <c r="E24" s="54">
        <v>1.03</v>
      </c>
      <c r="F24" s="54">
        <v>23.79</v>
      </c>
      <c r="G24" s="54">
        <v>73.31</v>
      </c>
      <c r="H24" s="54">
        <v>38.03</v>
      </c>
      <c r="I24" s="54">
        <v>1.56</v>
      </c>
      <c r="J24" s="54">
        <v>0.49</v>
      </c>
      <c r="K24" s="54">
        <v>349.75</v>
      </c>
      <c r="L24" s="54">
        <v>22.92</v>
      </c>
      <c r="M24" s="54">
        <v>42.43</v>
      </c>
      <c r="N24" s="54">
        <v>130.10</v>
      </c>
      <c r="O24" s="54">
        <v>0</v>
      </c>
      <c r="P24" s="54">
        <v>0.90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5.99</v>
      </c>
      <c r="C25" s="54">
        <v>68.23</v>
      </c>
      <c r="D25" s="54">
        <v>43.08</v>
      </c>
      <c r="E25" s="54">
        <v>1.91</v>
      </c>
      <c r="F25" s="54">
        <v>21.31</v>
      </c>
      <c r="G25" s="54">
        <v>76.41</v>
      </c>
      <c r="H25" s="54">
        <v>39.450000000000003</v>
      </c>
      <c r="I25" s="54">
        <v>1.56</v>
      </c>
      <c r="J25" s="54">
        <v>0.45</v>
      </c>
      <c r="K25" s="54">
        <v>348.40</v>
      </c>
      <c r="L25" s="54">
        <v>22.71</v>
      </c>
      <c r="M25" s="54">
        <v>49.77</v>
      </c>
      <c r="N25" s="54">
        <v>73.599999999999994</v>
      </c>
      <c r="O25" s="54">
        <v>0</v>
      </c>
      <c r="P25" s="54">
        <v>1.1399999999999999</v>
      </c>
      <c r="Q25" s="54">
        <v>1.54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14.06</v>
      </c>
      <c r="C26" s="54">
        <v>69.83</v>
      </c>
      <c r="D26" s="54">
        <v>49.16</v>
      </c>
      <c r="E26" s="54">
        <v>1.45</v>
      </c>
      <c r="F26" s="54">
        <v>6.08</v>
      </c>
      <c r="G26" s="54">
        <v>186.02</v>
      </c>
      <c r="H26" s="54">
        <v>49.65</v>
      </c>
      <c r="I26" s="54">
        <v>1.54</v>
      </c>
      <c r="J26" s="54">
        <v>0.17</v>
      </c>
      <c r="K26" s="54">
        <v>67.349999999999994</v>
      </c>
      <c r="L26" s="54">
        <v>20.56</v>
      </c>
      <c r="M26" s="54">
        <v>56.12</v>
      </c>
      <c r="N26" s="54">
        <v>26.60</v>
      </c>
      <c r="O26" s="54">
        <v>0</v>
      </c>
      <c r="P26" s="54">
        <v>1.81</v>
      </c>
      <c r="Q26" s="54">
        <v>0.06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23.22</v>
      </c>
      <c r="C27" s="54">
        <v>67.099999999999994</v>
      </c>
      <c r="D27" s="54">
        <v>56.09</v>
      </c>
      <c r="E27" s="54">
        <v>1.23</v>
      </c>
      <c r="F27" s="54">
        <v>3.98</v>
      </c>
      <c r="G27" s="54">
        <v>186.02</v>
      </c>
      <c r="H27" s="54">
        <v>57.72</v>
      </c>
      <c r="I27" s="54">
        <v>1.54</v>
      </c>
      <c r="J27" s="54">
        <v>0.18</v>
      </c>
      <c r="K27" s="54">
        <v>344.69</v>
      </c>
      <c r="L27" s="54">
        <v>18.93</v>
      </c>
      <c r="M27" s="54">
        <v>64.150000000000006</v>
      </c>
      <c r="N27" s="54">
        <v>22.70</v>
      </c>
      <c r="O27" s="54">
        <v>0</v>
      </c>
      <c r="P27" s="54">
        <v>2.27</v>
      </c>
      <c r="Q27" s="5" t="s">
        <v>14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28.85</v>
      </c>
      <c r="C28" s="54">
        <v>67.02</v>
      </c>
      <c r="D28" s="54">
        <v>60.77</v>
      </c>
      <c r="E28" s="54">
        <v>1.1000000000000001</v>
      </c>
      <c r="F28" s="54">
        <v>6.17</v>
      </c>
      <c r="G28" s="54">
        <v>157.59</v>
      </c>
      <c r="H28" s="54">
        <v>60.74</v>
      </c>
      <c r="I28" s="54">
        <v>1.53</v>
      </c>
      <c r="J28" s="54">
        <v>0.26</v>
      </c>
      <c r="K28" s="54">
        <v>339.85</v>
      </c>
      <c r="L28" s="54">
        <v>18.579999999999998</v>
      </c>
      <c r="M28" s="54">
        <v>60.77</v>
      </c>
      <c r="N28" s="54">
        <v>22.30</v>
      </c>
      <c r="O28" s="54">
        <v>0</v>
      </c>
      <c r="P28" s="54">
        <v>2.0299999999999998</v>
      </c>
      <c r="Q28" s="54">
        <v>4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29.10</v>
      </c>
      <c r="C29" s="54">
        <v>66.84</v>
      </c>
      <c r="D29" s="54">
        <v>60.74</v>
      </c>
      <c r="E29" s="54">
        <v>0.67</v>
      </c>
      <c r="F29" s="54">
        <v>6.75</v>
      </c>
      <c r="G29" s="54">
        <v>151.63</v>
      </c>
      <c r="H29" s="54">
        <v>60.74</v>
      </c>
      <c r="I29" s="54">
        <v>1.5</v>
      </c>
      <c r="J29" s="54">
        <v>0.18</v>
      </c>
      <c r="K29" s="54">
        <v>338.88</v>
      </c>
      <c r="L29" s="54">
        <v>18.14</v>
      </c>
      <c r="M29" s="54">
        <v>62.65</v>
      </c>
      <c r="N29" s="54">
        <v>22.30</v>
      </c>
      <c r="O29" s="54">
        <v>0</v>
      </c>
      <c r="P29" s="54">
        <v>1.65</v>
      </c>
      <c r="Q29" s="54">
        <v>6.26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28.67</v>
      </c>
      <c r="C30" s="54">
        <v>65.80</v>
      </c>
      <c r="D30" s="54">
        <v>59.68</v>
      </c>
      <c r="E30" s="54">
        <v>0.47</v>
      </c>
      <c r="F30" s="54">
        <v>4.6900000000000004</v>
      </c>
      <c r="G30" s="54">
        <v>131.71</v>
      </c>
      <c r="H30" s="54">
        <v>53.41</v>
      </c>
      <c r="I30" s="54">
        <v>1.53</v>
      </c>
      <c r="J30" s="54">
        <v>0.17</v>
      </c>
      <c r="K30" s="54">
        <v>309.18</v>
      </c>
      <c r="L30" s="54">
        <v>17.52</v>
      </c>
      <c r="M30" s="54">
        <v>71.55</v>
      </c>
      <c r="N30" s="54">
        <v>22.60</v>
      </c>
      <c r="O30" s="54">
        <v>0</v>
      </c>
      <c r="P30" s="54">
        <v>1.24</v>
      </c>
      <c r="Q30" s="54">
        <v>5.44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32.46</v>
      </c>
      <c r="C31" s="54">
        <v>64.84</v>
      </c>
      <c r="D31" s="54">
        <v>61.91</v>
      </c>
      <c r="E31" s="54">
        <v>0.40</v>
      </c>
      <c r="F31" s="54">
        <v>4.04</v>
      </c>
      <c r="G31" s="54">
        <v>149.03</v>
      </c>
      <c r="H31" s="54">
        <v>55.04</v>
      </c>
      <c r="I31" s="54">
        <v>1.56</v>
      </c>
      <c r="J31" s="54">
        <v>0.18</v>
      </c>
      <c r="K31" s="54">
        <v>319.11</v>
      </c>
      <c r="L31" s="54">
        <v>16.690000000000001</v>
      </c>
      <c r="M31" s="54">
        <v>78.349999999999994</v>
      </c>
      <c r="N31" s="54">
        <v>22.5</v>
      </c>
      <c r="O31" s="54">
        <v>0</v>
      </c>
      <c r="P31" s="54">
        <v>1.17</v>
      </c>
      <c r="Q31" s="54">
        <v>3.73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34.15</v>
      </c>
      <c r="C32" s="54">
        <v>63.33</v>
      </c>
      <c r="D32" s="54">
        <v>62.91</v>
      </c>
      <c r="E32" s="54">
        <v>0.41</v>
      </c>
      <c r="F32" s="54">
        <v>4.04</v>
      </c>
      <c r="G32" s="54">
        <v>149.03</v>
      </c>
      <c r="H32" s="54">
        <v>55.04</v>
      </c>
      <c r="I32" s="54">
        <v>1.55</v>
      </c>
      <c r="J32" s="54">
        <v>0.15</v>
      </c>
      <c r="K32" s="54">
        <v>291.85000000000002</v>
      </c>
      <c r="L32" s="54">
        <v>15.88</v>
      </c>
      <c r="M32" s="54">
        <v>80.97</v>
      </c>
      <c r="N32" s="54">
        <v>22.70</v>
      </c>
      <c r="O32" s="54">
        <v>0</v>
      </c>
      <c r="P32" s="54">
        <v>1</v>
      </c>
      <c r="Q32" s="54">
        <v>6.20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3.5499999999999998</v>
      </c>
      <c r="C34" s="28">
        <f t="shared" si="0"/>
        <v>45.07</v>
      </c>
      <c r="D34" s="28">
        <f t="shared" si="0"/>
        <v>30.559999999999999</v>
      </c>
      <c r="E34" s="28">
        <f t="shared" si="0"/>
        <v>0.33000000000000002</v>
      </c>
      <c r="F34" s="28">
        <f t="shared" si="0"/>
        <v>3.4399999999999999</v>
      </c>
      <c r="G34" s="28">
        <f t="shared" si="0"/>
        <v>57.950000000000003</v>
      </c>
      <c r="H34" s="28">
        <f t="shared" si="0"/>
        <v>26.09</v>
      </c>
      <c r="I34" s="28">
        <f t="shared" si="0"/>
        <v>1.47</v>
      </c>
      <c r="J34" s="28">
        <f t="shared" si="0"/>
        <v>0.080000000000000002</v>
      </c>
      <c r="K34" s="28">
        <f t="shared" si="0"/>
        <v>59.950000000000003</v>
      </c>
      <c r="L34" s="28">
        <f t="shared" si="0"/>
        <v>13.32</v>
      </c>
      <c r="M34" s="28">
        <f t="shared" si="0"/>
        <v>38.869999999999997</v>
      </c>
      <c r="N34" s="28">
        <f t="shared" si="0"/>
        <v>22.300000000000001</v>
      </c>
      <c r="O34" s="28">
        <f t="shared" si="0"/>
        <v>0</v>
      </c>
      <c r="P34" s="28">
        <f t="shared" si="0"/>
        <v>0.5</v>
      </c>
      <c r="Q34" s="28">
        <f t="shared" si="0"/>
        <v>0.059999999999999998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43.710000000000001</v>
      </c>
      <c r="C35" s="29">
        <f t="shared" si="1"/>
        <v>69.829999999999998</v>
      </c>
      <c r="D35" s="29">
        <f t="shared" si="1"/>
        <v>62.909999999999997</v>
      </c>
      <c r="E35" s="29">
        <f t="shared" si="1"/>
        <v>1.9099999999999999</v>
      </c>
      <c r="F35" s="29">
        <f t="shared" si="1"/>
        <v>40.880000000000003</v>
      </c>
      <c r="G35" s="29">
        <f t="shared" si="1"/>
        <v>186.02000000000001</v>
      </c>
      <c r="H35" s="29">
        <f t="shared" si="1"/>
        <v>84.629999999999995</v>
      </c>
      <c r="I35" s="29">
        <f t="shared" si="1"/>
        <v>1.5700000000000001</v>
      </c>
      <c r="J35" s="29">
        <f t="shared" si="1"/>
        <v>1.0600000000000001</v>
      </c>
      <c r="K35" s="29">
        <f t="shared" si="1"/>
        <v>355.72000000000003</v>
      </c>
      <c r="L35" s="29">
        <f t="shared" si="1"/>
        <v>26.16</v>
      </c>
      <c r="M35" s="29">
        <f t="shared" si="1"/>
        <v>98.159999999999997</v>
      </c>
      <c r="N35" s="29">
        <f t="shared" si="1"/>
        <v>709.39999999999998</v>
      </c>
      <c r="O35" s="29">
        <f t="shared" si="1"/>
        <v>0</v>
      </c>
      <c r="P35" s="29">
        <f t="shared" si="1"/>
        <v>2.27</v>
      </c>
      <c r="Q35" s="29">
        <f t="shared" si="1"/>
        <v>9.9600000000000009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24.739999999999998</v>
      </c>
      <c r="C36" s="28">
        <f t="shared" si="2"/>
        <v>55.717083333333328</v>
      </c>
      <c r="D36" s="28">
        <f t="shared" si="2"/>
        <v>50.900833333333338</v>
      </c>
      <c r="E36" s="28">
        <f t="shared" si="2"/>
        <v>0.8224999999999999</v>
      </c>
      <c r="F36" s="28">
        <f t="shared" si="2"/>
        <v>11.326666666666668</v>
      </c>
      <c r="G36" s="28">
        <f t="shared" si="2"/>
        <v>112.61416666666669</v>
      </c>
      <c r="H36" s="28">
        <f t="shared" si="2"/>
        <v>51.96875</v>
      </c>
      <c r="I36" s="28">
        <f t="shared" si="2"/>
        <v>1.5354166666666664</v>
      </c>
      <c r="J36" s="28">
        <f t="shared" si="2"/>
        <v>0.3666666666666667</v>
      </c>
      <c r="K36" s="28">
        <f t="shared" si="2"/>
        <v>267.45208333333335</v>
      </c>
      <c r="L36" s="28">
        <f t="shared" si="2"/>
        <v>19.434166666666663</v>
      </c>
      <c r="M36" s="28">
        <f t="shared" si="2"/>
        <v>67.714166666666657</v>
      </c>
      <c r="N36" s="28">
        <f t="shared" si="2"/>
        <v>199.05000000000007</v>
      </c>
      <c r="O36" s="28">
        <f t="shared" si="2"/>
        <v>0</v>
      </c>
      <c r="P36" s="28">
        <f t="shared" si="2"/>
        <v>1.0170833333333331</v>
      </c>
      <c r="Q36" s="28">
        <f t="shared" si="2"/>
        <v>5.8034782608695652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12.588563132428201</v>
      </c>
      <c r="C37" s="28">
        <f t="shared" si="3" ref="C37:Q37">STDEV(C9:C32)</f>
        <v>8.8399702336537747</v>
      </c>
      <c r="D37" s="28">
        <f t="shared" si="3"/>
        <v>10.523646630602753</v>
      </c>
      <c r="E37" s="28">
        <f t="shared" si="3"/>
        <v>0.48002038000213193</v>
      </c>
      <c r="F37" s="28">
        <f t="shared" si="3"/>
        <v>10.279646697814284</v>
      </c>
      <c r="G37" s="28">
        <f t="shared" si="3"/>
        <v>36.403573273807083</v>
      </c>
      <c r="H37" s="28">
        <f t="shared" si="3"/>
        <v>16.137093998529927</v>
      </c>
      <c r="I37" s="28">
        <f t="shared" si="3"/>
        <v>0.027023205272291576</v>
      </c>
      <c r="J37" s="28">
        <f t="shared" si="3"/>
        <v>0.28641208783494276</v>
      </c>
      <c r="K37" s="28">
        <f t="shared" si="3"/>
        <v>107.36701189516776</v>
      </c>
      <c r="L37" s="28">
        <f t="shared" si="3"/>
        <v>4.6141548914529196</v>
      </c>
      <c r="M37" s="28">
        <f t="shared" si="3"/>
        <v>21.54483453005702</v>
      </c>
      <c r="N37" s="28">
        <f t="shared" si="3"/>
        <v>262.94091582975682</v>
      </c>
      <c r="O37" s="28">
        <f t="shared" si="3"/>
        <v>0</v>
      </c>
      <c r="P37" s="28">
        <f t="shared" si="3"/>
        <v>0.48063797427881322</v>
      </c>
      <c r="Q37" s="28">
        <f t="shared" si="3"/>
        <v>2.2990365742981305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2fa19b-da5b-4888-858b-0e77a107be6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31.91</v>
      </c>
      <c r="C9" s="54">
        <v>60.04</v>
      </c>
      <c r="D9" s="54">
        <v>59.37</v>
      </c>
      <c r="E9" s="54">
        <v>0.5</v>
      </c>
      <c r="F9" s="54">
        <v>5.01</v>
      </c>
      <c r="G9" s="54">
        <v>139.22</v>
      </c>
      <c r="H9" s="54">
        <v>51.96</v>
      </c>
      <c r="I9" s="54">
        <v>1.58</v>
      </c>
      <c r="J9" s="54">
        <v>0.28999999999999998</v>
      </c>
      <c r="K9" s="54">
        <v>304.48</v>
      </c>
      <c r="L9" s="54">
        <v>15.53</v>
      </c>
      <c r="M9" s="54">
        <v>85.60</v>
      </c>
      <c r="N9" s="54">
        <v>22.90</v>
      </c>
      <c r="O9" s="54">
        <v>0</v>
      </c>
      <c r="P9" s="54">
        <v>0.63</v>
      </c>
      <c r="Q9" s="54">
        <v>7.31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30.23</v>
      </c>
      <c r="C10" s="54">
        <v>57.45</v>
      </c>
      <c r="D10" s="54">
        <v>56.59</v>
      </c>
      <c r="E10" s="54">
        <v>0.38</v>
      </c>
      <c r="F10" s="54">
        <v>5.05</v>
      </c>
      <c r="G10" s="54">
        <v>106.31</v>
      </c>
      <c r="H10" s="54">
        <v>51.41</v>
      </c>
      <c r="I10" s="54">
        <v>1.54</v>
      </c>
      <c r="J10" s="54">
        <v>0.16</v>
      </c>
      <c r="K10" s="54">
        <v>294.62</v>
      </c>
      <c r="L10" s="54">
        <v>15.45</v>
      </c>
      <c r="M10" s="54">
        <v>88.91</v>
      </c>
      <c r="N10" s="54">
        <v>22.90</v>
      </c>
      <c r="O10" s="54">
        <v>0</v>
      </c>
      <c r="P10" s="54">
        <v>0.47</v>
      </c>
      <c r="Q10" s="54">
        <v>8.08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26.74</v>
      </c>
      <c r="C11" s="54">
        <v>54</v>
      </c>
      <c r="D11" s="54">
        <v>51.89</v>
      </c>
      <c r="E11" s="54">
        <v>0.45</v>
      </c>
      <c r="F11" s="54">
        <v>11.99</v>
      </c>
      <c r="G11" s="54">
        <v>96.78</v>
      </c>
      <c r="H11" s="54">
        <v>42.17</v>
      </c>
      <c r="I11" s="54">
        <v>1.56</v>
      </c>
      <c r="J11" s="54">
        <v>0.52</v>
      </c>
      <c r="K11" s="54">
        <v>338.36</v>
      </c>
      <c r="L11" s="54">
        <v>14.78</v>
      </c>
      <c r="M11" s="54">
        <v>91.71</v>
      </c>
      <c r="N11" s="54">
        <v>23</v>
      </c>
      <c r="O11" s="54">
        <v>0</v>
      </c>
      <c r="P11" s="54">
        <v>0.53</v>
      </c>
      <c r="Q11" s="54">
        <v>9.40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23.86</v>
      </c>
      <c r="C12" s="54">
        <v>51.01</v>
      </c>
      <c r="D12" s="54">
        <v>46.87</v>
      </c>
      <c r="E12" s="54">
        <v>0.51</v>
      </c>
      <c r="F12" s="54">
        <v>3.60</v>
      </c>
      <c r="G12" s="54">
        <v>111.79</v>
      </c>
      <c r="H12" s="54">
        <v>51.97</v>
      </c>
      <c r="I12" s="54">
        <v>1.56</v>
      </c>
      <c r="J12" s="54">
        <v>0.11</v>
      </c>
      <c r="K12" s="54">
        <v>325.08999999999997</v>
      </c>
      <c r="L12" s="54">
        <v>13.78</v>
      </c>
      <c r="M12" s="54">
        <v>98.15</v>
      </c>
      <c r="N12" s="54">
        <v>22.80</v>
      </c>
      <c r="O12" s="54">
        <v>0</v>
      </c>
      <c r="P12" s="54">
        <v>0.89</v>
      </c>
      <c r="Q12" s="54">
        <v>6.66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32.01</v>
      </c>
      <c r="C13" s="54">
        <v>48.13</v>
      </c>
      <c r="D13" s="54">
        <v>52.76</v>
      </c>
      <c r="E13" s="54">
        <v>0.73</v>
      </c>
      <c r="F13" s="54">
        <v>3.38</v>
      </c>
      <c r="G13" s="54">
        <v>154.38999999999999</v>
      </c>
      <c r="H13" s="54">
        <v>68.88</v>
      </c>
      <c r="I13" s="54">
        <v>1.58</v>
      </c>
      <c r="J13" s="54">
        <v>0.10</v>
      </c>
      <c r="K13" s="54">
        <v>332.43</v>
      </c>
      <c r="L13" s="54">
        <v>13.02</v>
      </c>
      <c r="M13" s="54">
        <v>98.16</v>
      </c>
      <c r="N13" s="54">
        <v>22.5</v>
      </c>
      <c r="O13" s="54">
        <v>0</v>
      </c>
      <c r="P13" s="54">
        <v>1.1299999999999999</v>
      </c>
      <c r="Q13" s="54">
        <v>3.61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36.69</v>
      </c>
      <c r="C14" s="54">
        <v>47.77</v>
      </c>
      <c r="D14" s="54">
        <v>56.43</v>
      </c>
      <c r="E14" s="54">
        <v>0.65</v>
      </c>
      <c r="F14" s="54">
        <v>3.40</v>
      </c>
      <c r="G14" s="54">
        <v>154.38999999999999</v>
      </c>
      <c r="H14" s="54">
        <v>68.88</v>
      </c>
      <c r="I14" s="54">
        <v>1.54</v>
      </c>
      <c r="J14" s="54">
        <v>0.12</v>
      </c>
      <c r="K14" s="54">
        <v>76.83</v>
      </c>
      <c r="L14" s="54">
        <v>13.28</v>
      </c>
      <c r="M14" s="54">
        <v>98.17</v>
      </c>
      <c r="N14" s="54">
        <v>22.60</v>
      </c>
      <c r="O14" s="54">
        <v>0</v>
      </c>
      <c r="P14" s="54">
        <v>1.1200000000000001</v>
      </c>
      <c r="Q14" s="54">
        <v>6.37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53.13</v>
      </c>
      <c r="C15" s="54">
        <v>49.48</v>
      </c>
      <c r="D15" s="54">
        <v>70.56</v>
      </c>
      <c r="E15" s="54">
        <v>0.64</v>
      </c>
      <c r="F15" s="54">
        <v>3.77</v>
      </c>
      <c r="G15" s="54">
        <v>148.31</v>
      </c>
      <c r="H15" s="54">
        <v>67.650000000000006</v>
      </c>
      <c r="I15" s="54">
        <v>1.54</v>
      </c>
      <c r="J15" s="54">
        <v>0.10</v>
      </c>
      <c r="K15" s="54">
        <v>246.58</v>
      </c>
      <c r="L15" s="54">
        <v>13.31</v>
      </c>
      <c r="M15" s="54">
        <v>98.20</v>
      </c>
      <c r="N15" s="54">
        <v>59.20</v>
      </c>
      <c r="O15" s="54">
        <v>0</v>
      </c>
      <c r="P15" s="54">
        <v>1.22</v>
      </c>
      <c r="Q15" s="54">
        <v>3.09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56.32</v>
      </c>
      <c r="C16" s="54">
        <v>51.16</v>
      </c>
      <c r="D16" s="54">
        <v>74.05</v>
      </c>
      <c r="E16" s="54">
        <v>0.54</v>
      </c>
      <c r="F16" s="54">
        <v>3.69</v>
      </c>
      <c r="G16" s="54">
        <v>148.31</v>
      </c>
      <c r="H16" s="54">
        <v>67.180000000000007</v>
      </c>
      <c r="I16" s="54">
        <v>1.54</v>
      </c>
      <c r="J16" s="54">
        <v>0.12</v>
      </c>
      <c r="K16" s="54">
        <v>335.09</v>
      </c>
      <c r="L16" s="54">
        <v>16.39</v>
      </c>
      <c r="M16" s="54">
        <v>95.77</v>
      </c>
      <c r="N16" s="54">
        <v>225.70</v>
      </c>
      <c r="O16" s="54">
        <v>0</v>
      </c>
      <c r="P16" s="54">
        <v>1.1000000000000001</v>
      </c>
      <c r="Q16" s="54">
        <v>7.83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58.01</v>
      </c>
      <c r="C17" s="54">
        <v>54.33</v>
      </c>
      <c r="D17" s="54">
        <v>76.290000000000006</v>
      </c>
      <c r="E17" s="54">
        <v>0.47</v>
      </c>
      <c r="F17" s="54">
        <v>4.92</v>
      </c>
      <c r="G17" s="54">
        <v>161.90</v>
      </c>
      <c r="H17" s="54">
        <v>69.94</v>
      </c>
      <c r="I17" s="54">
        <v>1.57</v>
      </c>
      <c r="J17" s="54">
        <v>0.45</v>
      </c>
      <c r="K17" s="54">
        <v>139.11000000000001</v>
      </c>
      <c r="L17" s="54">
        <v>19.80</v>
      </c>
      <c r="M17" s="54">
        <v>74.06</v>
      </c>
      <c r="N17" s="54">
        <v>393.80</v>
      </c>
      <c r="O17" s="54">
        <v>0</v>
      </c>
      <c r="P17" s="54">
        <v>1.37</v>
      </c>
      <c r="Q17" s="54">
        <v>11.18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52.10</v>
      </c>
      <c r="C18" s="54">
        <v>57.23</v>
      </c>
      <c r="D18" s="54">
        <v>72.760000000000005</v>
      </c>
      <c r="E18" s="54">
        <v>0.40</v>
      </c>
      <c r="F18" s="54">
        <v>10.78</v>
      </c>
      <c r="G18" s="54">
        <v>161.90</v>
      </c>
      <c r="H18" s="54">
        <v>69.94</v>
      </c>
      <c r="I18" s="54">
        <v>1.52</v>
      </c>
      <c r="J18" s="54">
        <v>0.56000000000000005</v>
      </c>
      <c r="K18" s="54">
        <v>145.15</v>
      </c>
      <c r="L18" s="54">
        <v>22.10</v>
      </c>
      <c r="M18" s="54">
        <v>63.17</v>
      </c>
      <c r="N18" s="54">
        <v>600.90</v>
      </c>
      <c r="O18" s="54">
        <v>0</v>
      </c>
      <c r="P18" s="54">
        <v>0.89</v>
      </c>
      <c r="Q18" s="54">
        <v>11.85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37.340000000000003</v>
      </c>
      <c r="C19" s="54">
        <v>57.51</v>
      </c>
      <c r="D19" s="54">
        <v>61.68</v>
      </c>
      <c r="E19" s="54">
        <v>0.41</v>
      </c>
      <c r="F19" s="54">
        <v>12.40</v>
      </c>
      <c r="G19" s="54">
        <v>122.08</v>
      </c>
      <c r="H19" s="54">
        <v>36.49</v>
      </c>
      <c r="I19" s="54">
        <v>1.52</v>
      </c>
      <c r="J19" s="54">
        <v>0.62</v>
      </c>
      <c r="K19" s="54">
        <v>354.46</v>
      </c>
      <c r="L19" s="54">
        <v>25.01</v>
      </c>
      <c r="M19" s="54">
        <v>49.38</v>
      </c>
      <c r="N19" s="54">
        <v>701.30</v>
      </c>
      <c r="O19" s="54">
        <v>0</v>
      </c>
      <c r="P19" s="54">
        <v>0.74</v>
      </c>
      <c r="Q19" s="54">
        <v>10.44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24.35</v>
      </c>
      <c r="C20" s="54">
        <v>57.26</v>
      </c>
      <c r="D20" s="54">
        <v>51.77</v>
      </c>
      <c r="E20" s="54">
        <v>0.42</v>
      </c>
      <c r="F20" s="54">
        <v>11.61</v>
      </c>
      <c r="G20" s="54">
        <v>91.38</v>
      </c>
      <c r="H20" s="54">
        <v>36.49</v>
      </c>
      <c r="I20" s="54">
        <v>1.54</v>
      </c>
      <c r="J20" s="54">
        <v>0.73</v>
      </c>
      <c r="K20" s="54">
        <v>132.68</v>
      </c>
      <c r="L20" s="54">
        <v>23.69</v>
      </c>
      <c r="M20" s="54">
        <v>46.34</v>
      </c>
      <c r="N20" s="54">
        <v>711.20</v>
      </c>
      <c r="O20" s="54">
        <v>0</v>
      </c>
      <c r="P20" s="54">
        <v>0.64</v>
      </c>
      <c r="Q20" s="54">
        <v>7.53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12.48</v>
      </c>
      <c r="C21" s="54">
        <v>55.24</v>
      </c>
      <c r="D21" s="54">
        <v>41.14</v>
      </c>
      <c r="E21" s="54">
        <v>0.68</v>
      </c>
      <c r="F21" s="54">
        <v>31.71</v>
      </c>
      <c r="G21" s="54">
        <v>58.88</v>
      </c>
      <c r="H21" s="54">
        <v>30.26</v>
      </c>
      <c r="I21" s="54">
        <v>1.54</v>
      </c>
      <c r="J21" s="54">
        <v>1.01</v>
      </c>
      <c r="K21" s="54">
        <v>341.54</v>
      </c>
      <c r="L21" s="54">
        <v>27.13</v>
      </c>
      <c r="M21" s="54">
        <v>41.57</v>
      </c>
      <c r="N21" s="54">
        <v>702.30</v>
      </c>
      <c r="O21" s="54">
        <v>0</v>
      </c>
      <c r="P21" s="54">
        <v>0.55000000000000004</v>
      </c>
      <c r="Q21" s="54">
        <v>5.94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6.75</v>
      </c>
      <c r="C22" s="54">
        <v>54.44</v>
      </c>
      <c r="D22" s="54">
        <v>36.11</v>
      </c>
      <c r="E22" s="54">
        <v>0.49</v>
      </c>
      <c r="F22" s="54">
        <v>15.38</v>
      </c>
      <c r="G22" s="54">
        <v>53.79</v>
      </c>
      <c r="H22" s="54">
        <v>30.26</v>
      </c>
      <c r="I22" s="54">
        <v>1.55</v>
      </c>
      <c r="J22" s="54">
        <v>0.19</v>
      </c>
      <c r="K22" s="54">
        <v>326.55</v>
      </c>
      <c r="L22" s="54">
        <v>26.08</v>
      </c>
      <c r="M22" s="54">
        <v>36.53</v>
      </c>
      <c r="N22" s="54">
        <v>590.20000000000005</v>
      </c>
      <c r="O22" s="54">
        <v>0</v>
      </c>
      <c r="P22" s="54">
        <v>0.56000000000000005</v>
      </c>
      <c r="Q22" s="54">
        <v>5.12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4.66</v>
      </c>
      <c r="C23" s="54">
        <v>51.70</v>
      </c>
      <c r="D23" s="54">
        <v>32.479999999999997</v>
      </c>
      <c r="E23" s="54">
        <v>0.97</v>
      </c>
      <c r="F23" s="54">
        <v>33.5</v>
      </c>
      <c r="G23" s="54">
        <v>54.96</v>
      </c>
      <c r="H23" s="54">
        <v>27.5</v>
      </c>
      <c r="I23" s="54">
        <v>1.52</v>
      </c>
      <c r="J23" s="54">
        <v>0.54</v>
      </c>
      <c r="K23" s="54">
        <v>339.04</v>
      </c>
      <c r="L23" s="54">
        <v>25.65</v>
      </c>
      <c r="M23" s="54">
        <v>37.89</v>
      </c>
      <c r="N23" s="54">
        <v>213.80</v>
      </c>
      <c r="O23" s="54">
        <v>0</v>
      </c>
      <c r="P23" s="54">
        <v>0.56000000000000005</v>
      </c>
      <c r="Q23" s="54">
        <v>4.97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6.38</v>
      </c>
      <c r="C24" s="54">
        <v>52.05</v>
      </c>
      <c r="D24" s="54">
        <v>34.49</v>
      </c>
      <c r="E24" s="54">
        <v>1</v>
      </c>
      <c r="F24" s="54">
        <v>32.60</v>
      </c>
      <c r="G24" s="54">
        <v>55.78</v>
      </c>
      <c r="H24" s="54">
        <v>27.5</v>
      </c>
      <c r="I24" s="54">
        <v>1.55</v>
      </c>
      <c r="J24" s="54">
        <v>0.73</v>
      </c>
      <c r="K24" s="54">
        <v>347.55</v>
      </c>
      <c r="L24" s="54">
        <v>24.48</v>
      </c>
      <c r="M24" s="54">
        <v>39.76</v>
      </c>
      <c r="N24" s="54">
        <v>140.90</v>
      </c>
      <c r="O24" s="54">
        <v>0</v>
      </c>
      <c r="P24" s="54">
        <v>0.80</v>
      </c>
      <c r="Q24" s="54">
        <v>2.98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9.48</v>
      </c>
      <c r="C25" s="54">
        <v>55.65</v>
      </c>
      <c r="D25" s="54">
        <v>38.96</v>
      </c>
      <c r="E25" s="54">
        <v>0.96</v>
      </c>
      <c r="F25" s="54">
        <v>18.32</v>
      </c>
      <c r="G25" s="54">
        <v>82.99</v>
      </c>
      <c r="H25" s="54">
        <v>32.369999999999997</v>
      </c>
      <c r="I25" s="54">
        <v>1.55</v>
      </c>
      <c r="J25" s="54">
        <v>0.61</v>
      </c>
      <c r="K25" s="54">
        <v>355.07</v>
      </c>
      <c r="L25" s="54">
        <v>22.78</v>
      </c>
      <c r="M25" s="54">
        <v>45.65</v>
      </c>
      <c r="N25" s="54">
        <v>77.70</v>
      </c>
      <c r="O25" s="54">
        <v>0</v>
      </c>
      <c r="P25" s="54">
        <v>1.21</v>
      </c>
      <c r="Q25" s="54">
        <v>0.12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19.600000000000001</v>
      </c>
      <c r="C26" s="54">
        <v>63.38</v>
      </c>
      <c r="D26" s="54">
        <v>51.34</v>
      </c>
      <c r="E26" s="54">
        <v>0.54</v>
      </c>
      <c r="F26" s="54">
        <v>4.63</v>
      </c>
      <c r="G26" s="54">
        <v>93.07</v>
      </c>
      <c r="H26" s="54">
        <v>32.369999999999997</v>
      </c>
      <c r="I26" s="54">
        <v>1.58</v>
      </c>
      <c r="J26" s="54">
        <v>0.06</v>
      </c>
      <c r="K26" s="54">
        <v>121.10</v>
      </c>
      <c r="L26" s="54">
        <v>20.76</v>
      </c>
      <c r="M26" s="54">
        <v>55.95</v>
      </c>
      <c r="N26" s="54">
        <v>28.70</v>
      </c>
      <c r="O26" s="54">
        <v>0</v>
      </c>
      <c r="P26" s="54">
        <v>1.36</v>
      </c>
      <c r="Q26" s="54">
        <v>2.5099999999999998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33.43</v>
      </c>
      <c r="C27" s="54">
        <v>67.010000000000005</v>
      </c>
      <c r="D27" s="54">
        <v>64.44</v>
      </c>
      <c r="E27" s="54">
        <v>0.61</v>
      </c>
      <c r="F27" s="54">
        <v>3.94</v>
      </c>
      <c r="G27" s="54">
        <v>202.17</v>
      </c>
      <c r="H27" s="54">
        <v>61.09</v>
      </c>
      <c r="I27" s="54">
        <v>1.55</v>
      </c>
      <c r="J27" s="54">
        <v>0.08</v>
      </c>
      <c r="K27" s="54">
        <v>312.64999999999998</v>
      </c>
      <c r="L27" s="54">
        <v>18.82</v>
      </c>
      <c r="M27" s="54">
        <v>63.88</v>
      </c>
      <c r="N27" s="54">
        <v>23.10</v>
      </c>
      <c r="O27" s="54">
        <v>0</v>
      </c>
      <c r="P27" s="54">
        <v>2.0699999999999998</v>
      </c>
      <c r="Q27" s="54">
        <v>2.69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40.56</v>
      </c>
      <c r="C28" s="54">
        <v>67.97</v>
      </c>
      <c r="D28" s="54">
        <v>70.680000000000007</v>
      </c>
      <c r="E28" s="54">
        <v>0.65</v>
      </c>
      <c r="F28" s="54">
        <v>3.95</v>
      </c>
      <c r="G28" s="54">
        <v>202.17</v>
      </c>
      <c r="H28" s="54">
        <v>69.92</v>
      </c>
      <c r="I28" s="54">
        <v>1.52</v>
      </c>
      <c r="J28" s="54">
        <v>0.37</v>
      </c>
      <c r="K28" s="54">
        <v>117.29</v>
      </c>
      <c r="L28" s="54">
        <v>18.95</v>
      </c>
      <c r="M28" s="54">
        <v>64.260000000000005</v>
      </c>
      <c r="N28" s="54">
        <v>23</v>
      </c>
      <c r="O28" s="54">
        <v>0</v>
      </c>
      <c r="P28" s="54">
        <v>2.33</v>
      </c>
      <c r="Q28" s="54">
        <v>5.16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41.60</v>
      </c>
      <c r="C29" s="54">
        <v>67.77</v>
      </c>
      <c r="D29" s="54">
        <v>71.41</v>
      </c>
      <c r="E29" s="54">
        <v>0.30</v>
      </c>
      <c r="F29" s="54">
        <v>5.38</v>
      </c>
      <c r="G29" s="54">
        <v>168.86</v>
      </c>
      <c r="H29" s="54">
        <v>69.92</v>
      </c>
      <c r="I29" s="54">
        <v>1.59</v>
      </c>
      <c r="J29" s="54">
        <v>0.74</v>
      </c>
      <c r="K29" s="54">
        <v>109.85</v>
      </c>
      <c r="L29" s="54">
        <v>19.09</v>
      </c>
      <c r="M29" s="54">
        <v>58.03</v>
      </c>
      <c r="N29" s="54">
        <v>23.30</v>
      </c>
      <c r="O29" s="54">
        <v>0</v>
      </c>
      <c r="P29" s="54">
        <v>1.58</v>
      </c>
      <c r="Q29" s="54">
        <v>7.93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34.47</v>
      </c>
      <c r="C30" s="54">
        <v>64.31</v>
      </c>
      <c r="D30" s="54">
        <v>63.78</v>
      </c>
      <c r="E30" s="54">
        <v>0.26</v>
      </c>
      <c r="F30" s="54">
        <v>6.22</v>
      </c>
      <c r="G30" s="54">
        <v>109.30</v>
      </c>
      <c r="H30" s="54">
        <v>54.36</v>
      </c>
      <c r="I30" s="54">
        <v>1.60</v>
      </c>
      <c r="J30" s="54">
        <v>0.40</v>
      </c>
      <c r="K30" s="54">
        <v>284.37</v>
      </c>
      <c r="L30" s="54">
        <v>18.489999999999998</v>
      </c>
      <c r="M30" s="54">
        <v>66.30</v>
      </c>
      <c r="N30" s="54">
        <v>23.60</v>
      </c>
      <c r="O30" s="54">
        <v>0</v>
      </c>
      <c r="P30" s="54">
        <v>1.38</v>
      </c>
      <c r="Q30" s="54">
        <v>7.08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34.90</v>
      </c>
      <c r="C31" s="54">
        <v>63.29</v>
      </c>
      <c r="D31" s="54">
        <v>63.56</v>
      </c>
      <c r="E31" s="54">
        <v>0.31</v>
      </c>
      <c r="F31" s="54">
        <v>10.02</v>
      </c>
      <c r="G31" s="54">
        <v>113.04</v>
      </c>
      <c r="H31" s="54">
        <v>49.53</v>
      </c>
      <c r="I31" s="54">
        <v>1.57</v>
      </c>
      <c r="J31" s="54">
        <v>0.84</v>
      </c>
      <c r="K31" s="54">
        <v>165.33</v>
      </c>
      <c r="L31" s="54">
        <v>18.59</v>
      </c>
      <c r="M31" s="54">
        <v>59.21</v>
      </c>
      <c r="N31" s="54">
        <v>23.5</v>
      </c>
      <c r="O31" s="54">
        <v>0</v>
      </c>
      <c r="P31" s="54">
        <v>0.80</v>
      </c>
      <c r="Q31" s="54">
        <v>8.81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28.79</v>
      </c>
      <c r="C32" s="54">
        <v>60.96</v>
      </c>
      <c r="D32" s="54">
        <v>57.38</v>
      </c>
      <c r="E32" s="54">
        <v>0.31</v>
      </c>
      <c r="F32" s="54">
        <v>8.1999999999999993</v>
      </c>
      <c r="G32" s="54">
        <v>113.04</v>
      </c>
      <c r="H32" s="54">
        <v>49.53</v>
      </c>
      <c r="I32" s="54">
        <v>1.53</v>
      </c>
      <c r="J32" s="54">
        <v>0.12</v>
      </c>
      <c r="K32" s="54">
        <v>189.08</v>
      </c>
      <c r="L32" s="54">
        <v>17.420000000000002</v>
      </c>
      <c r="M32" s="54">
        <v>71.010000000000005</v>
      </c>
      <c r="N32" s="54">
        <v>24</v>
      </c>
      <c r="O32" s="54">
        <v>0</v>
      </c>
      <c r="P32" s="54">
        <v>0.67</v>
      </c>
      <c r="Q32" s="54">
        <v>7.52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4.6600000000000001</v>
      </c>
      <c r="C34" s="28">
        <f t="shared" si="0"/>
        <v>47.770000000000003</v>
      </c>
      <c r="D34" s="28">
        <f t="shared" si="0"/>
        <v>32.479999999999997</v>
      </c>
      <c r="E34" s="28">
        <f t="shared" si="0"/>
        <v>0.26000000000000001</v>
      </c>
      <c r="F34" s="28">
        <f t="shared" si="0"/>
        <v>3.3799999999999999</v>
      </c>
      <c r="G34" s="28">
        <f t="shared" si="0"/>
        <v>53.789999999999999</v>
      </c>
      <c r="H34" s="28">
        <f t="shared" si="0"/>
        <v>27.5</v>
      </c>
      <c r="I34" s="28">
        <f t="shared" si="0"/>
        <v>1.52</v>
      </c>
      <c r="J34" s="28">
        <f t="shared" si="0"/>
        <v>0.059999999999999998</v>
      </c>
      <c r="K34" s="28">
        <f t="shared" si="0"/>
        <v>76.829999999999998</v>
      </c>
      <c r="L34" s="28">
        <f t="shared" si="0"/>
        <v>13.02</v>
      </c>
      <c r="M34" s="28">
        <f t="shared" si="0"/>
        <v>36.530000000000001</v>
      </c>
      <c r="N34" s="28">
        <f t="shared" si="0"/>
        <v>22.5</v>
      </c>
      <c r="O34" s="28">
        <f t="shared" si="0"/>
        <v>0</v>
      </c>
      <c r="P34" s="28">
        <f t="shared" si="0"/>
        <v>0.46999999999999997</v>
      </c>
      <c r="Q34" s="28">
        <f t="shared" si="0"/>
        <v>0.12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58.009999999999998</v>
      </c>
      <c r="C35" s="29">
        <f t="shared" si="1"/>
        <v>67.969999999999999</v>
      </c>
      <c r="D35" s="29">
        <f t="shared" si="1"/>
        <v>76.290000000000006</v>
      </c>
      <c r="E35" s="29">
        <f t="shared" si="1"/>
        <v>1</v>
      </c>
      <c r="F35" s="29">
        <f t="shared" si="1"/>
        <v>33.5</v>
      </c>
      <c r="G35" s="29">
        <f t="shared" si="1"/>
        <v>202.16999999999999</v>
      </c>
      <c r="H35" s="29">
        <f t="shared" si="1"/>
        <v>69.939999999999998</v>
      </c>
      <c r="I35" s="29">
        <f t="shared" si="1"/>
        <v>1.6000000000000001</v>
      </c>
      <c r="J35" s="29">
        <f t="shared" si="1"/>
        <v>1.01</v>
      </c>
      <c r="K35" s="29">
        <f t="shared" si="1"/>
        <v>355.06999999999999</v>
      </c>
      <c r="L35" s="29">
        <f t="shared" si="1"/>
        <v>27.129999999999999</v>
      </c>
      <c r="M35" s="29">
        <f t="shared" si="1"/>
        <v>98.200000000000003</v>
      </c>
      <c r="N35" s="29">
        <f t="shared" si="1"/>
        <v>711.20000000000005</v>
      </c>
      <c r="O35" s="29">
        <f t="shared" si="1"/>
        <v>0</v>
      </c>
      <c r="P35" s="29">
        <f t="shared" si="1"/>
        <v>2.3300000000000001</v>
      </c>
      <c r="Q35" s="29">
        <f t="shared" si="1"/>
        <v>11.85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30.657916666666665</v>
      </c>
      <c r="C36" s="28">
        <f t="shared" si="2"/>
        <v>57.047499999999992</v>
      </c>
      <c r="D36" s="28">
        <f t="shared" si="2"/>
        <v>56.532916666666672</v>
      </c>
      <c r="E36" s="28">
        <f t="shared" si="2"/>
        <v>0.54916666666666669</v>
      </c>
      <c r="F36" s="28">
        <f t="shared" si="2"/>
        <v>10.560416666666665</v>
      </c>
      <c r="G36" s="28">
        <f t="shared" si="2"/>
        <v>121.03375000000001</v>
      </c>
      <c r="H36" s="28">
        <f t="shared" si="2"/>
        <v>50.732083333333328</v>
      </c>
      <c r="I36" s="28">
        <f t="shared" si="2"/>
        <v>1.5516666666666667</v>
      </c>
      <c r="J36" s="28">
        <f t="shared" si="2"/>
        <v>0.39874999999999999</v>
      </c>
      <c r="K36" s="28">
        <f t="shared" si="2"/>
        <v>251.42916666666667</v>
      </c>
      <c r="L36" s="28">
        <f t="shared" si="2"/>
        <v>19.349166666666665</v>
      </c>
      <c r="M36" s="28">
        <f t="shared" si="2"/>
        <v>67.819166666666675</v>
      </c>
      <c r="N36" s="28">
        <f t="shared" si="2"/>
        <v>196.78750000000002</v>
      </c>
      <c r="O36" s="28">
        <f t="shared" si="2"/>
        <v>0</v>
      </c>
      <c r="P36" s="28">
        <f t="shared" si="2"/>
        <v>1.0250000000000001</v>
      </c>
      <c r="Q36" s="28">
        <f t="shared" si="2"/>
        <v>6.4241666666666681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15.543767373666748</v>
      </c>
      <c r="C37" s="28">
        <f t="shared" si="3" ref="C37:Q37">STDEV(C9:C32)</f>
        <v>6.137169897259378</v>
      </c>
      <c r="D37" s="28">
        <f t="shared" si="3"/>
        <v>13.16207248091091</v>
      </c>
      <c r="E37" s="28">
        <f t="shared" si="3"/>
        <v>0.20872108842573411</v>
      </c>
      <c r="F37" s="28">
        <f t="shared" si="3"/>
        <v>9.4664223438822805</v>
      </c>
      <c r="G37" s="28">
        <f t="shared" si="3"/>
        <v>43.793954795501477</v>
      </c>
      <c r="H37" s="28">
        <f t="shared" si="3"/>
        <v>15.99933313261544</v>
      </c>
      <c r="I37" s="28">
        <f t="shared" si="3"/>
        <v>0.023156681196967149</v>
      </c>
      <c r="J37" s="28">
        <f t="shared" si="3"/>
        <v>0.2863307983556021</v>
      </c>
      <c r="K37" s="28">
        <f t="shared" si="3"/>
        <v>98.452282280462484</v>
      </c>
      <c r="L37" s="28">
        <f t="shared" si="3"/>
        <v>4.4410984899123287</v>
      </c>
      <c r="M37" s="28">
        <f t="shared" si="3"/>
        <v>21.723246798056554</v>
      </c>
      <c r="N37" s="28">
        <f t="shared" si="3"/>
        <v>260.36886595500556</v>
      </c>
      <c r="O37" s="28">
        <f t="shared" si="3"/>
        <v>0</v>
      </c>
      <c r="P37" s="28">
        <f t="shared" si="3"/>
        <v>0.48537748644516432</v>
      </c>
      <c r="Q37" s="28">
        <f t="shared" si="3"/>
        <v>2.9412270681922297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137b3c-074d-469e-97fc-18a1b5cb8f86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23.99</v>
      </c>
      <c r="C9" s="54">
        <v>58.38</v>
      </c>
      <c r="D9" s="54">
        <v>52.10</v>
      </c>
      <c r="E9" s="54">
        <v>0.45</v>
      </c>
      <c r="F9" s="54">
        <v>5.76</v>
      </c>
      <c r="G9" s="54">
        <v>93.23</v>
      </c>
      <c r="H9" s="54">
        <v>40.479999999999997</v>
      </c>
      <c r="I9" s="54">
        <v>1.55</v>
      </c>
      <c r="J9" s="54">
        <v>0.09</v>
      </c>
      <c r="K9" s="54">
        <v>330.51</v>
      </c>
      <c r="L9" s="54">
        <v>16.100000000000001</v>
      </c>
      <c r="M9" s="54">
        <v>82.84</v>
      </c>
      <c r="N9" s="54">
        <v>23.60</v>
      </c>
      <c r="O9" s="54">
        <v>0</v>
      </c>
      <c r="P9" s="54">
        <v>0.57999999999999996</v>
      </c>
      <c r="Q9" s="54">
        <v>7.67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20.16</v>
      </c>
      <c r="C10" s="54">
        <v>55.25</v>
      </c>
      <c r="D10" s="54">
        <v>47.30</v>
      </c>
      <c r="E10" s="54">
        <v>0.43</v>
      </c>
      <c r="F10" s="54">
        <v>7.21</v>
      </c>
      <c r="G10" s="54">
        <v>73.760000000000005</v>
      </c>
      <c r="H10" s="54">
        <v>40.479999999999997</v>
      </c>
      <c r="I10" s="54">
        <v>1.51</v>
      </c>
      <c r="J10" s="54">
        <v>0.17</v>
      </c>
      <c r="K10" s="54">
        <v>323.73</v>
      </c>
      <c r="L10" s="54">
        <v>14.96</v>
      </c>
      <c r="M10" s="54">
        <v>88.14</v>
      </c>
      <c r="N10" s="54">
        <v>23.40</v>
      </c>
      <c r="O10" s="54">
        <v>0</v>
      </c>
      <c r="P10" s="54">
        <v>0.56000000000000005</v>
      </c>
      <c r="Q10" s="54">
        <v>6.73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15.98</v>
      </c>
      <c r="C11" s="54">
        <v>52.09</v>
      </c>
      <c r="D11" s="54">
        <v>42.21</v>
      </c>
      <c r="E11" s="54">
        <v>0.38</v>
      </c>
      <c r="F11" s="54">
        <v>9.1199999999999992</v>
      </c>
      <c r="G11" s="54">
        <v>73.69</v>
      </c>
      <c r="H11" s="54">
        <v>32.130000000000003</v>
      </c>
      <c r="I11" s="54">
        <v>1.62</v>
      </c>
      <c r="J11" s="54">
        <v>0.18</v>
      </c>
      <c r="K11" s="54">
        <v>315.05</v>
      </c>
      <c r="L11" s="54">
        <v>14.33</v>
      </c>
      <c r="M11" s="54">
        <v>89.98</v>
      </c>
      <c r="N11" s="54">
        <v>23.60</v>
      </c>
      <c r="O11" s="54">
        <v>0</v>
      </c>
      <c r="P11" s="54">
        <v>0.45</v>
      </c>
      <c r="Q11" s="54">
        <v>6.97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12.68</v>
      </c>
      <c r="C12" s="54">
        <v>49.57</v>
      </c>
      <c r="D12" s="54">
        <v>38.18</v>
      </c>
      <c r="E12" s="54">
        <v>0.39</v>
      </c>
      <c r="F12" s="54">
        <v>7.29</v>
      </c>
      <c r="G12" s="54">
        <v>62.67</v>
      </c>
      <c r="H12" s="54">
        <v>37.49</v>
      </c>
      <c r="I12" s="54">
        <v>1.58</v>
      </c>
      <c r="J12" s="54">
        <v>0.10</v>
      </c>
      <c r="K12" s="54">
        <v>300.61</v>
      </c>
      <c r="L12" s="54">
        <v>13.35</v>
      </c>
      <c r="M12" s="54">
        <v>96.81</v>
      </c>
      <c r="N12" s="54">
        <v>23.30</v>
      </c>
      <c r="O12" s="54">
        <v>0</v>
      </c>
      <c r="P12" s="54">
        <v>0.44</v>
      </c>
      <c r="Q12" s="54">
        <v>5.81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15.87</v>
      </c>
      <c r="C13" s="54">
        <v>49.17</v>
      </c>
      <c r="D13" s="54">
        <v>40.51</v>
      </c>
      <c r="E13" s="54">
        <v>0.35</v>
      </c>
      <c r="F13" s="54">
        <v>6</v>
      </c>
      <c r="G13" s="54">
        <v>66.17</v>
      </c>
      <c r="H13" s="54">
        <v>37.49</v>
      </c>
      <c r="I13" s="54">
        <v>1.51</v>
      </c>
      <c r="J13" s="54">
        <v>0.13</v>
      </c>
      <c r="K13" s="54">
        <v>313.35000000000002</v>
      </c>
      <c r="L13" s="54">
        <v>13.79</v>
      </c>
      <c r="M13" s="54">
        <v>97.06</v>
      </c>
      <c r="N13" s="54">
        <v>23.40</v>
      </c>
      <c r="O13" s="54">
        <v>0</v>
      </c>
      <c r="P13" s="54">
        <v>0.62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35.119999999999997</v>
      </c>
      <c r="C14" s="54">
        <v>51.67</v>
      </c>
      <c r="D14" s="54">
        <v>57.32</v>
      </c>
      <c r="E14" s="54">
        <v>0.49</v>
      </c>
      <c r="F14" s="54">
        <v>4.12</v>
      </c>
      <c r="G14" s="54">
        <v>148.18</v>
      </c>
      <c r="H14" s="54">
        <v>39.47</v>
      </c>
      <c r="I14" s="54">
        <v>1.53</v>
      </c>
      <c r="J14" s="54">
        <v>0.13</v>
      </c>
      <c r="K14" s="54">
        <v>292.70</v>
      </c>
      <c r="L14" s="54">
        <v>13.5</v>
      </c>
      <c r="M14" s="54">
        <v>98.19</v>
      </c>
      <c r="N14" s="54">
        <v>23.60</v>
      </c>
      <c r="O14" s="54">
        <v>0</v>
      </c>
      <c r="P14" s="54">
        <v>1</v>
      </c>
      <c r="Q14" s="54">
        <v>1.19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48.12</v>
      </c>
      <c r="C15" s="54">
        <v>52.12</v>
      </c>
      <c r="D15" s="54">
        <v>67.31</v>
      </c>
      <c r="E15" s="54">
        <v>0.53</v>
      </c>
      <c r="F15" s="54">
        <v>3.48</v>
      </c>
      <c r="G15" s="54">
        <v>148.18</v>
      </c>
      <c r="H15" s="54">
        <v>50.01</v>
      </c>
      <c r="I15" s="54">
        <v>1.56</v>
      </c>
      <c r="J15" s="54">
        <v>0.14000000000000001</v>
      </c>
      <c r="K15" s="54">
        <v>315.67</v>
      </c>
      <c r="L15" s="54">
        <v>13.26</v>
      </c>
      <c r="M15" s="54">
        <v>98.18</v>
      </c>
      <c r="N15" s="54">
        <v>59</v>
      </c>
      <c r="O15" s="54">
        <v>0</v>
      </c>
      <c r="P15" s="54">
        <v>1.1100000000000001</v>
      </c>
      <c r="Q15" s="54">
        <v>5.32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65.91</v>
      </c>
      <c r="C16" s="54">
        <v>52.69</v>
      </c>
      <c r="D16" s="54">
        <v>82.58</v>
      </c>
      <c r="E16" s="54">
        <v>0.60</v>
      </c>
      <c r="F16" s="54">
        <v>4.47</v>
      </c>
      <c r="G16" s="54">
        <v>187.81</v>
      </c>
      <c r="H16" s="54">
        <v>70.319999999999993</v>
      </c>
      <c r="I16" s="54">
        <v>1.54</v>
      </c>
      <c r="J16" s="54">
        <v>0.30</v>
      </c>
      <c r="K16" s="54">
        <v>91.66</v>
      </c>
      <c r="L16" s="54">
        <v>17.07</v>
      </c>
      <c r="M16" s="54">
        <v>97.48</v>
      </c>
      <c r="N16" s="54">
        <v>234.30</v>
      </c>
      <c r="O16" s="54">
        <v>0</v>
      </c>
      <c r="P16" s="54">
        <v>1.41</v>
      </c>
      <c r="Q16" s="54">
        <v>8.4600000000000009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65.709999999999994</v>
      </c>
      <c r="C17" s="54">
        <v>58.73</v>
      </c>
      <c r="D17" s="54">
        <v>83.06</v>
      </c>
      <c r="E17" s="54">
        <v>0.56000000000000005</v>
      </c>
      <c r="F17" s="54">
        <v>5.67</v>
      </c>
      <c r="G17" s="54">
        <v>187.81</v>
      </c>
      <c r="H17" s="54">
        <v>82.36</v>
      </c>
      <c r="I17" s="54">
        <v>1.54</v>
      </c>
      <c r="J17" s="54">
        <v>0.56999999999999995</v>
      </c>
      <c r="K17" s="54">
        <v>344.72</v>
      </c>
      <c r="L17" s="54">
        <v>20.82</v>
      </c>
      <c r="M17" s="54">
        <v>65.13</v>
      </c>
      <c r="N17" s="54">
        <v>291</v>
      </c>
      <c r="O17" s="54">
        <v>0</v>
      </c>
      <c r="P17" s="54">
        <v>1.42</v>
      </c>
      <c r="Q17" s="54">
        <v>11.18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56.33</v>
      </c>
      <c r="C18" s="54">
        <v>64.599999999999994</v>
      </c>
      <c r="D18" s="54">
        <v>79.010000000000005</v>
      </c>
      <c r="E18" s="54">
        <v>0.69</v>
      </c>
      <c r="F18" s="54">
        <v>8.27</v>
      </c>
      <c r="G18" s="54">
        <v>170.35</v>
      </c>
      <c r="H18" s="54">
        <v>82.36</v>
      </c>
      <c r="I18" s="54">
        <v>1.53</v>
      </c>
      <c r="J18" s="54">
        <v>0.34</v>
      </c>
      <c r="K18" s="54">
        <v>355.18</v>
      </c>
      <c r="L18" s="54">
        <v>24.28</v>
      </c>
      <c r="M18" s="54">
        <v>57.02</v>
      </c>
      <c r="N18" s="54">
        <v>536.70000000000005</v>
      </c>
      <c r="O18" s="54">
        <v>0</v>
      </c>
      <c r="P18" s="54">
        <v>1.42</v>
      </c>
      <c r="Q18" s="54">
        <v>10.67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42.58</v>
      </c>
      <c r="C19" s="54">
        <v>76</v>
      </c>
      <c r="D19" s="54">
        <v>71.09</v>
      </c>
      <c r="E19" s="54">
        <v>0.48</v>
      </c>
      <c r="F19" s="54">
        <v>17.53</v>
      </c>
      <c r="G19" s="54">
        <v>170.35</v>
      </c>
      <c r="H19" s="54">
        <v>79.59</v>
      </c>
      <c r="I19" s="54">
        <v>1.57</v>
      </c>
      <c r="J19" s="54">
        <v>1.38</v>
      </c>
      <c r="K19" s="54">
        <v>143.43</v>
      </c>
      <c r="L19" s="54">
        <v>23.81</v>
      </c>
      <c r="M19" s="54">
        <v>51</v>
      </c>
      <c r="N19" s="54">
        <v>662</v>
      </c>
      <c r="O19" s="54">
        <v>0</v>
      </c>
      <c r="P19" s="54">
        <v>1.25</v>
      </c>
      <c r="Q19" s="54">
        <v>9.19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14</v>
      </c>
      <c r="C20" s="54">
        <v>73.599999999999994</v>
      </c>
      <c r="D20" s="54">
        <v>52.49</v>
      </c>
      <c r="E20" s="54">
        <v>0.44</v>
      </c>
      <c r="F20" s="54">
        <v>31.81</v>
      </c>
      <c r="G20" s="54">
        <v>119.76</v>
      </c>
      <c r="H20" s="54">
        <v>72.28</v>
      </c>
      <c r="I20" s="54">
        <v>1.49</v>
      </c>
      <c r="J20" s="54">
        <v>0.97</v>
      </c>
      <c r="K20" s="54">
        <v>356.70</v>
      </c>
      <c r="L20" s="54">
        <v>27.79</v>
      </c>
      <c r="M20" s="54">
        <v>47.18</v>
      </c>
      <c r="N20" s="54">
        <v>691.5</v>
      </c>
      <c r="O20" s="54">
        <v>0</v>
      </c>
      <c r="P20" s="54">
        <v>0.81</v>
      </c>
      <c r="Q20" s="54">
        <v>8.26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5.59</v>
      </c>
      <c r="C21" s="54">
        <v>71.84</v>
      </c>
      <c r="D21" s="54">
        <v>44.78</v>
      </c>
      <c r="E21" s="54">
        <v>0.85</v>
      </c>
      <c r="F21" s="54">
        <v>48.45</v>
      </c>
      <c r="G21" s="54">
        <v>122.53</v>
      </c>
      <c r="H21" s="54">
        <v>52.54</v>
      </c>
      <c r="I21" s="54">
        <v>1.53</v>
      </c>
      <c r="J21" s="54">
        <v>0.40</v>
      </c>
      <c r="K21" s="54">
        <v>141.02000000000001</v>
      </c>
      <c r="L21" s="54">
        <v>26.09</v>
      </c>
      <c r="M21" s="54">
        <v>40.700000000000003</v>
      </c>
      <c r="N21" s="54">
        <v>580.90</v>
      </c>
      <c r="O21" s="54">
        <v>0</v>
      </c>
      <c r="P21" s="54">
        <v>0.69</v>
      </c>
      <c r="Q21" s="54">
        <v>4.6100000000000003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3.61</v>
      </c>
      <c r="C22" s="54">
        <v>66.89</v>
      </c>
      <c r="D22" s="54">
        <v>40.08</v>
      </c>
      <c r="E22" s="54">
        <v>1.68</v>
      </c>
      <c r="F22" s="54">
        <v>43.03</v>
      </c>
      <c r="G22" s="54">
        <v>122.53</v>
      </c>
      <c r="H22" s="54">
        <v>49.98</v>
      </c>
      <c r="I22" s="54">
        <v>1.56</v>
      </c>
      <c r="J22" s="54">
        <v>1.48</v>
      </c>
      <c r="K22" s="54">
        <v>348.45</v>
      </c>
      <c r="L22" s="54">
        <v>27.26</v>
      </c>
      <c r="M22" s="54">
        <v>39.18</v>
      </c>
      <c r="N22" s="54">
        <v>438.70</v>
      </c>
      <c r="O22" s="54">
        <v>0</v>
      </c>
      <c r="P22" s="54">
        <v>0.93</v>
      </c>
      <c r="Q22" s="54">
        <v>4.3099999999999996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4.17</v>
      </c>
      <c r="C23" s="54">
        <v>67.31</v>
      </c>
      <c r="D23" s="54">
        <v>40.840000000000003</v>
      </c>
      <c r="E23" s="54">
        <v>1.79</v>
      </c>
      <c r="F23" s="54">
        <v>35.40</v>
      </c>
      <c r="G23" s="54">
        <v>90.82</v>
      </c>
      <c r="H23" s="54">
        <v>49.98</v>
      </c>
      <c r="I23" s="54">
        <v>1.58</v>
      </c>
      <c r="J23" s="54">
        <v>1.28</v>
      </c>
      <c r="K23" s="54">
        <v>343.25</v>
      </c>
      <c r="L23" s="54">
        <v>26.89</v>
      </c>
      <c r="M23" s="54">
        <v>36.44</v>
      </c>
      <c r="N23" s="54">
        <v>229.70</v>
      </c>
      <c r="O23" s="54">
        <v>0</v>
      </c>
      <c r="P23" s="54">
        <v>0.64</v>
      </c>
      <c r="Q23" s="54">
        <v>4.4400000000000004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5.40</v>
      </c>
      <c r="C24" s="54">
        <v>64.91</v>
      </c>
      <c r="D24" s="54">
        <v>40.10</v>
      </c>
      <c r="E24" s="54">
        <v>1.64</v>
      </c>
      <c r="F24" s="54">
        <v>35.369999999999997</v>
      </c>
      <c r="G24" s="54">
        <v>67.489999999999995</v>
      </c>
      <c r="H24" s="54">
        <v>39.79</v>
      </c>
      <c r="I24" s="54">
        <v>1.55</v>
      </c>
      <c r="J24" s="54">
        <v>1.1399999999999999</v>
      </c>
      <c r="K24" s="54">
        <v>341.41</v>
      </c>
      <c r="L24" s="54">
        <v>24.95</v>
      </c>
      <c r="M24" s="54">
        <v>41.80</v>
      </c>
      <c r="N24" s="54">
        <v>142</v>
      </c>
      <c r="O24" s="54">
        <v>0</v>
      </c>
      <c r="P24" s="54">
        <v>0.72</v>
      </c>
      <c r="Q24" s="54">
        <v>4.1900000000000004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8.82</v>
      </c>
      <c r="C25" s="54">
        <v>66.63</v>
      </c>
      <c r="D25" s="54">
        <v>44.49</v>
      </c>
      <c r="E25" s="54">
        <v>1.24</v>
      </c>
      <c r="F25" s="54">
        <v>27.39</v>
      </c>
      <c r="G25" s="54">
        <v>93.20</v>
      </c>
      <c r="H25" s="54">
        <v>37.44</v>
      </c>
      <c r="I25" s="54">
        <v>1.52</v>
      </c>
      <c r="J25" s="54">
        <v>0.98</v>
      </c>
      <c r="K25" s="54">
        <v>349.36</v>
      </c>
      <c r="L25" s="54">
        <v>23.14</v>
      </c>
      <c r="M25" s="54">
        <v>50.08</v>
      </c>
      <c r="N25" s="54">
        <v>76.400000000000006</v>
      </c>
      <c r="O25" s="54">
        <v>0</v>
      </c>
      <c r="P25" s="54">
        <v>1.17</v>
      </c>
      <c r="Q25" s="54">
        <v>3.02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11.71</v>
      </c>
      <c r="C26" s="54">
        <v>73.16</v>
      </c>
      <c r="D26" s="54">
        <v>50.14</v>
      </c>
      <c r="E26" s="54">
        <v>0.60</v>
      </c>
      <c r="F26" s="54">
        <v>4.72</v>
      </c>
      <c r="G26" s="54">
        <v>109.13</v>
      </c>
      <c r="H26" s="54">
        <v>35.799999999999997</v>
      </c>
      <c r="I26" s="54">
        <v>1.51</v>
      </c>
      <c r="J26" s="54">
        <v>0.19</v>
      </c>
      <c r="K26" s="54">
        <v>74.349999999999994</v>
      </c>
      <c r="L26" s="54">
        <v>20.72</v>
      </c>
      <c r="M26" s="54">
        <v>72.14</v>
      </c>
      <c r="N26" s="54">
        <v>28.80</v>
      </c>
      <c r="O26" s="54">
        <v>0</v>
      </c>
      <c r="P26" s="54">
        <v>1.69</v>
      </c>
      <c r="Q26" s="54">
        <v>5.35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21.79</v>
      </c>
      <c r="C27" s="54">
        <v>72.28</v>
      </c>
      <c r="D27" s="54">
        <v>57.44</v>
      </c>
      <c r="E27" s="54">
        <v>0.59</v>
      </c>
      <c r="F27" s="54">
        <v>4.34</v>
      </c>
      <c r="G27" s="54">
        <v>122.90</v>
      </c>
      <c r="H27" s="54">
        <v>45.54</v>
      </c>
      <c r="I27" s="54">
        <v>1.54</v>
      </c>
      <c r="J27" s="54">
        <v>0.14000000000000001</v>
      </c>
      <c r="K27" s="54">
        <v>357.01</v>
      </c>
      <c r="L27" s="54">
        <v>18.98</v>
      </c>
      <c r="M27" s="54">
        <v>75.83</v>
      </c>
      <c r="N27" s="54">
        <v>24.20</v>
      </c>
      <c r="O27" s="54">
        <v>0</v>
      </c>
      <c r="P27" s="54">
        <v>2.25</v>
      </c>
      <c r="Q27" s="54">
        <v>1.64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27.46</v>
      </c>
      <c r="C28" s="54">
        <v>71.459999999999994</v>
      </c>
      <c r="D28" s="54">
        <v>61.73</v>
      </c>
      <c r="E28" s="54">
        <v>0.47</v>
      </c>
      <c r="F28" s="54">
        <v>5.12</v>
      </c>
      <c r="G28" s="54">
        <v>139.94999999999999</v>
      </c>
      <c r="H28" s="54">
        <v>55.60</v>
      </c>
      <c r="I28" s="54">
        <v>1.54</v>
      </c>
      <c r="J28" s="54">
        <v>0.11</v>
      </c>
      <c r="K28" s="54">
        <v>309.97000000000003</v>
      </c>
      <c r="L28" s="54">
        <v>18.66</v>
      </c>
      <c r="M28" s="54">
        <v>66.430000000000007</v>
      </c>
      <c r="N28" s="54">
        <v>24.20</v>
      </c>
      <c r="O28" s="54">
        <v>0</v>
      </c>
      <c r="P28" s="54">
        <v>2.17</v>
      </c>
      <c r="Q28" s="54">
        <v>3.13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35.869999999999997</v>
      </c>
      <c r="C29" s="54">
        <v>70.56</v>
      </c>
      <c r="D29" s="54">
        <v>67.83</v>
      </c>
      <c r="E29" s="54">
        <v>0.62</v>
      </c>
      <c r="F29" s="54">
        <v>4.22</v>
      </c>
      <c r="G29" s="54">
        <v>142.69</v>
      </c>
      <c r="H29" s="54">
        <v>58.14</v>
      </c>
      <c r="I29" s="54">
        <v>1.54</v>
      </c>
      <c r="J29" s="54">
        <v>0.15</v>
      </c>
      <c r="K29" s="54">
        <v>301.11</v>
      </c>
      <c r="L29" s="54">
        <v>17.82</v>
      </c>
      <c r="M29" s="54">
        <v>70.75</v>
      </c>
      <c r="N29" s="54">
        <v>24.20</v>
      </c>
      <c r="O29" s="54">
        <v>0</v>
      </c>
      <c r="P29" s="54">
        <v>2.16</v>
      </c>
      <c r="Q29" s="54">
        <v>3.25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50.26</v>
      </c>
      <c r="C30" s="54">
        <v>71.25</v>
      </c>
      <c r="D30" s="54">
        <v>80.27</v>
      </c>
      <c r="E30" s="54">
        <v>0.60</v>
      </c>
      <c r="F30" s="54">
        <v>3.82</v>
      </c>
      <c r="G30" s="54">
        <v>150.99</v>
      </c>
      <c r="H30" s="54">
        <v>59.40</v>
      </c>
      <c r="I30" s="54">
        <v>1.5</v>
      </c>
      <c r="J30" s="54">
        <v>0.24</v>
      </c>
      <c r="K30" s="54">
        <v>311.92</v>
      </c>
      <c r="L30" s="54">
        <v>17.170000000000002</v>
      </c>
      <c r="M30" s="54">
        <v>74.599999999999994</v>
      </c>
      <c r="N30" s="54">
        <v>24.10</v>
      </c>
      <c r="O30" s="54">
        <v>0</v>
      </c>
      <c r="P30" s="54">
        <v>1.94</v>
      </c>
      <c r="Q30" s="54">
        <v>3.33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52.53</v>
      </c>
      <c r="C31" s="54">
        <v>71.39</v>
      </c>
      <c r="D31" s="54">
        <v>82.17</v>
      </c>
      <c r="E31" s="54">
        <v>0.46</v>
      </c>
      <c r="F31" s="54">
        <v>3.68</v>
      </c>
      <c r="G31" s="54">
        <v>150.99</v>
      </c>
      <c r="H31" s="54">
        <v>59.40</v>
      </c>
      <c r="I31" s="54">
        <v>1.49</v>
      </c>
      <c r="J31" s="54">
        <v>0.52</v>
      </c>
      <c r="K31" s="54">
        <v>356.37</v>
      </c>
      <c r="L31" s="54">
        <v>17.59</v>
      </c>
      <c r="M31" s="54">
        <v>78.86</v>
      </c>
      <c r="N31" s="54">
        <v>24.70</v>
      </c>
      <c r="O31" s="54">
        <v>0</v>
      </c>
      <c r="P31" s="54">
        <v>1.59</v>
      </c>
      <c r="Q31" s="54">
        <v>8.6300000000000008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48.43</v>
      </c>
      <c r="C32" s="54">
        <v>68.62</v>
      </c>
      <c r="D32" s="54">
        <v>77.349999999999994</v>
      </c>
      <c r="E32" s="54">
        <v>0.34</v>
      </c>
      <c r="F32" s="54">
        <v>4.5599999999999996</v>
      </c>
      <c r="G32" s="54">
        <v>148.69</v>
      </c>
      <c r="H32" s="54">
        <v>58.92</v>
      </c>
      <c r="I32" s="54">
        <v>1.56</v>
      </c>
      <c r="J32" s="54">
        <v>0.22</v>
      </c>
      <c r="K32" s="54">
        <v>350.68</v>
      </c>
      <c r="L32" s="54">
        <v>16.100000000000001</v>
      </c>
      <c r="M32" s="54">
        <v>84.65</v>
      </c>
      <c r="N32" s="54">
        <v>24.5</v>
      </c>
      <c r="O32" s="54">
        <v>0</v>
      </c>
      <c r="P32" s="54">
        <v>1.26</v>
      </c>
      <c r="Q32" s="54">
        <v>10.76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3.6099999999999999</v>
      </c>
      <c r="C34" s="28">
        <f t="shared" si="0"/>
        <v>49.170000000000002</v>
      </c>
      <c r="D34" s="28">
        <f t="shared" si="0"/>
        <v>38.18</v>
      </c>
      <c r="E34" s="28">
        <f t="shared" si="0"/>
        <v>0.34000000000000002</v>
      </c>
      <c r="F34" s="28">
        <f t="shared" si="0"/>
        <v>3.48</v>
      </c>
      <c r="G34" s="28">
        <f t="shared" si="0"/>
        <v>62.670000000000002</v>
      </c>
      <c r="H34" s="28">
        <f t="shared" si="0"/>
        <v>32.130000000000003</v>
      </c>
      <c r="I34" s="28">
        <f t="shared" si="0"/>
        <v>1.49</v>
      </c>
      <c r="J34" s="28">
        <f t="shared" si="0"/>
        <v>0.089999999999999997</v>
      </c>
      <c r="K34" s="28">
        <f t="shared" si="0"/>
        <v>74.349999999999994</v>
      </c>
      <c r="L34" s="28">
        <f t="shared" si="0"/>
        <v>13.26</v>
      </c>
      <c r="M34" s="28">
        <f t="shared" si="0"/>
        <v>36.439999999999998</v>
      </c>
      <c r="N34" s="28">
        <f t="shared" si="0"/>
        <v>23.300000000000001</v>
      </c>
      <c r="O34" s="28">
        <f t="shared" si="0"/>
        <v>0</v>
      </c>
      <c r="P34" s="28">
        <f t="shared" si="0"/>
        <v>0.44</v>
      </c>
      <c r="Q34" s="28">
        <f t="shared" si="0"/>
        <v>1.1899999999999999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65.909999999999997</v>
      </c>
      <c r="C35" s="29">
        <f t="shared" si="1"/>
        <v>76</v>
      </c>
      <c r="D35" s="29">
        <f t="shared" si="1"/>
        <v>83.060000000000002</v>
      </c>
      <c r="E35" s="29">
        <f t="shared" si="1"/>
        <v>1.79</v>
      </c>
      <c r="F35" s="29">
        <f t="shared" si="1"/>
        <v>48.450000000000003</v>
      </c>
      <c r="G35" s="29">
        <f t="shared" si="1"/>
        <v>187.81</v>
      </c>
      <c r="H35" s="29">
        <f t="shared" si="1"/>
        <v>82.359999999999999</v>
      </c>
      <c r="I35" s="29">
        <f t="shared" si="1"/>
        <v>1.6200000000000001</v>
      </c>
      <c r="J35" s="29">
        <f t="shared" si="1"/>
        <v>1.48</v>
      </c>
      <c r="K35" s="29">
        <f t="shared" si="1"/>
        <v>357.00999999999999</v>
      </c>
      <c r="L35" s="29">
        <f t="shared" si="1"/>
        <v>27.789999999999999</v>
      </c>
      <c r="M35" s="29">
        <f t="shared" si="1"/>
        <v>98.189999999999998</v>
      </c>
      <c r="N35" s="29">
        <f t="shared" si="1"/>
        <v>691.5</v>
      </c>
      <c r="O35" s="29">
        <f t="shared" si="1"/>
        <v>0</v>
      </c>
      <c r="P35" s="29">
        <f t="shared" si="1"/>
        <v>2.25</v>
      </c>
      <c r="Q35" s="29">
        <f t="shared" si="1"/>
        <v>11.18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28.837083333333325</v>
      </c>
      <c r="C36" s="28">
        <f t="shared" si="2"/>
        <v>63.757083333333334</v>
      </c>
      <c r="D36" s="28">
        <f t="shared" si="2"/>
        <v>58.349166666666669</v>
      </c>
      <c r="E36" s="28">
        <f t="shared" si="2"/>
        <v>0.69458333333333344</v>
      </c>
      <c r="F36" s="28">
        <f t="shared" si="2"/>
        <v>13.784583333333336</v>
      </c>
      <c r="G36" s="28">
        <f t="shared" si="2"/>
        <v>123.49458333333331</v>
      </c>
      <c r="H36" s="28">
        <f t="shared" si="2"/>
        <v>52.791250000000012</v>
      </c>
      <c r="I36" s="28">
        <f t="shared" si="2"/>
        <v>1.5395833333333335</v>
      </c>
      <c r="J36" s="28">
        <f t="shared" si="2"/>
        <v>0.47291666666666671</v>
      </c>
      <c r="K36" s="28">
        <f t="shared" si="2"/>
        <v>294.50874999999996</v>
      </c>
      <c r="L36" s="28">
        <f t="shared" si="2"/>
        <v>19.517916666666668</v>
      </c>
      <c r="M36" s="28">
        <f t="shared" si="2"/>
        <v>70.852916666666673</v>
      </c>
      <c r="N36" s="28">
        <f t="shared" si="2"/>
        <v>177.4083333333333</v>
      </c>
      <c r="O36" s="28">
        <f t="shared" si="2"/>
        <v>0</v>
      </c>
      <c r="P36" s="28">
        <f t="shared" si="2"/>
        <v>1.1783333333333337</v>
      </c>
      <c r="Q36" s="28">
        <f t="shared" si="2"/>
        <v>5.9716666666666649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20.363315583616814</v>
      </c>
      <c r="C37" s="28">
        <f t="shared" si="3" ref="C37:Q37">STDEV(C9:C32)</f>
        <v>8.9206450727787647</v>
      </c>
      <c r="D37" s="28">
        <f t="shared" si="3"/>
        <v>16.120965532812949</v>
      </c>
      <c r="E37" s="28">
        <f t="shared" si="3"/>
        <v>0.43234425863079812</v>
      </c>
      <c r="F37" s="28">
        <f t="shared" si="3"/>
        <v>14.375959092138533</v>
      </c>
      <c r="G37" s="28">
        <f t="shared" si="3"/>
        <v>38.93624074428736</v>
      </c>
      <c r="H37" s="28">
        <f t="shared" si="3"/>
        <v>15.40833888078839</v>
      </c>
      <c r="I37" s="28">
        <f t="shared" si="3"/>
        <v>0.030854379812648807</v>
      </c>
      <c r="J37" s="28">
        <f t="shared" si="3"/>
        <v>0.45951277757383779</v>
      </c>
      <c r="K37" s="28">
        <f t="shared" si="3"/>
        <v>86.339613272869784</v>
      </c>
      <c r="L37" s="28">
        <f t="shared" si="3"/>
        <v>4.8864791086947301</v>
      </c>
      <c r="M37" s="28">
        <f t="shared" si="3"/>
        <v>21.097511800368022</v>
      </c>
      <c r="N37" s="28">
        <f t="shared" si="3"/>
        <v>229.22405768851664</v>
      </c>
      <c r="O37" s="28">
        <f t="shared" si="3"/>
        <v>0</v>
      </c>
      <c r="P37" s="28">
        <f t="shared" si="3"/>
        <v>0.5668039049500857</v>
      </c>
      <c r="Q37" s="28">
        <f t="shared" si="3"/>
        <v>2.8725986821005498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25bb6a-7485-4922-99de-bfe063d83df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43.55</v>
      </c>
      <c r="C9" s="54">
        <v>64.989999999999995</v>
      </c>
      <c r="D9" s="54">
        <v>71.44</v>
      </c>
      <c r="E9" s="54">
        <v>0.45</v>
      </c>
      <c r="F9" s="54">
        <v>3.93</v>
      </c>
      <c r="G9" s="54">
        <v>137.34</v>
      </c>
      <c r="H9" s="54">
        <v>57.15</v>
      </c>
      <c r="I9" s="54">
        <v>1.53</v>
      </c>
      <c r="J9" s="54">
        <v>0.09</v>
      </c>
      <c r="K9" s="54">
        <v>351.07</v>
      </c>
      <c r="L9" s="54">
        <v>15.65</v>
      </c>
      <c r="M9" s="54">
        <v>89.12</v>
      </c>
      <c r="N9" s="54">
        <v>24.40</v>
      </c>
      <c r="O9" s="54">
        <v>0</v>
      </c>
      <c r="P9" s="54">
        <v>1.07</v>
      </c>
      <c r="Q9" s="54">
        <v>10.45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37.44</v>
      </c>
      <c r="C10" s="54">
        <v>61.53</v>
      </c>
      <c r="D10" s="54">
        <v>64.63</v>
      </c>
      <c r="E10" s="54">
        <v>0.40</v>
      </c>
      <c r="F10" s="54">
        <v>4.05</v>
      </c>
      <c r="G10" s="54">
        <v>127.23</v>
      </c>
      <c r="H10" s="54">
        <v>60.37</v>
      </c>
      <c r="I10" s="54">
        <v>1.57</v>
      </c>
      <c r="J10" s="54">
        <v>0.08</v>
      </c>
      <c r="K10" s="54">
        <v>311.39</v>
      </c>
      <c r="L10" s="54">
        <v>14.49</v>
      </c>
      <c r="M10" s="54">
        <v>93.30</v>
      </c>
      <c r="N10" s="54">
        <v>24.5</v>
      </c>
      <c r="O10" s="54">
        <v>0</v>
      </c>
      <c r="P10" s="54">
        <v>1.1100000000000001</v>
      </c>
      <c r="Q10" s="54">
        <v>8.74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33.11</v>
      </c>
      <c r="C11" s="54">
        <v>58.43</v>
      </c>
      <c r="D11" s="54">
        <v>59.44</v>
      </c>
      <c r="E11" s="54">
        <v>0.28999999999999998</v>
      </c>
      <c r="F11" s="54">
        <v>4.3499999999999996</v>
      </c>
      <c r="G11" s="54">
        <v>127.23</v>
      </c>
      <c r="H11" s="54">
        <v>60.37</v>
      </c>
      <c r="I11" s="54">
        <v>1.55</v>
      </c>
      <c r="J11" s="54">
        <v>0.21</v>
      </c>
      <c r="K11" s="54">
        <v>313.43</v>
      </c>
      <c r="L11" s="54">
        <v>14.08</v>
      </c>
      <c r="M11" s="54">
        <v>98.15</v>
      </c>
      <c r="N11" s="54">
        <v>24.40</v>
      </c>
      <c r="O11" s="54">
        <v>0</v>
      </c>
      <c r="P11" s="54">
        <v>1.07</v>
      </c>
      <c r="Q11" s="54">
        <v>8.9600000000000009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28.69</v>
      </c>
      <c r="C12" s="54">
        <v>55.62</v>
      </c>
      <c r="D12" s="54">
        <v>54.35</v>
      </c>
      <c r="E12" s="54">
        <v>0.30</v>
      </c>
      <c r="F12" s="54">
        <v>4.08</v>
      </c>
      <c r="G12" s="54">
        <v>115.75</v>
      </c>
      <c r="H12" s="54">
        <v>62.99</v>
      </c>
      <c r="I12" s="54">
        <v>1.54</v>
      </c>
      <c r="J12" s="54">
        <v>0.28000000000000003</v>
      </c>
      <c r="K12" s="54">
        <v>342.79</v>
      </c>
      <c r="L12" s="54">
        <v>13.59</v>
      </c>
      <c r="M12" s="54">
        <v>98.18</v>
      </c>
      <c r="N12" s="54">
        <v>24.40</v>
      </c>
      <c r="O12" s="54">
        <v>0</v>
      </c>
      <c r="P12" s="54">
        <v>0.91</v>
      </c>
      <c r="Q12" s="54">
        <v>8.43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27.21</v>
      </c>
      <c r="C13" s="54">
        <v>52.45</v>
      </c>
      <c r="D13" s="54">
        <v>51.11</v>
      </c>
      <c r="E13" s="54">
        <v>0.31</v>
      </c>
      <c r="F13" s="54">
        <v>5.37</v>
      </c>
      <c r="G13" s="54">
        <v>115.35</v>
      </c>
      <c r="H13" s="54">
        <v>62.99</v>
      </c>
      <c r="I13" s="54">
        <v>1.55</v>
      </c>
      <c r="J13" s="54">
        <v>0.19</v>
      </c>
      <c r="K13" s="54">
        <v>120.24</v>
      </c>
      <c r="L13" s="54">
        <v>14.05</v>
      </c>
      <c r="M13" s="54">
        <v>89</v>
      </c>
      <c r="N13" s="54">
        <v>24.20</v>
      </c>
      <c r="O13" s="54">
        <v>0</v>
      </c>
      <c r="P13" s="54">
        <v>0.68</v>
      </c>
      <c r="Q13" s="54">
        <v>8.1999999999999993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21.29</v>
      </c>
      <c r="C14" s="54">
        <v>51.85</v>
      </c>
      <c r="D14" s="54">
        <v>46.33</v>
      </c>
      <c r="E14" s="54">
        <v>0.31</v>
      </c>
      <c r="F14" s="54">
        <v>5.81</v>
      </c>
      <c r="G14" s="54">
        <v>103.95</v>
      </c>
      <c r="H14" s="54">
        <v>60.54</v>
      </c>
      <c r="I14" s="54">
        <v>1.48</v>
      </c>
      <c r="J14" s="54">
        <v>0.15</v>
      </c>
      <c r="K14" s="54">
        <v>90.57</v>
      </c>
      <c r="L14" s="54">
        <v>13.92</v>
      </c>
      <c r="M14" s="54">
        <v>86.96</v>
      </c>
      <c r="N14" s="54">
        <v>24.30</v>
      </c>
      <c r="O14" s="54">
        <v>0</v>
      </c>
      <c r="P14" s="54">
        <v>0.49</v>
      </c>
      <c r="Q14" s="54">
        <v>7.63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22.46</v>
      </c>
      <c r="C15" s="54">
        <v>51.38</v>
      </c>
      <c r="D15" s="54">
        <v>47.01</v>
      </c>
      <c r="E15" s="54">
        <v>0.47</v>
      </c>
      <c r="F15" s="54">
        <v>4.62</v>
      </c>
      <c r="G15" s="54">
        <v>93.30</v>
      </c>
      <c r="H15" s="54">
        <v>52.25</v>
      </c>
      <c r="I15" s="54">
        <v>1.56</v>
      </c>
      <c r="J15" s="54">
        <v>0.20</v>
      </c>
      <c r="K15" s="54">
        <v>113.55</v>
      </c>
      <c r="L15" s="54">
        <v>13.93</v>
      </c>
      <c r="M15" s="54">
        <v>89.26</v>
      </c>
      <c r="N15" s="54">
        <v>50.60</v>
      </c>
      <c r="O15" s="54">
        <v>0</v>
      </c>
      <c r="P15" s="54">
        <v>0.91</v>
      </c>
      <c r="Q15" s="54">
        <v>5.60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28.88</v>
      </c>
      <c r="C16" s="54">
        <v>53.39</v>
      </c>
      <c r="D16" s="54">
        <v>53.27</v>
      </c>
      <c r="E16" s="54">
        <v>0.45</v>
      </c>
      <c r="F16" s="54">
        <v>3.46</v>
      </c>
      <c r="G16" s="54">
        <v>95.28</v>
      </c>
      <c r="H16" s="54">
        <v>51.94</v>
      </c>
      <c r="I16" s="54">
        <v>1.52</v>
      </c>
      <c r="J16" s="54">
        <v>0.28999999999999998</v>
      </c>
      <c r="K16" s="54">
        <v>116.01</v>
      </c>
      <c r="L16" s="54">
        <v>15.69</v>
      </c>
      <c r="M16" s="54">
        <v>85.39</v>
      </c>
      <c r="N16" s="54">
        <v>174.40</v>
      </c>
      <c r="O16" s="54">
        <v>0</v>
      </c>
      <c r="P16" s="54">
        <v>0.95</v>
      </c>
      <c r="Q16" s="54">
        <v>4.8099999999999996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28.88</v>
      </c>
      <c r="C17" s="54">
        <v>53.61</v>
      </c>
      <c r="D17" s="54">
        <v>53.27</v>
      </c>
      <c r="E17" s="54">
        <v>0.79</v>
      </c>
      <c r="F17" s="54">
        <v>9.3699999999999992</v>
      </c>
      <c r="G17" s="54">
        <v>102.69</v>
      </c>
      <c r="H17" s="54">
        <v>52.36</v>
      </c>
      <c r="I17" s="54">
        <v>1.57</v>
      </c>
      <c r="J17" s="54">
        <v>1.1299999999999999</v>
      </c>
      <c r="K17" s="54">
        <v>116.01</v>
      </c>
      <c r="L17" s="54">
        <v>19.87</v>
      </c>
      <c r="M17" s="54">
        <v>78.989999999999995</v>
      </c>
      <c r="N17" s="54">
        <v>429.60</v>
      </c>
      <c r="O17" s="54">
        <v>0</v>
      </c>
      <c r="P17" s="54">
        <v>0.88</v>
      </c>
      <c r="Q17" s="54">
        <v>7.46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23.79</v>
      </c>
      <c r="C18" s="54">
        <v>55.43</v>
      </c>
      <c r="D18" s="54">
        <v>49.74</v>
      </c>
      <c r="E18" s="54">
        <v>1.59</v>
      </c>
      <c r="F18" s="54">
        <v>9.07</v>
      </c>
      <c r="G18" s="54">
        <v>98.13</v>
      </c>
      <c r="H18" s="54">
        <v>50.72</v>
      </c>
      <c r="I18" s="54">
        <v>1.54</v>
      </c>
      <c r="J18" s="54">
        <v>0.65</v>
      </c>
      <c r="K18" s="54">
        <v>108.30</v>
      </c>
      <c r="L18" s="54">
        <v>22.27</v>
      </c>
      <c r="M18" s="54">
        <v>53.94</v>
      </c>
      <c r="N18" s="54">
        <v>578.5</v>
      </c>
      <c r="O18" s="54">
        <v>0</v>
      </c>
      <c r="P18" s="54">
        <v>0.72</v>
      </c>
      <c r="Q18" s="54">
        <v>5.35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21.44</v>
      </c>
      <c r="C19" s="54">
        <v>55.77</v>
      </c>
      <c r="D19" s="54">
        <v>48.51</v>
      </c>
      <c r="E19" s="54">
        <v>2.84</v>
      </c>
      <c r="F19" s="54">
        <v>16.25</v>
      </c>
      <c r="G19" s="54">
        <v>98.13</v>
      </c>
      <c r="H19" s="54">
        <v>42.39</v>
      </c>
      <c r="I19" s="54">
        <v>1.54</v>
      </c>
      <c r="J19" s="54">
        <v>1.28</v>
      </c>
      <c r="K19" s="54">
        <v>354.70</v>
      </c>
      <c r="L19" s="54">
        <v>26.63</v>
      </c>
      <c r="M19" s="54">
        <v>46.83</v>
      </c>
      <c r="N19" s="54">
        <v>648.90</v>
      </c>
      <c r="O19" s="54">
        <v>0</v>
      </c>
      <c r="P19" s="54">
        <v>0.84</v>
      </c>
      <c r="Q19" s="54">
        <v>6.47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17.440000000000001</v>
      </c>
      <c r="C20" s="54">
        <v>62.48</v>
      </c>
      <c r="D20" s="54">
        <v>46.70</v>
      </c>
      <c r="E20" s="54">
        <v>2.4300000000000002</v>
      </c>
      <c r="F20" s="54">
        <v>33.409999999999997</v>
      </c>
      <c r="G20" s="54">
        <v>86.76</v>
      </c>
      <c r="H20" s="54">
        <v>38.94</v>
      </c>
      <c r="I20" s="54">
        <v>1.53</v>
      </c>
      <c r="J20" s="54">
        <v>0.77</v>
      </c>
      <c r="K20" s="54">
        <v>343.03</v>
      </c>
      <c r="L20" s="54">
        <v>28.58</v>
      </c>
      <c r="M20" s="54">
        <v>37.049999999999997</v>
      </c>
      <c r="N20" s="54">
        <v>685.20</v>
      </c>
      <c r="O20" s="54">
        <v>0</v>
      </c>
      <c r="P20" s="54">
        <v>0.80</v>
      </c>
      <c r="Q20" s="54">
        <v>5.72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10.55</v>
      </c>
      <c r="C21" s="54">
        <v>65</v>
      </c>
      <c r="D21" s="54">
        <v>44.22</v>
      </c>
      <c r="E21" s="54">
        <v>1.85</v>
      </c>
      <c r="F21" s="54">
        <v>35.21</v>
      </c>
      <c r="G21" s="54">
        <v>83.79</v>
      </c>
      <c r="H21" s="54">
        <v>38.58</v>
      </c>
      <c r="I21" s="54">
        <v>1.5</v>
      </c>
      <c r="J21" s="54">
        <v>0.78</v>
      </c>
      <c r="K21" s="54">
        <v>348.52</v>
      </c>
      <c r="L21" s="54">
        <v>28.94</v>
      </c>
      <c r="M21" s="54">
        <v>33.29</v>
      </c>
      <c r="N21" s="54">
        <v>707</v>
      </c>
      <c r="O21" s="54">
        <v>0</v>
      </c>
      <c r="P21" s="54">
        <v>0.73</v>
      </c>
      <c r="Q21" s="54">
        <v>5.07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5.30</v>
      </c>
      <c r="C22" s="54">
        <v>62.98</v>
      </c>
      <c r="D22" s="54">
        <v>39.659999999999997</v>
      </c>
      <c r="E22" s="54">
        <v>2.16</v>
      </c>
      <c r="F22" s="54">
        <v>28.38</v>
      </c>
      <c r="G22" s="54">
        <v>74.25</v>
      </c>
      <c r="H22" s="54">
        <v>38.58</v>
      </c>
      <c r="I22" s="54">
        <v>1.57</v>
      </c>
      <c r="J22" s="54">
        <v>0.59</v>
      </c>
      <c r="K22" s="54">
        <v>350.02</v>
      </c>
      <c r="L22" s="54">
        <v>26.75</v>
      </c>
      <c r="M22" s="54">
        <v>36.75</v>
      </c>
      <c r="N22" s="54">
        <v>569.79999999999995</v>
      </c>
      <c r="O22" s="54">
        <v>0</v>
      </c>
      <c r="P22" s="54">
        <v>0.73</v>
      </c>
      <c r="Q22" s="54">
        <v>4.59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5.68</v>
      </c>
      <c r="C23" s="54">
        <v>62.07</v>
      </c>
      <c r="D23" s="54">
        <v>39.22</v>
      </c>
      <c r="E23" s="54">
        <v>5.24</v>
      </c>
      <c r="F23" s="54">
        <v>31.76</v>
      </c>
      <c r="G23" s="54">
        <v>88.20</v>
      </c>
      <c r="H23" s="54">
        <v>39.72</v>
      </c>
      <c r="I23" s="54">
        <v>1.53</v>
      </c>
      <c r="J23" s="54">
        <v>1.08</v>
      </c>
      <c r="K23" s="54">
        <v>344</v>
      </c>
      <c r="L23" s="54">
        <v>26.49</v>
      </c>
      <c r="M23" s="54">
        <v>34.67</v>
      </c>
      <c r="N23" s="54">
        <v>197.10</v>
      </c>
      <c r="O23" s="54">
        <v>0</v>
      </c>
      <c r="P23" s="54">
        <v>0.82</v>
      </c>
      <c r="Q23" s="54">
        <v>2.4900000000000002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6.72</v>
      </c>
      <c r="C24" s="54">
        <v>61.5</v>
      </c>
      <c r="D24" s="54">
        <v>39.97</v>
      </c>
      <c r="E24" s="54">
        <v>5.85</v>
      </c>
      <c r="F24" s="54">
        <v>43.43</v>
      </c>
      <c r="G24" s="54">
        <v>92.66</v>
      </c>
      <c r="H24" s="54">
        <v>39.72</v>
      </c>
      <c r="I24" s="54">
        <v>1.54</v>
      </c>
      <c r="J24" s="54">
        <v>0.97</v>
      </c>
      <c r="K24" s="54">
        <v>336.95</v>
      </c>
      <c r="L24" s="54">
        <v>24.58</v>
      </c>
      <c r="M24" s="54">
        <v>37.14</v>
      </c>
      <c r="N24" s="54">
        <v>128.60</v>
      </c>
      <c r="O24" s="54">
        <v>0</v>
      </c>
      <c r="P24" s="54">
        <v>0.80</v>
      </c>
      <c r="Q24" s="54">
        <v>2.64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7.90</v>
      </c>
      <c r="C25" s="54">
        <v>64.52</v>
      </c>
      <c r="D25" s="54">
        <v>42.59</v>
      </c>
      <c r="E25" s="54">
        <v>5.70</v>
      </c>
      <c r="F25" s="54">
        <v>41.24</v>
      </c>
      <c r="G25" s="54">
        <v>93.84</v>
      </c>
      <c r="H25" s="54">
        <v>37.159999999999997</v>
      </c>
      <c r="I25" s="54">
        <v>1.57</v>
      </c>
      <c r="J25" s="54">
        <v>0.93</v>
      </c>
      <c r="K25" s="54">
        <v>348.43</v>
      </c>
      <c r="L25" s="54">
        <v>23.07</v>
      </c>
      <c r="M25" s="54">
        <v>42.32</v>
      </c>
      <c r="N25" s="54">
        <v>77.099999999999994</v>
      </c>
      <c r="O25" s="54">
        <v>0</v>
      </c>
      <c r="P25" s="54">
        <v>1.1100000000000001</v>
      </c>
      <c r="Q25" s="54">
        <v>2.63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11.22</v>
      </c>
      <c r="C26" s="54">
        <v>68.12</v>
      </c>
      <c r="D26" s="54">
        <v>47.24</v>
      </c>
      <c r="E26" s="54">
        <v>3.52</v>
      </c>
      <c r="F26" s="54">
        <v>16.940000000000001</v>
      </c>
      <c r="G26" s="54">
        <v>98.86</v>
      </c>
      <c r="H26" s="54">
        <v>41.15</v>
      </c>
      <c r="I26" s="54">
        <v>1.51</v>
      </c>
      <c r="J26" s="54">
        <v>0.56000000000000005</v>
      </c>
      <c r="K26" s="54">
        <v>347.93</v>
      </c>
      <c r="L26" s="54">
        <v>21.18</v>
      </c>
      <c r="M26" s="54">
        <v>47.37</v>
      </c>
      <c r="N26" s="54">
        <v>30.40</v>
      </c>
      <c r="O26" s="54">
        <v>0</v>
      </c>
      <c r="P26" s="54">
        <v>1.58</v>
      </c>
      <c r="Q26" s="54">
        <v>0.34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17.75</v>
      </c>
      <c r="C27" s="54">
        <v>74.53</v>
      </c>
      <c r="D27" s="54">
        <v>56.01</v>
      </c>
      <c r="E27" s="54">
        <v>2.3199999999999998</v>
      </c>
      <c r="F27" s="54">
        <v>5.59</v>
      </c>
      <c r="G27" s="54">
        <v>119.39</v>
      </c>
      <c r="H27" s="54">
        <v>44.39</v>
      </c>
      <c r="I27" s="54">
        <v>1.60</v>
      </c>
      <c r="J27" s="54">
        <v>0.31</v>
      </c>
      <c r="K27" s="54">
        <v>342.92</v>
      </c>
      <c r="L27" s="54">
        <v>19.77</v>
      </c>
      <c r="M27" s="54">
        <v>52.28</v>
      </c>
      <c r="N27" s="54">
        <v>25.70</v>
      </c>
      <c r="O27" s="54">
        <v>0</v>
      </c>
      <c r="P27" s="54">
        <v>1.72</v>
      </c>
      <c r="Q27" s="54">
        <v>2.80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20.28</v>
      </c>
      <c r="C28" s="54">
        <v>77.13</v>
      </c>
      <c r="D28" s="54">
        <v>59.48</v>
      </c>
      <c r="E28" s="54">
        <v>1.57</v>
      </c>
      <c r="F28" s="54">
        <v>4.79</v>
      </c>
      <c r="G28" s="54">
        <v>139.91999999999999</v>
      </c>
      <c r="H28" s="54">
        <v>56.83</v>
      </c>
      <c r="I28" s="54">
        <v>1.56</v>
      </c>
      <c r="J28" s="54">
        <v>0.16</v>
      </c>
      <c r="K28" s="54">
        <v>343.89</v>
      </c>
      <c r="L28" s="54">
        <v>18.510000000000002</v>
      </c>
      <c r="M28" s="54">
        <v>52.94</v>
      </c>
      <c r="N28" s="54">
        <v>25.70</v>
      </c>
      <c r="O28" s="54">
        <v>0</v>
      </c>
      <c r="P28" s="54">
        <v>1.79</v>
      </c>
      <c r="Q28" s="54">
        <v>4.0999999999999996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19.23</v>
      </c>
      <c r="C29" s="54">
        <v>76.45</v>
      </c>
      <c r="D29" s="54">
        <v>58.26</v>
      </c>
      <c r="E29" s="54">
        <v>1.27</v>
      </c>
      <c r="F29" s="54">
        <v>5.99</v>
      </c>
      <c r="G29" s="54">
        <v>139.91999999999999</v>
      </c>
      <c r="H29" s="54">
        <v>60.15</v>
      </c>
      <c r="I29" s="54">
        <v>1.61</v>
      </c>
      <c r="J29" s="54">
        <v>0.15</v>
      </c>
      <c r="K29" s="54">
        <v>344.19</v>
      </c>
      <c r="L29" s="54">
        <v>17.73</v>
      </c>
      <c r="M29" s="54">
        <v>61.39</v>
      </c>
      <c r="N29" s="54">
        <v>25.80</v>
      </c>
      <c r="O29" s="54">
        <v>0</v>
      </c>
      <c r="P29" s="54">
        <v>2.25</v>
      </c>
      <c r="Q29" s="54">
        <v>4.87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24.70</v>
      </c>
      <c r="C30" s="54">
        <v>74.53</v>
      </c>
      <c r="D30" s="54">
        <v>61.39</v>
      </c>
      <c r="E30" s="54">
        <v>1.29</v>
      </c>
      <c r="F30" s="54">
        <v>4.1399999999999997</v>
      </c>
      <c r="G30" s="54">
        <v>138.86000000000001</v>
      </c>
      <c r="H30" s="54">
        <v>64.28</v>
      </c>
      <c r="I30" s="54">
        <v>1.62</v>
      </c>
      <c r="J30" s="54">
        <v>0.11</v>
      </c>
      <c r="K30" s="54">
        <v>311.18</v>
      </c>
      <c r="L30" s="54">
        <v>16.899999999999999</v>
      </c>
      <c r="M30" s="54">
        <v>66.37</v>
      </c>
      <c r="N30" s="54">
        <v>25.80</v>
      </c>
      <c r="O30" s="54">
        <v>0</v>
      </c>
      <c r="P30" s="54">
        <v>1.93</v>
      </c>
      <c r="Q30" s="54">
        <v>3.16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26.98</v>
      </c>
      <c r="C31" s="54">
        <v>73.78</v>
      </c>
      <c r="D31" s="54">
        <v>62.92</v>
      </c>
      <c r="E31" s="54">
        <v>1.21</v>
      </c>
      <c r="F31" s="54">
        <v>8.07</v>
      </c>
      <c r="G31" s="54">
        <v>138.86000000000001</v>
      </c>
      <c r="H31" s="54">
        <v>64.28</v>
      </c>
      <c r="I31" s="54">
        <v>1.52</v>
      </c>
      <c r="J31" s="54">
        <v>0.25</v>
      </c>
      <c r="K31" s="54">
        <v>270.29000000000002</v>
      </c>
      <c r="L31" s="54">
        <v>16.61</v>
      </c>
      <c r="M31" s="54">
        <v>68.900000000000006</v>
      </c>
      <c r="N31" s="54">
        <v>26.10</v>
      </c>
      <c r="O31" s="54">
        <v>0</v>
      </c>
      <c r="P31" s="54">
        <v>1.47</v>
      </c>
      <c r="Q31" s="54">
        <v>6.96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23.02</v>
      </c>
      <c r="C32" s="54">
        <v>70.510000000000005</v>
      </c>
      <c r="D32" s="54">
        <v>58.02</v>
      </c>
      <c r="E32" s="54">
        <v>1.17</v>
      </c>
      <c r="F32" s="54">
        <v>14.22</v>
      </c>
      <c r="G32" s="54">
        <v>131.83000000000001</v>
      </c>
      <c r="H32" s="54">
        <v>63.30</v>
      </c>
      <c r="I32" s="54">
        <v>1.56</v>
      </c>
      <c r="J32" s="54">
        <v>0.43</v>
      </c>
      <c r="K32" s="54">
        <v>116.77</v>
      </c>
      <c r="L32" s="54">
        <v>16.57</v>
      </c>
      <c r="M32" s="54">
        <v>62.25</v>
      </c>
      <c r="N32" s="54">
        <v>26.10</v>
      </c>
      <c r="O32" s="54">
        <v>0</v>
      </c>
      <c r="P32" s="54">
        <v>0.68</v>
      </c>
      <c r="Q32" s="54">
        <v>8.5299999999999994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5.2999999999999998</v>
      </c>
      <c r="C34" s="28">
        <f t="shared" si="0"/>
        <v>51.380000000000003</v>
      </c>
      <c r="D34" s="28">
        <f t="shared" si="0"/>
        <v>39.219999999999999</v>
      </c>
      <c r="E34" s="28">
        <f t="shared" si="0"/>
        <v>0.28999999999999998</v>
      </c>
      <c r="F34" s="28">
        <f t="shared" si="0"/>
        <v>3.46</v>
      </c>
      <c r="G34" s="28">
        <f t="shared" si="0"/>
        <v>74.25</v>
      </c>
      <c r="H34" s="28">
        <f t="shared" si="0"/>
        <v>37.159999999999997</v>
      </c>
      <c r="I34" s="28">
        <f t="shared" si="0"/>
        <v>1.48</v>
      </c>
      <c r="J34" s="28">
        <f t="shared" si="0"/>
        <v>0.080000000000000002</v>
      </c>
      <c r="K34" s="28">
        <f t="shared" si="0"/>
        <v>90.569999999999993</v>
      </c>
      <c r="L34" s="28">
        <f t="shared" si="0"/>
        <v>13.59</v>
      </c>
      <c r="M34" s="28">
        <f t="shared" si="0"/>
        <v>33.289999999999999</v>
      </c>
      <c r="N34" s="28">
        <f t="shared" si="0"/>
        <v>24.199999999999999</v>
      </c>
      <c r="O34" s="28">
        <f t="shared" si="0"/>
        <v>0</v>
      </c>
      <c r="P34" s="28">
        <f t="shared" si="0"/>
        <v>0.48999999999999999</v>
      </c>
      <c r="Q34" s="28">
        <f t="shared" si="0"/>
        <v>0.34000000000000002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43.549999999999997</v>
      </c>
      <c r="C35" s="29">
        <f t="shared" si="1"/>
        <v>77.129999999999995</v>
      </c>
      <c r="D35" s="29">
        <f t="shared" si="1"/>
        <v>71.439999999999998</v>
      </c>
      <c r="E35" s="29">
        <f t="shared" si="1"/>
        <v>5.8499999999999996</v>
      </c>
      <c r="F35" s="29">
        <f t="shared" si="1"/>
        <v>43.43</v>
      </c>
      <c r="G35" s="29">
        <f t="shared" si="1"/>
        <v>139.91999999999999</v>
      </c>
      <c r="H35" s="29">
        <f t="shared" si="1"/>
        <v>64.280000000000001</v>
      </c>
      <c r="I35" s="29">
        <f t="shared" si="1"/>
        <v>1.6200000000000001</v>
      </c>
      <c r="J35" s="29">
        <f t="shared" si="1"/>
        <v>1.28</v>
      </c>
      <c r="K35" s="29">
        <f t="shared" si="1"/>
        <v>354.69999999999999</v>
      </c>
      <c r="L35" s="29">
        <f t="shared" si="1"/>
        <v>28.940000000000001</v>
      </c>
      <c r="M35" s="29">
        <f t="shared" si="1"/>
        <v>98.180000000000007</v>
      </c>
      <c r="N35" s="29">
        <f t="shared" si="1"/>
        <v>707</v>
      </c>
      <c r="O35" s="29">
        <f t="shared" si="1"/>
        <v>0</v>
      </c>
      <c r="P35" s="29">
        <f t="shared" si="1"/>
        <v>2.25</v>
      </c>
      <c r="Q35" s="29">
        <f t="shared" si="1"/>
        <v>10.449999999999999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21.396250000000006</v>
      </c>
      <c r="C36" s="28">
        <f t="shared" si="2"/>
        <v>62.835416666666653</v>
      </c>
      <c r="D36" s="28">
        <f t="shared" si="2"/>
        <v>52.282500000000006</v>
      </c>
      <c r="E36" s="28">
        <f t="shared" si="2"/>
        <v>1.8241666666666667</v>
      </c>
      <c r="F36" s="28">
        <f t="shared" si="2"/>
        <v>14.313749999999999</v>
      </c>
      <c r="G36" s="28">
        <f t="shared" si="2"/>
        <v>110.06333333333335</v>
      </c>
      <c r="H36" s="28">
        <f t="shared" si="2"/>
        <v>51.714583333333337</v>
      </c>
      <c r="I36" s="28">
        <f t="shared" si="2"/>
        <v>1.5487500000000003</v>
      </c>
      <c r="J36" s="28">
        <f t="shared" si="2"/>
        <v>0.48500000000000004</v>
      </c>
      <c r="K36" s="28">
        <f t="shared" si="2"/>
        <v>270.25750000000005</v>
      </c>
      <c r="L36" s="28">
        <f t="shared" si="2"/>
        <v>19.577083333333331</v>
      </c>
      <c r="M36" s="28">
        <f t="shared" si="2"/>
        <v>64.243333333333339</v>
      </c>
      <c r="N36" s="28">
        <f t="shared" si="2"/>
        <v>190.77500000000006</v>
      </c>
      <c r="O36" s="28">
        <f t="shared" si="2"/>
        <v>0</v>
      </c>
      <c r="P36" s="28">
        <f t="shared" si="2"/>
        <v>1.085</v>
      </c>
      <c r="Q36" s="28">
        <f t="shared" si="2"/>
        <v>5.6666666666666652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9.990717784414981</v>
      </c>
      <c r="C37" s="28">
        <f t="shared" si="3" ref="C37:Q37">STDEV(C9:C32)</f>
        <v>8.331532026332189</v>
      </c>
      <c r="D37" s="28">
        <f t="shared" si="3"/>
        <v>8.571367528250482</v>
      </c>
      <c r="E37" s="28">
        <f t="shared" si="3"/>
        <v>1.7070032644747744</v>
      </c>
      <c r="F37" s="28">
        <f t="shared" si="3"/>
        <v>13.349405722809312</v>
      </c>
      <c r="G37" s="28">
        <f t="shared" si="3"/>
        <v>20.807010663562952</v>
      </c>
      <c r="H37" s="28">
        <f t="shared" si="3"/>
        <v>10.044706145924343</v>
      </c>
      <c r="I37" s="28">
        <f t="shared" si="3"/>
        <v>0.033141659059518935</v>
      </c>
      <c r="J37" s="28">
        <f t="shared" si="3"/>
        <v>0.37596253282336067</v>
      </c>
      <c r="K37" s="28">
        <f t="shared" si="3"/>
        <v>105.67715146286038</v>
      </c>
      <c r="L37" s="28">
        <f t="shared" si="3"/>
        <v>5.1556229153156226</v>
      </c>
      <c r="M37" s="28">
        <f t="shared" si="3"/>
        <v>22.583653701134189</v>
      </c>
      <c r="N37" s="28">
        <f t="shared" si="3"/>
        <v>252.26237936616369</v>
      </c>
      <c r="O37" s="28">
        <f t="shared" si="3"/>
        <v>0</v>
      </c>
      <c r="P37" s="28">
        <f t="shared" si="3"/>
        <v>0.45911067151140411</v>
      </c>
      <c r="Q37" s="28">
        <f t="shared" si="3"/>
        <v>2.567408889483151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5832d3-3513-449d-ba93-25b5929e958e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34" sqref="G3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16.21</v>
      </c>
      <c r="C9" s="54">
        <v>65.42</v>
      </c>
      <c r="D9" s="54">
        <v>49.75</v>
      </c>
      <c r="E9" s="54">
        <v>1.25</v>
      </c>
      <c r="F9" s="54">
        <v>13.68</v>
      </c>
      <c r="G9" s="54">
        <v>110.68</v>
      </c>
      <c r="H9" s="54">
        <v>59.14</v>
      </c>
      <c r="I9" s="54">
        <v>1.55</v>
      </c>
      <c r="J9" s="54">
        <v>0.35</v>
      </c>
      <c r="K9" s="54">
        <v>113.29</v>
      </c>
      <c r="L9" s="54">
        <v>16.21</v>
      </c>
      <c r="M9" s="54">
        <v>63.58</v>
      </c>
      <c r="N9" s="54">
        <v>25.90</v>
      </c>
      <c r="O9" s="54">
        <v>0</v>
      </c>
      <c r="P9" s="54">
        <v>0.52</v>
      </c>
      <c r="Q9" s="54">
        <v>7.19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11.69</v>
      </c>
      <c r="C10" s="54">
        <v>60.87</v>
      </c>
      <c r="D10" s="54">
        <v>43.61</v>
      </c>
      <c r="E10" s="54">
        <v>1.18</v>
      </c>
      <c r="F10" s="54">
        <v>14.23</v>
      </c>
      <c r="G10" s="54">
        <v>105.49</v>
      </c>
      <c r="H10" s="54">
        <v>53.90</v>
      </c>
      <c r="I10" s="54">
        <v>1.53</v>
      </c>
      <c r="J10" s="54">
        <v>0.28000000000000003</v>
      </c>
      <c r="K10" s="54">
        <v>318.93</v>
      </c>
      <c r="L10" s="54">
        <v>15.5</v>
      </c>
      <c r="M10" s="54">
        <v>78.80</v>
      </c>
      <c r="N10" s="54">
        <v>26.60</v>
      </c>
      <c r="O10" s="54">
        <v>0</v>
      </c>
      <c r="P10" s="54">
        <v>0.44</v>
      </c>
      <c r="Q10" s="54">
        <v>6.40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9.34</v>
      </c>
      <c r="C11" s="54">
        <v>56.26</v>
      </c>
      <c r="D11" s="54">
        <v>38.799999999999997</v>
      </c>
      <c r="E11" s="54">
        <v>0.90</v>
      </c>
      <c r="F11" s="54">
        <v>8.4700000000000006</v>
      </c>
      <c r="G11" s="54">
        <v>93.56</v>
      </c>
      <c r="H11" s="54">
        <v>45.73</v>
      </c>
      <c r="I11" s="54">
        <v>1.55</v>
      </c>
      <c r="J11" s="54">
        <v>0.13</v>
      </c>
      <c r="K11" s="54">
        <v>317.76</v>
      </c>
      <c r="L11" s="54">
        <v>13.87</v>
      </c>
      <c r="M11" s="54">
        <v>86.41</v>
      </c>
      <c r="N11" s="54">
        <v>26.40</v>
      </c>
      <c r="O11" s="54">
        <v>0</v>
      </c>
      <c r="P11" s="54">
        <v>0.49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9.52</v>
      </c>
      <c r="C12" s="54">
        <v>52.91</v>
      </c>
      <c r="D12" s="54">
        <v>37.36</v>
      </c>
      <c r="E12" s="54">
        <v>0.70</v>
      </c>
      <c r="F12" s="54">
        <v>6.92</v>
      </c>
      <c r="G12" s="54">
        <v>93.81</v>
      </c>
      <c r="H12" s="54">
        <v>48.19</v>
      </c>
      <c r="I12" s="54">
        <v>1.52</v>
      </c>
      <c r="J12" s="54">
        <v>0.13</v>
      </c>
      <c r="K12" s="54">
        <v>344.65</v>
      </c>
      <c r="L12" s="54">
        <v>13.08</v>
      </c>
      <c r="M12" s="54">
        <v>88.12</v>
      </c>
      <c r="N12" s="54">
        <v>26.40</v>
      </c>
      <c r="O12" s="54">
        <v>0</v>
      </c>
      <c r="P12" s="54">
        <v>0.52</v>
      </c>
      <c r="Q12" s="54">
        <v>4.88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11.04</v>
      </c>
      <c r="C13" s="54">
        <v>52.58</v>
      </c>
      <c r="D13" s="54">
        <v>38.520000000000003</v>
      </c>
      <c r="E13" s="54">
        <v>1.35</v>
      </c>
      <c r="F13" s="54">
        <v>5.72</v>
      </c>
      <c r="G13" s="54">
        <v>105.75</v>
      </c>
      <c r="H13" s="54">
        <v>54.87</v>
      </c>
      <c r="I13" s="54">
        <v>1.52</v>
      </c>
      <c r="J13" s="54">
        <v>0.34</v>
      </c>
      <c r="K13" s="54">
        <v>343.06</v>
      </c>
      <c r="L13" s="54">
        <v>13.11</v>
      </c>
      <c r="M13" s="54">
        <v>86.91</v>
      </c>
      <c r="N13" s="54">
        <v>26.10</v>
      </c>
      <c r="O13" s="54">
        <v>0</v>
      </c>
      <c r="P13" s="54">
        <v>1.03</v>
      </c>
      <c r="Q13" s="54">
        <v>4.43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12.42</v>
      </c>
      <c r="C14" s="54">
        <v>53.51</v>
      </c>
      <c r="D14" s="54">
        <v>40.14</v>
      </c>
      <c r="E14" s="54">
        <v>1.44</v>
      </c>
      <c r="F14" s="54">
        <v>5.81</v>
      </c>
      <c r="G14" s="54">
        <v>111.54</v>
      </c>
      <c r="H14" s="54">
        <v>57.82</v>
      </c>
      <c r="I14" s="54">
        <v>1.54</v>
      </c>
      <c r="J14" s="54">
        <v>0.27</v>
      </c>
      <c r="K14" s="54">
        <v>318.08</v>
      </c>
      <c r="L14" s="54">
        <v>12.99</v>
      </c>
      <c r="M14" s="54">
        <v>83.94</v>
      </c>
      <c r="N14" s="54">
        <v>26.40</v>
      </c>
      <c r="O14" s="54">
        <v>0</v>
      </c>
      <c r="P14" s="54">
        <v>0.92</v>
      </c>
      <c r="Q14" s="54">
        <v>5.14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13.65</v>
      </c>
      <c r="C15" s="54">
        <v>53.37</v>
      </c>
      <c r="D15" s="54">
        <v>41.04</v>
      </c>
      <c r="E15" s="54">
        <v>1.08</v>
      </c>
      <c r="F15" s="54">
        <v>5.84</v>
      </c>
      <c r="G15" s="54">
        <v>111.54</v>
      </c>
      <c r="H15" s="54">
        <v>57.82</v>
      </c>
      <c r="I15" s="54">
        <v>1.56</v>
      </c>
      <c r="J15" s="54">
        <v>0.21</v>
      </c>
      <c r="K15" s="54">
        <v>100.31</v>
      </c>
      <c r="L15" s="54">
        <v>12.99</v>
      </c>
      <c r="M15" s="54">
        <v>79.75</v>
      </c>
      <c r="N15" s="54">
        <v>56.5</v>
      </c>
      <c r="O15" s="54">
        <v>0</v>
      </c>
      <c r="P15" s="54">
        <v>0.62</v>
      </c>
      <c r="Q15" s="54">
        <v>5.17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16.75</v>
      </c>
      <c r="C16" s="54">
        <v>53.5</v>
      </c>
      <c r="D16" s="54">
        <v>43.60</v>
      </c>
      <c r="E16" s="54">
        <v>1.1000000000000001</v>
      </c>
      <c r="F16" s="54">
        <v>4.91</v>
      </c>
      <c r="G16" s="54">
        <v>105.76</v>
      </c>
      <c r="H16" s="54">
        <v>56.04</v>
      </c>
      <c r="I16" s="54">
        <v>1.53</v>
      </c>
      <c r="J16" s="54">
        <v>0.33</v>
      </c>
      <c r="K16" s="54">
        <v>113.07</v>
      </c>
      <c r="L16" s="54">
        <v>16.760000000000002</v>
      </c>
      <c r="M16" s="54">
        <v>75.66</v>
      </c>
      <c r="N16" s="54">
        <v>251.20</v>
      </c>
      <c r="O16" s="54">
        <v>0</v>
      </c>
      <c r="P16" s="54">
        <v>0.77</v>
      </c>
      <c r="Q16" s="54">
        <v>3.80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19.93</v>
      </c>
      <c r="C17" s="54">
        <v>56.77</v>
      </c>
      <c r="D17" s="54">
        <v>47.95</v>
      </c>
      <c r="E17" s="54">
        <v>1.1200000000000001</v>
      </c>
      <c r="F17" s="54">
        <v>5.72</v>
      </c>
      <c r="G17" s="54">
        <v>100.78</v>
      </c>
      <c r="H17" s="54">
        <v>54.05</v>
      </c>
      <c r="I17" s="54">
        <v>1.56</v>
      </c>
      <c r="J17" s="54">
        <v>0.34</v>
      </c>
      <c r="K17" s="54">
        <v>123.44</v>
      </c>
      <c r="L17" s="54">
        <v>19.829999999999998</v>
      </c>
      <c r="M17" s="54">
        <v>50.66</v>
      </c>
      <c r="N17" s="54">
        <v>448.5</v>
      </c>
      <c r="O17" s="54">
        <v>0</v>
      </c>
      <c r="P17" s="54">
        <v>0.82</v>
      </c>
      <c r="Q17" s="54">
        <v>3.85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21.54</v>
      </c>
      <c r="C18" s="54">
        <v>59.73</v>
      </c>
      <c r="D18" s="54">
        <v>50.25</v>
      </c>
      <c r="E18" s="54">
        <v>2.3199999999999998</v>
      </c>
      <c r="F18" s="54">
        <v>12.14</v>
      </c>
      <c r="G18" s="54">
        <v>98.11</v>
      </c>
      <c r="H18" s="54">
        <v>44.33</v>
      </c>
      <c r="I18" s="54">
        <v>1.54</v>
      </c>
      <c r="J18" s="54">
        <v>0.70</v>
      </c>
      <c r="K18" s="54">
        <v>342.28</v>
      </c>
      <c r="L18" s="54">
        <v>24.70</v>
      </c>
      <c r="M18" s="54">
        <v>42.41</v>
      </c>
      <c r="N18" s="54">
        <v>594.60</v>
      </c>
      <c r="O18" s="54">
        <v>0</v>
      </c>
      <c r="P18" s="54">
        <v>0.92</v>
      </c>
      <c r="Q18" s="54">
        <v>5.1100000000000003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19.78</v>
      </c>
      <c r="C19" s="54">
        <v>60.52</v>
      </c>
      <c r="D19" s="54">
        <v>49.91</v>
      </c>
      <c r="E19" s="54">
        <v>1.35</v>
      </c>
      <c r="F19" s="54">
        <v>12.25</v>
      </c>
      <c r="G19" s="54">
        <v>98.11</v>
      </c>
      <c r="H19" s="54">
        <v>27.05</v>
      </c>
      <c r="I19" s="54">
        <v>1.54</v>
      </c>
      <c r="J19" s="54">
        <v>1.1599999999999999</v>
      </c>
      <c r="K19" s="54">
        <v>122.86</v>
      </c>
      <c r="L19" s="54">
        <v>23.69</v>
      </c>
      <c r="M19" s="54">
        <v>44.19</v>
      </c>
      <c r="N19" s="54">
        <v>698.90</v>
      </c>
      <c r="O19" s="54">
        <v>0</v>
      </c>
      <c r="P19" s="54">
        <v>0.75</v>
      </c>
      <c r="Q19" s="54">
        <v>6.15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11.28</v>
      </c>
      <c r="C20" s="54">
        <v>59.65</v>
      </c>
      <c r="D20" s="54">
        <v>42.61</v>
      </c>
      <c r="E20" s="54">
        <v>1.52</v>
      </c>
      <c r="F20" s="54">
        <v>20.079999999999998</v>
      </c>
      <c r="G20" s="54">
        <v>96.15</v>
      </c>
      <c r="H20" s="54">
        <v>40.19</v>
      </c>
      <c r="I20" s="54">
        <v>1.57</v>
      </c>
      <c r="J20" s="54">
        <v>0.99</v>
      </c>
      <c r="K20" s="54">
        <v>114.59</v>
      </c>
      <c r="L20" s="54">
        <v>23.59</v>
      </c>
      <c r="M20" s="54">
        <v>39.56</v>
      </c>
      <c r="N20" s="54">
        <v>729.5</v>
      </c>
      <c r="O20" s="54">
        <v>0</v>
      </c>
      <c r="P20" s="54">
        <v>0.64</v>
      </c>
      <c r="Q20" s="54">
        <v>5.64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7.12</v>
      </c>
      <c r="C21" s="54">
        <v>57.75</v>
      </c>
      <c r="D21" s="54">
        <v>38</v>
      </c>
      <c r="E21" s="54">
        <v>5.16</v>
      </c>
      <c r="F21" s="54">
        <v>39.32</v>
      </c>
      <c r="G21" s="54">
        <v>88.07</v>
      </c>
      <c r="H21" s="54">
        <v>40.19</v>
      </c>
      <c r="I21" s="54">
        <v>1.53</v>
      </c>
      <c r="J21" s="54">
        <v>1.01</v>
      </c>
      <c r="K21" s="54">
        <v>345.34</v>
      </c>
      <c r="L21" s="54">
        <v>27.57</v>
      </c>
      <c r="M21" s="54">
        <v>35.21</v>
      </c>
      <c r="N21" s="54">
        <v>698.10</v>
      </c>
      <c r="O21" s="54">
        <v>0</v>
      </c>
      <c r="P21" s="54">
        <v>0.67</v>
      </c>
      <c r="Q21" s="54">
        <v>4.18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6.52</v>
      </c>
      <c r="C22" s="54">
        <v>57.30</v>
      </c>
      <c r="D22" s="54">
        <v>37.5</v>
      </c>
      <c r="E22" s="54">
        <v>4.09</v>
      </c>
      <c r="F22" s="54">
        <v>32.619999999999997</v>
      </c>
      <c r="G22" s="54">
        <v>76.98</v>
      </c>
      <c r="H22" s="54">
        <v>26.08</v>
      </c>
      <c r="I22" s="54">
        <v>1.61</v>
      </c>
      <c r="J22" s="54">
        <v>1.31</v>
      </c>
      <c r="K22" s="54">
        <v>133.06</v>
      </c>
      <c r="L22" s="54">
        <v>25.30</v>
      </c>
      <c r="M22" s="54">
        <v>34.65</v>
      </c>
      <c r="N22" s="54">
        <v>620.10</v>
      </c>
      <c r="O22" s="54">
        <v>0</v>
      </c>
      <c r="P22" s="54">
        <v>0.54</v>
      </c>
      <c r="Q22" s="54">
        <v>4.87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4.9800000000000004</v>
      </c>
      <c r="C23" s="54">
        <v>55.61</v>
      </c>
      <c r="D23" s="54">
        <v>35.33</v>
      </c>
      <c r="E23" s="54">
        <v>3.31</v>
      </c>
      <c r="F23" s="54">
        <v>31.96</v>
      </c>
      <c r="G23" s="54">
        <v>67.489999999999995</v>
      </c>
      <c r="H23" s="54">
        <v>26.08</v>
      </c>
      <c r="I23" s="54">
        <v>1.58</v>
      </c>
      <c r="J23" s="54">
        <v>0.93</v>
      </c>
      <c r="K23" s="54">
        <v>110.55</v>
      </c>
      <c r="L23" s="54">
        <v>23.86</v>
      </c>
      <c r="M23" s="54">
        <v>35.71</v>
      </c>
      <c r="N23" s="54">
        <v>215.80</v>
      </c>
      <c r="O23" s="54">
        <v>0</v>
      </c>
      <c r="P23" s="54">
        <v>0.52</v>
      </c>
      <c r="Q23" s="54">
        <v>5.0599999999999996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3.68</v>
      </c>
      <c r="C24" s="54">
        <v>56.08</v>
      </c>
      <c r="D24" s="54">
        <v>34.5</v>
      </c>
      <c r="E24" s="54">
        <v>1.33</v>
      </c>
      <c r="F24" s="54">
        <v>13.89</v>
      </c>
      <c r="G24" s="54">
        <v>63.80</v>
      </c>
      <c r="H24" s="54">
        <v>30.05</v>
      </c>
      <c r="I24" s="54">
        <v>1.58</v>
      </c>
      <c r="J24" s="54">
        <v>0.63</v>
      </c>
      <c r="K24" s="54">
        <v>114.63</v>
      </c>
      <c r="L24" s="54">
        <v>22.78</v>
      </c>
      <c r="M24" s="54">
        <v>36.28</v>
      </c>
      <c r="N24" s="54">
        <v>118.80</v>
      </c>
      <c r="O24" s="54">
        <v>0</v>
      </c>
      <c r="P24" s="54">
        <v>0.56000000000000005</v>
      </c>
      <c r="Q24" s="54">
        <v>4.49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4.24</v>
      </c>
      <c r="C25" s="54">
        <v>59.01</v>
      </c>
      <c r="D25" s="54">
        <v>36.40</v>
      </c>
      <c r="E25" s="54">
        <v>1.37</v>
      </c>
      <c r="F25" s="54">
        <v>13.74</v>
      </c>
      <c r="G25" s="54">
        <v>65.23</v>
      </c>
      <c r="H25" s="54">
        <v>34.5</v>
      </c>
      <c r="I25" s="54">
        <v>1.52</v>
      </c>
      <c r="J25" s="54">
        <v>0.26</v>
      </c>
      <c r="K25" s="54">
        <v>92.54</v>
      </c>
      <c r="L25" s="54">
        <v>22.13</v>
      </c>
      <c r="M25" s="54">
        <v>45.91</v>
      </c>
      <c r="N25" s="54">
        <v>74.099999999999994</v>
      </c>
      <c r="O25" s="54">
        <v>0</v>
      </c>
      <c r="P25" s="54">
        <v>0.55000000000000004</v>
      </c>
      <c r="Q25" s="54">
        <v>4.4400000000000004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18.45</v>
      </c>
      <c r="C26" s="54">
        <v>68.150000000000006</v>
      </c>
      <c r="D26" s="54">
        <v>53.05</v>
      </c>
      <c r="E26" s="54">
        <v>1</v>
      </c>
      <c r="F26" s="54">
        <v>4.57</v>
      </c>
      <c r="G26" s="54">
        <v>150.12</v>
      </c>
      <c r="H26" s="54">
        <v>45.20</v>
      </c>
      <c r="I26" s="54">
        <v>1.53</v>
      </c>
      <c r="J26" s="54">
        <v>0.12</v>
      </c>
      <c r="K26" s="54">
        <v>333.95</v>
      </c>
      <c r="L26" s="54">
        <v>20.25</v>
      </c>
      <c r="M26" s="54">
        <v>70.55</v>
      </c>
      <c r="N26" s="54">
        <v>31.70</v>
      </c>
      <c r="O26" s="54">
        <v>0</v>
      </c>
      <c r="P26" s="54">
        <v>1.39</v>
      </c>
      <c r="Q26" s="54">
        <v>2.16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30.75</v>
      </c>
      <c r="C27" s="54">
        <v>74.400000000000006</v>
      </c>
      <c r="D27" s="54">
        <v>66.36</v>
      </c>
      <c r="E27" s="54">
        <v>2.0499999999999998</v>
      </c>
      <c r="F27" s="54">
        <v>4.01</v>
      </c>
      <c r="G27" s="54">
        <v>176.58</v>
      </c>
      <c r="H27" s="54">
        <v>71.930000000000007</v>
      </c>
      <c r="I27" s="54">
        <v>1.55</v>
      </c>
      <c r="J27" s="54">
        <v>0.17</v>
      </c>
      <c r="K27" s="54">
        <v>80.14</v>
      </c>
      <c r="L27" s="54">
        <v>19.03</v>
      </c>
      <c r="M27" s="54">
        <v>59.94</v>
      </c>
      <c r="N27" s="54">
        <v>26.70</v>
      </c>
      <c r="O27" s="54">
        <v>0</v>
      </c>
      <c r="P27" s="54">
        <v>2.54</v>
      </c>
      <c r="Q27" s="54">
        <v>1.49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36.56</v>
      </c>
      <c r="C28" s="54">
        <v>77.540000000000006</v>
      </c>
      <c r="D28" s="54">
        <v>72.75</v>
      </c>
      <c r="E28" s="54">
        <v>2.16</v>
      </c>
      <c r="F28" s="54">
        <v>4.70</v>
      </c>
      <c r="G28" s="54">
        <v>182</v>
      </c>
      <c r="H28" s="54">
        <v>72.55</v>
      </c>
      <c r="I28" s="54">
        <v>1.5</v>
      </c>
      <c r="J28" s="54">
        <v>0.17</v>
      </c>
      <c r="K28" s="54">
        <v>352.11</v>
      </c>
      <c r="L28" s="54">
        <v>18.309999999999999</v>
      </c>
      <c r="M28" s="54">
        <v>65.14</v>
      </c>
      <c r="N28" s="54">
        <v>27.20</v>
      </c>
      <c r="O28" s="54">
        <v>0</v>
      </c>
      <c r="P28" s="54">
        <v>4</v>
      </c>
      <c r="Q28" s="54">
        <v>3.32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52.10</v>
      </c>
      <c r="C29" s="54">
        <v>79.02</v>
      </c>
      <c r="D29" s="54">
        <v>86.01</v>
      </c>
      <c r="E29" s="54">
        <v>1.72</v>
      </c>
      <c r="F29" s="54">
        <v>4.05</v>
      </c>
      <c r="G29" s="54">
        <v>182</v>
      </c>
      <c r="H29" s="54">
        <v>87.09</v>
      </c>
      <c r="I29" s="54">
        <v>1.55</v>
      </c>
      <c r="J29" s="54">
        <v>0.15</v>
      </c>
      <c r="K29" s="54">
        <v>320.55</v>
      </c>
      <c r="L29" s="54">
        <v>16.89</v>
      </c>
      <c r="M29" s="54">
        <v>67.59</v>
      </c>
      <c r="N29" s="54">
        <v>27.20</v>
      </c>
      <c r="O29" s="54">
        <v>0</v>
      </c>
      <c r="P29" s="54">
        <v>3.15</v>
      </c>
      <c r="Q29" s="54">
        <v>0.87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86.68</v>
      </c>
      <c r="C30" s="54">
        <v>81.540000000000006</v>
      </c>
      <c r="D30" s="54">
        <v>115.16</v>
      </c>
      <c r="E30" s="54">
        <v>1.62</v>
      </c>
      <c r="F30" s="54">
        <v>3.94</v>
      </c>
      <c r="G30" s="54">
        <v>227.60</v>
      </c>
      <c r="H30" s="54">
        <v>91.22</v>
      </c>
      <c r="I30" s="54">
        <v>1.5</v>
      </c>
      <c r="J30" s="54">
        <v>0.15</v>
      </c>
      <c r="K30" s="54">
        <v>318.12</v>
      </c>
      <c r="L30" s="54">
        <v>15.60</v>
      </c>
      <c r="M30" s="54">
        <v>78.459999999999994</v>
      </c>
      <c r="N30" s="54">
        <v>27.20</v>
      </c>
      <c r="O30" s="54">
        <v>0</v>
      </c>
      <c r="P30" s="54">
        <v>3.5</v>
      </c>
      <c r="Q30" s="54">
        <v>1.39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138</v>
      </c>
      <c r="C31" s="54">
        <v>85.60</v>
      </c>
      <c r="D31" s="54">
        <v>158.55000000000001</v>
      </c>
      <c r="E31" s="54">
        <v>1.39</v>
      </c>
      <c r="F31" s="54">
        <v>3.94</v>
      </c>
      <c r="G31" s="54">
        <v>227.60</v>
      </c>
      <c r="H31" s="54">
        <v>109.15</v>
      </c>
      <c r="I31" s="54">
        <v>1.5</v>
      </c>
      <c r="J31" s="54">
        <v>0.13</v>
      </c>
      <c r="K31" s="54">
        <v>307.01</v>
      </c>
      <c r="L31" s="54">
        <v>14.57</v>
      </c>
      <c r="M31" s="54">
        <v>86.62</v>
      </c>
      <c r="N31" s="54">
        <v>27.10</v>
      </c>
      <c r="O31" s="54">
        <v>0</v>
      </c>
      <c r="P31" s="54">
        <v>3.56</v>
      </c>
      <c r="Q31" s="54">
        <v>2.95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177.87</v>
      </c>
      <c r="C32" s="54">
        <v>85.39</v>
      </c>
      <c r="D32" s="54">
        <v>189.56</v>
      </c>
      <c r="E32" s="54">
        <v>1.28</v>
      </c>
      <c r="F32" s="54">
        <v>3.64</v>
      </c>
      <c r="G32" s="54">
        <v>217.60</v>
      </c>
      <c r="H32" s="54">
        <v>109.15</v>
      </c>
      <c r="I32" s="54">
        <v>1.54</v>
      </c>
      <c r="J32" s="54">
        <v>0.17</v>
      </c>
      <c r="K32" s="54">
        <v>313.07</v>
      </c>
      <c r="L32" s="54">
        <v>13.76</v>
      </c>
      <c r="M32" s="54">
        <v>91.33</v>
      </c>
      <c r="N32" s="54">
        <v>27.20</v>
      </c>
      <c r="O32" s="54">
        <v>0</v>
      </c>
      <c r="P32" s="54">
        <v>3.02</v>
      </c>
      <c r="Q32" s="54">
        <v>9.19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3.6800000000000002</v>
      </c>
      <c r="C34" s="28">
        <f t="shared" si="0"/>
        <v>52.579999999999998</v>
      </c>
      <c r="D34" s="28">
        <f t="shared" si="0"/>
        <v>34.5</v>
      </c>
      <c r="E34" s="28">
        <f t="shared" si="0"/>
        <v>0.69999999999999996</v>
      </c>
      <c r="F34" s="28">
        <f t="shared" si="0"/>
        <v>3.6400000000000001</v>
      </c>
      <c r="G34" s="28">
        <f t="shared" si="0"/>
        <v>63.799999999999997</v>
      </c>
      <c r="H34" s="28">
        <f t="shared" si="0"/>
        <v>26.079999999999998</v>
      </c>
      <c r="I34" s="28">
        <f t="shared" si="0"/>
        <v>1.5</v>
      </c>
      <c r="J34" s="28">
        <f t="shared" si="0"/>
        <v>0.12</v>
      </c>
      <c r="K34" s="28">
        <f t="shared" si="0"/>
        <v>80.140000000000001</v>
      </c>
      <c r="L34" s="28">
        <f t="shared" si="0"/>
        <v>12.99</v>
      </c>
      <c r="M34" s="28">
        <f t="shared" si="0"/>
        <v>34.649999999999999</v>
      </c>
      <c r="N34" s="28">
        <f t="shared" si="0"/>
        <v>25.899999999999999</v>
      </c>
      <c r="O34" s="28">
        <f t="shared" si="0"/>
        <v>0</v>
      </c>
      <c r="P34" s="28">
        <f t="shared" si="0"/>
        <v>0.44</v>
      </c>
      <c r="Q34" s="28">
        <f t="shared" si="0"/>
        <v>0.87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177.87</v>
      </c>
      <c r="C35" s="29">
        <f t="shared" si="1"/>
        <v>85.599999999999994</v>
      </c>
      <c r="D35" s="29">
        <f t="shared" si="1"/>
        <v>189.56</v>
      </c>
      <c r="E35" s="29">
        <f t="shared" si="1"/>
        <v>5.1600000000000001</v>
      </c>
      <c r="F35" s="29">
        <f t="shared" si="1"/>
        <v>39.32</v>
      </c>
      <c r="G35" s="29">
        <f t="shared" si="1"/>
        <v>227.59999999999999</v>
      </c>
      <c r="H35" s="29">
        <f t="shared" si="1"/>
        <v>109.15000000000001</v>
      </c>
      <c r="I35" s="29">
        <f t="shared" si="1"/>
        <v>1.6100000000000001</v>
      </c>
      <c r="J35" s="29">
        <f t="shared" si="1"/>
        <v>1.3100000000000001</v>
      </c>
      <c r="K35" s="29">
        <f t="shared" si="1"/>
        <v>352.11000000000001</v>
      </c>
      <c r="L35" s="29">
        <f t="shared" si="1"/>
        <v>27.57</v>
      </c>
      <c r="M35" s="29">
        <f t="shared" si="1"/>
        <v>91.329999999999998</v>
      </c>
      <c r="N35" s="29">
        <f t="shared" si="1"/>
        <v>729.5</v>
      </c>
      <c r="O35" s="29">
        <f t="shared" si="1"/>
        <v>0</v>
      </c>
      <c r="P35" s="29">
        <f t="shared" si="1"/>
        <v>4</v>
      </c>
      <c r="Q35" s="29">
        <f t="shared" si="1"/>
        <v>9.1899999999999995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30.837500000000002</v>
      </c>
      <c r="C36" s="28">
        <f t="shared" si="2"/>
        <v>63.436666666666667</v>
      </c>
      <c r="D36" s="28">
        <f t="shared" si="2"/>
        <v>60.279583333333335</v>
      </c>
      <c r="E36" s="28">
        <f t="shared" si="2"/>
        <v>1.74125</v>
      </c>
      <c r="F36" s="28">
        <f t="shared" si="2"/>
        <v>11.50625</v>
      </c>
      <c r="G36" s="28">
        <f t="shared" si="2"/>
        <v>123.18124999999998</v>
      </c>
      <c r="H36" s="28">
        <f t="shared" si="2"/>
        <v>55.930000000000007</v>
      </c>
      <c r="I36" s="28">
        <f t="shared" si="2"/>
        <v>1.5416666666666667</v>
      </c>
      <c r="J36" s="28">
        <f t="shared" si="2"/>
        <v>0.43458333333333338</v>
      </c>
      <c r="K36" s="28">
        <f t="shared" si="2"/>
        <v>228.89125000000001</v>
      </c>
      <c r="L36" s="28">
        <f t="shared" si="2"/>
        <v>18.598749999999995</v>
      </c>
      <c r="M36" s="28">
        <f t="shared" si="2"/>
        <v>63.640833333333319</v>
      </c>
      <c r="N36" s="28">
        <f t="shared" si="2"/>
        <v>202.42499999999998</v>
      </c>
      <c r="O36" s="28">
        <f t="shared" si="2"/>
        <v>0</v>
      </c>
      <c r="P36" s="28">
        <f t="shared" si="2"/>
        <v>1.3516666666666668</v>
      </c>
      <c r="Q36" s="28">
        <f t="shared" si="2"/>
        <v>4.4741666666666662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43.518527713467357</v>
      </c>
      <c r="C37" s="28">
        <f t="shared" si="3" ref="C37:Q37">STDEV(C9:C32)</f>
        <v>10.955173749606049</v>
      </c>
      <c r="D37" s="28">
        <f t="shared" si="3"/>
        <v>39.965740924508431</v>
      </c>
      <c r="E37" s="28">
        <f t="shared" si="3"/>
        <v>1.0530961081703225</v>
      </c>
      <c r="F37" s="28">
        <f t="shared" si="3"/>
        <v>10.049679126393952</v>
      </c>
      <c r="G37" s="28">
        <f t="shared" si="3"/>
        <v>51.138597378573408</v>
      </c>
      <c r="H37" s="28">
        <f t="shared" si="3"/>
        <v>23.859903239717791</v>
      </c>
      <c r="I37" s="28">
        <f t="shared" si="3"/>
        <v>0.026811202503993478</v>
      </c>
      <c r="J37" s="28">
        <f t="shared" si="3"/>
        <v>0.37319978524932856</v>
      </c>
      <c r="K37" s="28">
        <f t="shared" si="3"/>
        <v>111.95579528711121</v>
      </c>
      <c r="L37" s="28">
        <f t="shared" si="3"/>
        <v>4.6236643782403748</v>
      </c>
      <c r="M37" s="28">
        <f t="shared" si="3"/>
        <v>20.181720079376806</v>
      </c>
      <c r="N37" s="28">
        <f t="shared" si="3"/>
        <v>264.23054368749894</v>
      </c>
      <c r="O37" s="28">
        <f t="shared" si="3"/>
        <v>0</v>
      </c>
      <c r="P37" s="28">
        <f t="shared" si="3"/>
        <v>1.1883333841494388</v>
      </c>
      <c r="Q37" s="28">
        <f t="shared" si="3"/>
        <v>1.8810379111512889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ba6479-c0cd-4b34-a29e-0daedf9ff12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180.66</v>
      </c>
      <c r="C9" s="54">
        <v>83.09</v>
      </c>
      <c r="D9" s="54">
        <v>191.38</v>
      </c>
      <c r="E9" s="54">
        <v>0.85</v>
      </c>
      <c r="F9" s="54">
        <v>3.70</v>
      </c>
      <c r="G9" s="54">
        <v>207.91</v>
      </c>
      <c r="H9" s="54">
        <v>95.67</v>
      </c>
      <c r="I9" s="54">
        <v>1.59</v>
      </c>
      <c r="J9" s="54">
        <v>0.17</v>
      </c>
      <c r="K9" s="54">
        <v>323.81</v>
      </c>
      <c r="L9" s="54">
        <v>13.28</v>
      </c>
      <c r="M9" s="54">
        <v>92.74</v>
      </c>
      <c r="N9" s="54">
        <v>27.30</v>
      </c>
      <c r="O9" s="54">
        <v>0</v>
      </c>
      <c r="P9" s="54">
        <v>2.04</v>
      </c>
      <c r="Q9" s="54">
        <v>22.01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168.32</v>
      </c>
      <c r="C10" s="54">
        <v>77.91</v>
      </c>
      <c r="D10" s="54">
        <v>178.63</v>
      </c>
      <c r="E10" s="54">
        <v>1.62</v>
      </c>
      <c r="F10" s="54">
        <v>3.69</v>
      </c>
      <c r="G10" s="54">
        <v>207.91</v>
      </c>
      <c r="H10" s="54">
        <v>88.41</v>
      </c>
      <c r="I10" s="54">
        <v>1.52</v>
      </c>
      <c r="J10" s="54">
        <v>0.5</v>
      </c>
      <c r="K10" s="54">
        <v>353.95</v>
      </c>
      <c r="L10" s="54">
        <v>13.45</v>
      </c>
      <c r="M10" s="54">
        <v>90.16</v>
      </c>
      <c r="N10" s="54">
        <v>26.90</v>
      </c>
      <c r="O10" s="54">
        <v>0</v>
      </c>
      <c r="P10" s="54">
        <v>1.49</v>
      </c>
      <c r="Q10" s="54">
        <v>30.46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130.84</v>
      </c>
      <c r="C11" s="54">
        <v>73.27</v>
      </c>
      <c r="D11" s="54">
        <v>146.01</v>
      </c>
      <c r="E11" s="54">
        <v>1.95</v>
      </c>
      <c r="F11" s="54">
        <v>4.79</v>
      </c>
      <c r="G11" s="54">
        <v>160.99</v>
      </c>
      <c r="H11" s="54">
        <v>82.95</v>
      </c>
      <c r="I11" s="54">
        <v>1.60</v>
      </c>
      <c r="J11" s="54">
        <v>0.13</v>
      </c>
      <c r="K11" s="54">
        <v>331.69</v>
      </c>
      <c r="L11" s="54">
        <v>13.53</v>
      </c>
      <c r="M11" s="54">
        <v>80.45</v>
      </c>
      <c r="N11" s="54">
        <v>27.70</v>
      </c>
      <c r="O11" s="54">
        <v>0</v>
      </c>
      <c r="P11" s="54">
        <v>0.82</v>
      </c>
      <c r="Q11" s="54">
        <v>28.5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97.09</v>
      </c>
      <c r="C12" s="54">
        <v>68</v>
      </c>
      <c r="D12" s="54">
        <v>116.04</v>
      </c>
      <c r="E12" s="54">
        <v>2.5499999999999998</v>
      </c>
      <c r="F12" s="54">
        <v>3.97</v>
      </c>
      <c r="G12" s="54">
        <v>214.01</v>
      </c>
      <c r="H12" s="54">
        <v>94.96</v>
      </c>
      <c r="I12" s="54">
        <v>1.52</v>
      </c>
      <c r="J12" s="54">
        <v>0.40</v>
      </c>
      <c r="K12" s="54">
        <v>113.51</v>
      </c>
      <c r="L12" s="54">
        <v>13.16</v>
      </c>
      <c r="M12" s="54">
        <v>81.73</v>
      </c>
      <c r="N12" s="54">
        <v>27.70</v>
      </c>
      <c r="O12" s="54">
        <v>0</v>
      </c>
      <c r="P12" s="54">
        <v>1.27</v>
      </c>
      <c r="Q12" s="54">
        <v>21.74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74.61</v>
      </c>
      <c r="C13" s="54">
        <v>64.010000000000005</v>
      </c>
      <c r="D13" s="54">
        <v>95.81</v>
      </c>
      <c r="E13" s="54">
        <v>2.5499999999999998</v>
      </c>
      <c r="F13" s="54">
        <v>4.34</v>
      </c>
      <c r="G13" s="54">
        <v>214.01</v>
      </c>
      <c r="H13" s="54">
        <v>94.96</v>
      </c>
      <c r="I13" s="54">
        <v>1.54</v>
      </c>
      <c r="J13" s="54">
        <v>0.17</v>
      </c>
      <c r="K13" s="54">
        <v>74.430000000000007</v>
      </c>
      <c r="L13" s="54">
        <v>13.34</v>
      </c>
      <c r="M13" s="54">
        <v>82.01</v>
      </c>
      <c r="N13" s="54">
        <v>27.70</v>
      </c>
      <c r="O13" s="54">
        <v>0</v>
      </c>
      <c r="P13" s="54">
        <v>1.1000000000000001</v>
      </c>
      <c r="Q13" s="54">
        <v>16.989999999999998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59.04</v>
      </c>
      <c r="C14" s="54">
        <v>60.36</v>
      </c>
      <c r="D14" s="54">
        <v>81.30</v>
      </c>
      <c r="E14" s="54">
        <v>1.66</v>
      </c>
      <c r="F14" s="54">
        <v>4.32</v>
      </c>
      <c r="G14" s="54">
        <v>199.95</v>
      </c>
      <c r="H14" s="54">
        <v>93.76</v>
      </c>
      <c r="I14" s="54">
        <v>1.55</v>
      </c>
      <c r="J14" s="54">
        <v>0.15</v>
      </c>
      <c r="K14" s="54">
        <v>73.55</v>
      </c>
      <c r="L14" s="54">
        <v>12.65</v>
      </c>
      <c r="M14" s="54">
        <v>80.290000000000006</v>
      </c>
      <c r="N14" s="54">
        <v>27.80</v>
      </c>
      <c r="O14" s="54">
        <v>0</v>
      </c>
      <c r="P14" s="54">
        <v>0.81</v>
      </c>
      <c r="Q14" s="54">
        <v>12.41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60.70</v>
      </c>
      <c r="C15" s="54">
        <v>61.61</v>
      </c>
      <c r="D15" s="54">
        <v>83.22</v>
      </c>
      <c r="E15" s="54">
        <v>1.52</v>
      </c>
      <c r="F15" s="54">
        <v>3.77</v>
      </c>
      <c r="G15" s="54">
        <v>132.78</v>
      </c>
      <c r="H15" s="54">
        <v>73.81</v>
      </c>
      <c r="I15" s="54">
        <v>1.54</v>
      </c>
      <c r="J15" s="54">
        <v>0.13</v>
      </c>
      <c r="K15" s="54">
        <v>325.48</v>
      </c>
      <c r="L15" s="54">
        <v>12.07</v>
      </c>
      <c r="M15" s="54">
        <v>83.18</v>
      </c>
      <c r="N15" s="54">
        <v>56.5</v>
      </c>
      <c r="O15" s="54">
        <v>0</v>
      </c>
      <c r="P15" s="54">
        <v>0.92</v>
      </c>
      <c r="Q15" s="54">
        <v>7.24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65.95</v>
      </c>
      <c r="C16" s="54">
        <v>61.89</v>
      </c>
      <c r="D16" s="54">
        <v>87.69</v>
      </c>
      <c r="E16" s="54">
        <v>1.35</v>
      </c>
      <c r="F16" s="54">
        <v>3.89</v>
      </c>
      <c r="G16" s="54">
        <v>152.09</v>
      </c>
      <c r="H16" s="54">
        <v>66.73</v>
      </c>
      <c r="I16" s="54">
        <v>1.54</v>
      </c>
      <c r="J16" s="54">
        <v>0.17</v>
      </c>
      <c r="K16" s="54">
        <v>336.56</v>
      </c>
      <c r="L16" s="54">
        <v>16.38</v>
      </c>
      <c r="M16" s="54">
        <v>80.08</v>
      </c>
      <c r="N16" s="54">
        <v>246.80</v>
      </c>
      <c r="O16" s="54">
        <v>0</v>
      </c>
      <c r="P16" s="54">
        <v>1.26</v>
      </c>
      <c r="Q16" s="54">
        <v>8.26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65</v>
      </c>
      <c r="C17" s="54">
        <v>63.10</v>
      </c>
      <c r="D17" s="54">
        <v>87.04</v>
      </c>
      <c r="E17" s="54">
        <v>1.44</v>
      </c>
      <c r="F17" s="54">
        <v>5.19</v>
      </c>
      <c r="G17" s="54">
        <v>152.09</v>
      </c>
      <c r="H17" s="54">
        <v>66.73</v>
      </c>
      <c r="I17" s="54">
        <v>1.53</v>
      </c>
      <c r="J17" s="54">
        <v>0.63</v>
      </c>
      <c r="K17" s="54">
        <v>357.30</v>
      </c>
      <c r="L17" s="54">
        <v>19.690000000000001</v>
      </c>
      <c r="M17" s="54">
        <v>48.72</v>
      </c>
      <c r="N17" s="54">
        <v>434.60</v>
      </c>
      <c r="O17" s="54">
        <v>0</v>
      </c>
      <c r="P17" s="54">
        <v>0.93</v>
      </c>
      <c r="Q17" s="54">
        <v>11.65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54.90</v>
      </c>
      <c r="C18" s="54">
        <v>63.55</v>
      </c>
      <c r="D18" s="54">
        <v>79.75</v>
      </c>
      <c r="E18" s="54">
        <v>1.86</v>
      </c>
      <c r="F18" s="54">
        <v>12.71</v>
      </c>
      <c r="G18" s="54">
        <v>119.03</v>
      </c>
      <c r="H18" s="54">
        <v>49.78</v>
      </c>
      <c r="I18" s="54">
        <v>1.51</v>
      </c>
      <c r="J18" s="54">
        <v>1.17</v>
      </c>
      <c r="K18" s="54">
        <v>117.92</v>
      </c>
      <c r="L18" s="54">
        <v>21.42</v>
      </c>
      <c r="M18" s="54">
        <v>44.69</v>
      </c>
      <c r="N18" s="54">
        <v>575.70000000000005</v>
      </c>
      <c r="O18" s="54">
        <v>0</v>
      </c>
      <c r="P18" s="54">
        <v>0.72</v>
      </c>
      <c r="Q18" s="54">
        <v>12.30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42.67</v>
      </c>
      <c r="C19" s="54">
        <v>65.11</v>
      </c>
      <c r="D19" s="54">
        <v>70.27</v>
      </c>
      <c r="E19" s="54">
        <v>2.12</v>
      </c>
      <c r="F19" s="54">
        <v>13.64</v>
      </c>
      <c r="G19" s="54">
        <v>93.88</v>
      </c>
      <c r="H19" s="54">
        <v>39.83</v>
      </c>
      <c r="I19" s="54">
        <v>1.51</v>
      </c>
      <c r="J19" s="54">
        <v>0.89</v>
      </c>
      <c r="K19" s="54">
        <v>117.24</v>
      </c>
      <c r="L19" s="54">
        <v>22.32</v>
      </c>
      <c r="M19" s="54">
        <v>38.42</v>
      </c>
      <c r="N19" s="54">
        <v>679.60</v>
      </c>
      <c r="O19" s="54">
        <v>0</v>
      </c>
      <c r="P19" s="54">
        <v>0.78</v>
      </c>
      <c r="Q19" s="54">
        <v>9.31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31.56</v>
      </c>
      <c r="C20" s="54">
        <v>65.30</v>
      </c>
      <c r="D20" s="54">
        <v>61.68</v>
      </c>
      <c r="E20" s="54">
        <v>2.71</v>
      </c>
      <c r="F20" s="54">
        <v>27.79</v>
      </c>
      <c r="G20" s="54">
        <v>93.88</v>
      </c>
      <c r="H20" s="54">
        <v>39.58</v>
      </c>
      <c r="I20" s="54">
        <v>1.52</v>
      </c>
      <c r="J20" s="54">
        <v>0.75</v>
      </c>
      <c r="K20" s="54">
        <v>333.60</v>
      </c>
      <c r="L20" s="54">
        <v>25.41</v>
      </c>
      <c r="M20" s="54">
        <v>34.86</v>
      </c>
      <c r="N20" s="54">
        <v>729.20</v>
      </c>
      <c r="O20" s="54">
        <v>0</v>
      </c>
      <c r="P20" s="54">
        <v>0.57999999999999996</v>
      </c>
      <c r="Q20" s="54">
        <v>8.73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2.96</v>
      </c>
      <c r="C21" s="54">
        <v>75.80</v>
      </c>
      <c r="D21" s="54">
        <v>44.85</v>
      </c>
      <c r="E21" s="54">
        <v>4.16</v>
      </c>
      <c r="F21" s="54">
        <v>31.57</v>
      </c>
      <c r="G21" s="54">
        <v>92.96</v>
      </c>
      <c r="H21" s="54">
        <v>31.43</v>
      </c>
      <c r="I21" s="54">
        <v>1.58</v>
      </c>
      <c r="J21" s="54">
        <v>0.78</v>
      </c>
      <c r="K21" s="54">
        <v>118.33</v>
      </c>
      <c r="L21" s="54">
        <v>26.02</v>
      </c>
      <c r="M21" s="54">
        <v>32.090000000000003</v>
      </c>
      <c r="N21" s="54">
        <v>690.20</v>
      </c>
      <c r="O21" s="54">
        <v>0</v>
      </c>
      <c r="P21" s="54">
        <v>0.64</v>
      </c>
      <c r="Q21" s="54">
        <v>9.5399999999999991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1.82</v>
      </c>
      <c r="C22" s="54">
        <v>74.14</v>
      </c>
      <c r="D22" s="54">
        <v>43.02</v>
      </c>
      <c r="E22" s="54">
        <v>2.23</v>
      </c>
      <c r="F22" s="54">
        <v>25.55</v>
      </c>
      <c r="G22" s="54">
        <v>92.96</v>
      </c>
      <c r="H22" s="54">
        <v>34.299999999999997</v>
      </c>
      <c r="I22" s="54">
        <v>1.54</v>
      </c>
      <c r="J22" s="54">
        <v>0.84</v>
      </c>
      <c r="K22" s="54">
        <v>122.22</v>
      </c>
      <c r="L22" s="54">
        <v>23.85</v>
      </c>
      <c r="M22" s="54">
        <v>32.85</v>
      </c>
      <c r="N22" s="54">
        <v>577.40</v>
      </c>
      <c r="O22" s="54">
        <v>0</v>
      </c>
      <c r="P22" s="54">
        <v>0.64</v>
      </c>
      <c r="Q22" s="54">
        <v>12.01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2.0499999999999998</v>
      </c>
      <c r="C23" s="54">
        <v>74.41</v>
      </c>
      <c r="D23" s="54">
        <v>42.99</v>
      </c>
      <c r="E23" s="54">
        <v>5.92</v>
      </c>
      <c r="F23" s="54">
        <v>36.880000000000003</v>
      </c>
      <c r="G23" s="54">
        <v>83.05</v>
      </c>
      <c r="H23" s="54">
        <v>35.32</v>
      </c>
      <c r="I23" s="54">
        <v>1.57</v>
      </c>
      <c r="J23" s="54">
        <v>0.94</v>
      </c>
      <c r="K23" s="54">
        <v>349.82</v>
      </c>
      <c r="L23" s="54">
        <v>25.46</v>
      </c>
      <c r="M23" s="54">
        <v>30.56</v>
      </c>
      <c r="N23" s="54">
        <v>228.90</v>
      </c>
      <c r="O23" s="54">
        <v>0</v>
      </c>
      <c r="P23" s="54">
        <v>0.95</v>
      </c>
      <c r="Q23" s="54">
        <v>7.65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3.76</v>
      </c>
      <c r="C24" s="54">
        <v>72.239999999999995</v>
      </c>
      <c r="D24" s="54">
        <v>42.34</v>
      </c>
      <c r="E24" s="54">
        <v>5.97</v>
      </c>
      <c r="F24" s="54">
        <v>39.89</v>
      </c>
      <c r="G24" s="54">
        <v>87.51</v>
      </c>
      <c r="H24" s="54">
        <v>35.36</v>
      </c>
      <c r="I24" s="54">
        <v>1.52</v>
      </c>
      <c r="J24" s="54">
        <v>0.83</v>
      </c>
      <c r="K24" s="54">
        <v>344.46</v>
      </c>
      <c r="L24" s="54">
        <v>22.91</v>
      </c>
      <c r="M24" s="54">
        <v>32.159999999999997</v>
      </c>
      <c r="N24" s="54">
        <v>146.80000000000001</v>
      </c>
      <c r="O24" s="54">
        <v>0</v>
      </c>
      <c r="P24" s="54">
        <v>1.06</v>
      </c>
      <c r="Q24" s="54">
        <v>6.30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5.82</v>
      </c>
      <c r="C25" s="54">
        <v>68.55</v>
      </c>
      <c r="D25" s="54">
        <v>43.12</v>
      </c>
      <c r="E25" s="54">
        <v>3.81</v>
      </c>
      <c r="F25" s="54">
        <v>30.39</v>
      </c>
      <c r="G25" s="54">
        <v>99.36</v>
      </c>
      <c r="H25" s="54">
        <v>38.200000000000003</v>
      </c>
      <c r="I25" s="54">
        <v>1.52</v>
      </c>
      <c r="J25" s="54">
        <v>0.37</v>
      </c>
      <c r="K25" s="54">
        <v>350.06</v>
      </c>
      <c r="L25" s="54">
        <v>22.31</v>
      </c>
      <c r="M25" s="54">
        <v>38.020000000000003</v>
      </c>
      <c r="N25" s="54">
        <v>106.80</v>
      </c>
      <c r="O25" s="54">
        <v>0</v>
      </c>
      <c r="P25" s="54">
        <v>1.19</v>
      </c>
      <c r="Q25" s="54">
        <v>2.91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12.32</v>
      </c>
      <c r="C26" s="54">
        <v>71.62</v>
      </c>
      <c r="D26" s="54">
        <v>50.05</v>
      </c>
      <c r="E26" s="54">
        <v>1.77</v>
      </c>
      <c r="F26" s="54">
        <v>5.75</v>
      </c>
      <c r="G26" s="54">
        <v>116.19</v>
      </c>
      <c r="H26" s="54">
        <v>44.53</v>
      </c>
      <c r="I26" s="54">
        <v>1.53</v>
      </c>
      <c r="J26" s="54">
        <v>0.08</v>
      </c>
      <c r="K26" s="54">
        <v>318.45999999999998</v>
      </c>
      <c r="L26" s="54">
        <v>19.64</v>
      </c>
      <c r="M26" s="54">
        <v>63.25</v>
      </c>
      <c r="N26" s="54">
        <v>73.400000000000006</v>
      </c>
      <c r="O26" s="54">
        <v>0</v>
      </c>
      <c r="P26" s="54">
        <v>2.10</v>
      </c>
      <c r="Q26" s="54">
        <v>1.1299999999999999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36.11</v>
      </c>
      <c r="C27" s="54">
        <v>79.400000000000006</v>
      </c>
      <c r="D27" s="54">
        <v>73.42</v>
      </c>
      <c r="E27" s="54">
        <v>1.39</v>
      </c>
      <c r="F27" s="54">
        <v>3.98</v>
      </c>
      <c r="G27" s="54">
        <v>191.72</v>
      </c>
      <c r="H27" s="54">
        <v>50.40</v>
      </c>
      <c r="I27" s="54">
        <v>1.55</v>
      </c>
      <c r="J27" s="54">
        <v>0.070000000000000007</v>
      </c>
      <c r="K27" s="54">
        <v>344.70</v>
      </c>
      <c r="L27" s="54">
        <v>18.03</v>
      </c>
      <c r="M27" s="54">
        <v>65.75</v>
      </c>
      <c r="N27" s="54">
        <v>63.5</v>
      </c>
      <c r="O27" s="54">
        <v>0</v>
      </c>
      <c r="P27" s="54">
        <v>2.72</v>
      </c>
      <c r="Q27" s="54">
        <v>1.36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78.53</v>
      </c>
      <c r="C28" s="54">
        <v>85.95</v>
      </c>
      <c r="D28" s="54">
        <v>111.05</v>
      </c>
      <c r="E28" s="54">
        <v>1.37</v>
      </c>
      <c r="F28" s="54">
        <v>3.91</v>
      </c>
      <c r="G28" s="54">
        <v>241.16</v>
      </c>
      <c r="H28" s="54">
        <v>74.25</v>
      </c>
      <c r="I28" s="54">
        <v>1.57</v>
      </c>
      <c r="J28" s="54">
        <v>0.12</v>
      </c>
      <c r="K28" s="54">
        <v>282.97000000000003</v>
      </c>
      <c r="L28" s="54">
        <v>16.27</v>
      </c>
      <c r="M28" s="54">
        <v>69.150000000000006</v>
      </c>
      <c r="N28" s="54">
        <v>63.80</v>
      </c>
      <c r="O28" s="54">
        <v>0</v>
      </c>
      <c r="P28" s="54">
        <v>3.09</v>
      </c>
      <c r="Q28" s="54">
        <v>2.11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113.96</v>
      </c>
      <c r="C29" s="54">
        <v>89</v>
      </c>
      <c r="D29" s="54">
        <v>141.13</v>
      </c>
      <c r="E29" s="54">
        <v>1.27</v>
      </c>
      <c r="F29" s="54">
        <v>3.92</v>
      </c>
      <c r="G29" s="54">
        <v>247.90</v>
      </c>
      <c r="H29" s="54">
        <v>84.83</v>
      </c>
      <c r="I29" s="54">
        <v>1.49</v>
      </c>
      <c r="J29" s="54">
        <v>0.17</v>
      </c>
      <c r="K29" s="54">
        <v>337.82</v>
      </c>
      <c r="L29" s="54">
        <v>15.73</v>
      </c>
      <c r="M29" s="54">
        <v>81.849999999999994</v>
      </c>
      <c r="N29" s="54">
        <v>61.40</v>
      </c>
      <c r="O29" s="54">
        <v>0</v>
      </c>
      <c r="P29" s="54">
        <v>4.3600000000000003</v>
      </c>
      <c r="Q29" s="54">
        <v>1.66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151.83000000000001</v>
      </c>
      <c r="C30" s="54">
        <v>89.02</v>
      </c>
      <c r="D30" s="54">
        <v>171.47</v>
      </c>
      <c r="E30" s="54">
        <v>1.23</v>
      </c>
      <c r="F30" s="54">
        <v>4.0199999999999996</v>
      </c>
      <c r="G30" s="54">
        <v>247.90</v>
      </c>
      <c r="H30" s="54">
        <v>93.09</v>
      </c>
      <c r="I30" s="54">
        <v>1.57</v>
      </c>
      <c r="J30" s="54">
        <v>0.14000000000000001</v>
      </c>
      <c r="K30" s="54">
        <v>333.56</v>
      </c>
      <c r="L30" s="54">
        <v>15.18</v>
      </c>
      <c r="M30" s="54">
        <v>81.709999999999994</v>
      </c>
      <c r="N30" s="54">
        <v>59.40</v>
      </c>
      <c r="O30" s="54">
        <v>0</v>
      </c>
      <c r="P30" s="54">
        <v>4.3899999999999997</v>
      </c>
      <c r="Q30" s="54">
        <v>9.8699999999999992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156.38999999999999</v>
      </c>
      <c r="C31" s="54">
        <v>88.45</v>
      </c>
      <c r="D31" s="54">
        <v>174.87</v>
      </c>
      <c r="E31" s="54">
        <v>1.0900000000000001</v>
      </c>
      <c r="F31" s="54">
        <v>3.68</v>
      </c>
      <c r="G31" s="54">
        <v>218.07</v>
      </c>
      <c r="H31" s="54">
        <v>93.09</v>
      </c>
      <c r="I31" s="54">
        <v>1.51</v>
      </c>
      <c r="J31" s="54">
        <v>0.39</v>
      </c>
      <c r="K31" s="54">
        <v>324.13</v>
      </c>
      <c r="L31" s="54">
        <v>15.98</v>
      </c>
      <c r="M31" s="54">
        <v>72.16</v>
      </c>
      <c r="N31" s="54">
        <v>57.80</v>
      </c>
      <c r="O31" s="54">
        <v>0</v>
      </c>
      <c r="P31" s="54">
        <v>3.65</v>
      </c>
      <c r="Q31" s="54">
        <v>19.399999999999999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144.63</v>
      </c>
      <c r="C32" s="54">
        <v>85.94</v>
      </c>
      <c r="D32" s="54">
        <v>164.05</v>
      </c>
      <c r="E32" s="54">
        <v>0.71</v>
      </c>
      <c r="F32" s="54">
        <v>3.81</v>
      </c>
      <c r="G32" s="54">
        <v>218.07</v>
      </c>
      <c r="H32" s="54">
        <v>91.85</v>
      </c>
      <c r="I32" s="54">
        <v>1.53</v>
      </c>
      <c r="J32" s="54">
        <v>0.64</v>
      </c>
      <c r="K32" s="54">
        <v>333.76</v>
      </c>
      <c r="L32" s="54">
        <v>14.31</v>
      </c>
      <c r="M32" s="54">
        <v>82.30</v>
      </c>
      <c r="N32" s="54">
        <v>58</v>
      </c>
      <c r="O32" s="54">
        <v>0</v>
      </c>
      <c r="P32" s="54">
        <v>2.23</v>
      </c>
      <c r="Q32" s="54">
        <v>23.83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1.8200000000000001</v>
      </c>
      <c r="C34" s="28">
        <f t="shared" si="0"/>
        <v>60.359999999999999</v>
      </c>
      <c r="D34" s="28">
        <f t="shared" si="0"/>
        <v>42.340000000000003</v>
      </c>
      <c r="E34" s="28">
        <f t="shared" si="0"/>
        <v>0.70999999999999996</v>
      </c>
      <c r="F34" s="28">
        <f t="shared" si="0"/>
        <v>3.6800000000000002</v>
      </c>
      <c r="G34" s="28">
        <f t="shared" si="0"/>
        <v>83.049999999999997</v>
      </c>
      <c r="H34" s="28">
        <f t="shared" si="0"/>
        <v>31.43</v>
      </c>
      <c r="I34" s="28">
        <f t="shared" si="0"/>
        <v>1.49</v>
      </c>
      <c r="J34" s="28">
        <f t="shared" si="0"/>
        <v>0.070000000000000007</v>
      </c>
      <c r="K34" s="28">
        <f t="shared" si="0"/>
        <v>73.549999999999997</v>
      </c>
      <c r="L34" s="28">
        <f t="shared" si="0"/>
        <v>12.07</v>
      </c>
      <c r="M34" s="28">
        <f t="shared" si="0"/>
        <v>30.559999999999999</v>
      </c>
      <c r="N34" s="28">
        <f t="shared" si="0"/>
        <v>26.899999999999999</v>
      </c>
      <c r="O34" s="28">
        <f t="shared" si="0"/>
        <v>0</v>
      </c>
      <c r="P34" s="28">
        <f t="shared" si="0"/>
        <v>0.57999999999999996</v>
      </c>
      <c r="Q34" s="28">
        <f t="shared" si="0"/>
        <v>1.1299999999999999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180.66</v>
      </c>
      <c r="C35" s="29">
        <f t="shared" si="1"/>
        <v>89.019999999999996</v>
      </c>
      <c r="D35" s="29">
        <f t="shared" si="1"/>
        <v>191.38</v>
      </c>
      <c r="E35" s="29">
        <f t="shared" si="1"/>
        <v>5.9699999999999998</v>
      </c>
      <c r="F35" s="29">
        <f t="shared" si="1"/>
        <v>39.890000000000001</v>
      </c>
      <c r="G35" s="29">
        <f t="shared" si="1"/>
        <v>247.90000000000001</v>
      </c>
      <c r="H35" s="29">
        <f t="shared" si="1"/>
        <v>95.670000000000002</v>
      </c>
      <c r="I35" s="29">
        <f t="shared" si="1"/>
        <v>1.6000000000000001</v>
      </c>
      <c r="J35" s="29">
        <f t="shared" si="1"/>
        <v>1.1699999999999999</v>
      </c>
      <c r="K35" s="29">
        <f t="shared" si="1"/>
        <v>357.30000000000001</v>
      </c>
      <c r="L35" s="29">
        <f t="shared" si="1"/>
        <v>26.02</v>
      </c>
      <c r="M35" s="29">
        <f t="shared" si="1"/>
        <v>92.739999999999995</v>
      </c>
      <c r="N35" s="29">
        <f t="shared" si="1"/>
        <v>729.20000000000005</v>
      </c>
      <c r="O35" s="29">
        <f t="shared" si="1"/>
        <v>0</v>
      </c>
      <c r="P35" s="29">
        <f t="shared" si="1"/>
        <v>4.3899999999999997</v>
      </c>
      <c r="Q35" s="29">
        <f t="shared" si="1"/>
        <v>30.460000000000001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72.563333333333333</v>
      </c>
      <c r="C36" s="28">
        <f t="shared" si="2"/>
        <v>73.405000000000015</v>
      </c>
      <c r="D36" s="28">
        <f t="shared" si="2"/>
        <v>99.215833333333322</v>
      </c>
      <c r="E36" s="28">
        <f t="shared" si="2"/>
        <v>2.2125000000000004</v>
      </c>
      <c r="F36" s="28">
        <f t="shared" si="2"/>
        <v>11.881250000000001</v>
      </c>
      <c r="G36" s="28">
        <f t="shared" si="2"/>
        <v>161.89083333333335</v>
      </c>
      <c r="H36" s="28">
        <f t="shared" si="2"/>
        <v>66.40916666666665</v>
      </c>
      <c r="I36" s="28">
        <f t="shared" si="2"/>
        <v>1.5395833333333331</v>
      </c>
      <c r="J36" s="28">
        <f t="shared" si="2"/>
        <v>0.44291666666666668</v>
      </c>
      <c r="K36" s="28">
        <f t="shared" si="2"/>
        <v>267.47208333333339</v>
      </c>
      <c r="L36" s="28">
        <f t="shared" si="2"/>
        <v>18.016250000000003</v>
      </c>
      <c r="M36" s="28">
        <f t="shared" si="2"/>
        <v>63.299166666666657</v>
      </c>
      <c r="N36" s="28">
        <f t="shared" si="2"/>
        <v>211.45416666666662</v>
      </c>
      <c r="O36" s="28">
        <f t="shared" si="2"/>
        <v>0</v>
      </c>
      <c r="P36" s="28">
        <f t="shared" si="2"/>
        <v>1.655833333333333</v>
      </c>
      <c r="Q36" s="28">
        <f t="shared" si="2"/>
        <v>11.973750000000001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58.006234872278782</v>
      </c>
      <c r="C37" s="28">
        <f t="shared" si="3" ref="C37:Q37">STDEV(C9:C32)</f>
        <v>9.5792397810372769</v>
      </c>
      <c r="D37" s="28">
        <f t="shared" si="3"/>
        <v>49.586396531856344</v>
      </c>
      <c r="E37" s="28">
        <f t="shared" si="3"/>
        <v>1.4168650330003656</v>
      </c>
      <c r="F37" s="28">
        <f t="shared" si="3"/>
        <v>12.40594503786828</v>
      </c>
      <c r="G37" s="28">
        <f t="shared" si="3"/>
        <v>58.52383854068551</v>
      </c>
      <c r="H37" s="28">
        <f t="shared" si="3"/>
        <v>24.616727949253082</v>
      </c>
      <c r="I37" s="28">
        <f t="shared" si="3"/>
        <v>0.028049516258196718</v>
      </c>
      <c r="J37" s="28">
        <f t="shared" si="3"/>
        <v>0.33779951819496962</v>
      </c>
      <c r="K37" s="28">
        <f t="shared" si="3"/>
        <v>107.83694603545491</v>
      </c>
      <c r="L37" s="28">
        <f t="shared" si="3"/>
        <v>4.6438147853752012</v>
      </c>
      <c r="M37" s="28">
        <f t="shared" si="3"/>
        <v>22.134896689374362</v>
      </c>
      <c r="N37" s="28">
        <f t="shared" si="3"/>
        <v>249.52526225539415</v>
      </c>
      <c r="O37" s="28">
        <f t="shared" si="3"/>
        <v>0</v>
      </c>
      <c r="P37" s="28">
        <f t="shared" si="3"/>
        <v>1.1737599068125391</v>
      </c>
      <c r="Q37" s="28">
        <f t="shared" si="3"/>
        <v>8.5041165543262149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95ee04-170b-4ce1-8d5f-120fcc52f6d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124.59</v>
      </c>
      <c r="C9" s="54">
        <v>80.819999999999993</v>
      </c>
      <c r="D9" s="54">
        <v>145.16</v>
      </c>
      <c r="E9" s="54">
        <v>0.73</v>
      </c>
      <c r="F9" s="54">
        <v>3.82</v>
      </c>
      <c r="G9" s="54">
        <v>171.20</v>
      </c>
      <c r="H9" s="54">
        <v>86.29</v>
      </c>
      <c r="I9" s="54">
        <v>1.55</v>
      </c>
      <c r="J9" s="54">
        <v>0.12</v>
      </c>
      <c r="K9" s="54">
        <v>321.48</v>
      </c>
      <c r="L9" s="54">
        <v>13.94</v>
      </c>
      <c r="M9" s="54">
        <v>79.63</v>
      </c>
      <c r="N9" s="54">
        <v>59</v>
      </c>
      <c r="O9" s="54">
        <v>0</v>
      </c>
      <c r="P9" s="54">
        <v>1.67</v>
      </c>
      <c r="Q9" s="54">
        <v>23.05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97.98</v>
      </c>
      <c r="C10" s="54">
        <v>75.349999999999994</v>
      </c>
      <c r="D10" s="54">
        <v>120.80</v>
      </c>
      <c r="E10" s="54">
        <v>0.47</v>
      </c>
      <c r="F10" s="54">
        <v>3.56</v>
      </c>
      <c r="G10" s="54">
        <v>158.07</v>
      </c>
      <c r="H10" s="54">
        <v>80.849999999999994</v>
      </c>
      <c r="I10" s="54">
        <v>1.59</v>
      </c>
      <c r="J10" s="54">
        <v>0.18</v>
      </c>
      <c r="K10" s="54">
        <v>344.83</v>
      </c>
      <c r="L10" s="54">
        <v>12.96</v>
      </c>
      <c r="M10" s="54">
        <v>85.77</v>
      </c>
      <c r="N10" s="54">
        <v>59</v>
      </c>
      <c r="O10" s="54">
        <v>0</v>
      </c>
      <c r="P10" s="54">
        <v>1.07</v>
      </c>
      <c r="Q10" s="54">
        <v>20.57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74.97</v>
      </c>
      <c r="C11" s="54">
        <v>70.16</v>
      </c>
      <c r="D11" s="54">
        <v>99.48</v>
      </c>
      <c r="E11" s="54">
        <v>0.62</v>
      </c>
      <c r="F11" s="54">
        <v>6.39</v>
      </c>
      <c r="G11" s="54">
        <v>138.69999999999999</v>
      </c>
      <c r="H11" s="54">
        <v>73.739999999999995</v>
      </c>
      <c r="I11" s="54">
        <v>1.52</v>
      </c>
      <c r="J11" s="54">
        <v>0.22</v>
      </c>
      <c r="K11" s="54">
        <v>340.76</v>
      </c>
      <c r="L11" s="54">
        <v>13.46</v>
      </c>
      <c r="M11" s="54">
        <v>75.28</v>
      </c>
      <c r="N11" s="54">
        <v>60.20</v>
      </c>
      <c r="O11" s="54">
        <v>0</v>
      </c>
      <c r="P11" s="54">
        <v>0.87</v>
      </c>
      <c r="Q11" s="54">
        <v>17.309999999999999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53.14</v>
      </c>
      <c r="C12" s="54">
        <v>67.20</v>
      </c>
      <c r="D12" s="54">
        <v>80.349999999999994</v>
      </c>
      <c r="E12" s="54">
        <v>0.82</v>
      </c>
      <c r="F12" s="54">
        <v>6.63</v>
      </c>
      <c r="G12" s="54">
        <v>136.12</v>
      </c>
      <c r="H12" s="54">
        <v>73.739999999999995</v>
      </c>
      <c r="I12" s="54">
        <v>1.55</v>
      </c>
      <c r="J12" s="54">
        <v>0.12</v>
      </c>
      <c r="K12" s="54">
        <v>317.27</v>
      </c>
      <c r="L12" s="54">
        <v>13.13</v>
      </c>
      <c r="M12" s="54">
        <v>88.84</v>
      </c>
      <c r="N12" s="54">
        <v>60.90</v>
      </c>
      <c r="O12" s="54">
        <v>0</v>
      </c>
      <c r="P12" s="54">
        <v>0.91</v>
      </c>
      <c r="Q12" s="54">
        <v>14.83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41.21</v>
      </c>
      <c r="C13" s="54">
        <v>63.27</v>
      </c>
      <c r="D13" s="54">
        <v>68.61</v>
      </c>
      <c r="E13" s="54">
        <v>0.77</v>
      </c>
      <c r="F13" s="54">
        <v>3.74</v>
      </c>
      <c r="G13" s="54">
        <v>153.57</v>
      </c>
      <c r="H13" s="54">
        <v>74.94</v>
      </c>
      <c r="I13" s="54">
        <v>1.52</v>
      </c>
      <c r="J13" s="54">
        <v>0.23</v>
      </c>
      <c r="K13" s="54">
        <v>311.07</v>
      </c>
      <c r="L13" s="54">
        <v>12.61</v>
      </c>
      <c r="M13" s="54">
        <v>87.23</v>
      </c>
      <c r="N13" s="54">
        <v>60.30</v>
      </c>
      <c r="O13" s="54">
        <v>0</v>
      </c>
      <c r="P13" s="54">
        <v>1.03</v>
      </c>
      <c r="Q13" s="54">
        <v>9.68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35.130000000000003</v>
      </c>
      <c r="C14" s="54">
        <v>62.34</v>
      </c>
      <c r="D14" s="54">
        <v>63.22</v>
      </c>
      <c r="E14" s="54">
        <v>1.01</v>
      </c>
      <c r="F14" s="54">
        <v>4.5199999999999996</v>
      </c>
      <c r="G14" s="54">
        <v>153.57</v>
      </c>
      <c r="H14" s="54">
        <v>74.94</v>
      </c>
      <c r="I14" s="54">
        <v>1.56</v>
      </c>
      <c r="J14" s="54">
        <v>0.19</v>
      </c>
      <c r="K14" s="54">
        <v>348.19</v>
      </c>
      <c r="L14" s="54">
        <v>12.66</v>
      </c>
      <c r="M14" s="54">
        <v>78.37</v>
      </c>
      <c r="N14" s="54">
        <v>60.5</v>
      </c>
      <c r="O14" s="54">
        <v>0</v>
      </c>
      <c r="P14" s="54">
        <v>1.01</v>
      </c>
      <c r="Q14" s="54">
        <v>9.7799999999999994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30.21</v>
      </c>
      <c r="C15" s="54">
        <v>61.57</v>
      </c>
      <c r="D15" s="54">
        <v>58.85</v>
      </c>
      <c r="E15" s="54">
        <v>0.89</v>
      </c>
      <c r="F15" s="54">
        <v>6.71</v>
      </c>
      <c r="G15" s="54">
        <v>143.27000000000001</v>
      </c>
      <c r="H15" s="54">
        <v>72.88</v>
      </c>
      <c r="I15" s="54">
        <v>1.55</v>
      </c>
      <c r="J15" s="54">
        <v>0.18</v>
      </c>
      <c r="K15" s="54">
        <v>102.71</v>
      </c>
      <c r="L15" s="54">
        <v>12.62</v>
      </c>
      <c r="M15" s="54">
        <v>78.739999999999995</v>
      </c>
      <c r="N15" s="54">
        <v>86.30</v>
      </c>
      <c r="O15" s="54">
        <v>0</v>
      </c>
      <c r="P15" s="54">
        <v>0.76</v>
      </c>
      <c r="Q15" s="54">
        <v>9.3699999999999992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24.26</v>
      </c>
      <c r="C16" s="54">
        <v>59.63</v>
      </c>
      <c r="D16" s="54">
        <v>53.01</v>
      </c>
      <c r="E16" s="54">
        <v>0.72</v>
      </c>
      <c r="F16" s="54">
        <v>6.92</v>
      </c>
      <c r="G16" s="54">
        <v>115.55</v>
      </c>
      <c r="H16" s="54">
        <v>68.010000000000005</v>
      </c>
      <c r="I16" s="54">
        <v>1.5</v>
      </c>
      <c r="J16" s="54">
        <v>0.73</v>
      </c>
      <c r="K16" s="54">
        <v>104.92</v>
      </c>
      <c r="L16" s="54">
        <v>14.91</v>
      </c>
      <c r="M16" s="54">
        <v>69.12</v>
      </c>
      <c r="N16" s="54">
        <v>245.40</v>
      </c>
      <c r="O16" s="54">
        <v>0</v>
      </c>
      <c r="P16" s="54">
        <v>0.64</v>
      </c>
      <c r="Q16" s="54">
        <v>8.16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19.899999999999999</v>
      </c>
      <c r="C17" s="54">
        <v>57.95</v>
      </c>
      <c r="D17" s="54">
        <v>48.59</v>
      </c>
      <c r="E17" s="54">
        <v>0.88</v>
      </c>
      <c r="F17" s="54">
        <v>9.0299999999999994</v>
      </c>
      <c r="G17" s="54">
        <v>75.91</v>
      </c>
      <c r="H17" s="54">
        <v>58.82</v>
      </c>
      <c r="I17" s="54">
        <v>1.64</v>
      </c>
      <c r="J17" s="54">
        <v>0.97</v>
      </c>
      <c r="K17" s="54">
        <v>110.62</v>
      </c>
      <c r="L17" s="54">
        <v>18</v>
      </c>
      <c r="M17" s="54">
        <v>58.67</v>
      </c>
      <c r="N17" s="54">
        <v>429.40</v>
      </c>
      <c r="O17" s="54">
        <v>0</v>
      </c>
      <c r="P17" s="54">
        <v>0.75</v>
      </c>
      <c r="Q17" s="54">
        <v>7.66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15.43</v>
      </c>
      <c r="C18" s="54">
        <v>57.43</v>
      </c>
      <c r="D18" s="54">
        <v>44.69</v>
      </c>
      <c r="E18" s="54">
        <v>0.70</v>
      </c>
      <c r="F18" s="54">
        <v>7.40</v>
      </c>
      <c r="G18" s="54">
        <v>77.47</v>
      </c>
      <c r="H18" s="54">
        <v>49.39</v>
      </c>
      <c r="I18" s="54">
        <v>1.58</v>
      </c>
      <c r="J18" s="54">
        <v>0.93</v>
      </c>
      <c r="K18" s="54">
        <v>111.63</v>
      </c>
      <c r="L18" s="54">
        <v>20.07</v>
      </c>
      <c r="M18" s="54">
        <v>49.20</v>
      </c>
      <c r="N18" s="54">
        <v>576.70000000000005</v>
      </c>
      <c r="O18" s="54">
        <v>0</v>
      </c>
      <c r="P18" s="54">
        <v>0.73</v>
      </c>
      <c r="Q18" s="54">
        <v>6.48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8.9700000000000006</v>
      </c>
      <c r="C19" s="54">
        <v>57.58</v>
      </c>
      <c r="D19" s="54">
        <v>39.590000000000003</v>
      </c>
      <c r="E19" s="54">
        <v>0.75</v>
      </c>
      <c r="F19" s="54">
        <v>11.89</v>
      </c>
      <c r="G19" s="54">
        <v>77.47</v>
      </c>
      <c r="H19" s="54">
        <v>44.63</v>
      </c>
      <c r="I19" s="54">
        <v>1.51</v>
      </c>
      <c r="J19" s="54">
        <v>0.82</v>
      </c>
      <c r="K19" s="54">
        <v>122.82</v>
      </c>
      <c r="L19" s="54">
        <v>23.24</v>
      </c>
      <c r="M19" s="54">
        <v>41.33</v>
      </c>
      <c r="N19" s="54">
        <v>677.90</v>
      </c>
      <c r="O19" s="54">
        <v>0</v>
      </c>
      <c r="P19" s="54">
        <v>0.68</v>
      </c>
      <c r="Q19" s="54">
        <v>5.93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4.7699999999999996</v>
      </c>
      <c r="C20" s="54">
        <v>57.20</v>
      </c>
      <c r="D20" s="54">
        <v>36.04</v>
      </c>
      <c r="E20" s="54">
        <v>1.04</v>
      </c>
      <c r="F20" s="54">
        <v>25.37</v>
      </c>
      <c r="G20" s="54">
        <v>73.20</v>
      </c>
      <c r="H20" s="54">
        <v>42.46</v>
      </c>
      <c r="I20" s="54">
        <v>1.53</v>
      </c>
      <c r="J20" s="54">
        <v>1.04</v>
      </c>
      <c r="K20" s="54">
        <v>349.43</v>
      </c>
      <c r="L20" s="54">
        <v>25.54</v>
      </c>
      <c r="M20" s="54">
        <v>31.13</v>
      </c>
      <c r="N20" s="54">
        <v>694.80</v>
      </c>
      <c r="O20" s="54">
        <v>0</v>
      </c>
      <c r="P20" s="54">
        <v>0.57999999999999996</v>
      </c>
      <c r="Q20" s="54">
        <v>5.13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4.22</v>
      </c>
      <c r="C21" s="54">
        <v>55.04</v>
      </c>
      <c r="D21" s="54">
        <v>34.11</v>
      </c>
      <c r="E21" s="54">
        <v>2.99</v>
      </c>
      <c r="F21" s="54">
        <v>30.84</v>
      </c>
      <c r="G21" s="54">
        <v>54.60</v>
      </c>
      <c r="H21" s="54">
        <v>36.60</v>
      </c>
      <c r="I21" s="54">
        <v>1.5</v>
      </c>
      <c r="J21" s="54">
        <v>0.56000000000000005</v>
      </c>
      <c r="K21" s="54">
        <v>121.38</v>
      </c>
      <c r="L21" s="54">
        <v>25.10</v>
      </c>
      <c r="M21" s="54">
        <v>32.56</v>
      </c>
      <c r="N21" s="54">
        <v>610.60</v>
      </c>
      <c r="O21" s="54">
        <v>0</v>
      </c>
      <c r="P21" s="54">
        <v>0.56000000000000005</v>
      </c>
      <c r="Q21" s="54">
        <v>4.87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4.3899999999999997</v>
      </c>
      <c r="C22" s="54">
        <v>56.16</v>
      </c>
      <c r="D22" s="54">
        <v>35.14</v>
      </c>
      <c r="E22" s="54">
        <v>3.15</v>
      </c>
      <c r="F22" s="54">
        <v>41.53</v>
      </c>
      <c r="G22" s="54">
        <v>57.35</v>
      </c>
      <c r="H22" s="54">
        <v>29.59</v>
      </c>
      <c r="I22" s="54">
        <v>1.61</v>
      </c>
      <c r="J22" s="54">
        <v>0.83</v>
      </c>
      <c r="K22" s="54">
        <v>347.30</v>
      </c>
      <c r="L22" s="54">
        <v>25.49</v>
      </c>
      <c r="M22" s="54">
        <v>30.83</v>
      </c>
      <c r="N22" s="54">
        <v>521.20000000000005</v>
      </c>
      <c r="O22" s="54">
        <v>0</v>
      </c>
      <c r="P22" s="54">
        <v>0.64</v>
      </c>
      <c r="Q22" s="54">
        <v>3.47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4.83</v>
      </c>
      <c r="C23" s="54">
        <v>60.24</v>
      </c>
      <c r="D23" s="54">
        <v>37.770000000000003</v>
      </c>
      <c r="E23" s="54">
        <v>4.25</v>
      </c>
      <c r="F23" s="54">
        <v>42.13</v>
      </c>
      <c r="G23" s="54">
        <v>73.650000000000006</v>
      </c>
      <c r="H23" s="54">
        <v>31.68</v>
      </c>
      <c r="I23" s="54">
        <v>1.58</v>
      </c>
      <c r="J23" s="54">
        <v>1.40</v>
      </c>
      <c r="K23" s="54">
        <v>344.99</v>
      </c>
      <c r="L23" s="54">
        <v>25.54</v>
      </c>
      <c r="M23" s="54">
        <v>32.21</v>
      </c>
      <c r="N23" s="54">
        <v>190.30</v>
      </c>
      <c r="O23" s="54">
        <v>0</v>
      </c>
      <c r="P23" s="54">
        <v>0.70</v>
      </c>
      <c r="Q23" s="54">
        <v>3.38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4.95</v>
      </c>
      <c r="C24" s="54">
        <v>63.41</v>
      </c>
      <c r="D24" s="54">
        <v>39.450000000000003</v>
      </c>
      <c r="E24" s="54">
        <v>3.34</v>
      </c>
      <c r="F24" s="54">
        <v>38.340000000000003</v>
      </c>
      <c r="G24" s="54">
        <v>73.650000000000006</v>
      </c>
      <c r="H24" s="54">
        <v>33.72</v>
      </c>
      <c r="I24" s="54">
        <v>1.54</v>
      </c>
      <c r="J24" s="54">
        <v>0.90</v>
      </c>
      <c r="K24" s="54">
        <v>345.84</v>
      </c>
      <c r="L24" s="54">
        <v>23.32</v>
      </c>
      <c r="M24" s="54">
        <v>34.69</v>
      </c>
      <c r="N24" s="54">
        <v>121.20</v>
      </c>
      <c r="O24" s="54">
        <v>0</v>
      </c>
      <c r="P24" s="54">
        <v>0.77</v>
      </c>
      <c r="Q24" s="54">
        <v>4.1500000000000004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5.30</v>
      </c>
      <c r="C25" s="54">
        <v>67.540000000000006</v>
      </c>
      <c r="D25" s="54">
        <v>42.17</v>
      </c>
      <c r="E25" s="54">
        <v>2.60</v>
      </c>
      <c r="F25" s="54">
        <v>30.34</v>
      </c>
      <c r="G25" s="54">
        <v>72.66</v>
      </c>
      <c r="H25" s="54">
        <v>33.72</v>
      </c>
      <c r="I25" s="54">
        <v>1.56</v>
      </c>
      <c r="J25" s="54">
        <v>0.95</v>
      </c>
      <c r="K25" s="54">
        <v>349.67</v>
      </c>
      <c r="L25" s="54">
        <v>22.08</v>
      </c>
      <c r="M25" s="54">
        <v>41.42</v>
      </c>
      <c r="N25" s="54">
        <v>72</v>
      </c>
      <c r="O25" s="54">
        <v>0</v>
      </c>
      <c r="P25" s="54">
        <v>0.94</v>
      </c>
      <c r="Q25" s="54">
        <v>3.73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9.77</v>
      </c>
      <c r="C26" s="54">
        <v>74.22</v>
      </c>
      <c r="D26" s="54">
        <v>49.44</v>
      </c>
      <c r="E26" s="54">
        <v>0.89</v>
      </c>
      <c r="F26" s="54">
        <v>8.99</v>
      </c>
      <c r="G26" s="54">
        <v>87.04</v>
      </c>
      <c r="H26" s="54">
        <v>38.92</v>
      </c>
      <c r="I26" s="54">
        <v>1.56</v>
      </c>
      <c r="J26" s="54">
        <v>0.28000000000000003</v>
      </c>
      <c r="K26" s="54">
        <v>331.17</v>
      </c>
      <c r="L26" s="54">
        <v>19.87</v>
      </c>
      <c r="M26" s="54">
        <v>56.59</v>
      </c>
      <c r="N26" s="54">
        <v>27.70</v>
      </c>
      <c r="O26" s="54">
        <v>0</v>
      </c>
      <c r="P26" s="54">
        <v>1.18</v>
      </c>
      <c r="Q26" s="54">
        <v>4.01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13.38</v>
      </c>
      <c r="C27" s="54">
        <v>78.819999999999993</v>
      </c>
      <c r="D27" s="54">
        <v>54.88</v>
      </c>
      <c r="E27" s="54">
        <v>0.84</v>
      </c>
      <c r="F27" s="54">
        <v>4.3600000000000003</v>
      </c>
      <c r="G27" s="54">
        <v>119.57</v>
      </c>
      <c r="H27" s="54">
        <v>48.80</v>
      </c>
      <c r="I27" s="54">
        <v>1.55</v>
      </c>
      <c r="J27" s="54">
        <v>0.20</v>
      </c>
      <c r="K27" s="54">
        <v>86.71</v>
      </c>
      <c r="L27" s="54">
        <v>18.600000000000001</v>
      </c>
      <c r="M27" s="54">
        <v>50.73</v>
      </c>
      <c r="N27" s="54">
        <v>22.70</v>
      </c>
      <c r="O27" s="54">
        <v>0</v>
      </c>
      <c r="P27" s="54">
        <v>1.91</v>
      </c>
      <c r="Q27" s="54">
        <v>4.03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14.19</v>
      </c>
      <c r="C28" s="54">
        <v>78.95</v>
      </c>
      <c r="D28" s="54">
        <v>55.5</v>
      </c>
      <c r="E28" s="54">
        <v>0.99</v>
      </c>
      <c r="F28" s="54">
        <v>6.19</v>
      </c>
      <c r="G28" s="54">
        <v>121.93</v>
      </c>
      <c r="H28" s="54">
        <v>54.60</v>
      </c>
      <c r="I28" s="54">
        <v>1.55</v>
      </c>
      <c r="J28" s="54">
        <v>0.21</v>
      </c>
      <c r="K28" s="54">
        <v>90.35</v>
      </c>
      <c r="L28" s="54">
        <v>17.86</v>
      </c>
      <c r="M28" s="54">
        <v>55.05</v>
      </c>
      <c r="N28" s="54">
        <v>23</v>
      </c>
      <c r="O28" s="54">
        <v>0</v>
      </c>
      <c r="P28" s="54">
        <v>1.73</v>
      </c>
      <c r="Q28" s="54">
        <v>4.79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18.72</v>
      </c>
      <c r="C29" s="54">
        <v>75.05</v>
      </c>
      <c r="D29" s="54">
        <v>56.45</v>
      </c>
      <c r="E29" s="54">
        <v>1.20</v>
      </c>
      <c r="F29" s="54">
        <v>6.01</v>
      </c>
      <c r="G29" s="54">
        <v>121.93</v>
      </c>
      <c r="H29" s="54">
        <v>57.54</v>
      </c>
      <c r="I29" s="54">
        <v>1.54</v>
      </c>
      <c r="J29" s="54">
        <v>0.14000000000000001</v>
      </c>
      <c r="K29" s="54">
        <v>273.73</v>
      </c>
      <c r="L29" s="54">
        <v>16.899999999999999</v>
      </c>
      <c r="M29" s="54">
        <v>66.42</v>
      </c>
      <c r="N29" s="54">
        <v>23.10</v>
      </c>
      <c r="O29" s="54">
        <v>0</v>
      </c>
      <c r="P29" s="54">
        <v>2.13</v>
      </c>
      <c r="Q29" s="54">
        <v>4.72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59.45</v>
      </c>
      <c r="C30" s="54">
        <v>77.22</v>
      </c>
      <c r="D30" s="54">
        <v>90.94</v>
      </c>
      <c r="E30" s="54">
        <v>1.42</v>
      </c>
      <c r="F30" s="54">
        <v>3.96</v>
      </c>
      <c r="G30" s="54">
        <v>225.45</v>
      </c>
      <c r="H30" s="54">
        <v>64.09</v>
      </c>
      <c r="I30" s="54">
        <v>1.52</v>
      </c>
      <c r="J30" s="54">
        <v>0.15</v>
      </c>
      <c r="K30" s="54">
        <v>314.52</v>
      </c>
      <c r="L30" s="54">
        <v>15.39</v>
      </c>
      <c r="M30" s="54">
        <v>75.28</v>
      </c>
      <c r="N30" s="54">
        <v>23</v>
      </c>
      <c r="O30" s="54">
        <v>0</v>
      </c>
      <c r="P30" s="54">
        <v>3.27</v>
      </c>
      <c r="Q30" s="5" t="s">
        <v>14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106.26</v>
      </c>
      <c r="C31" s="54">
        <v>81.05</v>
      </c>
      <c r="D31" s="54">
        <v>130.58000000000001</v>
      </c>
      <c r="E31" s="54">
        <v>1.25</v>
      </c>
      <c r="F31" s="54">
        <v>3.99</v>
      </c>
      <c r="G31" s="54">
        <v>225.45</v>
      </c>
      <c r="H31" s="54">
        <v>67.84</v>
      </c>
      <c r="I31" s="54">
        <v>1.52</v>
      </c>
      <c r="J31" s="54">
        <v>0.13</v>
      </c>
      <c r="K31" s="54">
        <v>353.74</v>
      </c>
      <c r="L31" s="54">
        <v>14.80</v>
      </c>
      <c r="M31" s="54">
        <v>81.349999999999994</v>
      </c>
      <c r="N31" s="54">
        <v>23</v>
      </c>
      <c r="O31" s="54">
        <v>0</v>
      </c>
      <c r="P31" s="54">
        <v>2.90</v>
      </c>
      <c r="Q31" s="54">
        <v>2.61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111.98</v>
      </c>
      <c r="C32" s="54">
        <v>81.12</v>
      </c>
      <c r="D32" s="54">
        <v>135.21</v>
      </c>
      <c r="E32" s="54">
        <v>0.97</v>
      </c>
      <c r="F32" s="54">
        <v>4.70</v>
      </c>
      <c r="G32" s="54">
        <v>218.29</v>
      </c>
      <c r="H32" s="54">
        <v>67.84</v>
      </c>
      <c r="I32" s="54">
        <v>1.54</v>
      </c>
      <c r="J32" s="54">
        <v>0.14000000000000001</v>
      </c>
      <c r="K32" s="54">
        <v>297.48</v>
      </c>
      <c r="L32" s="54">
        <v>15.28</v>
      </c>
      <c r="M32" s="54">
        <v>69.5</v>
      </c>
      <c r="N32" s="54">
        <v>23.30</v>
      </c>
      <c r="O32" s="54">
        <v>0</v>
      </c>
      <c r="P32" s="54">
        <v>2.0099999999999998</v>
      </c>
      <c r="Q32" s="54">
        <v>19.100000000000001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4.2199999999999998</v>
      </c>
      <c r="C34" s="28">
        <f t="shared" si="0"/>
        <v>55.039999999999999</v>
      </c>
      <c r="D34" s="28">
        <f t="shared" si="0"/>
        <v>34.109999999999999</v>
      </c>
      <c r="E34" s="28">
        <f t="shared" si="0"/>
        <v>0.46999999999999997</v>
      </c>
      <c r="F34" s="28">
        <f t="shared" si="0"/>
        <v>3.5600000000000001</v>
      </c>
      <c r="G34" s="28">
        <f t="shared" si="0"/>
        <v>54.600000000000001</v>
      </c>
      <c r="H34" s="28">
        <f t="shared" si="0"/>
        <v>29.59</v>
      </c>
      <c r="I34" s="28">
        <f t="shared" si="0"/>
        <v>1.5</v>
      </c>
      <c r="J34" s="28">
        <f t="shared" si="0"/>
        <v>0.12</v>
      </c>
      <c r="K34" s="28">
        <f t="shared" si="0"/>
        <v>86.709999999999994</v>
      </c>
      <c r="L34" s="28">
        <f t="shared" si="0"/>
        <v>12.609999999999999</v>
      </c>
      <c r="M34" s="28">
        <f t="shared" si="0"/>
        <v>30.829999999999998</v>
      </c>
      <c r="N34" s="28">
        <f t="shared" si="0"/>
        <v>22.699999999999999</v>
      </c>
      <c r="O34" s="28">
        <f t="shared" si="0"/>
        <v>0</v>
      </c>
      <c r="P34" s="28">
        <f t="shared" si="0"/>
        <v>0.56000000000000005</v>
      </c>
      <c r="Q34" s="28">
        <f t="shared" si="0"/>
        <v>2.6099999999999999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124.59</v>
      </c>
      <c r="C35" s="29">
        <f t="shared" si="1"/>
        <v>81.120000000000005</v>
      </c>
      <c r="D35" s="29">
        <f t="shared" si="1"/>
        <v>145.16</v>
      </c>
      <c r="E35" s="29">
        <f t="shared" si="1"/>
        <v>4.25</v>
      </c>
      <c r="F35" s="29">
        <f t="shared" si="1"/>
        <v>42.130000000000003</v>
      </c>
      <c r="G35" s="29">
        <f t="shared" si="1"/>
        <v>225.44999999999999</v>
      </c>
      <c r="H35" s="29">
        <f t="shared" si="1"/>
        <v>86.290000000000006</v>
      </c>
      <c r="I35" s="29">
        <f t="shared" si="1"/>
        <v>1.6399999999999999</v>
      </c>
      <c r="J35" s="29">
        <f t="shared" si="1"/>
        <v>1.3999999999999999</v>
      </c>
      <c r="K35" s="29">
        <f t="shared" si="1"/>
        <v>353.74000000000001</v>
      </c>
      <c r="L35" s="29">
        <f t="shared" si="1"/>
        <v>25.539999999999999</v>
      </c>
      <c r="M35" s="29">
        <f t="shared" si="1"/>
        <v>88.840000000000003</v>
      </c>
      <c r="N35" s="29">
        <f t="shared" si="1"/>
        <v>694.79999999999995</v>
      </c>
      <c r="O35" s="29">
        <f t="shared" si="1"/>
        <v>0</v>
      </c>
      <c r="P35" s="29">
        <f t="shared" si="1"/>
        <v>3.27</v>
      </c>
      <c r="Q35" s="29">
        <f t="shared" si="1"/>
        <v>23.050000000000001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37</v>
      </c>
      <c r="C36" s="28">
        <f t="shared" si="2"/>
        <v>67.471666666666678</v>
      </c>
      <c r="D36" s="28">
        <f t="shared" si="2"/>
        <v>67.501250000000013</v>
      </c>
      <c r="E36" s="28">
        <f t="shared" si="2"/>
        <v>1.3870833333333332</v>
      </c>
      <c r="F36" s="28">
        <f t="shared" si="2"/>
        <v>13.223333333333334</v>
      </c>
      <c r="G36" s="28">
        <f t="shared" si="2"/>
        <v>121.90291666666663</v>
      </c>
      <c r="H36" s="28">
        <f t="shared" si="2"/>
        <v>56.901249999999983</v>
      </c>
      <c r="I36" s="28">
        <f t="shared" si="2"/>
        <v>1.5487500000000003</v>
      </c>
      <c r="J36" s="28">
        <f t="shared" si="2"/>
        <v>0.4841666666666668</v>
      </c>
      <c r="K36" s="28">
        <f t="shared" si="2"/>
        <v>255.94208333333336</v>
      </c>
      <c r="L36" s="28">
        <f t="shared" si="2"/>
        <v>18.057083333333331</v>
      </c>
      <c r="M36" s="28">
        <f t="shared" si="2"/>
        <v>60.414166666666667</v>
      </c>
      <c r="N36" s="28">
        <f t="shared" si="2"/>
        <v>197.97916666666666</v>
      </c>
      <c r="O36" s="28">
        <f t="shared" si="2"/>
        <v>0</v>
      </c>
      <c r="P36" s="28">
        <f t="shared" si="2"/>
        <v>1.2266666666666666</v>
      </c>
      <c r="Q36" s="28">
        <f t="shared" si="2"/>
        <v>8.5569565217391297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38.553336628849536</v>
      </c>
      <c r="C37" s="28">
        <f t="shared" si="3" ref="C37:Q37">STDEV(C9:C32)</f>
        <v>9.2388379970768266</v>
      </c>
      <c r="D37" s="28">
        <f t="shared" si="3"/>
        <v>34.483623121518953</v>
      </c>
      <c r="E37" s="28">
        <f t="shared" si="3"/>
        <v>1.0372391412937922</v>
      </c>
      <c r="F37" s="28">
        <f t="shared" si="3"/>
        <v>13.242468792115197</v>
      </c>
      <c r="G37" s="28">
        <f t="shared" si="3"/>
        <v>52.292898634947903</v>
      </c>
      <c r="H37" s="28">
        <f t="shared" si="3"/>
        <v>17.455069106136516</v>
      </c>
      <c r="I37" s="28">
        <f t="shared" si="3"/>
        <v>0.033791238895414251</v>
      </c>
      <c r="J37" s="28">
        <f t="shared" si="3"/>
        <v>0.39638493222214383</v>
      </c>
      <c r="K37" s="28">
        <f t="shared" si="3"/>
        <v>109.8220586846372</v>
      </c>
      <c r="L37" s="28">
        <f t="shared" si="3"/>
        <v>4.7026232079799755</v>
      </c>
      <c r="M37" s="28">
        <f t="shared" si="3"/>
        <v>20.031554871744483</v>
      </c>
      <c r="N37" s="28">
        <f t="shared" si="3"/>
        <v>238.86872323183252</v>
      </c>
      <c r="O37" s="28">
        <f t="shared" si="3"/>
        <v>0</v>
      </c>
      <c r="P37" s="28">
        <f t="shared" si="3"/>
        <v>0.74516217474229496</v>
      </c>
      <c r="Q37" s="28">
        <f t="shared" si="3"/>
        <v>6.1172709562818293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ae54fc-223a-4448-82b1-c1037de280a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89.98</v>
      </c>
      <c r="C9" s="54">
        <v>77.47</v>
      </c>
      <c r="D9" s="54">
        <v>115.56</v>
      </c>
      <c r="E9" s="54">
        <v>0.75</v>
      </c>
      <c r="F9" s="54">
        <v>4.42</v>
      </c>
      <c r="G9" s="54">
        <v>147.03</v>
      </c>
      <c r="H9" s="54">
        <v>66.930000000000007</v>
      </c>
      <c r="I9" s="54">
        <v>1.57</v>
      </c>
      <c r="J9" s="54">
        <v>0.21</v>
      </c>
      <c r="K9" s="54">
        <v>336.16</v>
      </c>
      <c r="L9" s="54">
        <v>14.17</v>
      </c>
      <c r="M9" s="54">
        <v>82.35</v>
      </c>
      <c r="N9" s="54">
        <v>23.30</v>
      </c>
      <c r="O9" s="54">
        <v>0</v>
      </c>
      <c r="P9" s="54">
        <v>1.1000000000000001</v>
      </c>
      <c r="Q9" s="54">
        <v>18.309999999999999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68.75</v>
      </c>
      <c r="C10" s="54">
        <v>71.45</v>
      </c>
      <c r="D10" s="54">
        <v>95.21</v>
      </c>
      <c r="E10" s="54">
        <v>0.97</v>
      </c>
      <c r="F10" s="54">
        <v>22.18</v>
      </c>
      <c r="G10" s="54">
        <v>105.56</v>
      </c>
      <c r="H10" s="54">
        <v>61.89</v>
      </c>
      <c r="I10" s="54">
        <v>1.53</v>
      </c>
      <c r="J10" s="54">
        <v>0.66</v>
      </c>
      <c r="K10" s="54">
        <v>341.98</v>
      </c>
      <c r="L10" s="54">
        <v>14.41</v>
      </c>
      <c r="M10" s="54">
        <v>68.52</v>
      </c>
      <c r="N10" s="54">
        <v>22.90</v>
      </c>
      <c r="O10" s="54">
        <v>0</v>
      </c>
      <c r="P10" s="54">
        <v>0.72</v>
      </c>
      <c r="Q10" s="54">
        <v>16.16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46.57</v>
      </c>
      <c r="C11" s="54">
        <v>67.22</v>
      </c>
      <c r="D11" s="54">
        <v>75.09</v>
      </c>
      <c r="E11" s="54">
        <v>1.59</v>
      </c>
      <c r="F11" s="54">
        <v>25.11</v>
      </c>
      <c r="G11" s="54">
        <v>85.15</v>
      </c>
      <c r="H11" s="54">
        <v>51.64</v>
      </c>
      <c r="I11" s="54">
        <v>1.55</v>
      </c>
      <c r="J11" s="54">
        <v>0.77</v>
      </c>
      <c r="K11" s="54">
        <v>346.35</v>
      </c>
      <c r="L11" s="54">
        <v>14.20</v>
      </c>
      <c r="M11" s="54">
        <v>73.81</v>
      </c>
      <c r="N11" s="54">
        <v>23.60</v>
      </c>
      <c r="O11" s="54">
        <v>0</v>
      </c>
      <c r="P11" s="54">
        <v>0.62</v>
      </c>
      <c r="Q11" s="54">
        <v>15.56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31.38</v>
      </c>
      <c r="C12" s="54">
        <v>63.61</v>
      </c>
      <c r="D12" s="54">
        <v>60.91</v>
      </c>
      <c r="E12" s="54">
        <v>2.44</v>
      </c>
      <c r="F12" s="54">
        <v>13.73</v>
      </c>
      <c r="G12" s="54">
        <v>75.05</v>
      </c>
      <c r="H12" s="54">
        <v>42.82</v>
      </c>
      <c r="I12" s="54">
        <v>1.57</v>
      </c>
      <c r="J12" s="54">
        <v>0.37</v>
      </c>
      <c r="K12" s="54">
        <v>342.73</v>
      </c>
      <c r="L12" s="54">
        <v>13.34</v>
      </c>
      <c r="M12" s="54">
        <v>75.709999999999994</v>
      </c>
      <c r="N12" s="54">
        <v>23.30</v>
      </c>
      <c r="O12" s="54">
        <v>0</v>
      </c>
      <c r="P12" s="54">
        <v>0.78</v>
      </c>
      <c r="Q12" s="54">
        <v>11.26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23.82</v>
      </c>
      <c r="C13" s="54">
        <v>62.36</v>
      </c>
      <c r="D13" s="54">
        <v>54.16</v>
      </c>
      <c r="E13" s="54">
        <v>2.89</v>
      </c>
      <c r="F13" s="54">
        <v>7.59</v>
      </c>
      <c r="G13" s="54">
        <v>83.5</v>
      </c>
      <c r="H13" s="54">
        <v>44.96</v>
      </c>
      <c r="I13" s="54">
        <v>1.54</v>
      </c>
      <c r="J13" s="54">
        <v>0.18</v>
      </c>
      <c r="K13" s="54">
        <v>85.47</v>
      </c>
      <c r="L13" s="54">
        <v>12.92</v>
      </c>
      <c r="M13" s="54">
        <v>77.80</v>
      </c>
      <c r="N13" s="54">
        <v>23.20</v>
      </c>
      <c r="O13" s="54">
        <v>0</v>
      </c>
      <c r="P13" s="54">
        <v>1.03</v>
      </c>
      <c r="Q13" s="54">
        <v>8.06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20.70</v>
      </c>
      <c r="C14" s="54">
        <v>61.54</v>
      </c>
      <c r="D14" s="54">
        <v>51.19</v>
      </c>
      <c r="E14" s="54">
        <v>3.45</v>
      </c>
      <c r="F14" s="54">
        <v>12.30</v>
      </c>
      <c r="G14" s="54">
        <v>97.91</v>
      </c>
      <c r="H14" s="54">
        <v>45.02</v>
      </c>
      <c r="I14" s="54">
        <v>1.56</v>
      </c>
      <c r="J14" s="54">
        <v>0.53</v>
      </c>
      <c r="K14" s="54">
        <v>342.07</v>
      </c>
      <c r="L14" s="54">
        <v>12.81</v>
      </c>
      <c r="M14" s="54">
        <v>78.16</v>
      </c>
      <c r="N14" s="54">
        <v>23</v>
      </c>
      <c r="O14" s="54">
        <v>0</v>
      </c>
      <c r="P14" s="54">
        <v>1.06</v>
      </c>
      <c r="Q14" s="54">
        <v>7.04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19.190000000000001</v>
      </c>
      <c r="C15" s="54">
        <v>61.59</v>
      </c>
      <c r="D15" s="54">
        <v>49.96</v>
      </c>
      <c r="E15" s="54">
        <v>2.5</v>
      </c>
      <c r="F15" s="54">
        <v>17.68</v>
      </c>
      <c r="G15" s="54">
        <v>97.91</v>
      </c>
      <c r="H15" s="54">
        <v>45.02</v>
      </c>
      <c r="I15" s="54">
        <v>1.58</v>
      </c>
      <c r="J15" s="54">
        <v>0.76</v>
      </c>
      <c r="K15" s="54">
        <v>344.48</v>
      </c>
      <c r="L15" s="54">
        <v>12.82</v>
      </c>
      <c r="M15" s="54">
        <v>74.97</v>
      </c>
      <c r="N15" s="54">
        <v>40.60</v>
      </c>
      <c r="O15" s="54">
        <v>0</v>
      </c>
      <c r="P15" s="54">
        <v>0.69</v>
      </c>
      <c r="Q15" s="54">
        <v>7.30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16.690000000000001</v>
      </c>
      <c r="C16" s="54">
        <v>62.96</v>
      </c>
      <c r="D16" s="54">
        <v>48.10</v>
      </c>
      <c r="E16" s="54">
        <v>2.46</v>
      </c>
      <c r="F16" s="54">
        <v>15.56</v>
      </c>
      <c r="G16" s="54">
        <v>91.42</v>
      </c>
      <c r="H16" s="54">
        <v>42.19</v>
      </c>
      <c r="I16" s="54">
        <v>1.56</v>
      </c>
      <c r="J16" s="54">
        <v>0.62</v>
      </c>
      <c r="K16" s="54">
        <v>342.10</v>
      </c>
      <c r="L16" s="54">
        <v>15.67</v>
      </c>
      <c r="M16" s="54">
        <v>73.709999999999994</v>
      </c>
      <c r="N16" s="54">
        <v>221.80</v>
      </c>
      <c r="O16" s="54">
        <v>0</v>
      </c>
      <c r="P16" s="54">
        <v>0.60</v>
      </c>
      <c r="Q16" s="54">
        <v>6.88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15.59</v>
      </c>
      <c r="C17" s="54">
        <v>65.23</v>
      </c>
      <c r="D17" s="54">
        <v>48.66</v>
      </c>
      <c r="E17" s="54">
        <v>4.53</v>
      </c>
      <c r="F17" s="54">
        <v>17.86</v>
      </c>
      <c r="G17" s="54">
        <v>105.95</v>
      </c>
      <c r="H17" s="54">
        <v>42.13</v>
      </c>
      <c r="I17" s="54">
        <v>1.52</v>
      </c>
      <c r="J17" s="54">
        <v>0.63</v>
      </c>
      <c r="K17" s="54">
        <v>345.03</v>
      </c>
      <c r="L17" s="54">
        <v>19.600000000000001</v>
      </c>
      <c r="M17" s="54">
        <v>53.09</v>
      </c>
      <c r="N17" s="54">
        <v>388.5</v>
      </c>
      <c r="O17" s="54">
        <v>0</v>
      </c>
      <c r="P17" s="54">
        <v>0.51</v>
      </c>
      <c r="Q17" s="54">
        <v>5.59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14.07</v>
      </c>
      <c r="C18" s="54">
        <v>65.17</v>
      </c>
      <c r="D18" s="54">
        <v>47.80</v>
      </c>
      <c r="E18" s="54">
        <v>3.47</v>
      </c>
      <c r="F18" s="54">
        <v>21.97</v>
      </c>
      <c r="G18" s="54">
        <v>105.95</v>
      </c>
      <c r="H18" s="54">
        <v>40.21</v>
      </c>
      <c r="I18" s="54">
        <v>1.53</v>
      </c>
      <c r="J18" s="54">
        <v>1.05</v>
      </c>
      <c r="K18" s="54">
        <v>339.92</v>
      </c>
      <c r="L18" s="54">
        <v>21.48</v>
      </c>
      <c r="M18" s="54">
        <v>46.37</v>
      </c>
      <c r="N18" s="54">
        <v>561.70000000000005</v>
      </c>
      <c r="O18" s="54">
        <v>0</v>
      </c>
      <c r="P18" s="54">
        <v>0.60</v>
      </c>
      <c r="Q18" s="54">
        <v>5.85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12.47</v>
      </c>
      <c r="C19" s="54">
        <v>68.040000000000006</v>
      </c>
      <c r="D19" s="54">
        <v>47.82</v>
      </c>
      <c r="E19" s="54">
        <v>9.93</v>
      </c>
      <c r="F19" s="54">
        <v>23.44</v>
      </c>
      <c r="G19" s="54">
        <v>74.62</v>
      </c>
      <c r="H19" s="54">
        <v>36.24</v>
      </c>
      <c r="I19" s="54">
        <v>1.55</v>
      </c>
      <c r="J19" s="54">
        <v>1.1399999999999999</v>
      </c>
      <c r="K19" s="54">
        <v>354.64</v>
      </c>
      <c r="L19" s="54">
        <v>23.52</v>
      </c>
      <c r="M19" s="54">
        <v>37.85</v>
      </c>
      <c r="N19" s="54">
        <v>633.29999999999995</v>
      </c>
      <c r="O19" s="54">
        <v>0</v>
      </c>
      <c r="P19" s="54">
        <v>0.53</v>
      </c>
      <c r="Q19" s="54">
        <v>4.42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12.36</v>
      </c>
      <c r="C20" s="54">
        <v>70.59</v>
      </c>
      <c r="D20" s="54">
        <v>49.23</v>
      </c>
      <c r="E20" s="54">
        <v>6.12</v>
      </c>
      <c r="F20" s="54">
        <v>29.59</v>
      </c>
      <c r="G20" s="54">
        <v>66.73</v>
      </c>
      <c r="H20" s="54">
        <v>36.24</v>
      </c>
      <c r="I20" s="54">
        <v>1.52</v>
      </c>
      <c r="J20" s="54">
        <v>0.93</v>
      </c>
      <c r="K20" s="54">
        <v>342.49</v>
      </c>
      <c r="L20" s="54">
        <v>24.79</v>
      </c>
      <c r="M20" s="54">
        <v>34.159999999999997</v>
      </c>
      <c r="N20" s="54">
        <v>681.10</v>
      </c>
      <c r="O20" s="54">
        <v>0</v>
      </c>
      <c r="P20" s="54">
        <v>0.57999999999999996</v>
      </c>
      <c r="Q20" s="54">
        <v>5.90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10</v>
      </c>
      <c r="C21" s="54">
        <v>70.69</v>
      </c>
      <c r="D21" s="54">
        <v>47.29</v>
      </c>
      <c r="E21" s="54">
        <v>4.34</v>
      </c>
      <c r="F21" s="54">
        <v>37.99</v>
      </c>
      <c r="G21" s="54">
        <v>65.599999999999994</v>
      </c>
      <c r="H21" s="54">
        <v>35.06</v>
      </c>
      <c r="I21" s="54">
        <v>1.55</v>
      </c>
      <c r="J21" s="54">
        <v>0.72</v>
      </c>
      <c r="K21" s="54">
        <v>347.93</v>
      </c>
      <c r="L21" s="54">
        <v>25.54</v>
      </c>
      <c r="M21" s="54">
        <v>31.70</v>
      </c>
      <c r="N21" s="54">
        <v>660.5</v>
      </c>
      <c r="O21" s="54">
        <v>0</v>
      </c>
      <c r="P21" s="54">
        <v>0.57999999999999996</v>
      </c>
      <c r="Q21" s="54">
        <v>5.96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5</v>
      </c>
      <c r="C22" s="54">
        <v>70.39</v>
      </c>
      <c r="D22" s="54">
        <v>43.5</v>
      </c>
      <c r="E22" s="54">
        <v>5.24</v>
      </c>
      <c r="F22" s="54">
        <v>47.68</v>
      </c>
      <c r="G22" s="54">
        <v>65.599999999999994</v>
      </c>
      <c r="H22" s="54">
        <v>33.85</v>
      </c>
      <c r="I22" s="54">
        <v>1.51</v>
      </c>
      <c r="J22" s="54">
        <v>1.04</v>
      </c>
      <c r="K22" s="54">
        <v>344.82</v>
      </c>
      <c r="L22" s="54">
        <v>24.17</v>
      </c>
      <c r="M22" s="54">
        <v>35.03</v>
      </c>
      <c r="N22" s="54">
        <v>561.20000000000005</v>
      </c>
      <c r="O22" s="54">
        <v>0</v>
      </c>
      <c r="P22" s="54">
        <v>0.66</v>
      </c>
      <c r="Q22" s="54">
        <v>5.60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3.11</v>
      </c>
      <c r="C23" s="54">
        <v>69.52</v>
      </c>
      <c r="D23" s="54">
        <v>41.42</v>
      </c>
      <c r="E23" s="54">
        <v>6.62</v>
      </c>
      <c r="F23" s="54">
        <v>53.5</v>
      </c>
      <c r="G23" s="54">
        <v>81.02</v>
      </c>
      <c r="H23" s="54">
        <v>37.28</v>
      </c>
      <c r="I23" s="54">
        <v>1.55</v>
      </c>
      <c r="J23" s="54">
        <v>1.19</v>
      </c>
      <c r="K23" s="54">
        <v>357.95</v>
      </c>
      <c r="L23" s="54">
        <v>23.96</v>
      </c>
      <c r="M23" s="54">
        <v>35.14</v>
      </c>
      <c r="N23" s="54">
        <v>220.20</v>
      </c>
      <c r="O23" s="54">
        <v>0</v>
      </c>
      <c r="P23" s="54">
        <v>0.79</v>
      </c>
      <c r="Q23" s="54">
        <v>4.51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3.06</v>
      </c>
      <c r="C24" s="54">
        <v>69.78</v>
      </c>
      <c r="D24" s="54">
        <v>41.56</v>
      </c>
      <c r="E24" s="54">
        <v>5.27</v>
      </c>
      <c r="F24" s="54">
        <v>53.49</v>
      </c>
      <c r="G24" s="54">
        <v>81.02</v>
      </c>
      <c r="H24" s="54">
        <v>39.83</v>
      </c>
      <c r="I24" s="54">
        <v>1.55</v>
      </c>
      <c r="J24" s="54">
        <v>1.33</v>
      </c>
      <c r="K24" s="54">
        <v>342.29</v>
      </c>
      <c r="L24" s="54">
        <v>22.09</v>
      </c>
      <c r="M24" s="54">
        <v>37.15</v>
      </c>
      <c r="N24" s="54">
        <v>149</v>
      </c>
      <c r="O24" s="54">
        <v>0</v>
      </c>
      <c r="P24" s="54">
        <v>0.71</v>
      </c>
      <c r="Q24" s="54">
        <v>4.41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4.32</v>
      </c>
      <c r="C25" s="54">
        <v>70.34</v>
      </c>
      <c r="D25" s="54">
        <v>42.93</v>
      </c>
      <c r="E25" s="54">
        <v>4.63</v>
      </c>
      <c r="F25" s="54">
        <v>48.97</v>
      </c>
      <c r="G25" s="54">
        <v>82.75</v>
      </c>
      <c r="H25" s="54">
        <v>39.83</v>
      </c>
      <c r="I25" s="54">
        <v>1.51</v>
      </c>
      <c r="J25" s="54">
        <v>1.21</v>
      </c>
      <c r="K25" s="54">
        <v>346.04</v>
      </c>
      <c r="L25" s="54">
        <v>20.73</v>
      </c>
      <c r="M25" s="54">
        <v>44.13</v>
      </c>
      <c r="N25" s="54">
        <v>119.20</v>
      </c>
      <c r="O25" s="54">
        <v>0</v>
      </c>
      <c r="P25" s="54">
        <v>1.02</v>
      </c>
      <c r="Q25" s="54">
        <v>3.91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7.61</v>
      </c>
      <c r="C26" s="54">
        <v>75.20</v>
      </c>
      <c r="D26" s="54">
        <v>48.25</v>
      </c>
      <c r="E26" s="54">
        <v>3.04</v>
      </c>
      <c r="F26" s="54">
        <v>34.15</v>
      </c>
      <c r="G26" s="54">
        <v>90.76</v>
      </c>
      <c r="H26" s="54">
        <v>39.06</v>
      </c>
      <c r="I26" s="54">
        <v>1.57</v>
      </c>
      <c r="J26" s="54">
        <v>0.92</v>
      </c>
      <c r="K26" s="54">
        <v>343.59</v>
      </c>
      <c r="L26" s="54">
        <v>19.13</v>
      </c>
      <c r="M26" s="54">
        <v>58.30</v>
      </c>
      <c r="N26" s="54">
        <v>77.30</v>
      </c>
      <c r="O26" s="54">
        <v>0</v>
      </c>
      <c r="P26" s="54">
        <v>1.53</v>
      </c>
      <c r="Q26" s="54">
        <v>1.76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14.47</v>
      </c>
      <c r="C27" s="54">
        <v>78.989999999999995</v>
      </c>
      <c r="D27" s="54">
        <v>55.84</v>
      </c>
      <c r="E27" s="54">
        <v>2.42</v>
      </c>
      <c r="F27" s="54">
        <v>6.10</v>
      </c>
      <c r="G27" s="54">
        <v>113.09</v>
      </c>
      <c r="H27" s="54">
        <v>43.48</v>
      </c>
      <c r="I27" s="54">
        <v>1.52</v>
      </c>
      <c r="J27" s="54">
        <v>0.14000000000000001</v>
      </c>
      <c r="K27" s="54">
        <v>349.62</v>
      </c>
      <c r="L27" s="54">
        <v>17.59</v>
      </c>
      <c r="M27" s="54">
        <v>48.70</v>
      </c>
      <c r="N27" s="54">
        <v>74.30</v>
      </c>
      <c r="O27" s="54">
        <v>0</v>
      </c>
      <c r="P27" s="54">
        <v>1.94</v>
      </c>
      <c r="Q27" s="54">
        <v>0.09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32.17</v>
      </c>
      <c r="C28" s="54">
        <v>84.41</v>
      </c>
      <c r="D28" s="54">
        <v>73.03</v>
      </c>
      <c r="E28" s="54">
        <v>2</v>
      </c>
      <c r="F28" s="54">
        <v>4.47</v>
      </c>
      <c r="G28" s="54">
        <v>147.02000000000001</v>
      </c>
      <c r="H28" s="54">
        <v>60.30</v>
      </c>
      <c r="I28" s="54">
        <v>1.56</v>
      </c>
      <c r="J28" s="54">
        <v>0.14000000000000001</v>
      </c>
      <c r="K28" s="54">
        <v>347.16</v>
      </c>
      <c r="L28" s="54">
        <v>16.04</v>
      </c>
      <c r="M28" s="54">
        <v>60.81</v>
      </c>
      <c r="N28" s="54">
        <v>71.099999999999994</v>
      </c>
      <c r="O28" s="54">
        <v>0</v>
      </c>
      <c r="P28" s="54">
        <v>2.82</v>
      </c>
      <c r="Q28" s="54">
        <v>0.91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72.209999999999994</v>
      </c>
      <c r="C29" s="54">
        <v>88.97</v>
      </c>
      <c r="D29" s="54">
        <v>107.65</v>
      </c>
      <c r="E29" s="54">
        <v>1.88</v>
      </c>
      <c r="F29" s="54">
        <v>3.95</v>
      </c>
      <c r="G29" s="54">
        <v>239</v>
      </c>
      <c r="H29" s="54">
        <v>74.069999999999993</v>
      </c>
      <c r="I29" s="54">
        <v>1.51</v>
      </c>
      <c r="J29" s="54">
        <v>0.18</v>
      </c>
      <c r="K29" s="54">
        <v>338.96</v>
      </c>
      <c r="L29" s="54">
        <v>14.85</v>
      </c>
      <c r="M29" s="54">
        <v>71.86</v>
      </c>
      <c r="N29" s="54">
        <v>76.20</v>
      </c>
      <c r="O29" s="54">
        <v>0</v>
      </c>
      <c r="P29" s="54">
        <v>3.88</v>
      </c>
      <c r="Q29" s="54">
        <v>1.07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110.22</v>
      </c>
      <c r="C30" s="54">
        <v>92.45</v>
      </c>
      <c r="D30" s="54">
        <v>140.05000000000001</v>
      </c>
      <c r="E30" s="54">
        <v>1.73</v>
      </c>
      <c r="F30" s="54">
        <v>3.96</v>
      </c>
      <c r="G30" s="54">
        <v>239</v>
      </c>
      <c r="H30" s="54">
        <v>80.209999999999994</v>
      </c>
      <c r="I30" s="54">
        <v>1.52</v>
      </c>
      <c r="J30" s="54">
        <v>0.13</v>
      </c>
      <c r="K30" s="54">
        <v>332.20</v>
      </c>
      <c r="L30" s="54">
        <v>13.59</v>
      </c>
      <c r="M30" s="54">
        <v>68.47</v>
      </c>
      <c r="N30" s="54">
        <v>73</v>
      </c>
      <c r="O30" s="54">
        <v>0</v>
      </c>
      <c r="P30" s="54">
        <v>4.13</v>
      </c>
      <c r="Q30" s="54">
        <v>8.18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113.08</v>
      </c>
      <c r="C31" s="54">
        <v>92.47</v>
      </c>
      <c r="D31" s="54">
        <v>142.36000000000001</v>
      </c>
      <c r="E31" s="54">
        <v>1.30</v>
      </c>
      <c r="F31" s="54">
        <v>4.20</v>
      </c>
      <c r="G31" s="54">
        <v>217</v>
      </c>
      <c r="H31" s="54">
        <v>80.209999999999994</v>
      </c>
      <c r="I31" s="54">
        <v>1.57</v>
      </c>
      <c r="J31" s="54">
        <v>0.22</v>
      </c>
      <c r="K31" s="54">
        <v>74.94</v>
      </c>
      <c r="L31" s="54">
        <v>14.35</v>
      </c>
      <c r="M31" s="54">
        <v>55.60</v>
      </c>
      <c r="N31" s="54">
        <v>73.20</v>
      </c>
      <c r="O31" s="54">
        <v>0</v>
      </c>
      <c r="P31" s="54">
        <v>2.46</v>
      </c>
      <c r="Q31" s="54">
        <v>19.559999999999999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95.11</v>
      </c>
      <c r="C32" s="54">
        <v>85.39</v>
      </c>
      <c r="D32" s="54">
        <v>124.04</v>
      </c>
      <c r="E32" s="54">
        <v>1.21</v>
      </c>
      <c r="F32" s="54">
        <v>7.83</v>
      </c>
      <c r="G32" s="54">
        <v>176.67</v>
      </c>
      <c r="H32" s="54">
        <v>78.930000000000007</v>
      </c>
      <c r="I32" s="54">
        <v>1.55</v>
      </c>
      <c r="J32" s="54">
        <v>0.30</v>
      </c>
      <c r="K32" s="54">
        <v>346.61</v>
      </c>
      <c r="L32" s="54">
        <v>14.09</v>
      </c>
      <c r="M32" s="54">
        <v>55.66</v>
      </c>
      <c r="N32" s="54">
        <v>64.599999999999994</v>
      </c>
      <c r="O32" s="54">
        <v>0</v>
      </c>
      <c r="P32" s="54">
        <v>1.28</v>
      </c>
      <c r="Q32" s="54">
        <v>21.09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3.0600000000000001</v>
      </c>
      <c r="C34" s="28">
        <f t="shared" si="0"/>
        <v>61.539999999999999</v>
      </c>
      <c r="D34" s="28">
        <f t="shared" si="0"/>
        <v>41.420000000000002</v>
      </c>
      <c r="E34" s="28">
        <f t="shared" si="0"/>
        <v>0.75</v>
      </c>
      <c r="F34" s="28">
        <f t="shared" si="0"/>
        <v>3.9500000000000002</v>
      </c>
      <c r="G34" s="28">
        <f t="shared" si="0"/>
        <v>65.599999999999994</v>
      </c>
      <c r="H34" s="28">
        <f t="shared" si="0"/>
        <v>33.850000000000001</v>
      </c>
      <c r="I34" s="28">
        <f t="shared" si="0"/>
        <v>1.51</v>
      </c>
      <c r="J34" s="28">
        <f t="shared" si="0"/>
        <v>0.13</v>
      </c>
      <c r="K34" s="28">
        <f t="shared" si="0"/>
        <v>74.939999999999998</v>
      </c>
      <c r="L34" s="28">
        <f t="shared" si="0"/>
        <v>12.81</v>
      </c>
      <c r="M34" s="28">
        <f t="shared" si="0"/>
        <v>31.699999999999999</v>
      </c>
      <c r="N34" s="28">
        <f t="shared" si="0"/>
        <v>22.899999999999999</v>
      </c>
      <c r="O34" s="28">
        <f t="shared" si="0"/>
        <v>0</v>
      </c>
      <c r="P34" s="28">
        <f t="shared" si="0"/>
        <v>0.51000000000000001</v>
      </c>
      <c r="Q34" s="28">
        <f t="shared" si="0"/>
        <v>0.089999999999999997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113.08</v>
      </c>
      <c r="C35" s="29">
        <f t="shared" si="1"/>
        <v>92.469999999999999</v>
      </c>
      <c r="D35" s="29">
        <f t="shared" si="1"/>
        <v>142.36000000000001</v>
      </c>
      <c r="E35" s="29">
        <f t="shared" si="1"/>
        <v>9.9299999999999997</v>
      </c>
      <c r="F35" s="29">
        <f t="shared" si="1"/>
        <v>53.5</v>
      </c>
      <c r="G35" s="29">
        <f t="shared" si="1"/>
        <v>239</v>
      </c>
      <c r="H35" s="29">
        <f t="shared" si="1"/>
        <v>80.209999999999994</v>
      </c>
      <c r="I35" s="29">
        <f t="shared" si="1"/>
        <v>1.5800000000000001</v>
      </c>
      <c r="J35" s="29">
        <f t="shared" si="1"/>
        <v>1.3300000000000001</v>
      </c>
      <c r="K35" s="29">
        <f t="shared" si="1"/>
        <v>357.94999999999999</v>
      </c>
      <c r="L35" s="29">
        <f t="shared" si="1"/>
        <v>25.539999999999999</v>
      </c>
      <c r="M35" s="29">
        <f t="shared" si="1"/>
        <v>82.349999999999994</v>
      </c>
      <c r="N35" s="29">
        <f t="shared" si="1"/>
        <v>681.10000000000002</v>
      </c>
      <c r="O35" s="29">
        <f t="shared" si="1"/>
        <v>0</v>
      </c>
      <c r="P35" s="29">
        <f t="shared" si="1"/>
        <v>4.1299999999999999</v>
      </c>
      <c r="Q35" s="29">
        <f t="shared" si="1"/>
        <v>21.09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35.080416666666672</v>
      </c>
      <c r="C36" s="28">
        <f t="shared" si="2"/>
        <v>72.742916666666687</v>
      </c>
      <c r="D36" s="28">
        <f t="shared" si="2"/>
        <v>68.817083333333315</v>
      </c>
      <c r="E36" s="28">
        <f t="shared" si="2"/>
        <v>3.3658333333333328</v>
      </c>
      <c r="F36" s="28">
        <f t="shared" si="2"/>
        <v>21.571666666666669</v>
      </c>
      <c r="G36" s="28">
        <f t="shared" si="2"/>
        <v>113.97125</v>
      </c>
      <c r="H36" s="28">
        <f t="shared" si="2"/>
        <v>49.891666666666673</v>
      </c>
      <c r="I36" s="28">
        <f t="shared" si="2"/>
        <v>1.5437500000000002</v>
      </c>
      <c r="J36" s="28">
        <f t="shared" si="2"/>
        <v>0.64041666666666675</v>
      </c>
      <c r="K36" s="28">
        <f t="shared" si="2"/>
        <v>322.31374999999997</v>
      </c>
      <c r="L36" s="28">
        <f t="shared" si="2"/>
        <v>17.744166666666665</v>
      </c>
      <c r="M36" s="28">
        <f t="shared" si="2"/>
        <v>57.460416666666667</v>
      </c>
      <c r="N36" s="28">
        <f t="shared" si="2"/>
        <v>203.58750000000001</v>
      </c>
      <c r="O36" s="28">
        <f t="shared" si="2"/>
        <v>0</v>
      </c>
      <c r="P36" s="28">
        <f t="shared" si="2"/>
        <v>1.2758333333333332</v>
      </c>
      <c r="Q36" s="28">
        <f t="shared" si="2"/>
        <v>7.8908333333333323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35.809754619458047</v>
      </c>
      <c r="C37" s="28">
        <f t="shared" si="3" ref="C37:Q37">STDEV(C9:C32)</f>
        <v>9.6651487220237726</v>
      </c>
      <c r="D37" s="28">
        <f t="shared" si="3"/>
        <v>32.892261079914789</v>
      </c>
      <c r="E37" s="28">
        <f t="shared" si="3"/>
        <v>2.1606881284456123</v>
      </c>
      <c r="F37" s="28">
        <f t="shared" si="3"/>
        <v>16.58239864819128</v>
      </c>
      <c r="G37" s="28">
        <f t="shared" si="3"/>
        <v>53.013190672945605</v>
      </c>
      <c r="H37" s="28">
        <f t="shared" si="3"/>
        <v>15.48768982876023</v>
      </c>
      <c r="I37" s="28">
        <f t="shared" si="3"/>
        <v>0.022030117724527089</v>
      </c>
      <c r="J37" s="28">
        <f t="shared" si="3"/>
        <v>0.39715815672005939</v>
      </c>
      <c r="K37" s="28">
        <f t="shared" si="3"/>
        <v>74.771664873364927</v>
      </c>
      <c r="L37" s="28">
        <f t="shared" si="3"/>
        <v>4.4540230145894864</v>
      </c>
      <c r="M37" s="28">
        <f t="shared" si="3"/>
        <v>16.815638807803062</v>
      </c>
      <c r="N37" s="28">
        <f t="shared" si="3"/>
        <v>234.43322459386658</v>
      </c>
      <c r="O37" s="28">
        <f t="shared" si="3"/>
        <v>0</v>
      </c>
      <c r="P37" s="28">
        <f t="shared" si="3"/>
        <v>1.0365491102552808</v>
      </c>
      <c r="Q37" s="28">
        <f t="shared" si="3"/>
        <v>5.9972246600563848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8605ee-7506-452b-a110-b9821e88446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71.58</v>
      </c>
      <c r="C9" s="54">
        <v>79.44</v>
      </c>
      <c r="D9" s="54">
        <v>101.89</v>
      </c>
      <c r="E9" s="54">
        <v>3.67</v>
      </c>
      <c r="F9" s="54">
        <v>14.97</v>
      </c>
      <c r="G9" s="54">
        <v>122.59</v>
      </c>
      <c r="H9" s="54">
        <v>74.86</v>
      </c>
      <c r="I9" s="54">
        <v>1.56</v>
      </c>
      <c r="J9" s="54">
        <v>0.60</v>
      </c>
      <c r="K9" s="54">
        <v>344.58</v>
      </c>
      <c r="L9" s="54">
        <v>13.70</v>
      </c>
      <c r="M9" s="54">
        <v>53.03</v>
      </c>
      <c r="N9" s="54">
        <v>61.70</v>
      </c>
      <c r="O9" s="54">
        <v>0</v>
      </c>
      <c r="P9" s="54">
        <v>0.88</v>
      </c>
      <c r="Q9" s="54">
        <v>18.11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50.52</v>
      </c>
      <c r="C10" s="54">
        <v>73.75</v>
      </c>
      <c r="D10" s="54">
        <v>81.86</v>
      </c>
      <c r="E10" s="54">
        <v>9.10</v>
      </c>
      <c r="F10" s="54">
        <v>17.14</v>
      </c>
      <c r="G10" s="54">
        <v>118.05</v>
      </c>
      <c r="H10" s="54">
        <v>68.540000000000006</v>
      </c>
      <c r="I10" s="54">
        <v>1.56</v>
      </c>
      <c r="J10" s="54">
        <v>0.99</v>
      </c>
      <c r="K10" s="54">
        <v>347.97</v>
      </c>
      <c r="L10" s="54">
        <v>13.97</v>
      </c>
      <c r="M10" s="54">
        <v>52.70</v>
      </c>
      <c r="N10" s="54">
        <v>64.80</v>
      </c>
      <c r="O10" s="54">
        <v>0</v>
      </c>
      <c r="P10" s="54">
        <v>1.02</v>
      </c>
      <c r="Q10" s="54">
        <v>14.70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34.82</v>
      </c>
      <c r="C11" s="54">
        <v>69.08</v>
      </c>
      <c r="D11" s="54">
        <v>66.69</v>
      </c>
      <c r="E11" s="54">
        <v>6.08</v>
      </c>
      <c r="F11" s="54">
        <v>16.37</v>
      </c>
      <c r="G11" s="54">
        <v>118.05</v>
      </c>
      <c r="H11" s="54">
        <v>61.85</v>
      </c>
      <c r="I11" s="54">
        <v>1.57</v>
      </c>
      <c r="J11" s="54">
        <v>0.75</v>
      </c>
      <c r="K11" s="54">
        <v>346.13</v>
      </c>
      <c r="L11" s="54">
        <v>13.68</v>
      </c>
      <c r="M11" s="54">
        <v>59.53</v>
      </c>
      <c r="N11" s="54">
        <v>58.5</v>
      </c>
      <c r="O11" s="54">
        <v>0</v>
      </c>
      <c r="P11" s="54">
        <v>0.84</v>
      </c>
      <c r="Q11" s="54">
        <v>12.31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24.65</v>
      </c>
      <c r="C12" s="54">
        <v>64.55</v>
      </c>
      <c r="D12" s="54">
        <v>56.04</v>
      </c>
      <c r="E12" s="54">
        <v>9.06</v>
      </c>
      <c r="F12" s="54">
        <v>10.01</v>
      </c>
      <c r="G12" s="54">
        <v>119.15</v>
      </c>
      <c r="H12" s="54">
        <v>57.11</v>
      </c>
      <c r="I12" s="54">
        <v>1.54</v>
      </c>
      <c r="J12" s="54">
        <v>0.62</v>
      </c>
      <c r="K12" s="54">
        <v>347.53</v>
      </c>
      <c r="L12" s="54">
        <v>12.39</v>
      </c>
      <c r="M12" s="54">
        <v>60.95</v>
      </c>
      <c r="N12" s="54">
        <v>78.400000000000006</v>
      </c>
      <c r="O12" s="54">
        <v>0</v>
      </c>
      <c r="P12" s="54">
        <v>0.87</v>
      </c>
      <c r="Q12" s="54">
        <v>9.1999999999999993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19.690000000000001</v>
      </c>
      <c r="C13" s="54">
        <v>62.85</v>
      </c>
      <c r="D13" s="54">
        <v>50.89</v>
      </c>
      <c r="E13" s="54">
        <v>14.33</v>
      </c>
      <c r="F13" s="54">
        <v>8.57</v>
      </c>
      <c r="G13" s="54">
        <v>137.24</v>
      </c>
      <c r="H13" s="54">
        <v>59.20</v>
      </c>
      <c r="I13" s="54">
        <v>1.54</v>
      </c>
      <c r="J13" s="54">
        <v>0.91</v>
      </c>
      <c r="K13" s="54">
        <v>354.5</v>
      </c>
      <c r="L13" s="54">
        <v>12.41</v>
      </c>
      <c r="M13" s="54">
        <v>62.65</v>
      </c>
      <c r="N13" s="54">
        <v>83.70</v>
      </c>
      <c r="O13" s="54">
        <v>0</v>
      </c>
      <c r="P13" s="54">
        <v>0.95</v>
      </c>
      <c r="Q13" s="54">
        <v>6.97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20.309999999999999</v>
      </c>
      <c r="C14" s="54">
        <v>62.68</v>
      </c>
      <c r="D14" s="54">
        <v>51.37</v>
      </c>
      <c r="E14" s="54">
        <v>10.41</v>
      </c>
      <c r="F14" s="54">
        <v>7.49</v>
      </c>
      <c r="G14" s="54">
        <v>154.27000000000001</v>
      </c>
      <c r="H14" s="54">
        <v>61.95</v>
      </c>
      <c r="I14" s="54">
        <v>1.49</v>
      </c>
      <c r="J14" s="54">
        <v>0.5</v>
      </c>
      <c r="K14" s="54">
        <v>350.80</v>
      </c>
      <c r="L14" s="54">
        <v>11.72</v>
      </c>
      <c r="M14" s="54">
        <v>64.78</v>
      </c>
      <c r="N14" s="54">
        <v>77.099999999999994</v>
      </c>
      <c r="O14" s="54">
        <v>0</v>
      </c>
      <c r="P14" s="54">
        <v>1.05</v>
      </c>
      <c r="Q14" s="54">
        <v>5.82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23.65</v>
      </c>
      <c r="C15" s="54">
        <v>63.40</v>
      </c>
      <c r="D15" s="54">
        <v>54.60</v>
      </c>
      <c r="E15" s="54">
        <v>13.16</v>
      </c>
      <c r="F15" s="54">
        <v>9.25</v>
      </c>
      <c r="G15" s="54">
        <v>154.27000000000001</v>
      </c>
      <c r="H15" s="54">
        <v>62.10</v>
      </c>
      <c r="I15" s="54">
        <v>1.63</v>
      </c>
      <c r="J15" s="54">
        <v>0.76</v>
      </c>
      <c r="K15" s="54">
        <v>351</v>
      </c>
      <c r="L15" s="54">
        <v>11.58</v>
      </c>
      <c r="M15" s="54">
        <v>67.77</v>
      </c>
      <c r="N15" s="54">
        <v>95.70</v>
      </c>
      <c r="O15" s="54">
        <v>0</v>
      </c>
      <c r="P15" s="54">
        <v>1.38</v>
      </c>
      <c r="Q15" s="54">
        <v>5.80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30.83</v>
      </c>
      <c r="C16" s="54">
        <v>66.13</v>
      </c>
      <c r="D16" s="54">
        <v>61.86</v>
      </c>
      <c r="E16" s="54">
        <v>13.64</v>
      </c>
      <c r="F16" s="54">
        <v>8.9700000000000006</v>
      </c>
      <c r="G16" s="54">
        <v>160.02000000000001</v>
      </c>
      <c r="H16" s="54">
        <v>68.84</v>
      </c>
      <c r="I16" s="54">
        <v>1.56</v>
      </c>
      <c r="J16" s="54">
        <v>0.86</v>
      </c>
      <c r="K16" s="54">
        <v>355.98</v>
      </c>
      <c r="L16" s="54">
        <v>15.60</v>
      </c>
      <c r="M16" s="54">
        <v>66.38</v>
      </c>
      <c r="N16" s="54">
        <v>282.5</v>
      </c>
      <c r="O16" s="54">
        <v>0</v>
      </c>
      <c r="P16" s="54">
        <v>1.54</v>
      </c>
      <c r="Q16" s="54">
        <v>4.32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30.92</v>
      </c>
      <c r="C17" s="54">
        <v>69.819999999999993</v>
      </c>
      <c r="D17" s="54">
        <v>62.41</v>
      </c>
      <c r="E17" s="54">
        <v>10.95</v>
      </c>
      <c r="F17" s="54">
        <v>20.48</v>
      </c>
      <c r="G17" s="54">
        <v>160.02000000000001</v>
      </c>
      <c r="H17" s="54">
        <v>68.84</v>
      </c>
      <c r="I17" s="54">
        <v>1.51</v>
      </c>
      <c r="J17" s="54">
        <v>1.1299999999999999</v>
      </c>
      <c r="K17" s="54">
        <v>342.24</v>
      </c>
      <c r="L17" s="54">
        <v>19.87</v>
      </c>
      <c r="M17" s="54">
        <v>41.86</v>
      </c>
      <c r="N17" s="54">
        <v>482.90</v>
      </c>
      <c r="O17" s="54">
        <v>0</v>
      </c>
      <c r="P17" s="54">
        <v>0.96</v>
      </c>
      <c r="Q17" s="54">
        <v>8.0399999999999991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25.75</v>
      </c>
      <c r="C18" s="54">
        <v>71.17</v>
      </c>
      <c r="D18" s="54">
        <v>60.15</v>
      </c>
      <c r="E18" s="54">
        <v>5.47</v>
      </c>
      <c r="F18" s="54">
        <v>29.12</v>
      </c>
      <c r="G18" s="54">
        <v>122.48</v>
      </c>
      <c r="H18" s="54">
        <v>62.93</v>
      </c>
      <c r="I18" s="54">
        <v>1.54</v>
      </c>
      <c r="J18" s="54">
        <v>0.91</v>
      </c>
      <c r="K18" s="54">
        <v>353.90</v>
      </c>
      <c r="L18" s="54">
        <v>21.51</v>
      </c>
      <c r="M18" s="54">
        <v>34.85</v>
      </c>
      <c r="N18" s="54">
        <v>627.70000000000005</v>
      </c>
      <c r="O18" s="54">
        <v>0</v>
      </c>
      <c r="P18" s="54">
        <v>0.63</v>
      </c>
      <c r="Q18" s="54">
        <v>8.2799999999999994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17.87</v>
      </c>
      <c r="C19" s="54">
        <v>71.64</v>
      </c>
      <c r="D19" s="54">
        <v>54.31</v>
      </c>
      <c r="E19" s="54">
        <v>2.3199999999999998</v>
      </c>
      <c r="F19" s="54">
        <v>35.74</v>
      </c>
      <c r="G19" s="54">
        <v>78.599999999999994</v>
      </c>
      <c r="H19" s="54">
        <v>52.78</v>
      </c>
      <c r="I19" s="54">
        <v>1.58</v>
      </c>
      <c r="J19" s="54">
        <v>1.65</v>
      </c>
      <c r="K19" s="54">
        <v>355.21</v>
      </c>
      <c r="L19" s="54">
        <v>22.65</v>
      </c>
      <c r="M19" s="54">
        <v>32.75</v>
      </c>
      <c r="N19" s="54">
        <v>706.60</v>
      </c>
      <c r="O19" s="54">
        <v>0</v>
      </c>
      <c r="P19" s="54">
        <v>0.56999999999999995</v>
      </c>
      <c r="Q19" s="54">
        <v>7.88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9.40</v>
      </c>
      <c r="C20" s="54">
        <v>69.89</v>
      </c>
      <c r="D20" s="54">
        <v>46.76</v>
      </c>
      <c r="E20" s="54">
        <v>1.66</v>
      </c>
      <c r="F20" s="54">
        <v>37.71</v>
      </c>
      <c r="G20" s="54">
        <v>66.19</v>
      </c>
      <c r="H20" s="54">
        <v>41.92</v>
      </c>
      <c r="I20" s="54">
        <v>1.53</v>
      </c>
      <c r="J20" s="54">
        <v>0.96</v>
      </c>
      <c r="K20" s="54">
        <v>346.10</v>
      </c>
      <c r="L20" s="54">
        <v>23.69</v>
      </c>
      <c r="M20" s="54">
        <v>26.92</v>
      </c>
      <c r="N20" s="54">
        <v>747.60</v>
      </c>
      <c r="O20" s="54">
        <v>0</v>
      </c>
      <c r="P20" s="54">
        <v>0.56999999999999995</v>
      </c>
      <c r="Q20" s="54">
        <v>6.24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5.32</v>
      </c>
      <c r="C21" s="54">
        <v>66.849999999999994</v>
      </c>
      <c r="D21" s="54">
        <v>41.80</v>
      </c>
      <c r="E21" s="54">
        <v>3.48</v>
      </c>
      <c r="F21" s="54">
        <v>37.85</v>
      </c>
      <c r="G21" s="54">
        <v>57.39</v>
      </c>
      <c r="H21" s="54">
        <v>36.81</v>
      </c>
      <c r="I21" s="54">
        <v>1.52</v>
      </c>
      <c r="J21" s="54">
        <v>1.18</v>
      </c>
      <c r="K21" s="54">
        <v>352.04</v>
      </c>
      <c r="L21" s="54">
        <v>22.23</v>
      </c>
      <c r="M21" s="54">
        <v>29.08</v>
      </c>
      <c r="N21" s="54">
        <v>697</v>
      </c>
      <c r="O21" s="54">
        <v>0</v>
      </c>
      <c r="P21" s="54">
        <v>0.55000000000000004</v>
      </c>
      <c r="Q21" s="54">
        <v>5.83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4.34</v>
      </c>
      <c r="C22" s="54">
        <v>62.36</v>
      </c>
      <c r="D22" s="54">
        <v>38.54</v>
      </c>
      <c r="E22" s="54">
        <v>6.41</v>
      </c>
      <c r="F22" s="54">
        <v>40.49</v>
      </c>
      <c r="G22" s="54">
        <v>55.40</v>
      </c>
      <c r="H22" s="54">
        <v>30.90</v>
      </c>
      <c r="I22" s="54">
        <v>1.56</v>
      </c>
      <c r="J22" s="54">
        <v>0.82</v>
      </c>
      <c r="K22" s="54">
        <v>357.35</v>
      </c>
      <c r="L22" s="54">
        <v>24.63</v>
      </c>
      <c r="M22" s="54">
        <v>26.37</v>
      </c>
      <c r="N22" s="54">
        <v>574.70000000000005</v>
      </c>
      <c r="O22" s="54">
        <v>0</v>
      </c>
      <c r="P22" s="54">
        <v>0.76</v>
      </c>
      <c r="Q22" s="54">
        <v>3.39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4.74</v>
      </c>
      <c r="C23" s="54">
        <v>66.239999999999995</v>
      </c>
      <c r="D23" s="54">
        <v>41</v>
      </c>
      <c r="E23" s="54">
        <v>7.70</v>
      </c>
      <c r="F23" s="54">
        <v>45.26</v>
      </c>
      <c r="G23" s="54">
        <v>67.83</v>
      </c>
      <c r="H23" s="54">
        <v>32.15</v>
      </c>
      <c r="I23" s="54">
        <v>1.5</v>
      </c>
      <c r="J23" s="54">
        <v>1.1200000000000001</v>
      </c>
      <c r="K23" s="54">
        <v>343.16</v>
      </c>
      <c r="L23" s="54">
        <v>23.64</v>
      </c>
      <c r="M23" s="54">
        <v>26.37</v>
      </c>
      <c r="N23" s="54">
        <v>220.5</v>
      </c>
      <c r="O23" s="54">
        <v>0</v>
      </c>
      <c r="P23" s="54">
        <v>0.78</v>
      </c>
      <c r="Q23" s="54">
        <v>3.26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5.39</v>
      </c>
      <c r="C24" s="54">
        <v>69.39</v>
      </c>
      <c r="D24" s="54">
        <v>43.26</v>
      </c>
      <c r="E24" s="54">
        <v>6.84</v>
      </c>
      <c r="F24" s="54">
        <v>36.880000000000003</v>
      </c>
      <c r="G24" s="54">
        <v>84.40</v>
      </c>
      <c r="H24" s="54">
        <v>34.06</v>
      </c>
      <c r="I24" s="54">
        <v>1.53</v>
      </c>
      <c r="J24" s="54">
        <v>0.83</v>
      </c>
      <c r="K24" s="54">
        <v>341.33</v>
      </c>
      <c r="L24" s="54">
        <v>22.11</v>
      </c>
      <c r="M24" s="54">
        <v>26.19</v>
      </c>
      <c r="N24" s="54">
        <v>155.30000000000001</v>
      </c>
      <c r="O24" s="54">
        <v>0</v>
      </c>
      <c r="P24" s="54">
        <v>0.95</v>
      </c>
      <c r="Q24" s="54">
        <v>2.62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8.14</v>
      </c>
      <c r="C25" s="54">
        <v>76.680000000000007</v>
      </c>
      <c r="D25" s="54">
        <v>49.49</v>
      </c>
      <c r="E25" s="54">
        <v>5.45</v>
      </c>
      <c r="F25" s="54">
        <v>19.36</v>
      </c>
      <c r="G25" s="54">
        <v>85.33</v>
      </c>
      <c r="H25" s="54">
        <v>37.07</v>
      </c>
      <c r="I25" s="54">
        <v>1.5</v>
      </c>
      <c r="J25" s="54">
        <v>0.76</v>
      </c>
      <c r="K25" s="54">
        <v>350.13</v>
      </c>
      <c r="L25" s="54">
        <v>20.71</v>
      </c>
      <c r="M25" s="54">
        <v>28.92</v>
      </c>
      <c r="N25" s="54">
        <v>108.5</v>
      </c>
      <c r="O25" s="54">
        <v>0</v>
      </c>
      <c r="P25" s="54">
        <v>1.08</v>
      </c>
      <c r="Q25" s="54">
        <v>2.5299999999999998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19.739999999999998</v>
      </c>
      <c r="C26" s="54">
        <v>83.22</v>
      </c>
      <c r="D26" s="54">
        <v>62.41</v>
      </c>
      <c r="E26" s="54">
        <v>2.23</v>
      </c>
      <c r="F26" s="54">
        <v>6.86</v>
      </c>
      <c r="G26" s="54">
        <v>99.70</v>
      </c>
      <c r="H26" s="54">
        <v>38.56</v>
      </c>
      <c r="I26" s="54">
        <v>1.52</v>
      </c>
      <c r="J26" s="54">
        <v>0.36</v>
      </c>
      <c r="K26" s="54">
        <v>340.05</v>
      </c>
      <c r="L26" s="54">
        <v>18.100000000000001</v>
      </c>
      <c r="M26" s="54">
        <v>50.20</v>
      </c>
      <c r="N26" s="54">
        <v>76.30</v>
      </c>
      <c r="O26" s="54">
        <v>0</v>
      </c>
      <c r="P26" s="54">
        <v>1.87</v>
      </c>
      <c r="Q26" s="54">
        <v>1.45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33.78</v>
      </c>
      <c r="C27" s="54">
        <v>88.90</v>
      </c>
      <c r="D27" s="54">
        <v>76.80</v>
      </c>
      <c r="E27" s="54">
        <v>2.2799999999999998</v>
      </c>
      <c r="F27" s="54">
        <v>4.18</v>
      </c>
      <c r="G27" s="54">
        <v>184.03</v>
      </c>
      <c r="H27" s="54">
        <v>53.72</v>
      </c>
      <c r="I27" s="54">
        <v>1.57</v>
      </c>
      <c r="J27" s="54">
        <v>0.22</v>
      </c>
      <c r="K27" s="54">
        <v>83.28</v>
      </c>
      <c r="L27" s="54">
        <v>16.62</v>
      </c>
      <c r="M27" s="54">
        <v>42.78</v>
      </c>
      <c r="N27" s="54">
        <v>89.60</v>
      </c>
      <c r="O27" s="54">
        <v>0</v>
      </c>
      <c r="P27" s="54">
        <v>2.91</v>
      </c>
      <c r="Q27" s="54">
        <v>2.34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57.27</v>
      </c>
      <c r="C28" s="54">
        <v>91.68</v>
      </c>
      <c r="D28" s="54">
        <v>96.88</v>
      </c>
      <c r="E28" s="54">
        <v>2</v>
      </c>
      <c r="F28" s="54">
        <v>4.25</v>
      </c>
      <c r="G28" s="54">
        <v>186.95</v>
      </c>
      <c r="H28" s="54">
        <v>67.75</v>
      </c>
      <c r="I28" s="54">
        <v>1.53</v>
      </c>
      <c r="J28" s="54">
        <v>0.10</v>
      </c>
      <c r="K28" s="54">
        <v>347.33</v>
      </c>
      <c r="L28" s="54">
        <v>15.79</v>
      </c>
      <c r="M28" s="54">
        <v>49.94</v>
      </c>
      <c r="N28" s="54">
        <v>80.099999999999994</v>
      </c>
      <c r="O28" s="54">
        <v>0</v>
      </c>
      <c r="P28" s="54">
        <v>3.47</v>
      </c>
      <c r="Q28" s="54">
        <v>2.21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74.53</v>
      </c>
      <c r="C29" s="54">
        <v>90.44</v>
      </c>
      <c r="D29" s="54">
        <v>109.71</v>
      </c>
      <c r="E29" s="54">
        <v>2.04</v>
      </c>
      <c r="F29" s="54">
        <v>4.12</v>
      </c>
      <c r="G29" s="54">
        <v>186.95</v>
      </c>
      <c r="H29" s="54">
        <v>71.88</v>
      </c>
      <c r="I29" s="54">
        <v>1.53</v>
      </c>
      <c r="J29" s="54">
        <v>0.17</v>
      </c>
      <c r="K29" s="54">
        <v>344.33</v>
      </c>
      <c r="L29" s="54">
        <v>14.64</v>
      </c>
      <c r="M29" s="54">
        <v>54.93</v>
      </c>
      <c r="N29" s="54">
        <v>79.900000000000006</v>
      </c>
      <c r="O29" s="54">
        <v>0</v>
      </c>
      <c r="P29" s="54">
        <v>3.45</v>
      </c>
      <c r="Q29" s="54">
        <v>5.23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76.06</v>
      </c>
      <c r="C30" s="54">
        <v>88.71</v>
      </c>
      <c r="D30" s="54">
        <v>110.43</v>
      </c>
      <c r="E30" s="54">
        <v>1.66</v>
      </c>
      <c r="F30" s="54">
        <v>4.54</v>
      </c>
      <c r="G30" s="54">
        <v>173.44</v>
      </c>
      <c r="H30" s="54">
        <v>75.349999999999994</v>
      </c>
      <c r="I30" s="54">
        <v>1.52</v>
      </c>
      <c r="J30" s="54">
        <v>0.23</v>
      </c>
      <c r="K30" s="54">
        <v>96.31</v>
      </c>
      <c r="L30" s="54">
        <v>14.75</v>
      </c>
      <c r="M30" s="54">
        <v>48.03</v>
      </c>
      <c r="N30" s="54">
        <v>81.099999999999994</v>
      </c>
      <c r="O30" s="54">
        <v>0</v>
      </c>
      <c r="P30" s="54">
        <v>2.5299999999999998</v>
      </c>
      <c r="Q30" s="54">
        <v>8.61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75.62</v>
      </c>
      <c r="C31" s="54">
        <v>87.61</v>
      </c>
      <c r="D31" s="54">
        <v>109.64</v>
      </c>
      <c r="E31" s="54">
        <v>1.54</v>
      </c>
      <c r="F31" s="54">
        <v>5.12</v>
      </c>
      <c r="G31" s="54">
        <v>129.25</v>
      </c>
      <c r="H31" s="54">
        <v>75.349999999999994</v>
      </c>
      <c r="I31" s="54">
        <v>1.52</v>
      </c>
      <c r="J31" s="54">
        <v>0.23</v>
      </c>
      <c r="K31" s="54">
        <v>78.16</v>
      </c>
      <c r="L31" s="54">
        <v>14.62</v>
      </c>
      <c r="M31" s="54">
        <v>48.56</v>
      </c>
      <c r="N31" s="54">
        <v>81.30</v>
      </c>
      <c r="O31" s="54">
        <v>0</v>
      </c>
      <c r="P31" s="54">
        <v>2.2200000000000002</v>
      </c>
      <c r="Q31" s="54">
        <v>14.56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60.01</v>
      </c>
      <c r="C32" s="54">
        <v>82.56</v>
      </c>
      <c r="D32" s="54">
        <v>94.33</v>
      </c>
      <c r="E32" s="54">
        <v>1.21</v>
      </c>
      <c r="F32" s="54">
        <v>4.66</v>
      </c>
      <c r="G32" s="54">
        <v>117.67</v>
      </c>
      <c r="H32" s="54">
        <v>69.17</v>
      </c>
      <c r="I32" s="54">
        <v>1.54</v>
      </c>
      <c r="J32" s="54">
        <v>0.16</v>
      </c>
      <c r="K32" s="54">
        <v>328</v>
      </c>
      <c r="L32" s="54">
        <v>13.47</v>
      </c>
      <c r="M32" s="54">
        <v>54.12</v>
      </c>
      <c r="N32" s="54">
        <v>65.599999999999994</v>
      </c>
      <c r="O32" s="54">
        <v>0</v>
      </c>
      <c r="P32" s="54">
        <v>1.1599999999999999</v>
      </c>
      <c r="Q32" s="54">
        <v>12.97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4.3399999999999999</v>
      </c>
      <c r="C34" s="28">
        <f t="shared" si="0"/>
        <v>62.359999999999999</v>
      </c>
      <c r="D34" s="28">
        <f t="shared" si="0"/>
        <v>38.539999999999999</v>
      </c>
      <c r="E34" s="28">
        <f t="shared" si="0"/>
        <v>1.21</v>
      </c>
      <c r="F34" s="28">
        <f t="shared" si="0"/>
        <v>4.1200000000000001</v>
      </c>
      <c r="G34" s="28">
        <f t="shared" si="0"/>
        <v>55.399999999999999</v>
      </c>
      <c r="H34" s="28">
        <f t="shared" si="0"/>
        <v>30.899999999999999</v>
      </c>
      <c r="I34" s="28">
        <f t="shared" si="0"/>
        <v>1.49</v>
      </c>
      <c r="J34" s="28">
        <f t="shared" si="0"/>
        <v>0.10000000000000001</v>
      </c>
      <c r="K34" s="28">
        <f t="shared" si="0"/>
        <v>78.159999999999997</v>
      </c>
      <c r="L34" s="28">
        <f t="shared" si="0"/>
        <v>11.58</v>
      </c>
      <c r="M34" s="28">
        <f t="shared" si="0"/>
        <v>26.190000000000001</v>
      </c>
      <c r="N34" s="28">
        <f t="shared" si="0"/>
        <v>58.5</v>
      </c>
      <c r="O34" s="28">
        <f t="shared" si="0"/>
        <v>0</v>
      </c>
      <c r="P34" s="28">
        <f t="shared" si="0"/>
        <v>0.55000000000000004</v>
      </c>
      <c r="Q34" s="28">
        <f t="shared" si="0"/>
        <v>1.45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76.060000000000002</v>
      </c>
      <c r="C35" s="29">
        <f t="shared" si="1"/>
        <v>91.680000000000007</v>
      </c>
      <c r="D35" s="29">
        <f t="shared" si="1"/>
        <v>110.43000000000001</v>
      </c>
      <c r="E35" s="29">
        <f t="shared" si="1"/>
        <v>14.33</v>
      </c>
      <c r="F35" s="29">
        <f t="shared" si="1"/>
        <v>45.259999999999998</v>
      </c>
      <c r="G35" s="29">
        <f t="shared" si="1"/>
        <v>186.94999999999999</v>
      </c>
      <c r="H35" s="29">
        <f t="shared" si="1"/>
        <v>75.349999999999994</v>
      </c>
      <c r="I35" s="29">
        <f t="shared" si="1"/>
        <v>1.6299999999999999</v>
      </c>
      <c r="J35" s="29">
        <f t="shared" si="1"/>
        <v>1.6499999999999999</v>
      </c>
      <c r="K35" s="29">
        <f t="shared" si="1"/>
        <v>357.35000000000002</v>
      </c>
      <c r="L35" s="29">
        <f t="shared" si="1"/>
        <v>24.629999999999999</v>
      </c>
      <c r="M35" s="29">
        <f t="shared" si="1"/>
        <v>67.769999999999996</v>
      </c>
      <c r="N35" s="29">
        <f t="shared" si="1"/>
        <v>747.60000000000002</v>
      </c>
      <c r="O35" s="29">
        <f t="shared" si="1"/>
        <v>0</v>
      </c>
      <c r="P35" s="29">
        <f t="shared" si="1"/>
        <v>3.4700000000000002</v>
      </c>
      <c r="Q35" s="29">
        <f t="shared" si="1"/>
        <v>18.109999999999999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32.705416666666665</v>
      </c>
      <c r="C36" s="28">
        <f t="shared" si="2"/>
        <v>74.126666666666679</v>
      </c>
      <c r="D36" s="28">
        <f t="shared" si="2"/>
        <v>67.629999999999995</v>
      </c>
      <c r="E36" s="28">
        <f t="shared" si="2"/>
        <v>5.9454166666666657</v>
      </c>
      <c r="F36" s="28">
        <f t="shared" si="2"/>
        <v>17.891250000000003</v>
      </c>
      <c r="G36" s="28">
        <f t="shared" si="2"/>
        <v>122.46958333333333</v>
      </c>
      <c r="H36" s="28">
        <f t="shared" si="2"/>
        <v>56.820416666666667</v>
      </c>
      <c r="I36" s="28">
        <f t="shared" si="2"/>
        <v>1.5395833333333335</v>
      </c>
      <c r="J36" s="28">
        <f t="shared" si="2"/>
        <v>0.70083333333333353</v>
      </c>
      <c r="K36" s="28">
        <f t="shared" si="2"/>
        <v>314.89208333333335</v>
      </c>
      <c r="L36" s="28">
        <f t="shared" si="2"/>
        <v>17.253333333333334</v>
      </c>
      <c r="M36" s="28">
        <f t="shared" si="2"/>
        <v>46.235833333333325</v>
      </c>
      <c r="N36" s="28">
        <f t="shared" si="2"/>
        <v>236.54583333333338</v>
      </c>
      <c r="O36" s="28">
        <f t="shared" si="2"/>
        <v>0</v>
      </c>
      <c r="P36" s="28">
        <f t="shared" si="2"/>
        <v>1.374583333333333</v>
      </c>
      <c r="Q36" s="28">
        <f t="shared" si="2"/>
        <v>7.1945833333333331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24.491634415460723</v>
      </c>
      <c r="C37" s="28">
        <f t="shared" si="3" ref="C37:Q37">STDEV(C9:C32)</f>
        <v>9.9072067167054403</v>
      </c>
      <c r="D37" s="28">
        <f t="shared" si="3"/>
        <v>23.909290535543786</v>
      </c>
      <c r="E37" s="28">
        <f t="shared" si="3"/>
        <v>4.2313108043711951</v>
      </c>
      <c r="F37" s="28">
        <f t="shared" si="3"/>
        <v>13.971528910920794</v>
      </c>
      <c r="G37" s="28">
        <f t="shared" si="3"/>
        <v>41.724346399045459</v>
      </c>
      <c r="H37" s="28">
        <f t="shared" si="3"/>
        <v>15.079723062607169</v>
      </c>
      <c r="I37" s="28">
        <f t="shared" si="3"/>
        <v>0.030713142161772952</v>
      </c>
      <c r="J37" s="28">
        <f t="shared" si="3"/>
        <v>0.39438357698705107</v>
      </c>
      <c r="K37" s="28">
        <f t="shared" si="3"/>
        <v>88.672828933801156</v>
      </c>
      <c r="L37" s="28">
        <f t="shared" si="3"/>
        <v>4.361168238648558</v>
      </c>
      <c r="M37" s="28">
        <f t="shared" si="3"/>
        <v>14.204725458885866</v>
      </c>
      <c r="N37" s="28">
        <f t="shared" si="3"/>
        <v>247.30935209582736</v>
      </c>
      <c r="O37" s="28">
        <f t="shared" si="3"/>
        <v>0</v>
      </c>
      <c r="P37" s="28">
        <f t="shared" si="3"/>
        <v>0.89247569284481987</v>
      </c>
      <c r="Q37" s="28">
        <f t="shared" si="3"/>
        <v>4.522757891958773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0359ea-e964-49ee-8bf9-78be8dc22a6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48.65</v>
      </c>
      <c r="C9" s="54">
        <v>77.80</v>
      </c>
      <c r="D9" s="54">
        <v>82.59</v>
      </c>
      <c r="E9" s="54">
        <v>1.38</v>
      </c>
      <c r="F9" s="54">
        <v>12.91</v>
      </c>
      <c r="G9" s="54">
        <v>97.33</v>
      </c>
      <c r="H9" s="54">
        <v>61.06</v>
      </c>
      <c r="I9" s="54">
        <v>1.53</v>
      </c>
      <c r="J9" s="54">
        <v>0.19</v>
      </c>
      <c r="K9" s="54">
        <v>342.83</v>
      </c>
      <c r="L9" s="54">
        <v>13.27</v>
      </c>
      <c r="M9" s="54">
        <v>54.19</v>
      </c>
      <c r="N9" s="54">
        <v>61.10</v>
      </c>
      <c r="O9" s="54">
        <v>0</v>
      </c>
      <c r="P9" s="54">
        <v>1.01</v>
      </c>
      <c r="Q9" s="54">
        <v>12.90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34.520000000000003</v>
      </c>
      <c r="C10" s="54">
        <v>70.95</v>
      </c>
      <c r="D10" s="54">
        <v>67.48</v>
      </c>
      <c r="E10" s="54">
        <v>3.83</v>
      </c>
      <c r="F10" s="54">
        <v>18.420000000000002</v>
      </c>
      <c r="G10" s="54">
        <v>93.09</v>
      </c>
      <c r="H10" s="54">
        <v>58.87</v>
      </c>
      <c r="I10" s="54">
        <v>1.51</v>
      </c>
      <c r="J10" s="54">
        <v>0.57999999999999996</v>
      </c>
      <c r="K10" s="54">
        <v>348.24</v>
      </c>
      <c r="L10" s="54">
        <v>13.04</v>
      </c>
      <c r="M10" s="54">
        <v>55.21</v>
      </c>
      <c r="N10" s="54">
        <v>73.70</v>
      </c>
      <c r="O10" s="54">
        <v>0</v>
      </c>
      <c r="P10" s="54">
        <v>0.49</v>
      </c>
      <c r="Q10" s="54">
        <v>13.04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22.96</v>
      </c>
      <c r="C11" s="54">
        <v>66.20</v>
      </c>
      <c r="D11" s="54">
        <v>55.59</v>
      </c>
      <c r="E11" s="54">
        <v>5.38</v>
      </c>
      <c r="F11" s="54">
        <v>24.92</v>
      </c>
      <c r="G11" s="54">
        <v>66.569999999999993</v>
      </c>
      <c r="H11" s="54">
        <v>52.40</v>
      </c>
      <c r="I11" s="54">
        <v>1.56</v>
      </c>
      <c r="J11" s="54">
        <v>0.76</v>
      </c>
      <c r="K11" s="54">
        <v>345.22</v>
      </c>
      <c r="L11" s="54">
        <v>12.24</v>
      </c>
      <c r="M11" s="54">
        <v>55.56</v>
      </c>
      <c r="N11" s="54">
        <v>76.20</v>
      </c>
      <c r="O11" s="54">
        <v>0</v>
      </c>
      <c r="P11" s="54">
        <v>0.43</v>
      </c>
      <c r="Q11" s="54">
        <v>10.01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15.02</v>
      </c>
      <c r="C12" s="54">
        <v>61.43</v>
      </c>
      <c r="D12" s="54">
        <v>46.59</v>
      </c>
      <c r="E12" s="54">
        <v>7.03</v>
      </c>
      <c r="F12" s="54">
        <v>20.11</v>
      </c>
      <c r="G12" s="54">
        <v>66.569999999999993</v>
      </c>
      <c r="H12" s="54">
        <v>44.44</v>
      </c>
      <c r="I12" s="54">
        <v>1.52</v>
      </c>
      <c r="J12" s="54">
        <v>0.45</v>
      </c>
      <c r="K12" s="54">
        <v>359.78</v>
      </c>
      <c r="L12" s="54">
        <v>11.96</v>
      </c>
      <c r="M12" s="54">
        <v>58.04</v>
      </c>
      <c r="N12" s="54">
        <v>115.90</v>
      </c>
      <c r="O12" s="54">
        <v>0</v>
      </c>
      <c r="P12" s="54">
        <v>0.5</v>
      </c>
      <c r="Q12" s="54">
        <v>8.60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11.47</v>
      </c>
      <c r="C13" s="54">
        <v>59.45</v>
      </c>
      <c r="D13" s="54">
        <v>42.65</v>
      </c>
      <c r="E13" s="54">
        <v>4.6399999999999997</v>
      </c>
      <c r="F13" s="54">
        <v>24.48</v>
      </c>
      <c r="G13" s="54">
        <v>60.73</v>
      </c>
      <c r="H13" s="54">
        <v>40.10</v>
      </c>
      <c r="I13" s="54">
        <v>1.54</v>
      </c>
      <c r="J13" s="54">
        <v>0.77</v>
      </c>
      <c r="K13" s="54">
        <v>346.49</v>
      </c>
      <c r="L13" s="54">
        <v>11.41</v>
      </c>
      <c r="M13" s="54">
        <v>62.52</v>
      </c>
      <c r="N13" s="54">
        <v>107.40</v>
      </c>
      <c r="O13" s="54">
        <v>0</v>
      </c>
      <c r="P13" s="54">
        <v>0.49</v>
      </c>
      <c r="Q13" s="54">
        <v>7.38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10.53</v>
      </c>
      <c r="C14" s="54">
        <v>58.66</v>
      </c>
      <c r="D14" s="54">
        <v>41.39</v>
      </c>
      <c r="E14" s="54">
        <v>4.51</v>
      </c>
      <c r="F14" s="54">
        <v>13.48</v>
      </c>
      <c r="G14" s="54">
        <v>79.150000000000006</v>
      </c>
      <c r="H14" s="54">
        <v>43.5</v>
      </c>
      <c r="I14" s="54">
        <v>1.49</v>
      </c>
      <c r="J14" s="54">
        <v>0.28000000000000003</v>
      </c>
      <c r="K14" s="54">
        <v>331.62</v>
      </c>
      <c r="L14" s="54">
        <v>10.64</v>
      </c>
      <c r="M14" s="54">
        <v>63.54</v>
      </c>
      <c r="N14" s="54">
        <v>89.20</v>
      </c>
      <c r="O14" s="54">
        <v>0</v>
      </c>
      <c r="P14" s="54">
        <v>0.56999999999999995</v>
      </c>
      <c r="Q14" s="54">
        <v>5.25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11.17</v>
      </c>
      <c r="C15" s="54">
        <v>59.54</v>
      </c>
      <c r="D15" s="54">
        <v>42.45</v>
      </c>
      <c r="E15" s="54">
        <v>3.09</v>
      </c>
      <c r="F15" s="54">
        <v>11.58</v>
      </c>
      <c r="G15" s="54">
        <v>79.150000000000006</v>
      </c>
      <c r="H15" s="54">
        <v>43.5</v>
      </c>
      <c r="I15" s="54">
        <v>1.57</v>
      </c>
      <c r="J15" s="54">
        <v>0.32</v>
      </c>
      <c r="K15" s="54">
        <v>337.24</v>
      </c>
      <c r="L15" s="54">
        <v>10.59</v>
      </c>
      <c r="M15" s="54">
        <v>64.88</v>
      </c>
      <c r="N15" s="54">
        <v>120.90</v>
      </c>
      <c r="O15" s="54">
        <v>0</v>
      </c>
      <c r="P15" s="54">
        <v>0.53</v>
      </c>
      <c r="Q15" s="54">
        <v>4.8499999999999996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14.87</v>
      </c>
      <c r="C16" s="54">
        <v>62.11</v>
      </c>
      <c r="D16" s="54">
        <v>46.85</v>
      </c>
      <c r="E16" s="54">
        <v>2.4500000000000002</v>
      </c>
      <c r="F16" s="54">
        <v>19.190000000000001</v>
      </c>
      <c r="G16" s="54">
        <v>80.650000000000006</v>
      </c>
      <c r="H16" s="54">
        <v>39.67</v>
      </c>
      <c r="I16" s="54">
        <v>1.52</v>
      </c>
      <c r="J16" s="54">
        <v>0.96</v>
      </c>
      <c r="K16" s="54">
        <v>342.61</v>
      </c>
      <c r="L16" s="54">
        <v>15.15</v>
      </c>
      <c r="M16" s="54">
        <v>63.80</v>
      </c>
      <c r="N16" s="54">
        <v>350.5</v>
      </c>
      <c r="O16" s="54">
        <v>0</v>
      </c>
      <c r="P16" s="54">
        <v>0.67</v>
      </c>
      <c r="Q16" s="54">
        <v>5.76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14.43</v>
      </c>
      <c r="C17" s="54">
        <v>64.56</v>
      </c>
      <c r="D17" s="54">
        <v>47.02</v>
      </c>
      <c r="E17" s="54">
        <v>4.79</v>
      </c>
      <c r="F17" s="54">
        <v>22.07</v>
      </c>
      <c r="G17" s="54">
        <v>80.650000000000006</v>
      </c>
      <c r="H17" s="54">
        <v>37.22</v>
      </c>
      <c r="I17" s="54">
        <v>1.55</v>
      </c>
      <c r="J17" s="54">
        <v>1.49</v>
      </c>
      <c r="K17" s="54">
        <v>344.92</v>
      </c>
      <c r="L17" s="54">
        <v>19.88</v>
      </c>
      <c r="M17" s="54">
        <v>41.76</v>
      </c>
      <c r="N17" s="54">
        <v>485</v>
      </c>
      <c r="O17" s="54">
        <v>0</v>
      </c>
      <c r="P17" s="54">
        <v>0.63</v>
      </c>
      <c r="Q17" s="54">
        <v>5.60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14.78</v>
      </c>
      <c r="C18" s="54">
        <v>68.989999999999995</v>
      </c>
      <c r="D18" s="54">
        <v>50.58</v>
      </c>
      <c r="E18" s="54">
        <v>3.5</v>
      </c>
      <c r="F18" s="54">
        <v>15.11</v>
      </c>
      <c r="G18" s="54">
        <v>80.069999999999993</v>
      </c>
      <c r="H18" s="54">
        <v>37.22</v>
      </c>
      <c r="I18" s="54">
        <v>1.5</v>
      </c>
      <c r="J18" s="54">
        <v>0.74</v>
      </c>
      <c r="K18" s="54">
        <v>334.71</v>
      </c>
      <c r="L18" s="54">
        <v>19.89</v>
      </c>
      <c r="M18" s="54">
        <v>38.47</v>
      </c>
      <c r="N18" s="54">
        <v>582</v>
      </c>
      <c r="O18" s="54">
        <v>0</v>
      </c>
      <c r="P18" s="54">
        <v>0.68</v>
      </c>
      <c r="Q18" s="54">
        <v>4.4400000000000004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14.56</v>
      </c>
      <c r="C19" s="54">
        <v>71.70</v>
      </c>
      <c r="D19" s="54">
        <v>51.05</v>
      </c>
      <c r="E19" s="54">
        <v>5.37</v>
      </c>
      <c r="F19" s="54">
        <v>26.52</v>
      </c>
      <c r="G19" s="54">
        <v>75.25</v>
      </c>
      <c r="H19" s="54">
        <v>29.38</v>
      </c>
      <c r="I19" s="54">
        <v>1.53</v>
      </c>
      <c r="J19" s="54">
        <v>1.08</v>
      </c>
      <c r="K19" s="54">
        <v>355.89</v>
      </c>
      <c r="L19" s="54">
        <v>22.67</v>
      </c>
      <c r="M19" s="54">
        <v>40.08</v>
      </c>
      <c r="N19" s="54">
        <v>689.40</v>
      </c>
      <c r="O19" s="54">
        <v>0</v>
      </c>
      <c r="P19" s="54">
        <v>0.62</v>
      </c>
      <c r="Q19" s="54">
        <v>5.36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12.83</v>
      </c>
      <c r="C20" s="54">
        <v>75.75</v>
      </c>
      <c r="D20" s="54">
        <v>52.74</v>
      </c>
      <c r="E20" s="54">
        <v>15.84</v>
      </c>
      <c r="F20" s="54">
        <v>21.90</v>
      </c>
      <c r="G20" s="54">
        <v>77.819999999999993</v>
      </c>
      <c r="H20" s="54">
        <v>47.46</v>
      </c>
      <c r="I20" s="54">
        <v>1.51</v>
      </c>
      <c r="J20" s="54">
        <v>1.01</v>
      </c>
      <c r="K20" s="54">
        <v>346.22</v>
      </c>
      <c r="L20" s="54">
        <v>23.5</v>
      </c>
      <c r="M20" s="54">
        <v>30.02</v>
      </c>
      <c r="N20" s="54">
        <v>710.5</v>
      </c>
      <c r="O20" s="54">
        <v>0</v>
      </c>
      <c r="P20" s="54">
        <v>0.66</v>
      </c>
      <c r="Q20" s="54">
        <v>5.03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14.02</v>
      </c>
      <c r="C21" s="54">
        <v>76.05</v>
      </c>
      <c r="D21" s="54">
        <v>53.80</v>
      </c>
      <c r="E21" s="54">
        <v>15.96</v>
      </c>
      <c r="F21" s="54">
        <v>13.35</v>
      </c>
      <c r="G21" s="54">
        <v>77.819999999999993</v>
      </c>
      <c r="H21" s="54">
        <v>47.46</v>
      </c>
      <c r="I21" s="54">
        <v>1.57</v>
      </c>
      <c r="J21" s="54">
        <v>0.44</v>
      </c>
      <c r="K21" s="54">
        <v>110.05</v>
      </c>
      <c r="L21" s="54">
        <v>22.54</v>
      </c>
      <c r="M21" s="54">
        <v>28.98</v>
      </c>
      <c r="N21" s="54">
        <v>675.10</v>
      </c>
      <c r="O21" s="54">
        <v>0</v>
      </c>
      <c r="P21" s="54">
        <v>0.60</v>
      </c>
      <c r="Q21" s="54">
        <v>4.04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13.95</v>
      </c>
      <c r="C22" s="54">
        <v>80.63</v>
      </c>
      <c r="D22" s="54">
        <v>56.16</v>
      </c>
      <c r="E22" s="54">
        <v>18.30</v>
      </c>
      <c r="F22" s="54">
        <v>18.190000000000001</v>
      </c>
      <c r="G22" s="54">
        <v>73.569999999999993</v>
      </c>
      <c r="H22" s="54">
        <v>43.47</v>
      </c>
      <c r="I22" s="54">
        <v>1.56</v>
      </c>
      <c r="J22" s="54">
        <v>0.86</v>
      </c>
      <c r="K22" s="54">
        <v>347.19</v>
      </c>
      <c r="L22" s="54">
        <v>25.17</v>
      </c>
      <c r="M22" s="54">
        <v>25.55</v>
      </c>
      <c r="N22" s="54">
        <v>625.60</v>
      </c>
      <c r="O22" s="54">
        <v>0</v>
      </c>
      <c r="P22" s="54">
        <v>0.70</v>
      </c>
      <c r="Q22" s="54">
        <v>4.43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15.80</v>
      </c>
      <c r="C23" s="54">
        <v>86.41</v>
      </c>
      <c r="D23" s="54">
        <v>61</v>
      </c>
      <c r="E23" s="54">
        <v>20.55</v>
      </c>
      <c r="F23" s="54">
        <v>17.25</v>
      </c>
      <c r="G23" s="54">
        <v>77.239999999999995</v>
      </c>
      <c r="H23" s="54">
        <v>41.11</v>
      </c>
      <c r="I23" s="54">
        <v>1.53</v>
      </c>
      <c r="J23" s="54">
        <v>0.90</v>
      </c>
      <c r="K23" s="54">
        <v>342.07</v>
      </c>
      <c r="L23" s="54">
        <v>24.12</v>
      </c>
      <c r="M23" s="54">
        <v>26.43</v>
      </c>
      <c r="N23" s="54">
        <v>198.90</v>
      </c>
      <c r="O23" s="54">
        <v>0</v>
      </c>
      <c r="P23" s="54">
        <v>0.79</v>
      </c>
      <c r="Q23" s="54">
        <v>4.75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16.59</v>
      </c>
      <c r="C24" s="54">
        <v>88.11</v>
      </c>
      <c r="D24" s="54">
        <v>62.23</v>
      </c>
      <c r="E24" s="54">
        <v>19.87</v>
      </c>
      <c r="F24" s="54">
        <v>26.29</v>
      </c>
      <c r="G24" s="54">
        <v>86.87</v>
      </c>
      <c r="H24" s="54">
        <v>41.11</v>
      </c>
      <c r="I24" s="54">
        <v>1.53</v>
      </c>
      <c r="J24" s="54">
        <v>0.92</v>
      </c>
      <c r="K24" s="54">
        <v>353.58</v>
      </c>
      <c r="L24" s="54">
        <v>21.27</v>
      </c>
      <c r="M24" s="54">
        <v>28.98</v>
      </c>
      <c r="N24" s="54">
        <v>141.10</v>
      </c>
      <c r="O24" s="54">
        <v>0</v>
      </c>
      <c r="P24" s="54">
        <v>0.90</v>
      </c>
      <c r="Q24" s="54">
        <v>5.93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13.46</v>
      </c>
      <c r="C25" s="54">
        <v>90.78</v>
      </c>
      <c r="D25" s="54">
        <v>61.38</v>
      </c>
      <c r="E25" s="54">
        <v>13.12</v>
      </c>
      <c r="F25" s="54">
        <v>14.49</v>
      </c>
      <c r="G25" s="54">
        <v>107.60</v>
      </c>
      <c r="H25" s="54">
        <v>45.56</v>
      </c>
      <c r="I25" s="54">
        <v>1.59</v>
      </c>
      <c r="J25" s="54">
        <v>0.56999999999999995</v>
      </c>
      <c r="K25" s="54">
        <v>352.98</v>
      </c>
      <c r="L25" s="54">
        <v>20.51</v>
      </c>
      <c r="M25" s="54">
        <v>37.11</v>
      </c>
      <c r="N25" s="54">
        <v>98.30</v>
      </c>
      <c r="O25" s="54">
        <v>0</v>
      </c>
      <c r="P25" s="54">
        <v>1.47</v>
      </c>
      <c r="Q25" s="54">
        <v>4.63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20.11</v>
      </c>
      <c r="C26" s="54">
        <v>90.16</v>
      </c>
      <c r="D26" s="54">
        <v>66.53</v>
      </c>
      <c r="E26" s="54">
        <v>8.31</v>
      </c>
      <c r="F26" s="54">
        <v>7.11</v>
      </c>
      <c r="G26" s="54">
        <v>125.40</v>
      </c>
      <c r="H26" s="54">
        <v>48.43</v>
      </c>
      <c r="I26" s="54">
        <v>1.51</v>
      </c>
      <c r="J26" s="54">
        <v>0.23</v>
      </c>
      <c r="K26" s="54">
        <v>335.34</v>
      </c>
      <c r="L26" s="54">
        <v>18.25</v>
      </c>
      <c r="M26" s="54">
        <v>52.38</v>
      </c>
      <c r="N26" s="54">
        <v>58.40</v>
      </c>
      <c r="O26" s="54">
        <v>0</v>
      </c>
      <c r="P26" s="54">
        <v>1.74</v>
      </c>
      <c r="Q26" s="54">
        <v>0.97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24.52</v>
      </c>
      <c r="C27" s="54">
        <v>92.72</v>
      </c>
      <c r="D27" s="54">
        <v>71.48</v>
      </c>
      <c r="E27" s="54">
        <v>3.76</v>
      </c>
      <c r="F27" s="54">
        <v>4.68</v>
      </c>
      <c r="G27" s="54">
        <v>150.38999999999999</v>
      </c>
      <c r="H27" s="54">
        <v>60.95</v>
      </c>
      <c r="I27" s="54">
        <v>1.52</v>
      </c>
      <c r="J27" s="54">
        <v>0.13</v>
      </c>
      <c r="K27" s="54">
        <v>269.39999999999998</v>
      </c>
      <c r="L27" s="54">
        <v>16.75</v>
      </c>
      <c r="M27" s="54">
        <v>44.17</v>
      </c>
      <c r="N27" s="54">
        <v>55.80</v>
      </c>
      <c r="O27" s="54">
        <v>0</v>
      </c>
      <c r="P27" s="54">
        <v>2.11</v>
      </c>
      <c r="Q27" s="54">
        <v>1.69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44.55</v>
      </c>
      <c r="C28" s="54">
        <v>97.54</v>
      </c>
      <c r="D28" s="54">
        <v>90.21</v>
      </c>
      <c r="E28" s="54">
        <v>2.67</v>
      </c>
      <c r="F28" s="54">
        <v>4.5</v>
      </c>
      <c r="G28" s="54">
        <v>236.41</v>
      </c>
      <c r="H28" s="54">
        <v>80.709999999999994</v>
      </c>
      <c r="I28" s="54">
        <v>1.54</v>
      </c>
      <c r="J28" s="54">
        <v>0.14000000000000001</v>
      </c>
      <c r="K28" s="54">
        <v>336.91</v>
      </c>
      <c r="L28" s="54">
        <v>14.98</v>
      </c>
      <c r="M28" s="54">
        <v>64.88</v>
      </c>
      <c r="N28" s="54">
        <v>59.40</v>
      </c>
      <c r="O28" s="54">
        <v>0</v>
      </c>
      <c r="P28" s="54">
        <v>4.0199999999999996</v>
      </c>
      <c r="Q28" s="54">
        <v>0.67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100.54</v>
      </c>
      <c r="C29" s="54">
        <v>107.17</v>
      </c>
      <c r="D29" s="54">
        <v>140.41999999999999</v>
      </c>
      <c r="E29" s="54">
        <v>2.5499999999999998</v>
      </c>
      <c r="F29" s="54">
        <v>4.62</v>
      </c>
      <c r="G29" s="54">
        <v>236.41</v>
      </c>
      <c r="H29" s="54">
        <v>107.58</v>
      </c>
      <c r="I29" s="54">
        <v>1.52</v>
      </c>
      <c r="J29" s="54">
        <v>0.13</v>
      </c>
      <c r="K29" s="54">
        <v>335.91</v>
      </c>
      <c r="L29" s="54">
        <v>13.68</v>
      </c>
      <c r="M29" s="54">
        <v>73.12</v>
      </c>
      <c r="N29" s="54">
        <v>48.60</v>
      </c>
      <c r="O29" s="54">
        <v>0</v>
      </c>
      <c r="P29" s="54">
        <v>4.8099999999999996</v>
      </c>
      <c r="Q29" s="54">
        <v>1.08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175.27</v>
      </c>
      <c r="C30" s="54">
        <v>114.14</v>
      </c>
      <c r="D30" s="54">
        <v>204.20</v>
      </c>
      <c r="E30" s="54">
        <v>2.46</v>
      </c>
      <c r="F30" s="54">
        <v>4.05</v>
      </c>
      <c r="G30" s="54">
        <v>216.41</v>
      </c>
      <c r="H30" s="54">
        <v>133.62</v>
      </c>
      <c r="I30" s="54">
        <v>1.57</v>
      </c>
      <c r="J30" s="54">
        <v>0.16</v>
      </c>
      <c r="K30" s="54">
        <v>334.21</v>
      </c>
      <c r="L30" s="54">
        <v>13.02</v>
      </c>
      <c r="M30" s="54">
        <v>81.36</v>
      </c>
      <c r="N30" s="54">
        <v>53.90</v>
      </c>
      <c r="O30" s="54">
        <v>0</v>
      </c>
      <c r="P30" s="54">
        <v>5.93</v>
      </c>
      <c r="Q30" s="54">
        <v>1.27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246.56</v>
      </c>
      <c r="C31" s="54">
        <v>119.09</v>
      </c>
      <c r="D31" s="54">
        <v>263.98</v>
      </c>
      <c r="E31" s="54">
        <v>2.29</v>
      </c>
      <c r="F31" s="54">
        <v>4.1399999999999997</v>
      </c>
      <c r="G31" s="54">
        <v>206.41</v>
      </c>
      <c r="H31" s="54">
        <v>133.62</v>
      </c>
      <c r="I31" s="54">
        <v>1.56</v>
      </c>
      <c r="J31" s="54">
        <v>0.10</v>
      </c>
      <c r="K31" s="54">
        <v>308.18</v>
      </c>
      <c r="L31" s="54">
        <v>12.34</v>
      </c>
      <c r="M31" s="54">
        <v>86.17</v>
      </c>
      <c r="N31" s="54">
        <v>63.30</v>
      </c>
      <c r="O31" s="54">
        <v>0</v>
      </c>
      <c r="P31" s="54">
        <v>6.06</v>
      </c>
      <c r="Q31" s="54">
        <v>5.12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272.08999999999997</v>
      </c>
      <c r="C32" s="54">
        <v>118.06</v>
      </c>
      <c r="D32" s="54">
        <v>282.35000000000002</v>
      </c>
      <c r="E32" s="54">
        <v>2.11</v>
      </c>
      <c r="F32" s="54">
        <v>3.81</v>
      </c>
      <c r="G32" s="54">
        <v>216.41</v>
      </c>
      <c r="H32" s="54">
        <v>103.62</v>
      </c>
      <c r="I32" s="54">
        <v>1.56</v>
      </c>
      <c r="J32" s="54">
        <v>0.14000000000000001</v>
      </c>
      <c r="K32" s="54">
        <v>311.07</v>
      </c>
      <c r="L32" s="54">
        <v>11.71</v>
      </c>
      <c r="M32" s="54">
        <v>90.35</v>
      </c>
      <c r="N32" s="54">
        <v>60.80</v>
      </c>
      <c r="O32" s="54">
        <v>0</v>
      </c>
      <c r="P32" s="54">
        <v>5.56</v>
      </c>
      <c r="Q32" s="54">
        <v>35.26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10.529999999999999</v>
      </c>
      <c r="C34" s="28">
        <f t="shared" si="0"/>
        <v>58.659999999999997</v>
      </c>
      <c r="D34" s="28">
        <f t="shared" si="0"/>
        <v>41.390000000000001</v>
      </c>
      <c r="E34" s="28">
        <f t="shared" si="0"/>
        <v>1.3799999999999999</v>
      </c>
      <c r="F34" s="28">
        <f t="shared" si="0"/>
        <v>3.8100000000000001</v>
      </c>
      <c r="G34" s="28">
        <f t="shared" si="0"/>
        <v>60.729999999999997</v>
      </c>
      <c r="H34" s="28">
        <f t="shared" si="0"/>
        <v>29.379999999999999</v>
      </c>
      <c r="I34" s="28">
        <f t="shared" si="0"/>
        <v>1.49</v>
      </c>
      <c r="J34" s="28">
        <f t="shared" si="0"/>
        <v>0.10000000000000001</v>
      </c>
      <c r="K34" s="28">
        <f t="shared" si="0"/>
        <v>110.05</v>
      </c>
      <c r="L34" s="28">
        <f t="shared" si="0"/>
        <v>10.59</v>
      </c>
      <c r="M34" s="28">
        <f t="shared" si="0"/>
        <v>25.550000000000001</v>
      </c>
      <c r="N34" s="28">
        <f t="shared" si="0"/>
        <v>48.600000000000001</v>
      </c>
      <c r="O34" s="28">
        <f t="shared" si="0"/>
        <v>0</v>
      </c>
      <c r="P34" s="28">
        <f t="shared" si="0"/>
        <v>0.42999999999999999</v>
      </c>
      <c r="Q34" s="28">
        <f t="shared" si="0"/>
        <v>0.67000000000000004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272.08999999999997</v>
      </c>
      <c r="C35" s="29">
        <f t="shared" si="1"/>
        <v>119.09</v>
      </c>
      <c r="D35" s="29">
        <f t="shared" si="1"/>
        <v>282.35000000000002</v>
      </c>
      <c r="E35" s="29">
        <f t="shared" si="1"/>
        <v>20.550000000000001</v>
      </c>
      <c r="F35" s="29">
        <f t="shared" si="1"/>
        <v>26.52</v>
      </c>
      <c r="G35" s="29">
        <f t="shared" si="1"/>
        <v>236.41</v>
      </c>
      <c r="H35" s="29">
        <f t="shared" si="1"/>
        <v>133.62</v>
      </c>
      <c r="I35" s="29">
        <f t="shared" si="1"/>
        <v>1.5900000000000001</v>
      </c>
      <c r="J35" s="29">
        <f t="shared" si="1"/>
        <v>1.49</v>
      </c>
      <c r="K35" s="29">
        <f t="shared" si="1"/>
        <v>359.77999999999997</v>
      </c>
      <c r="L35" s="29">
        <f t="shared" si="1"/>
        <v>25.170000000000002</v>
      </c>
      <c r="M35" s="29">
        <f t="shared" si="1"/>
        <v>90.349999999999994</v>
      </c>
      <c r="N35" s="29">
        <f t="shared" si="1"/>
        <v>710.5</v>
      </c>
      <c r="O35" s="29">
        <f t="shared" si="1"/>
        <v>0</v>
      </c>
      <c r="P35" s="29">
        <f t="shared" si="1"/>
        <v>6.0599999999999996</v>
      </c>
      <c r="Q35" s="29">
        <f t="shared" si="1"/>
        <v>35.259999999999998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49.302083333333336</v>
      </c>
      <c r="C36" s="28">
        <f t="shared" si="2"/>
        <v>81.583333333333329</v>
      </c>
      <c r="D36" s="28">
        <f t="shared" si="2"/>
        <v>85.029999999999987</v>
      </c>
      <c r="E36" s="28">
        <f t="shared" si="2"/>
        <v>7.2400000000000011</v>
      </c>
      <c r="F36" s="28">
        <f t="shared" si="2"/>
        <v>14.71541666666667</v>
      </c>
      <c r="G36" s="28">
        <f t="shared" si="2"/>
        <v>114.49874999999997</v>
      </c>
      <c r="H36" s="28">
        <f t="shared" si="2"/>
        <v>59.252499999999998</v>
      </c>
      <c r="I36" s="28">
        <f t="shared" si="2"/>
        <v>1.5370833333333336</v>
      </c>
      <c r="J36" s="28">
        <f t="shared" si="2"/>
        <v>0.55625000000000013</v>
      </c>
      <c r="K36" s="28">
        <f t="shared" si="2"/>
        <v>328.02749999999997</v>
      </c>
      <c r="L36" s="28">
        <f t="shared" si="2"/>
        <v>16.607499999999998</v>
      </c>
      <c r="M36" s="28">
        <f t="shared" si="2"/>
        <v>52.814583333333331</v>
      </c>
      <c r="N36" s="28">
        <f t="shared" si="2"/>
        <v>233.37500000000003</v>
      </c>
      <c r="O36" s="28">
        <f t="shared" si="2"/>
        <v>0</v>
      </c>
      <c r="P36" s="28">
        <f t="shared" si="2"/>
        <v>1.74875</v>
      </c>
      <c r="Q36" s="28">
        <f t="shared" si="2"/>
        <v>6.5858333333333334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74.339509653151566</v>
      </c>
      <c r="C37" s="28">
        <f t="shared" si="3" ref="C37:Q37">STDEV(C9:C32)</f>
        <v>19.015865839429683</v>
      </c>
      <c r="D37" s="28">
        <f t="shared" si="3"/>
        <v>68.112546631994704</v>
      </c>
      <c r="E37" s="28">
        <f t="shared" si="3"/>
        <v>6.2579042192567389</v>
      </c>
      <c r="F37" s="28">
        <f t="shared" si="3"/>
        <v>7.7624581377666466</v>
      </c>
      <c r="G37" s="28">
        <f t="shared" si="3"/>
        <v>59.953258555420057</v>
      </c>
      <c r="H37" s="28">
        <f t="shared" si="3"/>
        <v>29.998613772320699</v>
      </c>
      <c r="I37" s="28">
        <f t="shared" si="3"/>
        <v>0.025956345737756927</v>
      </c>
      <c r="J37" s="28">
        <f t="shared" si="3"/>
        <v>0.3874196971491386</v>
      </c>
      <c r="K37" s="28">
        <f t="shared" si="3"/>
        <v>50.097983926284734</v>
      </c>
      <c r="L37" s="28">
        <f t="shared" si="3"/>
        <v>4.8551445149315313</v>
      </c>
      <c r="M37" s="28">
        <f t="shared" si="3"/>
        <v>19.018452590820196</v>
      </c>
      <c r="N37" s="28">
        <f t="shared" si="3"/>
        <v>244.19813632091601</v>
      </c>
      <c r="O37" s="28">
        <f t="shared" si="3"/>
        <v>0</v>
      </c>
      <c r="P37" s="28">
        <f t="shared" si="3"/>
        <v>1.9257687623613997</v>
      </c>
      <c r="Q37" s="28">
        <f t="shared" si="3"/>
        <v>6.9316664140278936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4b9de1-48b0-405e-911d-981704ff030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0" sqref="G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258.20</v>
      </c>
      <c r="C9" s="54">
        <v>107.13</v>
      </c>
      <c r="D9" s="54">
        <v>266.83</v>
      </c>
      <c r="E9" s="54">
        <v>1.19</v>
      </c>
      <c r="F9" s="54">
        <v>3.84</v>
      </c>
      <c r="G9" s="54">
        <v>212.82</v>
      </c>
      <c r="H9" s="54">
        <v>136.02000000000001</v>
      </c>
      <c r="I9" s="54">
        <v>1.57</v>
      </c>
      <c r="J9" s="54">
        <v>0.15</v>
      </c>
      <c r="K9" s="54">
        <v>339.12</v>
      </c>
      <c r="L9" s="54">
        <v>11.61</v>
      </c>
      <c r="M9" s="54">
        <v>88.07</v>
      </c>
      <c r="N9" s="54">
        <v>63.20</v>
      </c>
      <c r="O9" s="54">
        <v>0</v>
      </c>
      <c r="P9" s="54">
        <v>2.64</v>
      </c>
      <c r="Q9" s="54">
        <v>38.18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217.46</v>
      </c>
      <c r="C10" s="54">
        <v>95.39</v>
      </c>
      <c r="D10" s="54">
        <v>227.68</v>
      </c>
      <c r="E10" s="54">
        <v>1.46</v>
      </c>
      <c r="F10" s="54">
        <v>3.70</v>
      </c>
      <c r="G10" s="54">
        <v>238.55</v>
      </c>
      <c r="H10" s="54">
        <v>136.02000000000001</v>
      </c>
      <c r="I10" s="54">
        <v>1.61</v>
      </c>
      <c r="J10" s="54">
        <v>0.16</v>
      </c>
      <c r="K10" s="54">
        <v>287.51</v>
      </c>
      <c r="L10" s="54">
        <v>11.64</v>
      </c>
      <c r="M10" s="54">
        <v>94.22</v>
      </c>
      <c r="N10" s="54">
        <v>59.30</v>
      </c>
      <c r="O10" s="54">
        <v>0</v>
      </c>
      <c r="P10" s="54">
        <v>2.64</v>
      </c>
      <c r="Q10" s="54">
        <v>31.56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183.43</v>
      </c>
      <c r="C11" s="54">
        <v>88.39</v>
      </c>
      <c r="D11" s="54">
        <v>196.52</v>
      </c>
      <c r="E11" s="54">
        <v>1.94</v>
      </c>
      <c r="F11" s="54">
        <v>3.82</v>
      </c>
      <c r="G11" s="54">
        <v>238.55</v>
      </c>
      <c r="H11" s="54">
        <v>138.18</v>
      </c>
      <c r="I11" s="54">
        <v>1.59</v>
      </c>
      <c r="J11" s="54">
        <v>0.08</v>
      </c>
      <c r="K11" s="54">
        <v>353.62</v>
      </c>
      <c r="L11" s="54">
        <v>11.66</v>
      </c>
      <c r="M11" s="54">
        <v>77.34</v>
      </c>
      <c r="N11" s="54">
        <v>63</v>
      </c>
      <c r="O11" s="54">
        <v>0</v>
      </c>
      <c r="P11" s="54">
        <v>2.4300000000000002</v>
      </c>
      <c r="Q11" s="54">
        <v>31.57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136.37</v>
      </c>
      <c r="C12" s="54">
        <v>84.68</v>
      </c>
      <c r="D12" s="54">
        <v>156.74</v>
      </c>
      <c r="E12" s="54">
        <v>1.36</v>
      </c>
      <c r="F12" s="54">
        <v>4.6399999999999997</v>
      </c>
      <c r="G12" s="54">
        <v>144.72999999999999</v>
      </c>
      <c r="H12" s="54">
        <v>138.18</v>
      </c>
      <c r="I12" s="54">
        <v>1.51</v>
      </c>
      <c r="J12" s="54">
        <v>0.12</v>
      </c>
      <c r="K12" s="54">
        <v>94.33</v>
      </c>
      <c r="L12" s="54">
        <v>11.44</v>
      </c>
      <c r="M12" s="54">
        <v>69.64</v>
      </c>
      <c r="N12" s="54">
        <v>61</v>
      </c>
      <c r="O12" s="54">
        <v>0</v>
      </c>
      <c r="P12" s="54">
        <v>1.47</v>
      </c>
      <c r="Q12" s="54">
        <v>27.03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98.67</v>
      </c>
      <c r="C13" s="54">
        <v>78.489999999999995</v>
      </c>
      <c r="D13" s="54">
        <v>123.09</v>
      </c>
      <c r="E13" s="54">
        <v>0.93</v>
      </c>
      <c r="F13" s="54">
        <v>8.08</v>
      </c>
      <c r="G13" s="54">
        <v>144.72999999999999</v>
      </c>
      <c r="H13" s="54">
        <v>98.74</v>
      </c>
      <c r="I13" s="54">
        <v>1.55</v>
      </c>
      <c r="J13" s="54">
        <v>0.09</v>
      </c>
      <c r="K13" s="54">
        <v>98.96</v>
      </c>
      <c r="L13" s="54">
        <v>11.34</v>
      </c>
      <c r="M13" s="54">
        <v>64.790000000000006</v>
      </c>
      <c r="N13" s="54">
        <v>53.70</v>
      </c>
      <c r="O13" s="54">
        <v>0</v>
      </c>
      <c r="P13" s="54">
        <v>0.52</v>
      </c>
      <c r="Q13" s="54">
        <v>22.76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69.98</v>
      </c>
      <c r="C14" s="54">
        <v>73.11</v>
      </c>
      <c r="D14" s="54">
        <v>97.12</v>
      </c>
      <c r="E14" s="54">
        <v>0.84</v>
      </c>
      <c r="F14" s="54">
        <v>9.98</v>
      </c>
      <c r="G14" s="54">
        <v>62.59</v>
      </c>
      <c r="H14" s="54">
        <v>56.10</v>
      </c>
      <c r="I14" s="54">
        <v>1.56</v>
      </c>
      <c r="J14" s="54">
        <v>0.11</v>
      </c>
      <c r="K14" s="54">
        <v>298.30</v>
      </c>
      <c r="L14" s="54">
        <v>11.33</v>
      </c>
      <c r="M14" s="54">
        <v>65.19</v>
      </c>
      <c r="N14" s="54">
        <v>54.30</v>
      </c>
      <c r="O14" s="54">
        <v>0</v>
      </c>
      <c r="P14" s="54">
        <v>0.36</v>
      </c>
      <c r="Q14" s="54">
        <v>17.86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49.77</v>
      </c>
      <c r="C15" s="54">
        <v>70</v>
      </c>
      <c r="D15" s="54">
        <v>79.19</v>
      </c>
      <c r="E15" s="54">
        <v>0.88</v>
      </c>
      <c r="F15" s="54">
        <v>9.07</v>
      </c>
      <c r="G15" s="54">
        <v>61.42</v>
      </c>
      <c r="H15" s="54">
        <v>40.21</v>
      </c>
      <c r="I15" s="54">
        <v>1.59</v>
      </c>
      <c r="J15" s="54">
        <v>0.15</v>
      </c>
      <c r="K15" s="54">
        <v>184.80</v>
      </c>
      <c r="L15" s="54">
        <v>11.46</v>
      </c>
      <c r="M15" s="54">
        <v>67.489999999999995</v>
      </c>
      <c r="N15" s="54">
        <v>91</v>
      </c>
      <c r="O15" s="54">
        <v>0</v>
      </c>
      <c r="P15" s="54">
        <v>0.40</v>
      </c>
      <c r="Q15" s="54">
        <v>14.49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38.29</v>
      </c>
      <c r="C16" s="54">
        <v>69.069999999999993</v>
      </c>
      <c r="D16" s="54">
        <v>69.47</v>
      </c>
      <c r="E16" s="54">
        <v>1</v>
      </c>
      <c r="F16" s="54">
        <v>7.98</v>
      </c>
      <c r="G16" s="54">
        <v>78.349999999999994</v>
      </c>
      <c r="H16" s="54">
        <v>31.23</v>
      </c>
      <c r="I16" s="54">
        <v>1.53</v>
      </c>
      <c r="J16" s="54">
        <v>0.94</v>
      </c>
      <c r="K16" s="54">
        <v>116.05</v>
      </c>
      <c r="L16" s="54">
        <v>13.41</v>
      </c>
      <c r="M16" s="54">
        <v>63.28</v>
      </c>
      <c r="N16" s="54">
        <v>214.30</v>
      </c>
      <c r="O16" s="54">
        <v>0</v>
      </c>
      <c r="P16" s="54">
        <v>0.59</v>
      </c>
      <c r="Q16" s="54">
        <v>9.9499999999999993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30.09</v>
      </c>
      <c r="C17" s="54">
        <v>69</v>
      </c>
      <c r="D17" s="54">
        <v>62.70</v>
      </c>
      <c r="E17" s="54">
        <v>1.47</v>
      </c>
      <c r="F17" s="54">
        <v>15.40</v>
      </c>
      <c r="G17" s="54">
        <v>78.349999999999994</v>
      </c>
      <c r="H17" s="54">
        <v>37.90</v>
      </c>
      <c r="I17" s="54">
        <v>1.54</v>
      </c>
      <c r="J17" s="54">
        <v>1.1499999999999999</v>
      </c>
      <c r="K17" s="54">
        <v>109.87</v>
      </c>
      <c r="L17" s="54">
        <v>15.75</v>
      </c>
      <c r="M17" s="54">
        <v>56.66</v>
      </c>
      <c r="N17" s="54">
        <v>487.90</v>
      </c>
      <c r="O17" s="54">
        <v>0</v>
      </c>
      <c r="P17" s="54">
        <v>0.56999999999999995</v>
      </c>
      <c r="Q17" s="54">
        <v>10.14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22.61</v>
      </c>
      <c r="C18" s="54">
        <v>67.63</v>
      </c>
      <c r="D18" s="54">
        <v>55.96</v>
      </c>
      <c r="E18" s="54">
        <v>1.79</v>
      </c>
      <c r="F18" s="54">
        <v>15.33</v>
      </c>
      <c r="G18" s="54">
        <v>62.70</v>
      </c>
      <c r="H18" s="54">
        <v>37.90</v>
      </c>
      <c r="I18" s="54">
        <v>1.53</v>
      </c>
      <c r="J18" s="54">
        <v>1.1200000000000001</v>
      </c>
      <c r="K18" s="54">
        <v>112.92</v>
      </c>
      <c r="L18" s="54">
        <v>18.46</v>
      </c>
      <c r="M18" s="54">
        <v>45.09</v>
      </c>
      <c r="N18" s="54">
        <v>596.70000000000005</v>
      </c>
      <c r="O18" s="54">
        <v>0</v>
      </c>
      <c r="P18" s="54">
        <v>0.61</v>
      </c>
      <c r="Q18" s="54">
        <v>9.65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16.23</v>
      </c>
      <c r="C19" s="54">
        <v>72.61</v>
      </c>
      <c r="D19" s="54">
        <v>52.76</v>
      </c>
      <c r="E19" s="54">
        <v>8.11</v>
      </c>
      <c r="F19" s="54">
        <v>10.82</v>
      </c>
      <c r="G19" s="54">
        <v>72.599999999999994</v>
      </c>
      <c r="H19" s="54">
        <v>31.01</v>
      </c>
      <c r="I19" s="54">
        <v>1.54</v>
      </c>
      <c r="J19" s="54">
        <v>0.84</v>
      </c>
      <c r="K19" s="54">
        <v>349.08</v>
      </c>
      <c r="L19" s="54">
        <v>21.67</v>
      </c>
      <c r="M19" s="54">
        <v>42.33</v>
      </c>
      <c r="N19" s="54">
        <v>723.30</v>
      </c>
      <c r="O19" s="54">
        <v>0</v>
      </c>
      <c r="P19" s="54">
        <v>0.74</v>
      </c>
      <c r="Q19" s="54">
        <v>7.01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16.05</v>
      </c>
      <c r="C20" s="54">
        <v>78.239999999999995</v>
      </c>
      <c r="D20" s="54">
        <v>56.11</v>
      </c>
      <c r="E20" s="54">
        <v>11.19</v>
      </c>
      <c r="F20" s="54">
        <v>17.70</v>
      </c>
      <c r="G20" s="54">
        <v>72.599999999999994</v>
      </c>
      <c r="H20" s="54">
        <v>30.33</v>
      </c>
      <c r="I20" s="54">
        <v>1.55</v>
      </c>
      <c r="J20" s="54">
        <v>1.07</v>
      </c>
      <c r="K20" s="54">
        <v>343.82</v>
      </c>
      <c r="L20" s="54">
        <v>26.08</v>
      </c>
      <c r="M20" s="54">
        <v>29.47</v>
      </c>
      <c r="N20" s="54">
        <v>704.5</v>
      </c>
      <c r="O20" s="54">
        <v>0</v>
      </c>
      <c r="P20" s="54">
        <v>0.71</v>
      </c>
      <c r="Q20" s="54">
        <v>5.81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13.89</v>
      </c>
      <c r="C21" s="54">
        <v>78.78</v>
      </c>
      <c r="D21" s="54">
        <v>55.06</v>
      </c>
      <c r="E21" s="54">
        <v>3.22</v>
      </c>
      <c r="F21" s="54">
        <v>12.44</v>
      </c>
      <c r="G21" s="54">
        <v>66.55</v>
      </c>
      <c r="H21" s="54">
        <v>33.97</v>
      </c>
      <c r="I21" s="54">
        <v>1.58</v>
      </c>
      <c r="J21" s="54">
        <v>0.86</v>
      </c>
      <c r="K21" s="54">
        <v>328.54</v>
      </c>
      <c r="L21" s="54">
        <v>24.61</v>
      </c>
      <c r="M21" s="54">
        <v>31.99</v>
      </c>
      <c r="N21" s="54">
        <v>690.60</v>
      </c>
      <c r="O21" s="54">
        <v>0</v>
      </c>
      <c r="P21" s="54">
        <v>0.63</v>
      </c>
      <c r="Q21" s="54">
        <v>6.63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7.06</v>
      </c>
      <c r="C22" s="54">
        <v>77.45</v>
      </c>
      <c r="D22" s="54">
        <v>49.05</v>
      </c>
      <c r="E22" s="54">
        <v>6.03</v>
      </c>
      <c r="F22" s="54">
        <v>27.11</v>
      </c>
      <c r="G22" s="54">
        <v>66.55</v>
      </c>
      <c r="H22" s="54">
        <v>33.97</v>
      </c>
      <c r="I22" s="54">
        <v>1.56</v>
      </c>
      <c r="J22" s="54">
        <v>0.96</v>
      </c>
      <c r="K22" s="54">
        <v>350.96</v>
      </c>
      <c r="L22" s="54">
        <v>23.45</v>
      </c>
      <c r="M22" s="54">
        <v>29.07</v>
      </c>
      <c r="N22" s="54">
        <v>600.60</v>
      </c>
      <c r="O22" s="54">
        <v>0</v>
      </c>
      <c r="P22" s="54">
        <v>0.62</v>
      </c>
      <c r="Q22" s="54">
        <v>6.53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5.13</v>
      </c>
      <c r="C23" s="54">
        <v>72.58</v>
      </c>
      <c r="D23" s="54">
        <v>44.82</v>
      </c>
      <c r="E23" s="54">
        <v>7.96</v>
      </c>
      <c r="F23" s="54">
        <v>33.090000000000003</v>
      </c>
      <c r="G23" s="54">
        <v>60.63</v>
      </c>
      <c r="H23" s="54">
        <v>31.81</v>
      </c>
      <c r="I23" s="54">
        <v>1.52</v>
      </c>
      <c r="J23" s="54">
        <v>0.77</v>
      </c>
      <c r="K23" s="54">
        <v>352.51</v>
      </c>
      <c r="L23" s="54">
        <v>22.62</v>
      </c>
      <c r="M23" s="54">
        <v>29.98</v>
      </c>
      <c r="N23" s="54">
        <v>260.20</v>
      </c>
      <c r="O23" s="54">
        <v>0</v>
      </c>
      <c r="P23" s="54">
        <v>0.69</v>
      </c>
      <c r="Q23" s="54">
        <v>5.70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4.2699999999999996</v>
      </c>
      <c r="C24" s="54">
        <v>68.92</v>
      </c>
      <c r="D24" s="54">
        <v>42.11</v>
      </c>
      <c r="E24" s="54">
        <v>7.21</v>
      </c>
      <c r="F24" s="54">
        <v>30.18</v>
      </c>
      <c r="G24" s="54">
        <v>69.63</v>
      </c>
      <c r="H24" s="54">
        <v>35.950000000000003</v>
      </c>
      <c r="I24" s="54">
        <v>1.55</v>
      </c>
      <c r="J24" s="54">
        <v>0.67</v>
      </c>
      <c r="K24" s="54">
        <v>109.63</v>
      </c>
      <c r="L24" s="54">
        <v>21.85</v>
      </c>
      <c r="M24" s="54">
        <v>29.88</v>
      </c>
      <c r="N24" s="54">
        <v>179.30</v>
      </c>
      <c r="O24" s="54">
        <v>0</v>
      </c>
      <c r="P24" s="54">
        <v>0.70</v>
      </c>
      <c r="Q24" s="54">
        <v>3.94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4.82</v>
      </c>
      <c r="C25" s="54">
        <v>69.14</v>
      </c>
      <c r="D25" s="54">
        <v>42.67</v>
      </c>
      <c r="E25" s="54">
        <v>7.02</v>
      </c>
      <c r="F25" s="54">
        <v>31.72</v>
      </c>
      <c r="G25" s="54">
        <v>71.599999999999994</v>
      </c>
      <c r="H25" s="54">
        <v>38.630000000000003</v>
      </c>
      <c r="I25" s="54">
        <v>1.53</v>
      </c>
      <c r="J25" s="54">
        <v>0.43</v>
      </c>
      <c r="K25" s="54">
        <v>341.05</v>
      </c>
      <c r="L25" s="54">
        <v>21.35</v>
      </c>
      <c r="M25" s="54">
        <v>47.30</v>
      </c>
      <c r="N25" s="54">
        <v>104.80</v>
      </c>
      <c r="O25" s="54">
        <v>0</v>
      </c>
      <c r="P25" s="54">
        <v>0.97</v>
      </c>
      <c r="Q25" s="54">
        <v>3.67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22.73</v>
      </c>
      <c r="C26" s="54">
        <v>86.63</v>
      </c>
      <c r="D26" s="54">
        <v>66.69</v>
      </c>
      <c r="E26" s="54">
        <v>2.69</v>
      </c>
      <c r="F26" s="54">
        <v>4.88</v>
      </c>
      <c r="G26" s="54">
        <v>154.93</v>
      </c>
      <c r="H26" s="54">
        <v>45.30</v>
      </c>
      <c r="I26" s="54">
        <v>1.54</v>
      </c>
      <c r="J26" s="54">
        <v>0.10</v>
      </c>
      <c r="K26" s="54">
        <v>308.58</v>
      </c>
      <c r="L26" s="54">
        <v>18.82</v>
      </c>
      <c r="M26" s="54">
        <v>54.87</v>
      </c>
      <c r="N26" s="54">
        <v>90.20</v>
      </c>
      <c r="O26" s="54">
        <v>0</v>
      </c>
      <c r="P26" s="54">
        <v>1.63</v>
      </c>
      <c r="Q26" s="54">
        <v>2.4700000000000002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83.82</v>
      </c>
      <c r="C27" s="54">
        <v>104.39</v>
      </c>
      <c r="D27" s="54">
        <v>125.47</v>
      </c>
      <c r="E27" s="54">
        <v>2.48</v>
      </c>
      <c r="F27" s="54">
        <v>4.22</v>
      </c>
      <c r="G27" s="54">
        <v>246.97</v>
      </c>
      <c r="H27" s="54">
        <v>78.36</v>
      </c>
      <c r="I27" s="54">
        <v>1.54</v>
      </c>
      <c r="J27" s="54">
        <v>0.11</v>
      </c>
      <c r="K27" s="54">
        <v>334.06</v>
      </c>
      <c r="L27" s="54">
        <v>16.149999999999999</v>
      </c>
      <c r="M27" s="54">
        <v>67.78</v>
      </c>
      <c r="N27" s="54">
        <v>93</v>
      </c>
      <c r="O27" s="54">
        <v>0</v>
      </c>
      <c r="P27" s="54">
        <v>3.33</v>
      </c>
      <c r="Q27" s="54">
        <v>2.31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112.05</v>
      </c>
      <c r="C28" s="54">
        <v>106.75</v>
      </c>
      <c r="D28" s="54">
        <v>149.10</v>
      </c>
      <c r="E28" s="54">
        <v>2.29</v>
      </c>
      <c r="F28" s="54">
        <v>5.61</v>
      </c>
      <c r="G28" s="54">
        <v>246.97</v>
      </c>
      <c r="H28" s="54">
        <v>92.16</v>
      </c>
      <c r="I28" s="54">
        <v>1.52</v>
      </c>
      <c r="J28" s="54">
        <v>0.14000000000000001</v>
      </c>
      <c r="K28" s="54">
        <v>328.77</v>
      </c>
      <c r="L28" s="54">
        <v>14.89</v>
      </c>
      <c r="M28" s="54">
        <v>82.64</v>
      </c>
      <c r="N28" s="54">
        <v>76.5</v>
      </c>
      <c r="O28" s="54">
        <v>0</v>
      </c>
      <c r="P28" s="54">
        <v>5.84</v>
      </c>
      <c r="Q28" s="54">
        <v>7.57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165.99</v>
      </c>
      <c r="C29" s="54">
        <v>107.5</v>
      </c>
      <c r="D29" s="54">
        <v>193.08</v>
      </c>
      <c r="E29" s="54">
        <v>2.17</v>
      </c>
      <c r="F29" s="54">
        <v>5.38</v>
      </c>
      <c r="G29" s="54">
        <v>226.97</v>
      </c>
      <c r="H29" s="54">
        <v>92.16</v>
      </c>
      <c r="I29" s="54">
        <v>1.55</v>
      </c>
      <c r="J29" s="54">
        <v>0.10</v>
      </c>
      <c r="K29" s="54">
        <v>308.55</v>
      </c>
      <c r="L29" s="54">
        <v>14.26</v>
      </c>
      <c r="M29" s="54">
        <v>81.540000000000006</v>
      </c>
      <c r="N29" s="54">
        <v>66.70</v>
      </c>
      <c r="O29" s="54">
        <v>0</v>
      </c>
      <c r="P29" s="54">
        <v>5.75</v>
      </c>
      <c r="Q29" s="54">
        <v>2.2799999999999998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245.25</v>
      </c>
      <c r="C30" s="54">
        <v>113.76</v>
      </c>
      <c r="D30" s="54">
        <v>260.10000000000002</v>
      </c>
      <c r="E30" s="54">
        <v>2.31</v>
      </c>
      <c r="F30" s="54">
        <v>4.67</v>
      </c>
      <c r="G30" s="54">
        <v>216.97</v>
      </c>
      <c r="H30" s="54">
        <v>91.16</v>
      </c>
      <c r="I30" s="54">
        <v>1.54</v>
      </c>
      <c r="J30" s="54">
        <v>0.12</v>
      </c>
      <c r="K30" s="54">
        <v>323.92</v>
      </c>
      <c r="L30" s="54">
        <v>13.60</v>
      </c>
      <c r="M30" s="54">
        <v>85.99</v>
      </c>
      <c r="N30" s="54">
        <v>60</v>
      </c>
      <c r="O30" s="54">
        <v>0</v>
      </c>
      <c r="P30" s="54">
        <v>6.98</v>
      </c>
      <c r="Q30" s="5" t="s">
        <v>14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272.20999999999998</v>
      </c>
      <c r="C31" s="54">
        <v>115.01</v>
      </c>
      <c r="D31" s="54">
        <v>282.38</v>
      </c>
      <c r="E31" s="54">
        <v>2.06</v>
      </c>
      <c r="F31" s="54">
        <v>4.37</v>
      </c>
      <c r="G31" s="54">
        <v>116.97</v>
      </c>
      <c r="H31" s="54">
        <v>149.63999999999999</v>
      </c>
      <c r="I31" s="54">
        <v>1.56</v>
      </c>
      <c r="J31" s="54">
        <v>0.15</v>
      </c>
      <c r="K31" s="54">
        <v>288.07</v>
      </c>
      <c r="L31" s="54">
        <v>13.14</v>
      </c>
      <c r="M31" s="54">
        <v>86.47</v>
      </c>
      <c r="N31" s="54">
        <v>71.20</v>
      </c>
      <c r="O31" s="54">
        <v>0</v>
      </c>
      <c r="P31" s="54">
        <v>5.95</v>
      </c>
      <c r="Q31" s="54">
        <v>47.25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239.73</v>
      </c>
      <c r="C32" s="54">
        <v>106.08</v>
      </c>
      <c r="D32" s="54">
        <v>251.44</v>
      </c>
      <c r="E32" s="54">
        <v>1.31</v>
      </c>
      <c r="F32" s="54">
        <v>3.92</v>
      </c>
      <c r="G32" s="54">
        <v>183.37</v>
      </c>
      <c r="H32" s="54">
        <v>149.63999999999999</v>
      </c>
      <c r="I32" s="54">
        <v>1.56</v>
      </c>
      <c r="J32" s="54">
        <v>0.13</v>
      </c>
      <c r="K32" s="54">
        <v>296</v>
      </c>
      <c r="L32" s="54">
        <v>12.39</v>
      </c>
      <c r="M32" s="54">
        <v>82.88</v>
      </c>
      <c r="N32" s="54">
        <v>72</v>
      </c>
      <c r="O32" s="54">
        <v>0</v>
      </c>
      <c r="P32" s="54">
        <v>2.4300000000000002</v>
      </c>
      <c r="Q32" s="54">
        <v>41.24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4.2699999999999996</v>
      </c>
      <c r="C34" s="28">
        <f t="shared" si="0"/>
        <v>67.629999999999995</v>
      </c>
      <c r="D34" s="28">
        <f t="shared" si="0"/>
        <v>42.109999999999999</v>
      </c>
      <c r="E34" s="28">
        <f t="shared" si="0"/>
        <v>0.83999999999999997</v>
      </c>
      <c r="F34" s="28">
        <f t="shared" si="0"/>
        <v>3.7000000000000002</v>
      </c>
      <c r="G34" s="28">
        <f t="shared" si="0"/>
        <v>60.630000000000003</v>
      </c>
      <c r="H34" s="28">
        <f t="shared" si="0"/>
        <v>30.329999999999998</v>
      </c>
      <c r="I34" s="28">
        <f t="shared" si="0"/>
        <v>1.51</v>
      </c>
      <c r="J34" s="28">
        <f t="shared" si="0"/>
        <v>0.080000000000000002</v>
      </c>
      <c r="K34" s="28">
        <f t="shared" si="0"/>
        <v>94.329999999999998</v>
      </c>
      <c r="L34" s="28">
        <f t="shared" si="0"/>
        <v>11.33</v>
      </c>
      <c r="M34" s="28">
        <f t="shared" si="0"/>
        <v>29.07</v>
      </c>
      <c r="N34" s="28">
        <f t="shared" si="0"/>
        <v>53.700000000000003</v>
      </c>
      <c r="O34" s="28">
        <f t="shared" si="0"/>
        <v>0</v>
      </c>
      <c r="P34" s="28">
        <f t="shared" si="0"/>
        <v>0.35999999999999999</v>
      </c>
      <c r="Q34" s="28">
        <f t="shared" si="0"/>
        <v>2.2799999999999998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272.20999999999998</v>
      </c>
      <c r="C35" s="29">
        <f t="shared" si="1"/>
        <v>115.01000000000001</v>
      </c>
      <c r="D35" s="29">
        <f t="shared" si="1"/>
        <v>282.38</v>
      </c>
      <c r="E35" s="29">
        <f t="shared" si="1"/>
        <v>11.19</v>
      </c>
      <c r="F35" s="29">
        <f t="shared" si="1"/>
        <v>33.090000000000003</v>
      </c>
      <c r="G35" s="29">
        <f t="shared" si="1"/>
        <v>246.97</v>
      </c>
      <c r="H35" s="29">
        <f t="shared" si="1"/>
        <v>149.63999999999999</v>
      </c>
      <c r="I35" s="29">
        <f t="shared" si="1"/>
        <v>1.6100000000000001</v>
      </c>
      <c r="J35" s="29">
        <f t="shared" si="1"/>
        <v>1.1499999999999999</v>
      </c>
      <c r="K35" s="29">
        <f t="shared" si="1"/>
        <v>353.62</v>
      </c>
      <c r="L35" s="29">
        <f t="shared" si="1"/>
        <v>26.079999999999998</v>
      </c>
      <c r="M35" s="29">
        <f t="shared" si="1"/>
        <v>94.219999999999999</v>
      </c>
      <c r="N35" s="29">
        <f t="shared" si="1"/>
        <v>723.29999999999995</v>
      </c>
      <c r="O35" s="29">
        <f t="shared" si="1"/>
        <v>0</v>
      </c>
      <c r="P35" s="29">
        <f t="shared" si="1"/>
        <v>6.9800000000000004</v>
      </c>
      <c r="Q35" s="29">
        <f t="shared" si="1"/>
        <v>47.25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96.420833333333306</v>
      </c>
      <c r="C36" s="28">
        <f t="shared" si="2"/>
        <v>85.863750000000024</v>
      </c>
      <c r="D36" s="28">
        <f t="shared" si="2"/>
        <v>125.25583333333333</v>
      </c>
      <c r="E36" s="28">
        <f t="shared" si="2"/>
        <v>3.2879166666666673</v>
      </c>
      <c r="F36" s="28">
        <f t="shared" si="2"/>
        <v>11.581250000000002</v>
      </c>
      <c r="G36" s="28">
        <f t="shared" si="2"/>
        <v>133.17083333333329</v>
      </c>
      <c r="H36" s="28">
        <f t="shared" si="2"/>
        <v>74.357083333333335</v>
      </c>
      <c r="I36" s="28">
        <f t="shared" si="2"/>
        <v>1.5508333333333333</v>
      </c>
      <c r="J36" s="28">
        <f t="shared" si="2"/>
        <v>0.4383333333333333</v>
      </c>
      <c r="K36" s="28">
        <f t="shared" si="2"/>
        <v>264.9591666666667</v>
      </c>
      <c r="L36" s="28">
        <f t="shared" si="2"/>
        <v>16.374166666666664</v>
      </c>
      <c r="M36" s="28">
        <f t="shared" si="2"/>
        <v>61.414999999999999</v>
      </c>
      <c r="N36" s="28">
        <f t="shared" si="2"/>
        <v>230.7208333333333</v>
      </c>
      <c r="O36" s="28">
        <f t="shared" si="2"/>
        <v>0</v>
      </c>
      <c r="P36" s="28">
        <f t="shared" si="2"/>
        <v>2.0500000000000003</v>
      </c>
      <c r="Q36" s="28">
        <f t="shared" si="2"/>
        <v>15.460869565217388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94.008087113575627</v>
      </c>
      <c r="C37" s="28">
        <f t="shared" si="3" ref="C37:Q37">STDEV(C9:C32)</f>
        <v>16.551527661662483</v>
      </c>
      <c r="D37" s="28">
        <f t="shared" si="3"/>
        <v>83.331861484103399</v>
      </c>
      <c r="E37" s="28">
        <f t="shared" si="3"/>
        <v>2.9147316666214396</v>
      </c>
      <c r="F37" s="28">
        <f t="shared" si="3"/>
        <v>9.5981625562667841</v>
      </c>
      <c r="G37" s="28">
        <f t="shared" si="3"/>
        <v>73.487427905356327</v>
      </c>
      <c r="H37" s="28">
        <f t="shared" si="3"/>
        <v>45.260781514431443</v>
      </c>
      <c r="I37" s="28">
        <f t="shared" si="3"/>
        <v>0.024301845817651969</v>
      </c>
      <c r="J37" s="28">
        <f t="shared" si="3"/>
        <v>0.40672249557382134</v>
      </c>
      <c r="K37" s="28">
        <f t="shared" si="3"/>
        <v>99.424120812181812</v>
      </c>
      <c r="L37" s="28">
        <f t="shared" si="3"/>
        <v>4.9377638986529737</v>
      </c>
      <c r="M37" s="28">
        <f t="shared" si="3"/>
        <v>21.440462559903157</v>
      </c>
      <c r="N37" s="28">
        <f t="shared" si="3"/>
        <v>246.77681164261114</v>
      </c>
      <c r="O37" s="28">
        <f t="shared" si="3"/>
        <v>0</v>
      </c>
      <c r="P37" s="28">
        <f t="shared" si="3"/>
        <v>2.0581946500249444</v>
      </c>
      <c r="Q37" s="28">
        <f t="shared" si="3"/>
        <v>13.920660548931478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b4a81d-3640-458b-89cd-07a1e051992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202.33</v>
      </c>
      <c r="C9" s="54">
        <v>97.77</v>
      </c>
      <c r="D9" s="54">
        <v>216.86</v>
      </c>
      <c r="E9" s="54">
        <v>1.18</v>
      </c>
      <c r="F9" s="54">
        <v>3.52</v>
      </c>
      <c r="G9" s="54">
        <v>183.37</v>
      </c>
      <c r="H9" s="54">
        <v>103.83</v>
      </c>
      <c r="I9" s="54">
        <v>1.54</v>
      </c>
      <c r="J9" s="54">
        <v>0.14000000000000001</v>
      </c>
      <c r="K9" s="54">
        <v>299.72000000000003</v>
      </c>
      <c r="L9" s="54">
        <v>11.89</v>
      </c>
      <c r="M9" s="54">
        <v>76.02</v>
      </c>
      <c r="N9" s="54">
        <v>69.5</v>
      </c>
      <c r="O9" s="54">
        <v>0</v>
      </c>
      <c r="P9" s="54">
        <v>1.48</v>
      </c>
      <c r="Q9" s="54">
        <v>31.11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159.19</v>
      </c>
      <c r="C10" s="54">
        <v>91.19</v>
      </c>
      <c r="D10" s="54">
        <v>178.63</v>
      </c>
      <c r="E10" s="54">
        <v>1.01</v>
      </c>
      <c r="F10" s="54">
        <v>3.36</v>
      </c>
      <c r="G10" s="54">
        <v>134.91999999999999</v>
      </c>
      <c r="H10" s="54">
        <v>83.74</v>
      </c>
      <c r="I10" s="54">
        <v>1.5</v>
      </c>
      <c r="J10" s="54">
        <v>0.10</v>
      </c>
      <c r="K10" s="54">
        <v>306.33</v>
      </c>
      <c r="L10" s="54">
        <v>11.84</v>
      </c>
      <c r="M10" s="54">
        <v>90.55</v>
      </c>
      <c r="N10" s="54">
        <v>65.900000000000006</v>
      </c>
      <c r="O10" s="54">
        <v>0</v>
      </c>
      <c r="P10" s="54">
        <v>0.93</v>
      </c>
      <c r="Q10" s="54">
        <v>30.66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117.30</v>
      </c>
      <c r="C11" s="54">
        <v>83.40</v>
      </c>
      <c r="D11" s="54">
        <v>140.74</v>
      </c>
      <c r="E11" s="54">
        <v>0.73</v>
      </c>
      <c r="F11" s="54">
        <v>3.40</v>
      </c>
      <c r="G11" s="54">
        <v>118.38</v>
      </c>
      <c r="H11" s="54">
        <v>66.16</v>
      </c>
      <c r="I11" s="54">
        <v>1.55</v>
      </c>
      <c r="J11" s="54">
        <v>0.09</v>
      </c>
      <c r="K11" s="54">
        <v>349.15</v>
      </c>
      <c r="L11" s="54">
        <v>10.55</v>
      </c>
      <c r="M11" s="54">
        <v>92.81</v>
      </c>
      <c r="N11" s="54">
        <v>88.80</v>
      </c>
      <c r="O11" s="54">
        <v>0</v>
      </c>
      <c r="P11" s="54">
        <v>0.88</v>
      </c>
      <c r="Q11" s="54">
        <v>22.91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94.17</v>
      </c>
      <c r="C12" s="54">
        <v>79.30</v>
      </c>
      <c r="D12" s="54">
        <v>119.93</v>
      </c>
      <c r="E12" s="54">
        <v>0.67</v>
      </c>
      <c r="F12" s="54">
        <v>3.41</v>
      </c>
      <c r="G12" s="54">
        <v>140.88999999999999</v>
      </c>
      <c r="H12" s="54">
        <v>79.56</v>
      </c>
      <c r="I12" s="54">
        <v>1.55</v>
      </c>
      <c r="J12" s="54">
        <v>0.13</v>
      </c>
      <c r="K12" s="54">
        <v>307.64</v>
      </c>
      <c r="L12" s="54">
        <v>11.07</v>
      </c>
      <c r="M12" s="54">
        <v>93.16</v>
      </c>
      <c r="N12" s="54">
        <v>79.400000000000006</v>
      </c>
      <c r="O12" s="54">
        <v>0</v>
      </c>
      <c r="P12" s="54">
        <v>0.91</v>
      </c>
      <c r="Q12" s="54">
        <v>17.309999999999999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80.430000000000007</v>
      </c>
      <c r="C13" s="54">
        <v>76.37</v>
      </c>
      <c r="D13" s="54">
        <v>107.29</v>
      </c>
      <c r="E13" s="54">
        <v>0.84</v>
      </c>
      <c r="F13" s="54">
        <v>3.5</v>
      </c>
      <c r="G13" s="54">
        <v>156.22</v>
      </c>
      <c r="H13" s="54">
        <v>91</v>
      </c>
      <c r="I13" s="54">
        <v>1.56</v>
      </c>
      <c r="J13" s="54">
        <v>0.18</v>
      </c>
      <c r="K13" s="54">
        <v>336.90</v>
      </c>
      <c r="L13" s="54">
        <v>11.10</v>
      </c>
      <c r="M13" s="54">
        <v>94.19</v>
      </c>
      <c r="N13" s="54">
        <v>88.30</v>
      </c>
      <c r="O13" s="54">
        <v>0</v>
      </c>
      <c r="P13" s="54">
        <v>1.43</v>
      </c>
      <c r="Q13" s="54">
        <v>13.01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82.59</v>
      </c>
      <c r="C14" s="54">
        <v>77.13</v>
      </c>
      <c r="D14" s="54">
        <v>109.45</v>
      </c>
      <c r="E14" s="54">
        <v>0.81</v>
      </c>
      <c r="F14" s="54">
        <v>3.51</v>
      </c>
      <c r="G14" s="54">
        <v>183.65</v>
      </c>
      <c r="H14" s="54">
        <v>91.67</v>
      </c>
      <c r="I14" s="54">
        <v>1.56</v>
      </c>
      <c r="J14" s="54">
        <v>0.14000000000000001</v>
      </c>
      <c r="K14" s="54">
        <v>295.37</v>
      </c>
      <c r="L14" s="54">
        <v>10.94</v>
      </c>
      <c r="M14" s="54">
        <v>91.38</v>
      </c>
      <c r="N14" s="54">
        <v>84.10</v>
      </c>
      <c r="O14" s="54">
        <v>0</v>
      </c>
      <c r="P14" s="54">
        <v>1.59</v>
      </c>
      <c r="Q14" s="54">
        <v>11.15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83.25</v>
      </c>
      <c r="C15" s="54">
        <v>76.63</v>
      </c>
      <c r="D15" s="54">
        <v>109.70</v>
      </c>
      <c r="E15" s="54">
        <v>0.68</v>
      </c>
      <c r="F15" s="54">
        <v>3.74</v>
      </c>
      <c r="G15" s="54">
        <v>183.65</v>
      </c>
      <c r="H15" s="54">
        <v>98.27</v>
      </c>
      <c r="I15" s="54">
        <v>1.5</v>
      </c>
      <c r="J15" s="54">
        <v>0.20</v>
      </c>
      <c r="K15" s="54">
        <v>239.32</v>
      </c>
      <c r="L15" s="54">
        <v>10.26</v>
      </c>
      <c r="M15" s="54">
        <v>90.34</v>
      </c>
      <c r="N15" s="54">
        <v>73.099999999999994</v>
      </c>
      <c r="O15" s="54">
        <v>0</v>
      </c>
      <c r="P15" s="54">
        <v>1.25</v>
      </c>
      <c r="Q15" s="54">
        <v>13.16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81.23</v>
      </c>
      <c r="C16" s="54">
        <v>74.63</v>
      </c>
      <c r="D16" s="54">
        <v>106.75</v>
      </c>
      <c r="E16" s="54">
        <v>0.75</v>
      </c>
      <c r="F16" s="54">
        <v>3.61</v>
      </c>
      <c r="G16" s="54">
        <v>206.47</v>
      </c>
      <c r="H16" s="54">
        <v>98.27</v>
      </c>
      <c r="I16" s="54">
        <v>1.48</v>
      </c>
      <c r="J16" s="54">
        <v>0.67</v>
      </c>
      <c r="K16" s="54">
        <v>274.16000000000003</v>
      </c>
      <c r="L16" s="54">
        <v>13.42</v>
      </c>
      <c r="M16" s="54">
        <v>88.41</v>
      </c>
      <c r="N16" s="54">
        <v>270</v>
      </c>
      <c r="O16" s="54">
        <v>0</v>
      </c>
      <c r="P16" s="54">
        <v>1.46</v>
      </c>
      <c r="Q16" s="54">
        <v>11.56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76.959999999999994</v>
      </c>
      <c r="C17" s="54">
        <v>79.23</v>
      </c>
      <c r="D17" s="54">
        <v>104.06</v>
      </c>
      <c r="E17" s="54">
        <v>0.56999999999999995</v>
      </c>
      <c r="F17" s="54">
        <v>3.88</v>
      </c>
      <c r="G17" s="54">
        <v>206.47</v>
      </c>
      <c r="H17" s="54">
        <v>95.17</v>
      </c>
      <c r="I17" s="54">
        <v>1.58</v>
      </c>
      <c r="J17" s="54">
        <v>0.5</v>
      </c>
      <c r="K17" s="54">
        <v>158.52000000000001</v>
      </c>
      <c r="L17" s="54">
        <v>17.70</v>
      </c>
      <c r="M17" s="54">
        <v>65.569999999999993</v>
      </c>
      <c r="N17" s="54">
        <v>420.20</v>
      </c>
      <c r="O17" s="54">
        <v>0</v>
      </c>
      <c r="P17" s="54">
        <v>1.45</v>
      </c>
      <c r="Q17" s="54">
        <v>15.03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57.33</v>
      </c>
      <c r="C18" s="54">
        <v>84.99</v>
      </c>
      <c r="D18" s="54">
        <v>91.07</v>
      </c>
      <c r="E18" s="54">
        <v>0.48</v>
      </c>
      <c r="F18" s="54">
        <v>6.06</v>
      </c>
      <c r="G18" s="54">
        <v>187.88</v>
      </c>
      <c r="H18" s="54">
        <v>93.52</v>
      </c>
      <c r="I18" s="54">
        <v>1.51</v>
      </c>
      <c r="J18" s="54">
        <v>1</v>
      </c>
      <c r="K18" s="54">
        <v>116.30</v>
      </c>
      <c r="L18" s="54">
        <v>19.489999999999998</v>
      </c>
      <c r="M18" s="54">
        <v>47.02</v>
      </c>
      <c r="N18" s="54">
        <v>530.10</v>
      </c>
      <c r="O18" s="54">
        <v>0</v>
      </c>
      <c r="P18" s="54">
        <v>1.1599999999999999</v>
      </c>
      <c r="Q18" s="54">
        <v>12.80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33.51</v>
      </c>
      <c r="C19" s="54">
        <v>86.14</v>
      </c>
      <c r="D19" s="54">
        <v>75.06</v>
      </c>
      <c r="E19" s="54">
        <v>1.59</v>
      </c>
      <c r="F19" s="54">
        <v>20.05</v>
      </c>
      <c r="G19" s="54">
        <v>134.32</v>
      </c>
      <c r="H19" s="54">
        <v>74</v>
      </c>
      <c r="I19" s="54">
        <v>1.55</v>
      </c>
      <c r="J19" s="54">
        <v>0.93</v>
      </c>
      <c r="K19" s="54">
        <v>124.27</v>
      </c>
      <c r="L19" s="54">
        <v>22.08</v>
      </c>
      <c r="M19" s="54">
        <v>37.07</v>
      </c>
      <c r="N19" s="54">
        <v>605.90</v>
      </c>
      <c r="O19" s="54">
        <v>0</v>
      </c>
      <c r="P19" s="54">
        <v>1.01</v>
      </c>
      <c r="Q19" s="54">
        <v>10.58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1.97</v>
      </c>
      <c r="C20" s="54">
        <v>59.94</v>
      </c>
      <c r="D20" s="54">
        <v>35.31</v>
      </c>
      <c r="E20" s="54">
        <v>2.42</v>
      </c>
      <c r="F20" s="54">
        <v>26.41</v>
      </c>
      <c r="G20" s="54">
        <v>102.14</v>
      </c>
      <c r="H20" s="54">
        <v>52.44</v>
      </c>
      <c r="I20" s="54">
        <v>1.52</v>
      </c>
      <c r="J20" s="54">
        <v>0.90</v>
      </c>
      <c r="K20" s="54">
        <v>123.45</v>
      </c>
      <c r="L20" s="54">
        <v>23.36</v>
      </c>
      <c r="M20" s="54">
        <v>32.79</v>
      </c>
      <c r="N20" s="54">
        <v>670</v>
      </c>
      <c r="O20" s="54">
        <v>0</v>
      </c>
      <c r="P20" s="54">
        <v>0.60</v>
      </c>
      <c r="Q20" s="54">
        <v>3.61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2.80</v>
      </c>
      <c r="C21" s="54">
        <v>62.35</v>
      </c>
      <c r="D21" s="54">
        <v>37.299999999999997</v>
      </c>
      <c r="E21" s="54">
        <v>3.21</v>
      </c>
      <c r="F21" s="54">
        <v>33.07</v>
      </c>
      <c r="G21" s="54">
        <v>102.14</v>
      </c>
      <c r="H21" s="54">
        <v>52.44</v>
      </c>
      <c r="I21" s="54">
        <v>1.56</v>
      </c>
      <c r="J21" s="54">
        <v>0.48</v>
      </c>
      <c r="K21" s="54">
        <v>342.5</v>
      </c>
      <c r="L21" s="54">
        <v>25.42</v>
      </c>
      <c r="M21" s="54">
        <v>27.78</v>
      </c>
      <c r="N21" s="54">
        <v>649.10</v>
      </c>
      <c r="O21" s="54">
        <v>0</v>
      </c>
      <c r="P21" s="54">
        <v>0.72</v>
      </c>
      <c r="Q21" s="54">
        <v>3.76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2.94</v>
      </c>
      <c r="C22" s="54">
        <v>70.05</v>
      </c>
      <c r="D22" s="54">
        <v>41.66</v>
      </c>
      <c r="E22" s="54">
        <v>2.31</v>
      </c>
      <c r="F22" s="54">
        <v>43.14</v>
      </c>
      <c r="G22" s="54">
        <v>83.62</v>
      </c>
      <c r="H22" s="54">
        <v>39.96</v>
      </c>
      <c r="I22" s="54">
        <v>1.52</v>
      </c>
      <c r="J22" s="54">
        <v>0.71</v>
      </c>
      <c r="K22" s="54">
        <v>350.24</v>
      </c>
      <c r="L22" s="54">
        <v>26.10</v>
      </c>
      <c r="M22" s="54">
        <v>28.05</v>
      </c>
      <c r="N22" s="54">
        <v>590.70000000000005</v>
      </c>
      <c r="O22" s="54">
        <v>0</v>
      </c>
      <c r="P22" s="54">
        <v>0.89</v>
      </c>
      <c r="Q22" s="54">
        <v>4.51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2.77</v>
      </c>
      <c r="C23" s="54">
        <v>76.88</v>
      </c>
      <c r="D23" s="54">
        <v>45</v>
      </c>
      <c r="E23" s="54">
        <v>1.47</v>
      </c>
      <c r="F23" s="54">
        <v>28.47</v>
      </c>
      <c r="G23" s="54">
        <v>93.75</v>
      </c>
      <c r="H23" s="54">
        <v>39.94</v>
      </c>
      <c r="I23" s="54">
        <v>1.54</v>
      </c>
      <c r="J23" s="54">
        <v>0.47</v>
      </c>
      <c r="K23" s="54">
        <v>326.18</v>
      </c>
      <c r="L23" s="54">
        <v>25.02</v>
      </c>
      <c r="M23" s="54">
        <v>29.34</v>
      </c>
      <c r="N23" s="54">
        <v>272</v>
      </c>
      <c r="O23" s="54">
        <v>0</v>
      </c>
      <c r="P23" s="54">
        <v>0.78</v>
      </c>
      <c r="Q23" s="54">
        <v>6.05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2.31</v>
      </c>
      <c r="C24" s="54">
        <v>81.489999999999995</v>
      </c>
      <c r="D24" s="54">
        <v>47.47</v>
      </c>
      <c r="E24" s="54">
        <v>2.85</v>
      </c>
      <c r="F24" s="54">
        <v>35.909999999999997</v>
      </c>
      <c r="G24" s="54">
        <v>93.75</v>
      </c>
      <c r="H24" s="54">
        <v>14.38</v>
      </c>
      <c r="I24" s="54">
        <v>1.48</v>
      </c>
      <c r="J24" s="54">
        <v>0.55000000000000004</v>
      </c>
      <c r="K24" s="54">
        <v>339.99</v>
      </c>
      <c r="L24" s="54">
        <v>23.66</v>
      </c>
      <c r="M24" s="54">
        <v>31.86</v>
      </c>
      <c r="N24" s="54">
        <v>182.80</v>
      </c>
      <c r="O24" s="54">
        <v>0</v>
      </c>
      <c r="P24" s="54">
        <v>1.18</v>
      </c>
      <c r="Q24" s="54">
        <v>5.81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3.95</v>
      </c>
      <c r="C25" s="54">
        <v>91.63</v>
      </c>
      <c r="D25" s="54">
        <v>54.39</v>
      </c>
      <c r="E25" s="54">
        <v>7.34</v>
      </c>
      <c r="F25" s="54">
        <v>36.04</v>
      </c>
      <c r="G25" s="54">
        <v>192.46</v>
      </c>
      <c r="H25" s="54">
        <v>50.46</v>
      </c>
      <c r="I25" s="54">
        <v>1.53</v>
      </c>
      <c r="J25" s="54">
        <v>0.69</v>
      </c>
      <c r="K25" s="54">
        <v>346.40</v>
      </c>
      <c r="L25" s="54">
        <v>22.92</v>
      </c>
      <c r="M25" s="54">
        <v>40</v>
      </c>
      <c r="N25" s="54">
        <v>112.40</v>
      </c>
      <c r="O25" s="54">
        <v>0</v>
      </c>
      <c r="P25" s="54">
        <v>1.52</v>
      </c>
      <c r="Q25" s="54">
        <v>3.44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13.88</v>
      </c>
      <c r="C26" s="54">
        <v>101.15</v>
      </c>
      <c r="D26" s="54">
        <v>67.599999999999994</v>
      </c>
      <c r="E26" s="54">
        <v>2.82</v>
      </c>
      <c r="F26" s="54">
        <v>5.61</v>
      </c>
      <c r="G26" s="54">
        <v>192.46</v>
      </c>
      <c r="H26" s="54">
        <v>5.46</v>
      </c>
      <c r="I26" s="54">
        <v>1.57</v>
      </c>
      <c r="J26" s="54">
        <v>0.08</v>
      </c>
      <c r="K26" s="54">
        <v>356.92</v>
      </c>
      <c r="L26" s="54">
        <v>19.72</v>
      </c>
      <c r="M26" s="54">
        <v>57.17</v>
      </c>
      <c r="N26" s="54">
        <v>69.900000000000006</v>
      </c>
      <c r="O26" s="54">
        <v>0</v>
      </c>
      <c r="P26" s="54">
        <v>2.94</v>
      </c>
      <c r="Q26" s="54">
        <v>1.47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31.33</v>
      </c>
      <c r="C27" s="54">
        <v>108.19</v>
      </c>
      <c r="D27" s="54">
        <v>85.48</v>
      </c>
      <c r="E27" s="54">
        <v>2.35</v>
      </c>
      <c r="F27" s="54">
        <v>4.38</v>
      </c>
      <c r="G27" s="54">
        <v>226.34</v>
      </c>
      <c r="H27" s="54">
        <v>112.93</v>
      </c>
      <c r="I27" s="54">
        <v>1.52</v>
      </c>
      <c r="J27" s="54">
        <v>0.19</v>
      </c>
      <c r="K27" s="54">
        <v>323.99</v>
      </c>
      <c r="L27" s="54">
        <v>17.350000000000001</v>
      </c>
      <c r="M27" s="54">
        <v>63.73</v>
      </c>
      <c r="N27" s="54">
        <v>69.30</v>
      </c>
      <c r="O27" s="54">
        <v>0</v>
      </c>
      <c r="P27" s="54">
        <v>3.27</v>
      </c>
      <c r="Q27" s="56" t="s">
        <v>14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59.16</v>
      </c>
      <c r="C28" s="54">
        <v>110.61</v>
      </c>
      <c r="D28" s="54">
        <v>109.13</v>
      </c>
      <c r="E28" s="54">
        <v>2.06</v>
      </c>
      <c r="F28" s="54">
        <v>4.53</v>
      </c>
      <c r="G28" s="54">
        <v>226.34</v>
      </c>
      <c r="H28" s="54">
        <v>126.20</v>
      </c>
      <c r="I28" s="54">
        <v>1.5</v>
      </c>
      <c r="J28" s="54">
        <v>0.16</v>
      </c>
      <c r="K28" s="54">
        <v>330.32</v>
      </c>
      <c r="L28" s="54">
        <v>16.20</v>
      </c>
      <c r="M28" s="54">
        <v>72.98</v>
      </c>
      <c r="N28" s="54">
        <v>66.400000000000006</v>
      </c>
      <c r="O28" s="54">
        <v>0</v>
      </c>
      <c r="P28" s="54">
        <v>5.29</v>
      </c>
      <c r="Q28" s="56" t="s">
        <v>14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62.55</v>
      </c>
      <c r="C29" s="54">
        <v>111.26</v>
      </c>
      <c r="D29" s="54">
        <v>112.21</v>
      </c>
      <c r="E29" s="54">
        <v>1.76</v>
      </c>
      <c r="F29" s="54">
        <v>4.55</v>
      </c>
      <c r="G29" s="54">
        <v>177.26</v>
      </c>
      <c r="H29" s="54">
        <v>126.20</v>
      </c>
      <c r="I29" s="54">
        <v>1.49</v>
      </c>
      <c r="J29" s="54">
        <v>0.24</v>
      </c>
      <c r="K29" s="54">
        <v>198.09</v>
      </c>
      <c r="L29" s="54">
        <v>16.80</v>
      </c>
      <c r="M29" s="54">
        <v>61.71</v>
      </c>
      <c r="N29" s="54">
        <v>66.099999999999994</v>
      </c>
      <c r="O29" s="54">
        <v>0</v>
      </c>
      <c r="P29" s="54">
        <v>3.66</v>
      </c>
      <c r="Q29" s="54">
        <v>11.66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69.31</v>
      </c>
      <c r="C30" s="54">
        <v>113.17</v>
      </c>
      <c r="D30" s="54">
        <v>118.68</v>
      </c>
      <c r="E30" s="54">
        <v>1.63</v>
      </c>
      <c r="F30" s="54">
        <v>4.01</v>
      </c>
      <c r="G30" s="54">
        <v>203.67</v>
      </c>
      <c r="H30" s="54">
        <v>107.24</v>
      </c>
      <c r="I30" s="54">
        <v>1.59</v>
      </c>
      <c r="J30" s="54">
        <v>0.17</v>
      </c>
      <c r="K30" s="54">
        <v>354.73</v>
      </c>
      <c r="L30" s="54">
        <v>16.36</v>
      </c>
      <c r="M30" s="54">
        <v>72.61</v>
      </c>
      <c r="N30" s="54">
        <v>69.20</v>
      </c>
      <c r="O30" s="54">
        <v>0</v>
      </c>
      <c r="P30" s="54">
        <v>3.82</v>
      </c>
      <c r="Q30" s="54">
        <v>6.39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99.23</v>
      </c>
      <c r="C31" s="54">
        <v>114.26</v>
      </c>
      <c r="D31" s="54">
        <v>143.28</v>
      </c>
      <c r="E31" s="54">
        <v>1.5</v>
      </c>
      <c r="F31" s="54">
        <v>3.78</v>
      </c>
      <c r="G31" s="54">
        <v>249.47</v>
      </c>
      <c r="H31" s="54">
        <v>123.85</v>
      </c>
      <c r="I31" s="54">
        <v>1.51</v>
      </c>
      <c r="J31" s="54">
        <v>0.13</v>
      </c>
      <c r="K31" s="54">
        <v>318.94</v>
      </c>
      <c r="L31" s="54">
        <v>14.32</v>
      </c>
      <c r="M31" s="54">
        <v>80.739999999999995</v>
      </c>
      <c r="N31" s="54">
        <v>69.900000000000006</v>
      </c>
      <c r="O31" s="54">
        <v>0</v>
      </c>
      <c r="P31" s="54">
        <v>4</v>
      </c>
      <c r="Q31" s="54">
        <v>3.90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114.72</v>
      </c>
      <c r="C32" s="54">
        <v>114.08</v>
      </c>
      <c r="D32" s="54">
        <v>154.77000000000001</v>
      </c>
      <c r="E32" s="54">
        <v>1.31</v>
      </c>
      <c r="F32" s="54">
        <v>3.73</v>
      </c>
      <c r="G32" s="54">
        <v>249.47</v>
      </c>
      <c r="H32" s="54">
        <v>123.85</v>
      </c>
      <c r="I32" s="54">
        <v>1.55</v>
      </c>
      <c r="J32" s="54">
        <v>0.20</v>
      </c>
      <c r="K32" s="54">
        <v>318.73</v>
      </c>
      <c r="L32" s="54">
        <v>13.78</v>
      </c>
      <c r="M32" s="54">
        <v>82.88</v>
      </c>
      <c r="N32" s="54">
        <v>77.30</v>
      </c>
      <c r="O32" s="54">
        <v>0</v>
      </c>
      <c r="P32" s="54">
        <v>3.43</v>
      </c>
      <c r="Q32" s="54">
        <v>14.72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1.97</v>
      </c>
      <c r="C34" s="28">
        <f t="shared" si="0"/>
        <v>59.939999999999998</v>
      </c>
      <c r="D34" s="28">
        <f t="shared" si="0"/>
        <v>35.310000000000002</v>
      </c>
      <c r="E34" s="28">
        <f t="shared" si="0"/>
        <v>0.47999999999999998</v>
      </c>
      <c r="F34" s="28">
        <f t="shared" si="0"/>
        <v>3.3599999999999999</v>
      </c>
      <c r="G34" s="28">
        <f t="shared" si="0"/>
        <v>83.620000000000005</v>
      </c>
      <c r="H34" s="28">
        <f t="shared" si="0"/>
        <v>5.46</v>
      </c>
      <c r="I34" s="28">
        <f t="shared" si="0"/>
        <v>1.48</v>
      </c>
      <c r="J34" s="28">
        <f t="shared" si="0"/>
        <v>0.080000000000000002</v>
      </c>
      <c r="K34" s="28">
        <f t="shared" si="0"/>
        <v>116.3</v>
      </c>
      <c r="L34" s="28">
        <f t="shared" si="0"/>
        <v>10.26</v>
      </c>
      <c r="M34" s="28">
        <f t="shared" si="0"/>
        <v>27.780000000000001</v>
      </c>
      <c r="N34" s="28">
        <f t="shared" si="0"/>
        <v>65.900000000000006</v>
      </c>
      <c r="O34" s="28">
        <f t="shared" si="0"/>
        <v>0</v>
      </c>
      <c r="P34" s="28">
        <f t="shared" si="0"/>
        <v>0.59999999999999998</v>
      </c>
      <c r="Q34" s="28">
        <f t="shared" si="0"/>
        <v>1.47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202.33000000000001</v>
      </c>
      <c r="C35" s="29">
        <f t="shared" si="1"/>
        <v>114.26000000000001</v>
      </c>
      <c r="D35" s="29">
        <f t="shared" si="1"/>
        <v>216.86000000000001</v>
      </c>
      <c r="E35" s="29">
        <f t="shared" si="1"/>
        <v>7.3399999999999999</v>
      </c>
      <c r="F35" s="29">
        <f t="shared" si="1"/>
        <v>43.140000000000001</v>
      </c>
      <c r="G35" s="29">
        <f t="shared" si="1"/>
        <v>249.47</v>
      </c>
      <c r="H35" s="29">
        <f t="shared" si="1"/>
        <v>126.2</v>
      </c>
      <c r="I35" s="29">
        <f t="shared" si="1"/>
        <v>1.5900000000000001</v>
      </c>
      <c r="J35" s="29">
        <f t="shared" si="1"/>
        <v>1</v>
      </c>
      <c r="K35" s="29">
        <f t="shared" si="1"/>
        <v>356.92000000000002</v>
      </c>
      <c r="L35" s="29">
        <f t="shared" si="1"/>
        <v>26.100000000000001</v>
      </c>
      <c r="M35" s="29">
        <f t="shared" si="1"/>
        <v>94.189999999999998</v>
      </c>
      <c r="N35" s="29">
        <f t="shared" si="1"/>
        <v>670</v>
      </c>
      <c r="O35" s="29">
        <f t="shared" si="1"/>
        <v>0</v>
      </c>
      <c r="P35" s="29">
        <f t="shared" si="1"/>
        <v>5.29</v>
      </c>
      <c r="Q35" s="29">
        <f t="shared" si="1"/>
        <v>31.109999999999999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63.967083333333342</v>
      </c>
      <c r="C36" s="28">
        <f t="shared" si="2"/>
        <v>88.410000000000011</v>
      </c>
      <c r="D36" s="28">
        <f t="shared" si="2"/>
        <v>100.49250000000001</v>
      </c>
      <c r="E36" s="28">
        <f t="shared" si="2"/>
        <v>1.7641666666666669</v>
      </c>
      <c r="F36" s="28">
        <f t="shared" si="2"/>
        <v>12.152916666666664</v>
      </c>
      <c r="G36" s="28">
        <f t="shared" si="2"/>
        <v>167.87875</v>
      </c>
      <c r="H36" s="28">
        <f t="shared" si="2"/>
        <v>81.272500000000008</v>
      </c>
      <c r="I36" s="28">
        <f t="shared" si="2"/>
        <v>1.5316666666666665</v>
      </c>
      <c r="J36" s="28">
        <f t="shared" si="2"/>
        <v>0.37708333333333338</v>
      </c>
      <c r="K36" s="28">
        <f t="shared" si="2"/>
        <v>284.92333333333335</v>
      </c>
      <c r="L36" s="28">
        <f t="shared" si="2"/>
        <v>17.139583333333338</v>
      </c>
      <c r="M36" s="28">
        <f t="shared" si="2"/>
        <v>64.506666666666661</v>
      </c>
      <c r="N36" s="28">
        <f t="shared" si="2"/>
        <v>222.51666666666665</v>
      </c>
      <c r="O36" s="28">
        <f t="shared" si="2"/>
        <v>0</v>
      </c>
      <c r="P36" s="28">
        <f t="shared" si="2"/>
        <v>1.9020833333333333</v>
      </c>
      <c r="Q36" s="28">
        <f t="shared" si="2"/>
        <v>11.572727272727274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52.87453225030368</v>
      </c>
      <c r="C37" s="28">
        <f t="shared" si="3" ref="C37:Q37">STDEV(C9:C32)</f>
        <v>16.722941804858884</v>
      </c>
      <c r="D37" s="28">
        <f t="shared" si="3"/>
        <v>46.151733986926224</v>
      </c>
      <c r="E37" s="28">
        <f t="shared" si="3"/>
        <v>1.4335147340552945</v>
      </c>
      <c r="F37" s="28">
        <f t="shared" si="3"/>
        <v>13.505042046895147</v>
      </c>
      <c r="G37" s="28">
        <f t="shared" si="3"/>
        <v>50.692174279193928</v>
      </c>
      <c r="H37" s="28">
        <f t="shared" si="3"/>
        <v>34.585291577175688</v>
      </c>
      <c r="I37" s="28">
        <f t="shared" si="3"/>
        <v>0.031300321802300024</v>
      </c>
      <c r="J37" s="28">
        <f t="shared" si="3"/>
        <v>0.29878710126787256</v>
      </c>
      <c r="K37" s="28">
        <f t="shared" si="3"/>
        <v>79.727267588331685</v>
      </c>
      <c r="L37" s="28">
        <f t="shared" si="3"/>
        <v>5.337933551614249</v>
      </c>
      <c r="M37" s="28">
        <f t="shared" si="3"/>
        <v>24.425902620795423</v>
      </c>
      <c r="N37" s="28">
        <f t="shared" si="3"/>
        <v>221.27540712221372</v>
      </c>
      <c r="O37" s="28">
        <f t="shared" si="3"/>
        <v>0</v>
      </c>
      <c r="P37" s="28">
        <f t="shared" si="3"/>
        <v>1.3124520005025666</v>
      </c>
      <c r="Q37" s="28">
        <f t="shared" si="3"/>
        <v>8.2478673617678879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257a41-0e44-4867-91d5-c04b0456c94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112.41</v>
      </c>
      <c r="C9" s="54">
        <v>108.45</v>
      </c>
      <c r="D9" s="54">
        <v>150.63999999999999</v>
      </c>
      <c r="E9" s="54">
        <v>1.1299999999999999</v>
      </c>
      <c r="F9" s="54">
        <v>3.27</v>
      </c>
      <c r="G9" s="54">
        <v>224.40</v>
      </c>
      <c r="H9" s="54">
        <v>109.61</v>
      </c>
      <c r="I9" s="54">
        <v>1.56</v>
      </c>
      <c r="J9" s="54">
        <v>0.17</v>
      </c>
      <c r="K9" s="54">
        <v>318.83</v>
      </c>
      <c r="L9" s="54">
        <v>12.93</v>
      </c>
      <c r="M9" s="54">
        <v>87.86</v>
      </c>
      <c r="N9" s="54">
        <v>86.40</v>
      </c>
      <c r="O9" s="54">
        <v>0</v>
      </c>
      <c r="P9" s="54">
        <v>2.71</v>
      </c>
      <c r="Q9" s="54">
        <v>17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101.73</v>
      </c>
      <c r="C10" s="54">
        <v>99.40</v>
      </c>
      <c r="D10" s="54">
        <v>137.08000000000001</v>
      </c>
      <c r="E10" s="54">
        <v>0.91</v>
      </c>
      <c r="F10" s="54">
        <v>3.5</v>
      </c>
      <c r="G10" s="54">
        <v>202.91</v>
      </c>
      <c r="H10" s="54">
        <v>101.36</v>
      </c>
      <c r="I10" s="54">
        <v>1.55</v>
      </c>
      <c r="J10" s="54">
        <v>0.14000000000000001</v>
      </c>
      <c r="K10" s="54">
        <v>326.32</v>
      </c>
      <c r="L10" s="54">
        <v>12.60</v>
      </c>
      <c r="M10" s="54">
        <v>93.40</v>
      </c>
      <c r="N10" s="54">
        <v>97</v>
      </c>
      <c r="O10" s="54">
        <v>0</v>
      </c>
      <c r="P10" s="54">
        <v>1.76</v>
      </c>
      <c r="Q10" s="54">
        <v>18.77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85.44</v>
      </c>
      <c r="C11" s="54">
        <v>91.20</v>
      </c>
      <c r="D11" s="54">
        <v>119.49</v>
      </c>
      <c r="E11" s="54">
        <v>0.77</v>
      </c>
      <c r="F11" s="54">
        <v>3.60</v>
      </c>
      <c r="G11" s="54">
        <v>187.38</v>
      </c>
      <c r="H11" s="54">
        <v>99</v>
      </c>
      <c r="I11" s="54">
        <v>1.54</v>
      </c>
      <c r="J11" s="54">
        <v>0.15</v>
      </c>
      <c r="K11" s="54">
        <v>315.23</v>
      </c>
      <c r="L11" s="54">
        <v>12.30</v>
      </c>
      <c r="M11" s="54">
        <v>97.5</v>
      </c>
      <c r="N11" s="54">
        <v>93.20</v>
      </c>
      <c r="O11" s="54">
        <v>0</v>
      </c>
      <c r="P11" s="54">
        <v>1.68</v>
      </c>
      <c r="Q11" s="54">
        <v>17.350000000000001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75.239999999999995</v>
      </c>
      <c r="C12" s="54">
        <v>83.27</v>
      </c>
      <c r="D12" s="54">
        <v>106.94</v>
      </c>
      <c r="E12" s="54">
        <v>0.78</v>
      </c>
      <c r="F12" s="54">
        <v>3.42</v>
      </c>
      <c r="G12" s="54">
        <v>193.24</v>
      </c>
      <c r="H12" s="54">
        <v>115.40</v>
      </c>
      <c r="I12" s="54">
        <v>1.51</v>
      </c>
      <c r="J12" s="54">
        <v>0.11</v>
      </c>
      <c r="K12" s="54">
        <v>312.05</v>
      </c>
      <c r="L12" s="54">
        <v>12.29</v>
      </c>
      <c r="M12" s="54">
        <v>91.45</v>
      </c>
      <c r="N12" s="54">
        <v>88.20</v>
      </c>
      <c r="O12" s="54">
        <v>0</v>
      </c>
      <c r="P12" s="54">
        <v>1.86</v>
      </c>
      <c r="Q12" s="54">
        <v>16.13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63.66</v>
      </c>
      <c r="C13" s="54">
        <v>80.34</v>
      </c>
      <c r="D13" s="54">
        <v>96.04</v>
      </c>
      <c r="E13" s="54">
        <v>0.91</v>
      </c>
      <c r="F13" s="54">
        <v>3.82</v>
      </c>
      <c r="G13" s="54">
        <v>193.24</v>
      </c>
      <c r="H13" s="54">
        <v>115.40</v>
      </c>
      <c r="I13" s="54">
        <v>1.51</v>
      </c>
      <c r="J13" s="54">
        <v>0.43</v>
      </c>
      <c r="K13" s="54">
        <v>115.56</v>
      </c>
      <c r="L13" s="54">
        <v>13.22</v>
      </c>
      <c r="M13" s="54">
        <v>81.37</v>
      </c>
      <c r="N13" s="54">
        <v>85.60</v>
      </c>
      <c r="O13" s="54">
        <v>0</v>
      </c>
      <c r="P13" s="54">
        <v>1.34</v>
      </c>
      <c r="Q13" s="54">
        <v>14.56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48.89</v>
      </c>
      <c r="C14" s="54">
        <v>79.37</v>
      </c>
      <c r="D14" s="54">
        <v>83.48</v>
      </c>
      <c r="E14" s="54">
        <v>1.17</v>
      </c>
      <c r="F14" s="54">
        <v>5.80</v>
      </c>
      <c r="G14" s="54">
        <v>197.05</v>
      </c>
      <c r="H14" s="54">
        <v>109.95</v>
      </c>
      <c r="I14" s="54">
        <v>1.51</v>
      </c>
      <c r="J14" s="54">
        <v>0.34</v>
      </c>
      <c r="K14" s="54">
        <v>338.72</v>
      </c>
      <c r="L14" s="54">
        <v>13.33</v>
      </c>
      <c r="M14" s="54">
        <v>75.72</v>
      </c>
      <c r="N14" s="54">
        <v>103.10</v>
      </c>
      <c r="O14" s="54">
        <v>0</v>
      </c>
      <c r="P14" s="54">
        <v>1.44</v>
      </c>
      <c r="Q14" s="54">
        <v>12.71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36.74</v>
      </c>
      <c r="C15" s="54">
        <v>79.77</v>
      </c>
      <c r="D15" s="54">
        <v>73.98</v>
      </c>
      <c r="E15" s="54">
        <v>1.02</v>
      </c>
      <c r="F15" s="54">
        <v>7.38</v>
      </c>
      <c r="G15" s="54">
        <v>197.05</v>
      </c>
      <c r="H15" s="54">
        <v>107.40</v>
      </c>
      <c r="I15" s="54">
        <v>1.54</v>
      </c>
      <c r="J15" s="54">
        <v>0.37</v>
      </c>
      <c r="K15" s="54">
        <v>357.79</v>
      </c>
      <c r="L15" s="54">
        <v>13.59</v>
      </c>
      <c r="M15" s="54">
        <v>74.540000000000006</v>
      </c>
      <c r="N15" s="54">
        <v>109.90</v>
      </c>
      <c r="O15" s="54">
        <v>0</v>
      </c>
      <c r="P15" s="54">
        <v>0.86</v>
      </c>
      <c r="Q15" s="54">
        <v>11.74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26.90</v>
      </c>
      <c r="C16" s="54">
        <v>79.97</v>
      </c>
      <c r="D16" s="54">
        <v>66.36</v>
      </c>
      <c r="E16" s="54">
        <v>1.21</v>
      </c>
      <c r="F16" s="54">
        <v>12</v>
      </c>
      <c r="G16" s="54">
        <v>145.03</v>
      </c>
      <c r="H16" s="54">
        <v>81.95</v>
      </c>
      <c r="I16" s="54">
        <v>1.55</v>
      </c>
      <c r="J16" s="54">
        <v>0.48</v>
      </c>
      <c r="K16" s="54">
        <v>112.06</v>
      </c>
      <c r="L16" s="54">
        <v>13.90</v>
      </c>
      <c r="M16" s="54">
        <v>69.64</v>
      </c>
      <c r="N16" s="54">
        <v>116.5</v>
      </c>
      <c r="O16" s="54">
        <v>0</v>
      </c>
      <c r="P16" s="54">
        <v>1.02</v>
      </c>
      <c r="Q16" s="54">
        <v>9.94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18.75</v>
      </c>
      <c r="C17" s="54">
        <v>79.12</v>
      </c>
      <c r="D17" s="54">
        <v>59.35</v>
      </c>
      <c r="E17" s="54">
        <v>1.52</v>
      </c>
      <c r="F17" s="54">
        <v>13.60</v>
      </c>
      <c r="G17" s="54">
        <v>127.56</v>
      </c>
      <c r="H17" s="54">
        <v>70.31</v>
      </c>
      <c r="I17" s="54">
        <v>1.57</v>
      </c>
      <c r="J17" s="54">
        <v>1.01</v>
      </c>
      <c r="K17" s="54">
        <v>112.75</v>
      </c>
      <c r="L17" s="54">
        <v>14.75</v>
      </c>
      <c r="M17" s="54">
        <v>69.75</v>
      </c>
      <c r="N17" s="54">
        <v>193.30</v>
      </c>
      <c r="O17" s="54">
        <v>0</v>
      </c>
      <c r="P17" s="54">
        <v>0.87</v>
      </c>
      <c r="Q17" s="54">
        <v>8.64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12.57</v>
      </c>
      <c r="C18" s="54">
        <v>76.27</v>
      </c>
      <c r="D18" s="54">
        <v>52.82</v>
      </c>
      <c r="E18" s="54">
        <v>1.67</v>
      </c>
      <c r="F18" s="54">
        <v>17.37</v>
      </c>
      <c r="G18" s="54">
        <v>127.56</v>
      </c>
      <c r="H18" s="54">
        <v>70.31</v>
      </c>
      <c r="I18" s="54">
        <v>1.54</v>
      </c>
      <c r="J18" s="54">
        <v>1.37</v>
      </c>
      <c r="K18" s="54">
        <v>112.81</v>
      </c>
      <c r="L18" s="54">
        <v>16.350000000000001</v>
      </c>
      <c r="M18" s="54">
        <v>65.819999999999993</v>
      </c>
      <c r="N18" s="54">
        <v>295.89999999999998</v>
      </c>
      <c r="O18" s="54">
        <v>0</v>
      </c>
      <c r="P18" s="54">
        <v>0.77</v>
      </c>
      <c r="Q18" s="54">
        <v>8.52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7.86</v>
      </c>
      <c r="C19" s="54">
        <v>73.05</v>
      </c>
      <c r="D19" s="54">
        <v>47.26</v>
      </c>
      <c r="E19" s="54">
        <v>1.55</v>
      </c>
      <c r="F19" s="54">
        <v>19.329999999999998</v>
      </c>
      <c r="G19" s="54">
        <v>117.09</v>
      </c>
      <c r="H19" s="54">
        <v>61.79</v>
      </c>
      <c r="I19" s="54">
        <v>1.60</v>
      </c>
      <c r="J19" s="54">
        <v>1.08</v>
      </c>
      <c r="K19" s="54">
        <v>112.97</v>
      </c>
      <c r="L19" s="54">
        <v>19.59</v>
      </c>
      <c r="M19" s="54">
        <v>61.57</v>
      </c>
      <c r="N19" s="54">
        <v>644</v>
      </c>
      <c r="O19" s="54">
        <v>0</v>
      </c>
      <c r="P19" s="54">
        <v>0.92</v>
      </c>
      <c r="Q19" s="54">
        <v>7.5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5.21</v>
      </c>
      <c r="C20" s="54">
        <v>73.91</v>
      </c>
      <c r="D20" s="54">
        <v>45.39</v>
      </c>
      <c r="E20" s="54">
        <v>1.47</v>
      </c>
      <c r="F20" s="54">
        <v>16.64</v>
      </c>
      <c r="G20" s="54">
        <v>117.09</v>
      </c>
      <c r="H20" s="54">
        <v>61.79</v>
      </c>
      <c r="I20" s="54">
        <v>1.61</v>
      </c>
      <c r="J20" s="54">
        <v>0.77</v>
      </c>
      <c r="K20" s="54">
        <v>119.49</v>
      </c>
      <c r="L20" s="54">
        <v>21.21</v>
      </c>
      <c r="M20" s="54">
        <v>46.98</v>
      </c>
      <c r="N20" s="54">
        <v>656</v>
      </c>
      <c r="O20" s="54">
        <v>0</v>
      </c>
      <c r="P20" s="54">
        <v>0.89</v>
      </c>
      <c r="Q20" s="54">
        <v>6.52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2.86</v>
      </c>
      <c r="C21" s="54">
        <v>71.25</v>
      </c>
      <c r="D21" s="54">
        <v>42.26</v>
      </c>
      <c r="E21" s="54">
        <v>0.84</v>
      </c>
      <c r="F21" s="54">
        <v>15.69</v>
      </c>
      <c r="G21" s="54">
        <v>97.57</v>
      </c>
      <c r="H21" s="54">
        <v>50.37</v>
      </c>
      <c r="I21" s="54">
        <v>1.53</v>
      </c>
      <c r="J21" s="54">
        <v>0.63</v>
      </c>
      <c r="K21" s="54">
        <v>154.53</v>
      </c>
      <c r="L21" s="54">
        <v>23.83</v>
      </c>
      <c r="M21" s="54">
        <v>39.799999999999997</v>
      </c>
      <c r="N21" s="54">
        <v>625.10</v>
      </c>
      <c r="O21" s="54">
        <v>0</v>
      </c>
      <c r="P21" s="54">
        <v>0.80</v>
      </c>
      <c r="Q21" s="54">
        <v>6.30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2.2599999999999998</v>
      </c>
      <c r="C22" s="54">
        <v>66.83</v>
      </c>
      <c r="D22" s="54">
        <v>39.31</v>
      </c>
      <c r="E22" s="54">
        <v>1.01</v>
      </c>
      <c r="F22" s="54">
        <v>16.70</v>
      </c>
      <c r="G22" s="54">
        <v>71.28</v>
      </c>
      <c r="H22" s="54">
        <v>42.38</v>
      </c>
      <c r="I22" s="54">
        <v>1.52</v>
      </c>
      <c r="J22" s="54">
        <v>1.20</v>
      </c>
      <c r="K22" s="54">
        <v>115.43</v>
      </c>
      <c r="L22" s="54">
        <v>23.84</v>
      </c>
      <c r="M22" s="54">
        <v>36.44</v>
      </c>
      <c r="N22" s="54">
        <v>585.70000000000005</v>
      </c>
      <c r="O22" s="54">
        <v>0</v>
      </c>
      <c r="P22" s="54">
        <v>0.74</v>
      </c>
      <c r="Q22" s="54">
        <v>5.84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2.46</v>
      </c>
      <c r="C23" s="54">
        <v>63.80</v>
      </c>
      <c r="D23" s="54">
        <v>37.520000000000003</v>
      </c>
      <c r="E23" s="54">
        <v>1.89</v>
      </c>
      <c r="F23" s="54">
        <v>32.090000000000003</v>
      </c>
      <c r="G23" s="54">
        <v>69.27</v>
      </c>
      <c r="H23" s="54">
        <v>42.05</v>
      </c>
      <c r="I23" s="54">
        <v>1.60</v>
      </c>
      <c r="J23" s="54">
        <v>1.29</v>
      </c>
      <c r="K23" s="54">
        <v>118.86</v>
      </c>
      <c r="L23" s="54">
        <v>23.08</v>
      </c>
      <c r="M23" s="54">
        <v>36.630000000000003</v>
      </c>
      <c r="N23" s="54">
        <v>191.70</v>
      </c>
      <c r="O23" s="54">
        <v>0</v>
      </c>
      <c r="P23" s="54">
        <v>0.65</v>
      </c>
      <c r="Q23" s="54">
        <v>5.83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2.63</v>
      </c>
      <c r="C24" s="54">
        <v>61.07</v>
      </c>
      <c r="D24" s="54">
        <v>36.450000000000003</v>
      </c>
      <c r="E24" s="54">
        <v>2.1800000000000002</v>
      </c>
      <c r="F24" s="54">
        <v>37.880000000000003</v>
      </c>
      <c r="G24" s="54">
        <v>65.66</v>
      </c>
      <c r="H24" s="54">
        <v>41.74</v>
      </c>
      <c r="I24" s="54">
        <v>1.57</v>
      </c>
      <c r="J24" s="54">
        <v>1.01</v>
      </c>
      <c r="K24" s="54">
        <v>115.22</v>
      </c>
      <c r="L24" s="54">
        <v>22.33</v>
      </c>
      <c r="M24" s="54">
        <v>38.130000000000003</v>
      </c>
      <c r="N24" s="54">
        <v>157.80000000000001</v>
      </c>
      <c r="O24" s="54">
        <v>0</v>
      </c>
      <c r="P24" s="54">
        <v>0.54</v>
      </c>
      <c r="Q24" s="54">
        <v>5.66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2.71</v>
      </c>
      <c r="C25" s="54">
        <v>61.27</v>
      </c>
      <c r="D25" s="54">
        <v>36.630000000000003</v>
      </c>
      <c r="E25" s="54">
        <v>3.08</v>
      </c>
      <c r="F25" s="54">
        <v>43.48</v>
      </c>
      <c r="G25" s="54">
        <v>78.92</v>
      </c>
      <c r="H25" s="54">
        <v>43.77</v>
      </c>
      <c r="I25" s="54">
        <v>1.53</v>
      </c>
      <c r="J25" s="54">
        <v>0.99</v>
      </c>
      <c r="K25" s="54">
        <v>114.99</v>
      </c>
      <c r="L25" s="54">
        <v>21.70</v>
      </c>
      <c r="M25" s="54">
        <v>42.44</v>
      </c>
      <c r="N25" s="54">
        <v>98.70</v>
      </c>
      <c r="O25" s="54">
        <v>0</v>
      </c>
      <c r="P25" s="54">
        <v>0.66</v>
      </c>
      <c r="Q25" s="54">
        <v>5.0599999999999996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3.36</v>
      </c>
      <c r="C26" s="54">
        <v>69.37</v>
      </c>
      <c r="D26" s="54">
        <v>41.62</v>
      </c>
      <c r="E26" s="54">
        <v>2.60</v>
      </c>
      <c r="F26" s="54">
        <v>34.24</v>
      </c>
      <c r="G26" s="54">
        <v>95.88</v>
      </c>
      <c r="H26" s="54">
        <v>47.86</v>
      </c>
      <c r="I26" s="54">
        <v>1.54</v>
      </c>
      <c r="J26" s="54">
        <v>0.17</v>
      </c>
      <c r="K26" s="54">
        <v>90.37</v>
      </c>
      <c r="L26" s="54">
        <v>20.38</v>
      </c>
      <c r="M26" s="54">
        <v>60.66</v>
      </c>
      <c r="N26" s="54">
        <v>59.40</v>
      </c>
      <c r="O26" s="54">
        <v>0</v>
      </c>
      <c r="P26" s="54">
        <v>1.03</v>
      </c>
      <c r="Q26" s="54">
        <v>4.6399999999999997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3.35</v>
      </c>
      <c r="C27" s="54">
        <v>77.56</v>
      </c>
      <c r="D27" s="54">
        <v>45.87</v>
      </c>
      <c r="E27" s="54">
        <v>1.1599999999999999</v>
      </c>
      <c r="F27" s="54">
        <v>9.66</v>
      </c>
      <c r="G27" s="54">
        <v>125.71</v>
      </c>
      <c r="H27" s="54">
        <v>63.69</v>
      </c>
      <c r="I27" s="54">
        <v>1.56</v>
      </c>
      <c r="J27" s="54">
        <v>0.99</v>
      </c>
      <c r="K27" s="54">
        <v>96.80</v>
      </c>
      <c r="L27" s="54">
        <v>19.29</v>
      </c>
      <c r="M27" s="54">
        <v>51.68</v>
      </c>
      <c r="N27" s="54">
        <v>55.10</v>
      </c>
      <c r="O27" s="54">
        <v>0</v>
      </c>
      <c r="P27" s="54">
        <v>0.96</v>
      </c>
      <c r="Q27" s="54">
        <v>5.59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2.94</v>
      </c>
      <c r="C28" s="54">
        <v>78.400000000000006</v>
      </c>
      <c r="D28" s="54">
        <v>46.22</v>
      </c>
      <c r="E28" s="54">
        <v>1.02</v>
      </c>
      <c r="F28" s="54">
        <v>11.38</v>
      </c>
      <c r="G28" s="54">
        <v>128.16</v>
      </c>
      <c r="H28" s="54">
        <v>71.14</v>
      </c>
      <c r="I28" s="54">
        <v>1.58</v>
      </c>
      <c r="J28" s="54">
        <v>0.86</v>
      </c>
      <c r="K28" s="54">
        <v>101.66</v>
      </c>
      <c r="L28" s="54">
        <v>18.61</v>
      </c>
      <c r="M28" s="54">
        <v>54.05</v>
      </c>
      <c r="N28" s="54">
        <v>56.70</v>
      </c>
      <c r="O28" s="54">
        <v>0</v>
      </c>
      <c r="P28" s="54">
        <v>0.97</v>
      </c>
      <c r="Q28" s="54">
        <v>5.77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2.79</v>
      </c>
      <c r="C29" s="54">
        <v>77.02</v>
      </c>
      <c r="D29" s="54">
        <v>45.39</v>
      </c>
      <c r="E29" s="54">
        <v>1.41</v>
      </c>
      <c r="F29" s="54">
        <v>17.23</v>
      </c>
      <c r="G29" s="54">
        <v>128.16</v>
      </c>
      <c r="H29" s="54">
        <v>81.33</v>
      </c>
      <c r="I29" s="54">
        <v>1.54</v>
      </c>
      <c r="J29" s="54">
        <v>0.73</v>
      </c>
      <c r="K29" s="54">
        <v>103.09</v>
      </c>
      <c r="L29" s="54">
        <v>17.73</v>
      </c>
      <c r="M29" s="54">
        <v>60.79</v>
      </c>
      <c r="N29" s="54">
        <v>59.5</v>
      </c>
      <c r="O29" s="54">
        <v>0</v>
      </c>
      <c r="P29" s="54">
        <v>0.98</v>
      </c>
      <c r="Q29" s="54">
        <v>6.18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3.35</v>
      </c>
      <c r="C30" s="54">
        <v>72.78</v>
      </c>
      <c r="D30" s="54">
        <v>42.97</v>
      </c>
      <c r="E30" s="54">
        <v>1.81</v>
      </c>
      <c r="F30" s="54">
        <v>20.78</v>
      </c>
      <c r="G30" s="54">
        <v>124.87</v>
      </c>
      <c r="H30" s="54">
        <v>81.33</v>
      </c>
      <c r="I30" s="54">
        <v>1.61</v>
      </c>
      <c r="J30" s="54">
        <v>0.5</v>
      </c>
      <c r="K30" s="54">
        <v>96.78</v>
      </c>
      <c r="L30" s="54">
        <v>17.02</v>
      </c>
      <c r="M30" s="54">
        <v>65.069999999999993</v>
      </c>
      <c r="N30" s="54">
        <v>73.70</v>
      </c>
      <c r="O30" s="54">
        <v>0</v>
      </c>
      <c r="P30" s="54">
        <v>0.95</v>
      </c>
      <c r="Q30" s="54">
        <v>5.77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4.5199999999999996</v>
      </c>
      <c r="C31" s="54">
        <v>72.47</v>
      </c>
      <c r="D31" s="54">
        <v>44.27</v>
      </c>
      <c r="E31" s="54">
        <v>1.72</v>
      </c>
      <c r="F31" s="54">
        <v>18.16</v>
      </c>
      <c r="G31" s="54">
        <v>112.09</v>
      </c>
      <c r="H31" s="54">
        <v>75.89</v>
      </c>
      <c r="I31" s="54">
        <v>1.51</v>
      </c>
      <c r="J31" s="54">
        <v>0.16</v>
      </c>
      <c r="K31" s="54">
        <v>211.97</v>
      </c>
      <c r="L31" s="54">
        <v>16.30</v>
      </c>
      <c r="M31" s="54">
        <v>74.69</v>
      </c>
      <c r="N31" s="54">
        <v>60.80</v>
      </c>
      <c r="O31" s="54">
        <v>0</v>
      </c>
      <c r="P31" s="54">
        <v>0.95</v>
      </c>
      <c r="Q31" s="54">
        <v>5.87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5.39</v>
      </c>
      <c r="C32" s="54">
        <v>73.430000000000007</v>
      </c>
      <c r="D32" s="54">
        <v>45.48</v>
      </c>
      <c r="E32" s="54">
        <v>1.32</v>
      </c>
      <c r="F32" s="54">
        <v>12.5</v>
      </c>
      <c r="G32" s="54">
        <v>112.09</v>
      </c>
      <c r="H32" s="54">
        <v>75.25</v>
      </c>
      <c r="I32" s="54">
        <v>1.51</v>
      </c>
      <c r="J32" s="54">
        <v>0.38</v>
      </c>
      <c r="K32" s="54">
        <v>224.15</v>
      </c>
      <c r="L32" s="54">
        <v>15.56</v>
      </c>
      <c r="M32" s="54">
        <v>77.84</v>
      </c>
      <c r="N32" s="54">
        <v>63.30</v>
      </c>
      <c r="O32" s="54">
        <v>0</v>
      </c>
      <c r="P32" s="54">
        <v>0.88</v>
      </c>
      <c r="Q32" s="54">
        <v>6.23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2.2599999999999998</v>
      </c>
      <c r="C34" s="28">
        <f t="shared" si="0"/>
        <v>61.07</v>
      </c>
      <c r="D34" s="28">
        <f t="shared" si="0"/>
        <v>36.450000000000003</v>
      </c>
      <c r="E34" s="28">
        <f t="shared" si="0"/>
        <v>0.77000000000000002</v>
      </c>
      <c r="F34" s="28">
        <f t="shared" si="0"/>
        <v>3.27</v>
      </c>
      <c r="G34" s="28">
        <f t="shared" si="0"/>
        <v>65.659999999999997</v>
      </c>
      <c r="H34" s="28">
        <f t="shared" si="0"/>
        <v>41.740000000000002</v>
      </c>
      <c r="I34" s="28">
        <f t="shared" si="0"/>
        <v>1.51</v>
      </c>
      <c r="J34" s="28">
        <f t="shared" si="0"/>
        <v>0.11</v>
      </c>
      <c r="K34" s="28">
        <f t="shared" si="0"/>
        <v>90.370000000000005</v>
      </c>
      <c r="L34" s="28">
        <f t="shared" si="0"/>
        <v>12.289999999999999</v>
      </c>
      <c r="M34" s="28">
        <f t="shared" si="0"/>
        <v>36.439999999999998</v>
      </c>
      <c r="N34" s="28">
        <f t="shared" si="0"/>
        <v>55.100000000000001</v>
      </c>
      <c r="O34" s="28">
        <f t="shared" si="0"/>
        <v>0</v>
      </c>
      <c r="P34" s="28">
        <f t="shared" si="0"/>
        <v>0.54000000000000004</v>
      </c>
      <c r="Q34" s="28">
        <f t="shared" si="0"/>
        <v>4.6399999999999997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112.41</v>
      </c>
      <c r="C35" s="29">
        <f t="shared" si="1"/>
        <v>108.45</v>
      </c>
      <c r="D35" s="29">
        <f t="shared" si="1"/>
        <v>150.63999999999999</v>
      </c>
      <c r="E35" s="29">
        <f t="shared" si="1"/>
        <v>3.0800000000000001</v>
      </c>
      <c r="F35" s="29">
        <f t="shared" si="1"/>
        <v>43.479999999999997</v>
      </c>
      <c r="G35" s="29">
        <f t="shared" si="1"/>
        <v>224.40000000000001</v>
      </c>
      <c r="H35" s="29">
        <f t="shared" si="1"/>
        <v>115.40000000000001</v>
      </c>
      <c r="I35" s="29">
        <f t="shared" si="1"/>
        <v>1.6100000000000001</v>
      </c>
      <c r="J35" s="29">
        <f t="shared" si="1"/>
        <v>1.3700000000000001</v>
      </c>
      <c r="K35" s="29">
        <f t="shared" si="1"/>
        <v>357.79000000000002</v>
      </c>
      <c r="L35" s="29">
        <f t="shared" si="1"/>
        <v>23.84</v>
      </c>
      <c r="M35" s="29">
        <f t="shared" si="1"/>
        <v>97.5</v>
      </c>
      <c r="N35" s="29">
        <f t="shared" si="1"/>
        <v>656</v>
      </c>
      <c r="O35" s="29">
        <f t="shared" si="1"/>
        <v>0</v>
      </c>
      <c r="P35" s="29">
        <f t="shared" si="1"/>
        <v>2.71</v>
      </c>
      <c r="Q35" s="29">
        <f t="shared" si="1"/>
        <v>18.77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26.417500000000008</v>
      </c>
      <c r="C36" s="28">
        <f t="shared" si="2"/>
        <v>77.057083333333324</v>
      </c>
      <c r="D36" s="28">
        <f t="shared" si="2"/>
        <v>64.284166666666678</v>
      </c>
      <c r="E36" s="28">
        <f t="shared" si="2"/>
        <v>1.4229166666666666</v>
      </c>
      <c r="F36" s="28">
        <f t="shared" si="2"/>
        <v>15.813333333333334</v>
      </c>
      <c r="G36" s="28">
        <f t="shared" si="2"/>
        <v>134.96916666666667</v>
      </c>
      <c r="H36" s="28">
        <f t="shared" si="2"/>
        <v>75.877916666666664</v>
      </c>
      <c r="I36" s="28">
        <f t="shared" si="2"/>
        <v>1.5495833333333333</v>
      </c>
      <c r="J36" s="28">
        <f t="shared" si="2"/>
        <v>0.63875000000000004</v>
      </c>
      <c r="K36" s="28">
        <f t="shared" si="2"/>
        <v>174.93458333333331</v>
      </c>
      <c r="L36" s="28">
        <f t="shared" si="2"/>
        <v>17.322083333333335</v>
      </c>
      <c r="M36" s="28">
        <f t="shared" si="2"/>
        <v>64.742500000000007</v>
      </c>
      <c r="N36" s="28">
        <f t="shared" si="2"/>
        <v>194.02499999999998</v>
      </c>
      <c r="O36" s="28">
        <f t="shared" si="2"/>
        <v>0</v>
      </c>
      <c r="P36" s="28">
        <f t="shared" si="2"/>
        <v>1.0929166666666663</v>
      </c>
      <c r="Q36" s="28">
        <f t="shared" si="2"/>
        <v>9.0883333333333365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35.167196826143183</v>
      </c>
      <c r="C37" s="28">
        <f t="shared" si="3" ref="C37:Q37">STDEV(C9:C32)</f>
        <v>10.872133696896395</v>
      </c>
      <c r="D37" s="28">
        <f t="shared" si="3"/>
        <v>33.628842294345631</v>
      </c>
      <c r="E37" s="28">
        <f t="shared" si="3"/>
        <v>0.5795611470659553</v>
      </c>
      <c r="F37" s="28">
        <f t="shared" si="3"/>
        <v>11.267862598391575</v>
      </c>
      <c r="G37" s="28">
        <f t="shared" si="3"/>
        <v>47.219236676579655</v>
      </c>
      <c r="H37" s="28">
        <f t="shared" si="3"/>
        <v>24.8695915211235</v>
      </c>
      <c r="I37" s="28">
        <f t="shared" si="3"/>
        <v>0.032501393504127583</v>
      </c>
      <c r="J37" s="28">
        <f t="shared" si="3"/>
        <v>0.40742363915110558</v>
      </c>
      <c r="K37" s="28">
        <f t="shared" si="3"/>
        <v>96.106121054627366</v>
      </c>
      <c r="L37" s="28">
        <f t="shared" si="3"/>
        <v>3.9556189854396804</v>
      </c>
      <c r="M37" s="28">
        <f t="shared" si="3"/>
        <v>18.670750957161513</v>
      </c>
      <c r="N37" s="28">
        <f t="shared" si="3"/>
        <v>205.90037745177301</v>
      </c>
      <c r="O37" s="28">
        <f t="shared" si="3"/>
        <v>0</v>
      </c>
      <c r="P37" s="28">
        <f t="shared" si="3"/>
        <v>0.48876489561793096</v>
      </c>
      <c r="Q37" s="28">
        <f t="shared" si="3"/>
        <v>4.5328929879911817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c3c497-4a85-4e98-855e-9277f6fc4841}">
  <sheetPr codeName=""/>
  <dimension ref="A1:U119"/>
  <sheetViews>
    <sheetView workbookViewId="0" topLeftCell="A1">
      <pane xSplit="1" ySplit="8" topLeftCell="B1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5.26</v>
      </c>
      <c r="C9" s="54">
        <v>72.38</v>
      </c>
      <c r="D9" s="54">
        <v>44.81</v>
      </c>
      <c r="E9" s="54">
        <v>1.25</v>
      </c>
      <c r="F9" s="54">
        <v>16.57</v>
      </c>
      <c r="G9" s="54">
        <v>112.09</v>
      </c>
      <c r="H9" s="54">
        <v>63.89</v>
      </c>
      <c r="I9" s="54">
        <v>1.59</v>
      </c>
      <c r="J9" s="54">
        <v>0.26</v>
      </c>
      <c r="K9" s="54">
        <v>256.99</v>
      </c>
      <c r="L9" s="54">
        <v>14.78</v>
      </c>
      <c r="M9" s="54">
        <v>85.29</v>
      </c>
      <c r="N9" s="54">
        <v>51.10</v>
      </c>
      <c r="O9" s="54">
        <v>0</v>
      </c>
      <c r="P9" s="54">
        <v>0.68</v>
      </c>
      <c r="Q9" s="54">
        <v>6.84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5.75</v>
      </c>
      <c r="C10" s="54">
        <v>71.180000000000007</v>
      </c>
      <c r="D10" s="54">
        <v>44.11</v>
      </c>
      <c r="E10" s="54">
        <v>0.98</v>
      </c>
      <c r="F10" s="54">
        <v>8.35</v>
      </c>
      <c r="G10" s="54">
        <v>95.07</v>
      </c>
      <c r="H10" s="54">
        <v>62.98</v>
      </c>
      <c r="I10" s="54">
        <v>1.57</v>
      </c>
      <c r="J10" s="54">
        <v>0.15</v>
      </c>
      <c r="K10" s="54">
        <v>283.47000000000003</v>
      </c>
      <c r="L10" s="54">
        <v>13.57</v>
      </c>
      <c r="M10" s="54">
        <v>93.34</v>
      </c>
      <c r="N10" s="54">
        <v>54.60</v>
      </c>
      <c r="O10" s="54">
        <v>0</v>
      </c>
      <c r="P10" s="54">
        <v>0.71</v>
      </c>
      <c r="Q10" s="54">
        <v>5.62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6.34</v>
      </c>
      <c r="C11" s="54">
        <v>70.12</v>
      </c>
      <c r="D11" s="54">
        <v>44.08</v>
      </c>
      <c r="E11" s="54">
        <v>0.83</v>
      </c>
      <c r="F11" s="54">
        <v>7.04</v>
      </c>
      <c r="G11" s="54">
        <v>92.91</v>
      </c>
      <c r="H11" s="54">
        <v>58.84</v>
      </c>
      <c r="I11" s="54">
        <v>1.53</v>
      </c>
      <c r="J11" s="54">
        <v>0.14000000000000001</v>
      </c>
      <c r="K11" s="54">
        <v>292.64</v>
      </c>
      <c r="L11" s="54">
        <v>12.78</v>
      </c>
      <c r="M11" s="54">
        <v>98.18</v>
      </c>
      <c r="N11" s="54">
        <v>57.20</v>
      </c>
      <c r="O11" s="54">
        <v>0</v>
      </c>
      <c r="P11" s="54">
        <v>0.68</v>
      </c>
      <c r="Q11" s="54">
        <v>6.12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7.78</v>
      </c>
      <c r="C12" s="54">
        <v>67.23</v>
      </c>
      <c r="D12" s="54">
        <v>43.06</v>
      </c>
      <c r="E12" s="54">
        <v>0.65</v>
      </c>
      <c r="F12" s="54">
        <v>5.45</v>
      </c>
      <c r="G12" s="54">
        <v>91.48</v>
      </c>
      <c r="H12" s="54">
        <v>58.63</v>
      </c>
      <c r="I12" s="54">
        <v>1.59</v>
      </c>
      <c r="J12" s="54">
        <v>0.13</v>
      </c>
      <c r="K12" s="54">
        <v>294.12</v>
      </c>
      <c r="L12" s="54">
        <v>11.71</v>
      </c>
      <c r="M12" s="54">
        <v>98.23</v>
      </c>
      <c r="N12" s="54">
        <v>67.099999999999994</v>
      </c>
      <c r="O12" s="54">
        <v>0</v>
      </c>
      <c r="P12" s="54">
        <v>0.70</v>
      </c>
      <c r="Q12" s="54">
        <v>6.08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10.48</v>
      </c>
      <c r="C13" s="54">
        <v>66.55</v>
      </c>
      <c r="D13" s="54">
        <v>45.78</v>
      </c>
      <c r="E13" s="54">
        <v>1.24</v>
      </c>
      <c r="F13" s="54">
        <v>7.14</v>
      </c>
      <c r="G13" s="54">
        <v>101.98</v>
      </c>
      <c r="H13" s="54">
        <v>66.819999999999993</v>
      </c>
      <c r="I13" s="54">
        <v>1.57</v>
      </c>
      <c r="J13" s="54">
        <v>0.40</v>
      </c>
      <c r="K13" s="54">
        <v>334.97</v>
      </c>
      <c r="L13" s="54">
        <v>11.40</v>
      </c>
      <c r="M13" s="54">
        <v>98.23</v>
      </c>
      <c r="N13" s="54">
        <v>74.5</v>
      </c>
      <c r="O13" s="54">
        <v>0</v>
      </c>
      <c r="P13" s="54">
        <v>1.0900000000000001</v>
      </c>
      <c r="Q13" s="54">
        <v>5.92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16.940000000000001</v>
      </c>
      <c r="C14" s="54">
        <v>70.02</v>
      </c>
      <c r="D14" s="54">
        <v>52.87</v>
      </c>
      <c r="E14" s="54">
        <v>1.33</v>
      </c>
      <c r="F14" s="54">
        <v>4.9400000000000004</v>
      </c>
      <c r="G14" s="54">
        <v>222.15</v>
      </c>
      <c r="H14" s="54">
        <v>87.46</v>
      </c>
      <c r="I14" s="54">
        <v>1.51</v>
      </c>
      <c r="J14" s="54">
        <v>0.10</v>
      </c>
      <c r="K14" s="54">
        <v>325.27</v>
      </c>
      <c r="L14" s="54">
        <v>11.38</v>
      </c>
      <c r="M14" s="54">
        <v>98.20</v>
      </c>
      <c r="N14" s="54">
        <v>80</v>
      </c>
      <c r="O14" s="54">
        <v>0</v>
      </c>
      <c r="P14" s="54">
        <v>1.46</v>
      </c>
      <c r="Q14" s="54">
        <v>5.16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31.03</v>
      </c>
      <c r="C15" s="54">
        <v>73.08</v>
      </c>
      <c r="D15" s="54">
        <v>65.86</v>
      </c>
      <c r="E15" s="54">
        <v>1.46</v>
      </c>
      <c r="F15" s="54">
        <v>3.53</v>
      </c>
      <c r="G15" s="54">
        <v>222.15</v>
      </c>
      <c r="H15" s="54">
        <v>113.46</v>
      </c>
      <c r="I15" s="54">
        <v>1.55</v>
      </c>
      <c r="J15" s="54">
        <v>0.19</v>
      </c>
      <c r="K15" s="54">
        <v>99.90</v>
      </c>
      <c r="L15" s="54">
        <v>12.03</v>
      </c>
      <c r="M15" s="54">
        <v>98.24</v>
      </c>
      <c r="N15" s="54">
        <v>110.40</v>
      </c>
      <c r="O15" s="54">
        <v>0</v>
      </c>
      <c r="P15" s="54">
        <v>1.85</v>
      </c>
      <c r="Q15" s="54">
        <v>5.15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31.08</v>
      </c>
      <c r="C16" s="54">
        <v>73.099999999999994</v>
      </c>
      <c r="D16" s="54">
        <v>65.92</v>
      </c>
      <c r="E16" s="54">
        <v>1.26</v>
      </c>
      <c r="F16" s="54">
        <v>4.8600000000000003</v>
      </c>
      <c r="G16" s="54">
        <v>222.11</v>
      </c>
      <c r="H16" s="54">
        <v>120.88</v>
      </c>
      <c r="I16" s="54">
        <v>1.56</v>
      </c>
      <c r="J16" s="54">
        <v>0.44</v>
      </c>
      <c r="K16" s="54">
        <v>108.62</v>
      </c>
      <c r="L16" s="54">
        <v>14.63</v>
      </c>
      <c r="M16" s="54">
        <v>96.31</v>
      </c>
      <c r="N16" s="54">
        <v>226.40</v>
      </c>
      <c r="O16" s="54">
        <v>0</v>
      </c>
      <c r="P16" s="54">
        <v>2.11</v>
      </c>
      <c r="Q16" s="54">
        <v>8.3800000000000008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28.84</v>
      </c>
      <c r="C17" s="54">
        <v>77.33</v>
      </c>
      <c r="D17" s="54">
        <v>65.14</v>
      </c>
      <c r="E17" s="54">
        <v>1.06</v>
      </c>
      <c r="F17" s="54">
        <v>6.28</v>
      </c>
      <c r="G17" s="54">
        <v>222.11</v>
      </c>
      <c r="H17" s="54">
        <v>120.88</v>
      </c>
      <c r="I17" s="54">
        <v>1.51</v>
      </c>
      <c r="J17" s="54">
        <v>0.68</v>
      </c>
      <c r="K17" s="54">
        <v>352.73</v>
      </c>
      <c r="L17" s="54">
        <v>18.510000000000002</v>
      </c>
      <c r="M17" s="54">
        <v>71.66</v>
      </c>
      <c r="N17" s="54">
        <v>396.80</v>
      </c>
      <c r="O17" s="54">
        <v>0</v>
      </c>
      <c r="P17" s="54">
        <v>1.41</v>
      </c>
      <c r="Q17" s="54">
        <v>8.17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24.21</v>
      </c>
      <c r="C18" s="54">
        <v>78.67</v>
      </c>
      <c r="D18" s="54">
        <v>62.98</v>
      </c>
      <c r="E18" s="54">
        <v>0.89</v>
      </c>
      <c r="F18" s="54">
        <v>11.25</v>
      </c>
      <c r="G18" s="54">
        <v>133.04</v>
      </c>
      <c r="H18" s="54">
        <v>104.47</v>
      </c>
      <c r="I18" s="54">
        <v>1.51</v>
      </c>
      <c r="J18" s="54">
        <v>1.1399999999999999</v>
      </c>
      <c r="K18" s="54">
        <v>117.85</v>
      </c>
      <c r="L18" s="54">
        <v>19.100000000000001</v>
      </c>
      <c r="M18" s="54">
        <v>68.12</v>
      </c>
      <c r="N18" s="54">
        <v>496.90</v>
      </c>
      <c r="O18" s="54">
        <v>0</v>
      </c>
      <c r="P18" s="54">
        <v>1.07</v>
      </c>
      <c r="Q18" s="54">
        <v>9.16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13.14</v>
      </c>
      <c r="C19" s="54">
        <v>79.08</v>
      </c>
      <c r="D19" s="54">
        <v>54.83</v>
      </c>
      <c r="E19" s="54">
        <v>1.28</v>
      </c>
      <c r="F19" s="54">
        <v>19.71</v>
      </c>
      <c r="G19" s="54">
        <v>109.68</v>
      </c>
      <c r="H19" s="54">
        <v>84.55</v>
      </c>
      <c r="I19" s="54">
        <v>1.49</v>
      </c>
      <c r="J19" s="54">
        <v>0.93</v>
      </c>
      <c r="K19" s="54">
        <v>109.19</v>
      </c>
      <c r="L19" s="54">
        <v>22.11</v>
      </c>
      <c r="M19" s="54">
        <v>58.89</v>
      </c>
      <c r="N19" s="54">
        <v>573.40</v>
      </c>
      <c r="O19" s="54">
        <v>0</v>
      </c>
      <c r="P19" s="54">
        <v>1.08</v>
      </c>
      <c r="Q19" s="54">
        <v>7.92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5.68</v>
      </c>
      <c r="C20" s="54">
        <v>77.87</v>
      </c>
      <c r="D20" s="54">
        <v>48.18</v>
      </c>
      <c r="E20" s="54">
        <v>2.0299999999999998</v>
      </c>
      <c r="F20" s="54">
        <v>32.57</v>
      </c>
      <c r="G20" s="54">
        <v>101.41</v>
      </c>
      <c r="H20" s="54">
        <v>67.36</v>
      </c>
      <c r="I20" s="54">
        <v>1.49</v>
      </c>
      <c r="J20" s="54">
        <v>1.29</v>
      </c>
      <c r="K20" s="54">
        <v>338.67</v>
      </c>
      <c r="L20" s="54">
        <v>24.82</v>
      </c>
      <c r="M20" s="54">
        <v>50.45</v>
      </c>
      <c r="N20" s="54">
        <v>597.10</v>
      </c>
      <c r="O20" s="54">
        <v>0</v>
      </c>
      <c r="P20" s="54">
        <v>0.92</v>
      </c>
      <c r="Q20" s="54">
        <v>7.17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4.51</v>
      </c>
      <c r="C21" s="54">
        <v>75</v>
      </c>
      <c r="D21" s="54">
        <v>45.51</v>
      </c>
      <c r="E21" s="54">
        <v>3.99</v>
      </c>
      <c r="F21" s="54">
        <v>41.29</v>
      </c>
      <c r="G21" s="54">
        <v>89.33</v>
      </c>
      <c r="H21" s="54">
        <v>61.36</v>
      </c>
      <c r="I21" s="54">
        <v>1.56</v>
      </c>
      <c r="J21" s="54">
        <v>1</v>
      </c>
      <c r="K21" s="54">
        <v>343.90</v>
      </c>
      <c r="L21" s="54">
        <v>26.92</v>
      </c>
      <c r="M21" s="54">
        <v>39.22</v>
      </c>
      <c r="N21" s="54">
        <v>580.70000000000005</v>
      </c>
      <c r="O21" s="54">
        <v>0</v>
      </c>
      <c r="P21" s="54">
        <v>0.89</v>
      </c>
      <c r="Q21" s="54">
        <v>5.87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4.4400000000000004</v>
      </c>
      <c r="C22" s="54">
        <v>74.88</v>
      </c>
      <c r="D22" s="54">
        <v>45.52</v>
      </c>
      <c r="E22" s="54">
        <v>3.18</v>
      </c>
      <c r="F22" s="54">
        <v>35.74</v>
      </c>
      <c r="G22" s="54">
        <v>89.11</v>
      </c>
      <c r="H22" s="54">
        <v>53.93</v>
      </c>
      <c r="I22" s="54">
        <v>1.52</v>
      </c>
      <c r="J22" s="54">
        <v>0.88</v>
      </c>
      <c r="K22" s="54">
        <v>106.62</v>
      </c>
      <c r="L22" s="54">
        <v>25.17</v>
      </c>
      <c r="M22" s="54">
        <v>42.18</v>
      </c>
      <c r="N22" s="54">
        <v>529.79999999999995</v>
      </c>
      <c r="O22" s="54">
        <v>0</v>
      </c>
      <c r="P22" s="54">
        <v>0.89</v>
      </c>
      <c r="Q22" s="54">
        <v>5.85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3.67</v>
      </c>
      <c r="C23" s="54">
        <v>73.040000000000006</v>
      </c>
      <c r="D23" s="54">
        <v>43.90</v>
      </c>
      <c r="E23" s="54">
        <v>3.70</v>
      </c>
      <c r="F23" s="54">
        <v>38.92</v>
      </c>
      <c r="G23" s="54">
        <v>84.75</v>
      </c>
      <c r="H23" s="54">
        <v>52.40</v>
      </c>
      <c r="I23" s="54">
        <v>1.51</v>
      </c>
      <c r="J23" s="54">
        <v>0.56000000000000005</v>
      </c>
      <c r="K23" s="54">
        <v>352.25</v>
      </c>
      <c r="L23" s="54">
        <v>24.88</v>
      </c>
      <c r="M23" s="54">
        <v>40.98</v>
      </c>
      <c r="N23" s="54">
        <v>205.70</v>
      </c>
      <c r="O23" s="54">
        <v>0</v>
      </c>
      <c r="P23" s="54">
        <v>0.85</v>
      </c>
      <c r="Q23" s="54">
        <v>6.37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2.3199999999999998</v>
      </c>
      <c r="C24" s="54">
        <v>70.959999999999994</v>
      </c>
      <c r="D24" s="54">
        <v>41.67</v>
      </c>
      <c r="E24" s="54">
        <v>1.40</v>
      </c>
      <c r="F24" s="54">
        <v>17.510000000000002</v>
      </c>
      <c r="G24" s="54">
        <v>79.28</v>
      </c>
      <c r="H24" s="54">
        <v>48.68</v>
      </c>
      <c r="I24" s="54">
        <v>1.60</v>
      </c>
      <c r="J24" s="54">
        <v>0.93</v>
      </c>
      <c r="K24" s="54">
        <v>355.03</v>
      </c>
      <c r="L24" s="54">
        <v>23.17</v>
      </c>
      <c r="M24" s="54">
        <v>42.41</v>
      </c>
      <c r="N24" s="54">
        <v>135</v>
      </c>
      <c r="O24" s="54">
        <v>0</v>
      </c>
      <c r="P24" s="54">
        <v>0.81</v>
      </c>
      <c r="Q24" s="54">
        <v>6.16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3.06</v>
      </c>
      <c r="C25" s="54">
        <v>73.45</v>
      </c>
      <c r="D25" s="54">
        <v>43.63</v>
      </c>
      <c r="E25" s="54">
        <v>1.0900000000000001</v>
      </c>
      <c r="F25" s="54">
        <v>12.86</v>
      </c>
      <c r="G25" s="54">
        <v>86.87</v>
      </c>
      <c r="H25" s="54">
        <v>48.68</v>
      </c>
      <c r="I25" s="54">
        <v>1.52</v>
      </c>
      <c r="J25" s="54">
        <v>0.11</v>
      </c>
      <c r="K25" s="54">
        <v>353.37</v>
      </c>
      <c r="L25" s="54">
        <v>22.57</v>
      </c>
      <c r="M25" s="54">
        <v>55.06</v>
      </c>
      <c r="N25" s="54">
        <v>87.70</v>
      </c>
      <c r="O25" s="54">
        <v>0</v>
      </c>
      <c r="P25" s="54">
        <v>1.1499999999999999</v>
      </c>
      <c r="Q25" s="54">
        <v>5.73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8.0299999999999994</v>
      </c>
      <c r="C26" s="54">
        <v>86.23</v>
      </c>
      <c r="D26" s="54">
        <v>54.67</v>
      </c>
      <c r="E26" s="54">
        <v>0.90</v>
      </c>
      <c r="F26" s="54">
        <v>5.54</v>
      </c>
      <c r="G26" s="54">
        <v>129.62</v>
      </c>
      <c r="H26" s="54">
        <v>53.15</v>
      </c>
      <c r="I26" s="54">
        <v>1.54</v>
      </c>
      <c r="J26" s="54">
        <v>0.09</v>
      </c>
      <c r="K26" s="54">
        <v>296.88</v>
      </c>
      <c r="L26" s="54">
        <v>20.32</v>
      </c>
      <c r="M26" s="54">
        <v>77.48</v>
      </c>
      <c r="N26" s="54">
        <v>44.90</v>
      </c>
      <c r="O26" s="54">
        <v>0</v>
      </c>
      <c r="P26" s="54">
        <v>1.1499999999999999</v>
      </c>
      <c r="Q26" s="54">
        <v>4.6100000000000003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32.19</v>
      </c>
      <c r="C27" s="54">
        <v>93.27</v>
      </c>
      <c r="D27" s="54">
        <v>77.94</v>
      </c>
      <c r="E27" s="54">
        <v>1.43</v>
      </c>
      <c r="F27" s="54">
        <v>3.78</v>
      </c>
      <c r="G27" s="54">
        <v>212.22</v>
      </c>
      <c r="H27" s="54">
        <v>65.77</v>
      </c>
      <c r="I27" s="54">
        <v>1.61</v>
      </c>
      <c r="J27" s="54">
        <v>0.10</v>
      </c>
      <c r="K27" s="54">
        <v>347.81</v>
      </c>
      <c r="L27" s="54">
        <v>17.87</v>
      </c>
      <c r="M27" s="54">
        <v>85.12</v>
      </c>
      <c r="N27" s="54">
        <v>39.10</v>
      </c>
      <c r="O27" s="54">
        <v>0</v>
      </c>
      <c r="P27" s="54">
        <v>2.54</v>
      </c>
      <c r="Q27" s="54">
        <v>1.51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80.430000000000007</v>
      </c>
      <c r="C28" s="54">
        <v>99.15</v>
      </c>
      <c r="D28" s="54">
        <v>119.86</v>
      </c>
      <c r="E28" s="54">
        <v>1.48</v>
      </c>
      <c r="F28" s="54">
        <v>3.91</v>
      </c>
      <c r="G28" s="54">
        <v>246.95</v>
      </c>
      <c r="H28" s="54">
        <v>84.76</v>
      </c>
      <c r="I28" s="54">
        <v>1.53</v>
      </c>
      <c r="J28" s="54">
        <v>0.10</v>
      </c>
      <c r="K28" s="54">
        <v>294.32</v>
      </c>
      <c r="L28" s="54">
        <v>16.39</v>
      </c>
      <c r="M28" s="54">
        <v>88.04</v>
      </c>
      <c r="N28" s="54">
        <v>39.200000000000003</v>
      </c>
      <c r="O28" s="54">
        <v>0</v>
      </c>
      <c r="P28" s="54">
        <v>3.88</v>
      </c>
      <c r="Q28" s="56" t="s">
        <v>14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135.86000000000001</v>
      </c>
      <c r="C29" s="54">
        <v>101.60</v>
      </c>
      <c r="D29" s="54">
        <v>165.67</v>
      </c>
      <c r="E29" s="54">
        <v>1.70</v>
      </c>
      <c r="F29" s="54">
        <v>4.5999999999999996</v>
      </c>
      <c r="G29" s="54">
        <v>226.95</v>
      </c>
      <c r="H29" s="54">
        <v>102.82</v>
      </c>
      <c r="I29" s="54">
        <v>1.51</v>
      </c>
      <c r="J29" s="54">
        <v>0.15</v>
      </c>
      <c r="K29" s="54">
        <v>327.10000000000002</v>
      </c>
      <c r="L29" s="54">
        <v>15.61</v>
      </c>
      <c r="M29" s="54">
        <v>93.92</v>
      </c>
      <c r="N29" s="54">
        <v>39.5</v>
      </c>
      <c r="O29" s="54">
        <v>0</v>
      </c>
      <c r="P29" s="54">
        <v>5.36</v>
      </c>
      <c r="Q29" s="56" t="s">
        <v>14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200.62</v>
      </c>
      <c r="C30" s="54">
        <v>104.76</v>
      </c>
      <c r="D30" s="54">
        <v>219.34</v>
      </c>
      <c r="E30" s="54">
        <v>1.75</v>
      </c>
      <c r="F30" s="54">
        <v>4.05</v>
      </c>
      <c r="G30" s="54">
        <v>216.95</v>
      </c>
      <c r="H30" s="54">
        <v>120.76</v>
      </c>
      <c r="I30" s="54">
        <v>1.57</v>
      </c>
      <c r="J30" s="54">
        <v>0.09</v>
      </c>
      <c r="K30" s="54">
        <v>300.06</v>
      </c>
      <c r="L30" s="54">
        <v>14.94</v>
      </c>
      <c r="M30" s="54">
        <v>98.18</v>
      </c>
      <c r="N30" s="54">
        <v>39.700000000000003</v>
      </c>
      <c r="O30" s="54">
        <v>0</v>
      </c>
      <c r="P30" s="54">
        <v>5.20</v>
      </c>
      <c r="Q30" s="54">
        <v>2.02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253.44</v>
      </c>
      <c r="C31" s="54">
        <v>107.70</v>
      </c>
      <c r="D31" s="54">
        <v>263.32</v>
      </c>
      <c r="E31" s="54">
        <v>1.69</v>
      </c>
      <c r="F31" s="54">
        <v>4.18</v>
      </c>
      <c r="G31" s="54">
        <v>206.95</v>
      </c>
      <c r="H31" s="54">
        <v>138.21</v>
      </c>
      <c r="I31" s="54">
        <v>1.59</v>
      </c>
      <c r="J31" s="54">
        <v>0.09</v>
      </c>
      <c r="K31" s="54">
        <v>331.11</v>
      </c>
      <c r="L31" s="54">
        <v>14.61</v>
      </c>
      <c r="M31" s="54">
        <v>98.21</v>
      </c>
      <c r="N31" s="54">
        <v>40.5</v>
      </c>
      <c r="O31" s="54">
        <v>0</v>
      </c>
      <c r="P31" s="54">
        <v>6.65</v>
      </c>
      <c r="Q31" s="54">
        <v>12.91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273.5</v>
      </c>
      <c r="C32" s="54">
        <v>106.94</v>
      </c>
      <c r="D32" s="54">
        <v>278.13</v>
      </c>
      <c r="E32" s="54">
        <v>1.67</v>
      </c>
      <c r="F32" s="54">
        <v>4.1399999999999997</v>
      </c>
      <c r="G32" s="54">
        <v>246.95</v>
      </c>
      <c r="H32" s="54">
        <v>143.54</v>
      </c>
      <c r="I32" s="54">
        <v>1.52</v>
      </c>
      <c r="J32" s="54">
        <v>0.13</v>
      </c>
      <c r="K32" s="54">
        <v>316.11</v>
      </c>
      <c r="L32" s="54">
        <v>14.35</v>
      </c>
      <c r="M32" s="54">
        <v>98.23</v>
      </c>
      <c r="N32" s="54">
        <v>41.60</v>
      </c>
      <c r="O32" s="54">
        <v>0</v>
      </c>
      <c r="P32" s="54">
        <v>7.23</v>
      </c>
      <c r="Q32" s="54">
        <v>30.59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2.3199999999999998</v>
      </c>
      <c r="C34" s="28">
        <f t="shared" si="0"/>
        <v>66.549999999999997</v>
      </c>
      <c r="D34" s="28">
        <f t="shared" si="0"/>
        <v>41.670000000000002</v>
      </c>
      <c r="E34" s="28">
        <f t="shared" si="0"/>
        <v>0.65000000000000002</v>
      </c>
      <c r="F34" s="28">
        <f t="shared" si="0"/>
        <v>3.5299999999999998</v>
      </c>
      <c r="G34" s="28">
        <f t="shared" si="0"/>
        <v>79.280000000000001</v>
      </c>
      <c r="H34" s="28">
        <f t="shared" si="0"/>
        <v>48.68</v>
      </c>
      <c r="I34" s="28">
        <f t="shared" si="0"/>
        <v>1.49</v>
      </c>
      <c r="J34" s="28">
        <f t="shared" si="0"/>
        <v>0.089999999999999997</v>
      </c>
      <c r="K34" s="28">
        <f t="shared" si="0"/>
        <v>99.900000000000006</v>
      </c>
      <c r="L34" s="28">
        <f t="shared" si="0"/>
        <v>11.380000000000001</v>
      </c>
      <c r="M34" s="28">
        <f t="shared" si="0"/>
        <v>39.219999999999999</v>
      </c>
      <c r="N34" s="28">
        <f t="shared" si="0"/>
        <v>39.100000000000001</v>
      </c>
      <c r="O34" s="28">
        <f t="shared" si="0"/>
        <v>0</v>
      </c>
      <c r="P34" s="28">
        <f t="shared" si="0"/>
        <v>0.68000000000000005</v>
      </c>
      <c r="Q34" s="28">
        <f t="shared" si="0"/>
        <v>1.51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273.5</v>
      </c>
      <c r="C35" s="29">
        <f t="shared" si="1"/>
        <v>107.7</v>
      </c>
      <c r="D35" s="29">
        <f t="shared" si="1"/>
        <v>278.13</v>
      </c>
      <c r="E35" s="29">
        <f t="shared" si="1"/>
        <v>3.9900000000000002</v>
      </c>
      <c r="F35" s="29">
        <f t="shared" si="1"/>
        <v>41.289999999999999</v>
      </c>
      <c r="G35" s="29">
        <f t="shared" si="1"/>
        <v>246.94999999999999</v>
      </c>
      <c r="H35" s="29">
        <f t="shared" si="1"/>
        <v>143.53999999999999</v>
      </c>
      <c r="I35" s="29">
        <f t="shared" si="1"/>
        <v>1.6100000000000001</v>
      </c>
      <c r="J35" s="29">
        <f t="shared" si="1"/>
        <v>1.29</v>
      </c>
      <c r="K35" s="29">
        <f t="shared" si="1"/>
        <v>355.02999999999997</v>
      </c>
      <c r="L35" s="29">
        <f t="shared" si="1"/>
        <v>26.920000000000002</v>
      </c>
      <c r="M35" s="29">
        <f t="shared" si="1"/>
        <v>98.239999999999995</v>
      </c>
      <c r="N35" s="29">
        <f t="shared" si="1"/>
        <v>597.10000000000002</v>
      </c>
      <c r="O35" s="29">
        <f t="shared" si="1"/>
        <v>0</v>
      </c>
      <c r="P35" s="29">
        <f t="shared" si="1"/>
        <v>7.2300000000000004</v>
      </c>
      <c r="Q35" s="29">
        <f t="shared" si="1"/>
        <v>30.59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49.525000000000006</v>
      </c>
      <c r="C36" s="28">
        <f t="shared" si="2"/>
        <v>80.982916666666668</v>
      </c>
      <c r="D36" s="28">
        <f t="shared" si="2"/>
        <v>84.865833333333327</v>
      </c>
      <c r="E36" s="28">
        <f t="shared" si="2"/>
        <v>1.593333333333333</v>
      </c>
      <c r="F36" s="28">
        <f t="shared" si="2"/>
        <v>12.675416666666669</v>
      </c>
      <c r="G36" s="28">
        <f t="shared" si="2"/>
        <v>151.75458333333327</v>
      </c>
      <c r="H36" s="28">
        <f t="shared" si="2"/>
        <v>82.678333333333342</v>
      </c>
      <c r="I36" s="28">
        <f t="shared" si="2"/>
        <v>1.5437500000000002</v>
      </c>
      <c r="J36" s="28">
        <f t="shared" si="2"/>
        <v>0.41999999999999993</v>
      </c>
      <c r="K36" s="28">
        <f t="shared" si="2"/>
        <v>276.62416666666667</v>
      </c>
      <c r="L36" s="28">
        <f t="shared" si="2"/>
        <v>17.650833333333335</v>
      </c>
      <c r="M36" s="28">
        <f t="shared" si="2"/>
        <v>78.090416666666684</v>
      </c>
      <c r="N36" s="28">
        <f t="shared" si="2"/>
        <v>192.03749999999999</v>
      </c>
      <c r="O36" s="28">
        <f t="shared" si="2"/>
        <v>0</v>
      </c>
      <c r="P36" s="28">
        <f t="shared" si="2"/>
        <v>2.0983333333333332</v>
      </c>
      <c r="Q36" s="28">
        <f t="shared" si="2"/>
        <v>7.4231818181818197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80.924761137845763</v>
      </c>
      <c r="C37" s="28">
        <f t="shared" si="3" ref="C37:Q37">STDEV(C9:C32)</f>
        <v>13.419999831259799</v>
      </c>
      <c r="D37" s="28">
        <f t="shared" si="3"/>
        <v>71.444645943961206</v>
      </c>
      <c r="E37" s="28">
        <f t="shared" si="3"/>
        <v>0.85768478382550184</v>
      </c>
      <c r="F37" s="28">
        <f t="shared" si="3"/>
        <v>12.150714768442965</v>
      </c>
      <c r="G37" s="28">
        <f t="shared" si="3"/>
        <v>64.545417712219859</v>
      </c>
      <c r="H37" s="28">
        <f t="shared" si="3"/>
        <v>30.257364991550094</v>
      </c>
      <c r="I37" s="28">
        <f t="shared" si="3"/>
        <v>0.036213437333098647</v>
      </c>
      <c r="J37" s="28">
        <f t="shared" si="3"/>
        <v>0.39740462350431804</v>
      </c>
      <c r="K37" s="28">
        <f t="shared" si="3"/>
        <v>91.771822184706679</v>
      </c>
      <c r="L37" s="28">
        <f t="shared" si="3"/>
        <v>4.9648406574252757</v>
      </c>
      <c r="M37" s="28">
        <f t="shared" si="3"/>
        <v>22.369850727216935</v>
      </c>
      <c r="N37" s="28">
        <f t="shared" si="3"/>
        <v>207.58173835341611</v>
      </c>
      <c r="O37" s="28">
        <f t="shared" si="3"/>
        <v>0</v>
      </c>
      <c r="P37" s="28">
        <f t="shared" si="3"/>
        <v>1.9996275015431093</v>
      </c>
      <c r="Q37" s="28">
        <f t="shared" si="3"/>
        <v>5.6643550352505221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9f84b2-de2f-4054-971d-803f534b481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267.57</v>
      </c>
      <c r="C9" s="54">
        <v>102.09</v>
      </c>
      <c r="D9" s="54">
        <v>271.56</v>
      </c>
      <c r="E9" s="54">
        <v>1.07</v>
      </c>
      <c r="F9" s="54">
        <v>3.49</v>
      </c>
      <c r="G9" s="54">
        <v>202.39</v>
      </c>
      <c r="H9" s="54">
        <v>143.54</v>
      </c>
      <c r="I9" s="54">
        <v>1.5</v>
      </c>
      <c r="J9" s="54">
        <v>0.21</v>
      </c>
      <c r="K9" s="54">
        <v>285.64999999999998</v>
      </c>
      <c r="L9" s="54">
        <v>14.13</v>
      </c>
      <c r="M9" s="54">
        <v>98.07</v>
      </c>
      <c r="N9" s="54">
        <v>42.70</v>
      </c>
      <c r="O9" s="54">
        <v>0</v>
      </c>
      <c r="P9" s="54">
        <v>5.94</v>
      </c>
      <c r="Q9" s="54">
        <v>47.73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221.34</v>
      </c>
      <c r="C10" s="54">
        <v>91.25</v>
      </c>
      <c r="D10" s="54">
        <v>228.5</v>
      </c>
      <c r="E10" s="54">
        <v>0.36</v>
      </c>
      <c r="F10" s="54">
        <v>3.40</v>
      </c>
      <c r="G10" s="54">
        <v>202.39</v>
      </c>
      <c r="H10" s="54">
        <v>135.84</v>
      </c>
      <c r="I10" s="54">
        <v>1.59</v>
      </c>
      <c r="J10" s="54">
        <v>0.10</v>
      </c>
      <c r="K10" s="54">
        <v>344</v>
      </c>
      <c r="L10" s="54">
        <v>13.51</v>
      </c>
      <c r="M10" s="54">
        <v>98.20</v>
      </c>
      <c r="N10" s="54">
        <v>52</v>
      </c>
      <c r="O10" s="54">
        <v>0</v>
      </c>
      <c r="P10" s="54">
        <v>1.56</v>
      </c>
      <c r="Q10" s="54">
        <v>45.43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164.05</v>
      </c>
      <c r="C11" s="54">
        <v>85.37</v>
      </c>
      <c r="D11" s="54">
        <v>179.32</v>
      </c>
      <c r="E11" s="54">
        <v>0.24</v>
      </c>
      <c r="F11" s="54">
        <v>3.45</v>
      </c>
      <c r="G11" s="54">
        <v>136.25</v>
      </c>
      <c r="H11" s="54">
        <v>87.52</v>
      </c>
      <c r="I11" s="54">
        <v>1.53</v>
      </c>
      <c r="J11" s="54">
        <v>0.12</v>
      </c>
      <c r="K11" s="54">
        <v>317.12</v>
      </c>
      <c r="L11" s="54">
        <v>12.68</v>
      </c>
      <c r="M11" s="54">
        <v>98.25</v>
      </c>
      <c r="N11" s="54">
        <v>59.30</v>
      </c>
      <c r="O11" s="54">
        <v>0</v>
      </c>
      <c r="P11" s="54">
        <v>1.08</v>
      </c>
      <c r="Q11" s="54">
        <v>38.409999999999997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124.91</v>
      </c>
      <c r="C12" s="54">
        <v>79.53</v>
      </c>
      <c r="D12" s="54">
        <v>144.69999999999999</v>
      </c>
      <c r="E12" s="54">
        <v>0.40</v>
      </c>
      <c r="F12" s="54">
        <v>3.56</v>
      </c>
      <c r="G12" s="54">
        <v>123.54</v>
      </c>
      <c r="H12" s="54">
        <v>87.52</v>
      </c>
      <c r="I12" s="54">
        <v>1.57</v>
      </c>
      <c r="J12" s="54">
        <v>0.12</v>
      </c>
      <c r="K12" s="54">
        <v>303.70999999999998</v>
      </c>
      <c r="L12" s="54">
        <v>12.52</v>
      </c>
      <c r="M12" s="54">
        <v>98.25</v>
      </c>
      <c r="N12" s="54">
        <v>62.20</v>
      </c>
      <c r="O12" s="54">
        <v>0</v>
      </c>
      <c r="P12" s="54">
        <v>1.08</v>
      </c>
      <c r="Q12" s="54">
        <v>27.07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95.55</v>
      </c>
      <c r="C13" s="54">
        <v>74.400000000000006</v>
      </c>
      <c r="D13" s="54">
        <v>118.33</v>
      </c>
      <c r="E13" s="54">
        <v>0.65</v>
      </c>
      <c r="F13" s="54">
        <v>3.45</v>
      </c>
      <c r="G13" s="54">
        <v>123.54</v>
      </c>
      <c r="H13" s="54">
        <v>76.30</v>
      </c>
      <c r="I13" s="54">
        <v>1.59</v>
      </c>
      <c r="J13" s="54">
        <v>0.13</v>
      </c>
      <c r="K13" s="54">
        <v>340.52</v>
      </c>
      <c r="L13" s="54">
        <v>12.08</v>
      </c>
      <c r="M13" s="54">
        <v>98.25</v>
      </c>
      <c r="N13" s="54">
        <v>67.30</v>
      </c>
      <c r="O13" s="54">
        <v>0</v>
      </c>
      <c r="P13" s="54">
        <v>1.38</v>
      </c>
      <c r="Q13" s="54">
        <v>23.21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81.680000000000007</v>
      </c>
      <c r="C14" s="54">
        <v>76.930000000000007</v>
      </c>
      <c r="D14" s="54">
        <v>106.67</v>
      </c>
      <c r="E14" s="54">
        <v>0.61</v>
      </c>
      <c r="F14" s="54">
        <v>3.78</v>
      </c>
      <c r="G14" s="54">
        <v>164.07</v>
      </c>
      <c r="H14" s="54">
        <v>89.51</v>
      </c>
      <c r="I14" s="54">
        <v>1.52</v>
      </c>
      <c r="J14" s="54">
        <v>0.16</v>
      </c>
      <c r="K14" s="54">
        <v>335.96</v>
      </c>
      <c r="L14" s="54">
        <v>13.08</v>
      </c>
      <c r="M14" s="54">
        <v>98.24</v>
      </c>
      <c r="N14" s="54">
        <v>68.30</v>
      </c>
      <c r="O14" s="54">
        <v>0</v>
      </c>
      <c r="P14" s="54">
        <v>1.26</v>
      </c>
      <c r="Q14" s="54">
        <v>17.190000000000001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68.37</v>
      </c>
      <c r="C15" s="54">
        <v>82.43</v>
      </c>
      <c r="D15" s="54">
        <v>100.96</v>
      </c>
      <c r="E15" s="54">
        <v>0.81</v>
      </c>
      <c r="F15" s="54">
        <v>3.47</v>
      </c>
      <c r="G15" s="54">
        <v>164.07</v>
      </c>
      <c r="H15" s="54">
        <v>103.25</v>
      </c>
      <c r="I15" s="54">
        <v>1.54</v>
      </c>
      <c r="J15" s="54">
        <v>0.11</v>
      </c>
      <c r="K15" s="54">
        <v>335.95</v>
      </c>
      <c r="L15" s="54">
        <v>12.54</v>
      </c>
      <c r="M15" s="54">
        <v>98.24</v>
      </c>
      <c r="N15" s="54">
        <v>106.20</v>
      </c>
      <c r="O15" s="54">
        <v>0</v>
      </c>
      <c r="P15" s="54">
        <v>1.81</v>
      </c>
      <c r="Q15" s="54">
        <v>11.27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94.21</v>
      </c>
      <c r="C16" s="54">
        <v>86.97</v>
      </c>
      <c r="D16" s="54">
        <v>123.62</v>
      </c>
      <c r="E16" s="54">
        <v>0.90</v>
      </c>
      <c r="F16" s="54">
        <v>3.87</v>
      </c>
      <c r="G16" s="54">
        <v>203.02</v>
      </c>
      <c r="H16" s="54">
        <v>107.5</v>
      </c>
      <c r="I16" s="54">
        <v>1.57</v>
      </c>
      <c r="J16" s="54">
        <v>0.26</v>
      </c>
      <c r="K16" s="54">
        <v>316.04000000000002</v>
      </c>
      <c r="L16" s="54">
        <v>15.34</v>
      </c>
      <c r="M16" s="54">
        <v>98.24</v>
      </c>
      <c r="N16" s="54">
        <v>218.80</v>
      </c>
      <c r="O16" s="54">
        <v>0</v>
      </c>
      <c r="P16" s="54">
        <v>2.10</v>
      </c>
      <c r="Q16" s="54">
        <v>8.57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93.19</v>
      </c>
      <c r="C17" s="54">
        <v>85.45</v>
      </c>
      <c r="D17" s="54">
        <v>122.53</v>
      </c>
      <c r="E17" s="54">
        <v>0.51</v>
      </c>
      <c r="F17" s="54">
        <v>4.4000000000000004</v>
      </c>
      <c r="G17" s="54">
        <v>203.02</v>
      </c>
      <c r="H17" s="54">
        <v>107.5</v>
      </c>
      <c r="I17" s="54">
        <v>1.55</v>
      </c>
      <c r="J17" s="54">
        <v>0.70</v>
      </c>
      <c r="K17" s="54">
        <v>208.67</v>
      </c>
      <c r="L17" s="54">
        <v>17.66</v>
      </c>
      <c r="M17" s="54">
        <v>85.93</v>
      </c>
      <c r="N17" s="54">
        <v>360.60</v>
      </c>
      <c r="O17" s="54">
        <v>0</v>
      </c>
      <c r="P17" s="54">
        <v>1.71</v>
      </c>
      <c r="Q17" s="54">
        <v>20.57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70.959999999999994</v>
      </c>
      <c r="C18" s="54">
        <v>84.96</v>
      </c>
      <c r="D18" s="54">
        <v>102.66</v>
      </c>
      <c r="E18" s="54">
        <v>0.53</v>
      </c>
      <c r="F18" s="54">
        <v>6.94</v>
      </c>
      <c r="G18" s="54">
        <v>155.51</v>
      </c>
      <c r="H18" s="54">
        <v>87.90</v>
      </c>
      <c r="I18" s="54">
        <v>1.54</v>
      </c>
      <c r="J18" s="54">
        <v>0.27</v>
      </c>
      <c r="K18" s="54">
        <v>191.82</v>
      </c>
      <c r="L18" s="54">
        <v>21.01</v>
      </c>
      <c r="M18" s="54">
        <v>76.19</v>
      </c>
      <c r="N18" s="54">
        <v>481.10</v>
      </c>
      <c r="O18" s="54">
        <v>0</v>
      </c>
      <c r="P18" s="54">
        <v>1.28</v>
      </c>
      <c r="Q18" s="54">
        <v>18.350000000000001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46.74</v>
      </c>
      <c r="C19" s="54">
        <v>85.60</v>
      </c>
      <c r="D19" s="54">
        <v>85.17</v>
      </c>
      <c r="E19" s="54">
        <v>0.61</v>
      </c>
      <c r="F19" s="54">
        <v>9.98</v>
      </c>
      <c r="G19" s="54">
        <v>137.09</v>
      </c>
      <c r="H19" s="54">
        <v>72.80</v>
      </c>
      <c r="I19" s="54">
        <v>1.53</v>
      </c>
      <c r="J19" s="54">
        <v>0.95</v>
      </c>
      <c r="K19" s="54">
        <v>137.31</v>
      </c>
      <c r="L19" s="54">
        <v>22.84</v>
      </c>
      <c r="M19" s="54">
        <v>59.25</v>
      </c>
      <c r="N19" s="54">
        <v>535</v>
      </c>
      <c r="O19" s="54">
        <v>0</v>
      </c>
      <c r="P19" s="54">
        <v>1.1100000000000001</v>
      </c>
      <c r="Q19" s="54">
        <v>15.95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31.37</v>
      </c>
      <c r="C20" s="54">
        <v>87.51</v>
      </c>
      <c r="D20" s="54">
        <v>72.98</v>
      </c>
      <c r="E20" s="54">
        <v>0.74</v>
      </c>
      <c r="F20" s="54">
        <v>12.53</v>
      </c>
      <c r="G20" s="54">
        <v>116.80</v>
      </c>
      <c r="H20" s="54">
        <v>72.80</v>
      </c>
      <c r="I20" s="54">
        <v>1.51</v>
      </c>
      <c r="J20" s="54">
        <v>1</v>
      </c>
      <c r="K20" s="54">
        <v>119.14</v>
      </c>
      <c r="L20" s="54">
        <v>23.54</v>
      </c>
      <c r="M20" s="54">
        <v>53.24</v>
      </c>
      <c r="N20" s="54">
        <v>568.5</v>
      </c>
      <c r="O20" s="54">
        <v>0</v>
      </c>
      <c r="P20" s="54">
        <v>1.22</v>
      </c>
      <c r="Q20" s="54">
        <v>12.88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12.24</v>
      </c>
      <c r="C21" s="54">
        <v>88.11</v>
      </c>
      <c r="D21" s="54">
        <v>59.08</v>
      </c>
      <c r="E21" s="54">
        <v>0.78</v>
      </c>
      <c r="F21" s="54">
        <v>11.27</v>
      </c>
      <c r="G21" s="54">
        <v>102.39</v>
      </c>
      <c r="H21" s="54">
        <v>62.69</v>
      </c>
      <c r="I21" s="54">
        <v>1.61</v>
      </c>
      <c r="J21" s="54">
        <v>0.85</v>
      </c>
      <c r="K21" s="54">
        <v>113.83</v>
      </c>
      <c r="L21" s="54">
        <v>25.06</v>
      </c>
      <c r="M21" s="54">
        <v>47.35</v>
      </c>
      <c r="N21" s="54">
        <v>561.40</v>
      </c>
      <c r="O21" s="54">
        <v>0</v>
      </c>
      <c r="P21" s="54">
        <v>1.1000000000000001</v>
      </c>
      <c r="Q21" s="54">
        <v>8.56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3.33</v>
      </c>
      <c r="C22" s="54">
        <v>83.68</v>
      </c>
      <c r="D22" s="54">
        <v>49.5</v>
      </c>
      <c r="E22" s="54">
        <v>1.34</v>
      </c>
      <c r="F22" s="54">
        <v>29.60</v>
      </c>
      <c r="G22" s="54">
        <v>98.93</v>
      </c>
      <c r="H22" s="54">
        <v>55.66</v>
      </c>
      <c r="I22" s="54">
        <v>1.53</v>
      </c>
      <c r="J22" s="54">
        <v>0.81</v>
      </c>
      <c r="K22" s="54">
        <v>334.24</v>
      </c>
      <c r="L22" s="54">
        <v>28.59</v>
      </c>
      <c r="M22" s="54">
        <v>40.590000000000003</v>
      </c>
      <c r="N22" s="54">
        <v>517.5</v>
      </c>
      <c r="O22" s="54">
        <v>0</v>
      </c>
      <c r="P22" s="54">
        <v>1.06</v>
      </c>
      <c r="Q22" s="54">
        <v>7.08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2.2999999999999998</v>
      </c>
      <c r="C23" s="54">
        <v>80.260000000000005</v>
      </c>
      <c r="D23" s="54">
        <v>46.75</v>
      </c>
      <c r="E23" s="54">
        <v>1.61</v>
      </c>
      <c r="F23" s="54">
        <v>21.62</v>
      </c>
      <c r="G23" s="54">
        <v>103.88</v>
      </c>
      <c r="H23" s="54">
        <v>60.04</v>
      </c>
      <c r="I23" s="54">
        <v>1.52</v>
      </c>
      <c r="J23" s="54">
        <v>0.34</v>
      </c>
      <c r="K23" s="54">
        <v>338.73</v>
      </c>
      <c r="L23" s="54">
        <v>27.69</v>
      </c>
      <c r="M23" s="54">
        <v>37.520000000000003</v>
      </c>
      <c r="N23" s="54">
        <v>189.5</v>
      </c>
      <c r="O23" s="54">
        <v>0</v>
      </c>
      <c r="P23" s="54">
        <v>1</v>
      </c>
      <c r="Q23" s="54">
        <v>6.39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2.89</v>
      </c>
      <c r="C24" s="54">
        <v>77.70</v>
      </c>
      <c r="D24" s="54">
        <v>45.39</v>
      </c>
      <c r="E24" s="54">
        <v>2.78</v>
      </c>
      <c r="F24" s="54">
        <v>39.89</v>
      </c>
      <c r="G24" s="54">
        <v>103.88</v>
      </c>
      <c r="H24" s="54">
        <v>60.04</v>
      </c>
      <c r="I24" s="54">
        <v>1.54</v>
      </c>
      <c r="J24" s="54">
        <v>0.5</v>
      </c>
      <c r="K24" s="54">
        <v>357.71</v>
      </c>
      <c r="L24" s="54">
        <v>25.22</v>
      </c>
      <c r="M24" s="54">
        <v>39.28</v>
      </c>
      <c r="N24" s="54">
        <v>123.5</v>
      </c>
      <c r="O24" s="54">
        <v>0</v>
      </c>
      <c r="P24" s="54">
        <v>1.1399999999999999</v>
      </c>
      <c r="Q24" s="54">
        <v>5.52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3.83</v>
      </c>
      <c r="C25" s="54">
        <v>80.760000000000005</v>
      </c>
      <c r="D25" s="54">
        <v>48.29</v>
      </c>
      <c r="E25" s="54">
        <v>2.78</v>
      </c>
      <c r="F25" s="54">
        <v>17.05</v>
      </c>
      <c r="G25" s="54">
        <v>119.37</v>
      </c>
      <c r="H25" s="54">
        <v>57.29</v>
      </c>
      <c r="I25" s="54">
        <v>1.5</v>
      </c>
      <c r="J25" s="54">
        <v>0.10</v>
      </c>
      <c r="K25" s="54">
        <v>293.76</v>
      </c>
      <c r="L25" s="54">
        <v>24.18</v>
      </c>
      <c r="M25" s="54">
        <v>51.81</v>
      </c>
      <c r="N25" s="54">
        <v>76.099999999999994</v>
      </c>
      <c r="O25" s="54">
        <v>0</v>
      </c>
      <c r="P25" s="54">
        <v>1.35</v>
      </c>
      <c r="Q25" s="54">
        <v>3.37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8.35</v>
      </c>
      <c r="C26" s="54">
        <v>87.85</v>
      </c>
      <c r="D26" s="54">
        <v>55.82</v>
      </c>
      <c r="E26" s="54">
        <v>2.23</v>
      </c>
      <c r="F26" s="54">
        <v>8.9600000000000009</v>
      </c>
      <c r="G26" s="54">
        <v>152.66</v>
      </c>
      <c r="H26" s="54">
        <v>67.69</v>
      </c>
      <c r="I26" s="54">
        <v>1.53</v>
      </c>
      <c r="J26" s="54">
        <v>0.17</v>
      </c>
      <c r="K26" s="54">
        <v>88.11</v>
      </c>
      <c r="L26" s="54">
        <v>20.96</v>
      </c>
      <c r="M26" s="54">
        <v>74.34</v>
      </c>
      <c r="N26" s="54">
        <v>33.5</v>
      </c>
      <c r="O26" s="54">
        <v>0</v>
      </c>
      <c r="P26" s="54">
        <v>1.54</v>
      </c>
      <c r="Q26" s="54">
        <v>2.67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37.159999999999997</v>
      </c>
      <c r="C27" s="54">
        <v>102.06</v>
      </c>
      <c r="D27" s="54">
        <v>86.77</v>
      </c>
      <c r="E27" s="54">
        <v>1.51</v>
      </c>
      <c r="F27" s="54">
        <v>3.74</v>
      </c>
      <c r="G27" s="54">
        <v>132.66</v>
      </c>
      <c r="H27" s="54">
        <v>92.99</v>
      </c>
      <c r="I27" s="54">
        <v>1.52</v>
      </c>
      <c r="J27" s="54">
        <v>0.09</v>
      </c>
      <c r="K27" s="54">
        <v>277.83</v>
      </c>
      <c r="L27" s="54">
        <v>18.88</v>
      </c>
      <c r="M27" s="54">
        <v>82.33</v>
      </c>
      <c r="N27" s="54">
        <v>27.60</v>
      </c>
      <c r="O27" s="54">
        <v>0</v>
      </c>
      <c r="P27" s="54">
        <v>2.62</v>
      </c>
      <c r="Q27" s="54">
        <v>3.13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91.94</v>
      </c>
      <c r="C28" s="54">
        <v>113.19</v>
      </c>
      <c r="D28" s="54">
        <v>136.85</v>
      </c>
      <c r="E28" s="54">
        <v>1.46</v>
      </c>
      <c r="F28" s="54">
        <v>3.90</v>
      </c>
      <c r="G28" s="54">
        <v>152.66</v>
      </c>
      <c r="H28" s="54">
        <v>124.04</v>
      </c>
      <c r="I28" s="54">
        <v>1.54</v>
      </c>
      <c r="J28" s="54">
        <v>0.10</v>
      </c>
      <c r="K28" s="54">
        <v>314.91000000000003</v>
      </c>
      <c r="L28" s="54">
        <v>17.61</v>
      </c>
      <c r="M28" s="54">
        <v>87.56</v>
      </c>
      <c r="N28" s="54">
        <v>27.60</v>
      </c>
      <c r="O28" s="54">
        <v>0</v>
      </c>
      <c r="P28" s="54">
        <v>4.53</v>
      </c>
      <c r="Q28" s="54">
        <v>1.95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155.41</v>
      </c>
      <c r="C29" s="54">
        <v>117.75</v>
      </c>
      <c r="D29" s="54">
        <v>190.26</v>
      </c>
      <c r="E29" s="54">
        <v>1.66</v>
      </c>
      <c r="F29" s="54">
        <v>4.3600000000000003</v>
      </c>
      <c r="G29" s="54">
        <v>162.66</v>
      </c>
      <c r="H29" s="54">
        <v>148.09</v>
      </c>
      <c r="I29" s="54">
        <v>1.55</v>
      </c>
      <c r="J29" s="54">
        <v>0.10</v>
      </c>
      <c r="K29" s="54">
        <v>350.82</v>
      </c>
      <c r="L29" s="54">
        <v>16.899999999999999</v>
      </c>
      <c r="M29" s="54">
        <v>93.82</v>
      </c>
      <c r="N29" s="54">
        <v>27.60</v>
      </c>
      <c r="O29" s="54">
        <v>0</v>
      </c>
      <c r="P29" s="54">
        <v>6.67</v>
      </c>
      <c r="Q29" s="54">
        <v>4.43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205.65</v>
      </c>
      <c r="C30" s="54">
        <v>117.29</v>
      </c>
      <c r="D30" s="54">
        <v>230.29</v>
      </c>
      <c r="E30" s="54">
        <v>1.67</v>
      </c>
      <c r="F30" s="54">
        <v>4.16</v>
      </c>
      <c r="G30" s="54">
        <v>151.66</v>
      </c>
      <c r="H30" s="54">
        <v>148.09</v>
      </c>
      <c r="I30" s="54">
        <v>1.55</v>
      </c>
      <c r="J30" s="54">
        <v>0.12</v>
      </c>
      <c r="K30" s="54">
        <v>340.59</v>
      </c>
      <c r="L30" s="54">
        <v>16.32</v>
      </c>
      <c r="M30" s="54">
        <v>97.99</v>
      </c>
      <c r="N30" s="54">
        <v>27.80</v>
      </c>
      <c r="O30" s="54">
        <v>0</v>
      </c>
      <c r="P30" s="54">
        <v>7.71</v>
      </c>
      <c r="Q30" s="54">
        <v>7.14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230.14</v>
      </c>
      <c r="C31" s="54">
        <v>114.61</v>
      </c>
      <c r="D31" s="54">
        <v>245.93</v>
      </c>
      <c r="E31" s="54">
        <v>1.73</v>
      </c>
      <c r="F31" s="54">
        <v>3.95</v>
      </c>
      <c r="G31" s="54">
        <v>152.66</v>
      </c>
      <c r="H31" s="54">
        <v>140.09</v>
      </c>
      <c r="I31" s="54">
        <v>1.48</v>
      </c>
      <c r="J31" s="54">
        <v>0.11</v>
      </c>
      <c r="K31" s="54">
        <v>274.23</v>
      </c>
      <c r="L31" s="54">
        <v>15.82</v>
      </c>
      <c r="M31" s="54">
        <v>97.61</v>
      </c>
      <c r="N31" s="54">
        <v>27.90</v>
      </c>
      <c r="O31" s="54">
        <v>0</v>
      </c>
      <c r="P31" s="54">
        <v>7.38</v>
      </c>
      <c r="Q31" s="54">
        <v>18.96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228.04</v>
      </c>
      <c r="C32" s="54">
        <v>107.48</v>
      </c>
      <c r="D32" s="54">
        <v>242.84</v>
      </c>
      <c r="E32" s="54">
        <v>1.1499999999999999</v>
      </c>
      <c r="F32" s="54">
        <v>3.70</v>
      </c>
      <c r="G32" s="54">
        <v>246.09</v>
      </c>
      <c r="H32" s="54">
        <v>145.80000000000001</v>
      </c>
      <c r="I32" s="54">
        <v>1.62</v>
      </c>
      <c r="J32" s="54">
        <v>0.11</v>
      </c>
      <c r="K32" s="54">
        <v>311.22000000000003</v>
      </c>
      <c r="L32" s="54">
        <v>15.45</v>
      </c>
      <c r="M32" s="54">
        <v>96.66</v>
      </c>
      <c r="N32" s="54">
        <v>28.10</v>
      </c>
      <c r="O32" s="54">
        <v>0</v>
      </c>
      <c r="P32" s="54">
        <v>3.48</v>
      </c>
      <c r="Q32" s="54">
        <v>32.840000000000003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2.2999999999999998</v>
      </c>
      <c r="C34" s="28">
        <f t="shared" si="0"/>
        <v>74.400000000000006</v>
      </c>
      <c r="D34" s="28">
        <f t="shared" si="0"/>
        <v>45.390000000000001</v>
      </c>
      <c r="E34" s="28">
        <f t="shared" si="0"/>
        <v>0.23999999999999999</v>
      </c>
      <c r="F34" s="28">
        <f t="shared" si="0"/>
        <v>3.3999999999999999</v>
      </c>
      <c r="G34" s="28">
        <f t="shared" si="0"/>
        <v>98.930000000000007</v>
      </c>
      <c r="H34" s="28">
        <f t="shared" si="0"/>
        <v>55.659999999999997</v>
      </c>
      <c r="I34" s="28">
        <f t="shared" si="0"/>
        <v>1.48</v>
      </c>
      <c r="J34" s="28">
        <f t="shared" si="0"/>
        <v>0.089999999999999997</v>
      </c>
      <c r="K34" s="28">
        <f t="shared" si="0"/>
        <v>88.109999999999999</v>
      </c>
      <c r="L34" s="28">
        <f t="shared" si="0"/>
        <v>12.08</v>
      </c>
      <c r="M34" s="28">
        <f t="shared" si="0"/>
        <v>37.520000000000003</v>
      </c>
      <c r="N34" s="28">
        <f t="shared" si="0"/>
        <v>27.600000000000001</v>
      </c>
      <c r="O34" s="28">
        <f t="shared" si="0"/>
        <v>0</v>
      </c>
      <c r="P34" s="28">
        <f t="shared" si="0"/>
        <v>1</v>
      </c>
      <c r="Q34" s="28">
        <f t="shared" si="0"/>
        <v>1.95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267.56999999999999</v>
      </c>
      <c r="C35" s="29">
        <f t="shared" si="1"/>
        <v>117.75</v>
      </c>
      <c r="D35" s="29">
        <f t="shared" si="1"/>
        <v>271.56</v>
      </c>
      <c r="E35" s="29">
        <f t="shared" si="1"/>
        <v>2.7799999999999998</v>
      </c>
      <c r="F35" s="29">
        <f t="shared" si="1"/>
        <v>39.890000000000001</v>
      </c>
      <c r="G35" s="29">
        <f t="shared" si="1"/>
        <v>246.09</v>
      </c>
      <c r="H35" s="29">
        <f t="shared" si="1"/>
        <v>148.09</v>
      </c>
      <c r="I35" s="29">
        <f t="shared" si="1"/>
        <v>1.6200000000000001</v>
      </c>
      <c r="J35" s="29">
        <f t="shared" si="1"/>
        <v>1</v>
      </c>
      <c r="K35" s="29">
        <f t="shared" si="1"/>
        <v>357.70999999999998</v>
      </c>
      <c r="L35" s="29">
        <f t="shared" si="1"/>
        <v>28.59</v>
      </c>
      <c r="M35" s="29">
        <f t="shared" si="1"/>
        <v>98.25</v>
      </c>
      <c r="N35" s="29">
        <f t="shared" si="1"/>
        <v>568.5</v>
      </c>
      <c r="O35" s="29">
        <f t="shared" si="1"/>
        <v>0</v>
      </c>
      <c r="P35" s="29">
        <f t="shared" si="1"/>
        <v>7.71</v>
      </c>
      <c r="Q35" s="29">
        <f t="shared" si="1"/>
        <v>47.729999999999997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97.55083333333333</v>
      </c>
      <c r="C36" s="28">
        <f t="shared" si="2"/>
        <v>91.384583333333339</v>
      </c>
      <c r="D36" s="28">
        <f t="shared" si="2"/>
        <v>128.94874999999999</v>
      </c>
      <c r="E36" s="28">
        <f t="shared" si="2"/>
        <v>1.1720833333333334</v>
      </c>
      <c r="F36" s="28">
        <f t="shared" si="2"/>
        <v>8.9383333333333344</v>
      </c>
      <c r="G36" s="28">
        <f t="shared" si="2"/>
        <v>150.46624999999997</v>
      </c>
      <c r="H36" s="28">
        <f t="shared" si="2"/>
        <v>97.270416666666677</v>
      </c>
      <c r="I36" s="28">
        <f t="shared" si="2"/>
        <v>1.5429166666666665</v>
      </c>
      <c r="J36" s="28">
        <f t="shared" si="2"/>
        <v>0.31374999999999992</v>
      </c>
      <c r="K36" s="28">
        <f t="shared" si="2"/>
        <v>276.32791666666668</v>
      </c>
      <c r="L36" s="28">
        <f t="shared" si="2"/>
        <v>18.483749999999997</v>
      </c>
      <c r="M36" s="28">
        <f t="shared" si="2"/>
        <v>79.467083333333321</v>
      </c>
      <c r="N36" s="28">
        <f t="shared" si="2"/>
        <v>178.75416666666672</v>
      </c>
      <c r="O36" s="28">
        <f t="shared" si="2"/>
        <v>0</v>
      </c>
      <c r="P36" s="28">
        <f t="shared" si="2"/>
        <v>2.5462500000000001</v>
      </c>
      <c r="Q36" s="28">
        <f t="shared" si="2"/>
        <v>16.19458333333333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84.043332038567613</v>
      </c>
      <c r="C37" s="28">
        <f t="shared" si="3" ref="C37:Q37">STDEV(C9:C32)</f>
        <v>13.6318275208414</v>
      </c>
      <c r="D37" s="28">
        <f t="shared" si="3"/>
        <v>72.095512633227202</v>
      </c>
      <c r="E37" s="28">
        <f t="shared" si="3"/>
        <v>0.7205129764795094</v>
      </c>
      <c r="F37" s="28">
        <f t="shared" si="3"/>
        <v>9.4081309268223876</v>
      </c>
      <c r="G37" s="28">
        <f t="shared" si="3"/>
        <v>38.547743272635977</v>
      </c>
      <c r="H37" s="28">
        <f t="shared" si="3"/>
        <v>32.377371792143109</v>
      </c>
      <c r="I37" s="28">
        <f t="shared" si="3"/>
        <v>0.034575584080283529</v>
      </c>
      <c r="J37" s="28">
        <f t="shared" si="3"/>
        <v>0.30629358607317464</v>
      </c>
      <c r="K37" s="28">
        <f t="shared" si="3"/>
        <v>84.45207681330119</v>
      </c>
      <c r="L37" s="28">
        <f t="shared" si="3"/>
        <v>5.1855583846746507</v>
      </c>
      <c r="M37" s="28">
        <f t="shared" si="3"/>
        <v>22.763437594598713</v>
      </c>
      <c r="N37" s="28">
        <f t="shared" si="3"/>
        <v>201.08083596051537</v>
      </c>
      <c r="O37" s="28">
        <f t="shared" si="3"/>
        <v>0</v>
      </c>
      <c r="P37" s="28">
        <f t="shared" si="3"/>
        <v>2.1832381465034514</v>
      </c>
      <c r="Q37" s="28">
        <f t="shared" si="3"/>
        <v>13.522837038061612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dc0909-f04d-46ce-b973-127464490f8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205.22</v>
      </c>
      <c r="C9" s="54">
        <v>101.39</v>
      </c>
      <c r="D9" s="54">
        <v>221.18</v>
      </c>
      <c r="E9" s="54">
        <v>0.81</v>
      </c>
      <c r="F9" s="54">
        <v>3.54</v>
      </c>
      <c r="G9" s="54">
        <v>246.09</v>
      </c>
      <c r="H9" s="54">
        <v>145.80000000000001</v>
      </c>
      <c r="I9" s="54">
        <v>1.55</v>
      </c>
      <c r="J9" s="54">
        <v>0.12</v>
      </c>
      <c r="K9" s="54">
        <v>306.29000000000002</v>
      </c>
      <c r="L9" s="54">
        <v>14.65</v>
      </c>
      <c r="M9" s="54">
        <v>98.20</v>
      </c>
      <c r="N9" s="54">
        <v>28.20</v>
      </c>
      <c r="O9" s="54">
        <v>0</v>
      </c>
      <c r="P9" s="54">
        <v>3.03</v>
      </c>
      <c r="Q9" s="54">
        <v>30.67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187.71</v>
      </c>
      <c r="C10" s="54">
        <v>95.16</v>
      </c>
      <c r="D10" s="54">
        <v>203.70</v>
      </c>
      <c r="E10" s="54">
        <v>0.74</v>
      </c>
      <c r="F10" s="54">
        <v>3.63</v>
      </c>
      <c r="G10" s="54">
        <v>213.17</v>
      </c>
      <c r="H10" s="54">
        <v>126.68</v>
      </c>
      <c r="I10" s="54">
        <v>1.51</v>
      </c>
      <c r="J10" s="54">
        <v>0.11</v>
      </c>
      <c r="K10" s="54">
        <v>302.19</v>
      </c>
      <c r="L10" s="54">
        <v>14.21</v>
      </c>
      <c r="M10" s="54">
        <v>98.22</v>
      </c>
      <c r="N10" s="54">
        <v>28.30</v>
      </c>
      <c r="O10" s="54">
        <v>0</v>
      </c>
      <c r="P10" s="54">
        <v>2.3199999999999998</v>
      </c>
      <c r="Q10" s="54">
        <v>28.29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161.06</v>
      </c>
      <c r="C11" s="54">
        <v>89.68</v>
      </c>
      <c r="D11" s="54">
        <v>179.30</v>
      </c>
      <c r="E11" s="54">
        <v>0.59</v>
      </c>
      <c r="F11" s="54">
        <v>3.67</v>
      </c>
      <c r="G11" s="54">
        <v>199.12</v>
      </c>
      <c r="H11" s="54">
        <v>113.56</v>
      </c>
      <c r="I11" s="54">
        <v>1.54</v>
      </c>
      <c r="J11" s="54">
        <v>0.10</v>
      </c>
      <c r="K11" s="54">
        <v>290.37</v>
      </c>
      <c r="L11" s="54">
        <v>13.93</v>
      </c>
      <c r="M11" s="54">
        <v>98.23</v>
      </c>
      <c r="N11" s="54">
        <v>28.30</v>
      </c>
      <c r="O11" s="54">
        <v>0</v>
      </c>
      <c r="P11" s="54">
        <v>2</v>
      </c>
      <c r="Q11" s="54">
        <v>25.49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133.58000000000001</v>
      </c>
      <c r="C12" s="54">
        <v>84.17</v>
      </c>
      <c r="D12" s="54">
        <v>153.97</v>
      </c>
      <c r="E12" s="54">
        <v>0.41</v>
      </c>
      <c r="F12" s="54">
        <v>3.5</v>
      </c>
      <c r="G12" s="54">
        <v>172.60</v>
      </c>
      <c r="H12" s="54">
        <v>107.30</v>
      </c>
      <c r="I12" s="54">
        <v>1.57</v>
      </c>
      <c r="J12" s="54">
        <v>0.13</v>
      </c>
      <c r="K12" s="54">
        <v>324.27</v>
      </c>
      <c r="L12" s="54">
        <v>13.57</v>
      </c>
      <c r="M12" s="54">
        <v>98.25</v>
      </c>
      <c r="N12" s="54">
        <v>28.30</v>
      </c>
      <c r="O12" s="54">
        <v>0</v>
      </c>
      <c r="P12" s="54">
        <v>1.36</v>
      </c>
      <c r="Q12" s="54">
        <v>25.56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107.57</v>
      </c>
      <c r="C13" s="54">
        <v>79.66</v>
      </c>
      <c r="D13" s="54">
        <v>130.87</v>
      </c>
      <c r="E13" s="54">
        <v>0.71</v>
      </c>
      <c r="F13" s="54">
        <v>3.35</v>
      </c>
      <c r="G13" s="54">
        <v>153.47999999999999</v>
      </c>
      <c r="H13" s="54">
        <v>98.37</v>
      </c>
      <c r="I13" s="54">
        <v>1.57</v>
      </c>
      <c r="J13" s="54">
        <v>0.12</v>
      </c>
      <c r="K13" s="54">
        <v>352.95</v>
      </c>
      <c r="L13" s="54">
        <v>13.42</v>
      </c>
      <c r="M13" s="54">
        <v>98.25</v>
      </c>
      <c r="N13" s="54">
        <v>28.20</v>
      </c>
      <c r="O13" s="54">
        <v>0</v>
      </c>
      <c r="P13" s="54">
        <v>1.83</v>
      </c>
      <c r="Q13" s="54">
        <v>20.329999999999998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94.28</v>
      </c>
      <c r="C14" s="54">
        <v>79.290000000000006</v>
      </c>
      <c r="D14" s="54">
        <v>120.01</v>
      </c>
      <c r="E14" s="54">
        <v>0.68</v>
      </c>
      <c r="F14" s="54">
        <v>3.37</v>
      </c>
      <c r="G14" s="54">
        <v>212.75</v>
      </c>
      <c r="H14" s="54">
        <v>102.71</v>
      </c>
      <c r="I14" s="54">
        <v>1.59</v>
      </c>
      <c r="J14" s="54">
        <v>0.11</v>
      </c>
      <c r="K14" s="54">
        <v>347.07</v>
      </c>
      <c r="L14" s="54">
        <v>13.51</v>
      </c>
      <c r="M14" s="54">
        <v>98.20</v>
      </c>
      <c r="N14" s="54">
        <v>28.30</v>
      </c>
      <c r="O14" s="54">
        <v>0</v>
      </c>
      <c r="P14" s="54">
        <v>1.65</v>
      </c>
      <c r="Q14" s="54">
        <v>18.329999999999998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86.77</v>
      </c>
      <c r="C15" s="54">
        <v>80.760000000000005</v>
      </c>
      <c r="D15" s="54">
        <v>114.80</v>
      </c>
      <c r="E15" s="54">
        <v>0.73</v>
      </c>
      <c r="F15" s="54">
        <v>3.48</v>
      </c>
      <c r="G15" s="54">
        <v>212.75</v>
      </c>
      <c r="H15" s="54">
        <v>103.39</v>
      </c>
      <c r="I15" s="54">
        <v>1.55</v>
      </c>
      <c r="J15" s="54">
        <v>0.13</v>
      </c>
      <c r="K15" s="54">
        <v>304.25</v>
      </c>
      <c r="L15" s="54">
        <v>13.26</v>
      </c>
      <c r="M15" s="54">
        <v>98.25</v>
      </c>
      <c r="N15" s="54">
        <v>47.20</v>
      </c>
      <c r="O15" s="54">
        <v>0</v>
      </c>
      <c r="P15" s="54">
        <v>1.73</v>
      </c>
      <c r="Q15" s="54">
        <v>15.06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105.25</v>
      </c>
      <c r="C16" s="54">
        <v>80.64</v>
      </c>
      <c r="D16" s="54">
        <v>129.55000000000001</v>
      </c>
      <c r="E16" s="54">
        <v>0.82</v>
      </c>
      <c r="F16" s="54">
        <v>3.65</v>
      </c>
      <c r="G16" s="54">
        <v>224.13</v>
      </c>
      <c r="H16" s="54">
        <v>103.39</v>
      </c>
      <c r="I16" s="54">
        <v>1.53</v>
      </c>
      <c r="J16" s="54">
        <v>0.10</v>
      </c>
      <c r="K16" s="54">
        <v>343.89</v>
      </c>
      <c r="L16" s="54">
        <v>16.28</v>
      </c>
      <c r="M16" s="54">
        <v>98.25</v>
      </c>
      <c r="N16" s="54">
        <v>160.90</v>
      </c>
      <c r="O16" s="54">
        <v>0</v>
      </c>
      <c r="P16" s="54">
        <v>2.5299999999999998</v>
      </c>
      <c r="Q16" s="54">
        <v>8.74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107.32</v>
      </c>
      <c r="C17" s="54">
        <v>83.98</v>
      </c>
      <c r="D17" s="54">
        <v>131.78</v>
      </c>
      <c r="E17" s="54">
        <v>0.77</v>
      </c>
      <c r="F17" s="54">
        <v>3.84</v>
      </c>
      <c r="G17" s="54">
        <v>224.13</v>
      </c>
      <c r="H17" s="54">
        <v>100.70</v>
      </c>
      <c r="I17" s="54">
        <v>1.53</v>
      </c>
      <c r="J17" s="54">
        <v>0.17</v>
      </c>
      <c r="K17" s="54">
        <v>70.540000000000006</v>
      </c>
      <c r="L17" s="54">
        <v>19.63</v>
      </c>
      <c r="M17" s="54">
        <v>82.07</v>
      </c>
      <c r="N17" s="54">
        <v>288</v>
      </c>
      <c r="O17" s="54">
        <v>0</v>
      </c>
      <c r="P17" s="54">
        <v>1.98</v>
      </c>
      <c r="Q17" s="54">
        <v>17.97</v>
      </c>
      <c r="R17" s="43"/>
      <c r="S17" s="43"/>
      <c r="T17" s="43"/>
      <c r="U17" s="43"/>
    </row>
    <row r="18" spans="1:21" s="11" customFormat="1" ht="15">
      <c r="A18" s="53" t="s">
        <v>671</v>
      </c>
      <c r="B18" s="55" t="s">
        <v>12</v>
      </c>
      <c r="C18" s="55" t="s">
        <v>12</v>
      </c>
      <c r="D18" s="55" t="s">
        <v>12</v>
      </c>
      <c r="E18" s="54">
        <v>0.70</v>
      </c>
      <c r="F18" s="54">
        <v>4.63</v>
      </c>
      <c r="G18" s="54">
        <v>200.39</v>
      </c>
      <c r="H18" s="54">
        <v>100.30</v>
      </c>
      <c r="I18" s="54">
        <v>1.60</v>
      </c>
      <c r="J18" s="54">
        <v>0.55000000000000004</v>
      </c>
      <c r="K18" s="54">
        <v>117.49</v>
      </c>
      <c r="L18" s="54">
        <v>21.30</v>
      </c>
      <c r="M18" s="54">
        <v>71.25</v>
      </c>
      <c r="N18" s="54">
        <v>437.20</v>
      </c>
      <c r="O18" s="54">
        <v>0</v>
      </c>
      <c r="P18" s="54">
        <v>1.74</v>
      </c>
      <c r="Q18" s="54">
        <v>16.89</v>
      </c>
      <c r="R18" s="43"/>
      <c r="S18" s="43"/>
      <c r="T18" s="43"/>
      <c r="U18" s="43"/>
    </row>
    <row r="19" spans="1:21" s="11" customFormat="1" ht="15">
      <c r="A19" s="53" t="s">
        <v>672</v>
      </c>
      <c r="B19" s="55" t="s">
        <v>12</v>
      </c>
      <c r="C19" s="55" t="s">
        <v>12</v>
      </c>
      <c r="D19" s="55" t="s">
        <v>12</v>
      </c>
      <c r="E19" s="54">
        <v>0.65</v>
      </c>
      <c r="F19" s="54">
        <v>9.58</v>
      </c>
      <c r="G19" s="54">
        <v>200.39</v>
      </c>
      <c r="H19" s="54">
        <v>97.36</v>
      </c>
      <c r="I19" s="54">
        <v>1.57</v>
      </c>
      <c r="J19" s="54">
        <v>0.25</v>
      </c>
      <c r="K19" s="54">
        <v>100.79</v>
      </c>
      <c r="L19" s="54">
        <v>24.60</v>
      </c>
      <c r="M19" s="54">
        <v>57.75</v>
      </c>
      <c r="N19" s="54">
        <v>516.70000000000005</v>
      </c>
      <c r="O19" s="54">
        <v>0</v>
      </c>
      <c r="P19" s="54">
        <v>1.55</v>
      </c>
      <c r="Q19" s="54">
        <v>14.15</v>
      </c>
      <c r="R19" s="43"/>
      <c r="S19" s="43"/>
      <c r="T19" s="43"/>
      <c r="U19" s="43"/>
    </row>
    <row r="20" spans="1:21" s="11" customFormat="1" ht="15">
      <c r="A20" s="53" t="s">
        <v>673</v>
      </c>
      <c r="B20" s="55" t="s">
        <v>12</v>
      </c>
      <c r="C20" s="55" t="s">
        <v>12</v>
      </c>
      <c r="D20" s="55" t="s">
        <v>12</v>
      </c>
      <c r="E20" s="54">
        <v>0.66</v>
      </c>
      <c r="F20" s="54">
        <v>12.81</v>
      </c>
      <c r="G20" s="55" t="s">
        <v>12</v>
      </c>
      <c r="H20" s="55" t="s">
        <v>12</v>
      </c>
      <c r="I20" s="54">
        <v>1.53</v>
      </c>
      <c r="J20" s="54">
        <v>0.53</v>
      </c>
      <c r="K20" s="54">
        <v>342.62</v>
      </c>
      <c r="L20" s="54">
        <v>26.21</v>
      </c>
      <c r="M20" s="54">
        <v>47.02</v>
      </c>
      <c r="N20" s="54">
        <v>568.60</v>
      </c>
      <c r="O20" s="54">
        <v>0</v>
      </c>
      <c r="P20" s="54">
        <v>1.31</v>
      </c>
      <c r="Q20" s="54">
        <v>11.14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4.03</v>
      </c>
      <c r="C21" s="54">
        <v>98.77</v>
      </c>
      <c r="D21" s="54">
        <v>58.39</v>
      </c>
      <c r="E21" s="18" t="s">
        <v>12</v>
      </c>
      <c r="F21" s="54">
        <v>48.51</v>
      </c>
      <c r="G21" s="55" t="s">
        <v>12</v>
      </c>
      <c r="H21" s="55" t="s">
        <v>12</v>
      </c>
      <c r="I21" s="54">
        <v>1.53</v>
      </c>
      <c r="J21" s="54">
        <v>0.89</v>
      </c>
      <c r="K21" s="54">
        <v>336.84</v>
      </c>
      <c r="L21" s="54">
        <v>29.51</v>
      </c>
      <c r="M21" s="54">
        <v>42.70</v>
      </c>
      <c r="N21" s="54">
        <v>548.60</v>
      </c>
      <c r="O21" s="54">
        <v>0</v>
      </c>
      <c r="P21" s="54">
        <v>1.06</v>
      </c>
      <c r="Q21" s="54">
        <v>9.11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2.73</v>
      </c>
      <c r="C22" s="54">
        <v>90.33</v>
      </c>
      <c r="D22" s="54">
        <v>52.20</v>
      </c>
      <c r="E22" s="54">
        <v>2.2200000000000002</v>
      </c>
      <c r="F22" s="54">
        <v>46.67</v>
      </c>
      <c r="G22" s="54">
        <v>123.37</v>
      </c>
      <c r="H22" s="54">
        <v>57.47</v>
      </c>
      <c r="I22" s="54">
        <v>1.55</v>
      </c>
      <c r="J22" s="54">
        <v>0.41</v>
      </c>
      <c r="K22" s="54">
        <v>342.76</v>
      </c>
      <c r="L22" s="54">
        <v>28.75</v>
      </c>
      <c r="M22" s="54">
        <v>38.450000000000003</v>
      </c>
      <c r="N22" s="54">
        <v>498.80</v>
      </c>
      <c r="O22" s="54">
        <v>0</v>
      </c>
      <c r="P22" s="54">
        <v>1.08</v>
      </c>
      <c r="Q22" s="54">
        <v>7.29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2.66</v>
      </c>
      <c r="C23" s="54">
        <v>83.80</v>
      </c>
      <c r="D23" s="54">
        <v>48.98</v>
      </c>
      <c r="E23" s="54">
        <v>2.37</v>
      </c>
      <c r="F23" s="54">
        <v>51.25</v>
      </c>
      <c r="G23" s="54">
        <v>118.77</v>
      </c>
      <c r="H23" s="54">
        <v>60.35</v>
      </c>
      <c r="I23" s="54">
        <v>1.53</v>
      </c>
      <c r="J23" s="54">
        <v>0.73</v>
      </c>
      <c r="K23" s="54">
        <v>132.96</v>
      </c>
      <c r="L23" s="54">
        <v>26.36</v>
      </c>
      <c r="M23" s="54">
        <v>42.03</v>
      </c>
      <c r="N23" s="54">
        <v>210.5</v>
      </c>
      <c r="O23" s="54">
        <v>0</v>
      </c>
      <c r="P23" s="55" t="s">
        <v>12</v>
      </c>
      <c r="Q23" s="54">
        <v>7.31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2.39</v>
      </c>
      <c r="C24" s="54">
        <v>73.47</v>
      </c>
      <c r="D24" s="54">
        <v>43.11</v>
      </c>
      <c r="E24" s="54">
        <v>2.11</v>
      </c>
      <c r="F24" s="54">
        <v>38</v>
      </c>
      <c r="G24" s="54">
        <v>115.46</v>
      </c>
      <c r="H24" s="54">
        <v>61.49</v>
      </c>
      <c r="I24" s="54">
        <v>1.52</v>
      </c>
      <c r="J24" s="54">
        <v>0.89</v>
      </c>
      <c r="K24" s="54">
        <v>344.08</v>
      </c>
      <c r="L24" s="54">
        <v>25.05</v>
      </c>
      <c r="M24" s="54">
        <v>44.10</v>
      </c>
      <c r="N24" s="54">
        <v>142.40</v>
      </c>
      <c r="O24" s="54">
        <v>0</v>
      </c>
      <c r="P24" s="55" t="s">
        <v>12</v>
      </c>
      <c r="Q24" s="54">
        <v>5.49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5.14</v>
      </c>
      <c r="C25" s="54">
        <v>87.55</v>
      </c>
      <c r="D25" s="54">
        <v>53.08</v>
      </c>
      <c r="E25" s="54">
        <v>2.08</v>
      </c>
      <c r="F25" s="54">
        <v>19.84</v>
      </c>
      <c r="G25" s="54">
        <v>131.10</v>
      </c>
      <c r="H25" s="54">
        <v>63.13</v>
      </c>
      <c r="I25" s="54">
        <v>1.58</v>
      </c>
      <c r="J25" s="54">
        <v>0.30</v>
      </c>
      <c r="K25" s="54">
        <v>350.29</v>
      </c>
      <c r="L25" s="54">
        <v>24.66</v>
      </c>
      <c r="M25" s="54">
        <v>52.91</v>
      </c>
      <c r="N25" s="54">
        <v>85.70</v>
      </c>
      <c r="O25" s="54">
        <v>0</v>
      </c>
      <c r="P25" s="54">
        <v>1.79</v>
      </c>
      <c r="Q25" s="54">
        <v>3.53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10.48</v>
      </c>
      <c r="C26" s="54">
        <v>116.07</v>
      </c>
      <c r="D26" s="54">
        <v>73.11</v>
      </c>
      <c r="E26" s="54">
        <v>1.58</v>
      </c>
      <c r="F26" s="54">
        <v>6.16</v>
      </c>
      <c r="G26" s="54">
        <v>145.30000000000001</v>
      </c>
      <c r="H26" s="54">
        <v>74.099999999999994</v>
      </c>
      <c r="I26" s="54">
        <v>1.60</v>
      </c>
      <c r="J26" s="54">
        <v>0.23</v>
      </c>
      <c r="K26" s="54">
        <v>346.81</v>
      </c>
      <c r="L26" s="54">
        <v>21.91</v>
      </c>
      <c r="M26" s="54">
        <v>64.11</v>
      </c>
      <c r="N26" s="54">
        <v>41.20</v>
      </c>
      <c r="O26" s="54">
        <v>0</v>
      </c>
      <c r="P26" s="54">
        <v>1.89</v>
      </c>
      <c r="Q26" s="54">
        <v>6.45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15.22</v>
      </c>
      <c r="C27" s="54">
        <v>112.80</v>
      </c>
      <c r="D27" s="54">
        <v>73.13</v>
      </c>
      <c r="E27" s="54">
        <v>1.06</v>
      </c>
      <c r="F27" s="54">
        <v>3.87</v>
      </c>
      <c r="G27" s="54">
        <v>158.59</v>
      </c>
      <c r="H27" s="54">
        <v>76.86</v>
      </c>
      <c r="I27" s="54">
        <v>1.51</v>
      </c>
      <c r="J27" s="54">
        <v>0.12</v>
      </c>
      <c r="K27" s="54">
        <v>356.73</v>
      </c>
      <c r="L27" s="54">
        <v>20.170000000000002</v>
      </c>
      <c r="M27" s="54">
        <v>67.83</v>
      </c>
      <c r="N27" s="54">
        <v>36</v>
      </c>
      <c r="O27" s="54">
        <v>0</v>
      </c>
      <c r="P27" s="54">
        <v>2.57</v>
      </c>
      <c r="Q27" s="54">
        <v>5.04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32.31</v>
      </c>
      <c r="C28" s="54">
        <v>106.94</v>
      </c>
      <c r="D28" s="54">
        <v>84.22</v>
      </c>
      <c r="E28" s="54">
        <v>1.31</v>
      </c>
      <c r="F28" s="54">
        <v>3.88</v>
      </c>
      <c r="G28" s="54">
        <v>191.42</v>
      </c>
      <c r="H28" s="54">
        <v>90.72</v>
      </c>
      <c r="I28" s="54">
        <v>1.56</v>
      </c>
      <c r="J28" s="54">
        <v>0.19</v>
      </c>
      <c r="K28" s="54">
        <v>348.06</v>
      </c>
      <c r="L28" s="54">
        <v>18.059999999999999</v>
      </c>
      <c r="M28" s="54">
        <v>82.44</v>
      </c>
      <c r="N28" s="54">
        <v>36.10</v>
      </c>
      <c r="O28" s="54">
        <v>0</v>
      </c>
      <c r="P28" s="54">
        <v>4.43</v>
      </c>
      <c r="Q28" s="54">
        <v>2.09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66.680000000000007</v>
      </c>
      <c r="C29" s="54">
        <v>104.09</v>
      </c>
      <c r="D29" s="54">
        <v>111.56</v>
      </c>
      <c r="E29" s="54">
        <v>1.47</v>
      </c>
      <c r="F29" s="54">
        <v>4</v>
      </c>
      <c r="G29" s="54">
        <v>232.65</v>
      </c>
      <c r="H29" s="54">
        <v>99.07</v>
      </c>
      <c r="I29" s="54">
        <v>1.54</v>
      </c>
      <c r="J29" s="54">
        <v>0.12</v>
      </c>
      <c r="K29" s="54">
        <v>320.87</v>
      </c>
      <c r="L29" s="54">
        <v>16.68</v>
      </c>
      <c r="M29" s="54">
        <v>85.64</v>
      </c>
      <c r="N29" s="54">
        <v>36.10</v>
      </c>
      <c r="O29" s="54">
        <v>0</v>
      </c>
      <c r="P29" s="54">
        <v>5.12</v>
      </c>
      <c r="Q29" s="54">
        <v>0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100.19</v>
      </c>
      <c r="C30" s="54">
        <v>105.24</v>
      </c>
      <c r="D30" s="54">
        <v>138.83000000000001</v>
      </c>
      <c r="E30" s="54">
        <v>1.40</v>
      </c>
      <c r="F30" s="54">
        <v>3.72</v>
      </c>
      <c r="G30" s="54">
        <v>242.92</v>
      </c>
      <c r="H30" s="54">
        <v>102.76</v>
      </c>
      <c r="I30" s="54">
        <v>1.55</v>
      </c>
      <c r="J30" s="54">
        <v>0.15</v>
      </c>
      <c r="K30" s="54">
        <v>319.27</v>
      </c>
      <c r="L30" s="54">
        <v>16.29</v>
      </c>
      <c r="M30" s="54">
        <v>88.18</v>
      </c>
      <c r="N30" s="54">
        <v>36.200000000000003</v>
      </c>
      <c r="O30" s="54">
        <v>0</v>
      </c>
      <c r="P30" s="54">
        <v>4.4800000000000004</v>
      </c>
      <c r="Q30" s="54">
        <v>2.87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134.63999999999999</v>
      </c>
      <c r="C31" s="54">
        <v>105.43</v>
      </c>
      <c r="D31" s="54">
        <v>166.80</v>
      </c>
      <c r="E31" s="54">
        <v>1.22</v>
      </c>
      <c r="F31" s="54">
        <v>3.43</v>
      </c>
      <c r="G31" s="54">
        <v>247.86</v>
      </c>
      <c r="H31" s="54">
        <v>106.30</v>
      </c>
      <c r="I31" s="54">
        <v>1.56</v>
      </c>
      <c r="J31" s="54">
        <v>0.13</v>
      </c>
      <c r="K31" s="54">
        <v>348.38</v>
      </c>
      <c r="L31" s="54">
        <v>15.58</v>
      </c>
      <c r="M31" s="54">
        <v>91.83</v>
      </c>
      <c r="N31" s="54">
        <v>36.60</v>
      </c>
      <c r="O31" s="54">
        <v>0</v>
      </c>
      <c r="P31" s="54">
        <v>4.66</v>
      </c>
      <c r="Q31" s="54">
        <v>10.42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146.96</v>
      </c>
      <c r="C32" s="54">
        <v>106.18</v>
      </c>
      <c r="D32" s="54">
        <v>177.10</v>
      </c>
      <c r="E32" s="54">
        <v>1.0900000000000001</v>
      </c>
      <c r="F32" s="54">
        <v>3.67</v>
      </c>
      <c r="G32" s="54">
        <v>249.32</v>
      </c>
      <c r="H32" s="54">
        <v>106.62</v>
      </c>
      <c r="I32" s="54">
        <v>1.58</v>
      </c>
      <c r="J32" s="54">
        <v>0.18</v>
      </c>
      <c r="K32" s="54">
        <v>337.5</v>
      </c>
      <c r="L32" s="54">
        <v>15.56</v>
      </c>
      <c r="M32" s="54">
        <v>92.03</v>
      </c>
      <c r="N32" s="54">
        <v>36.5</v>
      </c>
      <c r="O32" s="54">
        <v>0</v>
      </c>
      <c r="P32" s="54">
        <v>4.05</v>
      </c>
      <c r="Q32" s="54">
        <v>24.31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73.469999999999999</v>
      </c>
      <c r="D34" s="28">
        <f t="shared" si="0"/>
        <v>43.109999999999999</v>
      </c>
      <c r="E34" s="28">
        <f t="shared" si="0"/>
        <v>0.40999999999999998</v>
      </c>
      <c r="F34" s="28">
        <f t="shared" si="0"/>
        <v>3.3500000000000001</v>
      </c>
      <c r="G34" s="28">
        <f t="shared" si="0"/>
        <v>115.45999999999999</v>
      </c>
      <c r="H34" s="28">
        <f t="shared" si="0"/>
        <v>57.469999999999999</v>
      </c>
      <c r="I34" s="28">
        <f t="shared" si="0"/>
        <v>1.51</v>
      </c>
      <c r="J34" s="28">
        <f t="shared" si="0"/>
        <v>0.10000000000000001</v>
      </c>
      <c r="K34" s="28">
        <f t="shared" si="0"/>
        <v>70.540000000000006</v>
      </c>
      <c r="L34" s="28">
        <f t="shared" si="0"/>
        <v>13.26</v>
      </c>
      <c r="M34" s="28">
        <f t="shared" si="0"/>
        <v>38.450000000000003</v>
      </c>
      <c r="N34" s="28">
        <f t="shared" si="0"/>
        <v>28.199999999999999</v>
      </c>
      <c r="O34" s="28">
        <f t="shared" si="0"/>
        <v>0</v>
      </c>
      <c r="P34" s="28">
        <f t="shared" si="0"/>
        <v>1.0600000000000001</v>
      </c>
      <c r="Q34" s="28">
        <f t="shared" si="0"/>
        <v>0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205.22</v>
      </c>
      <c r="C35" s="29">
        <f t="shared" si="1"/>
        <v>116.06999999999999</v>
      </c>
      <c r="D35" s="29">
        <f t="shared" si="1"/>
        <v>221.18000000000001</v>
      </c>
      <c r="E35" s="29">
        <f t="shared" si="1"/>
        <v>2.3700000000000001</v>
      </c>
      <c r="F35" s="29">
        <f t="shared" si="1"/>
        <v>51.25</v>
      </c>
      <c r="G35" s="29">
        <f t="shared" si="1"/>
        <v>249.31999999999999</v>
      </c>
      <c r="H35" s="29">
        <f t="shared" si="1"/>
        <v>145.80000000000001</v>
      </c>
      <c r="I35" s="29">
        <f t="shared" si="1"/>
        <v>1.6000000000000001</v>
      </c>
      <c r="J35" s="29">
        <f t="shared" si="1"/>
        <v>0.89000000000000001</v>
      </c>
      <c r="K35" s="29">
        <f t="shared" si="1"/>
        <v>356.73000000000002</v>
      </c>
      <c r="L35" s="29">
        <f t="shared" si="1"/>
        <v>29.510000000000002</v>
      </c>
      <c r="M35" s="29">
        <f t="shared" si="1"/>
        <v>98.25</v>
      </c>
      <c r="N35" s="29">
        <f t="shared" si="1"/>
        <v>568.60000000000002</v>
      </c>
      <c r="O35" s="29">
        <f t="shared" si="1"/>
        <v>0</v>
      </c>
      <c r="P35" s="29">
        <f t="shared" si="1"/>
        <v>5.1200000000000001</v>
      </c>
      <c r="Q35" s="29">
        <f t="shared" si="1"/>
        <v>30.670000000000002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81.532857142857168</v>
      </c>
      <c r="C36" s="28">
        <f t="shared" si="2"/>
        <v>93.590476190476195</v>
      </c>
      <c r="D36" s="28">
        <f t="shared" si="2"/>
        <v>117.41285714285715</v>
      </c>
      <c r="E36" s="28">
        <f t="shared" si="2"/>
        <v>1.138260869565217</v>
      </c>
      <c r="F36" s="28">
        <f t="shared" si="2"/>
        <v>12.168750000000003</v>
      </c>
      <c r="G36" s="28">
        <f t="shared" si="2"/>
        <v>191.62545454545455</v>
      </c>
      <c r="H36" s="28">
        <f t="shared" si="2"/>
        <v>95.383181818181811</v>
      </c>
      <c r="I36" s="28">
        <f t="shared" si="2"/>
        <v>1.5520833333333333</v>
      </c>
      <c r="J36" s="28">
        <f t="shared" si="2"/>
        <v>0.28166666666666668</v>
      </c>
      <c r="K36" s="28">
        <f t="shared" si="2"/>
        <v>295.3029166666667</v>
      </c>
      <c r="L36" s="28">
        <f t="shared" si="2"/>
        <v>19.297916666666673</v>
      </c>
      <c r="M36" s="28">
        <f t="shared" si="2"/>
        <v>76.507916666666674</v>
      </c>
      <c r="N36" s="28">
        <f t="shared" si="2"/>
        <v>163.87083333333331</v>
      </c>
      <c r="O36" s="28">
        <f t="shared" si="2"/>
        <v>0</v>
      </c>
      <c r="P36" s="28">
        <f t="shared" si="2"/>
        <v>2.461818181818181</v>
      </c>
      <c r="Q36" s="28">
        <f t="shared" si="2"/>
        <v>13.188750000000001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66.248183608522936</v>
      </c>
      <c r="C37" s="28">
        <f t="shared" si="3" ref="C37:Q37">STDEV(C9:C32)</f>
        <v>12.574559823783291</v>
      </c>
      <c r="D37" s="28">
        <f t="shared" si="3"/>
        <v>53.631661650824967</v>
      </c>
      <c r="E37" s="28">
        <f t="shared" si="3"/>
        <v>0.58349769941053964</v>
      </c>
      <c r="F37" s="28">
        <f t="shared" si="3"/>
        <v>16.092338796296282</v>
      </c>
      <c r="G37" s="28">
        <f t="shared" si="3"/>
        <v>44.687686247606138</v>
      </c>
      <c r="H37" s="28">
        <f t="shared" si="3"/>
        <v>22.066949944886616</v>
      </c>
      <c r="I37" s="28">
        <f t="shared" si="3"/>
        <v>0.026371784438917946</v>
      </c>
      <c r="J37" s="28">
        <f t="shared" si="3"/>
        <v>0.25041993716063471</v>
      </c>
      <c r="K37" s="28">
        <f t="shared" si="3"/>
        <v>89.066726841473113</v>
      </c>
      <c r="L37" s="28">
        <f t="shared" si="3"/>
        <v>5.3604315036941683</v>
      </c>
      <c r="M37" s="28">
        <f t="shared" si="3"/>
        <v>22.265188265866776</v>
      </c>
      <c r="N37" s="28">
        <f t="shared" si="3"/>
        <v>196.05609108479462</v>
      </c>
      <c r="O37" s="28">
        <f t="shared" si="3"/>
        <v>0</v>
      </c>
      <c r="P37" s="28">
        <f t="shared" si="3"/>
        <v>1.2594694134687068</v>
      </c>
      <c r="Q37" s="28">
        <f t="shared" si="3"/>
        <v>9.0065933879864755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COUNT(B9:B32)+3</f>
        <v>24</v>
      </c>
      <c r="C38" s="32">
        <f>COUNT(C9:C32)+3</f>
        <v>24</v>
      </c>
      <c r="D38" s="32">
        <f>COUNT(D9:D32)+3</f>
        <v>24</v>
      </c>
      <c r="E38" s="32">
        <f>COUNT(E9:E32)+1</f>
        <v>24</v>
      </c>
      <c r="F38" s="32">
        <f>COUNT(F9:F32)</f>
        <v>24</v>
      </c>
      <c r="G38" s="32">
        <f>COUNT(G9:G32)+2</f>
        <v>24</v>
      </c>
      <c r="H38" s="32">
        <f>COUNT(H9:H32)+2</f>
        <v>24</v>
      </c>
      <c r="I38" s="32">
        <f t="shared" si="4" ref="I38:Q38">COUNT(I9:I32)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3de08a-4401-4db4-b92b-56d12c12cdbd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131.88</v>
      </c>
      <c r="C9" s="54">
        <v>102.69</v>
      </c>
      <c r="D9" s="54">
        <v>163.08000000000001</v>
      </c>
      <c r="E9" s="54">
        <v>0.43</v>
      </c>
      <c r="F9" s="54">
        <v>3.51</v>
      </c>
      <c r="G9" s="54">
        <v>223.29</v>
      </c>
      <c r="H9" s="54">
        <v>106.62</v>
      </c>
      <c r="I9" s="54">
        <v>1.55</v>
      </c>
      <c r="J9" s="54">
        <v>0.10</v>
      </c>
      <c r="K9" s="54">
        <v>302.52999999999997</v>
      </c>
      <c r="L9" s="54">
        <v>15.28</v>
      </c>
      <c r="M9" s="54">
        <v>93.98</v>
      </c>
      <c r="N9" s="54">
        <v>36.799999999999997</v>
      </c>
      <c r="O9" s="54">
        <v>0</v>
      </c>
      <c r="P9" s="54">
        <v>2.16</v>
      </c>
      <c r="Q9" s="54">
        <v>24.05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102.85</v>
      </c>
      <c r="C10" s="54">
        <v>96.81</v>
      </c>
      <c r="D10" s="54">
        <v>136.55000000000001</v>
      </c>
      <c r="E10" s="54">
        <v>0.31</v>
      </c>
      <c r="F10" s="54">
        <v>3.52</v>
      </c>
      <c r="G10" s="54">
        <v>187.73</v>
      </c>
      <c r="H10" s="54">
        <v>97.42</v>
      </c>
      <c r="I10" s="54">
        <v>1.51</v>
      </c>
      <c r="J10" s="54">
        <v>0.15</v>
      </c>
      <c r="K10" s="54">
        <v>330.01</v>
      </c>
      <c r="L10" s="54">
        <v>14.30</v>
      </c>
      <c r="M10" s="54">
        <v>97.5</v>
      </c>
      <c r="N10" s="54">
        <v>36.60</v>
      </c>
      <c r="O10" s="54">
        <v>0</v>
      </c>
      <c r="P10" s="54">
        <v>1.55</v>
      </c>
      <c r="Q10" s="54">
        <v>20.309999999999999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80.09</v>
      </c>
      <c r="C11" s="54">
        <v>90.60</v>
      </c>
      <c r="D11" s="54">
        <v>114.87</v>
      </c>
      <c r="E11" s="54">
        <v>0.19</v>
      </c>
      <c r="F11" s="54">
        <v>3.55</v>
      </c>
      <c r="G11" s="54">
        <v>173.40</v>
      </c>
      <c r="H11" s="54">
        <v>91</v>
      </c>
      <c r="I11" s="54">
        <v>1.53</v>
      </c>
      <c r="J11" s="54">
        <v>0.11</v>
      </c>
      <c r="K11" s="54">
        <v>351.77</v>
      </c>
      <c r="L11" s="54">
        <v>13.86</v>
      </c>
      <c r="M11" s="54">
        <v>97.87</v>
      </c>
      <c r="N11" s="54">
        <v>36.90</v>
      </c>
      <c r="O11" s="54">
        <v>0</v>
      </c>
      <c r="P11" s="54">
        <v>1.1200000000000001</v>
      </c>
      <c r="Q11" s="54">
        <v>19.739999999999998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63.74</v>
      </c>
      <c r="C12" s="54">
        <v>83.82</v>
      </c>
      <c r="D12" s="54">
        <v>98.02</v>
      </c>
      <c r="E12" s="54">
        <v>0.33</v>
      </c>
      <c r="F12" s="54">
        <v>4.8099999999999996</v>
      </c>
      <c r="G12" s="54">
        <v>144.21</v>
      </c>
      <c r="H12" s="54">
        <v>87.04</v>
      </c>
      <c r="I12" s="54">
        <v>1.55</v>
      </c>
      <c r="J12" s="54">
        <v>0.070000000000000007</v>
      </c>
      <c r="K12" s="54">
        <v>339.35</v>
      </c>
      <c r="L12" s="54">
        <v>13.64</v>
      </c>
      <c r="M12" s="54">
        <v>97.85</v>
      </c>
      <c r="N12" s="54">
        <v>36.90</v>
      </c>
      <c r="O12" s="54">
        <v>0</v>
      </c>
      <c r="P12" s="54">
        <v>0.99</v>
      </c>
      <c r="Q12" s="54">
        <v>16.11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49.62</v>
      </c>
      <c r="C13" s="54">
        <v>79.849999999999994</v>
      </c>
      <c r="D13" s="54">
        <v>84.51</v>
      </c>
      <c r="E13" s="54">
        <v>0.61</v>
      </c>
      <c r="F13" s="54">
        <v>7.12</v>
      </c>
      <c r="G13" s="54">
        <v>132.19999999999999</v>
      </c>
      <c r="H13" s="54">
        <v>82.10</v>
      </c>
      <c r="I13" s="54">
        <v>1.54</v>
      </c>
      <c r="J13" s="54">
        <v>0.17</v>
      </c>
      <c r="K13" s="54">
        <v>120.38</v>
      </c>
      <c r="L13" s="54">
        <v>14.17</v>
      </c>
      <c r="M13" s="54">
        <v>93.82</v>
      </c>
      <c r="N13" s="54">
        <v>36.5</v>
      </c>
      <c r="O13" s="54">
        <v>0</v>
      </c>
      <c r="P13" s="54">
        <v>0.79</v>
      </c>
      <c r="Q13" s="54">
        <v>14.77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35.89</v>
      </c>
      <c r="C14" s="54">
        <v>78.33</v>
      </c>
      <c r="D14" s="54">
        <v>72.510000000000005</v>
      </c>
      <c r="E14" s="54">
        <v>0.63</v>
      </c>
      <c r="F14" s="54">
        <v>6.75</v>
      </c>
      <c r="G14" s="54">
        <v>125.16</v>
      </c>
      <c r="H14" s="54">
        <v>79.930000000000007</v>
      </c>
      <c r="I14" s="54">
        <v>1.56</v>
      </c>
      <c r="J14" s="54">
        <v>0.12</v>
      </c>
      <c r="K14" s="54">
        <v>357.06</v>
      </c>
      <c r="L14" s="54">
        <v>14.13</v>
      </c>
      <c r="M14" s="54">
        <v>94.63</v>
      </c>
      <c r="N14" s="54">
        <v>36.90</v>
      </c>
      <c r="O14" s="54">
        <v>0</v>
      </c>
      <c r="P14" s="54">
        <v>0.90</v>
      </c>
      <c r="Q14" s="54">
        <v>12.54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28.82</v>
      </c>
      <c r="C15" s="54">
        <v>78.41</v>
      </c>
      <c r="D15" s="54">
        <v>66.989999999999995</v>
      </c>
      <c r="E15" s="54">
        <v>0.63</v>
      </c>
      <c r="F15" s="54">
        <v>5.16</v>
      </c>
      <c r="G15" s="54">
        <v>123.26</v>
      </c>
      <c r="H15" s="54">
        <v>76.09</v>
      </c>
      <c r="I15" s="54">
        <v>1.52</v>
      </c>
      <c r="J15" s="54">
        <v>0.14000000000000001</v>
      </c>
      <c r="K15" s="54">
        <v>347.19</v>
      </c>
      <c r="L15" s="54">
        <v>13.97</v>
      </c>
      <c r="M15" s="54">
        <v>87.22</v>
      </c>
      <c r="N15" s="54">
        <v>55.60</v>
      </c>
      <c r="O15" s="54">
        <v>0</v>
      </c>
      <c r="P15" s="54">
        <v>0.84</v>
      </c>
      <c r="Q15" s="54">
        <v>8.81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25.88</v>
      </c>
      <c r="C16" s="54">
        <v>77.290000000000006</v>
      </c>
      <c r="D16" s="54">
        <v>64.06</v>
      </c>
      <c r="E16" s="54">
        <v>0.59</v>
      </c>
      <c r="F16" s="54">
        <v>4.83</v>
      </c>
      <c r="G16" s="54">
        <v>108.37</v>
      </c>
      <c r="H16" s="54">
        <v>76.09</v>
      </c>
      <c r="I16" s="54">
        <v>1.58</v>
      </c>
      <c r="J16" s="54">
        <v>0.31</v>
      </c>
      <c r="K16" s="54">
        <v>338.07</v>
      </c>
      <c r="L16" s="54">
        <v>16.53</v>
      </c>
      <c r="M16" s="54">
        <v>85.11</v>
      </c>
      <c r="N16" s="54">
        <v>183.20</v>
      </c>
      <c r="O16" s="54">
        <v>0</v>
      </c>
      <c r="P16" s="54">
        <v>1.24</v>
      </c>
      <c r="Q16" s="54">
        <v>9.08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26.80</v>
      </c>
      <c r="C17" s="54">
        <v>76.010000000000005</v>
      </c>
      <c r="D17" s="54">
        <v>63.98</v>
      </c>
      <c r="E17" s="54">
        <v>1.44</v>
      </c>
      <c r="F17" s="54">
        <v>5.74</v>
      </c>
      <c r="G17" s="54">
        <v>113.77</v>
      </c>
      <c r="H17" s="54">
        <v>69.650000000000006</v>
      </c>
      <c r="I17" s="54">
        <v>1.49</v>
      </c>
      <c r="J17" s="54">
        <v>0.43</v>
      </c>
      <c r="K17" s="54">
        <v>354.04</v>
      </c>
      <c r="L17" s="54">
        <v>20.059999999999999</v>
      </c>
      <c r="M17" s="54">
        <v>68.900000000000006</v>
      </c>
      <c r="N17" s="54">
        <v>349.60</v>
      </c>
      <c r="O17" s="54">
        <v>0</v>
      </c>
      <c r="P17" s="54">
        <v>1.17</v>
      </c>
      <c r="Q17" s="54">
        <v>7.14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26.85</v>
      </c>
      <c r="C18" s="54">
        <v>78.34</v>
      </c>
      <c r="D18" s="54">
        <v>64.67</v>
      </c>
      <c r="E18" s="54">
        <v>2.1800000000000002</v>
      </c>
      <c r="F18" s="54">
        <v>9.89</v>
      </c>
      <c r="G18" s="54">
        <v>119.02</v>
      </c>
      <c r="H18" s="54">
        <v>65.64</v>
      </c>
      <c r="I18" s="54">
        <v>1.53</v>
      </c>
      <c r="J18" s="54">
        <v>0.77</v>
      </c>
      <c r="K18" s="54">
        <v>345.71</v>
      </c>
      <c r="L18" s="54">
        <v>25.18</v>
      </c>
      <c r="M18" s="54">
        <v>55.43</v>
      </c>
      <c r="N18" s="54">
        <v>474.20</v>
      </c>
      <c r="O18" s="54">
        <v>0</v>
      </c>
      <c r="P18" s="54">
        <v>1.35</v>
      </c>
      <c r="Q18" s="54">
        <v>7.30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25.10</v>
      </c>
      <c r="C19" s="54">
        <v>81.709999999999994</v>
      </c>
      <c r="D19" s="54">
        <v>64.680000000000007</v>
      </c>
      <c r="E19" s="54">
        <v>2.04</v>
      </c>
      <c r="F19" s="54">
        <v>15.53</v>
      </c>
      <c r="G19" s="54">
        <v>122.14</v>
      </c>
      <c r="H19" s="54">
        <v>65.62</v>
      </c>
      <c r="I19" s="54">
        <v>1.55</v>
      </c>
      <c r="J19" s="54">
        <v>0.31</v>
      </c>
      <c r="K19" s="54">
        <v>356.90</v>
      </c>
      <c r="L19" s="54">
        <v>25.83</v>
      </c>
      <c r="M19" s="54">
        <v>51.36</v>
      </c>
      <c r="N19" s="54">
        <v>532.40</v>
      </c>
      <c r="O19" s="54">
        <v>0</v>
      </c>
      <c r="P19" s="54">
        <v>1.26</v>
      </c>
      <c r="Q19" s="54">
        <v>8.1999999999999993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20.010000000000002</v>
      </c>
      <c r="C20" s="54">
        <v>86.48</v>
      </c>
      <c r="D20" s="54">
        <v>62.37</v>
      </c>
      <c r="E20" s="54">
        <v>2.4300000000000002</v>
      </c>
      <c r="F20" s="54">
        <v>31.27</v>
      </c>
      <c r="G20" s="54">
        <v>122.93</v>
      </c>
      <c r="H20" s="54">
        <v>65.62</v>
      </c>
      <c r="I20" s="54">
        <v>1.54</v>
      </c>
      <c r="J20" s="54">
        <v>0.63</v>
      </c>
      <c r="K20" s="54">
        <v>346.16</v>
      </c>
      <c r="L20" s="54">
        <v>28.21</v>
      </c>
      <c r="M20" s="54">
        <v>40.520000000000003</v>
      </c>
      <c r="N20" s="54">
        <v>553</v>
      </c>
      <c r="O20" s="54">
        <v>0</v>
      </c>
      <c r="P20" s="54">
        <v>1.22</v>
      </c>
      <c r="Q20" s="54">
        <v>7.63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12.82</v>
      </c>
      <c r="C21" s="54">
        <v>89.64</v>
      </c>
      <c r="D21" s="54">
        <v>59.09</v>
      </c>
      <c r="E21" s="54">
        <v>1.97</v>
      </c>
      <c r="F21" s="54">
        <v>28.11</v>
      </c>
      <c r="G21" s="54">
        <v>119.53</v>
      </c>
      <c r="H21" s="54">
        <v>64.709999999999994</v>
      </c>
      <c r="I21" s="54">
        <v>1.56</v>
      </c>
      <c r="J21" s="54">
        <v>0.56999999999999995</v>
      </c>
      <c r="K21" s="54">
        <v>348.09</v>
      </c>
      <c r="L21" s="54">
        <v>29</v>
      </c>
      <c r="M21" s="54">
        <v>39.42</v>
      </c>
      <c r="N21" s="54">
        <v>540.70000000000005</v>
      </c>
      <c r="O21" s="54">
        <v>0</v>
      </c>
      <c r="P21" s="54">
        <v>1.1499999999999999</v>
      </c>
      <c r="Q21" s="54">
        <v>7.55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4.66</v>
      </c>
      <c r="C22" s="54">
        <v>88.76</v>
      </c>
      <c r="D22" s="54">
        <v>53.36</v>
      </c>
      <c r="E22" s="54">
        <v>1.26</v>
      </c>
      <c r="F22" s="54">
        <v>17.809999999999999</v>
      </c>
      <c r="G22" s="54">
        <v>120.09</v>
      </c>
      <c r="H22" s="54">
        <v>63.35</v>
      </c>
      <c r="I22" s="54">
        <v>1.45</v>
      </c>
      <c r="J22" s="54">
        <v>0.56999999999999995</v>
      </c>
      <c r="K22" s="54">
        <v>107.30</v>
      </c>
      <c r="L22" s="54">
        <v>26.14</v>
      </c>
      <c r="M22" s="54">
        <v>42.89</v>
      </c>
      <c r="N22" s="54">
        <v>456.60</v>
      </c>
      <c r="O22" s="54">
        <v>0</v>
      </c>
      <c r="P22" s="54">
        <v>1.05</v>
      </c>
      <c r="Q22" s="54">
        <v>7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3.70</v>
      </c>
      <c r="C23" s="54">
        <v>84.64</v>
      </c>
      <c r="D23" s="54">
        <v>50.32</v>
      </c>
      <c r="E23" s="54">
        <v>1.88</v>
      </c>
      <c r="F23" s="54">
        <v>23.43</v>
      </c>
      <c r="G23" s="54">
        <v>108.61</v>
      </c>
      <c r="H23" s="54">
        <v>63.31</v>
      </c>
      <c r="I23" s="54">
        <v>1.53</v>
      </c>
      <c r="J23" s="54">
        <v>0.64</v>
      </c>
      <c r="K23" s="54">
        <v>337.25</v>
      </c>
      <c r="L23" s="54">
        <v>27.60</v>
      </c>
      <c r="M23" s="54">
        <v>35.409999999999997</v>
      </c>
      <c r="N23" s="54">
        <v>202.5</v>
      </c>
      <c r="O23" s="54">
        <v>0</v>
      </c>
      <c r="P23" s="54">
        <v>1.03</v>
      </c>
      <c r="Q23" s="54">
        <v>6.29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3.37</v>
      </c>
      <c r="C24" s="54">
        <v>83.10</v>
      </c>
      <c r="D24" s="54">
        <v>49.08</v>
      </c>
      <c r="E24" s="54">
        <v>2.10</v>
      </c>
      <c r="F24" s="54">
        <v>31.80</v>
      </c>
      <c r="G24" s="54">
        <v>104.97</v>
      </c>
      <c r="H24" s="54">
        <v>62.41</v>
      </c>
      <c r="I24" s="54">
        <v>1.52</v>
      </c>
      <c r="J24" s="54">
        <v>0.67</v>
      </c>
      <c r="K24" s="54">
        <v>339.31</v>
      </c>
      <c r="L24" s="54">
        <v>25.65</v>
      </c>
      <c r="M24" s="54">
        <v>37.79</v>
      </c>
      <c r="N24" s="54">
        <v>146.40</v>
      </c>
      <c r="O24" s="54">
        <v>0</v>
      </c>
      <c r="P24" s="54">
        <v>1</v>
      </c>
      <c r="Q24" s="54">
        <v>6.22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4.95</v>
      </c>
      <c r="C25" s="54">
        <v>82.34</v>
      </c>
      <c r="D25" s="54">
        <v>49.66</v>
      </c>
      <c r="E25" s="54">
        <v>4.3600000000000003</v>
      </c>
      <c r="F25" s="54">
        <v>34.590000000000003</v>
      </c>
      <c r="G25" s="54">
        <v>102.31</v>
      </c>
      <c r="H25" s="54">
        <v>59.74</v>
      </c>
      <c r="I25" s="54">
        <v>1.54</v>
      </c>
      <c r="J25" s="54">
        <v>0.86</v>
      </c>
      <c r="K25" s="54">
        <v>343.97</v>
      </c>
      <c r="L25" s="54">
        <v>24.62</v>
      </c>
      <c r="M25" s="54">
        <v>40.950000000000003</v>
      </c>
      <c r="N25" s="54">
        <v>91</v>
      </c>
      <c r="O25" s="54">
        <v>0</v>
      </c>
      <c r="P25" s="54">
        <v>1.33</v>
      </c>
      <c r="Q25" s="54">
        <v>4.37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11.34</v>
      </c>
      <c r="C26" s="54">
        <v>86.15</v>
      </c>
      <c r="D26" s="54">
        <v>57.28</v>
      </c>
      <c r="E26" s="54">
        <v>2.2200000000000002</v>
      </c>
      <c r="F26" s="54">
        <v>5.74</v>
      </c>
      <c r="G26" s="54">
        <v>124.04</v>
      </c>
      <c r="H26" s="54">
        <v>72.19</v>
      </c>
      <c r="I26" s="54">
        <v>1.57</v>
      </c>
      <c r="J26" s="54">
        <v>0.15</v>
      </c>
      <c r="K26" s="54">
        <v>349.35</v>
      </c>
      <c r="L26" s="54">
        <v>21.96</v>
      </c>
      <c r="M26" s="54">
        <v>60.06</v>
      </c>
      <c r="N26" s="54">
        <v>43.70</v>
      </c>
      <c r="O26" s="54">
        <v>0</v>
      </c>
      <c r="P26" s="54">
        <v>2.02</v>
      </c>
      <c r="Q26" s="54">
        <v>2.04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43.33</v>
      </c>
      <c r="C27" s="54">
        <v>94.96</v>
      </c>
      <c r="D27" s="54">
        <v>87.80</v>
      </c>
      <c r="E27" s="54">
        <v>2.06</v>
      </c>
      <c r="F27" s="54">
        <v>3.89</v>
      </c>
      <c r="G27" s="54">
        <v>130.63999999999999</v>
      </c>
      <c r="H27" s="54">
        <v>93</v>
      </c>
      <c r="I27" s="54">
        <v>1.54</v>
      </c>
      <c r="J27" s="54">
        <v>0.070000000000000007</v>
      </c>
      <c r="K27" s="54">
        <v>337.24</v>
      </c>
      <c r="L27" s="54">
        <v>18.88</v>
      </c>
      <c r="M27" s="54">
        <v>78.08</v>
      </c>
      <c r="N27" s="54">
        <v>36.60</v>
      </c>
      <c r="O27" s="54">
        <v>0</v>
      </c>
      <c r="P27" s="54">
        <v>2.69</v>
      </c>
      <c r="Q27" s="54">
        <v>0.45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93.44</v>
      </c>
      <c r="C28" s="54">
        <v>101.79</v>
      </c>
      <c r="D28" s="54">
        <v>131.76</v>
      </c>
      <c r="E28" s="54">
        <v>1.38</v>
      </c>
      <c r="F28" s="54">
        <v>4.1100000000000003</v>
      </c>
      <c r="G28" s="54">
        <v>131.63999999999999</v>
      </c>
      <c r="H28" s="54">
        <v>117.65</v>
      </c>
      <c r="I28" s="54">
        <v>1.54</v>
      </c>
      <c r="J28" s="54">
        <v>0.13</v>
      </c>
      <c r="K28" s="54">
        <v>329.85</v>
      </c>
      <c r="L28" s="54">
        <v>17.41</v>
      </c>
      <c r="M28" s="54">
        <v>89.80</v>
      </c>
      <c r="N28" s="54">
        <v>36.299999999999997</v>
      </c>
      <c r="O28" s="54">
        <v>0</v>
      </c>
      <c r="P28" s="54">
        <v>4.57</v>
      </c>
      <c r="Q28" s="54">
        <v>3.09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173.41</v>
      </c>
      <c r="C29" s="54">
        <v>111.12</v>
      </c>
      <c r="D29" s="54">
        <v>201.03</v>
      </c>
      <c r="E29" s="54">
        <v>1.54</v>
      </c>
      <c r="F29" s="54">
        <v>4.0199999999999996</v>
      </c>
      <c r="G29" s="54">
        <v>141.63999999999999</v>
      </c>
      <c r="H29" s="54">
        <v>133.19999999999999</v>
      </c>
      <c r="I29" s="54">
        <v>1.5</v>
      </c>
      <c r="J29" s="54">
        <v>0.14000000000000001</v>
      </c>
      <c r="K29" s="54">
        <v>328.73</v>
      </c>
      <c r="L29" s="54">
        <v>16.71</v>
      </c>
      <c r="M29" s="54">
        <v>91.29</v>
      </c>
      <c r="N29" s="54">
        <v>36.40</v>
      </c>
      <c r="O29" s="54">
        <v>0</v>
      </c>
      <c r="P29" s="54">
        <v>5.24</v>
      </c>
      <c r="Q29" s="54">
        <v>3.88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229.53</v>
      </c>
      <c r="C30" s="54">
        <v>112.65</v>
      </c>
      <c r="D30" s="54">
        <v>246.69</v>
      </c>
      <c r="E30" s="54">
        <v>1.52</v>
      </c>
      <c r="F30" s="54">
        <v>4.32</v>
      </c>
      <c r="G30" s="54">
        <v>144.63999999999999</v>
      </c>
      <c r="H30" s="54">
        <v>139.18</v>
      </c>
      <c r="I30" s="54">
        <v>1.59</v>
      </c>
      <c r="J30" s="54">
        <v>0.13</v>
      </c>
      <c r="K30" s="54">
        <v>311.74</v>
      </c>
      <c r="L30" s="54">
        <v>16.27</v>
      </c>
      <c r="M30" s="54">
        <v>94.23</v>
      </c>
      <c r="N30" s="54">
        <v>36.60</v>
      </c>
      <c r="O30" s="54">
        <v>0</v>
      </c>
      <c r="P30" s="54">
        <v>6.82</v>
      </c>
      <c r="Q30" s="54">
        <v>13.89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268.38</v>
      </c>
      <c r="C31" s="54">
        <v>111.02</v>
      </c>
      <c r="D31" s="54">
        <v>276.61</v>
      </c>
      <c r="E31" s="54">
        <v>1.71</v>
      </c>
      <c r="F31" s="54">
        <v>3.69</v>
      </c>
      <c r="G31" s="54">
        <v>151.63999999999999</v>
      </c>
      <c r="H31" s="54">
        <v>141.66999999999999</v>
      </c>
      <c r="I31" s="54">
        <v>1.51</v>
      </c>
      <c r="J31" s="54">
        <v>0.13</v>
      </c>
      <c r="K31" s="54">
        <v>318.69</v>
      </c>
      <c r="L31" s="54">
        <v>15.67</v>
      </c>
      <c r="M31" s="54">
        <v>97.83</v>
      </c>
      <c r="N31" s="54">
        <v>36.90</v>
      </c>
      <c r="O31" s="54">
        <v>0</v>
      </c>
      <c r="P31" s="54">
        <v>6.91</v>
      </c>
      <c r="Q31" s="54">
        <v>18.98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273.61</v>
      </c>
      <c r="C32" s="54">
        <v>109.35</v>
      </c>
      <c r="D32" s="54">
        <v>280.14</v>
      </c>
      <c r="E32" s="54">
        <v>1.59</v>
      </c>
      <c r="F32" s="54">
        <v>3.61</v>
      </c>
      <c r="G32" s="54">
        <v>249.85</v>
      </c>
      <c r="H32" s="54">
        <v>141.66999999999999</v>
      </c>
      <c r="I32" s="54">
        <v>1.57</v>
      </c>
      <c r="J32" s="54">
        <v>0.12</v>
      </c>
      <c r="K32" s="54">
        <v>301.60000000000002</v>
      </c>
      <c r="L32" s="54">
        <v>15.30</v>
      </c>
      <c r="M32" s="54">
        <v>97.88</v>
      </c>
      <c r="N32" s="54">
        <v>37.40</v>
      </c>
      <c r="O32" s="54">
        <v>0</v>
      </c>
      <c r="P32" s="54">
        <v>6.43</v>
      </c>
      <c r="Q32" s="54">
        <v>27.57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3.3700000000000001</v>
      </c>
      <c r="C34" s="28">
        <f t="shared" si="0"/>
        <v>76.010000000000005</v>
      </c>
      <c r="D34" s="28">
        <f t="shared" si="0"/>
        <v>49.079999999999998</v>
      </c>
      <c r="E34" s="28">
        <f t="shared" si="0"/>
        <v>0.19</v>
      </c>
      <c r="F34" s="28">
        <f t="shared" si="0"/>
        <v>3.5099999999999998</v>
      </c>
      <c r="G34" s="28">
        <f t="shared" si="0"/>
        <v>102.31</v>
      </c>
      <c r="H34" s="28">
        <f t="shared" si="0"/>
        <v>59.740000000000002</v>
      </c>
      <c r="I34" s="28">
        <f t="shared" si="0"/>
        <v>1.45</v>
      </c>
      <c r="J34" s="28">
        <f t="shared" si="0"/>
        <v>0.070000000000000007</v>
      </c>
      <c r="K34" s="28">
        <f t="shared" si="0"/>
        <v>107.3</v>
      </c>
      <c r="L34" s="28">
        <f t="shared" si="0"/>
        <v>13.640000000000001</v>
      </c>
      <c r="M34" s="28">
        <f t="shared" si="0"/>
        <v>35.409999999999997</v>
      </c>
      <c r="N34" s="28">
        <f t="shared" si="0"/>
        <v>36.299999999999997</v>
      </c>
      <c r="O34" s="28">
        <f t="shared" si="0"/>
        <v>0</v>
      </c>
      <c r="P34" s="28">
        <f t="shared" si="0"/>
        <v>0.79000000000000004</v>
      </c>
      <c r="Q34" s="28">
        <f t="shared" si="0"/>
        <v>0.45000000000000001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273.61000000000001</v>
      </c>
      <c r="C35" s="29">
        <f t="shared" si="1"/>
        <v>112.65000000000001</v>
      </c>
      <c r="D35" s="29">
        <f t="shared" si="1"/>
        <v>280.13999999999999</v>
      </c>
      <c r="E35" s="29">
        <f t="shared" si="1"/>
        <v>4.3600000000000003</v>
      </c>
      <c r="F35" s="29">
        <f t="shared" si="1"/>
        <v>34.590000000000003</v>
      </c>
      <c r="G35" s="29">
        <f t="shared" si="1"/>
        <v>249.84999999999999</v>
      </c>
      <c r="H35" s="29">
        <f t="shared" si="1"/>
        <v>141.66999999999999</v>
      </c>
      <c r="I35" s="29">
        <f t="shared" si="1"/>
        <v>1.5900000000000001</v>
      </c>
      <c r="J35" s="29">
        <f t="shared" si="1"/>
        <v>0.85999999999999999</v>
      </c>
      <c r="K35" s="29">
        <f t="shared" si="1"/>
        <v>357.06</v>
      </c>
      <c r="L35" s="29">
        <f t="shared" si="1"/>
        <v>29</v>
      </c>
      <c r="M35" s="29">
        <f t="shared" si="1"/>
        <v>97.879999999999995</v>
      </c>
      <c r="N35" s="29">
        <f t="shared" si="1"/>
        <v>553</v>
      </c>
      <c r="O35" s="29">
        <f t="shared" si="1"/>
        <v>0</v>
      </c>
      <c r="P35" s="29">
        <f t="shared" si="1"/>
        <v>6.9100000000000001</v>
      </c>
      <c r="Q35" s="29">
        <f t="shared" si="1"/>
        <v>27.57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72.502916666666678</v>
      </c>
      <c r="C36" s="28">
        <f t="shared" si="2"/>
        <v>90.244166666666672</v>
      </c>
      <c r="D36" s="28">
        <f t="shared" si="2"/>
        <v>108.29624999999997</v>
      </c>
      <c r="E36" s="28">
        <f t="shared" si="2"/>
        <v>1.4749999999999999</v>
      </c>
      <c r="F36" s="28">
        <f t="shared" si="2"/>
        <v>11.116666666666669</v>
      </c>
      <c r="G36" s="28">
        <f t="shared" si="2"/>
        <v>138.54499999999996</v>
      </c>
      <c r="H36" s="28">
        <f t="shared" si="2"/>
        <v>88.120833333333351</v>
      </c>
      <c r="I36" s="28">
        <f t="shared" si="2"/>
        <v>1.5362499999999999</v>
      </c>
      <c r="J36" s="28">
        <f t="shared" si="2"/>
        <v>0.31208333333333332</v>
      </c>
      <c r="K36" s="28">
        <f t="shared" si="2"/>
        <v>318.42875000000009</v>
      </c>
      <c r="L36" s="28">
        <f t="shared" si="2"/>
        <v>19.598749999999999</v>
      </c>
      <c r="M36" s="28">
        <f t="shared" si="2"/>
        <v>73.742499999999993</v>
      </c>
      <c r="N36" s="28">
        <f t="shared" si="2"/>
        <v>169.57083333333335</v>
      </c>
      <c r="O36" s="28">
        <f t="shared" si="2"/>
        <v>0</v>
      </c>
      <c r="P36" s="28">
        <f t="shared" si="2"/>
        <v>2.2845833333333334</v>
      </c>
      <c r="Q36" s="28">
        <f t="shared" si="2"/>
        <v>10.70875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83.56869584901871</v>
      </c>
      <c r="C37" s="28">
        <f t="shared" si="3" ref="C37:Q37">STDEV(C9:C32)</f>
        <v>11.947089846364191</v>
      </c>
      <c r="D37" s="28">
        <f t="shared" si="3"/>
        <v>72.910713461740386</v>
      </c>
      <c r="E37" s="28">
        <f t="shared" si="3"/>
        <v>0.93832876411480537</v>
      </c>
      <c r="F37" s="28">
        <f t="shared" si="3"/>
        <v>10.593212210068115</v>
      </c>
      <c r="G37" s="28">
        <f t="shared" si="3"/>
        <v>36.526042287899259</v>
      </c>
      <c r="H37" s="28">
        <f t="shared" si="3"/>
        <v>27.550452677834873</v>
      </c>
      <c r="I37" s="28">
        <f t="shared" si="3"/>
        <v>0.030760293434457263</v>
      </c>
      <c r="J37" s="28">
        <f t="shared" si="3"/>
        <v>0.25552978498502438</v>
      </c>
      <c r="K37" s="28">
        <f t="shared" si="3"/>
        <v>64.907530099264164</v>
      </c>
      <c r="L37" s="28">
        <f t="shared" si="3"/>
        <v>5.4423327099771228</v>
      </c>
      <c r="M37" s="28">
        <f t="shared" si="3"/>
        <v>24.292257354789133</v>
      </c>
      <c r="N37" s="28">
        <f t="shared" si="3"/>
        <v>194.77508875437681</v>
      </c>
      <c r="O37" s="28">
        <f t="shared" si="3"/>
        <v>0</v>
      </c>
      <c r="P37" s="28">
        <f t="shared" si="3"/>
        <v>2.0377182020619271</v>
      </c>
      <c r="Q37" s="28">
        <f t="shared" si="3"/>
        <v>7.2190324008379285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ce29ea-87ce-4687-a486-5203d12af50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269.14</v>
      </c>
      <c r="C9" s="54">
        <v>102.38</v>
      </c>
      <c r="D9" s="54">
        <v>272.97000000000003</v>
      </c>
      <c r="E9" s="54">
        <v>0.93</v>
      </c>
      <c r="F9" s="54">
        <v>3.62</v>
      </c>
      <c r="G9" s="54">
        <v>249.86</v>
      </c>
      <c r="H9" s="54">
        <v>137.13999999999999</v>
      </c>
      <c r="I9" s="54">
        <v>1.53</v>
      </c>
      <c r="J9" s="54">
        <v>0.24</v>
      </c>
      <c r="K9" s="54">
        <v>328.30</v>
      </c>
      <c r="L9" s="54">
        <v>15.09</v>
      </c>
      <c r="M9" s="54">
        <v>97.83</v>
      </c>
      <c r="N9" s="54">
        <v>37.40</v>
      </c>
      <c r="O9" s="54">
        <v>0</v>
      </c>
      <c r="P9" s="54">
        <v>5.38</v>
      </c>
      <c r="Q9" s="54">
        <v>46.25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224.58</v>
      </c>
      <c r="C10" s="54">
        <v>95</v>
      </c>
      <c r="D10" s="54">
        <v>233.17</v>
      </c>
      <c r="E10" s="54">
        <v>0.33</v>
      </c>
      <c r="F10" s="54">
        <v>3.70</v>
      </c>
      <c r="G10" s="54">
        <v>203.24</v>
      </c>
      <c r="H10" s="54">
        <v>127.63</v>
      </c>
      <c r="I10" s="54">
        <v>1.58</v>
      </c>
      <c r="J10" s="54">
        <v>0.12</v>
      </c>
      <c r="K10" s="54">
        <v>302.49</v>
      </c>
      <c r="L10" s="54">
        <v>14.32</v>
      </c>
      <c r="M10" s="54">
        <v>97.45</v>
      </c>
      <c r="N10" s="54">
        <v>38</v>
      </c>
      <c r="O10" s="54">
        <v>0</v>
      </c>
      <c r="P10" s="54">
        <v>1.28</v>
      </c>
      <c r="Q10" s="54">
        <v>47.19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172.57</v>
      </c>
      <c r="C11" s="54">
        <v>86.64</v>
      </c>
      <c r="D11" s="54">
        <v>186.85</v>
      </c>
      <c r="E11" s="54">
        <v>0.25</v>
      </c>
      <c r="F11" s="54">
        <v>3.59</v>
      </c>
      <c r="G11" s="54">
        <v>163.66999999999999</v>
      </c>
      <c r="H11" s="54">
        <v>112.87</v>
      </c>
      <c r="I11" s="54">
        <v>1.53</v>
      </c>
      <c r="J11" s="54">
        <v>0.11</v>
      </c>
      <c r="K11" s="54">
        <v>301.41000000000003</v>
      </c>
      <c r="L11" s="54">
        <v>13.56</v>
      </c>
      <c r="M11" s="54">
        <v>96.33</v>
      </c>
      <c r="N11" s="54">
        <v>38.299999999999997</v>
      </c>
      <c r="O11" s="54">
        <v>0</v>
      </c>
      <c r="P11" s="54">
        <v>1.28</v>
      </c>
      <c r="Q11" s="54">
        <v>31.36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128.85</v>
      </c>
      <c r="C12" s="54">
        <v>82.54</v>
      </c>
      <c r="D12" s="54">
        <v>149.52000000000001</v>
      </c>
      <c r="E12" s="54">
        <v>0.44</v>
      </c>
      <c r="F12" s="54">
        <v>3.24</v>
      </c>
      <c r="G12" s="54">
        <v>148.76</v>
      </c>
      <c r="H12" s="54">
        <v>100.46</v>
      </c>
      <c r="I12" s="54">
        <v>1.54</v>
      </c>
      <c r="J12" s="54">
        <v>0.15</v>
      </c>
      <c r="K12" s="54">
        <v>314.36</v>
      </c>
      <c r="L12" s="54">
        <v>12.95</v>
      </c>
      <c r="M12" s="54">
        <v>97.84</v>
      </c>
      <c r="N12" s="54">
        <v>38.5</v>
      </c>
      <c r="O12" s="54">
        <v>0</v>
      </c>
      <c r="P12" s="54">
        <v>0.94</v>
      </c>
      <c r="Q12" s="54">
        <v>25.73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101.42</v>
      </c>
      <c r="C13" s="54">
        <v>81.400000000000006</v>
      </c>
      <c r="D13" s="54">
        <v>126.90</v>
      </c>
      <c r="E13" s="54">
        <v>0.63</v>
      </c>
      <c r="F13" s="54">
        <v>3.39</v>
      </c>
      <c r="G13" s="54">
        <v>154.29</v>
      </c>
      <c r="H13" s="54">
        <v>90.93</v>
      </c>
      <c r="I13" s="54">
        <v>1.48</v>
      </c>
      <c r="J13" s="54">
        <v>0.10</v>
      </c>
      <c r="K13" s="54">
        <v>308.77999999999997</v>
      </c>
      <c r="L13" s="54">
        <v>13.05</v>
      </c>
      <c r="M13" s="54">
        <v>97.83</v>
      </c>
      <c r="N13" s="54">
        <v>38.700000000000003</v>
      </c>
      <c r="O13" s="54">
        <v>0</v>
      </c>
      <c r="P13" s="54">
        <v>0.92</v>
      </c>
      <c r="Q13" s="54">
        <v>19.559999999999999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86.01</v>
      </c>
      <c r="C14" s="54">
        <v>79.209999999999994</v>
      </c>
      <c r="D14" s="54">
        <v>113.20</v>
      </c>
      <c r="E14" s="54">
        <v>0.93</v>
      </c>
      <c r="F14" s="54">
        <v>3.39</v>
      </c>
      <c r="G14" s="54">
        <v>197.77</v>
      </c>
      <c r="H14" s="54">
        <v>95.58</v>
      </c>
      <c r="I14" s="54">
        <v>1.54</v>
      </c>
      <c r="J14" s="54">
        <v>0.22</v>
      </c>
      <c r="K14" s="54">
        <v>350.84</v>
      </c>
      <c r="L14" s="54">
        <v>13.61</v>
      </c>
      <c r="M14" s="54">
        <v>97.86</v>
      </c>
      <c r="N14" s="54">
        <v>38.799999999999997</v>
      </c>
      <c r="O14" s="54">
        <v>0</v>
      </c>
      <c r="P14" s="54">
        <v>1.46</v>
      </c>
      <c r="Q14" s="54">
        <v>14.46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80.63</v>
      </c>
      <c r="C15" s="54">
        <v>78.62</v>
      </c>
      <c r="D15" s="54">
        <v>108.69</v>
      </c>
      <c r="E15" s="54">
        <v>0.95</v>
      </c>
      <c r="F15" s="54">
        <v>3.22</v>
      </c>
      <c r="G15" s="54">
        <v>210.61</v>
      </c>
      <c r="H15" s="54">
        <v>102.78</v>
      </c>
      <c r="I15" s="54">
        <v>1.48</v>
      </c>
      <c r="J15" s="54">
        <v>0.17</v>
      </c>
      <c r="K15" s="54">
        <v>343.71</v>
      </c>
      <c r="L15" s="54">
        <v>13.51</v>
      </c>
      <c r="M15" s="54">
        <v>97.84</v>
      </c>
      <c r="N15" s="54">
        <v>68.099999999999994</v>
      </c>
      <c r="O15" s="54">
        <v>0</v>
      </c>
      <c r="P15" s="54">
        <v>1.41</v>
      </c>
      <c r="Q15" s="54">
        <v>16.399999999999999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83.84</v>
      </c>
      <c r="C16" s="54">
        <v>81.03</v>
      </c>
      <c r="D16" s="54">
        <v>112.60</v>
      </c>
      <c r="E16" s="54">
        <v>1.03</v>
      </c>
      <c r="F16" s="54">
        <v>3.74</v>
      </c>
      <c r="G16" s="54">
        <v>191.02</v>
      </c>
      <c r="H16" s="54">
        <v>102.78</v>
      </c>
      <c r="I16" s="54">
        <v>1.51</v>
      </c>
      <c r="J16" s="54">
        <v>0.12</v>
      </c>
      <c r="K16" s="54">
        <v>344.07</v>
      </c>
      <c r="L16" s="54">
        <v>15.22</v>
      </c>
      <c r="M16" s="54">
        <v>97.84</v>
      </c>
      <c r="N16" s="54">
        <v>135.19999999999999</v>
      </c>
      <c r="O16" s="54">
        <v>0</v>
      </c>
      <c r="P16" s="54">
        <v>2.0499999999999998</v>
      </c>
      <c r="Q16" s="54">
        <v>6.84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83.51</v>
      </c>
      <c r="C17" s="54">
        <v>83.25</v>
      </c>
      <c r="D17" s="54">
        <v>113.05</v>
      </c>
      <c r="E17" s="54">
        <v>0.68</v>
      </c>
      <c r="F17" s="54">
        <v>4.43</v>
      </c>
      <c r="G17" s="54">
        <v>230.86</v>
      </c>
      <c r="H17" s="54">
        <v>110.33</v>
      </c>
      <c r="I17" s="54">
        <v>1.53</v>
      </c>
      <c r="J17" s="54">
        <v>0.22</v>
      </c>
      <c r="K17" s="54">
        <v>207.08</v>
      </c>
      <c r="L17" s="54">
        <v>18.79</v>
      </c>
      <c r="M17" s="54">
        <v>82.83</v>
      </c>
      <c r="N17" s="54">
        <v>322.5</v>
      </c>
      <c r="O17" s="54">
        <v>0</v>
      </c>
      <c r="P17" s="54">
        <v>1.68</v>
      </c>
      <c r="Q17" s="54">
        <v>17.96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64.06</v>
      </c>
      <c r="C18" s="54">
        <v>85.16</v>
      </c>
      <c r="D18" s="54">
        <v>97.73</v>
      </c>
      <c r="E18" s="54">
        <v>0.65</v>
      </c>
      <c r="F18" s="54">
        <v>5.90</v>
      </c>
      <c r="G18" s="54">
        <v>183.78</v>
      </c>
      <c r="H18" s="54">
        <v>107.24</v>
      </c>
      <c r="I18" s="54">
        <v>1.51</v>
      </c>
      <c r="J18" s="54">
        <v>0.62</v>
      </c>
      <c r="K18" s="54">
        <v>164.09</v>
      </c>
      <c r="L18" s="54">
        <v>21.54</v>
      </c>
      <c r="M18" s="54">
        <v>63.12</v>
      </c>
      <c r="N18" s="54">
        <v>394.10</v>
      </c>
      <c r="O18" s="54">
        <v>0</v>
      </c>
      <c r="P18" s="54">
        <v>1.30</v>
      </c>
      <c r="Q18" s="54">
        <v>15.44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40.94</v>
      </c>
      <c r="C19" s="54">
        <v>89.98</v>
      </c>
      <c r="D19" s="54">
        <v>80.87</v>
      </c>
      <c r="E19" s="54">
        <v>0.64</v>
      </c>
      <c r="F19" s="54">
        <v>6.39</v>
      </c>
      <c r="G19" s="54">
        <v>128.58000000000001</v>
      </c>
      <c r="H19" s="54">
        <v>90.79</v>
      </c>
      <c r="I19" s="54">
        <v>1.54</v>
      </c>
      <c r="J19" s="54">
        <v>0.69</v>
      </c>
      <c r="K19" s="54">
        <v>145.34</v>
      </c>
      <c r="L19" s="54">
        <v>23.13</v>
      </c>
      <c r="M19" s="54">
        <v>57.43</v>
      </c>
      <c r="N19" s="54">
        <v>551.70000000000005</v>
      </c>
      <c r="O19" s="54">
        <v>0</v>
      </c>
      <c r="P19" s="54">
        <v>1.17</v>
      </c>
      <c r="Q19" s="54">
        <v>11.23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5.64</v>
      </c>
      <c r="C20" s="54">
        <v>87.22</v>
      </c>
      <c r="D20" s="54">
        <v>53.30</v>
      </c>
      <c r="E20" s="54">
        <v>0.53</v>
      </c>
      <c r="F20" s="54">
        <v>4.67</v>
      </c>
      <c r="G20" s="54">
        <v>89.85</v>
      </c>
      <c r="H20" s="54">
        <v>75.59</v>
      </c>
      <c r="I20" s="54">
        <v>1.52</v>
      </c>
      <c r="J20" s="54">
        <v>0.74</v>
      </c>
      <c r="K20" s="54">
        <v>192.98</v>
      </c>
      <c r="L20" s="54">
        <v>24.70</v>
      </c>
      <c r="M20" s="54">
        <v>48.05</v>
      </c>
      <c r="N20" s="54">
        <v>558</v>
      </c>
      <c r="O20" s="54">
        <v>0</v>
      </c>
      <c r="P20" s="54">
        <v>0.99</v>
      </c>
      <c r="Q20" s="54">
        <v>7.85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2.41</v>
      </c>
      <c r="C21" s="54">
        <v>71.900000000000006</v>
      </c>
      <c r="D21" s="54">
        <v>42.19</v>
      </c>
      <c r="E21" s="54">
        <v>0.43</v>
      </c>
      <c r="F21" s="54">
        <v>8.75</v>
      </c>
      <c r="G21" s="54">
        <v>93.47</v>
      </c>
      <c r="H21" s="54">
        <v>67.599999999999994</v>
      </c>
      <c r="I21" s="54">
        <v>1.51</v>
      </c>
      <c r="J21" s="54">
        <v>0.38</v>
      </c>
      <c r="K21" s="54">
        <v>169.86</v>
      </c>
      <c r="L21" s="54">
        <v>25.81</v>
      </c>
      <c r="M21" s="54">
        <v>43.20</v>
      </c>
      <c r="N21" s="54">
        <v>541</v>
      </c>
      <c r="O21" s="54">
        <v>0</v>
      </c>
      <c r="P21" s="54">
        <v>0.75</v>
      </c>
      <c r="Q21" s="54">
        <v>7.02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3.91</v>
      </c>
      <c r="C22" s="54">
        <v>73.180000000000007</v>
      </c>
      <c r="D22" s="54">
        <v>44.17</v>
      </c>
      <c r="E22" s="54">
        <v>0.44</v>
      </c>
      <c r="F22" s="54">
        <v>5.25</v>
      </c>
      <c r="G22" s="54">
        <v>78.180000000000007</v>
      </c>
      <c r="H22" s="54">
        <v>57.59</v>
      </c>
      <c r="I22" s="54">
        <v>1.5</v>
      </c>
      <c r="J22" s="54">
        <v>0.88</v>
      </c>
      <c r="K22" s="54">
        <v>339.10</v>
      </c>
      <c r="L22" s="54">
        <v>28.55</v>
      </c>
      <c r="M22" s="54">
        <v>36.49</v>
      </c>
      <c r="N22" s="54">
        <v>509.40</v>
      </c>
      <c r="O22" s="54">
        <v>0</v>
      </c>
      <c r="P22" s="54">
        <v>0.66</v>
      </c>
      <c r="Q22" s="54">
        <v>6.70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4.78</v>
      </c>
      <c r="C23" s="54">
        <v>75.959999999999994</v>
      </c>
      <c r="D23" s="54">
        <v>46.40</v>
      </c>
      <c r="E23" s="54">
        <v>0.40</v>
      </c>
      <c r="F23" s="54">
        <v>6.66</v>
      </c>
      <c r="G23" s="54">
        <v>68.86</v>
      </c>
      <c r="H23" s="54">
        <v>50.25</v>
      </c>
      <c r="I23" s="54">
        <v>1.60</v>
      </c>
      <c r="J23" s="54">
        <v>0.85</v>
      </c>
      <c r="K23" s="54">
        <v>342.47</v>
      </c>
      <c r="L23" s="54">
        <v>28.21</v>
      </c>
      <c r="M23" s="54">
        <v>36.72</v>
      </c>
      <c r="N23" s="54">
        <v>202.40</v>
      </c>
      <c r="O23" s="54">
        <v>0</v>
      </c>
      <c r="P23" s="54">
        <v>0.65</v>
      </c>
      <c r="Q23" s="54">
        <v>6.5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3.33</v>
      </c>
      <c r="C24" s="54">
        <v>73.31</v>
      </c>
      <c r="D24" s="54">
        <v>43.34</v>
      </c>
      <c r="E24" s="54">
        <v>0.32</v>
      </c>
      <c r="F24" s="54">
        <v>6.21</v>
      </c>
      <c r="G24" s="54">
        <v>70.900000000000006</v>
      </c>
      <c r="H24" s="54">
        <v>41.78</v>
      </c>
      <c r="I24" s="54">
        <v>1.54</v>
      </c>
      <c r="J24" s="54">
        <v>0.53</v>
      </c>
      <c r="K24" s="54">
        <v>118.62</v>
      </c>
      <c r="L24" s="54">
        <v>24.46</v>
      </c>
      <c r="M24" s="54">
        <v>37.18</v>
      </c>
      <c r="N24" s="54">
        <v>146.5</v>
      </c>
      <c r="O24" s="54">
        <v>0</v>
      </c>
      <c r="P24" s="54">
        <v>0.64</v>
      </c>
      <c r="Q24" s="54">
        <v>6.39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3.75</v>
      </c>
      <c r="C25" s="54">
        <v>75.86</v>
      </c>
      <c r="D25" s="54">
        <v>45.52</v>
      </c>
      <c r="E25" s="54">
        <v>0.23</v>
      </c>
      <c r="F25" s="54">
        <v>4.21</v>
      </c>
      <c r="G25" s="54">
        <v>99.34</v>
      </c>
      <c r="H25" s="54">
        <v>41.78</v>
      </c>
      <c r="I25" s="54">
        <v>1.53</v>
      </c>
      <c r="J25" s="54">
        <v>0.28000000000000003</v>
      </c>
      <c r="K25" s="54">
        <v>351.57</v>
      </c>
      <c r="L25" s="54">
        <v>23.77</v>
      </c>
      <c r="M25" s="54">
        <v>48.28</v>
      </c>
      <c r="N25" s="54">
        <v>87.80</v>
      </c>
      <c r="O25" s="54">
        <v>0</v>
      </c>
      <c r="P25" s="54">
        <v>0.71</v>
      </c>
      <c r="Q25" s="54">
        <v>6.60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11.31</v>
      </c>
      <c r="C26" s="54">
        <v>95.62</v>
      </c>
      <c r="D26" s="54">
        <v>62.48</v>
      </c>
      <c r="E26" s="54">
        <v>0.24</v>
      </c>
      <c r="F26" s="54">
        <v>3.63</v>
      </c>
      <c r="G26" s="54">
        <v>146.47999999999999</v>
      </c>
      <c r="H26" s="54">
        <v>124.13</v>
      </c>
      <c r="I26" s="54">
        <v>1.51</v>
      </c>
      <c r="J26" s="54">
        <v>0.28000000000000003</v>
      </c>
      <c r="K26" s="54">
        <v>348.49</v>
      </c>
      <c r="L26" s="54">
        <v>22.01</v>
      </c>
      <c r="M26" s="54">
        <v>54.41</v>
      </c>
      <c r="N26" s="54">
        <v>42.40</v>
      </c>
      <c r="O26" s="54">
        <v>0</v>
      </c>
      <c r="P26" s="54">
        <v>1.1299999999999999</v>
      </c>
      <c r="Q26" s="54">
        <v>7.49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21.76</v>
      </c>
      <c r="C27" s="54">
        <v>101.98</v>
      </c>
      <c r="D27" s="54">
        <v>74.38</v>
      </c>
      <c r="E27" s="54">
        <v>0.23</v>
      </c>
      <c r="F27" s="54">
        <v>3.26</v>
      </c>
      <c r="G27" s="54">
        <v>189.66</v>
      </c>
      <c r="H27" s="54">
        <v>124.13</v>
      </c>
      <c r="I27" s="54">
        <v>1.54</v>
      </c>
      <c r="J27" s="54">
        <v>0.21</v>
      </c>
      <c r="K27" s="54">
        <v>86.05</v>
      </c>
      <c r="L27" s="54">
        <v>20.260000000000002</v>
      </c>
      <c r="M27" s="54">
        <v>60.72</v>
      </c>
      <c r="N27" s="54">
        <v>35.60</v>
      </c>
      <c r="O27" s="54">
        <v>0</v>
      </c>
      <c r="P27" s="54">
        <v>1.58</v>
      </c>
      <c r="Q27" s="54">
        <v>8.16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26.21</v>
      </c>
      <c r="C28" s="54">
        <v>102.40</v>
      </c>
      <c r="D28" s="54">
        <v>77.47</v>
      </c>
      <c r="E28" s="54">
        <v>0.24</v>
      </c>
      <c r="F28" s="54">
        <v>3.10</v>
      </c>
      <c r="G28" s="54">
        <v>199.10</v>
      </c>
      <c r="H28" s="54">
        <v>117.46</v>
      </c>
      <c r="I28" s="54">
        <v>1.55</v>
      </c>
      <c r="J28" s="54">
        <v>0.15</v>
      </c>
      <c r="K28" s="54">
        <v>240.43</v>
      </c>
      <c r="L28" s="54">
        <v>19.14</v>
      </c>
      <c r="M28" s="54">
        <v>68.89</v>
      </c>
      <c r="N28" s="54">
        <v>35.799999999999997</v>
      </c>
      <c r="O28" s="54">
        <v>0</v>
      </c>
      <c r="P28" s="54">
        <v>1.85</v>
      </c>
      <c r="Q28" s="54">
        <v>8.43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36.83</v>
      </c>
      <c r="C29" s="54">
        <v>100.35</v>
      </c>
      <c r="D29" s="54">
        <v>85.02</v>
      </c>
      <c r="E29" s="54">
        <v>0.30</v>
      </c>
      <c r="F29" s="54">
        <v>3.30</v>
      </c>
      <c r="G29" s="54">
        <v>192.93</v>
      </c>
      <c r="H29" s="54">
        <v>97.93</v>
      </c>
      <c r="I29" s="54">
        <v>1.53</v>
      </c>
      <c r="J29" s="54">
        <v>0.10</v>
      </c>
      <c r="K29" s="54">
        <v>298.20</v>
      </c>
      <c r="L29" s="54">
        <v>17.71</v>
      </c>
      <c r="M29" s="54">
        <v>80.819999999999993</v>
      </c>
      <c r="N29" s="54">
        <v>35.799999999999997</v>
      </c>
      <c r="O29" s="54">
        <v>0</v>
      </c>
      <c r="P29" s="54">
        <v>1.98</v>
      </c>
      <c r="Q29" s="54">
        <v>8.93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86.70</v>
      </c>
      <c r="C30" s="54">
        <v>100.57</v>
      </c>
      <c r="D30" s="54">
        <v>125.67</v>
      </c>
      <c r="E30" s="54">
        <v>0.36</v>
      </c>
      <c r="F30" s="54">
        <v>3.45</v>
      </c>
      <c r="G30" s="54">
        <v>224.05</v>
      </c>
      <c r="H30" s="54">
        <v>108.64</v>
      </c>
      <c r="I30" s="54">
        <v>1.52</v>
      </c>
      <c r="J30" s="54">
        <v>0.24</v>
      </c>
      <c r="K30" s="54">
        <v>338.92</v>
      </c>
      <c r="L30" s="54">
        <v>16.47</v>
      </c>
      <c r="M30" s="54">
        <v>87.01</v>
      </c>
      <c r="N30" s="54">
        <v>35.700000000000003</v>
      </c>
      <c r="O30" s="54">
        <v>0</v>
      </c>
      <c r="P30" s="54">
        <v>2.40</v>
      </c>
      <c r="Q30" s="54">
        <v>12.16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109.69</v>
      </c>
      <c r="C31" s="54">
        <v>100.41</v>
      </c>
      <c r="D31" s="54">
        <v>143.16999999999999</v>
      </c>
      <c r="E31" s="54">
        <v>0.46</v>
      </c>
      <c r="F31" s="54">
        <v>3.32</v>
      </c>
      <c r="G31" s="54">
        <v>233.31</v>
      </c>
      <c r="H31" s="54">
        <v>108.64</v>
      </c>
      <c r="I31" s="54">
        <v>1.55</v>
      </c>
      <c r="J31" s="54">
        <v>0.14000000000000001</v>
      </c>
      <c r="K31" s="54">
        <v>300.25</v>
      </c>
      <c r="L31" s="54">
        <v>15.98</v>
      </c>
      <c r="M31" s="54">
        <v>93.42</v>
      </c>
      <c r="N31" s="54">
        <v>35.700000000000003</v>
      </c>
      <c r="O31" s="54">
        <v>0</v>
      </c>
      <c r="P31" s="54">
        <v>2.62</v>
      </c>
      <c r="Q31" s="54">
        <v>14.24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116.60</v>
      </c>
      <c r="C32" s="54">
        <v>96.22</v>
      </c>
      <c r="D32" s="54">
        <v>146.63</v>
      </c>
      <c r="E32" s="54">
        <v>0.49</v>
      </c>
      <c r="F32" s="54">
        <v>3.31</v>
      </c>
      <c r="G32" s="54">
        <v>222.94</v>
      </c>
      <c r="H32" s="54">
        <v>99.66</v>
      </c>
      <c r="I32" s="54">
        <v>1.55</v>
      </c>
      <c r="J32" s="54">
        <v>0.13</v>
      </c>
      <c r="K32" s="54">
        <v>306.39</v>
      </c>
      <c r="L32" s="54">
        <v>15.71</v>
      </c>
      <c r="M32" s="54">
        <v>95.21</v>
      </c>
      <c r="N32" s="54">
        <v>35.90</v>
      </c>
      <c r="O32" s="54">
        <v>0</v>
      </c>
      <c r="P32" s="54">
        <v>2.67</v>
      </c>
      <c r="Q32" s="54">
        <v>15.17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2.4100000000000001</v>
      </c>
      <c r="C34" s="28">
        <f t="shared" si="0"/>
        <v>71.900000000000006</v>
      </c>
      <c r="D34" s="28">
        <f t="shared" si="0"/>
        <v>42.189999999999998</v>
      </c>
      <c r="E34" s="28">
        <f t="shared" si="0"/>
        <v>0.23000000000000001</v>
      </c>
      <c r="F34" s="28">
        <f t="shared" si="0"/>
        <v>3.1000000000000001</v>
      </c>
      <c r="G34" s="28">
        <f t="shared" si="0"/>
        <v>68.859999999999999</v>
      </c>
      <c r="H34" s="28">
        <f t="shared" si="0"/>
        <v>41.780000000000001</v>
      </c>
      <c r="I34" s="28">
        <f t="shared" si="0"/>
        <v>1.48</v>
      </c>
      <c r="J34" s="28">
        <f t="shared" si="0"/>
        <v>0.10000000000000001</v>
      </c>
      <c r="K34" s="28">
        <f t="shared" si="0"/>
        <v>86.049999999999997</v>
      </c>
      <c r="L34" s="28">
        <f t="shared" si="0"/>
        <v>12.949999999999999</v>
      </c>
      <c r="M34" s="28">
        <f t="shared" si="0"/>
        <v>36.490000000000002</v>
      </c>
      <c r="N34" s="28">
        <f t="shared" si="0"/>
        <v>35.600000000000001</v>
      </c>
      <c r="O34" s="28">
        <f t="shared" si="0"/>
        <v>0</v>
      </c>
      <c r="P34" s="28">
        <f t="shared" si="0"/>
        <v>0.64000000000000001</v>
      </c>
      <c r="Q34" s="28">
        <f t="shared" si="0"/>
        <v>6.3899999999999997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269.13999999999999</v>
      </c>
      <c r="C35" s="29">
        <f t="shared" si="1"/>
        <v>102.40000000000001</v>
      </c>
      <c r="D35" s="29">
        <f t="shared" si="1"/>
        <v>272.97000000000003</v>
      </c>
      <c r="E35" s="29">
        <f t="shared" si="1"/>
        <v>1.03</v>
      </c>
      <c r="F35" s="29">
        <f t="shared" si="1"/>
        <v>8.75</v>
      </c>
      <c r="G35" s="29">
        <f t="shared" si="1"/>
        <v>249.86000000000001</v>
      </c>
      <c r="H35" s="29">
        <f t="shared" si="1"/>
        <v>137.13999999999999</v>
      </c>
      <c r="I35" s="29">
        <f t="shared" si="1"/>
        <v>1.6000000000000001</v>
      </c>
      <c r="J35" s="29">
        <f t="shared" si="1"/>
        <v>0.88</v>
      </c>
      <c r="K35" s="29">
        <f t="shared" si="1"/>
        <v>351.56999999999999</v>
      </c>
      <c r="L35" s="29">
        <f t="shared" si="1"/>
        <v>28.550000000000001</v>
      </c>
      <c r="M35" s="29">
        <f t="shared" si="1"/>
        <v>97.859999999999999</v>
      </c>
      <c r="N35" s="29">
        <f t="shared" si="1"/>
        <v>558</v>
      </c>
      <c r="O35" s="29">
        <f t="shared" si="1"/>
        <v>0</v>
      </c>
      <c r="P35" s="29">
        <f t="shared" si="1"/>
        <v>5.3799999999999999</v>
      </c>
      <c r="Q35" s="29">
        <f t="shared" si="1"/>
        <v>47.189999999999998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73.686249999999987</v>
      </c>
      <c r="C36" s="28">
        <f t="shared" si="2"/>
        <v>87.507916666666674</v>
      </c>
      <c r="D36" s="28">
        <f t="shared" si="2"/>
        <v>107.72041666666667</v>
      </c>
      <c r="E36" s="28">
        <f t="shared" si="2"/>
        <v>0.50541666666666674</v>
      </c>
      <c r="F36" s="28">
        <f t="shared" si="2"/>
        <v>4.3220833333333326</v>
      </c>
      <c r="G36" s="28">
        <f t="shared" si="2"/>
        <v>165.47958333333332</v>
      </c>
      <c r="H36" s="28">
        <f t="shared" si="2"/>
        <v>95.571249999999978</v>
      </c>
      <c r="I36" s="28">
        <f t="shared" si="2"/>
        <v>1.53</v>
      </c>
      <c r="J36" s="28">
        <f t="shared" si="2"/>
        <v>0.31958333333333333</v>
      </c>
      <c r="K36" s="28">
        <f t="shared" si="2"/>
        <v>272.65833333333336</v>
      </c>
      <c r="L36" s="28">
        <f t="shared" si="2"/>
        <v>19.064583333333328</v>
      </c>
      <c r="M36" s="28">
        <f t="shared" si="2"/>
        <v>73.941666666666677</v>
      </c>
      <c r="N36" s="28">
        <f t="shared" si="2"/>
        <v>166.8041666666667</v>
      </c>
      <c r="O36" s="28">
        <f t="shared" si="2"/>
        <v>0</v>
      </c>
      <c r="P36" s="28">
        <f t="shared" si="2"/>
        <v>1.5625000000000002</v>
      </c>
      <c r="Q36" s="28">
        <f t="shared" si="2"/>
        <v>15.335833333333339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71.869799414877903</v>
      </c>
      <c r="C37" s="28">
        <f t="shared" si="3" ref="C37:Q37">STDEV(C9:C32)</f>
        <v>10.537982638043731</v>
      </c>
      <c r="D37" s="28">
        <f t="shared" si="3"/>
        <v>60.099698652153947</v>
      </c>
      <c r="E37" s="28">
        <f t="shared" si="3"/>
        <v>0.24960802604617219</v>
      </c>
      <c r="F37" s="28">
        <f t="shared" si="3"/>
        <v>1.4628857103168649</v>
      </c>
      <c r="G37" s="28">
        <f t="shared" si="3"/>
        <v>56.722421644444552</v>
      </c>
      <c r="H37" s="28">
        <f t="shared" si="3"/>
        <v>26.800878037612119</v>
      </c>
      <c r="I37" s="28">
        <f t="shared" si="3"/>
        <v>0.027026556987687071</v>
      </c>
      <c r="J37" s="28">
        <f t="shared" si="3"/>
        <v>0.2522331420947978</v>
      </c>
      <c r="K37" s="28">
        <f t="shared" si="3"/>
        <v>83.699080025418738</v>
      </c>
      <c r="L37" s="28">
        <f t="shared" si="3"/>
        <v>5.0297212120568391</v>
      </c>
      <c r="M37" s="28">
        <f t="shared" si="3"/>
        <v>23.769285564187264</v>
      </c>
      <c r="N37" s="28">
        <f t="shared" si="3"/>
        <v>194.57589438966028</v>
      </c>
      <c r="O37" s="28">
        <f t="shared" si="3"/>
        <v>0</v>
      </c>
      <c r="P37" s="28">
        <f t="shared" si="3"/>
        <v>1.0160633752914701</v>
      </c>
      <c r="Q37" s="28">
        <f t="shared" si="3"/>
        <v>11.6060999391312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60937b-0917-4d48-a174-5595c6735e9a}">
  <sheetPr codeName=""/>
  <dimension ref="A1:U119"/>
  <sheetViews>
    <sheetView workbookViewId="0" topLeftCell="A1">
      <selection pane="topLef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115.60</v>
      </c>
      <c r="C9" s="54">
        <v>88.72</v>
      </c>
      <c r="D9" s="54">
        <v>142.19999999999999</v>
      </c>
      <c r="E9" s="54">
        <v>0.53</v>
      </c>
      <c r="F9" s="54">
        <v>3.02</v>
      </c>
      <c r="G9" s="54">
        <v>220.26</v>
      </c>
      <c r="H9" s="54">
        <v>99.66</v>
      </c>
      <c r="I9" s="54">
        <v>1.52</v>
      </c>
      <c r="J9" s="54">
        <v>0.12</v>
      </c>
      <c r="K9" s="54">
        <v>301.24</v>
      </c>
      <c r="L9" s="54">
        <v>14.47</v>
      </c>
      <c r="M9" s="54">
        <v>97.76</v>
      </c>
      <c r="N9" s="54">
        <v>35.799999999999997</v>
      </c>
      <c r="O9" s="54">
        <v>0</v>
      </c>
      <c r="P9" s="54">
        <v>2.62</v>
      </c>
      <c r="Q9" s="54">
        <v>14.90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109.95</v>
      </c>
      <c r="C10" s="54">
        <v>82.35</v>
      </c>
      <c r="D10" s="54">
        <v>134.26</v>
      </c>
      <c r="E10" s="54">
        <v>0.49</v>
      </c>
      <c r="F10" s="54">
        <v>3.19</v>
      </c>
      <c r="G10" s="54">
        <v>220.38</v>
      </c>
      <c r="H10" s="54">
        <v>98.38</v>
      </c>
      <c r="I10" s="54">
        <v>1.53</v>
      </c>
      <c r="J10" s="54">
        <v>0.09</v>
      </c>
      <c r="K10" s="54">
        <v>318.30</v>
      </c>
      <c r="L10" s="54">
        <v>14.60</v>
      </c>
      <c r="M10" s="54">
        <v>97.82</v>
      </c>
      <c r="N10" s="54">
        <v>36</v>
      </c>
      <c r="O10" s="54">
        <v>0</v>
      </c>
      <c r="P10" s="54">
        <v>2.3199999999999998</v>
      </c>
      <c r="Q10" s="54">
        <v>14.33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97.37</v>
      </c>
      <c r="C11" s="54">
        <v>78.010000000000005</v>
      </c>
      <c r="D11" s="54">
        <v>121.78</v>
      </c>
      <c r="E11" s="54">
        <v>0.54</v>
      </c>
      <c r="F11" s="54">
        <v>3.19</v>
      </c>
      <c r="G11" s="54">
        <v>195.83</v>
      </c>
      <c r="H11" s="54">
        <v>99.09</v>
      </c>
      <c r="I11" s="54">
        <v>1.53</v>
      </c>
      <c r="J11" s="54">
        <v>0.08</v>
      </c>
      <c r="K11" s="54">
        <v>356.06</v>
      </c>
      <c r="L11" s="54">
        <v>14.14</v>
      </c>
      <c r="M11" s="54">
        <v>97.86</v>
      </c>
      <c r="N11" s="54">
        <v>36.10</v>
      </c>
      <c r="O11" s="54">
        <v>0</v>
      </c>
      <c r="P11" s="54">
        <v>2.19</v>
      </c>
      <c r="Q11" s="54">
        <v>13.47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88.59</v>
      </c>
      <c r="C12" s="54">
        <v>77.459999999999994</v>
      </c>
      <c r="D12" s="54">
        <v>113.96</v>
      </c>
      <c r="E12" s="54">
        <v>0.5</v>
      </c>
      <c r="F12" s="54">
        <v>3.05</v>
      </c>
      <c r="G12" s="54">
        <v>194.23</v>
      </c>
      <c r="H12" s="54">
        <v>115.30</v>
      </c>
      <c r="I12" s="54">
        <v>1.52</v>
      </c>
      <c r="J12" s="54">
        <v>0.12</v>
      </c>
      <c r="K12" s="54">
        <v>330.86</v>
      </c>
      <c r="L12" s="54">
        <v>14.5</v>
      </c>
      <c r="M12" s="54">
        <v>97.80</v>
      </c>
      <c r="N12" s="54">
        <v>36.200000000000003</v>
      </c>
      <c r="O12" s="54">
        <v>0</v>
      </c>
      <c r="P12" s="54">
        <v>2.12</v>
      </c>
      <c r="Q12" s="54">
        <v>12.59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77.58</v>
      </c>
      <c r="C13" s="54">
        <v>77.010000000000005</v>
      </c>
      <c r="D13" s="54">
        <v>105.36</v>
      </c>
      <c r="E13" s="54">
        <v>0.39</v>
      </c>
      <c r="F13" s="54">
        <v>3.38</v>
      </c>
      <c r="G13" s="54">
        <v>205.46</v>
      </c>
      <c r="H13" s="54">
        <v>117.62</v>
      </c>
      <c r="I13" s="54">
        <v>1.54</v>
      </c>
      <c r="J13" s="54">
        <v>0.11</v>
      </c>
      <c r="K13" s="54">
        <v>305.24</v>
      </c>
      <c r="L13" s="54">
        <v>13.75</v>
      </c>
      <c r="M13" s="54">
        <v>97.84</v>
      </c>
      <c r="N13" s="54">
        <v>36</v>
      </c>
      <c r="O13" s="54">
        <v>0</v>
      </c>
      <c r="P13" s="54">
        <v>1.98</v>
      </c>
      <c r="Q13" s="54">
        <v>12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74.680000000000007</v>
      </c>
      <c r="C14" s="54">
        <v>76.06</v>
      </c>
      <c r="D14" s="54">
        <v>101.10</v>
      </c>
      <c r="E14" s="54">
        <v>0.41</v>
      </c>
      <c r="F14" s="54">
        <v>3.64</v>
      </c>
      <c r="G14" s="54">
        <v>207.92</v>
      </c>
      <c r="H14" s="54">
        <v>117.62</v>
      </c>
      <c r="I14" s="54">
        <v>1.54</v>
      </c>
      <c r="J14" s="54">
        <v>0.13</v>
      </c>
      <c r="K14" s="54">
        <v>308.88</v>
      </c>
      <c r="L14" s="54">
        <v>13.29</v>
      </c>
      <c r="M14" s="54">
        <v>97.88</v>
      </c>
      <c r="N14" s="54">
        <v>36</v>
      </c>
      <c r="O14" s="54">
        <v>0</v>
      </c>
      <c r="P14" s="54">
        <v>1.80</v>
      </c>
      <c r="Q14" s="54">
        <v>11.44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100.28</v>
      </c>
      <c r="C15" s="54">
        <v>73.959999999999994</v>
      </c>
      <c r="D15" s="54">
        <v>121.88</v>
      </c>
      <c r="E15" s="54">
        <v>0.46</v>
      </c>
      <c r="F15" s="54">
        <v>3.5</v>
      </c>
      <c r="G15" s="54">
        <v>192.5</v>
      </c>
      <c r="H15" s="54">
        <v>104.70</v>
      </c>
      <c r="I15" s="54">
        <v>1.5</v>
      </c>
      <c r="J15" s="54">
        <v>0.21</v>
      </c>
      <c r="K15" s="54">
        <v>340.74</v>
      </c>
      <c r="L15" s="54">
        <v>13.32</v>
      </c>
      <c r="M15" s="54">
        <v>97.88</v>
      </c>
      <c r="N15" s="54">
        <v>56.5</v>
      </c>
      <c r="O15" s="54">
        <v>0</v>
      </c>
      <c r="P15" s="54">
        <v>1.66</v>
      </c>
      <c r="Q15" s="54">
        <v>12.96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98.10</v>
      </c>
      <c r="C16" s="54">
        <v>74.569999999999993</v>
      </c>
      <c r="D16" s="54">
        <v>120.44</v>
      </c>
      <c r="E16" s="54">
        <v>0.44</v>
      </c>
      <c r="F16" s="54">
        <v>3.20</v>
      </c>
      <c r="G16" s="54">
        <v>193.34</v>
      </c>
      <c r="H16" s="54">
        <v>104.70</v>
      </c>
      <c r="I16" s="54">
        <v>1.57</v>
      </c>
      <c r="J16" s="54">
        <v>0.80</v>
      </c>
      <c r="K16" s="54">
        <v>102.36</v>
      </c>
      <c r="L16" s="54">
        <v>15.48</v>
      </c>
      <c r="M16" s="54">
        <v>95.21</v>
      </c>
      <c r="N16" s="54">
        <v>162.19999999999999</v>
      </c>
      <c r="O16" s="54">
        <v>0</v>
      </c>
      <c r="P16" s="54">
        <v>1.67</v>
      </c>
      <c r="Q16" s="54">
        <v>13.16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76.16</v>
      </c>
      <c r="C17" s="54">
        <v>77.22</v>
      </c>
      <c r="D17" s="54">
        <v>102.87</v>
      </c>
      <c r="E17" s="54">
        <v>0.5</v>
      </c>
      <c r="F17" s="54">
        <v>3.27</v>
      </c>
      <c r="G17" s="54">
        <v>110.88</v>
      </c>
      <c r="H17" s="54">
        <v>73.30</v>
      </c>
      <c r="I17" s="54">
        <v>1.5</v>
      </c>
      <c r="J17" s="54">
        <v>0.77</v>
      </c>
      <c r="K17" s="54">
        <v>159.96</v>
      </c>
      <c r="L17" s="54">
        <v>18.03</v>
      </c>
      <c r="M17" s="54">
        <v>80.19</v>
      </c>
      <c r="N17" s="54">
        <v>312.30</v>
      </c>
      <c r="O17" s="54">
        <v>0</v>
      </c>
      <c r="P17" s="54">
        <v>1.49</v>
      </c>
      <c r="Q17" s="54">
        <v>11.82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54.95</v>
      </c>
      <c r="C18" s="54">
        <v>79.27</v>
      </c>
      <c r="D18" s="54">
        <v>87.49</v>
      </c>
      <c r="E18" s="54">
        <v>0.42</v>
      </c>
      <c r="F18" s="54">
        <v>3.24</v>
      </c>
      <c r="G18" s="54">
        <v>113.79</v>
      </c>
      <c r="H18" s="54">
        <v>68.06</v>
      </c>
      <c r="I18" s="54">
        <v>1.55</v>
      </c>
      <c r="J18" s="54">
        <v>0.78</v>
      </c>
      <c r="K18" s="54">
        <v>157.30000000000001</v>
      </c>
      <c r="L18" s="54">
        <v>20.67</v>
      </c>
      <c r="M18" s="54">
        <v>70.540000000000006</v>
      </c>
      <c r="N18" s="54">
        <v>454</v>
      </c>
      <c r="O18" s="54">
        <v>0</v>
      </c>
      <c r="P18" s="54">
        <v>1.31</v>
      </c>
      <c r="Q18" s="54">
        <v>10.33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36.15</v>
      </c>
      <c r="C19" s="54">
        <v>84.59</v>
      </c>
      <c r="D19" s="54">
        <v>73.91</v>
      </c>
      <c r="E19" s="54">
        <v>0.35</v>
      </c>
      <c r="F19" s="54">
        <v>3.75</v>
      </c>
      <c r="G19" s="54">
        <v>86.72</v>
      </c>
      <c r="H19" s="54">
        <v>53.52</v>
      </c>
      <c r="I19" s="54">
        <v>1.55</v>
      </c>
      <c r="J19" s="54">
        <v>0.47</v>
      </c>
      <c r="K19" s="54">
        <v>136.66</v>
      </c>
      <c r="L19" s="54">
        <v>23.21</v>
      </c>
      <c r="M19" s="54">
        <v>55.45</v>
      </c>
      <c r="N19" s="54">
        <v>515.70000000000005</v>
      </c>
      <c r="O19" s="54">
        <v>0</v>
      </c>
      <c r="P19" s="54">
        <v>1.1499999999999999</v>
      </c>
      <c r="Q19" s="54">
        <v>8.93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12.28</v>
      </c>
      <c r="C20" s="54">
        <v>82.68</v>
      </c>
      <c r="D20" s="54">
        <v>55.06</v>
      </c>
      <c r="E20" s="54">
        <v>0.26</v>
      </c>
      <c r="F20" s="54">
        <v>5.32</v>
      </c>
      <c r="G20" s="54">
        <v>70.52</v>
      </c>
      <c r="H20" s="54">
        <v>50.74</v>
      </c>
      <c r="I20" s="54">
        <v>1.52</v>
      </c>
      <c r="J20" s="54">
        <v>0.78</v>
      </c>
      <c r="K20" s="54">
        <v>338.20</v>
      </c>
      <c r="L20" s="54">
        <v>26.22</v>
      </c>
      <c r="M20" s="54">
        <v>46.34</v>
      </c>
      <c r="N20" s="54">
        <v>540.90</v>
      </c>
      <c r="O20" s="54">
        <v>0</v>
      </c>
      <c r="P20" s="54">
        <v>0.86</v>
      </c>
      <c r="Q20" s="54">
        <v>7.98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14.37</v>
      </c>
      <c r="C21" s="54">
        <v>66.48</v>
      </c>
      <c r="D21" s="54">
        <v>48.27</v>
      </c>
      <c r="E21" s="54">
        <v>0.19</v>
      </c>
      <c r="F21" s="54">
        <v>5.21</v>
      </c>
      <c r="G21" s="54">
        <v>82.79</v>
      </c>
      <c r="H21" s="54">
        <v>46.30</v>
      </c>
      <c r="I21" s="54">
        <v>1.49</v>
      </c>
      <c r="J21" s="54">
        <v>0.76</v>
      </c>
      <c r="K21" s="54">
        <v>338.03</v>
      </c>
      <c r="L21" s="54">
        <v>25.97</v>
      </c>
      <c r="M21" s="54">
        <v>49.20</v>
      </c>
      <c r="N21" s="54">
        <v>467.60</v>
      </c>
      <c r="O21" s="54">
        <v>0</v>
      </c>
      <c r="P21" s="54">
        <v>0.81</v>
      </c>
      <c r="Q21" s="54">
        <v>7.31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13.35</v>
      </c>
      <c r="C22" s="54">
        <v>61.20</v>
      </c>
      <c r="D22" s="54">
        <v>44.99</v>
      </c>
      <c r="E22" s="54">
        <v>0.41</v>
      </c>
      <c r="F22" s="54">
        <v>6.82</v>
      </c>
      <c r="G22" s="54">
        <v>106.56</v>
      </c>
      <c r="H22" s="54">
        <v>51.36</v>
      </c>
      <c r="I22" s="54">
        <v>1.60</v>
      </c>
      <c r="J22" s="54">
        <v>0.79</v>
      </c>
      <c r="K22" s="54">
        <v>128.18</v>
      </c>
      <c r="L22" s="54">
        <v>25.42</v>
      </c>
      <c r="M22" s="54">
        <v>43.20</v>
      </c>
      <c r="N22" s="54">
        <v>391.30</v>
      </c>
      <c r="O22" s="54">
        <v>0</v>
      </c>
      <c r="P22" s="54">
        <v>0.73</v>
      </c>
      <c r="Q22" s="54">
        <v>7.22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14.34</v>
      </c>
      <c r="C23" s="54">
        <v>62.32</v>
      </c>
      <c r="D23" s="54">
        <v>45.92</v>
      </c>
      <c r="E23" s="54">
        <v>0.14000000000000001</v>
      </c>
      <c r="F23" s="54">
        <v>4.84</v>
      </c>
      <c r="G23" s="54">
        <v>113.70</v>
      </c>
      <c r="H23" s="54">
        <v>51.36</v>
      </c>
      <c r="I23" s="54">
        <v>1.57</v>
      </c>
      <c r="J23" s="54">
        <v>0.60</v>
      </c>
      <c r="K23" s="54">
        <v>359.21</v>
      </c>
      <c r="L23" s="54">
        <v>25.09</v>
      </c>
      <c r="M23" s="54">
        <v>43.12</v>
      </c>
      <c r="N23" s="54">
        <v>254.80</v>
      </c>
      <c r="O23" s="54">
        <v>0</v>
      </c>
      <c r="P23" s="54">
        <v>0.73</v>
      </c>
      <c r="Q23" s="54">
        <v>6.71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12.63</v>
      </c>
      <c r="C24" s="54">
        <v>62.44</v>
      </c>
      <c r="D24" s="54">
        <v>44.69</v>
      </c>
      <c r="E24" s="54">
        <v>0.14000000000000001</v>
      </c>
      <c r="F24" s="54">
        <v>5.89</v>
      </c>
      <c r="G24" s="54">
        <v>98.22</v>
      </c>
      <c r="H24" s="54">
        <v>46.37</v>
      </c>
      <c r="I24" s="54">
        <v>1.58</v>
      </c>
      <c r="J24" s="54">
        <v>1</v>
      </c>
      <c r="K24" s="54">
        <v>113.52</v>
      </c>
      <c r="L24" s="54">
        <v>23.60</v>
      </c>
      <c r="M24" s="54">
        <v>43.77</v>
      </c>
      <c r="N24" s="54">
        <v>206.40</v>
      </c>
      <c r="O24" s="54">
        <v>0</v>
      </c>
      <c r="P24" s="54">
        <v>0.68</v>
      </c>
      <c r="Q24" s="54">
        <v>6.58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11.56</v>
      </c>
      <c r="C25" s="54">
        <v>69.88</v>
      </c>
      <c r="D25" s="54">
        <v>47</v>
      </c>
      <c r="E25" s="54">
        <v>0.24</v>
      </c>
      <c r="F25" s="54">
        <v>11.76</v>
      </c>
      <c r="G25" s="54">
        <v>93.81</v>
      </c>
      <c r="H25" s="54">
        <v>49.22</v>
      </c>
      <c r="I25" s="54">
        <v>1.51</v>
      </c>
      <c r="J25" s="54">
        <v>0.28000000000000003</v>
      </c>
      <c r="K25" s="54">
        <v>349.03</v>
      </c>
      <c r="L25" s="54">
        <v>22.95</v>
      </c>
      <c r="M25" s="54">
        <v>47.68</v>
      </c>
      <c r="N25" s="54">
        <v>91.10</v>
      </c>
      <c r="O25" s="54">
        <v>0</v>
      </c>
      <c r="P25" s="54">
        <v>0.69</v>
      </c>
      <c r="Q25" s="54">
        <v>7.16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20.71</v>
      </c>
      <c r="C26" s="54">
        <v>71.11</v>
      </c>
      <c r="D26" s="54">
        <v>51.39</v>
      </c>
      <c r="E26" s="54">
        <v>0.18</v>
      </c>
      <c r="F26" s="54">
        <v>5.94</v>
      </c>
      <c r="G26" s="54">
        <v>114.75</v>
      </c>
      <c r="H26" s="54">
        <v>52.10</v>
      </c>
      <c r="I26" s="54">
        <v>1.55</v>
      </c>
      <c r="J26" s="54">
        <v>0.15</v>
      </c>
      <c r="K26" s="54">
        <v>322.41000000000003</v>
      </c>
      <c r="L26" s="54">
        <v>21.84</v>
      </c>
      <c r="M26" s="54">
        <v>76.67</v>
      </c>
      <c r="N26" s="54">
        <v>22.10</v>
      </c>
      <c r="O26" s="54">
        <v>0</v>
      </c>
      <c r="P26" s="54">
        <v>0.78</v>
      </c>
      <c r="Q26" s="54">
        <v>7.51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87.43</v>
      </c>
      <c r="C27" s="54">
        <v>35.86</v>
      </c>
      <c r="D27" s="54">
        <v>65.25</v>
      </c>
      <c r="E27" s="54">
        <v>0.23</v>
      </c>
      <c r="F27" s="54">
        <v>3.37</v>
      </c>
      <c r="G27" s="54">
        <v>162.38</v>
      </c>
      <c r="H27" s="54">
        <v>67.41</v>
      </c>
      <c r="I27" s="54">
        <v>1.53</v>
      </c>
      <c r="J27" s="54">
        <v>0.16</v>
      </c>
      <c r="K27" s="54">
        <v>319.70</v>
      </c>
      <c r="L27" s="54">
        <v>19.329999999999998</v>
      </c>
      <c r="M27" s="54">
        <v>82.92</v>
      </c>
      <c r="N27" s="54">
        <v>13</v>
      </c>
      <c r="O27" s="54">
        <v>0</v>
      </c>
      <c r="P27" s="54">
        <v>1.1399999999999999</v>
      </c>
      <c r="Q27" s="54">
        <v>8.15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135.26</v>
      </c>
      <c r="C28" s="54">
        <v>-24.77</v>
      </c>
      <c r="D28" s="54">
        <v>89.29</v>
      </c>
      <c r="E28" s="54">
        <v>0.30</v>
      </c>
      <c r="F28" s="54">
        <v>3.40</v>
      </c>
      <c r="G28" s="54">
        <v>201.28</v>
      </c>
      <c r="H28" s="54">
        <v>80.849999999999994</v>
      </c>
      <c r="I28" s="54">
        <v>1.55</v>
      </c>
      <c r="J28" s="54">
        <v>0.10</v>
      </c>
      <c r="K28" s="54">
        <v>343.29</v>
      </c>
      <c r="L28" s="54">
        <v>18.329999999999998</v>
      </c>
      <c r="M28" s="54">
        <v>86.63</v>
      </c>
      <c r="N28" s="54">
        <v>13.20</v>
      </c>
      <c r="O28" s="54">
        <v>0</v>
      </c>
      <c r="P28" s="54">
        <v>1.72</v>
      </c>
      <c r="Q28" s="54">
        <v>9.73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155.80000000000001</v>
      </c>
      <c r="C29" s="54">
        <v>-4.24</v>
      </c>
      <c r="D29" s="54">
        <v>123.25</v>
      </c>
      <c r="E29" s="54">
        <v>0.43</v>
      </c>
      <c r="F29" s="54">
        <v>3.44</v>
      </c>
      <c r="G29" s="54">
        <v>227.42</v>
      </c>
      <c r="H29" s="54">
        <v>88.05</v>
      </c>
      <c r="I29" s="54">
        <v>1.59</v>
      </c>
      <c r="J29" s="54">
        <v>0.10</v>
      </c>
      <c r="K29" s="54">
        <v>302.45</v>
      </c>
      <c r="L29" s="54">
        <v>17.07</v>
      </c>
      <c r="M29" s="54">
        <v>89.89</v>
      </c>
      <c r="N29" s="54">
        <v>13.5</v>
      </c>
      <c r="O29" s="54">
        <v>0</v>
      </c>
      <c r="P29" s="54">
        <v>2.31</v>
      </c>
      <c r="Q29" s="54">
        <v>12.75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172.72</v>
      </c>
      <c r="C30" s="54">
        <v>25.74</v>
      </c>
      <c r="D30" s="54">
        <v>153.36000000000001</v>
      </c>
      <c r="E30" s="54">
        <v>0.53</v>
      </c>
      <c r="F30" s="54">
        <v>3.24</v>
      </c>
      <c r="G30" s="54">
        <v>233.37</v>
      </c>
      <c r="H30" s="54">
        <v>94.65</v>
      </c>
      <c r="I30" s="54">
        <v>1.5</v>
      </c>
      <c r="J30" s="54">
        <v>0.12</v>
      </c>
      <c r="K30" s="54">
        <v>352.35</v>
      </c>
      <c r="L30" s="54">
        <v>16.77</v>
      </c>
      <c r="M30" s="54">
        <v>92.58</v>
      </c>
      <c r="N30" s="54">
        <v>13.5</v>
      </c>
      <c r="O30" s="54">
        <v>0</v>
      </c>
      <c r="P30" s="54">
        <v>2.78</v>
      </c>
      <c r="Q30" s="54">
        <v>15.49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189.94</v>
      </c>
      <c r="C31" s="54">
        <v>49.44</v>
      </c>
      <c r="D31" s="54">
        <v>180.25</v>
      </c>
      <c r="E31" s="54">
        <v>0.61</v>
      </c>
      <c r="F31" s="54">
        <v>3.52</v>
      </c>
      <c r="G31" s="54">
        <v>235.93</v>
      </c>
      <c r="H31" s="54">
        <v>98.25</v>
      </c>
      <c r="I31" s="54">
        <v>1.55</v>
      </c>
      <c r="J31" s="54">
        <v>0.11</v>
      </c>
      <c r="K31" s="54">
        <v>342.41</v>
      </c>
      <c r="L31" s="54">
        <v>16.25</v>
      </c>
      <c r="M31" s="54">
        <v>95.61</v>
      </c>
      <c r="N31" s="54">
        <v>13.70</v>
      </c>
      <c r="O31" s="54">
        <v>0</v>
      </c>
      <c r="P31" s="54">
        <v>3.20</v>
      </c>
      <c r="Q31" s="54">
        <v>17.84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198.37</v>
      </c>
      <c r="C32" s="54">
        <v>55.76</v>
      </c>
      <c r="D32" s="54">
        <v>190.25</v>
      </c>
      <c r="E32" s="54">
        <v>0.60</v>
      </c>
      <c r="F32" s="54">
        <v>3.33</v>
      </c>
      <c r="G32" s="54">
        <v>243.90</v>
      </c>
      <c r="H32" s="54">
        <v>99.99</v>
      </c>
      <c r="I32" s="54">
        <v>1.53</v>
      </c>
      <c r="J32" s="54">
        <v>0.12</v>
      </c>
      <c r="K32" s="54">
        <v>325.77</v>
      </c>
      <c r="L32" s="54">
        <v>15.69</v>
      </c>
      <c r="M32" s="54">
        <v>96.26</v>
      </c>
      <c r="N32" s="54">
        <v>13.80</v>
      </c>
      <c r="O32" s="54">
        <v>0</v>
      </c>
      <c r="P32" s="54">
        <v>3.37</v>
      </c>
      <c r="Q32" s="54">
        <v>19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11.56</v>
      </c>
      <c r="C34" s="28">
        <f t="shared" si="0"/>
        <v>-24.77</v>
      </c>
      <c r="D34" s="28">
        <f t="shared" si="0"/>
        <v>44.689999999999998</v>
      </c>
      <c r="E34" s="28">
        <f t="shared" si="0"/>
        <v>0.14000000000000001</v>
      </c>
      <c r="F34" s="28">
        <f t="shared" si="0"/>
        <v>3.02</v>
      </c>
      <c r="G34" s="28">
        <f t="shared" si="0"/>
        <v>70.519999999999996</v>
      </c>
      <c r="H34" s="28">
        <f t="shared" si="0"/>
        <v>46.299999999999997</v>
      </c>
      <c r="I34" s="28">
        <f t="shared" si="0"/>
        <v>1.49</v>
      </c>
      <c r="J34" s="28">
        <f t="shared" si="0"/>
        <v>0.080000000000000002</v>
      </c>
      <c r="K34" s="28">
        <f t="shared" si="0"/>
        <v>102.36</v>
      </c>
      <c r="L34" s="28">
        <f t="shared" si="0"/>
        <v>13.289999999999999</v>
      </c>
      <c r="M34" s="28">
        <f t="shared" si="0"/>
        <v>43.119999999999997</v>
      </c>
      <c r="N34" s="28">
        <f t="shared" si="0"/>
        <v>13</v>
      </c>
      <c r="O34" s="28">
        <f t="shared" si="0"/>
        <v>0</v>
      </c>
      <c r="P34" s="28">
        <f t="shared" si="0"/>
        <v>0.68000000000000005</v>
      </c>
      <c r="Q34" s="28">
        <f t="shared" si="0"/>
        <v>6.5800000000000001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198.37</v>
      </c>
      <c r="C35" s="29">
        <f t="shared" si="1"/>
        <v>88.719999999999999</v>
      </c>
      <c r="D35" s="29">
        <f t="shared" si="1"/>
        <v>190.25</v>
      </c>
      <c r="E35" s="29">
        <f t="shared" si="1"/>
        <v>0.60999999999999999</v>
      </c>
      <c r="F35" s="29">
        <f t="shared" si="1"/>
        <v>11.76</v>
      </c>
      <c r="G35" s="29">
        <f t="shared" si="1"/>
        <v>243.90000000000001</v>
      </c>
      <c r="H35" s="29">
        <f t="shared" si="1"/>
        <v>117.62</v>
      </c>
      <c r="I35" s="29">
        <f t="shared" si="1"/>
        <v>1.6000000000000001</v>
      </c>
      <c r="J35" s="29">
        <f t="shared" si="1"/>
        <v>1</v>
      </c>
      <c r="K35" s="29">
        <f t="shared" si="1"/>
        <v>359.20999999999998</v>
      </c>
      <c r="L35" s="29">
        <f t="shared" si="1"/>
        <v>26.219999999999999</v>
      </c>
      <c r="M35" s="29">
        <f t="shared" si="1"/>
        <v>97.879999999999995</v>
      </c>
      <c r="N35" s="29">
        <f t="shared" si="1"/>
        <v>540.89999999999998</v>
      </c>
      <c r="O35" s="29">
        <f t="shared" si="1"/>
        <v>0</v>
      </c>
      <c r="P35" s="29">
        <f t="shared" si="1"/>
        <v>3.3700000000000001</v>
      </c>
      <c r="Q35" s="29">
        <f t="shared" si="1"/>
        <v>19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82.007083333333341</v>
      </c>
      <c r="C36" s="28">
        <f t="shared" si="2"/>
        <v>61.796666666666653</v>
      </c>
      <c r="D36" s="28">
        <f t="shared" si="2"/>
        <v>98.509166666666673</v>
      </c>
      <c r="E36" s="28">
        <f t="shared" si="2"/>
        <v>0.38708333333333322</v>
      </c>
      <c r="F36" s="28">
        <f t="shared" si="2"/>
        <v>4.2712500000000002</v>
      </c>
      <c r="G36" s="28">
        <f t="shared" si="2"/>
        <v>163.58083333333335</v>
      </c>
      <c r="H36" s="28">
        <f t="shared" si="2"/>
        <v>80.35833333333332</v>
      </c>
      <c r="I36" s="28">
        <f t="shared" si="2"/>
        <v>1.5383333333333333</v>
      </c>
      <c r="J36" s="28">
        <f t="shared" si="2"/>
        <v>0.3645833333333332</v>
      </c>
      <c r="K36" s="28">
        <f t="shared" si="2"/>
        <v>281.33958333333334</v>
      </c>
      <c r="L36" s="28">
        <f t="shared" si="2"/>
        <v>18.74958333333333</v>
      </c>
      <c r="M36" s="28">
        <f t="shared" si="2"/>
        <v>78.337500000000006</v>
      </c>
      <c r="N36" s="28">
        <f t="shared" si="2"/>
        <v>157.15416666666667</v>
      </c>
      <c r="O36" s="28">
        <f t="shared" si="2"/>
        <v>0</v>
      </c>
      <c r="P36" s="28">
        <f t="shared" si="2"/>
        <v>1.6712499999999997</v>
      </c>
      <c r="Q36" s="28">
        <f t="shared" si="2"/>
        <v>11.223333333333334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58.8719625804993</v>
      </c>
      <c r="C37" s="28">
        <f t="shared" si="3" ref="C37:Q37">STDEV(C9:C32)</f>
        <v>28.046517363692136</v>
      </c>
      <c r="D37" s="28">
        <f t="shared" si="3"/>
        <v>43.496678125703077</v>
      </c>
      <c r="E37" s="28">
        <f t="shared" si="3"/>
        <v>0.14486813094093173</v>
      </c>
      <c r="F37" s="28">
        <f t="shared" si="3"/>
        <v>1.9306617754812323</v>
      </c>
      <c r="G37" s="28">
        <f t="shared" si="3"/>
        <v>58.803103135853277</v>
      </c>
      <c r="H37" s="28">
        <f t="shared" si="3"/>
        <v>25.479385984456734</v>
      </c>
      <c r="I37" s="28">
        <f t="shared" si="3"/>
        <v>0.029291142253124153</v>
      </c>
      <c r="J37" s="28">
        <f t="shared" si="3"/>
        <v>0.31937410483722667</v>
      </c>
      <c r="K37" s="28">
        <f t="shared" si="3"/>
        <v>89.598679264294006</v>
      </c>
      <c r="L37" s="28">
        <f t="shared" si="3"/>
        <v>4.4727916379183261</v>
      </c>
      <c r="M37" s="28">
        <f t="shared" si="3"/>
        <v>21.933288428877848</v>
      </c>
      <c r="N37" s="28">
        <f t="shared" si="3"/>
        <v>186.01958050084443</v>
      </c>
      <c r="O37" s="28">
        <f t="shared" si="3"/>
        <v>0</v>
      </c>
      <c r="P37" s="28">
        <f t="shared" si="3"/>
        <v>0.81813314798148129</v>
      </c>
      <c r="Q37" s="28">
        <f t="shared" si="3"/>
        <v>3.5781494690954982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1fdfbb-f696-412b-a9df-de878a1d8604}">
  <sheetPr codeName=""/>
  <dimension ref="A1:U119"/>
  <sheetViews>
    <sheetView workbookViewId="0" topLeftCell="A1">
      <selection pane="topLef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194.71</v>
      </c>
      <c r="C9" s="54">
        <v>57.38</v>
      </c>
      <c r="D9" s="54">
        <v>187.95</v>
      </c>
      <c r="E9" s="54">
        <v>0.44</v>
      </c>
      <c r="F9" s="54">
        <v>3.34</v>
      </c>
      <c r="G9" s="54">
        <v>245.84</v>
      </c>
      <c r="H9" s="54">
        <v>102.70</v>
      </c>
      <c r="I9" s="54">
        <v>1.55</v>
      </c>
      <c r="J9" s="54">
        <v>0.16</v>
      </c>
      <c r="K9" s="54">
        <v>293.39999999999998</v>
      </c>
      <c r="L9" s="54">
        <v>15.46</v>
      </c>
      <c r="M9" s="54">
        <v>97.69</v>
      </c>
      <c r="N9" s="54">
        <v>14</v>
      </c>
      <c r="O9" s="54">
        <v>0</v>
      </c>
      <c r="P9" s="54">
        <v>3.33</v>
      </c>
      <c r="Q9" s="54">
        <v>19.03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168.89</v>
      </c>
      <c r="C10" s="54">
        <v>51.13</v>
      </c>
      <c r="D10" s="54">
        <v>164.30</v>
      </c>
      <c r="E10" s="54">
        <v>0.37</v>
      </c>
      <c r="F10" s="54">
        <v>3.44</v>
      </c>
      <c r="G10" s="54">
        <v>216.91</v>
      </c>
      <c r="H10" s="54">
        <v>102.70</v>
      </c>
      <c r="I10" s="54">
        <v>1.58</v>
      </c>
      <c r="J10" s="54">
        <v>0.12</v>
      </c>
      <c r="K10" s="54">
        <v>306.45999999999998</v>
      </c>
      <c r="L10" s="54">
        <v>14.89</v>
      </c>
      <c r="M10" s="54">
        <v>97.84</v>
      </c>
      <c r="N10" s="54">
        <v>14.20</v>
      </c>
      <c r="O10" s="54">
        <v>0</v>
      </c>
      <c r="P10" s="54">
        <v>2.57</v>
      </c>
      <c r="Q10" s="54">
        <v>17.739999999999998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144.11000000000001</v>
      </c>
      <c r="C11" s="54">
        <v>37.770000000000003</v>
      </c>
      <c r="D11" s="54">
        <v>137.05000000000001</v>
      </c>
      <c r="E11" s="54">
        <v>0.26</v>
      </c>
      <c r="F11" s="54">
        <v>3.20</v>
      </c>
      <c r="G11" s="54">
        <v>135.5</v>
      </c>
      <c r="H11" s="54">
        <v>92.08</v>
      </c>
      <c r="I11" s="54">
        <v>1.57</v>
      </c>
      <c r="J11" s="54">
        <v>0.14000000000000001</v>
      </c>
      <c r="K11" s="54">
        <v>304.41000000000003</v>
      </c>
      <c r="L11" s="54">
        <v>13.88</v>
      </c>
      <c r="M11" s="54">
        <v>97.85</v>
      </c>
      <c r="N11" s="54">
        <v>14.10</v>
      </c>
      <c r="O11" s="54">
        <v>0</v>
      </c>
      <c r="P11" s="54">
        <v>2.2000000000000002</v>
      </c>
      <c r="Q11" s="54">
        <v>15.18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121.53</v>
      </c>
      <c r="C12" s="54">
        <v>35.61</v>
      </c>
      <c r="D12" s="54">
        <v>117.76</v>
      </c>
      <c r="E12" s="54">
        <v>0.23</v>
      </c>
      <c r="F12" s="54">
        <v>3.23</v>
      </c>
      <c r="G12" s="54">
        <v>141.46</v>
      </c>
      <c r="H12" s="54">
        <v>86.35</v>
      </c>
      <c r="I12" s="54">
        <v>1.53</v>
      </c>
      <c r="J12" s="54">
        <v>0.13</v>
      </c>
      <c r="K12" s="54">
        <v>344.08</v>
      </c>
      <c r="L12" s="54">
        <v>13.84</v>
      </c>
      <c r="M12" s="54">
        <v>97.88</v>
      </c>
      <c r="N12" s="54">
        <v>14.30</v>
      </c>
      <c r="O12" s="54">
        <v>0</v>
      </c>
      <c r="P12" s="54">
        <v>1.83</v>
      </c>
      <c r="Q12" s="54">
        <v>13.57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105.54</v>
      </c>
      <c r="C13" s="54">
        <v>34.93</v>
      </c>
      <c r="D13" s="54">
        <v>104.07</v>
      </c>
      <c r="E13" s="54">
        <v>0.37</v>
      </c>
      <c r="F13" s="54">
        <v>3.17</v>
      </c>
      <c r="G13" s="54">
        <v>144.30000000000001</v>
      </c>
      <c r="H13" s="54">
        <v>79.12</v>
      </c>
      <c r="I13" s="54">
        <v>1.5</v>
      </c>
      <c r="J13" s="54">
        <v>0.11</v>
      </c>
      <c r="K13" s="54">
        <v>288.73</v>
      </c>
      <c r="L13" s="54">
        <v>13.61</v>
      </c>
      <c r="M13" s="54">
        <v>97.88</v>
      </c>
      <c r="N13" s="54">
        <v>14.30</v>
      </c>
      <c r="O13" s="54">
        <v>0</v>
      </c>
      <c r="P13" s="54">
        <v>1.59</v>
      </c>
      <c r="Q13" s="54">
        <v>11.87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107.19</v>
      </c>
      <c r="C14" s="54">
        <v>41.45</v>
      </c>
      <c r="D14" s="54">
        <v>109.48</v>
      </c>
      <c r="E14" s="54">
        <v>0.36</v>
      </c>
      <c r="F14" s="54">
        <v>3.39</v>
      </c>
      <c r="G14" s="54">
        <v>155.79</v>
      </c>
      <c r="H14" s="54">
        <v>98.02</v>
      </c>
      <c r="I14" s="54">
        <v>1.54</v>
      </c>
      <c r="J14" s="54">
        <v>0.09</v>
      </c>
      <c r="K14" s="54">
        <v>299.41000000000003</v>
      </c>
      <c r="L14" s="54">
        <v>13.35</v>
      </c>
      <c r="M14" s="54">
        <v>97.88</v>
      </c>
      <c r="N14" s="54">
        <v>14.40</v>
      </c>
      <c r="O14" s="54">
        <v>0</v>
      </c>
      <c r="P14" s="54">
        <v>1.48</v>
      </c>
      <c r="Q14" s="54">
        <v>11.80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140.93</v>
      </c>
      <c r="C15" s="54">
        <v>54.90</v>
      </c>
      <c r="D15" s="54">
        <v>143.96</v>
      </c>
      <c r="E15" s="54">
        <v>0.47</v>
      </c>
      <c r="F15" s="54">
        <v>3.29</v>
      </c>
      <c r="G15" s="54">
        <v>152.79</v>
      </c>
      <c r="H15" s="54">
        <v>111.70</v>
      </c>
      <c r="I15" s="54">
        <v>1.52</v>
      </c>
      <c r="J15" s="54">
        <v>0.13</v>
      </c>
      <c r="K15" s="54">
        <v>306.52999999999997</v>
      </c>
      <c r="L15" s="54">
        <v>13.33</v>
      </c>
      <c r="M15" s="54">
        <v>97.72</v>
      </c>
      <c r="N15" s="54">
        <v>30.40</v>
      </c>
      <c r="O15" s="54">
        <v>0</v>
      </c>
      <c r="P15" s="54">
        <v>1.53</v>
      </c>
      <c r="Q15" s="54">
        <v>14.67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201.77</v>
      </c>
      <c r="C16" s="54">
        <v>61.25</v>
      </c>
      <c r="D16" s="54">
        <v>195.47</v>
      </c>
      <c r="E16" s="54">
        <v>0.51</v>
      </c>
      <c r="F16" s="54">
        <v>3.36</v>
      </c>
      <c r="G16" s="54">
        <v>158.79</v>
      </c>
      <c r="H16" s="54">
        <v>120.14</v>
      </c>
      <c r="I16" s="54">
        <v>1.51</v>
      </c>
      <c r="J16" s="54">
        <v>0.51</v>
      </c>
      <c r="K16" s="54">
        <v>336.44</v>
      </c>
      <c r="L16" s="54">
        <v>16.12</v>
      </c>
      <c r="M16" s="54">
        <v>97.88</v>
      </c>
      <c r="N16" s="54">
        <v>118.40</v>
      </c>
      <c r="O16" s="54">
        <v>0</v>
      </c>
      <c r="P16" s="54">
        <v>1.83</v>
      </c>
      <c r="Q16" s="54">
        <v>19.21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204.06</v>
      </c>
      <c r="C17" s="54">
        <v>55.5</v>
      </c>
      <c r="D17" s="54">
        <v>194.92</v>
      </c>
      <c r="E17" s="54">
        <v>0.55000000000000004</v>
      </c>
      <c r="F17" s="54">
        <v>3.36</v>
      </c>
      <c r="G17" s="54">
        <v>155.79</v>
      </c>
      <c r="H17" s="54">
        <v>136.69999999999999</v>
      </c>
      <c r="I17" s="54">
        <v>1.5</v>
      </c>
      <c r="J17" s="54">
        <v>1.1000000000000001</v>
      </c>
      <c r="K17" s="54">
        <v>115.49</v>
      </c>
      <c r="L17" s="54">
        <v>18.84</v>
      </c>
      <c r="M17" s="54">
        <v>86.70</v>
      </c>
      <c r="N17" s="54">
        <v>233.70</v>
      </c>
      <c r="O17" s="54">
        <v>0</v>
      </c>
      <c r="P17" s="54">
        <v>1.86</v>
      </c>
      <c r="Q17" s="54">
        <v>19.79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187.95</v>
      </c>
      <c r="C18" s="54">
        <v>50.5</v>
      </c>
      <c r="D18" s="54">
        <v>171.96</v>
      </c>
      <c r="E18" s="54">
        <v>0.47</v>
      </c>
      <c r="F18" s="54">
        <v>3.56</v>
      </c>
      <c r="G18" s="54">
        <v>188.55</v>
      </c>
      <c r="H18" s="54">
        <v>136.69999999999999</v>
      </c>
      <c r="I18" s="54">
        <v>1.55</v>
      </c>
      <c r="J18" s="54">
        <v>1.1200000000000001</v>
      </c>
      <c r="K18" s="54">
        <v>161.68</v>
      </c>
      <c r="L18" s="54">
        <v>20.97</v>
      </c>
      <c r="M18" s="54">
        <v>71.900000000000006</v>
      </c>
      <c r="N18" s="54">
        <v>364.70</v>
      </c>
      <c r="O18" s="54">
        <v>0</v>
      </c>
      <c r="P18" s="54">
        <v>1.85</v>
      </c>
      <c r="Q18" s="54">
        <v>18.440000000000001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130.16</v>
      </c>
      <c r="C19" s="54">
        <v>80.52</v>
      </c>
      <c r="D19" s="54">
        <v>139.94999999999999</v>
      </c>
      <c r="E19" s="54">
        <v>0.45</v>
      </c>
      <c r="F19" s="54">
        <v>3.09</v>
      </c>
      <c r="G19" s="54">
        <v>188.55</v>
      </c>
      <c r="H19" s="54">
        <v>121.44</v>
      </c>
      <c r="I19" s="54">
        <v>1.61</v>
      </c>
      <c r="J19" s="54">
        <v>1.19</v>
      </c>
      <c r="K19" s="54">
        <v>159.54</v>
      </c>
      <c r="L19" s="54">
        <v>22.47</v>
      </c>
      <c r="M19" s="54">
        <v>59.43</v>
      </c>
      <c r="N19" s="54">
        <v>449.80</v>
      </c>
      <c r="O19" s="54">
        <v>0</v>
      </c>
      <c r="P19" s="54">
        <v>1.69</v>
      </c>
      <c r="Q19" s="54">
        <v>15.77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78</v>
      </c>
      <c r="C20" s="54">
        <v>89.13</v>
      </c>
      <c r="D20" s="54">
        <v>109.30</v>
      </c>
      <c r="E20" s="54">
        <v>0.34</v>
      </c>
      <c r="F20" s="54">
        <v>3.42</v>
      </c>
      <c r="G20" s="54">
        <v>100.90</v>
      </c>
      <c r="H20" s="54">
        <v>80</v>
      </c>
      <c r="I20" s="54">
        <v>1.52</v>
      </c>
      <c r="J20" s="54">
        <v>0.57999999999999996</v>
      </c>
      <c r="K20" s="54">
        <v>142.71</v>
      </c>
      <c r="L20" s="54">
        <v>25.48</v>
      </c>
      <c r="M20" s="54">
        <v>52.02</v>
      </c>
      <c r="N20" s="54">
        <v>482.10</v>
      </c>
      <c r="O20" s="54">
        <v>0</v>
      </c>
      <c r="P20" s="54">
        <v>1.38</v>
      </c>
      <c r="Q20" s="54">
        <v>12.54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45.13</v>
      </c>
      <c r="C21" s="54">
        <v>91.72</v>
      </c>
      <c r="D21" s="54">
        <v>86.39</v>
      </c>
      <c r="E21" s="54">
        <v>0.27</v>
      </c>
      <c r="F21" s="54">
        <v>3.52</v>
      </c>
      <c r="G21" s="54">
        <v>68.44</v>
      </c>
      <c r="H21" s="54">
        <v>56.63</v>
      </c>
      <c r="I21" s="54">
        <v>1.52</v>
      </c>
      <c r="J21" s="54">
        <v>1.0900000000000001</v>
      </c>
      <c r="K21" s="54">
        <v>113.83</v>
      </c>
      <c r="L21" s="54">
        <v>25.03</v>
      </c>
      <c r="M21" s="54">
        <v>48.74</v>
      </c>
      <c r="N21" s="54">
        <v>500.40</v>
      </c>
      <c r="O21" s="54">
        <v>0</v>
      </c>
      <c r="P21" s="54">
        <v>1.1399999999999999</v>
      </c>
      <c r="Q21" s="54">
        <v>10.16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20.92</v>
      </c>
      <c r="C22" s="54">
        <v>92.24</v>
      </c>
      <c r="D22" s="54">
        <v>68.12</v>
      </c>
      <c r="E22" s="54">
        <v>0.24</v>
      </c>
      <c r="F22" s="54">
        <v>3.86</v>
      </c>
      <c r="G22" s="54">
        <v>74.73</v>
      </c>
      <c r="H22" s="54">
        <v>60.43</v>
      </c>
      <c r="I22" s="54">
        <v>1.61</v>
      </c>
      <c r="J22" s="54">
        <v>0.46</v>
      </c>
      <c r="K22" s="54">
        <v>338.51</v>
      </c>
      <c r="L22" s="54">
        <v>26.06</v>
      </c>
      <c r="M22" s="54">
        <v>41.96</v>
      </c>
      <c r="N22" s="54">
        <v>457.20</v>
      </c>
      <c r="O22" s="54">
        <v>0</v>
      </c>
      <c r="P22" s="54">
        <v>1</v>
      </c>
      <c r="Q22" s="54">
        <v>8.4600000000000009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10.72</v>
      </c>
      <c r="C23" s="54">
        <v>89.76</v>
      </c>
      <c r="D23" s="54">
        <v>58.78</v>
      </c>
      <c r="E23" s="54">
        <v>0.14000000000000001</v>
      </c>
      <c r="F23" s="54">
        <v>3.85</v>
      </c>
      <c r="G23" s="54">
        <v>76.900000000000006</v>
      </c>
      <c r="H23" s="54">
        <v>60.43</v>
      </c>
      <c r="I23" s="54">
        <v>1.53</v>
      </c>
      <c r="J23" s="54">
        <v>1.06</v>
      </c>
      <c r="K23" s="54">
        <v>340.76</v>
      </c>
      <c r="L23" s="54">
        <v>24.70</v>
      </c>
      <c r="M23" s="54">
        <v>43.61</v>
      </c>
      <c r="N23" s="54">
        <v>224.60</v>
      </c>
      <c r="O23" s="54">
        <v>0</v>
      </c>
      <c r="P23" s="54">
        <v>0.93</v>
      </c>
      <c r="Q23" s="54">
        <v>7.43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8.83</v>
      </c>
      <c r="C24" s="54">
        <v>85.15</v>
      </c>
      <c r="D24" s="54">
        <v>54.58</v>
      </c>
      <c r="E24" s="54">
        <v>0.10</v>
      </c>
      <c r="F24" s="54">
        <v>3.98</v>
      </c>
      <c r="G24" s="54">
        <v>92.93</v>
      </c>
      <c r="H24" s="54">
        <v>59.83</v>
      </c>
      <c r="I24" s="54">
        <v>1.48</v>
      </c>
      <c r="J24" s="54">
        <v>0.96</v>
      </c>
      <c r="K24" s="54">
        <v>340.57</v>
      </c>
      <c r="L24" s="54">
        <v>25.18</v>
      </c>
      <c r="M24" s="54">
        <v>42.10</v>
      </c>
      <c r="N24" s="54">
        <v>157.60</v>
      </c>
      <c r="O24" s="54">
        <v>0</v>
      </c>
      <c r="P24" s="54">
        <v>0.89</v>
      </c>
      <c r="Q24" s="54">
        <v>7.15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9.2799999999999994</v>
      </c>
      <c r="C25" s="54">
        <v>87.36</v>
      </c>
      <c r="D25" s="54">
        <v>56.25</v>
      </c>
      <c r="E25" s="54">
        <v>0.19</v>
      </c>
      <c r="F25" s="54">
        <v>3.94</v>
      </c>
      <c r="G25" s="54">
        <v>120.74</v>
      </c>
      <c r="H25" s="54">
        <v>59.83</v>
      </c>
      <c r="I25" s="54">
        <v>1.54</v>
      </c>
      <c r="J25" s="54">
        <v>0.75</v>
      </c>
      <c r="K25" s="54">
        <v>347.37</v>
      </c>
      <c r="L25" s="54">
        <v>24.13</v>
      </c>
      <c r="M25" s="54">
        <v>52.18</v>
      </c>
      <c r="N25" s="54">
        <v>117.20</v>
      </c>
      <c r="O25" s="54">
        <v>0</v>
      </c>
      <c r="P25" s="54">
        <v>1.02</v>
      </c>
      <c r="Q25" s="54">
        <v>7.41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8.92</v>
      </c>
      <c r="C26" s="54">
        <v>92.95</v>
      </c>
      <c r="D26" s="54">
        <v>58.98</v>
      </c>
      <c r="E26" s="54">
        <v>0.20</v>
      </c>
      <c r="F26" s="54">
        <v>3.89</v>
      </c>
      <c r="G26" s="54">
        <v>132.94999999999999</v>
      </c>
      <c r="H26" s="54">
        <v>72.05</v>
      </c>
      <c r="I26" s="54">
        <v>1.53</v>
      </c>
      <c r="J26" s="54">
        <v>0.19</v>
      </c>
      <c r="K26" s="54">
        <v>76.34</v>
      </c>
      <c r="L26" s="54">
        <v>21.74</v>
      </c>
      <c r="M26" s="54">
        <v>62.85</v>
      </c>
      <c r="N26" s="54">
        <v>72.900000000000006</v>
      </c>
      <c r="O26" s="54">
        <v>0</v>
      </c>
      <c r="P26" s="54">
        <v>1.1000000000000001</v>
      </c>
      <c r="Q26" s="54">
        <v>7.43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21.56</v>
      </c>
      <c r="C27" s="54">
        <v>92.82</v>
      </c>
      <c r="D27" s="54">
        <v>67.33</v>
      </c>
      <c r="E27" s="54">
        <v>0.16</v>
      </c>
      <c r="F27" s="54">
        <v>3.32</v>
      </c>
      <c r="G27" s="54">
        <v>163.12</v>
      </c>
      <c r="H27" s="54">
        <v>80.70</v>
      </c>
      <c r="I27" s="54">
        <v>1.51</v>
      </c>
      <c r="J27" s="54">
        <v>0.13</v>
      </c>
      <c r="K27" s="54">
        <v>300.80</v>
      </c>
      <c r="L27" s="54">
        <v>20.07</v>
      </c>
      <c r="M27" s="54">
        <v>75.25</v>
      </c>
      <c r="N27" s="54">
        <v>65.099999999999994</v>
      </c>
      <c r="O27" s="54">
        <v>0</v>
      </c>
      <c r="P27" s="54">
        <v>1.40</v>
      </c>
      <c r="Q27" s="54">
        <v>7.89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54.15</v>
      </c>
      <c r="C28" s="54">
        <v>84.90</v>
      </c>
      <c r="D28" s="54">
        <v>85.22</v>
      </c>
      <c r="E28" s="54">
        <v>0.18</v>
      </c>
      <c r="F28" s="54">
        <v>3.40</v>
      </c>
      <c r="G28" s="54">
        <v>196.60</v>
      </c>
      <c r="H28" s="54">
        <v>87.99</v>
      </c>
      <c r="I28" s="54">
        <v>1.54</v>
      </c>
      <c r="J28" s="54">
        <v>0.11</v>
      </c>
      <c r="K28" s="54">
        <v>320.83</v>
      </c>
      <c r="L28" s="54">
        <v>18.309999999999999</v>
      </c>
      <c r="M28" s="54">
        <v>78.84</v>
      </c>
      <c r="N28" s="54">
        <v>67.099999999999994</v>
      </c>
      <c r="O28" s="54">
        <v>0</v>
      </c>
      <c r="P28" s="54">
        <v>1.75</v>
      </c>
      <c r="Q28" s="54">
        <v>9.3000000000000007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78.33</v>
      </c>
      <c r="C29" s="54">
        <v>73.12</v>
      </c>
      <c r="D29" s="54">
        <v>103.41</v>
      </c>
      <c r="E29" s="54">
        <v>0.33</v>
      </c>
      <c r="F29" s="54">
        <v>3.40</v>
      </c>
      <c r="G29" s="54">
        <v>204.14</v>
      </c>
      <c r="H29" s="54">
        <v>94.94</v>
      </c>
      <c r="I29" s="54">
        <v>1.55</v>
      </c>
      <c r="J29" s="54">
        <v>0.14000000000000001</v>
      </c>
      <c r="K29" s="54">
        <v>351.01</v>
      </c>
      <c r="L29" s="54">
        <v>17.91</v>
      </c>
      <c r="M29" s="54">
        <v>86.22</v>
      </c>
      <c r="N29" s="54">
        <v>68.70</v>
      </c>
      <c r="O29" s="54">
        <v>0</v>
      </c>
      <c r="P29" s="54">
        <v>2.2200000000000002</v>
      </c>
      <c r="Q29" s="54">
        <v>10.95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101.04</v>
      </c>
      <c r="C30" s="54">
        <v>75.88</v>
      </c>
      <c r="D30" s="54">
        <v>123.55</v>
      </c>
      <c r="E30" s="54">
        <v>0.44</v>
      </c>
      <c r="F30" s="54">
        <v>3.27</v>
      </c>
      <c r="G30" s="54">
        <v>204.14</v>
      </c>
      <c r="H30" s="54">
        <v>108.74</v>
      </c>
      <c r="I30" s="54">
        <v>1.58</v>
      </c>
      <c r="J30" s="54">
        <v>0.16</v>
      </c>
      <c r="K30" s="54">
        <v>335.16</v>
      </c>
      <c r="L30" s="54">
        <v>16.93</v>
      </c>
      <c r="M30" s="54">
        <v>89.97</v>
      </c>
      <c r="N30" s="54">
        <v>67.80</v>
      </c>
      <c r="O30" s="54">
        <v>0</v>
      </c>
      <c r="P30" s="54">
        <v>2.52</v>
      </c>
      <c r="Q30" s="54">
        <v>12.96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118.92</v>
      </c>
      <c r="C31" s="54">
        <v>79.319999999999993</v>
      </c>
      <c r="D31" s="54">
        <v>139.79</v>
      </c>
      <c r="E31" s="54">
        <v>0.5</v>
      </c>
      <c r="F31" s="54">
        <v>3.47</v>
      </c>
      <c r="G31" s="54">
        <v>219.77</v>
      </c>
      <c r="H31" s="54">
        <v>108.74</v>
      </c>
      <c r="I31" s="54">
        <v>1.53</v>
      </c>
      <c r="J31" s="54">
        <v>0.14000000000000001</v>
      </c>
      <c r="K31" s="54">
        <v>316.39</v>
      </c>
      <c r="L31" s="54">
        <v>16.53</v>
      </c>
      <c r="M31" s="54">
        <v>90.04</v>
      </c>
      <c r="N31" s="54">
        <v>66.5</v>
      </c>
      <c r="O31" s="54">
        <v>0</v>
      </c>
      <c r="P31" s="54">
        <v>2.64</v>
      </c>
      <c r="Q31" s="54">
        <v>14.58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116.34</v>
      </c>
      <c r="C32" s="54">
        <v>79.98</v>
      </c>
      <c r="D32" s="54">
        <v>138.08000000000001</v>
      </c>
      <c r="E32" s="54">
        <v>0.40</v>
      </c>
      <c r="F32" s="54">
        <v>3.48</v>
      </c>
      <c r="G32" s="54">
        <v>219.77</v>
      </c>
      <c r="H32" s="54">
        <v>92.96</v>
      </c>
      <c r="I32" s="54">
        <v>1.52</v>
      </c>
      <c r="J32" s="54">
        <v>0.20</v>
      </c>
      <c r="K32" s="54">
        <v>325.27</v>
      </c>
      <c r="L32" s="54">
        <v>16.87</v>
      </c>
      <c r="M32" s="54">
        <v>91.27</v>
      </c>
      <c r="N32" s="54">
        <v>69.599999999999994</v>
      </c>
      <c r="O32" s="54">
        <v>0</v>
      </c>
      <c r="P32" s="54">
        <v>2.5</v>
      </c>
      <c r="Q32" s="54">
        <v>14.72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8.8300000000000001</v>
      </c>
      <c r="C34" s="28">
        <f t="shared" si="0"/>
        <v>34.93</v>
      </c>
      <c r="D34" s="28">
        <f t="shared" si="0"/>
        <v>54.579999999999998</v>
      </c>
      <c r="E34" s="28">
        <f t="shared" si="0"/>
        <v>0.10000000000000001</v>
      </c>
      <c r="F34" s="28">
        <f t="shared" si="0"/>
        <v>3.0899999999999999</v>
      </c>
      <c r="G34" s="28">
        <f t="shared" si="0"/>
        <v>68.439999999999998</v>
      </c>
      <c r="H34" s="28">
        <f t="shared" si="0"/>
        <v>56.630000000000003</v>
      </c>
      <c r="I34" s="28">
        <f t="shared" si="0"/>
        <v>1.48</v>
      </c>
      <c r="J34" s="28">
        <f t="shared" si="0"/>
        <v>0.089999999999999997</v>
      </c>
      <c r="K34" s="28">
        <f t="shared" si="0"/>
        <v>76.340000000000003</v>
      </c>
      <c r="L34" s="28">
        <f t="shared" si="0"/>
        <v>13.33</v>
      </c>
      <c r="M34" s="28">
        <f t="shared" si="0"/>
        <v>41.960000000000001</v>
      </c>
      <c r="N34" s="28">
        <f t="shared" si="0"/>
        <v>14</v>
      </c>
      <c r="O34" s="28">
        <f t="shared" si="0"/>
        <v>0</v>
      </c>
      <c r="P34" s="28">
        <f t="shared" si="0"/>
        <v>0.89000000000000001</v>
      </c>
      <c r="Q34" s="28">
        <f t="shared" si="0"/>
        <v>7.1500000000000004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204.06</v>
      </c>
      <c r="C35" s="29">
        <f t="shared" si="1"/>
        <v>92.950000000000003</v>
      </c>
      <c r="D35" s="29">
        <f t="shared" si="1"/>
        <v>195.47</v>
      </c>
      <c r="E35" s="29">
        <f t="shared" si="1"/>
        <v>0.55000000000000004</v>
      </c>
      <c r="F35" s="29">
        <f t="shared" si="1"/>
        <v>3.98</v>
      </c>
      <c r="G35" s="29">
        <f t="shared" si="1"/>
        <v>245.84</v>
      </c>
      <c r="H35" s="29">
        <f t="shared" si="1"/>
        <v>136.69999999999999</v>
      </c>
      <c r="I35" s="29">
        <f t="shared" si="1"/>
        <v>1.6100000000000001</v>
      </c>
      <c r="J35" s="29">
        <f t="shared" si="1"/>
        <v>1.1899999999999999</v>
      </c>
      <c r="K35" s="29">
        <f t="shared" si="1"/>
        <v>351.00999999999999</v>
      </c>
      <c r="L35" s="29">
        <f t="shared" si="1"/>
        <v>26.059999999999999</v>
      </c>
      <c r="M35" s="29">
        <f t="shared" si="1"/>
        <v>97.879999999999995</v>
      </c>
      <c r="N35" s="29">
        <f t="shared" si="1"/>
        <v>500.39999999999998</v>
      </c>
      <c r="O35" s="29">
        <f t="shared" si="1"/>
        <v>0</v>
      </c>
      <c r="P35" s="29">
        <f t="shared" si="1"/>
        <v>3.3300000000000001</v>
      </c>
      <c r="Q35" s="29">
        <f t="shared" si="1"/>
        <v>19.789999999999999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99.124166666666682</v>
      </c>
      <c r="C36" s="28">
        <f t="shared" si="2"/>
        <v>69.802916666666675</v>
      </c>
      <c r="D36" s="28">
        <f t="shared" si="2"/>
        <v>117.36041666666665</v>
      </c>
      <c r="E36" s="28">
        <f t="shared" si="2"/>
        <v>0.33208333333333334</v>
      </c>
      <c r="F36" s="28">
        <f t="shared" si="2"/>
        <v>3.4679166666666674</v>
      </c>
      <c r="G36" s="28">
        <f t="shared" si="2"/>
        <v>156.64166666666662</v>
      </c>
      <c r="H36" s="28">
        <f t="shared" si="2"/>
        <v>92.12166666666667</v>
      </c>
      <c r="I36" s="28">
        <f t="shared" si="2"/>
        <v>1.5383333333333333</v>
      </c>
      <c r="J36" s="28">
        <f t="shared" si="2"/>
        <v>0.44874999999999998</v>
      </c>
      <c r="K36" s="28">
        <f t="shared" si="2"/>
        <v>273.57166666666666</v>
      </c>
      <c r="L36" s="28">
        <f t="shared" si="2"/>
        <v>18.987500000000001</v>
      </c>
      <c r="M36" s="28">
        <f t="shared" si="2"/>
        <v>77.320833333333326</v>
      </c>
      <c r="N36" s="28">
        <f t="shared" si="2"/>
        <v>154.12916666666663</v>
      </c>
      <c r="O36" s="28">
        <f t="shared" si="2"/>
        <v>0</v>
      </c>
      <c r="P36" s="28">
        <f t="shared" si="2"/>
        <v>1.760416666666667</v>
      </c>
      <c r="Q36" s="28">
        <f t="shared" si="2"/>
        <v>12.835416666666667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65.806818856186993</v>
      </c>
      <c r="C37" s="28">
        <f t="shared" si="3" ref="C37:Q37">STDEV(C9:C32)</f>
        <v>20.366771206650732</v>
      </c>
      <c r="D37" s="28">
        <f t="shared" si="3"/>
        <v>45.105791537823912</v>
      </c>
      <c r="E37" s="28">
        <f t="shared" si="3"/>
        <v>0.1318754078227089</v>
      </c>
      <c r="F37" s="28">
        <f t="shared" si="3"/>
        <v>0.2540965096806409</v>
      </c>
      <c r="G37" s="28">
        <f t="shared" si="3"/>
        <v>50.416131792587564</v>
      </c>
      <c r="H37" s="28">
        <f t="shared" si="3"/>
        <v>23.8432463624702</v>
      </c>
      <c r="I37" s="28">
        <f t="shared" si="3"/>
        <v>0.032792717466544025</v>
      </c>
      <c r="J37" s="28">
        <f t="shared" si="3"/>
        <v>0.41361936398199445</v>
      </c>
      <c r="K37" s="28">
        <f t="shared" si="3"/>
        <v>88.790300129583272</v>
      </c>
      <c r="L37" s="28">
        <f t="shared" si="3"/>
        <v>4.4235479071619075</v>
      </c>
      <c r="M37" s="28">
        <f t="shared" si="3"/>
        <v>21.192280365771158</v>
      </c>
      <c r="N37" s="28">
        <f t="shared" si="3"/>
        <v>168.04076492784787</v>
      </c>
      <c r="O37" s="28">
        <f t="shared" si="3"/>
        <v>0</v>
      </c>
      <c r="P37" s="28">
        <f t="shared" si="3"/>
        <v>0.63533270412244247</v>
      </c>
      <c r="Q37" s="28">
        <f t="shared" si="3"/>
        <v>4.1523508052842777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2be7d6-35e5-4670-adc1-59985981fb20}">
  <sheetPr codeName=""/>
  <dimension ref="A1:U119"/>
  <sheetViews>
    <sheetView workbookViewId="0" topLeftCell="A1">
      <selection pane="topLef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782</v>
      </c>
      <c r="B9" s="54">
        <v>99.40</v>
      </c>
      <c r="C9" s="54">
        <v>74.92</v>
      </c>
      <c r="D9" s="54">
        <v>120.94</v>
      </c>
      <c r="E9" s="54">
        <v>0.39</v>
      </c>
      <c r="F9" s="54">
        <v>3.32</v>
      </c>
      <c r="G9" s="54">
        <v>168.05</v>
      </c>
      <c r="H9" s="54">
        <v>86.58</v>
      </c>
      <c r="I9" s="54">
        <v>1.51</v>
      </c>
      <c r="J9" s="54">
        <v>0.17</v>
      </c>
      <c r="K9" s="54">
        <v>325.32</v>
      </c>
      <c r="L9" s="54">
        <v>15.28</v>
      </c>
      <c r="M9" s="54">
        <v>93.25</v>
      </c>
      <c r="N9" s="54">
        <v>69.099999999999994</v>
      </c>
      <c r="O9" s="54">
        <v>0</v>
      </c>
      <c r="P9" s="54">
        <v>2.2400000000000002</v>
      </c>
      <c r="Q9" s="54">
        <v>13.63</v>
      </c>
      <c r="R9" s="43"/>
      <c r="S9" s="43"/>
      <c r="T9" s="43"/>
      <c r="U9" s="43"/>
    </row>
    <row r="10" spans="1:21" s="11" customFormat="1" ht="15">
      <c r="A10" s="53" t="s">
        <v>783</v>
      </c>
      <c r="B10" s="54">
        <v>77.510000000000005</v>
      </c>
      <c r="C10" s="54">
        <v>82.75</v>
      </c>
      <c r="D10" s="54">
        <v>106.09</v>
      </c>
      <c r="E10" s="54">
        <v>0.33</v>
      </c>
      <c r="F10" s="54">
        <v>3.06</v>
      </c>
      <c r="G10" s="54">
        <v>152.46</v>
      </c>
      <c r="H10" s="54">
        <v>78.650000000000006</v>
      </c>
      <c r="I10" s="54">
        <v>1.58</v>
      </c>
      <c r="J10" s="54">
        <v>0.49</v>
      </c>
      <c r="K10" s="54">
        <v>286.77</v>
      </c>
      <c r="L10" s="54">
        <v>15.86</v>
      </c>
      <c r="M10" s="54">
        <v>88.64</v>
      </c>
      <c r="N10" s="54">
        <v>65.900000000000006</v>
      </c>
      <c r="O10" s="54">
        <v>0</v>
      </c>
      <c r="P10" s="54">
        <v>1.78</v>
      </c>
      <c r="Q10" s="54">
        <v>12.04</v>
      </c>
      <c r="R10" s="43"/>
      <c r="S10" s="43"/>
      <c r="T10" s="43"/>
      <c r="U10" s="43"/>
    </row>
    <row r="11" spans="1:21" s="11" customFormat="1" ht="15">
      <c r="A11" s="53" t="s">
        <v>784</v>
      </c>
      <c r="B11" s="54">
        <v>51.94</v>
      </c>
      <c r="C11" s="54">
        <v>87.44</v>
      </c>
      <c r="D11" s="54">
        <v>89.89</v>
      </c>
      <c r="E11" s="54">
        <v>0.28999999999999998</v>
      </c>
      <c r="F11" s="54">
        <v>3.26</v>
      </c>
      <c r="G11" s="54">
        <v>113.95</v>
      </c>
      <c r="H11" s="54">
        <v>73.20</v>
      </c>
      <c r="I11" s="54">
        <v>1.49</v>
      </c>
      <c r="J11" s="54">
        <v>0.44</v>
      </c>
      <c r="K11" s="54">
        <v>333.27</v>
      </c>
      <c r="L11" s="54">
        <v>16.02</v>
      </c>
      <c r="M11" s="54">
        <v>89.02</v>
      </c>
      <c r="N11" s="54">
        <v>75</v>
      </c>
      <c r="O11" s="54">
        <v>0</v>
      </c>
      <c r="P11" s="54">
        <v>1.55</v>
      </c>
      <c r="Q11" s="54">
        <v>10.47</v>
      </c>
      <c r="R11" s="43"/>
      <c r="S11" s="43"/>
      <c r="T11" s="43"/>
      <c r="U11" s="43"/>
    </row>
    <row r="12" spans="1:21" s="11" customFormat="1" ht="15">
      <c r="A12" s="53" t="s">
        <v>785</v>
      </c>
      <c r="B12" s="54">
        <v>34.76</v>
      </c>
      <c r="C12" s="54">
        <v>85.51</v>
      </c>
      <c r="D12" s="54">
        <v>75.709999999999994</v>
      </c>
      <c r="E12" s="54">
        <v>0.23</v>
      </c>
      <c r="F12" s="54">
        <v>3.25</v>
      </c>
      <c r="G12" s="54">
        <v>95.63</v>
      </c>
      <c r="H12" s="54">
        <v>68.489999999999995</v>
      </c>
      <c r="I12" s="54">
        <v>1.57</v>
      </c>
      <c r="J12" s="54">
        <v>0.08</v>
      </c>
      <c r="K12" s="54">
        <v>274.07</v>
      </c>
      <c r="L12" s="54">
        <v>14.55</v>
      </c>
      <c r="M12" s="54">
        <v>96.72</v>
      </c>
      <c r="N12" s="54">
        <v>75.30</v>
      </c>
      <c r="O12" s="54">
        <v>0</v>
      </c>
      <c r="P12" s="54">
        <v>1.30</v>
      </c>
      <c r="Q12" s="54">
        <v>9.11</v>
      </c>
      <c r="R12" s="43"/>
      <c r="S12" s="43"/>
      <c r="T12" s="43"/>
      <c r="U12" s="43"/>
    </row>
    <row r="13" spans="1:21" s="11" customFormat="1" ht="15">
      <c r="A13" s="53" t="s">
        <v>786</v>
      </c>
      <c r="B13" s="54">
        <v>36.869999999999997</v>
      </c>
      <c r="C13" s="54">
        <v>80.78</v>
      </c>
      <c r="D13" s="54">
        <v>68.23</v>
      </c>
      <c r="E13" s="54">
        <v>0.23</v>
      </c>
      <c r="F13" s="54">
        <v>3.36</v>
      </c>
      <c r="G13" s="54">
        <v>98.69</v>
      </c>
      <c r="H13" s="54">
        <v>62.53</v>
      </c>
      <c r="I13" s="54">
        <v>1.5</v>
      </c>
      <c r="J13" s="54">
        <v>0.10</v>
      </c>
      <c r="K13" s="54">
        <v>345.14</v>
      </c>
      <c r="L13" s="54">
        <v>13.96</v>
      </c>
      <c r="M13" s="54">
        <v>97.85</v>
      </c>
      <c r="N13" s="54">
        <v>74.900000000000006</v>
      </c>
      <c r="O13" s="54">
        <v>0</v>
      </c>
      <c r="P13" s="54">
        <v>1.1200000000000001</v>
      </c>
      <c r="Q13" s="54">
        <v>8.44</v>
      </c>
      <c r="R13" s="43"/>
      <c r="S13" s="43"/>
      <c r="T13" s="43"/>
      <c r="U13" s="43"/>
    </row>
    <row r="14" spans="1:21" s="11" customFormat="1" ht="15">
      <c r="A14" s="53" t="s">
        <v>787</v>
      </c>
      <c r="B14" s="54">
        <v>60.78</v>
      </c>
      <c r="C14" s="54">
        <v>65.55</v>
      </c>
      <c r="D14" s="54">
        <v>81.88</v>
      </c>
      <c r="E14" s="54">
        <v>0.24</v>
      </c>
      <c r="F14" s="54">
        <v>3.41</v>
      </c>
      <c r="G14" s="54">
        <v>126.55</v>
      </c>
      <c r="H14" s="54">
        <v>69.98</v>
      </c>
      <c r="I14" s="54">
        <v>1.56</v>
      </c>
      <c r="J14" s="54">
        <v>0.10</v>
      </c>
      <c r="K14" s="54">
        <v>303.88</v>
      </c>
      <c r="L14" s="54">
        <v>13.81</v>
      </c>
      <c r="M14" s="54">
        <v>97.88</v>
      </c>
      <c r="N14" s="54">
        <v>74.30</v>
      </c>
      <c r="O14" s="54">
        <v>0</v>
      </c>
      <c r="P14" s="54">
        <v>1.02</v>
      </c>
      <c r="Q14" s="54">
        <v>9.41</v>
      </c>
      <c r="R14" s="43"/>
      <c r="S14" s="43"/>
      <c r="T14" s="43"/>
      <c r="U14" s="43"/>
    </row>
    <row r="15" spans="1:21" s="11" customFormat="1" ht="15">
      <c r="A15" s="53" t="s">
        <v>788</v>
      </c>
      <c r="B15" s="54">
        <v>92.70</v>
      </c>
      <c r="C15" s="54">
        <v>62.68</v>
      </c>
      <c r="D15" s="54">
        <v>109.58</v>
      </c>
      <c r="E15" s="54">
        <v>0.30</v>
      </c>
      <c r="F15" s="54">
        <v>3.64</v>
      </c>
      <c r="G15" s="54">
        <v>153.36000000000001</v>
      </c>
      <c r="H15" s="54">
        <v>69.98</v>
      </c>
      <c r="I15" s="54">
        <v>1.55</v>
      </c>
      <c r="J15" s="54">
        <v>0.14000000000000001</v>
      </c>
      <c r="K15" s="54">
        <v>307.51</v>
      </c>
      <c r="L15" s="54">
        <v>13.73</v>
      </c>
      <c r="M15" s="54">
        <v>97.88</v>
      </c>
      <c r="N15" s="54">
        <v>101.30</v>
      </c>
      <c r="O15" s="54">
        <v>0</v>
      </c>
      <c r="P15" s="54">
        <v>1.06</v>
      </c>
      <c r="Q15" s="54">
        <v>11.98</v>
      </c>
      <c r="R15" s="43"/>
      <c r="S15" s="43"/>
      <c r="T15" s="43"/>
      <c r="U15" s="43"/>
    </row>
    <row r="16" spans="1:21" s="11" customFormat="1" ht="15">
      <c r="A16" s="53" t="s">
        <v>789</v>
      </c>
      <c r="B16" s="54">
        <v>111.45</v>
      </c>
      <c r="C16" s="54">
        <v>74.13</v>
      </c>
      <c r="D16" s="54">
        <v>130.93</v>
      </c>
      <c r="E16" s="54">
        <v>0.37</v>
      </c>
      <c r="F16" s="54">
        <v>3.25</v>
      </c>
      <c r="G16" s="54">
        <v>161.66999999999999</v>
      </c>
      <c r="H16" s="54">
        <v>76.47</v>
      </c>
      <c r="I16" s="54">
        <v>1.51</v>
      </c>
      <c r="J16" s="54">
        <v>0.23</v>
      </c>
      <c r="K16" s="54">
        <v>342.25</v>
      </c>
      <c r="L16" s="54">
        <v>16.41</v>
      </c>
      <c r="M16" s="54">
        <v>97.85</v>
      </c>
      <c r="N16" s="54">
        <v>177.60</v>
      </c>
      <c r="O16" s="54">
        <v>0</v>
      </c>
      <c r="P16" s="54">
        <v>1.20</v>
      </c>
      <c r="Q16" s="54">
        <v>13.68</v>
      </c>
      <c r="R16" s="43"/>
      <c r="S16" s="43"/>
      <c r="T16" s="43"/>
      <c r="U16" s="43"/>
    </row>
    <row r="17" spans="1:21" s="11" customFormat="1" ht="15">
      <c r="A17" s="53" t="s">
        <v>790</v>
      </c>
      <c r="B17" s="54">
        <v>112.92</v>
      </c>
      <c r="C17" s="54">
        <v>82.47</v>
      </c>
      <c r="D17" s="54">
        <v>133.25</v>
      </c>
      <c r="E17" s="54">
        <v>0.26</v>
      </c>
      <c r="F17" s="54">
        <v>3.52</v>
      </c>
      <c r="G17" s="54">
        <v>162.47</v>
      </c>
      <c r="H17" s="54">
        <v>76.47</v>
      </c>
      <c r="I17" s="54">
        <v>1.57</v>
      </c>
      <c r="J17" s="54">
        <v>0.53</v>
      </c>
      <c r="K17" s="54">
        <v>148.30000000000001</v>
      </c>
      <c r="L17" s="54">
        <v>18.91</v>
      </c>
      <c r="M17" s="54">
        <v>81.349999999999994</v>
      </c>
      <c r="N17" s="54">
        <v>294.5</v>
      </c>
      <c r="O17" s="54">
        <v>0</v>
      </c>
      <c r="P17" s="54">
        <v>1.22</v>
      </c>
      <c r="Q17" s="54">
        <v>14.06</v>
      </c>
      <c r="R17" s="43"/>
      <c r="S17" s="43"/>
      <c r="T17" s="43"/>
      <c r="U17" s="43"/>
    </row>
    <row r="18" spans="1:21" s="11" customFormat="1" ht="15">
      <c r="A18" s="53" t="s">
        <v>791</v>
      </c>
      <c r="B18" s="54">
        <v>86.74</v>
      </c>
      <c r="C18" s="54">
        <v>91.74</v>
      </c>
      <c r="D18" s="54">
        <v>116.86</v>
      </c>
      <c r="E18" s="54">
        <v>0.23</v>
      </c>
      <c r="F18" s="54">
        <v>3.37</v>
      </c>
      <c r="G18" s="54">
        <v>152.75</v>
      </c>
      <c r="H18" s="54">
        <v>72.83</v>
      </c>
      <c r="I18" s="54">
        <v>1.53</v>
      </c>
      <c r="J18" s="54">
        <v>0.54</v>
      </c>
      <c r="K18" s="54">
        <v>151.80000000000001</v>
      </c>
      <c r="L18" s="54">
        <v>22.16</v>
      </c>
      <c r="M18" s="54">
        <v>69.040000000000006</v>
      </c>
      <c r="N18" s="54">
        <v>402.30</v>
      </c>
      <c r="O18" s="54">
        <v>0</v>
      </c>
      <c r="P18" s="54">
        <v>1.18</v>
      </c>
      <c r="Q18" s="54">
        <v>12.94</v>
      </c>
      <c r="R18" s="43"/>
      <c r="S18" s="43"/>
      <c r="T18" s="43"/>
      <c r="U18" s="43"/>
    </row>
    <row r="19" spans="1:21" s="11" customFormat="1" ht="15">
      <c r="A19" s="53" t="s">
        <v>792</v>
      </c>
      <c r="B19" s="54">
        <v>56.41</v>
      </c>
      <c r="C19" s="54">
        <v>97.59</v>
      </c>
      <c r="D19" s="54">
        <v>97.93</v>
      </c>
      <c r="E19" s="54">
        <v>0.14000000000000001</v>
      </c>
      <c r="F19" s="54">
        <v>3.42</v>
      </c>
      <c r="G19" s="54">
        <v>124.31</v>
      </c>
      <c r="H19" s="54">
        <v>72.83</v>
      </c>
      <c r="I19" s="54">
        <v>1.58</v>
      </c>
      <c r="J19" s="54">
        <v>0.51</v>
      </c>
      <c r="K19" s="54">
        <v>352</v>
      </c>
      <c r="L19" s="54">
        <v>26.29</v>
      </c>
      <c r="M19" s="54">
        <v>51.62</v>
      </c>
      <c r="N19" s="54">
        <v>463.80</v>
      </c>
      <c r="O19" s="54">
        <v>0</v>
      </c>
      <c r="P19" s="54">
        <v>1.1000000000000001</v>
      </c>
      <c r="Q19" s="54">
        <v>11.20</v>
      </c>
      <c r="R19" s="43"/>
      <c r="S19" s="43"/>
      <c r="T19" s="43"/>
      <c r="U19" s="43"/>
    </row>
    <row r="20" spans="1:21" s="11" customFormat="1" ht="15">
      <c r="A20" s="53" t="s">
        <v>793</v>
      </c>
      <c r="B20" s="54">
        <v>38.76</v>
      </c>
      <c r="C20" s="54">
        <v>100.86</v>
      </c>
      <c r="D20" s="54">
        <v>86.79</v>
      </c>
      <c r="E20" s="54">
        <v>0.14000000000000001</v>
      </c>
      <c r="F20" s="54">
        <v>3.41</v>
      </c>
      <c r="G20" s="54">
        <v>122.75</v>
      </c>
      <c r="H20" s="54">
        <v>70.03</v>
      </c>
      <c r="I20" s="54">
        <v>1.56</v>
      </c>
      <c r="J20" s="54">
        <v>0.5</v>
      </c>
      <c r="K20" s="54">
        <v>349.77</v>
      </c>
      <c r="L20" s="54">
        <v>27.01</v>
      </c>
      <c r="M20" s="54">
        <v>44.22</v>
      </c>
      <c r="N20" s="54">
        <v>489.80</v>
      </c>
      <c r="O20" s="54">
        <v>0</v>
      </c>
      <c r="P20" s="54">
        <v>1.1000000000000001</v>
      </c>
      <c r="Q20" s="54">
        <v>10.029999999999999</v>
      </c>
      <c r="R20" s="43"/>
      <c r="S20" s="43"/>
      <c r="T20" s="43"/>
      <c r="U20" s="43"/>
    </row>
    <row r="21" spans="1:21" s="11" customFormat="1" ht="15">
      <c r="A21" s="53" t="s">
        <v>794</v>
      </c>
      <c r="B21" s="54">
        <v>26.13</v>
      </c>
      <c r="C21" s="54">
        <v>102.99</v>
      </c>
      <c r="D21" s="54">
        <v>77.28</v>
      </c>
      <c r="E21" s="54">
        <v>0.28000000000000003</v>
      </c>
      <c r="F21" s="54">
        <v>3.61</v>
      </c>
      <c r="G21" s="54">
        <v>111</v>
      </c>
      <c r="H21" s="54">
        <v>65.77</v>
      </c>
      <c r="I21" s="54">
        <v>1.56</v>
      </c>
      <c r="J21" s="54">
        <v>0.70</v>
      </c>
      <c r="K21" s="54">
        <v>152.47</v>
      </c>
      <c r="L21" s="54">
        <v>26.85</v>
      </c>
      <c r="M21" s="54">
        <v>45.52</v>
      </c>
      <c r="N21" s="54">
        <v>476.80</v>
      </c>
      <c r="O21" s="54">
        <v>0</v>
      </c>
      <c r="P21" s="54">
        <v>1.08</v>
      </c>
      <c r="Q21" s="54">
        <v>9.26</v>
      </c>
      <c r="R21" s="43"/>
      <c r="S21" s="43"/>
      <c r="T21" s="43"/>
      <c r="U21" s="43"/>
    </row>
    <row r="22" spans="1:21" s="11" customFormat="1" ht="15">
      <c r="A22" s="53" t="s">
        <v>795</v>
      </c>
      <c r="B22" s="54">
        <v>13.37</v>
      </c>
      <c r="C22" s="54">
        <v>101.81</v>
      </c>
      <c r="D22" s="54">
        <v>67.55</v>
      </c>
      <c r="E22" s="54">
        <v>0.28000000000000003</v>
      </c>
      <c r="F22" s="54">
        <v>4.07</v>
      </c>
      <c r="G22" s="54">
        <v>109.71</v>
      </c>
      <c r="H22" s="54">
        <v>63.80</v>
      </c>
      <c r="I22" s="54">
        <v>1.57</v>
      </c>
      <c r="J22" s="54">
        <v>0.77</v>
      </c>
      <c r="K22" s="54">
        <v>331.24</v>
      </c>
      <c r="L22" s="54">
        <v>25.40</v>
      </c>
      <c r="M22" s="54">
        <v>46.19</v>
      </c>
      <c r="N22" s="54">
        <v>400.20</v>
      </c>
      <c r="O22" s="54">
        <v>0</v>
      </c>
      <c r="P22" s="54">
        <v>1.07</v>
      </c>
      <c r="Q22" s="54">
        <v>8.5</v>
      </c>
      <c r="R22" s="43"/>
      <c r="S22" s="43"/>
      <c r="T22" s="43"/>
      <c r="U22" s="43"/>
    </row>
    <row r="23" spans="1:21" s="11" customFormat="1" ht="15">
      <c r="A23" s="53" t="s">
        <v>796</v>
      </c>
      <c r="B23" s="54">
        <v>6.59</v>
      </c>
      <c r="C23" s="54">
        <v>96.69</v>
      </c>
      <c r="D23" s="54">
        <v>59.29</v>
      </c>
      <c r="E23" s="54">
        <v>0.24</v>
      </c>
      <c r="F23" s="54">
        <v>4.7300000000000004</v>
      </c>
      <c r="G23" s="54">
        <v>110.79</v>
      </c>
      <c r="H23" s="54">
        <v>63.80</v>
      </c>
      <c r="I23" s="54">
        <v>1.56</v>
      </c>
      <c r="J23" s="54">
        <v>0.75</v>
      </c>
      <c r="K23" s="54">
        <v>338.82</v>
      </c>
      <c r="L23" s="54">
        <v>24.79</v>
      </c>
      <c r="M23" s="54">
        <v>45.22</v>
      </c>
      <c r="N23" s="54">
        <v>215.30</v>
      </c>
      <c r="O23" s="54">
        <v>0</v>
      </c>
      <c r="P23" s="54">
        <v>1.02</v>
      </c>
      <c r="Q23" s="54">
        <v>7.91</v>
      </c>
      <c r="R23" s="43"/>
      <c r="S23" s="43"/>
      <c r="T23" s="43"/>
      <c r="U23" s="43"/>
    </row>
    <row r="24" spans="1:21" s="11" customFormat="1" ht="15">
      <c r="A24" s="53" t="s">
        <v>797</v>
      </c>
      <c r="B24" s="54">
        <v>4.5</v>
      </c>
      <c r="C24" s="54">
        <v>91.80</v>
      </c>
      <c r="D24" s="54">
        <v>54.90</v>
      </c>
      <c r="E24" s="54">
        <v>0.25</v>
      </c>
      <c r="F24" s="54">
        <v>4.95</v>
      </c>
      <c r="G24" s="54">
        <v>119.40</v>
      </c>
      <c r="H24" s="54">
        <v>67.70</v>
      </c>
      <c r="I24" s="54">
        <v>1.52</v>
      </c>
      <c r="J24" s="54">
        <v>0.51</v>
      </c>
      <c r="K24" s="54">
        <v>353.51</v>
      </c>
      <c r="L24" s="54">
        <v>24.52</v>
      </c>
      <c r="M24" s="54">
        <v>47.13</v>
      </c>
      <c r="N24" s="54">
        <v>140.19999999999999</v>
      </c>
      <c r="O24" s="54">
        <v>0</v>
      </c>
      <c r="P24" s="54">
        <v>1.01</v>
      </c>
      <c r="Q24" s="54">
        <v>7.22</v>
      </c>
      <c r="R24" s="43"/>
      <c r="S24" s="43"/>
      <c r="T24" s="43"/>
      <c r="U24" s="43"/>
    </row>
    <row r="25" spans="1:21" s="11" customFormat="1" ht="15">
      <c r="A25" s="53" t="s">
        <v>798</v>
      </c>
      <c r="B25" s="54">
        <v>6.33</v>
      </c>
      <c r="C25" s="54">
        <v>96.43</v>
      </c>
      <c r="D25" s="54">
        <v>58.94</v>
      </c>
      <c r="E25" s="54">
        <v>0.18</v>
      </c>
      <c r="F25" s="54">
        <v>4.5</v>
      </c>
      <c r="G25" s="54">
        <v>126.58</v>
      </c>
      <c r="H25" s="54">
        <v>67.70</v>
      </c>
      <c r="I25" s="54">
        <v>1.53</v>
      </c>
      <c r="J25" s="54">
        <v>0.89</v>
      </c>
      <c r="K25" s="54">
        <v>347.34</v>
      </c>
      <c r="L25" s="54">
        <v>23.58</v>
      </c>
      <c r="M25" s="54">
        <v>59.99</v>
      </c>
      <c r="N25" s="54">
        <v>86.20</v>
      </c>
      <c r="O25" s="54">
        <v>0</v>
      </c>
      <c r="P25" s="54">
        <v>1.0900000000000001</v>
      </c>
      <c r="Q25" s="54">
        <v>7.32</v>
      </c>
      <c r="R25" s="43"/>
      <c r="S25" s="43"/>
      <c r="T25" s="43"/>
      <c r="U25" s="43"/>
    </row>
    <row r="26" spans="1:21" s="11" customFormat="1" ht="15">
      <c r="A26" s="53" t="s">
        <v>799</v>
      </c>
      <c r="B26" s="54">
        <v>9.75</v>
      </c>
      <c r="C26" s="54">
        <v>100.16</v>
      </c>
      <c r="D26" s="54">
        <v>63.43</v>
      </c>
      <c r="E26" s="54">
        <v>0.20</v>
      </c>
      <c r="F26" s="54">
        <v>3.53</v>
      </c>
      <c r="G26" s="54">
        <v>129.29</v>
      </c>
      <c r="H26" s="54">
        <v>65.760000000000005</v>
      </c>
      <c r="I26" s="54">
        <v>1.51</v>
      </c>
      <c r="J26" s="54">
        <v>0.21</v>
      </c>
      <c r="K26" s="54">
        <v>80.20</v>
      </c>
      <c r="L26" s="54">
        <v>21.44</v>
      </c>
      <c r="M26" s="54">
        <v>68.319999999999993</v>
      </c>
      <c r="N26" s="54">
        <v>55.10</v>
      </c>
      <c r="O26" s="54">
        <v>0</v>
      </c>
      <c r="P26" s="54">
        <v>1.23</v>
      </c>
      <c r="Q26" s="54">
        <v>7.68</v>
      </c>
      <c r="R26" s="43"/>
      <c r="S26" s="43"/>
      <c r="T26" s="43"/>
      <c r="U26" s="43"/>
    </row>
    <row r="27" spans="1:21" s="11" customFormat="1" ht="15">
      <c r="A27" s="53" t="s">
        <v>800</v>
      </c>
      <c r="B27" s="54">
        <v>12.37</v>
      </c>
      <c r="C27" s="54">
        <v>98.52</v>
      </c>
      <c r="D27" s="54">
        <v>64.239999999999995</v>
      </c>
      <c r="E27" s="54">
        <v>0.19</v>
      </c>
      <c r="F27" s="54">
        <v>3.51</v>
      </c>
      <c r="G27" s="54">
        <v>138.58000000000001</v>
      </c>
      <c r="H27" s="54">
        <v>68.099999999999994</v>
      </c>
      <c r="I27" s="54">
        <v>1.54</v>
      </c>
      <c r="J27" s="54">
        <v>0.17</v>
      </c>
      <c r="K27" s="54">
        <v>101.77</v>
      </c>
      <c r="L27" s="54">
        <v>19.96</v>
      </c>
      <c r="M27" s="54">
        <v>66.650000000000006</v>
      </c>
      <c r="N27" s="54">
        <v>54.60</v>
      </c>
      <c r="O27" s="54">
        <v>0</v>
      </c>
      <c r="P27" s="54">
        <v>1.33</v>
      </c>
      <c r="Q27" s="54">
        <v>7.99</v>
      </c>
      <c r="R27" s="43"/>
      <c r="S27" s="43"/>
      <c r="T27" s="43"/>
      <c r="U27" s="43"/>
    </row>
    <row r="28" spans="1:21" s="11" customFormat="1" ht="15">
      <c r="A28" s="53" t="s">
        <v>801</v>
      </c>
      <c r="B28" s="54">
        <v>20.59</v>
      </c>
      <c r="C28" s="54">
        <v>96.08</v>
      </c>
      <c r="D28" s="54">
        <v>67.959999999999994</v>
      </c>
      <c r="E28" s="54">
        <v>0.24</v>
      </c>
      <c r="F28" s="54">
        <v>3.43</v>
      </c>
      <c r="G28" s="54">
        <v>142.68</v>
      </c>
      <c r="H28" s="54">
        <v>74.47</v>
      </c>
      <c r="I28" s="54">
        <v>1.53</v>
      </c>
      <c r="J28" s="54">
        <v>0.10</v>
      </c>
      <c r="K28" s="54">
        <v>326.86</v>
      </c>
      <c r="L28" s="54">
        <v>19.010000000000002</v>
      </c>
      <c r="M28" s="54">
        <v>74.30</v>
      </c>
      <c r="N28" s="54">
        <v>58</v>
      </c>
      <c r="O28" s="54">
        <v>0</v>
      </c>
      <c r="P28" s="54">
        <v>1.55</v>
      </c>
      <c r="Q28" s="54">
        <v>8.23</v>
      </c>
      <c r="R28" s="43"/>
      <c r="S28" s="43"/>
      <c r="T28" s="43"/>
      <c r="U28" s="43"/>
    </row>
    <row r="29" spans="1:21" s="11" customFormat="1" ht="15">
      <c r="A29" s="53" t="s">
        <v>802</v>
      </c>
      <c r="B29" s="54">
        <v>41.87</v>
      </c>
      <c r="C29" s="54">
        <v>89.69</v>
      </c>
      <c r="D29" s="54">
        <v>81.69</v>
      </c>
      <c r="E29" s="54">
        <v>0.20</v>
      </c>
      <c r="F29" s="54">
        <v>3.31</v>
      </c>
      <c r="G29" s="54">
        <v>156</v>
      </c>
      <c r="H29" s="54">
        <v>89.82</v>
      </c>
      <c r="I29" s="54">
        <v>1.53</v>
      </c>
      <c r="J29" s="54">
        <v>0.11</v>
      </c>
      <c r="K29" s="54">
        <v>316.62</v>
      </c>
      <c r="L29" s="54">
        <v>17.79</v>
      </c>
      <c r="M29" s="54">
        <v>77.11</v>
      </c>
      <c r="N29" s="54">
        <v>55.70</v>
      </c>
      <c r="O29" s="54">
        <v>0</v>
      </c>
      <c r="P29" s="54">
        <v>1.77</v>
      </c>
      <c r="Q29" s="54">
        <v>9.6199999999999992</v>
      </c>
      <c r="R29" s="43"/>
      <c r="S29" s="43"/>
      <c r="T29" s="43"/>
      <c r="U29" s="43"/>
    </row>
    <row r="30" spans="1:21" s="11" customFormat="1" ht="15">
      <c r="A30" s="53" t="s">
        <v>803</v>
      </c>
      <c r="B30" s="54">
        <v>56.28</v>
      </c>
      <c r="C30" s="54">
        <v>96.07</v>
      </c>
      <c r="D30" s="54">
        <v>96.57</v>
      </c>
      <c r="E30" s="54">
        <v>0.22</v>
      </c>
      <c r="F30" s="54">
        <v>3.20</v>
      </c>
      <c r="G30" s="54">
        <v>166.10</v>
      </c>
      <c r="H30" s="54">
        <v>93.38</v>
      </c>
      <c r="I30" s="54">
        <v>1.57</v>
      </c>
      <c r="J30" s="54">
        <v>0.14000000000000001</v>
      </c>
      <c r="K30" s="54">
        <v>332.91</v>
      </c>
      <c r="L30" s="54">
        <v>17.690000000000001</v>
      </c>
      <c r="M30" s="54">
        <v>79.31</v>
      </c>
      <c r="N30" s="54">
        <v>56.10</v>
      </c>
      <c r="O30" s="54">
        <v>0</v>
      </c>
      <c r="P30" s="54">
        <v>1.94</v>
      </c>
      <c r="Q30" s="54">
        <v>10.72</v>
      </c>
      <c r="R30" s="43"/>
      <c r="S30" s="43"/>
      <c r="T30" s="43"/>
      <c r="U30" s="43"/>
    </row>
    <row r="31" spans="1:21" s="11" customFormat="1" ht="15">
      <c r="A31" s="53" t="s">
        <v>804</v>
      </c>
      <c r="B31" s="54">
        <v>49.93</v>
      </c>
      <c r="C31" s="54">
        <v>103.42</v>
      </c>
      <c r="D31" s="54">
        <v>95.55</v>
      </c>
      <c r="E31" s="54">
        <v>0.21</v>
      </c>
      <c r="F31" s="54">
        <v>3.28</v>
      </c>
      <c r="G31" s="54">
        <v>167.97</v>
      </c>
      <c r="H31" s="54">
        <v>93.38</v>
      </c>
      <c r="I31" s="54">
        <v>1.52</v>
      </c>
      <c r="J31" s="54">
        <v>0.32</v>
      </c>
      <c r="K31" s="54">
        <v>316.30</v>
      </c>
      <c r="L31" s="54">
        <v>18.059999999999999</v>
      </c>
      <c r="M31" s="54">
        <v>79.06</v>
      </c>
      <c r="N31" s="54">
        <v>60</v>
      </c>
      <c r="O31" s="54">
        <v>0</v>
      </c>
      <c r="P31" s="54">
        <v>1.94</v>
      </c>
      <c r="Q31" s="54">
        <v>10.69</v>
      </c>
      <c r="R31" s="43"/>
      <c r="S31" s="43"/>
      <c r="T31" s="43"/>
      <c r="U31" s="43"/>
    </row>
    <row r="32" spans="1:21" s="11" customFormat="1" ht="15">
      <c r="A32" s="53" t="s">
        <v>805</v>
      </c>
      <c r="B32" s="54">
        <v>43.40</v>
      </c>
      <c r="C32" s="54">
        <v>100.77</v>
      </c>
      <c r="D32" s="54">
        <v>89.98</v>
      </c>
      <c r="E32" s="54">
        <v>0.17</v>
      </c>
      <c r="F32" s="54">
        <v>3.40</v>
      </c>
      <c r="G32" s="54">
        <v>165.96</v>
      </c>
      <c r="H32" s="54">
        <v>92.49</v>
      </c>
      <c r="I32" s="54">
        <v>1.60</v>
      </c>
      <c r="J32" s="54">
        <v>0.16</v>
      </c>
      <c r="K32" s="54">
        <v>317.57</v>
      </c>
      <c r="L32" s="54">
        <v>16.68</v>
      </c>
      <c r="M32" s="54">
        <v>91.02</v>
      </c>
      <c r="N32" s="54">
        <v>61.80</v>
      </c>
      <c r="O32" s="54">
        <v>0</v>
      </c>
      <c r="P32" s="54">
        <v>1.82</v>
      </c>
      <c r="Q32" s="54">
        <v>10.050000000000001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</v>
      </c>
      <c r="C34" s="28">
        <f t="shared" si="0"/>
        <v>62.68</v>
      </c>
      <c r="D34" s="28">
        <f t="shared" si="0"/>
        <v>54.899999999999999</v>
      </c>
      <c r="E34" s="28">
        <f t="shared" si="0"/>
        <v>0.14000000000000001</v>
      </c>
      <c r="F34" s="28">
        <f t="shared" si="0"/>
        <v>3.0600000000000001</v>
      </c>
      <c r="G34" s="28">
        <f t="shared" si="0"/>
        <v>95.629999999999995</v>
      </c>
      <c r="H34" s="28">
        <f t="shared" si="0"/>
        <v>62.530000000000001</v>
      </c>
      <c r="I34" s="28">
        <f t="shared" si="0"/>
        <v>1.49</v>
      </c>
      <c r="J34" s="28">
        <f t="shared" si="0"/>
        <v>0.080000000000000002</v>
      </c>
      <c r="K34" s="28">
        <f t="shared" si="0"/>
        <v>80.200000000000003</v>
      </c>
      <c r="L34" s="28">
        <f t="shared" si="0"/>
        <v>13.73</v>
      </c>
      <c r="M34" s="28">
        <f t="shared" si="0"/>
        <v>44.219999999999999</v>
      </c>
      <c r="N34" s="28">
        <f t="shared" si="0"/>
        <v>54.600000000000001</v>
      </c>
      <c r="O34" s="28">
        <f t="shared" si="0"/>
        <v>0</v>
      </c>
      <c r="P34" s="28">
        <f t="shared" si="0"/>
        <v>1.01</v>
      </c>
      <c r="Q34" s="28">
        <f t="shared" si="0"/>
        <v>7.2199999999999998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112.92</v>
      </c>
      <c r="C35" s="29">
        <f t="shared" si="1"/>
        <v>103.42</v>
      </c>
      <c r="D35" s="29">
        <f t="shared" si="1"/>
        <v>133.25</v>
      </c>
      <c r="E35" s="29">
        <f t="shared" si="1"/>
        <v>0.39000000000000001</v>
      </c>
      <c r="F35" s="29">
        <f t="shared" si="1"/>
        <v>4.9500000000000002</v>
      </c>
      <c r="G35" s="29">
        <f t="shared" si="1"/>
        <v>168.05000000000001</v>
      </c>
      <c r="H35" s="29">
        <f t="shared" si="1"/>
        <v>93.379999999999995</v>
      </c>
      <c r="I35" s="29">
        <f t="shared" si="1"/>
        <v>1.6000000000000001</v>
      </c>
      <c r="J35" s="29">
        <f t="shared" si="1"/>
        <v>0.89000000000000001</v>
      </c>
      <c r="K35" s="29">
        <f t="shared" si="1"/>
        <v>353.50999999999999</v>
      </c>
      <c r="L35" s="29">
        <f t="shared" si="1"/>
        <v>27.010000000000002</v>
      </c>
      <c r="M35" s="29">
        <f t="shared" si="1"/>
        <v>97.879999999999995</v>
      </c>
      <c r="N35" s="29">
        <f t="shared" si="1"/>
        <v>489.80000000000001</v>
      </c>
      <c r="O35" s="29">
        <f t="shared" si="1"/>
        <v>0</v>
      </c>
      <c r="P35" s="29">
        <f t="shared" si="1"/>
        <v>2.2400000000000002</v>
      </c>
      <c r="Q35" s="29">
        <f t="shared" si="1"/>
        <v>14.06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47.97291666666667</v>
      </c>
      <c r="C36" s="28">
        <f t="shared" si="2"/>
        <v>90.035416666666663</v>
      </c>
      <c r="D36" s="28">
        <f t="shared" si="2"/>
        <v>87.310833333333335</v>
      </c>
      <c r="E36" s="28">
        <f t="shared" si="2"/>
        <v>0.24208333333333334</v>
      </c>
      <c r="F36" s="28">
        <f t="shared" si="2"/>
        <v>3.5745833333333343</v>
      </c>
      <c r="G36" s="28">
        <f t="shared" si="2"/>
        <v>136.52916666666664</v>
      </c>
      <c r="H36" s="28">
        <f t="shared" si="2"/>
        <v>74.342083333333349</v>
      </c>
      <c r="I36" s="28">
        <f t="shared" si="2"/>
        <v>1.5437500000000002</v>
      </c>
      <c r="J36" s="28">
        <f t="shared" si="2"/>
        <v>0.36083333333333334</v>
      </c>
      <c r="K36" s="28">
        <f t="shared" si="2"/>
        <v>284.82041666666663</v>
      </c>
      <c r="L36" s="28">
        <f t="shared" si="2"/>
        <v>19.573333333333331</v>
      </c>
      <c r="M36" s="28">
        <f t="shared" si="2"/>
        <v>74.380833333333342</v>
      </c>
      <c r="N36" s="28">
        <f t="shared" si="2"/>
        <v>170.15833333333333</v>
      </c>
      <c r="O36" s="28">
        <f t="shared" si="2"/>
        <v>0</v>
      </c>
      <c r="P36" s="28">
        <f t="shared" si="2"/>
        <v>1.3633333333333335</v>
      </c>
      <c r="Q36" s="28">
        <f t="shared" si="2"/>
        <v>10.090833333333332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33.957870123096662</v>
      </c>
      <c r="C37" s="28">
        <f t="shared" si="3" ref="C37:Q37">STDEV(C9:C32)</f>
        <v>11.733172586699544</v>
      </c>
      <c r="D37" s="28">
        <f t="shared" si="3"/>
        <v>23.139008455827167</v>
      </c>
      <c r="E37" s="28">
        <f t="shared" si="3"/>
        <v>0.063586925554309337</v>
      </c>
      <c r="F37" s="28">
        <f t="shared" si="3"/>
        <v>0.488876077181706</v>
      </c>
      <c r="G37" s="28">
        <f t="shared" si="3"/>
        <v>23.57269255002452</v>
      </c>
      <c r="H37" s="28">
        <f t="shared" si="3"/>
        <v>9.7892918335008829</v>
      </c>
      <c r="I37" s="28">
        <f t="shared" si="3"/>
        <v>0.029312781008201592</v>
      </c>
      <c r="J37" s="28">
        <f t="shared" si="3"/>
        <v>0.25191297093944215</v>
      </c>
      <c r="K37" s="28">
        <f t="shared" si="3"/>
        <v>86.157435545742828</v>
      </c>
      <c r="L37" s="28">
        <f t="shared" si="3"/>
        <v>4.4841912330422442</v>
      </c>
      <c r="M37" s="28">
        <f t="shared" si="3"/>
        <v>19.602905489319379</v>
      </c>
      <c r="N37" s="28">
        <f t="shared" si="3"/>
        <v>156.87616804807948</v>
      </c>
      <c r="O37" s="28">
        <f t="shared" si="3"/>
        <v>0</v>
      </c>
      <c r="P37" s="28">
        <f t="shared" si="3"/>
        <v>0.36392386526599785</v>
      </c>
      <c r="Q37" s="28">
        <f t="shared" si="3"/>
        <v>2.0928385480982059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9502480-c9cc-4e25-aa80-f0b7f5a17b0b}">
  <sheetPr codeName=""/>
  <dimension ref="A1:X55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P18" sqref="P18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01-12-2023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01-12-2023 01:00</v>
      </c>
      <c r="B9" s="24">
        <f>'01'!B36</f>
        <v>11.546249999999999</v>
      </c>
      <c r="C9" s="24">
        <f>'01'!C36</f>
        <v>54.641250000000007</v>
      </c>
      <c r="D9" s="24">
        <f>'01'!D36</f>
        <v>39.848333333333336</v>
      </c>
      <c r="E9" s="24">
        <f>'01'!E36</f>
        <v>2.2466666666666666</v>
      </c>
      <c r="F9" s="24">
        <f>'01'!F36</f>
        <v>3.5604166666666668</v>
      </c>
      <c r="G9" s="24">
        <f>'01'!G36</f>
        <v>62.636250000000011</v>
      </c>
      <c r="H9" s="24">
        <f>'01'!H36</f>
        <v>55.051666666666677</v>
      </c>
      <c r="I9" s="24">
        <f>'01'!I36</f>
        <v>1.5475000000000003</v>
      </c>
      <c r="J9" s="24">
        <f>'01'!J36</f>
        <v>0.81749999999999989</v>
      </c>
      <c r="K9" s="24">
        <f>'01'!K36</f>
        <v>153.19291666666666</v>
      </c>
      <c r="L9" s="24">
        <f>'01'!L36</f>
        <v>22.983749999999997</v>
      </c>
      <c r="M9" s="24">
        <f>'01'!M36</f>
        <v>67.467916666666653</v>
      </c>
      <c r="N9" s="24">
        <f>'01'!N36</f>
        <v>195.9375</v>
      </c>
      <c r="O9" s="24">
        <f>'01'!O36</f>
        <v>0</v>
      </c>
      <c r="P9" s="30">
        <f>'01'!$P$36</f>
        <v>0.93875000000000008</v>
      </c>
      <c r="Q9" s="24">
        <f>'01'!Q36</f>
        <v>5.2037499999999994</v>
      </c>
      <c r="R9" s="45"/>
      <c r="S9" s="45"/>
      <c r="T9" s="45"/>
      <c r="U9" s="46"/>
    </row>
    <row r="10" spans="1:21" s="34" customFormat="1" ht="15">
      <c r="A10" s="36" t="str">
        <f>'02'!$B$2</f>
        <v>02-12-2023 01:00</v>
      </c>
      <c r="B10" s="33">
        <f>'02'!B36</f>
        <v>5.979166666666667</v>
      </c>
      <c r="C10" s="33">
        <f>'02'!C36</f>
        <v>44.712500000000006</v>
      </c>
      <c r="D10" s="33">
        <f>'02'!D36</f>
        <v>29.829583333333336</v>
      </c>
      <c r="E10" s="33">
        <f>'02'!E36</f>
        <v>2.2200000000000002</v>
      </c>
      <c r="F10" s="33">
        <f>'02'!F36</f>
        <v>5.6000000000000005</v>
      </c>
      <c r="G10" s="33">
        <f>'02'!G36</f>
        <v>61.043999999999997</v>
      </c>
      <c r="H10" s="33">
        <f>'02'!H36</f>
        <v>32.674999999999997</v>
      </c>
      <c r="I10" s="33">
        <f>'02'!I36</f>
        <v>1.5429166666666669</v>
      </c>
      <c r="J10" s="33">
        <f>'02'!J36</f>
        <v>1.1662499999999998</v>
      </c>
      <c r="K10" s="33">
        <f>'02'!K36</f>
        <v>159.14958333333334</v>
      </c>
      <c r="L10" s="33">
        <f>'02'!L36</f>
        <v>22.965000000000003</v>
      </c>
      <c r="M10" s="33">
        <f>'02'!M36</f>
        <v>66.682916666666685</v>
      </c>
      <c r="N10" s="33">
        <f>'02'!N36</f>
        <v>199.20416666666665</v>
      </c>
      <c r="O10" s="33">
        <f>'02'!O36</f>
        <v>0</v>
      </c>
      <c r="P10" s="30">
        <f>'02'!$P$36</f>
        <v>0.74374999999999991</v>
      </c>
      <c r="Q10" s="33">
        <f>'02'!Q36</f>
        <v>5.1495833333333305</v>
      </c>
      <c r="R10" s="47"/>
      <c r="S10" s="47"/>
      <c r="T10" s="47"/>
      <c r="U10" s="47"/>
    </row>
    <row r="11" spans="1:21" s="34" customFormat="1" ht="15">
      <c r="A11" s="36" t="str">
        <f>'03'!$B$2</f>
        <v>03-12-2023 01:00</v>
      </c>
      <c r="B11" s="33">
        <f>'03'!B36</f>
        <v>5.5362500000000017</v>
      </c>
      <c r="C11" s="33">
        <f>'03'!C36</f>
        <v>44.786666666666669</v>
      </c>
      <c r="D11" s="33">
        <f>'03'!D36</f>
        <v>29.692083333333333</v>
      </c>
      <c r="E11" s="33">
        <f>'03'!E36</f>
        <v>2.2112499999999997</v>
      </c>
      <c r="F11" s="33">
        <f>'03'!F36</f>
        <v>3.9575000000000009</v>
      </c>
      <c r="G11" s="33">
        <f>'03'!G36</f>
        <v>61.949166666666663</v>
      </c>
      <c r="H11" s="33">
        <f>'03'!H36</f>
        <v>30.272916666666656</v>
      </c>
      <c r="I11" s="33">
        <f>'03'!I36</f>
        <v>1.5454166666666664</v>
      </c>
      <c r="J11" s="33">
        <f>'03'!J36</f>
        <v>1.0395833333333333</v>
      </c>
      <c r="K11" s="33">
        <f>'03'!K36</f>
        <v>160.60583333333335</v>
      </c>
      <c r="L11" s="33">
        <f>'03'!L36</f>
        <v>22.19458333333333</v>
      </c>
      <c r="M11" s="33">
        <f>'03'!M36</f>
        <v>67.669583333333335</v>
      </c>
      <c r="N11" s="33">
        <f>'03'!N36</f>
        <v>185.61666666666665</v>
      </c>
      <c r="O11" s="33">
        <f>'03'!O36</f>
        <v>0</v>
      </c>
      <c r="P11" s="30">
        <f>'03'!$P$36</f>
        <v>0.77375000000000027</v>
      </c>
      <c r="Q11" s="33">
        <f>'03'!Q36</f>
        <v>5.2016666666666636</v>
      </c>
      <c r="R11" s="47"/>
      <c r="S11" s="47"/>
      <c r="T11" s="47"/>
      <c r="U11" s="47"/>
    </row>
    <row r="12" spans="1:21" s="34" customFormat="1" ht="15">
      <c r="A12" s="36" t="str">
        <f>'04'!$B$2</f>
        <v>04-12-2023 01:00</v>
      </c>
      <c r="B12" s="33">
        <f>'04'!B36</f>
        <v>8.6112500000000001</v>
      </c>
      <c r="C12" s="33">
        <f>'04'!C36</f>
        <v>53.45333333333334</v>
      </c>
      <c r="D12" s="33">
        <f>'04'!D36</f>
        <v>37.081250000000004</v>
      </c>
      <c r="E12" s="33">
        <f>'04'!E36</f>
        <v>2.1957142857142862</v>
      </c>
      <c r="F12" s="33">
        <f>'04'!F36</f>
        <v>4.3583333333333325</v>
      </c>
      <c r="G12" s="33">
        <f>'04'!G36</f>
        <v>74.427083333333329</v>
      </c>
      <c r="H12" s="33">
        <f>'04'!H36</f>
        <v>34.446666666666665</v>
      </c>
      <c r="I12" s="33">
        <f>'04'!I36</f>
        <v>1.5374999999999999</v>
      </c>
      <c r="J12" s="33">
        <f>'04'!J36</f>
        <v>0.53750000000000009</v>
      </c>
      <c r="K12" s="33">
        <f>'04'!K36</f>
        <v>216.44583333333335</v>
      </c>
      <c r="L12" s="33">
        <f>'04'!L36</f>
        <v>21.255000000000003</v>
      </c>
      <c r="M12" s="33">
        <f>'04'!M36</f>
        <v>72.95083333333335</v>
      </c>
      <c r="N12" s="33">
        <f>'04'!N36</f>
        <v>98.624999999999986</v>
      </c>
      <c r="O12" s="33">
        <f>'04'!O36</f>
        <v>0</v>
      </c>
      <c r="P12" s="30">
        <f>'04'!$P$36</f>
        <v>1.0041666666666667</v>
      </c>
      <c r="Q12" s="33">
        <f>'04'!Q36</f>
        <v>5.2925000000000004</v>
      </c>
      <c r="R12" s="47"/>
      <c r="S12" s="47"/>
      <c r="T12" s="47"/>
      <c r="U12" s="47"/>
    </row>
    <row r="13" spans="1:21" s="34" customFormat="1" ht="15">
      <c r="A13" s="36" t="str">
        <f>'05'!$B$2</f>
        <v>05-12-2023 01:00</v>
      </c>
      <c r="B13" s="33">
        <f>'05'!B36</f>
        <v>17.217500000000001</v>
      </c>
      <c r="C13" s="33">
        <f>'05'!C36</f>
        <v>45.301249999999989</v>
      </c>
      <c r="D13" s="33">
        <f>'05'!D36</f>
        <v>39.338749999999997</v>
      </c>
      <c r="E13" s="33">
        <f>'05'!E36</f>
        <v>2.3816666666666668</v>
      </c>
      <c r="F13" s="33">
        <f>'05'!F36</f>
        <v>11.415000000000001</v>
      </c>
      <c r="G13" s="33">
        <f>'05'!G36</f>
        <v>24.528333333333336</v>
      </c>
      <c r="H13" s="33">
        <f>'05'!H36</f>
        <v>14.955833333333333</v>
      </c>
      <c r="I13" s="33">
        <f>'05'!I36</f>
        <v>1.5325</v>
      </c>
      <c r="J13" s="33">
        <f>'05'!J36</f>
        <v>0.60958333333333348</v>
      </c>
      <c r="K13" s="33">
        <f>'05'!K36</f>
        <v>290.37416666666661</v>
      </c>
      <c r="L13" s="33">
        <f>'05'!L36</f>
        <v>16.887916666666666</v>
      </c>
      <c r="M13" s="33">
        <f>'05'!M36</f>
        <v>97.342083333333349</v>
      </c>
      <c r="N13" s="33">
        <f>'05'!N36</f>
        <v>59.899999999999984</v>
      </c>
      <c r="O13" s="33">
        <f>'05'!O36</f>
        <v>0.17500000000000002</v>
      </c>
      <c r="P13" s="30">
        <f>'05'!$P$36</f>
        <v>0.56291666666666662</v>
      </c>
      <c r="Q13" s="33">
        <f>'05'!Q36</f>
        <v>6.0854166666666663</v>
      </c>
      <c r="R13" s="47"/>
      <c r="S13" s="47"/>
      <c r="T13" s="47"/>
      <c r="U13" s="47"/>
    </row>
    <row r="14" spans="1:21" s="34" customFormat="1" ht="15">
      <c r="A14" s="36" t="str">
        <f>'06'!$B$2</f>
        <v>06-12-2023 01:00</v>
      </c>
      <c r="B14" s="33">
        <f>'06'!B36</f>
        <v>18.165000000000006</v>
      </c>
      <c r="C14" s="33">
        <f>'06'!C36</f>
        <v>41.21958333333334</v>
      </c>
      <c r="D14" s="33">
        <f>'06'!D36</f>
        <v>37.671250000000001</v>
      </c>
      <c r="E14" s="33">
        <f>'06'!E36</f>
        <v>2.2575000000000003</v>
      </c>
      <c r="F14" s="33">
        <f>'06'!F36</f>
        <v>6.1016666666666666</v>
      </c>
      <c r="G14" s="33">
        <f>'06'!G36</f>
        <v>15.702916666666669</v>
      </c>
      <c r="H14" s="33">
        <f>'06'!H36</f>
        <v>7.0616666666666674</v>
      </c>
      <c r="I14" s="33">
        <f>'06'!I36</f>
        <v>1.5449999999999999</v>
      </c>
      <c r="J14" s="33">
        <f>'06'!J36</f>
        <v>0.67708333333333337</v>
      </c>
      <c r="K14" s="33">
        <f>'06'!K36</f>
        <v>183.68791666666664</v>
      </c>
      <c r="L14" s="33">
        <f>'06'!L36</f>
        <v>16.520416666666666</v>
      </c>
      <c r="M14" s="33">
        <f>'06'!M36</f>
        <v>97.954999999999998</v>
      </c>
      <c r="N14" s="33">
        <f>'06'!N36</f>
        <v>61.329166666666659</v>
      </c>
      <c r="O14" s="33">
        <f>'06'!O36</f>
        <v>0.125</v>
      </c>
      <c r="P14" s="30">
        <f>'06'!$P$36</f>
        <v>0.37791666666666662</v>
      </c>
      <c r="Q14" s="33">
        <f>'06'!Q36</f>
        <v>6.3970833333333319</v>
      </c>
      <c r="R14" s="47"/>
      <c r="S14" s="47"/>
      <c r="T14" s="47"/>
      <c r="U14" s="47"/>
    </row>
    <row r="15" spans="1:21" s="34" customFormat="1" ht="15">
      <c r="A15" s="36" t="str">
        <f>'07'!$B$2</f>
        <v>07-12-2023 01:00</v>
      </c>
      <c r="B15" s="33">
        <f>'07'!B36</f>
        <v>34.934583333333336</v>
      </c>
      <c r="C15" s="33">
        <f>'07'!C36</f>
        <v>40.791666666666664</v>
      </c>
      <c r="D15" s="33">
        <f>'07'!D36</f>
        <v>50.962083333333332</v>
      </c>
      <c r="E15" s="33">
        <f>'07'!E36</f>
        <v>2.32375</v>
      </c>
      <c r="F15" s="33">
        <f>'07'!F36</f>
        <v>4.5391666666666675</v>
      </c>
      <c r="G15" s="33">
        <f>'07'!G36</f>
        <v>30.048421052631582</v>
      </c>
      <c r="H15" s="33">
        <f>'07'!H36</f>
        <v>14.364210526315787</v>
      </c>
      <c r="I15" s="33">
        <f>'07'!I36</f>
        <v>1.5533333333333335</v>
      </c>
      <c r="J15" s="33">
        <f>'07'!J36</f>
        <v>0.65958333333333319</v>
      </c>
      <c r="K15" s="33">
        <f>'07'!K36</f>
        <v>283.47999999999996</v>
      </c>
      <c r="L15" s="33">
        <f>'07'!L36</f>
        <v>16.675833333333333</v>
      </c>
      <c r="M15" s="33">
        <f>'07'!M36</f>
        <v>98.213750000000005</v>
      </c>
      <c r="N15" s="33">
        <f>'07'!N37</f>
        <v>38.6969487244112</v>
      </c>
      <c r="O15" s="33">
        <f>'07'!O37</f>
        <v>0.22698400633180041</v>
      </c>
      <c r="P15" s="30">
        <f>'07'!$P$36</f>
        <v>0.88541666666666663</v>
      </c>
      <c r="Q15" s="33">
        <f>'07'!Q36</f>
        <v>7.8495833333333342</v>
      </c>
      <c r="R15" s="47"/>
      <c r="S15" s="47"/>
      <c r="T15" s="47"/>
      <c r="U15" s="47"/>
    </row>
    <row r="16" spans="1:21" s="34" customFormat="1" ht="15">
      <c r="A16" s="36" t="str">
        <f>'08'!$B$2</f>
        <v>08-12-2023 01:00</v>
      </c>
      <c r="B16" s="33">
        <f>'08'!B36</f>
        <v>27.817083333333343</v>
      </c>
      <c r="C16" s="33">
        <f>'08'!C36</f>
        <v>44.921666666666674</v>
      </c>
      <c r="D16" s="33">
        <f>'08'!D36</f>
        <v>47.337499999999999</v>
      </c>
      <c r="E16" s="33">
        <f>'08'!E36</f>
        <v>1.8579166666666664</v>
      </c>
      <c r="F16" s="33">
        <f>'08'!F36</f>
        <v>4.9812500000000002</v>
      </c>
      <c r="G16" s="33">
        <f>'08'!G36</f>
        <v>46.813333333333333</v>
      </c>
      <c r="H16" s="33">
        <f>'08'!H36</f>
        <v>29.125833333333336</v>
      </c>
      <c r="I16" s="33">
        <f>'08'!I36</f>
        <v>1.5345833333333336</v>
      </c>
      <c r="J16" s="33">
        <f>'08'!J36</f>
        <v>0.5033333333333333</v>
      </c>
      <c r="K16" s="33">
        <f>'08'!K36</f>
        <v>294.70458333333329</v>
      </c>
      <c r="L16" s="33">
        <f>'08'!L36</f>
        <v>18.858333333333334</v>
      </c>
      <c r="M16" s="33">
        <f>'08'!M36</f>
        <v>90.107083333333321</v>
      </c>
      <c r="N16" s="33">
        <f>'08'!N36</f>
        <v>157.90000000000001</v>
      </c>
      <c r="O16" s="33">
        <f>'08'!O36</f>
        <v>0</v>
      </c>
      <c r="P16" s="30">
        <f>'08'!$P$36</f>
        <v>0.64333333333333331</v>
      </c>
      <c r="Q16" s="33">
        <f>'08'!Q36</f>
        <v>7.3579166666666689</v>
      </c>
      <c r="R16" s="47"/>
      <c r="S16" s="47"/>
      <c r="T16" s="47"/>
      <c r="U16" s="47"/>
    </row>
    <row r="17" spans="1:24" s="34" customFormat="1" ht="15">
      <c r="A17" s="36" t="str">
        <f>'09'!$B$2</f>
        <v>09-12-2023 01:00</v>
      </c>
      <c r="B17" s="33">
        <f>'09'!B36</f>
        <v>34.217499999999994</v>
      </c>
      <c r="C17" s="33">
        <f>'09'!C36</f>
        <v>48.103749999999998</v>
      </c>
      <c r="D17" s="33">
        <f>'09'!D36</f>
        <v>54.149999999999999</v>
      </c>
      <c r="E17" s="33">
        <f>'09'!E36</f>
        <v>0.87500000000000011</v>
      </c>
      <c r="F17" s="33">
        <f>'09'!F36</f>
        <v>8.9408333333333321</v>
      </c>
      <c r="G17" s="33">
        <f>'09'!G36</f>
        <v>106.23125000000003</v>
      </c>
      <c r="H17" s="33">
        <f>'09'!H36</f>
        <v>35.327916666666674</v>
      </c>
      <c r="I17" s="33">
        <f>'09'!I36</f>
        <v>1.55</v>
      </c>
      <c r="J17" s="33">
        <f>'09'!J36</f>
        <v>0.54125000000000001</v>
      </c>
      <c r="K17" s="33">
        <f>'09'!K36</f>
        <v>298.56749999999994</v>
      </c>
      <c r="L17" s="33">
        <f>'09'!L36</f>
        <v>20.326249999999998</v>
      </c>
      <c r="M17" s="33">
        <f>'09'!M36</f>
        <v>76.61375000000001</v>
      </c>
      <c r="N17" s="33">
        <f>'09'!N37</f>
        <v>261.34171945885356</v>
      </c>
      <c r="O17" s="33">
        <f>'09'!O37</f>
        <v>0</v>
      </c>
      <c r="P17" s="30">
        <f>'09'!$P$36</f>
        <v>1.1520833333333329</v>
      </c>
      <c r="Q17" s="33">
        <f>'09'!Q36</f>
        <v>5.963333333333332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10-12-2023 01:00</v>
      </c>
      <c r="B18" s="33">
        <f>'10'!B36</f>
        <v>45.625833333333333</v>
      </c>
      <c r="C18" s="33">
        <f>'10'!C36</f>
        <v>49.762499999999996</v>
      </c>
      <c r="D18" s="33">
        <f>'10'!D36</f>
        <v>64.589166666666671</v>
      </c>
      <c r="E18" s="33">
        <f>'10'!E36</f>
        <v>0.54833333333333323</v>
      </c>
      <c r="F18" s="33">
        <f>'10'!F36</f>
        <v>8.5162500000000012</v>
      </c>
      <c r="G18" s="33">
        <f>'10'!G36</f>
        <v>110.89249999999998</v>
      </c>
      <c r="H18" s="33">
        <f>'10'!H36</f>
        <v>41.579999999999998</v>
      </c>
      <c r="I18" s="33">
        <f>'10'!I36</f>
        <v>1.5545833333333337</v>
      </c>
      <c r="J18" s="33">
        <f>'10'!J36</f>
        <v>0.41499999999999998</v>
      </c>
      <c r="K18" s="33">
        <f>'10'!K36</f>
        <v>232.21291666666673</v>
      </c>
      <c r="L18" s="33">
        <f>'10'!L36</f>
        <v>19.269166666666667</v>
      </c>
      <c r="M18" s="33">
        <f>'10'!M36</f>
        <v>67.552916666666675</v>
      </c>
      <c r="N18" s="33">
        <f>'10'!N36</f>
        <v>209.85833333333332</v>
      </c>
      <c r="O18" s="33">
        <f>'10'!O36</f>
        <v>0</v>
      </c>
      <c r="P18" s="30">
        <f>'10'!$P$36</f>
        <v>0.97916666666666663</v>
      </c>
      <c r="Q18" s="33">
        <f>'10'!Q36</f>
        <v>8.8025000000000002</v>
      </c>
      <c r="R18" s="47"/>
      <c r="S18" s="47"/>
      <c r="T18" s="47"/>
      <c r="U18" s="47"/>
    </row>
    <row r="19" spans="1:21" s="34" customFormat="1" ht="15">
      <c r="A19" s="36" t="str">
        <f>'11'!$B$2</f>
        <v>11-12-2023 01:00</v>
      </c>
      <c r="B19" s="33">
        <f>'11'!B36</f>
        <v>24.739999999999998</v>
      </c>
      <c r="C19" s="33">
        <f>'11'!C36</f>
        <v>55.717083333333328</v>
      </c>
      <c r="D19" s="33">
        <f>'11'!D36</f>
        <v>50.900833333333338</v>
      </c>
      <c r="E19" s="33">
        <f>'11'!E36</f>
        <v>0.8224999999999999</v>
      </c>
      <c r="F19" s="33">
        <f>'11'!F36</f>
        <v>11.326666666666668</v>
      </c>
      <c r="G19" s="33">
        <f>'11'!G36</f>
        <v>112.61416666666669</v>
      </c>
      <c r="H19" s="33">
        <f>'11'!H36</f>
        <v>51.96875</v>
      </c>
      <c r="I19" s="33">
        <f>'11'!I36</f>
        <v>1.5354166666666664</v>
      </c>
      <c r="J19" s="33">
        <f>'11'!J36</f>
        <v>0.3666666666666667</v>
      </c>
      <c r="K19" s="33">
        <f>'11'!K36</f>
        <v>267.45208333333335</v>
      </c>
      <c r="L19" s="33">
        <f>'11'!L36</f>
        <v>19.434166666666663</v>
      </c>
      <c r="M19" s="33">
        <f>'11'!M36</f>
        <v>67.714166666666657</v>
      </c>
      <c r="N19" s="33">
        <f>'11'!N36</f>
        <v>199.05000000000007</v>
      </c>
      <c r="O19" s="33">
        <f>'11'!O36</f>
        <v>0</v>
      </c>
      <c r="P19" s="33">
        <f>'11'!P36</f>
        <v>1.0170833333333331</v>
      </c>
      <c r="Q19" s="33">
        <f>'11'!Q36</f>
        <v>5.8034782608695652</v>
      </c>
      <c r="R19" s="47"/>
      <c r="S19" s="47"/>
      <c r="T19" s="47"/>
      <c r="U19" s="47"/>
    </row>
    <row r="20" spans="1:21" s="34" customFormat="1" ht="15">
      <c r="A20" s="36" t="str">
        <f>'12'!$B$2</f>
        <v>12-12-2023 01:00</v>
      </c>
      <c r="B20" s="33">
        <f>'12'!B36</f>
        <v>30.657916666666665</v>
      </c>
      <c r="C20" s="33">
        <f>'12'!C36</f>
        <v>57.047499999999992</v>
      </c>
      <c r="D20" s="33">
        <f>'12'!D36</f>
        <v>56.532916666666672</v>
      </c>
      <c r="E20" s="33">
        <f>'12'!E36</f>
        <v>0.54916666666666669</v>
      </c>
      <c r="F20" s="33">
        <f>'12'!F36</f>
        <v>10.560416666666665</v>
      </c>
      <c r="G20" s="33">
        <f>'12'!G36</f>
        <v>121.03375000000001</v>
      </c>
      <c r="H20" s="33">
        <f>'12'!H36</f>
        <v>50.732083333333328</v>
      </c>
      <c r="I20" s="33">
        <f>'12'!I36</f>
        <v>1.5516666666666667</v>
      </c>
      <c r="J20" s="33">
        <f>'12'!J36</f>
        <v>0.39874999999999999</v>
      </c>
      <c r="K20" s="33">
        <f>'12'!K36</f>
        <v>251.42916666666667</v>
      </c>
      <c r="L20" s="33">
        <f>'12'!L36</f>
        <v>19.349166666666665</v>
      </c>
      <c r="M20" s="33">
        <f>'12'!M36</f>
        <v>67.819166666666675</v>
      </c>
      <c r="N20" s="33">
        <f>'12'!N36</f>
        <v>196.78750000000002</v>
      </c>
      <c r="O20" s="33">
        <f>'12'!O36</f>
        <v>0</v>
      </c>
      <c r="P20" s="33">
        <f>'12'!P36</f>
        <v>1.0250000000000001</v>
      </c>
      <c r="Q20" s="33">
        <f>'12'!Q36</f>
        <v>6.4241666666666681</v>
      </c>
      <c r="R20" s="47"/>
      <c r="S20" s="47"/>
      <c r="T20" s="47"/>
      <c r="U20" s="47"/>
    </row>
    <row r="21" spans="1:21" s="34" customFormat="1" ht="15">
      <c r="A21" s="36" t="str">
        <f>'13'!$B$2</f>
        <v>13-12-2023 01:00</v>
      </c>
      <c r="B21" s="33">
        <f>'13'!B36</f>
        <v>28.837083333333325</v>
      </c>
      <c r="C21" s="33">
        <f>'13'!C36</f>
        <v>63.757083333333334</v>
      </c>
      <c r="D21" s="33">
        <f>'13'!D36</f>
        <v>58.349166666666669</v>
      </c>
      <c r="E21" s="33">
        <f>'13'!E36</f>
        <v>0.69458333333333344</v>
      </c>
      <c r="F21" s="33">
        <f>'13'!F36</f>
        <v>13.784583333333336</v>
      </c>
      <c r="G21" s="33">
        <f>'13'!G36</f>
        <v>123.49458333333331</v>
      </c>
      <c r="H21" s="33">
        <f>'13'!H36</f>
        <v>52.791250000000012</v>
      </c>
      <c r="I21" s="33">
        <f>'13'!I36</f>
        <v>1.5395833333333335</v>
      </c>
      <c r="J21" s="33">
        <f>'13'!J36</f>
        <v>0.47291666666666671</v>
      </c>
      <c r="K21" s="33">
        <f>'13'!K36</f>
        <v>294.50874999999996</v>
      </c>
      <c r="L21" s="33">
        <f>'13'!L36</f>
        <v>19.517916666666668</v>
      </c>
      <c r="M21" s="33">
        <f>'13'!M36</f>
        <v>70.852916666666673</v>
      </c>
      <c r="N21" s="33">
        <f>'13'!N36</f>
        <v>177.4083333333333</v>
      </c>
      <c r="O21" s="33">
        <f>'13'!O36</f>
        <v>0</v>
      </c>
      <c r="P21" s="33">
        <f>'13'!P36</f>
        <v>1.1783333333333337</v>
      </c>
      <c r="Q21" s="33">
        <f>'13'!Q36</f>
        <v>5.9716666666666649</v>
      </c>
      <c r="R21" s="47"/>
      <c r="S21" s="47"/>
      <c r="T21" s="47"/>
      <c r="U21" s="47"/>
    </row>
    <row r="22" spans="1:21" s="34" customFormat="1" ht="15">
      <c r="A22" s="36" t="str">
        <f>'14'!$B$2</f>
        <v>14-12-2023 01:00</v>
      </c>
      <c r="B22" s="30">
        <f>'14'!B36</f>
        <v>21.396250000000006</v>
      </c>
      <c r="C22" s="30">
        <f>'14'!C36</f>
        <v>62.835416666666653</v>
      </c>
      <c r="D22" s="30">
        <f>'14'!D36</f>
        <v>52.282500000000006</v>
      </c>
      <c r="E22" s="30">
        <f>'14'!E36</f>
        <v>1.8241666666666667</v>
      </c>
      <c r="F22" s="30">
        <f>'14'!F36</f>
        <v>14.313749999999999</v>
      </c>
      <c r="G22" s="30">
        <f>'14'!G36</f>
        <v>110.06333333333335</v>
      </c>
      <c r="H22" s="30">
        <f>'14'!H36</f>
        <v>51.714583333333337</v>
      </c>
      <c r="I22" s="30">
        <f>'14'!I36</f>
        <v>1.5487500000000003</v>
      </c>
      <c r="J22" s="30">
        <f>'14'!J36</f>
        <v>0.48500000000000004</v>
      </c>
      <c r="K22" s="30">
        <f>'14'!K36</f>
        <v>270.25750000000005</v>
      </c>
      <c r="L22" s="30">
        <f>'14'!L36</f>
        <v>19.577083333333331</v>
      </c>
      <c r="M22" s="30">
        <f>'14'!M36</f>
        <v>64.243333333333339</v>
      </c>
      <c r="N22" s="30">
        <f>'14'!N36</f>
        <v>190.77500000000006</v>
      </c>
      <c r="O22" s="30">
        <f>'14'!O36</f>
        <v>0</v>
      </c>
      <c r="P22" s="30">
        <f>'14'!P36</f>
        <v>1.085</v>
      </c>
      <c r="Q22" s="30">
        <f>'14'!Q36</f>
        <v>5.6666666666666652</v>
      </c>
      <c r="R22" s="48"/>
      <c r="S22" s="48"/>
      <c r="T22" s="48"/>
      <c r="U22" s="48"/>
    </row>
    <row r="23" spans="1:21" s="34" customFormat="1" ht="15">
      <c r="A23" s="36" t="str">
        <f>'15'!$B$2</f>
        <v>15-12-2023 01:00</v>
      </c>
      <c r="B23" s="33">
        <f>'15'!B36</f>
        <v>30.837500000000002</v>
      </c>
      <c r="C23" s="33">
        <f>'15'!C36</f>
        <v>63.436666666666667</v>
      </c>
      <c r="D23" s="33">
        <f>'15'!D36</f>
        <v>60.279583333333335</v>
      </c>
      <c r="E23" s="33">
        <f>'15'!E36</f>
        <v>1.74125</v>
      </c>
      <c r="F23" s="33">
        <f>'15'!F36</f>
        <v>11.50625</v>
      </c>
      <c r="G23" s="33">
        <f>'15'!G36</f>
        <v>123.18124999999998</v>
      </c>
      <c r="H23" s="33">
        <f>'15'!H36</f>
        <v>55.930000000000007</v>
      </c>
      <c r="I23" s="33">
        <f>'15'!I36</f>
        <v>1.5416666666666667</v>
      </c>
      <c r="J23" s="33">
        <f>'15'!J36</f>
        <v>0.43458333333333338</v>
      </c>
      <c r="K23" s="33">
        <f>'15'!K36</f>
        <v>228.89125000000001</v>
      </c>
      <c r="L23" s="33">
        <f>'15'!L36</f>
        <v>18.598749999999995</v>
      </c>
      <c r="M23" s="33">
        <f>'15'!M36</f>
        <v>63.640833333333319</v>
      </c>
      <c r="N23" s="33">
        <f>'15'!N36</f>
        <v>202.42499999999998</v>
      </c>
      <c r="O23" s="33">
        <f>'15'!O36</f>
        <v>0</v>
      </c>
      <c r="P23" s="30">
        <f>'15'!P36</f>
        <v>1.3516666666666668</v>
      </c>
      <c r="Q23" s="30">
        <f>'15'!Q36</f>
        <v>4.4741666666666662</v>
      </c>
      <c r="R23" s="48"/>
      <c r="S23" s="48"/>
      <c r="T23" s="48"/>
      <c r="U23" s="47"/>
    </row>
    <row r="24" spans="1:21" s="34" customFormat="1" ht="15">
      <c r="A24" s="36" t="str">
        <f>'16'!$B$2</f>
        <v>16-12-2023 01:00</v>
      </c>
      <c r="B24" s="33">
        <f>'16'!B36</f>
        <v>72.563333333333333</v>
      </c>
      <c r="C24" s="33">
        <f>'16'!C36</f>
        <v>73.405000000000015</v>
      </c>
      <c r="D24" s="33">
        <f>'16'!D36</f>
        <v>99.215833333333322</v>
      </c>
      <c r="E24" s="33">
        <f>'16'!E36</f>
        <v>2.2125000000000004</v>
      </c>
      <c r="F24" s="33">
        <f>'16'!F36</f>
        <v>11.881250000000001</v>
      </c>
      <c r="G24" s="33">
        <f>'16'!G36</f>
        <v>161.89083333333335</v>
      </c>
      <c r="H24" s="33">
        <f>'16'!H36</f>
        <v>66.40916666666665</v>
      </c>
      <c r="I24" s="33">
        <f>'16'!I36</f>
        <v>1.5395833333333331</v>
      </c>
      <c r="J24" s="33">
        <f>'16'!J36</f>
        <v>0.44291666666666668</v>
      </c>
      <c r="K24" s="33">
        <f>'16'!K36</f>
        <v>267.47208333333339</v>
      </c>
      <c r="L24" s="33">
        <f>'16'!L36</f>
        <v>18.016250000000003</v>
      </c>
      <c r="M24" s="33">
        <f>'16'!M36</f>
        <v>63.299166666666657</v>
      </c>
      <c r="N24" s="33">
        <f>'16'!N36</f>
        <v>211.45416666666662</v>
      </c>
      <c r="O24" s="33">
        <f>'16'!O36</f>
        <v>0</v>
      </c>
      <c r="P24" s="30">
        <f>'16'!P36</f>
        <v>1.655833333333333</v>
      </c>
      <c r="Q24" s="30">
        <f>'16'!Q36</f>
        <v>11.973750000000001</v>
      </c>
      <c r="R24" s="48"/>
      <c r="S24" s="48"/>
      <c r="T24" s="48"/>
      <c r="U24" s="47"/>
    </row>
    <row r="25" spans="1:21" s="34" customFormat="1" ht="15">
      <c r="A25" s="36" t="str">
        <f>'17'!$B$2</f>
        <v>17-12-2023 01:00</v>
      </c>
      <c r="B25" s="33">
        <f>'17'!B36</f>
        <v>37</v>
      </c>
      <c r="C25" s="33">
        <f>'17'!C36</f>
        <v>67.471666666666678</v>
      </c>
      <c r="D25" s="33">
        <f>'17'!D36</f>
        <v>67.501250000000013</v>
      </c>
      <c r="E25" s="33">
        <f>'17'!E36</f>
        <v>1.3870833333333332</v>
      </c>
      <c r="F25" s="33">
        <f>'17'!F36</f>
        <v>13.223333333333334</v>
      </c>
      <c r="G25" s="33">
        <f>'17'!G36</f>
        <v>121.90291666666663</v>
      </c>
      <c r="H25" s="33">
        <f>'17'!H36</f>
        <v>56.901249999999983</v>
      </c>
      <c r="I25" s="33">
        <f>'17'!I36</f>
        <v>1.5487500000000003</v>
      </c>
      <c r="J25" s="33">
        <f>'17'!J36</f>
        <v>0.4841666666666668</v>
      </c>
      <c r="K25" s="33">
        <f>'17'!K36</f>
        <v>255.94208333333336</v>
      </c>
      <c r="L25" s="33">
        <f>'17'!L36</f>
        <v>18.057083333333331</v>
      </c>
      <c r="M25" s="33">
        <f>'17'!M36</f>
        <v>60.414166666666667</v>
      </c>
      <c r="N25" s="33">
        <f>'17'!N36</f>
        <v>197.97916666666666</v>
      </c>
      <c r="O25" s="33">
        <f>'17'!O36</f>
        <v>0</v>
      </c>
      <c r="P25" s="30">
        <f>'17'!P36</f>
        <v>1.2266666666666666</v>
      </c>
      <c r="Q25" s="30">
        <f>'17'!Q36</f>
        <v>8.5569565217391297</v>
      </c>
      <c r="R25" s="48"/>
      <c r="S25" s="48"/>
      <c r="T25" s="48"/>
      <c r="U25" s="47"/>
    </row>
    <row r="26" spans="1:21" s="34" customFormat="1" ht="15">
      <c r="A26" s="36" t="str">
        <f>'18'!$B$2</f>
        <v>18-12-2023 01:00</v>
      </c>
      <c r="B26" s="33">
        <f>'18'!B36</f>
        <v>35.080416666666672</v>
      </c>
      <c r="C26" s="33">
        <f>'18'!C36</f>
        <v>72.742916666666687</v>
      </c>
      <c r="D26" s="33">
        <f>'18'!D36</f>
        <v>68.817083333333315</v>
      </c>
      <c r="E26" s="33">
        <f>'18'!E36</f>
        <v>3.3658333333333328</v>
      </c>
      <c r="F26" s="33">
        <f>'18'!F36</f>
        <v>21.571666666666669</v>
      </c>
      <c r="G26" s="33">
        <f>'18'!G36</f>
        <v>113.97125</v>
      </c>
      <c r="H26" s="33">
        <f>'18'!H36</f>
        <v>49.891666666666673</v>
      </c>
      <c r="I26" s="33">
        <f>'18'!I36</f>
        <v>1.5437500000000002</v>
      </c>
      <c r="J26" s="33">
        <f>'18'!J36</f>
        <v>0.64041666666666675</v>
      </c>
      <c r="K26" s="33">
        <f>'18'!K36</f>
        <v>322.31374999999997</v>
      </c>
      <c r="L26" s="33">
        <f>'18'!L36</f>
        <v>17.744166666666665</v>
      </c>
      <c r="M26" s="33">
        <f>'18'!M36</f>
        <v>57.460416666666667</v>
      </c>
      <c r="N26" s="33">
        <f>'18'!N36</f>
        <v>203.58750000000001</v>
      </c>
      <c r="O26" s="33">
        <f>'18'!O36</f>
        <v>0</v>
      </c>
      <c r="P26" s="30">
        <f>'18'!P36</f>
        <v>1.2758333333333332</v>
      </c>
      <c r="Q26" s="30">
        <f>'18'!Q36</f>
        <v>7.8908333333333323</v>
      </c>
      <c r="R26" s="48"/>
      <c r="S26" s="48"/>
      <c r="T26" s="48"/>
      <c r="U26" s="47"/>
    </row>
    <row r="27" spans="1:21" s="34" customFormat="1" ht="15">
      <c r="A27" s="36" t="str">
        <f>'19'!$B$2</f>
        <v>19-12-2023 01:00</v>
      </c>
      <c r="B27" s="33">
        <f>'19'!B36</f>
        <v>32.705416666666665</v>
      </c>
      <c r="C27" s="33">
        <f>'19'!C36</f>
        <v>74.126666666666679</v>
      </c>
      <c r="D27" s="33">
        <f>'19'!D36</f>
        <v>67.629999999999995</v>
      </c>
      <c r="E27" s="33">
        <f>'19'!E36</f>
        <v>5.9454166666666657</v>
      </c>
      <c r="F27" s="33">
        <f>'19'!F36</f>
        <v>17.891250000000003</v>
      </c>
      <c r="G27" s="33">
        <f>'19'!G36</f>
        <v>122.46958333333333</v>
      </c>
      <c r="H27" s="33">
        <f>'19'!H36</f>
        <v>56.820416666666667</v>
      </c>
      <c r="I27" s="33">
        <f>'19'!I36</f>
        <v>1.5395833333333335</v>
      </c>
      <c r="J27" s="33">
        <f>'19'!J36</f>
        <v>0.70083333333333353</v>
      </c>
      <c r="K27" s="33">
        <f>'19'!K36</f>
        <v>314.89208333333335</v>
      </c>
      <c r="L27" s="33">
        <f>'19'!L36</f>
        <v>17.253333333333334</v>
      </c>
      <c r="M27" s="33">
        <f>'19'!M36</f>
        <v>46.235833333333325</v>
      </c>
      <c r="N27" s="33">
        <f>'19'!N36</f>
        <v>236.54583333333338</v>
      </c>
      <c r="O27" s="33">
        <f>'19'!O36</f>
        <v>0</v>
      </c>
      <c r="P27" s="30">
        <f>'19'!P36</f>
        <v>1.374583333333333</v>
      </c>
      <c r="Q27" s="30">
        <f>'19'!Q36</f>
        <v>7.1945833333333331</v>
      </c>
      <c r="R27" s="48"/>
      <c r="S27" s="48"/>
      <c r="T27" s="48"/>
      <c r="U27" s="47"/>
    </row>
    <row r="28" spans="1:21" s="34" customFormat="1" ht="15">
      <c r="A28" s="36" t="str">
        <f>'20'!$B$2</f>
        <v>20-12-2023 01:00</v>
      </c>
      <c r="B28" s="33">
        <f>'20'!B36</f>
        <v>49.302083333333336</v>
      </c>
      <c r="C28" s="33">
        <f>'20'!C36</f>
        <v>81.583333333333329</v>
      </c>
      <c r="D28" s="33">
        <f>'20'!D36</f>
        <v>85.029999999999987</v>
      </c>
      <c r="E28" s="33">
        <f>'20'!E36</f>
        <v>7.2400000000000011</v>
      </c>
      <c r="F28" s="33">
        <f>'20'!F36</f>
        <v>14.71541666666667</v>
      </c>
      <c r="G28" s="33">
        <f>'20'!G36</f>
        <v>114.49874999999997</v>
      </c>
      <c r="H28" s="33">
        <f>'20'!H36</f>
        <v>59.252499999999998</v>
      </c>
      <c r="I28" s="33">
        <f>'20'!I36</f>
        <v>1.5370833333333336</v>
      </c>
      <c r="J28" s="33">
        <f>'20'!J36</f>
        <v>0.55625000000000013</v>
      </c>
      <c r="K28" s="33">
        <f>'20'!K36</f>
        <v>328.02749999999997</v>
      </c>
      <c r="L28" s="33">
        <f>'20'!L36</f>
        <v>16.607499999999998</v>
      </c>
      <c r="M28" s="33">
        <f>'20'!M36</f>
        <v>52.814583333333331</v>
      </c>
      <c r="N28" s="33">
        <f>'20'!N36</f>
        <v>233.37500000000003</v>
      </c>
      <c r="O28" s="33">
        <f>'20'!O36</f>
        <v>0</v>
      </c>
      <c r="P28" s="30">
        <f>'20'!P36</f>
        <v>1.74875</v>
      </c>
      <c r="Q28" s="30">
        <f>'20'!Q36</f>
        <v>6.5858333333333334</v>
      </c>
      <c r="R28" s="48"/>
      <c r="S28" s="48"/>
      <c r="T28" s="48"/>
      <c r="U28" s="47"/>
    </row>
    <row r="29" spans="1:21" s="34" customFormat="1" ht="15">
      <c r="A29" s="36" t="str">
        <f>'21'!$B$2</f>
        <v>21-12-2023 01:00</v>
      </c>
      <c r="B29" s="33">
        <f>'21'!B36</f>
        <v>96.420833333333306</v>
      </c>
      <c r="C29" s="33">
        <f>'21'!C36</f>
        <v>85.863750000000024</v>
      </c>
      <c r="D29" s="33">
        <f>'21'!D36</f>
        <v>125.25583333333333</v>
      </c>
      <c r="E29" s="33">
        <f>'21'!E36</f>
        <v>3.2879166666666673</v>
      </c>
      <c r="F29" s="33">
        <f>'21'!F36</f>
        <v>11.581250000000002</v>
      </c>
      <c r="G29" s="33">
        <f>'21'!G36</f>
        <v>133.17083333333329</v>
      </c>
      <c r="H29" s="33">
        <f>'21'!H36</f>
        <v>74.357083333333335</v>
      </c>
      <c r="I29" s="33">
        <f>'21'!I36</f>
        <v>1.5508333333333333</v>
      </c>
      <c r="J29" s="33">
        <f>'21'!J36</f>
        <v>0.4383333333333333</v>
      </c>
      <c r="K29" s="33">
        <f>'21'!K36</f>
        <v>264.9591666666667</v>
      </c>
      <c r="L29" s="33">
        <f>'21'!L36</f>
        <v>16.374166666666664</v>
      </c>
      <c r="M29" s="33">
        <f>'21'!M36</f>
        <v>61.414999999999999</v>
      </c>
      <c r="N29" s="33">
        <f>'21'!N36</f>
        <v>230.7208333333333</v>
      </c>
      <c r="O29" s="33">
        <f>'21'!O36</f>
        <v>0</v>
      </c>
      <c r="P29" s="30">
        <f>'21'!P36</f>
        <v>2.0500000000000003</v>
      </c>
      <c r="Q29" s="30">
        <f>'21'!Q36</f>
        <v>15.460869565217388</v>
      </c>
      <c r="R29" s="48"/>
      <c r="S29" s="48"/>
      <c r="T29" s="48"/>
      <c r="U29" s="47"/>
    </row>
    <row r="30" spans="1:21" s="34" customFormat="1" ht="15">
      <c r="A30" s="36" t="str">
        <f>'22'!$B$2</f>
        <v>22-12-2023 01:00</v>
      </c>
      <c r="B30" s="33">
        <f>'22'!B36</f>
        <v>63.967083333333342</v>
      </c>
      <c r="C30" s="33">
        <f>'22'!C36</f>
        <v>88.410000000000011</v>
      </c>
      <c r="D30" s="33">
        <f>'22'!D36</f>
        <v>100.49250000000001</v>
      </c>
      <c r="E30" s="33">
        <f>'22'!E36</f>
        <v>1.7641666666666669</v>
      </c>
      <c r="F30" s="33">
        <f>'22'!F36</f>
        <v>12.152916666666664</v>
      </c>
      <c r="G30" s="33">
        <f>'22'!G36</f>
        <v>167.87875</v>
      </c>
      <c r="H30" s="33">
        <f>'22'!H36</f>
        <v>81.272500000000008</v>
      </c>
      <c r="I30" s="33">
        <f>'22'!I36</f>
        <v>1.5316666666666665</v>
      </c>
      <c r="J30" s="33">
        <f>'22'!J36</f>
        <v>0.37708333333333338</v>
      </c>
      <c r="K30" s="33">
        <f>'22'!K36</f>
        <v>284.92333333333335</v>
      </c>
      <c r="L30" s="33">
        <f>'22'!L36</f>
        <v>17.139583333333338</v>
      </c>
      <c r="M30" s="33">
        <f>'22'!M36</f>
        <v>64.506666666666661</v>
      </c>
      <c r="N30" s="33">
        <f>'22'!N36</f>
        <v>222.51666666666665</v>
      </c>
      <c r="O30" s="33">
        <f>'22'!O36</f>
        <v>0</v>
      </c>
      <c r="P30" s="30">
        <f>'22'!P36</f>
        <v>1.9020833333333333</v>
      </c>
      <c r="Q30" s="30">
        <f>'22'!Q36</f>
        <v>11.572727272727274</v>
      </c>
      <c r="R30" s="48"/>
      <c r="S30" s="47"/>
      <c r="T30" s="47"/>
      <c r="U30" s="47"/>
    </row>
    <row r="31" spans="1:21" s="34" customFormat="1" ht="15">
      <c r="A31" s="36" t="str">
        <f>'23'!$B$2</f>
        <v>23-12-2023 01:00</v>
      </c>
      <c r="B31" s="33">
        <f>'23'!B36</f>
        <v>26.417500000000008</v>
      </c>
      <c r="C31" s="33">
        <f>'23'!C36</f>
        <v>77.057083333333324</v>
      </c>
      <c r="D31" s="33">
        <f>'23'!D36</f>
        <v>64.284166666666678</v>
      </c>
      <c r="E31" s="33">
        <f>'23'!E36</f>
        <v>1.4229166666666666</v>
      </c>
      <c r="F31" s="33">
        <f>'23'!F36</f>
        <v>15.813333333333334</v>
      </c>
      <c r="G31" s="33">
        <f>'23'!G36</f>
        <v>134.96916666666667</v>
      </c>
      <c r="H31" s="33">
        <f>'23'!H36</f>
        <v>75.877916666666664</v>
      </c>
      <c r="I31" s="33">
        <f>'23'!I36</f>
        <v>1.5495833333333333</v>
      </c>
      <c r="J31" s="33">
        <f>'23'!J36</f>
        <v>0.63875000000000004</v>
      </c>
      <c r="K31" s="33">
        <f>'23'!K36</f>
        <v>174.93458333333331</v>
      </c>
      <c r="L31" s="33">
        <f>'23'!L36</f>
        <v>17.322083333333335</v>
      </c>
      <c r="M31" s="33">
        <f>'23'!M36</f>
        <v>64.742500000000007</v>
      </c>
      <c r="N31" s="33">
        <f>'23'!N36</f>
        <v>194.02499999999998</v>
      </c>
      <c r="O31" s="33">
        <f>'23'!O36</f>
        <v>0</v>
      </c>
      <c r="P31" s="33">
        <f>'23'!P36</f>
        <v>1.0929166666666663</v>
      </c>
      <c r="Q31" s="33">
        <f>'23'!Q36</f>
        <v>9.0883333333333365</v>
      </c>
      <c r="R31" s="47"/>
      <c r="S31" s="47"/>
      <c r="T31" s="47"/>
      <c r="U31" s="47"/>
    </row>
    <row r="32" spans="1:21" s="34" customFormat="1" ht="15">
      <c r="A32" s="36" t="str">
        <f>'24'!$B$2</f>
        <v>24-12-2023 01:00</v>
      </c>
      <c r="B32" s="33">
        <f>'24'!B36</f>
        <v>49.525000000000006</v>
      </c>
      <c r="C32" s="33">
        <f>'24'!C36</f>
        <v>80.982916666666668</v>
      </c>
      <c r="D32" s="33">
        <f>'24'!D36</f>
        <v>84.865833333333327</v>
      </c>
      <c r="E32" s="33">
        <f>'24'!E36</f>
        <v>1.593333333333333</v>
      </c>
      <c r="F32" s="33">
        <f>'24'!F36</f>
        <v>12.675416666666669</v>
      </c>
      <c r="G32" s="33">
        <f>'24'!G36</f>
        <v>151.75458333333327</v>
      </c>
      <c r="H32" s="33">
        <f>'24'!H36</f>
        <v>82.678333333333342</v>
      </c>
      <c r="I32" s="33">
        <f>'24'!I36</f>
        <v>1.5437500000000002</v>
      </c>
      <c r="J32" s="33">
        <f>'24'!J36</f>
        <v>0.41999999999999993</v>
      </c>
      <c r="K32" s="33">
        <f>'24'!K36</f>
        <v>276.62416666666667</v>
      </c>
      <c r="L32" s="33">
        <f>'24'!L36</f>
        <v>17.650833333333335</v>
      </c>
      <c r="M32" s="33">
        <f>'24'!M36</f>
        <v>78.090416666666684</v>
      </c>
      <c r="N32" s="33">
        <f>'24'!N36</f>
        <v>192.03749999999999</v>
      </c>
      <c r="O32" s="33">
        <f>'24'!O36</f>
        <v>0</v>
      </c>
      <c r="P32" s="33">
        <f>'24'!P36</f>
        <v>2.0983333333333332</v>
      </c>
      <c r="Q32" s="33">
        <f>'24'!Q36</f>
        <v>7.4231818181818197</v>
      </c>
      <c r="R32" s="47"/>
      <c r="S32" s="47"/>
      <c r="T32" s="47"/>
      <c r="U32" s="47"/>
    </row>
    <row r="33" spans="1:21" s="34" customFormat="1" ht="15">
      <c r="A33" s="36" t="str">
        <f>'25'!$B$2</f>
        <v>25-12-2023 01:00</v>
      </c>
      <c r="B33" s="33">
        <f>'25'!B36</f>
        <v>97.55083333333333</v>
      </c>
      <c r="C33" s="33">
        <f>'25'!C36</f>
        <v>91.384583333333339</v>
      </c>
      <c r="D33" s="33">
        <f>'25'!D36</f>
        <v>128.94874999999999</v>
      </c>
      <c r="E33" s="33">
        <f>'25'!E36</f>
        <v>1.1720833333333334</v>
      </c>
      <c r="F33" s="33">
        <f>'25'!F36</f>
        <v>8.9383333333333344</v>
      </c>
      <c r="G33" s="33">
        <f>'25'!G36</f>
        <v>150.46624999999997</v>
      </c>
      <c r="H33" s="33">
        <f>'25'!H36</f>
        <v>97.270416666666677</v>
      </c>
      <c r="I33" s="33">
        <f>'25'!I36</f>
        <v>1.5429166666666665</v>
      </c>
      <c r="J33" s="33">
        <f>'25'!J36</f>
        <v>0.31374999999999992</v>
      </c>
      <c r="K33" s="33">
        <f>'25'!K36</f>
        <v>276.32791666666668</v>
      </c>
      <c r="L33" s="33">
        <f>'25'!L36</f>
        <v>18.483749999999997</v>
      </c>
      <c r="M33" s="33">
        <f>'25'!M36</f>
        <v>79.467083333333321</v>
      </c>
      <c r="N33" s="33">
        <f>'25'!N36</f>
        <v>178.75416666666672</v>
      </c>
      <c r="O33" s="33">
        <f>'25'!O36</f>
        <v>0</v>
      </c>
      <c r="P33" s="33">
        <f>'25'!P36</f>
        <v>2.5462500000000001</v>
      </c>
      <c r="Q33" s="33">
        <f>'25'!Q36</f>
        <v>16.19458333333333</v>
      </c>
      <c r="R33" s="47"/>
      <c r="S33" s="47"/>
      <c r="T33" s="47"/>
      <c r="U33" s="47"/>
    </row>
    <row r="34" spans="1:21" s="34" customFormat="1" ht="15">
      <c r="A34" s="36" t="str">
        <f>'26'!$B$2</f>
        <v>26-12-2023 01:00</v>
      </c>
      <c r="B34" s="33">
        <f>'26'!B36</f>
        <v>81.532857142857168</v>
      </c>
      <c r="C34" s="33">
        <f>'26'!C36</f>
        <v>93.590476190476195</v>
      </c>
      <c r="D34" s="33">
        <f>'26'!D36</f>
        <v>117.41285714285715</v>
      </c>
      <c r="E34" s="33">
        <f>'26'!E36</f>
        <v>1.138260869565217</v>
      </c>
      <c r="F34" s="33">
        <f>'26'!F36</f>
        <v>12.168750000000003</v>
      </c>
      <c r="G34" s="33">
        <f>'26'!G36</f>
        <v>191.62545454545455</v>
      </c>
      <c r="H34" s="33">
        <f>'26'!H36</f>
        <v>95.383181818181811</v>
      </c>
      <c r="I34" s="33">
        <f>'26'!I36</f>
        <v>1.5520833333333333</v>
      </c>
      <c r="J34" s="33">
        <f>'26'!J36</f>
        <v>0.28166666666666668</v>
      </c>
      <c r="K34" s="33">
        <f>'26'!K36</f>
        <v>295.3029166666667</v>
      </c>
      <c r="L34" s="33">
        <f>'26'!L36</f>
        <v>19.297916666666673</v>
      </c>
      <c r="M34" s="33">
        <f>'26'!M36</f>
        <v>76.507916666666674</v>
      </c>
      <c r="N34" s="33">
        <f>'26'!N36</f>
        <v>163.87083333333331</v>
      </c>
      <c r="O34" s="33">
        <f>'26'!O36</f>
        <v>0</v>
      </c>
      <c r="P34" s="33">
        <f>'26'!P36</f>
        <v>2.461818181818181</v>
      </c>
      <c r="Q34" s="33">
        <f>'26'!Q36</f>
        <v>13.188750000000001</v>
      </c>
      <c r="R34" s="47"/>
      <c r="S34" s="47"/>
      <c r="T34" s="47"/>
      <c r="U34" s="47"/>
    </row>
    <row r="35" spans="1:21" s="34" customFormat="1" ht="15">
      <c r="A35" s="36" t="str">
        <f>'27'!$B$2</f>
        <v>27-12-2023 01:00</v>
      </c>
      <c r="B35" s="33">
        <f>'27'!B36</f>
        <v>72.502916666666678</v>
      </c>
      <c r="C35" s="33">
        <f>'27'!C36</f>
        <v>90.244166666666672</v>
      </c>
      <c r="D35" s="33">
        <f>'27'!D36</f>
        <v>108.29624999999997</v>
      </c>
      <c r="E35" s="33">
        <f>'27'!E36</f>
        <v>1.4749999999999999</v>
      </c>
      <c r="F35" s="33">
        <f>'27'!F36</f>
        <v>11.116666666666669</v>
      </c>
      <c r="G35" s="33">
        <f>'27'!G36</f>
        <v>138.54499999999996</v>
      </c>
      <c r="H35" s="33">
        <f>'27'!H36</f>
        <v>88.120833333333351</v>
      </c>
      <c r="I35" s="33">
        <f>'27'!I36</f>
        <v>1.5362499999999999</v>
      </c>
      <c r="J35" s="33">
        <f>'27'!J36</f>
        <v>0.31208333333333332</v>
      </c>
      <c r="K35" s="33">
        <f>'27'!K36</f>
        <v>318.42875000000009</v>
      </c>
      <c r="L35" s="33">
        <f>'27'!L36</f>
        <v>19.598749999999999</v>
      </c>
      <c r="M35" s="33">
        <f>'27'!M36</f>
        <v>73.742499999999993</v>
      </c>
      <c r="N35" s="33">
        <f>'27'!N36</f>
        <v>169.57083333333335</v>
      </c>
      <c r="O35" s="33">
        <f>'27'!O36</f>
        <v>0</v>
      </c>
      <c r="P35" s="30">
        <f>'27'!P36</f>
        <v>2.2845833333333334</v>
      </c>
      <c r="Q35" s="33">
        <f>'27'!Q36</f>
        <v>10.70875</v>
      </c>
      <c r="R35" s="47"/>
      <c r="S35" s="47"/>
      <c r="T35" s="47"/>
      <c r="U35" s="47"/>
    </row>
    <row r="36" spans="1:21" s="34" customFormat="1" ht="15">
      <c r="A36" s="36" t="str">
        <f>'28'!$B$2</f>
        <v>28-12-2023 01:00</v>
      </c>
      <c r="B36" s="33">
        <f>'28'!B36</f>
        <v>73.686249999999987</v>
      </c>
      <c r="C36" s="33">
        <f>'28'!C36</f>
        <v>87.507916666666674</v>
      </c>
      <c r="D36" s="33">
        <f>'28'!D36</f>
        <v>107.72041666666667</v>
      </c>
      <c r="E36" s="33">
        <f>'28'!E36</f>
        <v>0.50541666666666674</v>
      </c>
      <c r="F36" s="33">
        <f>'28'!F36</f>
        <v>4.3220833333333326</v>
      </c>
      <c r="G36" s="33">
        <f>'28'!G36</f>
        <v>165.47958333333332</v>
      </c>
      <c r="H36" s="33">
        <f>'28'!H36</f>
        <v>95.571249999999978</v>
      </c>
      <c r="I36" s="33">
        <f>'28'!I36</f>
        <v>1.53</v>
      </c>
      <c r="J36" s="33">
        <f>'28'!J36</f>
        <v>0.31958333333333333</v>
      </c>
      <c r="K36" s="33">
        <f>'28'!K36</f>
        <v>272.65833333333336</v>
      </c>
      <c r="L36" s="33">
        <f>'28'!L36</f>
        <v>19.064583333333328</v>
      </c>
      <c r="M36" s="33">
        <f>'28'!M36</f>
        <v>73.941666666666677</v>
      </c>
      <c r="N36" s="33">
        <f>'28'!N36</f>
        <v>166.8041666666667</v>
      </c>
      <c r="O36" s="33">
        <f>'28'!O36</f>
        <v>0</v>
      </c>
      <c r="P36" s="30">
        <f>'28'!P36</f>
        <v>1.5625000000000002</v>
      </c>
      <c r="Q36" s="33">
        <f>'28'!Q36</f>
        <v>15.335833333333339</v>
      </c>
      <c r="R36" s="47"/>
      <c r="S36" s="47"/>
      <c r="T36" s="47"/>
      <c r="U36" s="47"/>
    </row>
    <row r="37" spans="1:21" s="34" customFormat="1" ht="15">
      <c r="A37" s="36" t="str">
        <f>'29'!$B$2</f>
        <v>29-12-2023 01:00</v>
      </c>
      <c r="B37" s="33">
        <f>'29'!B36</f>
        <v>82.007083333333341</v>
      </c>
      <c r="C37" s="33">
        <f>'29'!C36</f>
        <v>61.796666666666653</v>
      </c>
      <c r="D37" s="33">
        <f>'29'!D36</f>
        <v>98.509166666666673</v>
      </c>
      <c r="E37" s="33">
        <f>'29'!E36</f>
        <v>0.38708333333333322</v>
      </c>
      <c r="F37" s="33">
        <f>'29'!F36</f>
        <v>4.2712500000000002</v>
      </c>
      <c r="G37" s="33">
        <f>'29'!G36</f>
        <v>163.58083333333335</v>
      </c>
      <c r="H37" s="33">
        <f>'29'!H36</f>
        <v>80.35833333333332</v>
      </c>
      <c r="I37" s="33">
        <f>'29'!I36</f>
        <v>1.5383333333333333</v>
      </c>
      <c r="J37" s="33">
        <f>'29'!J36</f>
        <v>0.3645833333333332</v>
      </c>
      <c r="K37" s="33">
        <f>'29'!K36</f>
        <v>281.33958333333334</v>
      </c>
      <c r="L37" s="33">
        <f>'29'!L36</f>
        <v>18.74958333333333</v>
      </c>
      <c r="M37" s="33">
        <f>'29'!M36</f>
        <v>78.337500000000006</v>
      </c>
      <c r="N37" s="33">
        <f>'29'!N36</f>
        <v>157.15416666666667</v>
      </c>
      <c r="O37" s="33">
        <f>'29'!O36</f>
        <v>0</v>
      </c>
      <c r="P37" s="33">
        <f>'29'!P36</f>
        <v>1.6712499999999997</v>
      </c>
      <c r="Q37" s="33">
        <f>'29'!Q36</f>
        <v>11.223333333333334</v>
      </c>
      <c r="R37" s="47"/>
      <c r="S37" s="47"/>
      <c r="T37" s="47"/>
      <c r="U37" s="47"/>
    </row>
    <row r="38" spans="1:21" s="34" customFormat="1" ht="15">
      <c r="A38" s="36" t="str">
        <f>'30'!$B$2</f>
        <v>30-12-2023 01:00</v>
      </c>
      <c r="B38" s="33">
        <f>'30'!B36</f>
        <v>99.124166666666682</v>
      </c>
      <c r="C38" s="33">
        <f>'30'!C36</f>
        <v>69.802916666666675</v>
      </c>
      <c r="D38" s="33">
        <f>'30'!D36</f>
        <v>117.36041666666665</v>
      </c>
      <c r="E38" s="33">
        <f>'30'!E36</f>
        <v>0.33208333333333334</v>
      </c>
      <c r="F38" s="33">
        <f>'30'!F36</f>
        <v>3.4679166666666674</v>
      </c>
      <c r="G38" s="33">
        <f>'30'!G36</f>
        <v>156.64166666666662</v>
      </c>
      <c r="H38" s="33">
        <f>'30'!H36</f>
        <v>92.12166666666667</v>
      </c>
      <c r="I38" s="33">
        <f>'30'!I36</f>
        <v>1.5383333333333333</v>
      </c>
      <c r="J38" s="33">
        <f>'30'!J36</f>
        <v>0.44874999999999998</v>
      </c>
      <c r="K38" s="33">
        <f>'30'!K36</f>
        <v>273.57166666666666</v>
      </c>
      <c r="L38" s="33">
        <f>'30'!L36</f>
        <v>18.987500000000001</v>
      </c>
      <c r="M38" s="33">
        <f>'30'!M36</f>
        <v>77.320833333333326</v>
      </c>
      <c r="N38" s="33">
        <f>'30'!N36</f>
        <v>154.12916666666663</v>
      </c>
      <c r="O38" s="33">
        <f>'30'!O36</f>
        <v>0</v>
      </c>
      <c r="P38" s="33">
        <f>'30'!P36</f>
        <v>1.760416666666667</v>
      </c>
      <c r="Q38" s="33">
        <f>'30'!Q36</f>
        <v>12.835416666666667</v>
      </c>
      <c r="R38" s="47"/>
      <c r="S38" s="47"/>
      <c r="T38" s="47"/>
      <c r="U38" s="47"/>
    </row>
    <row r="39" spans="1:21" s="34" customFormat="1" ht="15">
      <c r="A39" s="36" t="str">
        <f>'31'!$B$2</f>
        <v>31-12-2023 01:00</v>
      </c>
      <c r="B39" s="33">
        <f>'31'!B37</f>
        <v>33.957870123096662</v>
      </c>
      <c r="C39" s="33">
        <f>'31'!C37</f>
        <v>11.733172586699544</v>
      </c>
      <c r="D39" s="33">
        <f>'31'!D37</f>
        <v>23.139008455827167</v>
      </c>
      <c r="E39" s="33">
        <f>'31'!E37</f>
        <v>0.063586925554309337</v>
      </c>
      <c r="F39" s="33">
        <f>'31'!F37</f>
        <v>0.488876077181706</v>
      </c>
      <c r="G39" s="33">
        <f>'31'!G37</f>
        <v>23.57269255002452</v>
      </c>
      <c r="H39" s="33">
        <f>'31'!H37</f>
        <v>9.7892918335008829</v>
      </c>
      <c r="I39" s="33">
        <f>'31'!I37</f>
        <v>0.029312781008201592</v>
      </c>
      <c r="J39" s="33">
        <f>'31'!J37</f>
        <v>0.25191297093944215</v>
      </c>
      <c r="K39" s="33">
        <f>'31'!K37</f>
        <v>86.157435545742828</v>
      </c>
      <c r="L39" s="33">
        <f>'31'!L37</f>
        <v>4.4841912330422442</v>
      </c>
      <c r="M39" s="33">
        <f>'31'!M37</f>
        <v>19.602905489319379</v>
      </c>
      <c r="N39" s="33">
        <f>'31'!N37</f>
        <v>156.87616804807948</v>
      </c>
      <c r="O39" s="33">
        <f>'31'!O37</f>
        <v>0</v>
      </c>
      <c r="P39" s="33">
        <f>'31'!P37</f>
        <v>0.36392386526599785</v>
      </c>
      <c r="Q39" s="33">
        <f>'31'!Q37</f>
        <v>2.0928385480982059</v>
      </c>
      <c r="R39" s="47"/>
      <c r="S39" s="47"/>
      <c r="T39" s="47"/>
      <c r="U39" s="47"/>
    </row>
    <row r="40" spans="2:21" ht="1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5.5362500000000017</v>
      </c>
      <c r="C41" s="15">
        <f t="shared" si="0"/>
        <v>40.791666666666664</v>
      </c>
      <c r="D41" s="15">
        <f t="shared" si="0"/>
        <v>29.692083333333333</v>
      </c>
      <c r="E41" s="15">
        <f t="shared" si="0"/>
        <v>0.33208333333333334</v>
      </c>
      <c r="F41" s="15">
        <f t="shared" si="0"/>
        <v>3.4679166666666674</v>
      </c>
      <c r="G41" s="15">
        <f t="shared" si="0"/>
        <v>15.702916666666669</v>
      </c>
      <c r="H41" s="15">
        <f t="shared" si="0"/>
        <v>7.0616666666666674</v>
      </c>
      <c r="I41" s="15">
        <f t="shared" si="0"/>
        <v>1.53</v>
      </c>
      <c r="J41" s="15">
        <f t="shared" si="0"/>
        <v>0.28166666666666668</v>
      </c>
      <c r="K41" s="15">
        <f t="shared" si="0"/>
        <v>153.19291666666666</v>
      </c>
      <c r="L41" s="15">
        <f t="shared" si="0"/>
        <v>16.374166666666664</v>
      </c>
      <c r="M41" s="15">
        <f t="shared" si="0"/>
        <v>46.235833333333325</v>
      </c>
      <c r="N41" s="15">
        <f t="shared" si="0"/>
        <v>38.6969487244112</v>
      </c>
      <c r="O41" s="15">
        <f t="shared" si="0"/>
        <v>0</v>
      </c>
      <c r="P41" s="15">
        <f t="shared" si="0"/>
        <v>0.37791666666666662</v>
      </c>
      <c r="Q41" s="15">
        <f t="shared" si="0"/>
        <v>4.4741666666666662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99.124166666666682</v>
      </c>
      <c r="C42" s="15">
        <f t="shared" si="1"/>
        <v>93.590476190476195</v>
      </c>
      <c r="D42" s="15">
        <f t="shared" si="1"/>
        <v>128.94874999999999</v>
      </c>
      <c r="E42" s="15">
        <f t="shared" si="1"/>
        <v>7.2400000000000011</v>
      </c>
      <c r="F42" s="15">
        <f t="shared" si="1"/>
        <v>21.571666666666669</v>
      </c>
      <c r="G42" s="15">
        <f t="shared" si="1"/>
        <v>191.62545454545455</v>
      </c>
      <c r="H42" s="15">
        <f t="shared" si="1"/>
        <v>97.270416666666677</v>
      </c>
      <c r="I42" s="15">
        <f t="shared" si="1"/>
        <v>1.5545833333333337</v>
      </c>
      <c r="J42" s="15">
        <f t="shared" si="1"/>
        <v>1.1662499999999998</v>
      </c>
      <c r="K42" s="15">
        <f t="shared" si="1"/>
        <v>328.02749999999997</v>
      </c>
      <c r="L42" s="15">
        <f t="shared" si="1"/>
        <v>22.983749999999997</v>
      </c>
      <c r="M42" s="15">
        <f t="shared" si="1"/>
        <v>98.213750000000005</v>
      </c>
      <c r="N42" s="15">
        <f t="shared" si="1"/>
        <v>261.34171945885356</v>
      </c>
      <c r="O42" s="15">
        <f t="shared" si="1"/>
        <v>0.22698400633180041</v>
      </c>
      <c r="P42" s="15">
        <f t="shared" si="1"/>
        <v>2.5462500000000001</v>
      </c>
      <c r="Q42" s="15">
        <f t="shared" si="1"/>
        <v>16.19458333333333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43.850164682539692</v>
      </c>
      <c r="C43" s="15">
        <f t="shared" si="2"/>
        <v>65.548599206349209</v>
      </c>
      <c r="D43" s="15">
        <f t="shared" si="2"/>
        <v>71.672845238095249</v>
      </c>
      <c r="E43" s="15">
        <f t="shared" si="2"/>
        <v>1.9326186162870951</v>
      </c>
      <c r="F43" s="15">
        <f t="shared" si="2"/>
        <v>9.9750972222222245</v>
      </c>
      <c r="G43" s="15">
        <f t="shared" si="2"/>
        <v>112.45019307549175</v>
      </c>
      <c r="H43" s="15">
        <f t="shared" si="2"/>
        <v>57.009496411483255</v>
      </c>
      <c r="I43" s="15">
        <f t="shared" si="2"/>
        <v>1.542763888888889</v>
      </c>
      <c r="J43" s="15">
        <f t="shared" si="2"/>
        <v>0.52879166666666666</v>
      </c>
      <c r="K43" s="15">
        <f t="shared" si="2"/>
        <v>259.75593055555561</v>
      </c>
      <c r="L43" s="15">
        <f t="shared" si="2"/>
        <v>18.82534722222222</v>
      </c>
      <c r="M43" s="15">
        <f t="shared" si="2"/>
        <v>71.504083333333327</v>
      </c>
      <c r="N43" s="15">
        <f t="shared" si="2"/>
        <v>178.24601116166437</v>
      </c>
      <c r="O43" s="15">
        <f t="shared" si="2"/>
        <v>0.017566133544393348</v>
      </c>
      <c r="P43" s="15">
        <f t="shared" si="2"/>
        <v>1.3476717171717172</v>
      </c>
      <c r="Q43" s="15">
        <f t="shared" si="2"/>
        <v>8.5625737812911726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28.502814175901971</v>
      </c>
      <c r="C44" s="15">
        <f t="shared" si="3"/>
        <v>16.856567944050379</v>
      </c>
      <c r="D44" s="15">
        <f t="shared" si="3"/>
        <v>30.158668177176967</v>
      </c>
      <c r="E44" s="15">
        <f t="shared" si="3"/>
        <v>1.5074892151527801</v>
      </c>
      <c r="F44" s="15">
        <f t="shared" si="3"/>
        <v>4.6874222416070692</v>
      </c>
      <c r="G44" s="15">
        <f t="shared" si="3"/>
        <v>46.101378762308926</v>
      </c>
      <c r="H44" s="15">
        <f t="shared" si="3"/>
        <v>25.511582986231623</v>
      </c>
      <c r="I44" s="15">
        <f t="shared" si="3"/>
        <v>0.0068861876347138555</v>
      </c>
      <c r="J44" s="15">
        <f t="shared" si="3"/>
        <v>0.20391802094773637</v>
      </c>
      <c r="K44" s="15">
        <f t="shared" si="3"/>
        <v>49.823213919845607</v>
      </c>
      <c r="L44" s="15">
        <f t="shared" si="3"/>
        <v>1.7896578021762946</v>
      </c>
      <c r="M44" s="15">
        <f t="shared" si="3"/>
        <v>12.405217750903054</v>
      </c>
      <c r="N44" s="15">
        <f t="shared" si="3"/>
        <v>52.291330121944114</v>
      </c>
      <c r="O44" s="15">
        <f t="shared" si="3"/>
        <v>0.05524699015033057</v>
      </c>
      <c r="P44" s="15">
        <f t="shared" si="3"/>
        <v>0.566684709420475</v>
      </c>
      <c r="Q44" s="15">
        <f t="shared" si="3"/>
        <v>3.4244310242867106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>COUNT(B9:B39)</f>
        <v>31</v>
      </c>
      <c r="C45" s="12">
        <f t="shared" si="4" ref="C45:Q45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2024-08-28T14:09:54Z</dcterms:modified>
  <cp:category/>
</cp:coreProperties>
</file>